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1) Artists list" sheetId="2" r:id="rId5"/>
    <sheet state="visible" name="2) Labels list" sheetId="3" r:id="rId6"/>
    <sheet state="visible" name="3) Release_Label" sheetId="4" r:id="rId7"/>
    <sheet state="visible" name="4) Release_Artist(s)" sheetId="5" r:id="rId8"/>
    <sheet state="visible" name="5) Release_Track" sheetId="6" r:id="rId9"/>
    <sheet state="visible" name="6) Track_Artist(s)" sheetId="7" r:id="rId10"/>
    <sheet state="visible" name="7) Comp ContributorPublisher li" sheetId="8" r:id="rId11"/>
    <sheet state="visible" name="8) Track_Composition(s)" sheetId="9" r:id="rId12"/>
    <sheet state="visible" name="9) Audio_Properties" sheetId="10" r:id="rId13"/>
    <sheet state="visible" name="Reference info" sheetId="11" r:id="rId14"/>
    <sheet state="visible" name="Sample Data" sheetId="12" r:id="rId15"/>
  </sheets>
  <definedNames>
    <definedName name="Country">'Reference info'!$T$3:$T$257</definedName>
    <definedName name="EntId">'1) Artists list'!$H$1</definedName>
    <definedName name="CompContributor">'7) Comp ContributorPublisher li'!$A$5:$A$1001</definedName>
    <definedName name="TrackProperties">'Reference info'!$R$3:$R$10</definedName>
    <definedName name="ReleaseType">'Reference info'!$G$3:$G$7</definedName>
    <definedName name="Language">'Reference info'!$K$3:$K$418</definedName>
    <definedName name="Publishing">'Reference info'!$O$3:$O$5</definedName>
    <definedName name="ArtistRole">'Reference info'!$J$3:$J$429</definedName>
    <definedName name="CompositionRole">'Reference info'!$Q$3:$Q$14</definedName>
    <definedName name="Label">'2) Labels list'!$A$5:$A$999</definedName>
    <definedName name="Genre">'Reference info'!$H$3:$H$419</definedName>
    <definedName name="Publisher">'7) Comp ContributorPublisher li'!$G$5:$G$1001</definedName>
    <definedName name="Artist">'1) Artists list'!$A$5:$A$999</definedName>
    <definedName name="TenantId">'1) Artists list'!$J$2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This is a note example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URL link to the file on a public server (Dropbox, Azure, S3, etc.) that triggers a direct download of the file when the link is clicked.
IMPORTANT: 
We DO NOT support importing files from Google Drive
Sample download url formats -
[Note: the server's id used for the file is represented as 'ID_CHARS']
Dropbox:
https://www.dropbox.com/s/ID_CHARS/FileName?dl=1</t>
      </text>
    </comment>
    <comment authorId="0" ref="C4">
      <text>
        <t xml:space="preserve">Enter the Artist's AppleId or 'NEW' to indicate that the Artist needs an AppleId created for them.
Required for Distribution of content to APPLE where the Artist has one of the following roles: 'Primary - Top', 'Primary - Other', 'Featuring', 'Remixer'</t>
      </text>
    </comment>
    <comment authorId="0" ref="D4">
      <text>
        <t xml:space="preserve">Enter the Artist's full Spotify URI address, for example, 
spotify:artist:acAr6E0nzuEeDIcg5XBqax
If the Artist needs a Spotify URI created for them, then enter 'NEW'.
Required for Distribution of content to SPOTIFY where the Artist has one of the following roles: 'Primary - Top', 'Primary - Other', 'Featuring', 'Remixer'</t>
      </text>
    </comment>
    <comment authorId="0" ref="E4">
      <text>
        <t xml:space="preserve">NOT the Instagram URL of the Artist</t>
      </text>
    </comment>
    <comment authorId="0" ref="F4">
      <text>
        <t xml:space="preserve">The "username" part of the artist's SoundCloud URL; e.g., /soundcloud.com/username</t>
      </text>
    </comment>
    <comment authorId="0" ref="G4">
      <text>
        <t xml:space="preserve">The ISNI is a 16-digit code that uniquely identifies individuals and organizations in the creative industries.
To learn more or register for your own identifier, visit https://isni.org.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EXACTLY means that EVERYTHING must be the same as your label copy and that any difference will result in creating different labels:
  Rolling Stones Records 
Is not identical to 
  ROLLING STONES REC. LTD.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Phonogram (i.e., Sound Recording) Copyright. 
The owner of the master recording for the entire release. 
Format: [Year] [Rights Holder] . 
The rights holder is typically the record label, but can also be the artist (if self-released), producer, or the entity that financed the recording. The year should be the year of the release's first publication.  
Example: 
2024 Revelator Records</t>
      </text>
    </comment>
    <comment authorId="0" ref="L3">
      <text>
        <t xml:space="preserve">Artwork &amp; Packaging Copyright. 
The owner of the copyright for the visual and textual elements of the release. This includes the cover art, photography, liner notes, and overall graphic design. 
Format: [Year] [Rights Holder] . 
The rights holder may be the record label, a design studio, a photographer, or the artist. The year should be the year of the release's first publication. 
Example:
2024 Revelator Arts &amp; Design</t>
      </text>
    </comment>
    <comment authorId="0" ref="B4">
      <text>
        <t xml:space="preserve">URL link to the file on a public server (Dropbox, Azure, S3, etc.) that triggers a direct download of the file when the link is clicked.
Image file size must be less than 10 MB.
IMPORTANT: 
We DO NOT support importing files from Google Drive
Sample download url formats -
[Note: the server's id used for the file is represented as 'ID_CHARS']
Dropbox:
https://www.dropbox.com/s/ID_CHARS/FileName?dl=1</t>
      </text>
    </comment>
    <comment authorId="0" ref="C4">
      <text>
        <t xml:space="preserve">image files can only be in jpeg/jpg format</t>
      </text>
    </comment>
    <comment authorId="0" ref="D4">
      <text>
        <t xml:space="preserve">leave blank if no UPC / EAN / JAN yet</t>
      </text>
    </comment>
    <comment authorId="0" ref="E4">
      <text>
        <t xml:space="preserve">1. required if no UPC / EAN / JAN yet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EXACTLY means that you should respect proper casing and punctuation:
  Exile on Main St. (vs)
  Exile On Main St</t>
      </text>
    </comment>
    <comment authorId="0" ref="G4">
      <text>
        <t xml:space="preserve">The language of the release TITLE; NOT the language of the songs/lyrics.</t>
      </text>
    </comment>
    <comment authorId="0" ref="N4">
      <text>
        <t xml:space="preserve">Can be:
YYYY-MM-DD
YYYY/MM/DD
YYYY MM DD.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leave blank if no UPC / EAN / JAN yet</t>
      </text>
    </comment>
    <comment authorId="0" ref="B4">
      <text>
        <t xml:space="preserve">1. required if no UPC / EAN / JAN yet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1. Each Release MUST have ONLY ONE Artist assigned the 'Main Primary Artist' role.  Any other primary artist should be assigned 'Primary Artist'.
2. Each Release MUST have AT LEAST ONE Artist assigned a role from the 'Producer &amp; Engineer' category.
3. Each Release MUST have AT LEAST ONE Artist assigned a role from the 'Performer' category.</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vISRCs MUST be distinct from regular track ISRCs</t>
      </text>
    </comment>
    <comment authorId="0" ref="A4">
      <text>
        <t xml:space="preserve">leave blank if no UPC / EAN / JAN yet</t>
      </text>
    </comment>
    <comment authorId="0" ref="B4">
      <text>
        <t xml:space="preserve">1. required if no UPC / EAN / JAN yet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No dashes or spaces.
CCXXXYY#####
CC = Country code (2 characters)
XXX = Registrant code (3 characters)
YY = Year of release (2 digits)
##### = Release identifier (5 digits)</t>
      </text>
    </comment>
    <comment authorId="0" ref="G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H4">
      <text>
        <t xml:space="preserve">EXACTLY means that you should respect proper casing and punctuation:
  Exile on Main St. (vs)
  Exile On Main St</t>
      </text>
    </comment>
    <comment authorId="0" ref="L4">
      <text>
        <t xml:space="preserve">An​ ​original​ ​composition​ ​is​ ​a​ ​track​ ​to​ ​which​ ​you’ve​ ​contributed lyrics​ ​and/or​ ​music,​ ​but​ ​which​ ​does​ ​NOT​ ​borrow​ ​elements from​ ​previously​ ​created​ ​works.
Public​ ​domain​ ​compositions​ ​are​ ​ones​ ​in​ ​which​ ​the intellectual​ ​property​ ​rights​ ​have​ ​expired​ ​or​ ​been​ ​forfeited. This​ ​generally​ ​applies​ ​to​ ​songs​ ​written​ ​before​ ​1923.</t>
      </text>
    </comment>
    <comment authorId="0" ref="M4">
      <text>
        <t xml:space="preserve">Required if distributing content.
FLAC or 2 channel (stereo) WAV file.
16-24 bit depth; minimum sample rate: 44.1 kHz
URL link to the file on a public server (Dropbox, Azure, S3, etc.) that triggers a direct download of the file when the link is clicked.
IMPORTANT: 
We DO NOT support importing files from Google Drive
Sample download url formats -
[Note: the server's id used for the file is represented as 'ID_CHARS']
Dropbox:
https://www.dropbox.com/s/ID_CHARS/FileName?dl=1</t>
      </text>
    </comment>
    <comment authorId="0" ref="N4">
      <text>
        <t xml:space="preserve">audio file extension
Required if audio URL provided</t>
      </text>
    </comment>
    <comment authorId="0" ref="O4">
      <text>
        <t xml:space="preserve">From where should your track start when people preview it? 
The value must be the number of seconds into the track. Example: 93.</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vISRCs MUST be distinct from regular track ISRCs</t>
      </text>
    </comment>
    <comment authorId="0" ref="A4">
      <text>
        <t xml:space="preserve">leave blank if no ISRC yet</t>
      </text>
    </comment>
    <comment authorId="0" ref="B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1. Each Track MUST have ONLY ONE Artist assigned the 'Main Primary Artist' role.  Any other primary artist should be assigned 'Primary Artist'.
2. Each Track MUST have AT LEAST ONE Artist assigned a role from the 'Producer &amp; Engineer' category.
3. Each Track MUST have AT LEAST ONE Artist assigned a role from the 'Performer' category.</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The ISNI is a 16-digit code that uniquely identifies individuals and organizations in the creative industries.
To learn more or register for your own identifier, visit https://isni.org.</t>
      </text>
    </comment>
    <comment authorId="0" ref="C4">
      <text>
        <t xml:space="preserve">Choose the country in which this contributor officially resides; used for legal and payout requirements.</t>
      </text>
    </comment>
    <comment authorId="0" ref="D4">
      <text>
        <t xml:space="preserve">The IPI/CAE number is a unique identifier assigned through the CISAC-managed IPI database by member societies to track rights holders in creative works.
To obtain or look up your number, join or log in to your local CISAC-member PRO (such as ASCAP, PRS, SACEM) or search the IPI database at cisac.org.</t>
      </text>
    </comment>
    <comment authorId="0" ref="I4">
      <text>
        <t xml:space="preserve">The IPI/CAE number is a unique identifier assigned through the CISAC-managed IPI database by member societies to track rights holders in creative works.
To obtain or look up your number, join or log in to your local CISAC-member PRO (such as ASCAP, PRS, SACEM) or search the IPI database at cisac.org.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vISRCs MUST be distinct from regular track ISRCs</t>
      </text>
    </comment>
    <comment authorId="0" ref="A4">
      <text>
        <t xml:space="preserve">leave blank if no ISRC yet</t>
      </text>
    </comment>
    <comment authorId="0" ref="B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H4">
      <text>
        <t xml:space="preserve">Only positive values up to 100%, total of all Contributors for a track must equal 100%
Maximum decimal places: 
2 in Percent format, e.g. 33.34%; 
or 
4 in Number format, e.g. 0.3334;
If there are 3 Contributors:
33.33%
33.33%
33.34%</t>
      </text>
    </comment>
    <comment authorId="0" ref="I4">
      <text>
        <t xml:space="preserve">Total of all Contributors for a track must equal 100%</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vISRCs MUST be distinct from regular track ISRCs</t>
      </text>
    </comment>
    <comment authorId="0" ref="A4">
      <text>
        <t xml:space="preserve">leave blank if no ISRC yet</t>
      </text>
    </comment>
    <comment authorId="0" ref="B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E4">
      <text>
        <t xml:space="preserve">A new version that alters an original recording. Any derivative work, including modified versions such as sped-up, slowed-down, boosted, nightcore, etc. A remix can be produced by the original artist or by another artist/producer. Note that covers with translated, modified or added lyrics should also be identified as derivative works due to the modification of the lyrics.</t>
      </text>
    </comment>
    <comment authorId="0" ref="F4">
      <text>
        <t xml:space="preserve">Any recording containing samples or any stock music, be it a royalty free beat, or any loops from a sample pack or music creation software.</t>
      </text>
    </comment>
    <comment authorId="0" ref="G4">
      <text>
        <t xml:space="preserve">Mix or Compilation - Any form of mashup (multiple track segments joined together) or medley (multiple full tracks joined together), as well as any track in a DJ set/mix or compilation (which does not have the same ISRC as the original).</t>
      </text>
    </comment>
    <comment authorId="0" ref="H4">
      <text>
        <t xml:space="preserve">Radio edit, extended or shortened versions, as well lofi, live or remastered versions.</t>
      </text>
    </comment>
    <comment authorId="0" ref="I4">
      <text>
        <t xml:space="preserve">White noise or sleep music, ambient, new age or meditation, karaoke or instrumental, classical (in the sense of older music like Beethoven and not contemporary music in the classical genre) — or any other similar genre where your recording is likely to be mistaken for another recording.</t>
      </text>
    </comment>
    <comment authorId="0" ref="J4">
      <text>
        <t xml:space="preserve">ASMR, sound effects, nature sounds, speech, spoken word, podcast or radio show.</t>
      </text>
    </comment>
    <comment authorId="0" ref="K4">
      <text>
        <t xml:space="preserve">Includes music generated through artificial intelligence (AI), either in whole or in part.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URL link to the file on a public server (Google Drive, Dropbox, Azure, S3, etc.) that triggers a direct download of the file when the link is clicked.
Sample download url formats -
[Note: the server's id used for the file is represented as 'ID_CHARS']
Google Drive: 
https://drive.google.com/u/0/uc?id=ID_CHARS&amp;export=download
Dropbox:
https://www.dropbox.com/s/ID_CHARS/FileName?dl=1</t>
      </text>
    </comment>
    <comment authorId="0" ref="C6">
      <text>
        <t xml:space="preserve">Enter the Artist's AppleId or 'NEW' to indicate that the Artist needs an AppleId created for them.
Required for Distribution of content where the Artist has one of the following roles: 'Primary - Top', 'Primary - Other', 'Featuring', 'Remixer'</t>
      </text>
    </comment>
    <comment authorId="0" ref="D6">
      <text>
        <t xml:space="preserve">Enter the Artist's full Spotify URI address or 'NEW' to indicate that the Artist needs a Spotify URI created for them.
Required for Distribution of content where the Artist has one of the following roles: 'Primary - Top', 'Primary - Other', 'Featuring', 'Remixer'</t>
      </text>
    </comment>
    <comment authorId="0" ref="A14">
      <text>
        <t xml:space="preserve">EXACTLY means that EVERYTHING must be the same as your label copy and that any difference will result in creating different labels:
  Rolling Stones Records 
Is not identical to 
  ROLLING STONES REC. LTD.</t>
      </text>
    </comment>
    <comment authorId="0" ref="J20">
      <text>
        <t xml:space="preserve">Product Copyright Holder: the name of the person or entity that owns the exclusive rights to the complete product, including both sound recording and artwork, preceded by the year the rights were obtained. For example: 2008 Acme Inc.</t>
      </text>
    </comment>
    <comment authorId="0" ref="L20">
      <text>
        <t xml:space="preserve">Sound Recording Copyright Holder: the name of the person or entity that owns the exclusive rights to the sound recording, preceded by the year the rights were obtained. For example: 2008 Acme Inc.</t>
      </text>
    </comment>
    <comment authorId="0" ref="B21">
      <text>
        <t xml:space="preserve">URL link to the file on a public server (Google Drive, Dropbox, Azure, S3, etc.) that triggers a direct download of the file when the link is clicked.
Sample download url formats -
[Note: the server's id used for the file is represented as 'ID_CHARS']
Google Drive: 
https://drive.google.com/u/0/uc?id=ID_CHARS&amp;export=download
Dropbox:
https://www.dropbox.com/s/ID_CHARS/FileName?dl=1</t>
      </text>
    </comment>
    <comment authorId="0" ref="C21">
      <text>
        <t xml:space="preserve">image files can only be in jpeg/jpg format</t>
      </text>
    </comment>
    <comment authorId="0" ref="D21">
      <text>
        <t xml:space="preserve">leave blank if no UPC / EAN / JAN yet</t>
      </text>
    </comment>
    <comment authorId="0" ref="E21">
      <text>
        <t xml:space="preserve">1. required if no UPC / EAN / JAN yet
2. alphanumeric (letter or number) characters ONLY (no dashes, spaces, punctuation marks, etc.)
3. at least 3 characters</t>
      </text>
    </comment>
    <comment authorId="0" ref="F21">
      <text>
        <t xml:space="preserve">EXACTLY means that you should respect proper casing and punctuation:
  Exile on Main St. (vs)
  Exile On Main St</t>
      </text>
    </comment>
    <comment authorId="0" ref="G21">
      <text>
        <t xml:space="preserve">The language of the release TITLE; NOT the language of the songs/lyrics.</t>
      </text>
    </comment>
    <comment authorId="0" ref="N21">
      <text>
        <t xml:space="preserve">Can be:
YYYY-MM-DD
YYYY/MM/DD
YYYY MM DD.</t>
      </text>
    </comment>
    <comment authorId="0" ref="A28">
      <text>
        <t xml:space="preserve">leave blank if no UPC / EAN / JAN yet</t>
      </text>
    </comment>
    <comment authorId="0" ref="B28">
      <text>
        <t xml:space="preserve">1. required if no UPC / EAN / JAN yet
2. alphanumeric (letter or number) characters ONLY (no dashes, spaces, punctuation marks, etc.)
3. at least 3 characters</t>
      </text>
    </comment>
    <comment authorId="0" ref="F28">
      <text>
        <t xml:space="preserve">Each Release MUST have ONLY ONE Artist assigned the 'Primary - Top' role.  Any other primary artist should be assigned 'Primary - Other'.</t>
      </text>
    </comment>
    <comment authorId="0" ref="F35">
      <text>
        <t xml:space="preserve">vISRCs MUST be distinct from regular track ISRCs</t>
      </text>
    </comment>
    <comment authorId="0" ref="A36">
      <text>
        <t xml:space="preserve">leave blank if no UPC / EAN / JAN yet</t>
      </text>
    </comment>
    <comment authorId="0" ref="B36">
      <text>
        <t xml:space="preserve">1. required if no UPC / EAN / JAN yet
2. alphanumeric (letter or number) characters ONLY (no dashes, spaces, punctuation marks, etc.)
3. at least 3 characters</t>
      </text>
    </comment>
    <comment authorId="0" ref="F36">
      <text>
        <t xml:space="preserve">No dashes or spaces.
CCXXXYY#####
CC = Country code (2 characters)
XXX = Registrant code (3 characters)
YY = Year of release (2 digits)
##### = Release identifier (5 digits)</t>
      </text>
    </comment>
    <comment authorId="0" ref="G36">
      <text>
        <t xml:space="preserve">1. required if no ISRC or vISRC yet
2. alphanumeric (letter or number) characters ONLY (no dashes, spaces, punctuation marks, etc.)
3. at least 3 characters</t>
      </text>
    </comment>
    <comment authorId="0" ref="H36">
      <text>
        <t xml:space="preserve">EXACTLY means that you should respect proper casing and punctuation:
  Exile on Main St. (vs)
  Exile On Main St</t>
      </text>
    </comment>
    <comment authorId="0" ref="L36">
      <text>
        <t xml:space="preserve">An​ ​original​ ​composition​ ​is​ ​a​ ​track​ ​to​ ​which​ ​you’ve​ ​contributed lyrics​ ​and/or​ ​music,​ ​but​ ​which​ ​does​ ​NOT​ ​borrow​ ​elements from​ ​previously​ ​created​ ​works.
Public​ ​domain​ ​compositions​ ​are​ ​ones​ ​in​ ​which​ ​the intellectual​ ​property​ ​rights​ ​have​ ​expired​ ​or​ ​been​ ​forfeited. This​ ​generally​ ​applies​ ​to​ ​songs​ ​written​ ​before​ ​1923.</t>
      </text>
    </comment>
    <comment authorId="0" ref="M36">
      <text>
        <t xml:space="preserve">Required if distributing content.
FLAC or stereo WAV file.
Minimum bit depth: 16 bit; sample rate: 44.1 kHz
URL link to the file on a public server (Google Drive, Dropbox, Azure, S3, etc.) that triggers a direct download of the file when the link is clicked.
Sample download url formats -
[Note: the server's id used for the file is represented as 'ID_CHARS']
Google Drive: 
https://drive.google.com/u/0/uc?id=ID_CHARS&amp;export=download
Dropbox:
https://www.dropbox.com/s/ID_CHARS/FileName?dl=1</t>
      </text>
    </comment>
    <comment authorId="0" ref="N36">
      <text>
        <t xml:space="preserve">audio file extension
Required if audio URL provided</t>
      </text>
    </comment>
    <comment authorId="0" ref="O36">
      <text>
        <t xml:space="preserve">From where should your track start when people preview it? 
The value must be the number of seconds into the track. Example: 93.</t>
      </text>
    </comment>
    <comment authorId="0" ref="A44">
      <text>
        <t xml:space="preserve">vISRCs MUST be distinct from regular track ISRCs</t>
      </text>
    </comment>
    <comment authorId="0" ref="A45">
      <text>
        <t xml:space="preserve">leave blank if no ISRC yet</t>
      </text>
    </comment>
    <comment authorId="0" ref="B45">
      <text>
        <t xml:space="preserve">1. required if no ISRC or vISRC
2. alphanumeric (letter or number) characters ONLY (no dashes, spaces, punctuation marks, etc.)
3. at least 3 characters</t>
      </text>
    </comment>
    <comment authorId="0" ref="F45">
      <text>
        <t xml:space="preserve">Each Track MUST have ONLY ONE Artist assigned the 'Primary - Top' role.  Any other primary artist should be assigned 'Primary - Other'.</t>
      </text>
    </comment>
    <comment authorId="0" ref="A62">
      <text>
        <t xml:space="preserve">vISRCs MUST be distinct from regular track ISRCs</t>
      </text>
    </comment>
    <comment authorId="0" ref="A63">
      <text>
        <t xml:space="preserve">leave blank if no ISRC yet</t>
      </text>
    </comment>
    <comment authorId="0" ref="B63">
      <text>
        <t xml:space="preserve">1. required if no ISRC or vISRC
2. alphanumeric (letter or number) characters ONLY (no dashes, spaces, punctuation marks, etc.)
3. at least 3 characters</t>
      </text>
    </comment>
    <comment authorId="0" ref="G63">
      <text>
        <t xml:space="preserve">Only positive values up to 100%, total of all Contributors for a track must equal 100%
Maximum decimal places: 
2 in Percent format, e.g. 33.34%; 
or 
4 in Number format, e.g. 0.3334;
If there are 3 Contributors:
33.33%
33.33%
33.34%</t>
      </text>
    </comment>
    <comment authorId="0" ref="H63">
      <text>
        <t xml:space="preserve">Total of all Contributors for a track must equal 100%</t>
      </text>
    </comment>
  </commentList>
</comments>
</file>

<file path=xl/sharedStrings.xml><?xml version="1.0" encoding="utf-8"?>
<sst xmlns="http://schemas.openxmlformats.org/spreadsheetml/2006/main" count="2704" uniqueCount="1694">
  <si>
    <t>INTRODUCTION</t>
  </si>
  <si>
    <t>1)</t>
  </si>
  <si>
    <t>Please make a copy of the master document in order to start filling it out.  Make a copy by going to: File &gt; Make a copy</t>
  </si>
  <si>
    <t>2)</t>
  </si>
  <si>
    <t>Rename this document by replacing "MASTER" with your company name.</t>
  </si>
  <si>
    <t>3)</t>
  </si>
  <si>
    <t xml:space="preserve">Share it with kenny@revelator.com, milan@revelator.com and nicolas.g@revelator.com and provide FULL Edit permissions across the worksheet: </t>
  </si>
  <si>
    <t>go to Data&gt;Protected sheets and ranges&gt;Show all protected ranges&gt;Change permissions to full editing across ALL protected ranges from tabs 1 to 9</t>
  </si>
  <si>
    <t>You can also add anyone else from your team as needed.</t>
  </si>
  <si>
    <t>• Please fill out the catalog insert tabs enumerated in this spreadsheet by following the instructions in the corresponding fields and reading any applicable notes throughout</t>
  </si>
  <si>
    <t>• A black triangle in the top right corner of a cell means that there is a note — mouse over it to read it</t>
  </si>
  <si>
    <t>• If you are importing catalog metadata for reporting purposes only, then you only need to complete fields marked as REQUIRED as well as any UPC/ISRC or ID fields through tab 6</t>
  </si>
  <si>
    <t>Use the 'Sample Data' tab for additional guidance</t>
  </si>
  <si>
    <t>NOTE: Batch importing new catalog from the worksheet is generally not available on an ongoing basis so be sure all releases and tracks for import are included in the worksheet beforehand.</t>
  </si>
  <si>
    <t>After the initial import, adding catalog is meant to be done from the frontend of your account (or with the API if you are on an API plan).  There are liable to be additional fees if the worksheet is to be used for new catalog after the initial import.</t>
  </si>
  <si>
    <t>• We DO NOT support importing files from Google Drive</t>
  </si>
  <si>
    <t>NO DSP sale reports should be uploaded and reporting feeds should NOT be set up until the account's catalog has been finalized, which includes the following steps:</t>
  </si>
  <si>
    <t>• ALL EXISTING catalog content has been imported</t>
  </si>
  <si>
    <r>
      <rPr>
        <rFont val="Arial"/>
        <color rgb="FF172B4D"/>
        <sz val="11.0"/>
      </rPr>
      <t xml:space="preserve">• ALL catalog </t>
    </r>
    <r>
      <rPr>
        <rFont val="Arial"/>
        <b/>
        <color rgb="FF172B4D"/>
        <sz val="11.0"/>
      </rPr>
      <t>Delivery/Ingestion</t>
    </r>
    <r>
      <rPr>
        <rFont val="Arial"/>
        <color rgb="FF172B4D"/>
        <sz val="11.0"/>
      </rPr>
      <t xml:space="preserve"> FEEDS have been DISABLED</t>
    </r>
  </si>
  <si>
    <t>• Existing catalog has been validated (based on catalog export from account)</t>
  </si>
  <si>
    <t>• ALL catalog has been attributed to the proper accounts</t>
  </si>
  <si>
    <t>• ALL catalog fixes and updates have been completed</t>
  </si>
  <si>
    <t>If any DSP sale reports were uploaded or auto-imported before the catalog has been finalized, then the following corrective actions must be taken:</t>
  </si>
  <si>
    <t>• Unapprove and delete ALL DSP sale reports</t>
  </si>
  <si>
    <t>• Delete ALL error matching rules</t>
  </si>
  <si>
    <t>List all Artists to Import</t>
  </si>
  <si>
    <t>EnterpriseId=</t>
  </si>
  <si>
    <t>= REQUIRED FIELD</t>
  </si>
  <si>
    <t>= OPTIONAL FIELD</t>
  </si>
  <si>
    <t>= READ NOTES / INSTRUCTIONS</t>
  </si>
  <si>
    <t>TenantId=</t>
  </si>
  <si>
    <t>Artist Name</t>
  </si>
  <si>
    <t>Artist Image url</t>
  </si>
  <si>
    <t>Apple ArtistId</t>
  </si>
  <si>
    <t>Spotify Artist URI</t>
  </si>
  <si>
    <t>Meta ArtistId</t>
  </si>
  <si>
    <t>SoundCloud ProfileId</t>
  </si>
  <si>
    <t>ISNI</t>
  </si>
  <si>
    <t>Duplicate Names</t>
  </si>
  <si>
    <t>Written EXACTLY
as per label copy</t>
  </si>
  <si>
    <t>public URL triggering DIRECT DOWNLOAD of file</t>
  </si>
  <si>
    <t>Enter Artist's AppleId or 'NEW'=new AppleId</t>
  </si>
  <si>
    <t>Enter Artist's Spotify URI link 
or 'NEW'=new Spotify URI link</t>
  </si>
  <si>
    <t>Facebook Audio Library &amp; Rights Manager ArtistId</t>
  </si>
  <si>
    <t>SoundCloud Artist Username</t>
  </si>
  <si>
    <t>JKZTest</t>
  </si>
  <si>
    <t>https://www.dropbox.com/scl/fi/7safoetk4p2k4vwi29k4c/Receba-789294845633-UPC.jpg?rlkey=3vty6hb78ol10iv3y6h4md8h3&amp;st=m30ox0p4&amp;dl=1</t>
  </si>
  <si>
    <t>spotify:artist:1Gn8eEXtOWHA7XU8wEWXOb</t>
  </si>
  <si>
    <t>0000000121032683</t>
  </si>
  <si>
    <t/>
  </si>
  <si>
    <t>Flash Beats ManowTest</t>
  </si>
  <si>
    <t>https://www.dropbox.com/scl/fi/wky0ryb739s0xs3wo5qop/A-Cl-usula-do-Contrato-789294962088-UPC.jpg?rlkey=91bp85llgb8ho5lnfcs56105s&amp;st=dn12pxrd&amp;dl=1</t>
  </si>
  <si>
    <t>spotify:artist:0ZIlwtVZkqtMZUpbHrz8TL</t>
  </si>
  <si>
    <t>Various Artists</t>
  </si>
  <si>
    <t>List all Labels to Import</t>
  </si>
  <si>
    <t>Label Name</t>
  </si>
  <si>
    <t>TokyoRecordsFULLTEST</t>
  </si>
  <si>
    <t>PEJOTA10*FULLTEST</t>
  </si>
  <si>
    <t>= OPTIONAL</t>
  </si>
  <si>
    <t>RELEASE LEVEL - Label&lt;&gt;UPC/ID</t>
  </si>
  <si>
    <t>LABEL</t>
  </si>
  <si>
    <t>COVER IMAGE URL</t>
  </si>
  <si>
    <t>IMAGE TYPE</t>
  </si>
  <si>
    <t>UPC / EAN / JAN</t>
  </si>
  <si>
    <t>CATALOG RELEASE ID</t>
  </si>
  <si>
    <t>RELEASE TITLE</t>
  </si>
  <si>
    <t>TITLE LANGUAGE</t>
  </si>
  <si>
    <t>RELEASE VERSION</t>
  </si>
  <si>
    <t>RELEASE TYPE</t>
  </si>
  <si>
    <t>(P) Copyright</t>
  </si>
  <si>
    <t>(C) Copyright</t>
  </si>
  <si>
    <t>ORIGINAL
RELEASE DATE</t>
  </si>
  <si>
    <t>GENRE 1</t>
  </si>
  <si>
    <t>GENRE 2</t>
  </si>
  <si>
    <t>(select from Labels list, start typing or drag)</t>
  </si>
  <si>
    <r>
      <rPr>
        <rFont val="Arial"/>
        <color theme="1"/>
      </rPr>
      <t xml:space="preserve">public URL triggering DIRECT DOWNLOAD of file (10 MB max)
</t>
    </r>
    <r>
      <rPr>
        <rFont val="Arial"/>
        <i/>
        <color theme="1"/>
      </rPr>
      <t>required if distributing content</t>
    </r>
  </si>
  <si>
    <t>jpeg /
jpg
ONLY</t>
  </si>
  <si>
    <r>
      <rPr>
        <rFont val="Arial"/>
        <color theme="1"/>
      </rPr>
      <t xml:space="preserve">UPC: 12 digits
EAN: 13 digits
</t>
    </r>
    <r>
      <rPr>
        <rFont val="Arial"/>
        <i/>
        <color theme="1"/>
      </rPr>
      <t>blank if no code yet</t>
    </r>
  </si>
  <si>
    <r>
      <rPr>
        <rFont val="Arial"/>
        <color theme="1"/>
      </rPr>
      <t xml:space="preserve">Internal Ref. ID
</t>
    </r>
    <r>
      <rPr>
        <rFont val="Arial"/>
        <i/>
        <color theme="1"/>
      </rPr>
      <t>required if no code yet</t>
    </r>
  </si>
  <si>
    <t>Written EXACTLY as per label copy
(no version, type or contributor info)</t>
  </si>
  <si>
    <t>(select from list, start 
typing or drag)</t>
  </si>
  <si>
    <t>If applicable</t>
  </si>
  <si>
    <t>(select from list, start typing or drag)</t>
  </si>
  <si>
    <t>Year</t>
  </si>
  <si>
    <t>Holder</t>
  </si>
  <si>
    <t xml:space="preserve">YYYY-MM-DD
</t>
  </si>
  <si>
    <t xml:space="preserve">
(select from list, start typing or drag)</t>
  </si>
  <si>
    <t>jpg</t>
  </si>
  <si>
    <t>Receba</t>
  </si>
  <si>
    <t>Portuguese</t>
  </si>
  <si>
    <t>Extended</t>
  </si>
  <si>
    <t>Single</t>
  </si>
  <si>
    <t>TokyoP</t>
  </si>
  <si>
    <t>TokyoC</t>
  </si>
  <si>
    <t>Hip Hop/Rap</t>
  </si>
  <si>
    <t>African Reggae</t>
  </si>
  <si>
    <t>A Cláusula do Contrato</t>
  </si>
  <si>
    <t>PEJOTAP</t>
  </si>
  <si>
    <t>PEJOTAC</t>
  </si>
  <si>
    <t>= FILLED AUTOMATICALLY IF CODES/IDS MATCH</t>
  </si>
  <si>
    <t>RELEASE LEVEL - Artist&lt;&gt;UPC/ID : One Arist per row.  If a Release has multiple Artists, add the same Release Code/ID to a new row for each Artist.</t>
  </si>
  <si>
    <t>ARTIST</t>
  </si>
  <si>
    <t>ARTIST ROLE</t>
  </si>
  <si>
    <t>ARTIST ROLE
CATEGORY</t>
  </si>
  <si>
    <t>from Release_Label tab</t>
  </si>
  <si>
    <t>auto-fills if Release Code/Id matches 
Code/Id in Release_Label tab</t>
  </si>
  <si>
    <r>
      <rPr>
        <rFont val="Arial"/>
        <color theme="1"/>
        <sz val="10.0"/>
      </rPr>
      <t xml:space="preserve">ONE ARTIST PER ROW
select from Artists list, start typing or drag
</t>
    </r>
    <r>
      <rPr>
        <rFont val="Arial"/>
        <i/>
        <color theme="1"/>
        <sz val="10.0"/>
      </rPr>
      <t>If compilation: Various Artists</t>
    </r>
  </si>
  <si>
    <t>artist category auto-fills based on artist role</t>
  </si>
  <si>
    <t>Main Primary Artist</t>
  </si>
  <si>
    <t>Producer</t>
  </si>
  <si>
    <t>Engineer</t>
  </si>
  <si>
    <t>sort(if(countif($A$5:$A&amp;$B$5:$B,'3) Release_Label'!$D$5:$D&amp;'3) Release_Label'!$E$5:$E)=0,'3) Release_Label'!$D$5:$D&amp;" "&amp;'3) Release_Label'!$E$5:$E,))</t>
  </si>
  <si>
    <t>sort(if(countif({A5:A,B5:B},{'3) Release_Label'!D5:D,'3) Release_Label'!E5:E})=0,{'3) Release_Label'!D5:D,'3) Release_Label'!E5:E},))</t>
  </si>
  <si>
    <t>sort(if(countif(filter($A:$B,$F:$F="Main Primary Artist"),'3) Release_Label'!$D$5:$E)=0,'3) Release_Label'!$D$5:$E,))</t>
  </si>
  <si>
    <t>sort(if(countif(filter($A:$B,$F:$F="Main Primary Artist"),'3) Release_Label'!$D$5:$E)&gt;1,'3) Release_Label'!$D$5:$E,))</t>
  </si>
  <si>
    <t>TRACK LEVEL - UPC/ID&lt;&gt;ISRC/ID</t>
  </si>
  <si>
    <t>TRACK</t>
  </si>
  <si>
    <t>ISRC/vISRC</t>
  </si>
  <si>
    <t>CATALOG TRACK ID</t>
  </si>
  <si>
    <t>TRACK TITLE</t>
  </si>
  <si>
    <t>TRACK VERSION</t>
  </si>
  <si>
    <t>LANGUAGE OF LYRICS</t>
  </si>
  <si>
    <t>EXPLICIT</t>
  </si>
  <si>
    <t>TYPE</t>
  </si>
  <si>
    <t>AUDIO FILE URL</t>
  </si>
  <si>
    <t>AUDIO TYPE</t>
  </si>
  <si>
    <t>TRACK PREVIEW</t>
  </si>
  <si>
    <t>COMPOSITION
 ISWC</t>
  </si>
  <si>
    <t>NUMBER</t>
  </si>
  <si>
    <r>
      <rPr>
        <rFont val="Arial"/>
        <color theme="1"/>
        <sz val="9.0"/>
      </rPr>
      <t xml:space="preserve">CCXXXYY#####
</t>
    </r>
    <r>
      <rPr>
        <rFont val="Arial"/>
        <i/>
        <color theme="1"/>
        <sz val="9.0"/>
      </rPr>
      <t>blank if no ISRC yet</t>
    </r>
  </si>
  <si>
    <r>
      <rPr>
        <rFont val="Arial"/>
        <color theme="1"/>
      </rPr>
      <t xml:space="preserve">Internal Ref. ID </t>
    </r>
    <r>
      <rPr>
        <rFont val="Arial"/>
        <i/>
        <color theme="1"/>
      </rPr>
      <t>required if no ISRC/vISRC</t>
    </r>
  </si>
  <si>
    <r>
      <rPr>
        <rFont val="Arial"/>
        <color theme="1"/>
        <sz val="10.0"/>
      </rPr>
      <t xml:space="preserve">(select from list, start 
typing or drag)
</t>
    </r>
    <r>
      <rPr>
        <rFont val="Arial"/>
        <i/>
        <color theme="1"/>
        <sz val="10.0"/>
      </rPr>
      <t>If no lyrics, select Instrumental</t>
    </r>
  </si>
  <si>
    <t>YES / NO</t>
  </si>
  <si>
    <t>Original / 
Public Domain</t>
  </si>
  <si>
    <t>public URL MUST trigger audio file DOWNLOAD</t>
  </si>
  <si>
    <t>wav /
flac
ONLY</t>
  </si>
  <si>
    <t>Preview Start Time (in seconds)</t>
  </si>
  <si>
    <t>QZW9M2221000</t>
  </si>
  <si>
    <t>NO</t>
  </si>
  <si>
    <t>Original</t>
  </si>
  <si>
    <t>https://www.dropbox.com/scl/fi/sjv55c5eqq0utzgy15ojq/Joy-Mejia-Amarte-Es-Mi-Pasatiempo.wav?rlkey=6j5ruxil4gc3vxonuf8ownxvi&amp;st=8kysye3f&amp;dl=1</t>
  </si>
  <si>
    <t>flac</t>
  </si>
  <si>
    <t>T-123.456.789-0</t>
  </si>
  <si>
    <t>QZW9M2236571</t>
  </si>
  <si>
    <t>https://www.dropbox.com/scl/fi/ncgo2nf5srfafm0odhequ/Joy-Mejia-Te-Fall.wav?rlkey=6jl64vr3v0w4tn6km1sbhlxux&amp;st=um08pokf&amp;dl=1</t>
  </si>
  <si>
    <t>TRACK LEVEL - Artist&lt;&gt;ISRC/ID: One Arist per row.  If a Track has multiple Artists, add the same Track ISRC/ID to a new row for each Artist.</t>
  </si>
  <si>
    <t>from Release_Track tab</t>
  </si>
  <si>
    <t>auto-fills if Track Code/Id matches 
Code/Id in Release_Track tab</t>
  </si>
  <si>
    <t>ONE ARTIST PER ROW
select from Artists list, start typing or drag</t>
  </si>
  <si>
    <t>if(A5&lt;&gt;"",countif('5) Release_Track'!F:F,A5),countif('5) Release_Track'!G:G,B5))</t>
  </si>
  <si>
    <t>sort(if(countif($A$5:$A&amp;$B$5:$B,'5) Release_Track'!$F$5:$F&amp;'5) Release_Track'!$G$5:$G)=0,'5) Release_Track'!$F$5:$F&amp;" "&amp;'5) Release_Track'!$G$5:$G,))</t>
  </si>
  <si>
    <t>IF(NOT(ISBLANK(A5)),COUNTIF('5) Release_Track'!F:F,A5),COUNTIF('5) Release_Track'!G:G,B5))</t>
  </si>
  <si>
    <t>sort(if(countif(filter($A:$B,$F:$F="Main Primary Artist"),'5) Release_Track'!$F$5:$G)=0,'5) Release_Track'!$F$5:$G,))</t>
  </si>
  <si>
    <t>sort(if(countif(filter($A:$B,$G:$G="Producer &amp; Engineer"),'5) Release_Track'!$F$5:$G)=0,'5) Release_Track'!$F$5:$G,))</t>
  </si>
  <si>
    <t>sort(if(countif(filter($A:$B,$F:$F="Main Primary Artist"),'5) Release_Track'!$F$5:$G)&gt;1,'5) Release_Track'!$F$5:$G,))</t>
  </si>
  <si>
    <t>List all Composition Parties to Import</t>
  </si>
  <si>
    <t>List all Compostion Publishers to Import</t>
  </si>
  <si>
    <t>Composition Contributor</t>
  </si>
  <si>
    <t>Contributor Country</t>
  </si>
  <si>
    <t>IPI/CAE</t>
  </si>
  <si>
    <t>Publisher Name</t>
  </si>
  <si>
    <t>Publisher Country</t>
  </si>
  <si>
    <t>Must be a person's LEGAL NAME 
(first and last name)</t>
  </si>
  <si>
    <t>Only publishers that manage compositions.
Do not include publishers that are self-publishing.</t>
  </si>
  <si>
    <t>Agnaldo Paulino de Jesus Júnior</t>
  </si>
  <si>
    <t>Brazil</t>
  </si>
  <si>
    <t>00006718449</t>
  </si>
  <si>
    <t>SONY ATV</t>
  </si>
  <si>
    <t>00006718450</t>
  </si>
  <si>
    <t>Jackson Bertholdo Dos Santos</t>
  </si>
  <si>
    <t>WARNER CHAPPEL</t>
  </si>
  <si>
    <t>TRACK LEVEL - Composition&lt;&gt;ISRC/ID: One composition Contributor per row.  If a Track has multiple Contributors, add the same Track ISRC/ID to a new row for each Contributor.</t>
  </si>
  <si>
    <t>LYRICS
LANGUAGE</t>
  </si>
  <si>
    <t>COMPOSITION CONTRIBUTOR</t>
  </si>
  <si>
    <t>ROLE</t>
  </si>
  <si>
    <t>SHARE%</t>
  </si>
  <si>
    <t>TOTAL%</t>
  </si>
  <si>
    <t>PUBLISHING</t>
  </si>
  <si>
    <t>PUBLISHER</t>
  </si>
  <si>
    <t>(select from Comp Contributors list, start typing or drag)</t>
  </si>
  <si>
    <t>read note</t>
  </si>
  <si>
    <t>auto sums</t>
  </si>
  <si>
    <t>fill out ONLY when 'Published' selected</t>
  </si>
  <si>
    <t>Composer &amp; Lyricist</t>
  </si>
  <si>
    <t>Copyright control (self-published)</t>
  </si>
  <si>
    <t>Published (managed by a publisher)</t>
  </si>
  <si>
    <t>TRACK LEVEL - Special Audio Properties&lt;&gt;ISRC/ID: Relates to the track's recording, meaning its master metadata.  (Multiple options can be selected for each track)</t>
  </si>
  <si>
    <t>SPECIAL AUDIO PROPERTIES</t>
  </si>
  <si>
    <t>REMIX or 
DERIVATIVE</t>
  </si>
  <si>
    <t>SAMPLES
or STOCK</t>
  </si>
  <si>
    <t>MIx or 
COMPILATION</t>
  </si>
  <si>
    <t>ALTERNATE 
VERSION</t>
  </si>
  <si>
    <t>SPECIAL
GENRE</t>
  </si>
  <si>
    <t>NON MUSICAL
CONTENT</t>
  </si>
  <si>
    <t>INCLUDES
 AI</t>
  </si>
  <si>
    <t>NONE APPLY</t>
  </si>
  <si>
    <t>DO NOT REMOVE THESE COLUMNS</t>
  </si>
  <si>
    <t>GENRES</t>
  </si>
  <si>
    <t>Genre ID</t>
  </si>
  <si>
    <t>Language</t>
  </si>
  <si>
    <t>Language ID</t>
  </si>
  <si>
    <t>Track Type</t>
  </si>
  <si>
    <t>Track Type ID</t>
  </si>
  <si>
    <t>RightsName</t>
  </si>
  <si>
    <t>RightsId</t>
  </si>
  <si>
    <t>Composition Role</t>
  </si>
  <si>
    <t>Track Properties</t>
  </si>
  <si>
    <t>TrackRecordingFileFormats</t>
  </si>
  <si>
    <t>Country</t>
  </si>
  <si>
    <t>This genre list is the same as the one used by iTunes/Apple Music. If you wish to use a genre that isn't listed, please select the closest match.</t>
  </si>
  <si>
    <t>Album</t>
  </si>
  <si>
    <t>Acoustic Blues</t>
  </si>
  <si>
    <t>Abkhazian</t>
  </si>
  <si>
    <t>Cover</t>
  </si>
  <si>
    <t>Adaptor</t>
  </si>
  <si>
    <t>Remix or Derivative</t>
  </si>
  <si>
    <t>wav</t>
  </si>
  <si>
    <t>Afghanistan</t>
  </si>
  <si>
    <t>Subgenres can also be used as genres.</t>
  </si>
  <si>
    <t>EP</t>
  </si>
  <si>
    <t>Adult Alternative</t>
  </si>
  <si>
    <t>-- KEY ARTIST --</t>
  </si>
  <si>
    <t>Afar</t>
  </si>
  <si>
    <t>Arranger</t>
  </si>
  <si>
    <t>Samples or Stock</t>
  </si>
  <si>
    <t>Aland Islands</t>
  </si>
  <si>
    <t>Genres</t>
  </si>
  <si>
    <t>Subgenre</t>
  </si>
  <si>
    <t>Adult Contemporary</t>
  </si>
  <si>
    <t>Primary Artist</t>
  </si>
  <si>
    <t>Afrikaans</t>
  </si>
  <si>
    <t>Public domain</t>
  </si>
  <si>
    <t>Public domain (no publisher)</t>
  </si>
  <si>
    <t>Composer</t>
  </si>
  <si>
    <t>Mix or Compilation</t>
  </si>
  <si>
    <t>mp3</t>
  </si>
  <si>
    <t>Albania</t>
  </si>
  <si>
    <t>Name</t>
  </si>
  <si>
    <t>Keywords</t>
  </si>
  <si>
    <t>Video</t>
  </si>
  <si>
    <t>African</t>
  </si>
  <si>
    <t>Featuring</t>
  </si>
  <si>
    <t>Akan</t>
  </si>
  <si>
    <t>Undeclared</t>
  </si>
  <si>
    <t>Alternate Version</t>
  </si>
  <si>
    <t>Algeria</t>
  </si>
  <si>
    <t>|Africa|Morocco|</t>
  </si>
  <si>
    <t>Ringtone</t>
  </si>
  <si>
    <t>African Dancehall</t>
  </si>
  <si>
    <t>Remixer</t>
  </si>
  <si>
    <t>Albanian</t>
  </si>
  <si>
    <t>Income Participant</t>
  </si>
  <si>
    <t>Special Genre</t>
  </si>
  <si>
    <t>American Samoa</t>
  </si>
  <si>
    <t>Alternative</t>
  </si>
  <si>
    <t>|00s Alternative|10s Alternative|80s Alternative|90s Alternative|Alt-Rock|Alt. Rock|Alternative Rock|Alternative-Rock|</t>
  </si>
  <si>
    <t>Britpop</t>
  </si>
  <si>
    <t>|Brit-Pop|Brit Pop|Brit Pop/Brit Rock|</t>
  </si>
  <si>
    <t>With</t>
  </si>
  <si>
    <t>Amharic</t>
  </si>
  <si>
    <t>Lyricist</t>
  </si>
  <si>
    <t>Non-Musical Content</t>
  </si>
  <si>
    <t>Americas</t>
  </si>
  <si>
    <t>Anime</t>
  </si>
  <si>
    <t>|Cartoon Music|</t>
  </si>
  <si>
    <t>French Pop</t>
  </si>
  <si>
    <t>|French|Variete Francaise|French Rock|</t>
  </si>
  <si>
    <t>-- PRODUCER &amp; ENGINEER --</t>
  </si>
  <si>
    <t>Arabic</t>
  </si>
  <si>
    <t>Sub Arranger</t>
  </si>
  <si>
    <t>Includes AI</t>
  </si>
  <si>
    <t>Andorra</t>
  </si>
  <si>
    <t>|Arabic Belly-Dance|Arabic Children|Arabic Classic|Arabic Dance|Arabic Folklore|Arabic Rock|Arabic Romantic|Middle East|Middle Eastern|Pakistan|Rai|</t>
  </si>
  <si>
    <t>German Pop</t>
  </si>
  <si>
    <t>|German|German Rock|</t>
  </si>
  <si>
    <t>Afro House</t>
  </si>
  <si>
    <t>Aragonese</t>
  </si>
  <si>
    <t>Sub-Author</t>
  </si>
  <si>
    <t>Angola</t>
  </si>
  <si>
    <t>Blues</t>
  </si>
  <si>
    <t>|Blues Revival|Boogie Woogie|Harmonica Blues|Juke Joint Blues|Jump-Blues|New Orleans R&amp;B|Piano Blues|Piedmont Blues|Pre-War|Songster|Texas Blues|Traditional Blues|Urban Blues|Vaudeville Blues|Work Song|</t>
  </si>
  <si>
    <t>Indo Pop</t>
  </si>
  <si>
    <t>|Indo|</t>
  </si>
  <si>
    <t>Afro Soul</t>
  </si>
  <si>
    <t>Art Direction</t>
  </si>
  <si>
    <t>Armenian</t>
  </si>
  <si>
    <t>Translator</t>
  </si>
  <si>
    <t>Anguilla</t>
  </si>
  <si>
    <t>Brazilian</t>
  </si>
  <si>
    <t>|Afro|Afro Brazilian|Afro-Brazilian|Baiao|Boi Bumba|Bossa Nova|Brazil|Brazilian|Brazilian Afro|Brazilian Alternative/Indie|Brazilian Blues|Brazilian Boi Bumba|Brazilian Brega|Brazilian Caipira|Brazilian Candomble|Brazilian Capoiera|Brazilian Children's|Brazilian Children’s|Brazilian Christian|Brazilian Classical|Brazilian Gaucho|Brazilian Hip Hop|Brazilian Hip-Hop|Brazilian Instrumental|Brazilian Jovem Guarda|Brazilian Mangue Beat/Pernambuco|Brazilian Metal|Brazilian Pop|Brazilian Reggae|Brazilian Regional|Brazilian Rock|Brazilian Soul|Brazilian Spoken Word|Brazilian Tropicalia|Brazilian-Afro|Brazilian-Boi Bumba|Brazilian-Brega|Brazilian-Caipira|Brazilian-Candomble|Brazilian-Capoiera|Brazilian-Children's|Brazilian-Children’s|Brazilian-Christian|Brazilian-Classical|Brazilian-Gaucho|Brazilian-Instrumental|Brazilian-Jovem Guarda|Brazilian-Mangue Beat/Pernambuco|Brazilian-Regional|Brazilian-Spoken Word|Brazilian-Tropicalia|Brega|Caipira|Candomble|Capoiera|Funk Carioca|Gaucho|Jovem Guarda|Mangue Beat/Pernambuco|Musica Religiosa|Pop Brasileiro|Tropicalia|</t>
  </si>
  <si>
    <t>J-Pop</t>
  </si>
  <si>
    <t>Afro-Beat</t>
  </si>
  <si>
    <t>Artwork</t>
  </si>
  <si>
    <t>Assamese</t>
  </si>
  <si>
    <t>Writer</t>
  </si>
  <si>
    <t>Antarctica</t>
  </si>
  <si>
    <t>Children's Music</t>
  </si>
  <si>
    <t>|Ancient Tales|Children's|Children’s|Children's Classical|Children’s Classical|Circus|Educational|Horspiele Fur Kinder|Kindermusik|Portuguese Children's Music|Portuguese Children’s Music|Rhymes/Fairytales|Spanish Children's Music|Spanish Children’s Music|</t>
  </si>
  <si>
    <t>Kayokyoku</t>
  </si>
  <si>
    <t>Afro-Pop</t>
  </si>
  <si>
    <t>Assistant Director</t>
  </si>
  <si>
    <t>Avaric</t>
  </si>
  <si>
    <t>Antigua and Barbuda</t>
  </si>
  <si>
    <t>Chinese</t>
  </si>
  <si>
    <t>|Chinese Children's|Chinese Children’s|Chinese Comedy|Chinese Electrical|Chinese Instrumental|Chinese R&amp;B|Chinese Singer/Songwriter|Chinese Soundtrack|Chinese Soundtracks|Chinese Spoken Word|Chinese Vocalist|</t>
  </si>
  <si>
    <t>Malaysian Pop</t>
  </si>
  <si>
    <t>Afro-folk</t>
  </si>
  <si>
    <t>Assistant Mastering Engineer</t>
  </si>
  <si>
    <t>Avestan</t>
  </si>
  <si>
    <t>Argentina</t>
  </si>
  <si>
    <t>Christian &amp; Gospel</t>
  </si>
  <si>
    <t>|Alt Contemporary Christian|Christian|Christian/Gospel|Contemporary Christian|</t>
  </si>
  <si>
    <t>Mandopop</t>
  </si>
  <si>
    <t>|Mandarin Pop|Mandarin-Pop|</t>
  </si>
  <si>
    <t>Afro-fusion</t>
  </si>
  <si>
    <t>Assistant Mixing Engineer</t>
  </si>
  <si>
    <t>Aymara</t>
  </si>
  <si>
    <t>Armenia</t>
  </si>
  <si>
    <t>Classical</t>
  </si>
  <si>
    <t>|Ballet|Classical Period|Classical Sacred|Zarzuela|</t>
  </si>
  <si>
    <t>Manilla Sound</t>
  </si>
  <si>
    <t>Afrobeats</t>
  </si>
  <si>
    <t>Assistant Producer</t>
  </si>
  <si>
    <t>Azerbaijani</t>
  </si>
  <si>
    <t>Aruba</t>
  </si>
  <si>
    <t>Comedy</t>
  </si>
  <si>
    <t>|Blue Humor|Christian Comedy|Ethnic Comedy|Gay Comedy|Musical Comedy|Observational Humor|Political Humor|Prank Calls|Radio Comedy|Satire|Sketch Comedy|Standup|</t>
  </si>
  <si>
    <t>Oldies</t>
  </si>
  <si>
    <t>Alte</t>
  </si>
  <si>
    <t>Assistant Recording Engineer</t>
  </si>
  <si>
    <t>Bambara</t>
  </si>
  <si>
    <t>Australia</t>
  </si>
  <si>
    <t>|Classic Country|Country Boogie|Country Folk|Country Pop|Country-Pop|Country Singer-Songwriter|Country Singer/Songwriter|Live Country|Nashville Sound/Countrypolitan|Old-Timey|String Bands|Western Swing|Yodeling|</t>
  </si>
  <si>
    <t>Original Pilipino Music</t>
  </si>
  <si>
    <t>Assistant Sound Engineer</t>
  </si>
  <si>
    <t>Bashkir</t>
  </si>
  <si>
    <t>Austria</t>
  </si>
  <si>
    <t>Cuban</t>
  </si>
  <si>
    <t>|Cuba|</t>
  </si>
  <si>
    <t>Pinoy Pop</t>
  </si>
  <si>
    <t>Alternative &amp; Rock in Spanish</t>
  </si>
  <si>
    <t>Co-Producer</t>
  </si>
  <si>
    <t>Basque</t>
  </si>
  <si>
    <t>Azerbaijan</t>
  </si>
  <si>
    <t>Dance</t>
  </si>
  <si>
    <t>|Abstract|Acid Jazz|Acid-Jazz|Big Beat|Chill|Chill Out|Club/Dance|Dance Compilations|Dance Crossover|Dark|Dark Wave|DJ|DJ Mix|Euro-Beat|Euro-Dance|Dance/Electronic|Freestyle|Funky Breaks|Future Pop-Synth|Gabba|Glitch|Global Groove|Gloom Wave|Groove|Illbient|Newbeat|Nu Breaks|Nu-Jazz/Broken Beat|Psychedelic|Rave|Remix|Space|Tribal|Trip Hop|</t>
  </si>
  <si>
    <t>Pop/Rock</t>
  </si>
  <si>
    <t>Alternative Country</t>
  </si>
  <si>
    <t>Cover Art</t>
  </si>
  <si>
    <t>Belarusian</t>
  </si>
  <si>
    <t>Bahamas</t>
  </si>
  <si>
    <t>Disney</t>
  </si>
  <si>
    <t>Shows</t>
  </si>
  <si>
    <t>Alternative Folk</t>
  </si>
  <si>
    <t>Creative Director</t>
  </si>
  <si>
    <t>Bengali</t>
  </si>
  <si>
    <t>Bahrain</t>
  </si>
  <si>
    <t>Easy Listening</t>
  </si>
  <si>
    <t>Soft Rock</t>
  </si>
  <si>
    <t>Alternative Rap</t>
  </si>
  <si>
    <t>Bhojpuri</t>
  </si>
  <si>
    <t>Bangladesh</t>
  </si>
  <si>
    <t>Electronic</t>
  </si>
  <si>
    <t>|Electro|Electro Dark|Electroclash|Electropop|Electronic 12-inches|Electronic Dub|</t>
  </si>
  <si>
    <t>Tai-Pop</t>
  </si>
  <si>
    <t>|Tai|</t>
  </si>
  <si>
    <t>Amapiano</t>
  </si>
  <si>
    <t>Executive Producer</t>
  </si>
  <si>
    <t>Barbados</t>
  </si>
  <si>
    <t>Fitness &amp; Workout</t>
  </si>
  <si>
    <t>|Exercise|</t>
  </si>
  <si>
    <t>Teen Pop</t>
  </si>
  <si>
    <t>|Teen|</t>
  </si>
  <si>
    <t>Ambient</t>
  </si>
  <si>
    <t>Illustration</t>
  </si>
  <si>
    <t>Bihari languages</t>
  </si>
  <si>
    <t>Belarus</t>
  </si>
  <si>
    <t>Folk</t>
  </si>
  <si>
    <t>|Modern Folk|Neo Folk|Neo-Folk|</t>
  </si>
  <si>
    <t>Thai Pop</t>
  </si>
  <si>
    <t>|Thai|</t>
  </si>
  <si>
    <t>American Trad Rock</t>
  </si>
  <si>
    <t>Mastering Engineer</t>
  </si>
  <si>
    <t>Bislama</t>
  </si>
  <si>
    <t>Belgium</t>
  </si>
  <si>
    <t>|00s Hip-Hop|10s Hip-Hop|80s Hip-Hop|90s Hip-Hop|A Cappellas|Beats &amp; Breaks|Comedy Rap|Electro-Funk|Foreign Language Rap|French Hip-Hop|German Hip-Hop|Grime|Hip-Hop Hitmakers|Hip-Hop/Rap|Indie/Underground Hip-Hop|Instrumental Hip-Hop|International Hip-Hop|Italian Hip-Hop|Midwest Hip-Hop|New Jack Swing|Southern Hip-Hop|Turntablism|UK Hip-Hop|</t>
  </si>
  <si>
    <t>|Adult Alternative Pop/Rock|Adult Contemporary|Commercial Alternative|</t>
  </si>
  <si>
    <t>Americana</t>
  </si>
  <si>
    <t>Mixer</t>
  </si>
  <si>
    <t>Bosnian</t>
  </si>
  <si>
    <t>Belize</t>
  </si>
  <si>
    <t>Holiday</t>
  </si>
  <si>
    <t>|Buddhist|Hindu|Kwaanza|Muslim|Zorastrian|Holiday: Other|Holiday - Other|Holiday Other|</t>
  </si>
  <si>
    <t>|Americana|</t>
  </si>
  <si>
    <t>Mixing Engineer</t>
  </si>
  <si>
    <t>Breton</t>
  </si>
  <si>
    <t>Benin</t>
  </si>
  <si>
    <t>Indian</t>
  </si>
  <si>
    <t>|Indian DJ|Indian-DJ|Indian-Fusion|Indian Fusion|</t>
  </si>
  <si>
    <t>Arena Rock</t>
  </si>
  <si>
    <t>|Arena|</t>
  </si>
  <si>
    <t>Arabesque</t>
  </si>
  <si>
    <t>Package Design</t>
  </si>
  <si>
    <t>Bulgarian</t>
  </si>
  <si>
    <t>Bermuda</t>
  </si>
  <si>
    <t>Indian Classical</t>
  </si>
  <si>
    <t>Blues-Rock</t>
  </si>
  <si>
    <t>|Blues Rock|</t>
  </si>
  <si>
    <t>Photographer</t>
  </si>
  <si>
    <t>Burmese</t>
  </si>
  <si>
    <t>Bhutan</t>
  </si>
  <si>
    <t>Inspirational</t>
  </si>
  <si>
    <t>British Invasion</t>
  </si>
  <si>
    <t>Arabic Pop</t>
  </si>
  <si>
    <t>Post-Production</t>
  </si>
  <si>
    <t>Cantonese</t>
  </si>
  <si>
    <t>Bolivia</t>
  </si>
  <si>
    <t>Instrumental</t>
  </si>
  <si>
    <t>Death Metal/Black Metal</t>
  </si>
  <si>
    <t>|Black|Black/Death Metal|Death|Doom|Doom Metal|</t>
  </si>
  <si>
    <t>Production Assistant</t>
  </si>
  <si>
    <t>Catalan</t>
  </si>
  <si>
    <t>Bonaire, Sint Eustatius and Saba</t>
  </si>
  <si>
    <t>Jazz</t>
  </si>
  <si>
    <t>|African Jazz|Bop|Brass Bands|Cabaret|Classic Jazz|Electronic Jazz|Free Jazz|Funk Jazz|Jazz/Blues|Jazz Vocals|Jive|Live Jazz|Post-Bop|Progressive Jazz|Soul Jazz|</t>
  </si>
  <si>
    <t>Glam Rock</t>
  </si>
  <si>
    <t>|Glam|</t>
  </si>
  <si>
    <t>Art Song</t>
  </si>
  <si>
    <t>Recording Engineer</t>
  </si>
  <si>
    <t>Central Khmer</t>
  </si>
  <si>
    <t>Bosnia and Herzegovina</t>
  </si>
  <si>
    <t>Karaoke</t>
  </si>
  <si>
    <t>Hair Metal</t>
  </si>
  <si>
    <t>|Hair Band|</t>
  </si>
  <si>
    <t>Asia</t>
  </si>
  <si>
    <t>Sound Editor</t>
  </si>
  <si>
    <t>Chamorro</t>
  </si>
  <si>
    <t>Botswana</t>
  </si>
  <si>
    <t>Korean</t>
  </si>
  <si>
    <t>|Korean Ballads|Korean CCM|Korean Children's Music|Korean Dance/Electronic|Korean OST|Korean R&amp;B|Korean Religion|Korean Trot|</t>
  </si>
  <si>
    <t>Hard Rock</t>
  </si>
  <si>
    <t>Sound Engineer</t>
  </si>
  <si>
    <t>Chechen</t>
  </si>
  <si>
    <t>Bouvet Island</t>
  </si>
  <si>
    <t>Latin</t>
  </si>
  <si>
    <t>|Afro-Cuban|Afro-Peruvian|Argentine Folklore|Bachata|Banda|Big Band Latino|Bomba|Can|Candombe|Cantautor|Caribbean|Cha Cha Cha|Conjunto|Copla|Cuatro|Cumbia|Danzon|Guaganco|Italian|Jibaro|Latin Folk|Latin Music|Latin Soul|Mariachi|Merengue|Norte|Nueva Canci|Pachanga|Piena|Quechua|Ranchero|Rumba|Son|Spanish|Tejano|Toque|Trova|Vallenato|</t>
  </si>
  <si>
    <t>Heavy Metal</t>
  </si>
  <si>
    <t>|70's Metal|70’s Metal|80's Metal|80’s Metal|90's Metal|90’s Metal|Alt Metal|British Metal|Classic Metal|Funk Metal|Glitter|Goth-Metal|Grindcore|Guitar Virtuoso|Heavy|Industrial Metal|Instrumental Metal|Metal|Metal/Punk|Metalcore|Neo-Classical Metal|New Wave of British Heavy Metal|Pop-Metal|Pop Metal|Power Metal|Progressive Metal|Punk Metal|Rap Metal|Scandinavian Metal|Sludge|Sludge Metal|Speed|Speedcore|Speed Metal|Stoner Metal|Stoner Rock|Straight-Edge|Teenager|Thrash|Thrash/Speed Metal|</t>
  </si>
  <si>
    <t>Tonmeister</t>
  </si>
  <si>
    <t>Chichewa</t>
  </si>
  <si>
    <t>Marching Bands</t>
  </si>
  <si>
    <t>Jam Bands</t>
  </si>
  <si>
    <t>|Jam Band|Jam Rock|</t>
  </si>
  <si>
    <t>Avant-Garde</t>
  </si>
  <si>
    <t>Vocal Producer</t>
  </si>
  <si>
    <t>Chinese Simplified</t>
  </si>
  <si>
    <t>British Indian Ocean Territory</t>
  </si>
  <si>
    <t>New Age</t>
  </si>
  <si>
    <t>|Ambient/Atmospheres|Contemporary Instrumental|Electro-Acoustic|Ethnic Fusion|Minimalism|Neo-Classical|(New Age) Instrumental|Self-Help|Self Help|Spiritual|</t>
  </si>
  <si>
    <t>Prog-Rock/Art Rock</t>
  </si>
  <si>
    <t>|Art Rock|Art-Rock|Experimental Rock|Krautrock|Progressive Rock|Progressive/Art Rock|Prog-Rock|Post-Rock/Experimental|Post-Rock|Synthrock|</t>
  </si>
  <si>
    <t>Avant-Garde Jazz</t>
  </si>
  <si>
    <t>-- PERFORMER --</t>
  </si>
  <si>
    <t>Chinese Traditional</t>
  </si>
  <si>
    <t>British Virgin Islands</t>
  </si>
  <si>
    <t>Opera</t>
  </si>
  <si>
    <t>Psychedelic</t>
  </si>
  <si>
    <t>|Psychedelic Rock|Psychobilly|</t>
  </si>
  <si>
    <t>Axé</t>
  </si>
  <si>
    <t>Singer</t>
  </si>
  <si>
    <t>Church Slavic</t>
  </si>
  <si>
    <t>Brunei Darussalam</t>
  </si>
  <si>
    <t>Orchestral</t>
  </si>
  <si>
    <t>Rock &amp; Roll</t>
  </si>
  <si>
    <t>|50s Rock 'n' Roll|Rock 'n' Roll|Rock and Roll|</t>
  </si>
  <si>
    <t>Bachata</t>
  </si>
  <si>
    <t>Alto</t>
  </si>
  <si>
    <t>Chuvash</t>
  </si>
  <si>
    <t>Bulgaria</t>
  </si>
  <si>
    <t>Pop</t>
  </si>
  <si>
    <t>|50s Pop|60s Pop|70s Pop|80s Pop|90s Pop|00s Pop|10s Pop|Bubble Gum|Chamber Pop|Dance-Pop|Dance Pop|Diva|Dream Pop|Dream-Pop|Euro-Pop|Girl Group|Parody|Power Pop|Power-Pop|</t>
  </si>
  <si>
    <t>Rockabilly</t>
  </si>
  <si>
    <t>Baile Funk</t>
  </si>
  <si>
    <t>Baritone</t>
  </si>
  <si>
    <t>Cornish</t>
  </si>
  <si>
    <t>Burkina Faso</t>
  </si>
  <si>
    <t>R&amp;B/Soul</t>
  </si>
  <si>
    <t>|Classic R&amp;B|Funk|Go-Go|Golden Age|Quiet Storm|R&amp;B|R&amp;B Pop Crossover|R&amp;B Rap mix|R&amp;B Soul|R&amp;B-Soul|R&amp;B/Soul Gospel|Rhythm &amp; Blues|Soul / R&amp;B|Traditional R&amp;B|Urban|Urban Adult Contemporary|Urban/R&amp;B|</t>
  </si>
  <si>
    <t>Roots Rock</t>
  </si>
  <si>
    <t>Baladas y Boleros</t>
  </si>
  <si>
    <t>Chorus</t>
  </si>
  <si>
    <t>Corsican</t>
  </si>
  <si>
    <t>Burundi</t>
  </si>
  <si>
    <t>Reggae</t>
  </si>
  <si>
    <t>|Ragga|Reggae Gospel|Reggae/Ska|</t>
  </si>
  <si>
    <t>Singer/Songwriter</t>
  </si>
  <si>
    <t>Baroque Era</t>
  </si>
  <si>
    <t>Conductor</t>
  </si>
  <si>
    <t>Cree</t>
  </si>
  <si>
    <t>Cambodia</t>
  </si>
  <si>
    <t>Regional Indian</t>
  </si>
  <si>
    <t>|Bhangra|Hindi|Hindi Devotional|Hindi Film|Hindi Non-Film|Indian Bhangra|Indian Hindi|Indian Hindi Devotional|Indian Hindi Film|Indian Hindi Non Film|Indian Konkani|Indian Oriya|Indian Oriya Film|Indian Regional|Indian-Bhangra|Indian-Hindi|Indian-Hindi Devotional|Indian-Hindi Film|Indian-Hindi Non-Film|Indian-Konkani|Indian-Oriya|Indian-Oriya Film|Konkani|Oriya|Oriya Film|</t>
  </si>
  <si>
    <t>Southern Rock</t>
  </si>
  <si>
    <t>Bass</t>
  </si>
  <si>
    <t>Ensemble</t>
  </si>
  <si>
    <t>Croatian</t>
  </si>
  <si>
    <t>Cameroon</t>
  </si>
  <si>
    <t>Rock</t>
  </si>
  <si>
    <t>|00s Rock|00's Rock|10s Rock|10's Rock|60s Rock|60's Rock|70s Rock|70's Rock|80's|80s Rock|90s Rock|90's Rock|Boogie Rock|Classic Rock|Country Rock|Country-Rock|Digital Rock|Digital-Rock|Drone|Duro|Electronic Rock|Electrorock|Folk Rock|Folk-Rock|Foreign Language Rock|Funk Rock|Garage Rock|Goth|Grunge|Indie Rock|Instrumental Rock|Instrumental-Rock|Live Rock|Lo-fi|Math Rock|Modern Rock|New Wave|New-Wave|Noise-Rock|Pop Rock|Pop-Rock|Proto-Punk|Radical|Rock Brasileiro|Rock Instrumental|Rock-Instrumental|Soft Rock|Techno Rock|Techno-rock|Urbano|</t>
  </si>
  <si>
    <t>Surf</t>
  </si>
  <si>
    <t>Bebop</t>
  </si>
  <si>
    <t>Mezzo Soprano</t>
  </si>
  <si>
    <t>Czech</t>
  </si>
  <si>
    <t>Canada</t>
  </si>
  <si>
    <t>|Singer-Songwriter|</t>
  </si>
  <si>
    <t>Tex-Mex</t>
  </si>
  <si>
    <t>Benga</t>
  </si>
  <si>
    <t>Orchestra</t>
  </si>
  <si>
    <t>Danish</t>
  </si>
  <si>
    <t>Cape Verde</t>
  </si>
  <si>
    <t>Soundtrack</t>
  </si>
  <si>
    <t>|Radio|Soundtracks|Soundtracks/Cast Albums|</t>
  </si>
  <si>
    <t>|Ambient Dub|</t>
  </si>
  <si>
    <t>Soloist</t>
  </si>
  <si>
    <t>Divehi</t>
  </si>
  <si>
    <t>Cayman Islands</t>
  </si>
  <si>
    <t>Spoken Word</t>
  </si>
  <si>
    <t>|Comedy/Spoken Word/Other|Horbucher|Hörbücher|Horspiele|Hörspiele|Lectures|Poetry|</t>
  </si>
  <si>
    <t>Soprano</t>
  </si>
  <si>
    <t>Dutch</t>
  </si>
  <si>
    <t>Central African Republic</t>
  </si>
  <si>
    <t>Turkish</t>
  </si>
  <si>
    <t>|Turkish Arabesque|Turkish Ashik Songs|Turkish Blacksee Reg.|Turkish Children's|Turkish Children’s|Turkish Classical|Turkish Dance|Turkish Electronic|Turkish Hip Hop|Turkish Hip-Hop|Turkish Instrumental|Turkish Islamic and Sufi|Turkish Islamic Spoken|Turkish Jazz|Turkish Metal|Turkish New Age|Turkish Oriental|Turkish Poetry|Turkish Punk|Turkish Sountrack|Turkish Standup|Turkish Tango|Turkish Techno|Turkish Traditional|Turkish Trip Hop|Turkish World|Turkish Arabesk|</t>
  </si>
  <si>
    <t>Downtempo</t>
  </si>
  <si>
    <t>|Downbeat|</t>
  </si>
  <si>
    <t>Big Band</t>
  </si>
  <si>
    <t>Tenor</t>
  </si>
  <si>
    <t>Dzongkha</t>
  </si>
  <si>
    <t>Chad</t>
  </si>
  <si>
    <t>Vocal</t>
  </si>
  <si>
    <t>|Cocktail/Lounge|Female Vocalist|Male Vocalist|Vocal/Easy Listening|</t>
  </si>
  <si>
    <t>Dubstep</t>
  </si>
  <si>
    <t>Bluegrass</t>
  </si>
  <si>
    <t>Accordion</t>
  </si>
  <si>
    <t>English</t>
  </si>
  <si>
    <t>Chile</t>
  </si>
  <si>
    <t>World</t>
  </si>
  <si>
    <t>|Drinking Songs|Folklore|Indigenous|International Pop|Mediterranean|Music Francophone|Pacific Islands|Pan Global|South Pacific|World Chants|World Classical|World Country-Rock|World Electronic|World Electronica|World Folk|World Folklore|World Jazz|World Metal|World Music|World New Age|World Pop|World Punk|World R&amp;B|World Rock|World Soundtrack|World Soundtracks|</t>
  </si>
  <si>
    <t>Electronica</t>
  </si>
  <si>
    <t>Acoustic Baritone Guitar</t>
  </si>
  <si>
    <t>Esperanto</t>
  </si>
  <si>
    <t>China</t>
  </si>
  <si>
    <t>IDM/Experimental</t>
  </si>
  <si>
    <t>|I.D.M.|IDM Experimental|Experimental|</t>
  </si>
  <si>
    <t>Acoustic Bass Guitar</t>
  </si>
  <si>
    <t>Estonian</t>
  </si>
  <si>
    <t>Christmas Island</t>
  </si>
  <si>
    <t>Industrial</t>
  </si>
  <si>
    <t>Bolero</t>
  </si>
  <si>
    <t>Acoustic Fretless Guitar</t>
  </si>
  <si>
    <t>Ewe</t>
  </si>
  <si>
    <t>Cocos (Keeling) Islands</t>
  </si>
  <si>
    <t>Classic/Modern Dancehall</t>
  </si>
  <si>
    <t>|Dancehall|</t>
  </si>
  <si>
    <t>Bollywood</t>
  </si>
  <si>
    <t>Acoustic Guitar</t>
  </si>
  <si>
    <t>Faroese</t>
  </si>
  <si>
    <t>Colombia</t>
  </si>
  <si>
    <t>Dub</t>
  </si>
  <si>
    <t>Bongo-Flava</t>
  </si>
  <si>
    <t>Actor</t>
  </si>
  <si>
    <t>Fijian</t>
  </si>
  <si>
    <t>Comoros</t>
  </si>
  <si>
    <t>Lovers Rock</t>
  </si>
  <si>
    <t>Bossa Nova</t>
  </si>
  <si>
    <t>Alto Clarinet</t>
  </si>
  <si>
    <t>Finnish</t>
  </si>
  <si>
    <t>Congo</t>
  </si>
  <si>
    <t>Roots Reggae</t>
  </si>
  <si>
    <t>Brass &amp; Woodwinds</t>
  </si>
  <si>
    <t>Alto Flute</t>
  </si>
  <si>
    <t>French</t>
  </si>
  <si>
    <t>Cook Islands</t>
  </si>
  <si>
    <t>Ska</t>
  </si>
  <si>
    <t>|Rocksteady|Ska/Rocksteady|</t>
  </si>
  <si>
    <t>Alto Horn</t>
  </si>
  <si>
    <t>Fulah</t>
  </si>
  <si>
    <t>Costa Rica</t>
  </si>
  <si>
    <t>Breakbeat</t>
  </si>
  <si>
    <t>Alto Recorder</t>
  </si>
  <si>
    <t>Gaelic</t>
  </si>
  <si>
    <t>Cote D'Ivoire</t>
  </si>
  <si>
    <t>Contemporary Folk</t>
  </si>
  <si>
    <t>|Progressive Folk|</t>
  </si>
  <si>
    <t>Alto Saxophone</t>
  </si>
  <si>
    <t>Galician</t>
  </si>
  <si>
    <t>Croatia</t>
  </si>
  <si>
    <t>Contemporary Singer/Songwriter</t>
  </si>
  <si>
    <t>|Contemporary Singer-Songwriter|</t>
  </si>
  <si>
    <t>Alto Trombone</t>
  </si>
  <si>
    <t>Ganda</t>
  </si>
  <si>
    <t>Cuba</t>
  </si>
  <si>
    <t>Folk-Rock</t>
  </si>
  <si>
    <t>|Folk|</t>
  </si>
  <si>
    <t>CCM</t>
  </si>
  <si>
    <t>Alto Violin</t>
  </si>
  <si>
    <t>Georgian</t>
  </si>
  <si>
    <t>Curacao</t>
  </si>
  <si>
    <t>New Acoustic</t>
  </si>
  <si>
    <t>Cajun</t>
  </si>
  <si>
    <t>Alto Vocals</t>
  </si>
  <si>
    <t>German</t>
  </si>
  <si>
    <t>Cyprus</t>
  </si>
  <si>
    <t>Traditional Folk</t>
  </si>
  <si>
    <t>|Acoustic|Anti-Folk|Bluegrass|Chassidic|Field Recordings|Folk Revival|Folk Spoken Word|Folk Traditional|Gypsy|Historical|Jota|Jug Bands|Live Folk|Medieval Folk|Mediterranean Folk|Old Times|Political/Protest|Sardana|Scottish Folk|Sea Shanties|Sepharad|Skiffle|</t>
  </si>
  <si>
    <t>Calypso</t>
  </si>
  <si>
    <t>Appalachian Dulcimer</t>
  </si>
  <si>
    <t>Greek</t>
  </si>
  <si>
    <t>Czech Republic</t>
  </si>
  <si>
    <t>Cantata</t>
  </si>
  <si>
    <t>Archlute</t>
  </si>
  <si>
    <t>Guarani</t>
  </si>
  <si>
    <t>Democratic Republic of the Congo</t>
  </si>
  <si>
    <t>|Afro Beat|Afrobeat|</t>
  </si>
  <si>
    <t>Cantopop</t>
  </si>
  <si>
    <t>Assistant Conductor</t>
  </si>
  <si>
    <t>Gujarati</t>
  </si>
  <si>
    <t>Denmark</t>
  </si>
  <si>
    <t>|Afro Pop|African Pop|</t>
  </si>
  <si>
    <t>Caribbean</t>
  </si>
  <si>
    <t>Autoharp</t>
  </si>
  <si>
    <t>Haitian</t>
  </si>
  <si>
    <t>Djibouti</t>
  </si>
  <si>
    <t>Carnatic Classical</t>
  </si>
  <si>
    <t>Background Vocals</t>
  </si>
  <si>
    <t>Haryanvi</t>
  </si>
  <si>
    <t>Dominica</t>
  </si>
  <si>
    <t>|Central Asian|East Asia|Far Eastern|Gamelan|Indonesia|South Asia|Southeast Asian|</t>
  </si>
  <si>
    <t>Cello</t>
  </si>
  <si>
    <t>Baglama</t>
  </si>
  <si>
    <t>Dominican Republic</t>
  </si>
  <si>
    <t>|Australian|Australian Folk|Australian Indigenous|Australian Rock|Australia/South Pacific|Maori Traditional|</t>
  </si>
  <si>
    <t>Celtic</t>
  </si>
  <si>
    <t>Bagpipes</t>
  </si>
  <si>
    <t>Hausa</t>
  </si>
  <si>
    <t>Ecuador</t>
  </si>
  <si>
    <t>Celtic Folk</t>
  </si>
  <si>
    <t>Balafon</t>
  </si>
  <si>
    <t>Hebrew</t>
  </si>
  <si>
    <t>Egypt</t>
  </si>
  <si>
    <t>Chachacha</t>
  </si>
  <si>
    <t>Balalaika</t>
  </si>
  <si>
    <t>Herero</t>
  </si>
  <si>
    <t>El Salvador</t>
  </si>
  <si>
    <t>|Cap-verde|Mestizo|</t>
  </si>
  <si>
    <t>Chamber Music</t>
  </si>
  <si>
    <t>Band</t>
  </si>
  <si>
    <t>Hindi</t>
  </si>
  <si>
    <t>Equatorial Guinea</t>
  </si>
  <si>
    <t>Chant</t>
  </si>
  <si>
    <t>Bandoneon</t>
  </si>
  <si>
    <t>Hiri Motu</t>
  </si>
  <si>
    <t>Eritrea</t>
  </si>
  <si>
    <t>Chanukah</t>
  </si>
  <si>
    <t>Bandurria</t>
  </si>
  <si>
    <t>Hungarian</t>
  </si>
  <si>
    <t>Estonia</t>
  </si>
  <si>
    <t>Contemporary Celtic</t>
  </si>
  <si>
    <t>Chicago Blues</t>
  </si>
  <si>
    <t>Banjo</t>
  </si>
  <si>
    <t>Icelandic</t>
  </si>
  <si>
    <t>Eswatini</t>
  </si>
  <si>
    <t>Dangdut</t>
  </si>
  <si>
    <t>Bansuri</t>
  </si>
  <si>
    <t>Ido</t>
  </si>
  <si>
    <t>Ethiopia</t>
  </si>
  <si>
    <t>Dini</t>
  </si>
  <si>
    <t>Barbat</t>
  </si>
  <si>
    <t>Igbo</t>
  </si>
  <si>
    <t>Europe</t>
  </si>
  <si>
    <t>Enka</t>
  </si>
  <si>
    <t>Chinese Alt</t>
  </si>
  <si>
    <t>Baritone Guitar</t>
  </si>
  <si>
    <t>Indonesian</t>
  </si>
  <si>
    <t>Falkland Islands</t>
  </si>
  <si>
    <t>|Alternative/Indie Aus Deutschland|Asturias|Basque|Belgian|Castilla|Central Europe|Central European|Eastern Europe|Eastern European|English Folk|Levenslied|Galicia|Greece|Greek|Irish|Italy|Nordic|Portugal|Romanian|Romanian Manele|Scandinavian|Scottish|Schlager|Swiss|Viennese Folk|Western Europe|Western European|</t>
  </si>
  <si>
    <t>Chinese Classical</t>
  </si>
  <si>
    <t>Baritone Horn</t>
  </si>
  <si>
    <t>Faroe Islands</t>
  </si>
  <si>
    <t>Fado</t>
  </si>
  <si>
    <t>|Novo Fado|</t>
  </si>
  <si>
    <t>Chinese Flute</t>
  </si>
  <si>
    <t>Baritone Vocals</t>
  </si>
  <si>
    <t>Interlingua</t>
  </si>
  <si>
    <t>Fiji</t>
  </si>
  <si>
    <t>Farsi</t>
  </si>
  <si>
    <t>Chinese Hip-Hop</t>
  </si>
  <si>
    <t>Baroque guitar</t>
  </si>
  <si>
    <t>Interlingue</t>
  </si>
  <si>
    <t>Finland</t>
  </si>
  <si>
    <t>Flamenco</t>
  </si>
  <si>
    <t>|Nuevo Flamenco|</t>
  </si>
  <si>
    <t>Chinese Opera</t>
  </si>
  <si>
    <t>Barrel Organ</t>
  </si>
  <si>
    <t>Inuktitut</t>
  </si>
  <si>
    <t>France</t>
  </si>
  <si>
    <t>Chinese Orchestral</t>
  </si>
  <si>
    <t>Inupiaq</t>
  </si>
  <si>
    <t>French Guiana</t>
  </si>
  <si>
    <t>German Folk</t>
  </si>
  <si>
    <t>Chinese Regional Folk</t>
  </si>
  <si>
    <t>Bass Clarinet</t>
  </si>
  <si>
    <t>Irish</t>
  </si>
  <si>
    <t>French Polynesia</t>
  </si>
  <si>
    <t>Halk</t>
  </si>
  <si>
    <t>|Turkish Folk|</t>
  </si>
  <si>
    <t>Chinese Rock</t>
  </si>
  <si>
    <t>Bass Drum</t>
  </si>
  <si>
    <t>Italian</t>
  </si>
  <si>
    <t>French Southern Territories</t>
  </si>
  <si>
    <t>Hawaii</t>
  </si>
  <si>
    <t>Chinese Strings</t>
  </si>
  <si>
    <t>Bass Flute</t>
  </si>
  <si>
    <t>Japanese</t>
  </si>
  <si>
    <t>Gabon</t>
  </si>
  <si>
    <t>Iberia</t>
  </si>
  <si>
    <t>|Cantautores|Spanish Traditional|Spain|Spain-Asturias|Spain-Castillian|Spain-Galician|</t>
  </si>
  <si>
    <t>Choral</t>
  </si>
  <si>
    <t>Bass Guitar</t>
  </si>
  <si>
    <t>Javanese</t>
  </si>
  <si>
    <t>Gambia</t>
  </si>
  <si>
    <t>Indonesian Religious</t>
  </si>
  <si>
    <t>Choro</t>
  </si>
  <si>
    <t>Bass Harmonica</t>
  </si>
  <si>
    <t>Kalaallisut</t>
  </si>
  <si>
    <t>Georgia</t>
  </si>
  <si>
    <t>Israeli</t>
  </si>
  <si>
    <t>Bass Oboe</t>
  </si>
  <si>
    <t>Kannada</t>
  </si>
  <si>
    <t>Germany</t>
  </si>
  <si>
    <t>Japan</t>
  </si>
  <si>
    <t>|J-Rock|Japan Anime|Japan Dance/Electronic|Japan Hip-Hop/Rap|Japanese Pop|Japan Rock|</t>
  </si>
  <si>
    <t>Christian Metal</t>
  </si>
  <si>
    <t>Bass Recorder</t>
  </si>
  <si>
    <t>Kanuri</t>
  </si>
  <si>
    <t>Ghana</t>
  </si>
  <si>
    <t>Klezmer</t>
  </si>
  <si>
    <t>|Jewish Folk|</t>
  </si>
  <si>
    <t>Christian Pop</t>
  </si>
  <si>
    <t>Bass Saxaphone</t>
  </si>
  <si>
    <t>Kashmiri</t>
  </si>
  <si>
    <t>Gibraltar</t>
  </si>
  <si>
    <t>North America</t>
  </si>
  <si>
    <t>|Native American|</t>
  </si>
  <si>
    <t>Christian Rap</t>
  </si>
  <si>
    <t>Bass Trombone</t>
  </si>
  <si>
    <t>Kazakh</t>
  </si>
  <si>
    <t>Greece</t>
  </si>
  <si>
    <t>Polka</t>
  </si>
  <si>
    <t>Christian Rock</t>
  </si>
  <si>
    <t>Bass Trumpet</t>
  </si>
  <si>
    <t>Kikuyu</t>
  </si>
  <si>
    <t>Greenland</t>
  </si>
  <si>
    <t>Russian</t>
  </si>
  <si>
    <t>|Russian Alternative|Russian Banner Singing|Russian Bard Songs|Russian Church Choir Singing|Russian Estrada|Russian Folk|Russian Folk-Chastooshkas|Russian Folk-Cossack's singing|Russian Folk-Cossack’s singing|Russian Folk-Cossacks' chorus singing|Russian Folk-Cossacks’ chorus singing|Russian Folk-Feast songs|Russian Folk-Russian gypsy songs|Russian Folk-Russian humour|Russian Folk-Russian romances|Russian Folk-Weeping|Russian Great Patronimic War Songs|Russian Hard-rock|Russian Military Marches|Russian Military Songs|Russian National Music|Russian Opera|Russian Pop|Russian Revolution Songs|Russian Rock|Russian Symphonic|Russian WWI Songs|Soviet Times Songs|</t>
  </si>
  <si>
    <t>Christmas</t>
  </si>
  <si>
    <t>Bass Vocals</t>
  </si>
  <si>
    <t>Kinyarwanda</t>
  </si>
  <si>
    <t>Grenada</t>
  </si>
  <si>
    <t>Russian Chanson</t>
  </si>
  <si>
    <t>|Shanson|</t>
  </si>
  <si>
    <t>Christmas: Children's</t>
  </si>
  <si>
    <t>Basset Clarinet</t>
  </si>
  <si>
    <t>Kirghiz</t>
  </si>
  <si>
    <t>Guadeloupe</t>
  </si>
  <si>
    <t>Sanat</t>
  </si>
  <si>
    <t>Christmas: Classic</t>
  </si>
  <si>
    <t>Basset Horn</t>
  </si>
  <si>
    <t>Komi</t>
  </si>
  <si>
    <t>Guam</t>
  </si>
  <si>
    <t>Soca</t>
  </si>
  <si>
    <t>Christmas: Classical</t>
  </si>
  <si>
    <t>Bassoon</t>
  </si>
  <si>
    <t>Kongo</t>
  </si>
  <si>
    <t>Guatemala</t>
  </si>
  <si>
    <t>South Africa</t>
  </si>
  <si>
    <t>Christmas: Country</t>
  </si>
  <si>
    <t>Batá Drums</t>
  </si>
  <si>
    <t>Konkani</t>
  </si>
  <si>
    <t>Guernsey</t>
  </si>
  <si>
    <t>South America</t>
  </si>
  <si>
    <t>|Mexico|Peru|South American|</t>
  </si>
  <si>
    <t>Christmas: Jazz</t>
  </si>
  <si>
    <t>Beat Boxing</t>
  </si>
  <si>
    <t>Guinea</t>
  </si>
  <si>
    <t>Tango</t>
  </si>
  <si>
    <t>|Flamenco/Tango|</t>
  </si>
  <si>
    <t>Christmas: Modern</t>
  </si>
  <si>
    <t>Bells</t>
  </si>
  <si>
    <t>Guinea-Bissau</t>
  </si>
  <si>
    <t>Traditional Celtic</t>
  </si>
  <si>
    <t>Christmas: Pop</t>
  </si>
  <si>
    <t>Bendir</t>
  </si>
  <si>
    <t>Kuanyama</t>
  </si>
  <si>
    <t>Guyana</t>
  </si>
  <si>
    <t>Worldbeat</t>
  </si>
  <si>
    <t>Christmas: R&amp;B</t>
  </si>
  <si>
    <t>Berimbau</t>
  </si>
  <si>
    <t>Kurdish</t>
  </si>
  <si>
    <t>Haiti</t>
  </si>
  <si>
    <t>Zydeco</t>
  </si>
  <si>
    <t>|Cajun &amp; Zydeco|</t>
  </si>
  <si>
    <t>Christmas: Religious</t>
  </si>
  <si>
    <t>Biwa</t>
  </si>
  <si>
    <t>Lao</t>
  </si>
  <si>
    <t>Heard Island and McDonald Islands</t>
  </si>
  <si>
    <t>|Break Beat|Breaks|</t>
  </si>
  <si>
    <t>Christmas: Rock</t>
  </si>
  <si>
    <t>Bonang</t>
  </si>
  <si>
    <t>Holy See</t>
  </si>
  <si>
    <t>Garage</t>
  </si>
  <si>
    <t>|2-Step/British Garage|UK Garage|</t>
  </si>
  <si>
    <t>Classic Blues</t>
  </si>
  <si>
    <t>Bongos</t>
  </si>
  <si>
    <t>Latvian</t>
  </si>
  <si>
    <t>Honduras</t>
  </si>
  <si>
    <t>Hardcore</t>
  </si>
  <si>
    <t>|Happy Hardcore|Hi-NRG|</t>
  </si>
  <si>
    <t>Classic Christian</t>
  </si>
  <si>
    <t>Bouzouki</t>
  </si>
  <si>
    <t>Limburgan</t>
  </si>
  <si>
    <t>Hong Kong</t>
  </si>
  <si>
    <t>House</t>
  </si>
  <si>
    <t>|Deep House|Hard House|Tech-House|Tribal House|</t>
  </si>
  <si>
    <t>Bugle</t>
  </si>
  <si>
    <t>Lingala</t>
  </si>
  <si>
    <t>Hungary</t>
  </si>
  <si>
    <t>Jungle/Drum'n'bass</t>
  </si>
  <si>
    <t>|Drum'n'Bass/Jungle|Drum‘n’Bass/Jungle|Jungle/Drum&amp;Bass|</t>
  </si>
  <si>
    <t>Button Accordion</t>
  </si>
  <si>
    <t>Lithuanian</t>
  </si>
  <si>
    <t>Iceland</t>
  </si>
  <si>
    <t>Techno</t>
  </si>
  <si>
    <t>|Hard Techno|Minimal Techno|Techno Clash|Techno Dark|Techno Dub|Teknobody|</t>
  </si>
  <si>
    <t>Classical Crossover</t>
  </si>
  <si>
    <t>Cajon</t>
  </si>
  <si>
    <t>Luba-Katanga</t>
  </si>
  <si>
    <t>India</t>
  </si>
  <si>
    <t>Trance</t>
  </si>
  <si>
    <t>Classical Era</t>
  </si>
  <si>
    <t>Calliope</t>
  </si>
  <si>
    <t>Luxembourgish</t>
  </si>
  <si>
    <t>Indonesia</t>
  </si>
  <si>
    <t>|Rock en Espa|Rock En Espanol|Alternativo &amp; Rock Latino|Latin Alternative|Rock Latino|</t>
  </si>
  <si>
    <t>College Rock</t>
  </si>
  <si>
    <t>Castanets</t>
  </si>
  <si>
    <t>Macedonian</t>
  </si>
  <si>
    <t>Iran</t>
  </si>
  <si>
    <t>Cavaquinho</t>
  </si>
  <si>
    <t>Malagasy</t>
  </si>
  <si>
    <t>Iraq</t>
  </si>
  <si>
    <t>Contemporary Latin</t>
  </si>
  <si>
    <t>Contemporary Bluegrass</t>
  </si>
  <si>
    <t>Caxixi</t>
  </si>
  <si>
    <t>Malay</t>
  </si>
  <si>
    <t>Ireland</t>
  </si>
  <si>
    <t>Latin Jazz</t>
  </si>
  <si>
    <t>Contemporary Blues</t>
  </si>
  <si>
    <t>Celeste</t>
  </si>
  <si>
    <t>Malayalam</t>
  </si>
  <si>
    <t>Isle of Man</t>
  </si>
  <si>
    <t>Pop in Spanish</t>
  </si>
  <si>
    <t>|Latin Pop|Pop Latino|Pop Rock Latino|</t>
  </si>
  <si>
    <t>Maltese</t>
  </si>
  <si>
    <t>Israel</t>
  </si>
  <si>
    <t>Raices</t>
  </si>
  <si>
    <t>|Raíces|</t>
  </si>
  <si>
    <t>Contemporary Country</t>
  </si>
  <si>
    <t>Chamber Organ</t>
  </si>
  <si>
    <t>Manx</t>
  </si>
  <si>
    <t>Italy</t>
  </si>
  <si>
    <t>Reggaeton / Latin Urban</t>
  </si>
  <si>
    <t>|Reggaeton|Reggaeton y Hip-Hop|</t>
  </si>
  <si>
    <t>Contemporary Era</t>
  </si>
  <si>
    <t>Chamberlin</t>
  </si>
  <si>
    <t>Maori</t>
  </si>
  <si>
    <t>Jamaica</t>
  </si>
  <si>
    <t>Regional Mexicano</t>
  </si>
  <si>
    <t>|Regional Mexican|</t>
  </si>
  <si>
    <t>Chant Vocals</t>
  </si>
  <si>
    <t>Marathi</t>
  </si>
  <si>
    <t>Salsa y Tropical</t>
  </si>
  <si>
    <t>|Salsa|</t>
  </si>
  <si>
    <t>Contemporary Gospel</t>
  </si>
  <si>
    <t>Chapman Stick</t>
  </si>
  <si>
    <t>Marshallese</t>
  </si>
  <si>
    <t>Jersey</t>
  </si>
  <si>
    <t>Healing</t>
  </si>
  <si>
    <t>Contemporary Jazz</t>
  </si>
  <si>
    <t>Charango</t>
  </si>
  <si>
    <t>Mongolian</t>
  </si>
  <si>
    <t>Jordan</t>
  </si>
  <si>
    <t>Meditation</t>
  </si>
  <si>
    <t>|Meditation/Relaxation|</t>
  </si>
  <si>
    <t>Chekere</t>
  </si>
  <si>
    <t>Nauru</t>
  </si>
  <si>
    <t>Kazakhstan</t>
  </si>
  <si>
    <t>Nature</t>
  </si>
  <si>
    <t>|Environmental|Nature Sounds|</t>
  </si>
  <si>
    <t>Contemporary R&amp;B</t>
  </si>
  <si>
    <t>Chimes</t>
  </si>
  <si>
    <t>Navajo</t>
  </si>
  <si>
    <t>Kenya</t>
  </si>
  <si>
    <t>Relaxation</t>
  </si>
  <si>
    <t>Choir</t>
  </si>
  <si>
    <t>Ndonga</t>
  </si>
  <si>
    <t>Kiribati</t>
  </si>
  <si>
    <t>Travel</t>
  </si>
  <si>
    <t>|World|</t>
  </si>
  <si>
    <t>Cool</t>
  </si>
  <si>
    <t>Choir Conductor</t>
  </si>
  <si>
    <t>Nepali</t>
  </si>
  <si>
    <t>Kosovo</t>
  </si>
  <si>
    <t>Yoga</t>
  </si>
  <si>
    <t>Chorus Master</t>
  </si>
  <si>
    <t>North Ndebele</t>
  </si>
  <si>
    <t>Kuwait</t>
  </si>
  <si>
    <t>|Hanukkah|</t>
  </si>
  <si>
    <t>Country Blues</t>
  </si>
  <si>
    <t>Chromatic Harmonica</t>
  </si>
  <si>
    <t>Northern Sami</t>
  </si>
  <si>
    <t>Kyrgyzstan</t>
  </si>
  <si>
    <t>Country Gospel</t>
  </si>
  <si>
    <t>Cimbalom</t>
  </si>
  <si>
    <t>Norwegian</t>
  </si>
  <si>
    <t>Laos</t>
  </si>
  <si>
    <t>Coupé-Décalé</t>
  </si>
  <si>
    <t>Cittern</t>
  </si>
  <si>
    <t>Norwegian Bokmål</t>
  </si>
  <si>
    <t>Latin America and the Caribbean</t>
  </si>
  <si>
    <t>Crossover Jazz</t>
  </si>
  <si>
    <t>Clarinet</t>
  </si>
  <si>
    <t>Norwegian Nynorsk</t>
  </si>
  <si>
    <t>Latvia</t>
  </si>
  <si>
    <t>Classical Guitar</t>
  </si>
  <si>
    <t>Occitan</t>
  </si>
  <si>
    <t>Lebanon</t>
  </si>
  <si>
    <t>Cumbia</t>
  </si>
  <si>
    <t>Claves</t>
  </si>
  <si>
    <t>Ojibwa</t>
  </si>
  <si>
    <t>Lesotho</t>
  </si>
  <si>
    <t>Dabke</t>
  </si>
  <si>
    <t>Clavichord</t>
  </si>
  <si>
    <t>Oriya</t>
  </si>
  <si>
    <t>Liberia</t>
  </si>
  <si>
    <t>Clavinet</t>
  </si>
  <si>
    <t>Oromo</t>
  </si>
  <si>
    <t>Libya</t>
  </si>
  <si>
    <t>C-Melody Sax</t>
  </si>
  <si>
    <t>Liechtenstein</t>
  </si>
  <si>
    <t>Concert Harp</t>
  </si>
  <si>
    <t>Ossetian</t>
  </si>
  <si>
    <t>Lithuania</t>
  </si>
  <si>
    <t>Delta Blues</t>
  </si>
  <si>
    <t>Concertina</t>
  </si>
  <si>
    <t>Pali</t>
  </si>
  <si>
    <t>Luxembourg</t>
  </si>
  <si>
    <t>Easter</t>
  </si>
  <si>
    <t>Devotional &amp; Spiritual</t>
  </si>
  <si>
    <t>Conch Shells</t>
  </si>
  <si>
    <t>Pashto</t>
  </si>
  <si>
    <t>Macau</t>
  </si>
  <si>
    <t>Halloween</t>
  </si>
  <si>
    <t>Congas</t>
  </si>
  <si>
    <t>Persian</t>
  </si>
  <si>
    <t>Macedonia</t>
  </si>
  <si>
    <t>Thanksgiving</t>
  </si>
  <si>
    <t>Dirty South</t>
  </si>
  <si>
    <t>Contrabass</t>
  </si>
  <si>
    <t>Polish</t>
  </si>
  <si>
    <t>Madagascar</t>
  </si>
  <si>
    <t>Disco</t>
  </si>
  <si>
    <t>Contrabass Clarinet</t>
  </si>
  <si>
    <t>Malawi</t>
  </si>
  <si>
    <t>Islamic</t>
  </si>
  <si>
    <t>Contrabass Flute</t>
  </si>
  <si>
    <t>Punjabi</t>
  </si>
  <si>
    <t>Malaysia</t>
  </si>
  <si>
    <t>Khaleeji</t>
  </si>
  <si>
    <t>Dixieland</t>
  </si>
  <si>
    <t>Contrabass Recorder</t>
  </si>
  <si>
    <t>Quechua</t>
  </si>
  <si>
    <t>Maldives</t>
  </si>
  <si>
    <t>North African</t>
  </si>
  <si>
    <t>Doo Wop</t>
  </si>
  <si>
    <t>Contrabass Sarrusophone</t>
  </si>
  <si>
    <t>Rajasthani</t>
  </si>
  <si>
    <t>Mali</t>
  </si>
  <si>
    <t>|Avant Garde Jazz|</t>
  </si>
  <si>
    <t>Contrabass Saxophone</t>
  </si>
  <si>
    <t>Malta</t>
  </si>
  <si>
    <t>Contrabass Trombone</t>
  </si>
  <si>
    <t>Romanian</t>
  </si>
  <si>
    <t>Marshall Islands</t>
  </si>
  <si>
    <t>Contrabassoon</t>
  </si>
  <si>
    <t>Romansh</t>
  </si>
  <si>
    <t>Martinique</t>
  </si>
  <si>
    <t>EMO</t>
  </si>
  <si>
    <t>Contralto Clarinet</t>
  </si>
  <si>
    <t>Rundi</t>
  </si>
  <si>
    <t>Mauritania</t>
  </si>
  <si>
    <t>Early Music</t>
  </si>
  <si>
    <t>Contralto Vocals</t>
  </si>
  <si>
    <t>Mauritius</t>
  </si>
  <si>
    <t>|Cool Jazz|Cool/West Coast Jazz|</t>
  </si>
  <si>
    <t>East Coast Rap</t>
  </si>
  <si>
    <t>Cornet</t>
  </si>
  <si>
    <t>Samoan</t>
  </si>
  <si>
    <t>Mayotte</t>
  </si>
  <si>
    <t>|Crossover-Jazz|</t>
  </si>
  <si>
    <t>Counter Tenor</t>
  </si>
  <si>
    <t>Sango</t>
  </si>
  <si>
    <t>Mexico</t>
  </si>
  <si>
    <t>Cowbell</t>
  </si>
  <si>
    <t>Sanskrit</t>
  </si>
  <si>
    <t>Micronesia</t>
  </si>
  <si>
    <t>Fusion</t>
  </si>
  <si>
    <t>|Afro-Cuban Jazz|World Fusion|</t>
  </si>
  <si>
    <t>Egyptian Hip-Hop</t>
  </si>
  <si>
    <t>Crotales</t>
  </si>
  <si>
    <t>Sardinian</t>
  </si>
  <si>
    <t>Moldova</t>
  </si>
  <si>
    <t>Hard Bop</t>
  </si>
  <si>
    <t>Egyptian Pop</t>
  </si>
  <si>
    <t>Crumhorn</t>
  </si>
  <si>
    <t>Serbian</t>
  </si>
  <si>
    <t>Monaco</t>
  </si>
  <si>
    <t>Egyptian Tarab</t>
  </si>
  <si>
    <t>Cuatro</t>
  </si>
  <si>
    <t>Shona</t>
  </si>
  <si>
    <t>Mongolia</t>
  </si>
  <si>
    <t>Mainstream Jazz</t>
  </si>
  <si>
    <t>|New Orleans Jazz|Orchestral Jazz|</t>
  </si>
  <si>
    <t>Electric Blues</t>
  </si>
  <si>
    <t>Cuesnophone</t>
  </si>
  <si>
    <t>Sichuan Yi</t>
  </si>
  <si>
    <t>Montenegro</t>
  </si>
  <si>
    <t>Ragtime</t>
  </si>
  <si>
    <t>Electro-Cha'abi</t>
  </si>
  <si>
    <t>Curtal</t>
  </si>
  <si>
    <t>Sindhi</t>
  </si>
  <si>
    <t>Montserrat</t>
  </si>
  <si>
    <t>Smooth Jazz</t>
  </si>
  <si>
    <t>Cymbals</t>
  </si>
  <si>
    <t>Sinhala</t>
  </si>
  <si>
    <t>Morocco</t>
  </si>
  <si>
    <t>Trad Jazz</t>
  </si>
  <si>
    <t>|Traditional Jazz|</t>
  </si>
  <si>
    <t>Daf</t>
  </si>
  <si>
    <t>Slovak</t>
  </si>
  <si>
    <t>Mozambique</t>
  </si>
  <si>
    <t>Lullabies</t>
  </si>
  <si>
    <t>Slovenian</t>
  </si>
  <si>
    <t>Myanmar</t>
  </si>
  <si>
    <t>Sing-Along</t>
  </si>
  <si>
    <t>Dancer</t>
  </si>
  <si>
    <t>Somali</t>
  </si>
  <si>
    <t>Namibia</t>
  </si>
  <si>
    <t>Stories</t>
  </si>
  <si>
    <t>Dhol</t>
  </si>
  <si>
    <t>South Ndebele</t>
  </si>
  <si>
    <t>|Contemporary Urban|</t>
  </si>
  <si>
    <t>Diddley Bow</t>
  </si>
  <si>
    <t>Southern Sotho</t>
  </si>
  <si>
    <t>Nepal</t>
  </si>
  <si>
    <t>|Disco (R&amp;B)|</t>
  </si>
  <si>
    <t>Fantezi</t>
  </si>
  <si>
    <t>Didgeridoo</t>
  </si>
  <si>
    <t>Spanish</t>
  </si>
  <si>
    <t>Netherlands</t>
  </si>
  <si>
    <t>|Doo-Wop|</t>
  </si>
  <si>
    <t>Director</t>
  </si>
  <si>
    <t>Spanish (Latin America)</t>
  </si>
  <si>
    <t>New Caledonia</t>
  </si>
  <si>
    <t>Funk</t>
  </si>
  <si>
    <t>|Deep Funk|</t>
  </si>
  <si>
    <t>Film Soundtrack</t>
  </si>
  <si>
    <t>DJ</t>
  </si>
  <si>
    <t>Sundanese</t>
  </si>
  <si>
    <t>New Zealand</t>
  </si>
  <si>
    <t>Motown</t>
  </si>
  <si>
    <t>Djembe</t>
  </si>
  <si>
    <t>Swahili</t>
  </si>
  <si>
    <t>Nicaragua</t>
  </si>
  <si>
    <t>Neo-Soul</t>
  </si>
  <si>
    <t>|Neo Soul|</t>
  </si>
  <si>
    <t>Dobro Guitar</t>
  </si>
  <si>
    <t>Swati</t>
  </si>
  <si>
    <t>Niger</t>
  </si>
  <si>
    <t>Soul</t>
  </si>
  <si>
    <t>|Blaxploitation|Blue-Eyed Soul|Brown-Eyed Soul|Chicago Soul|Classic Soul|Country-Soul|Deep Soul|Memphis Soul|Northern Soul|Philly Soul|Psychedelic Soul|Retro-Soul|Smooth Soul|Southern Soul|</t>
  </si>
  <si>
    <t>Double Bass</t>
  </si>
  <si>
    <t>Swedish</t>
  </si>
  <si>
    <t>Nigeria</t>
  </si>
  <si>
    <t>Doumbek</t>
  </si>
  <si>
    <t>Tagalog</t>
  </si>
  <si>
    <t>Niue</t>
  </si>
  <si>
    <t>Foreign Cinema</t>
  </si>
  <si>
    <t>Drum Machine</t>
  </si>
  <si>
    <t>Tahitian</t>
  </si>
  <si>
    <t>Norfolk Island</t>
  </si>
  <si>
    <t>Goth Rock</t>
  </si>
  <si>
    <t>|Goth/Industrial|</t>
  </si>
  <si>
    <t>Forró</t>
  </si>
  <si>
    <t>Drum Programming</t>
  </si>
  <si>
    <t>Tajik</t>
  </si>
  <si>
    <t>North Korea</t>
  </si>
  <si>
    <t>Grunge</t>
  </si>
  <si>
    <t>Drums</t>
  </si>
  <si>
    <t>Tamil</t>
  </si>
  <si>
    <t>Northern Mariana Islands</t>
  </si>
  <si>
    <t>Indie Pop</t>
  </si>
  <si>
    <t>|Indie-Pop|</t>
  </si>
  <si>
    <t>Duduk</t>
  </si>
  <si>
    <t>Tatar</t>
  </si>
  <si>
    <t>Norway</t>
  </si>
  <si>
    <t>Indie Rock</t>
  </si>
  <si>
    <t>|Alternative/Indie|Indie|</t>
  </si>
  <si>
    <t>Frevo</t>
  </si>
  <si>
    <t>Dulcimer</t>
  </si>
  <si>
    <t>Telugu</t>
  </si>
  <si>
    <t>Oman</t>
  </si>
  <si>
    <t>New Wave</t>
  </si>
  <si>
    <t>|New Wave/Post-Punk|</t>
  </si>
  <si>
    <t>E-Bow</t>
  </si>
  <si>
    <t>Thai</t>
  </si>
  <si>
    <t>Pakistan</t>
  </si>
  <si>
    <t>Pop Punk</t>
  </si>
  <si>
    <t>Effects</t>
  </si>
  <si>
    <t>Tibetan</t>
  </si>
  <si>
    <t>Palau</t>
  </si>
  <si>
    <t>Punk</t>
  </si>
  <si>
    <t>|Alt/Punk Ska|American Punk|Anarchist|Brit-Punk|British Punk|Cowpunk|Digital Hardcore|Emo/Hardcore|Garage Punk|Hardcore|Hardcore Punk|International Punk|L.A. Punk|Live Alt/Punk|New York Punk|No Wave|Oi!|Oil|Pop-Punk|Post-Grunge|Post-Hardcore|Post-Punk|Punkabilly|Queencore|Queercore|Rapcore|Riot Girl|Ska-Punk|Skate-Punk|Skatepunk|Straight Edge|</t>
  </si>
  <si>
    <t>Gangsta Rap</t>
  </si>
  <si>
    <t>Electric Bass Guitar</t>
  </si>
  <si>
    <t>Tigrinya</t>
  </si>
  <si>
    <t>Palestinian Territory</t>
  </si>
  <si>
    <t>|Acoustic/Folk Blues|</t>
  </si>
  <si>
    <t>Electric Cello</t>
  </si>
  <si>
    <t>Tonga</t>
  </si>
  <si>
    <t>Panama</t>
  </si>
  <si>
    <t>Electric Fretless Guitar</t>
  </si>
  <si>
    <t>Tsonga</t>
  </si>
  <si>
    <t>Papua New Guinea</t>
  </si>
  <si>
    <t>Electric Guitar</t>
  </si>
  <si>
    <t>Tswana</t>
  </si>
  <si>
    <t>Paraguay</t>
  </si>
  <si>
    <t>Ghazals</t>
  </si>
  <si>
    <t>Electric Piano</t>
  </si>
  <si>
    <t>Peru</t>
  </si>
  <si>
    <t>Electric Sitar</t>
  </si>
  <si>
    <t>Turkmen</t>
  </si>
  <si>
    <t>Philippines</t>
  </si>
  <si>
    <t>|Dirty Blues|Louisiana Blues|Memphis Blues|Swamp Blues|</t>
  </si>
  <si>
    <t>Gospel</t>
  </si>
  <si>
    <t>Electric Upright Bass</t>
  </si>
  <si>
    <t>Twi</t>
  </si>
  <si>
    <t>Pitcairn</t>
  </si>
  <si>
    <t>Electric Viola</t>
  </si>
  <si>
    <t>Uighur</t>
  </si>
  <si>
    <t>Poland</t>
  </si>
  <si>
    <t>|Ax|Axe|Brazilian Ax|Brazilian Axe|Brazilian-Ax|Brazilian-Axe|</t>
  </si>
  <si>
    <t>Gqom</t>
  </si>
  <si>
    <t>Electric Violin</t>
  </si>
  <si>
    <t>Ukrainian</t>
  </si>
  <si>
    <t>Portugal</t>
  </si>
  <si>
    <t>|Brazilian Baiao|Brazilian-Baile|Brazilian Baile|Brazilian-Baiao|Brazilian Funk|Brazilian Funk Carioca|Brazilian-Funk Carioca|</t>
  </si>
  <si>
    <t>Electronic Valve Instrument</t>
  </si>
  <si>
    <t>Urdu</t>
  </si>
  <si>
    <t>Puerto Rico</t>
  </si>
  <si>
    <t>|Brazilian-Bossa Nova|</t>
  </si>
  <si>
    <t>Guajira</t>
  </si>
  <si>
    <t>Electronic Wind Instrument</t>
  </si>
  <si>
    <t>Uzbek</t>
  </si>
  <si>
    <t>Qatar</t>
  </si>
  <si>
    <t>|Brazilian Choro|Brazilian-Choro|Choro|</t>
  </si>
  <si>
    <t>Guaracha</t>
  </si>
  <si>
    <t>English Horn</t>
  </si>
  <si>
    <t>Venda</t>
  </si>
  <si>
    <t>Rest of World</t>
  </si>
  <si>
    <t>|Brazilian Forr|Brazilian-Forr|Brazilian Forro|Brazilian-Forro|Forr|Forro|</t>
  </si>
  <si>
    <t>Guitar</t>
  </si>
  <si>
    <t>Euphonium</t>
  </si>
  <si>
    <t>Vietnamese</t>
  </si>
  <si>
    <t>Reunion</t>
  </si>
  <si>
    <t>Farfisa</t>
  </si>
  <si>
    <t>Volapük</t>
  </si>
  <si>
    <t>Romania</t>
  </si>
  <si>
    <t>MPB</t>
  </si>
  <si>
    <t>|Brazilian MPB|Brazilian-MPB|MPB|Musica Popular Brasileira (MPB)|</t>
  </si>
  <si>
    <t>Fender Rhodes</t>
  </si>
  <si>
    <t>Walloon</t>
  </si>
  <si>
    <t>Russian Federation</t>
  </si>
  <si>
    <t>Pagode</t>
  </si>
  <si>
    <t>Fiddle</t>
  </si>
  <si>
    <t>Welsh</t>
  </si>
  <si>
    <t>Rwanda</t>
  </si>
  <si>
    <t>Samba</t>
  </si>
  <si>
    <t>|Brazilian Samba/Pagode|Brazilian-Samba/Pagode|Samba Rock|</t>
  </si>
  <si>
    <t>Fife</t>
  </si>
  <si>
    <t>Western Frisian</t>
  </si>
  <si>
    <t>Saint Barthelemy</t>
  </si>
  <si>
    <t>Sertanejo</t>
  </si>
  <si>
    <t>|Brazilian Sertaneja|Brazilian-Sertaneja|</t>
  </si>
  <si>
    <t>Finger Cymbals</t>
  </si>
  <si>
    <t>Wolof</t>
  </si>
  <si>
    <t>Saint Helena</t>
  </si>
  <si>
    <t>C-Pop</t>
  </si>
  <si>
    <t>|Chinese Pop|Chinese-Pop|</t>
  </si>
  <si>
    <t>Finger Snaps</t>
  </si>
  <si>
    <t>Xhosa</t>
  </si>
  <si>
    <t>Saint Kitts and Nevis</t>
  </si>
  <si>
    <t>|Cantopop/HK-Pop|Cantopop / HK-Pop|Cantopop / HK Pop|Cantopop/HK Pop|</t>
  </si>
  <si>
    <t>First Cello</t>
  </si>
  <si>
    <t>Yiddish</t>
  </si>
  <si>
    <t>Saint Lucia</t>
  </si>
  <si>
    <t>|Chinese Alternative|</t>
  </si>
  <si>
    <t>Hardcore Rap</t>
  </si>
  <si>
    <t>First Violin</t>
  </si>
  <si>
    <t>Yoruba</t>
  </si>
  <si>
    <t>Saint Martin</t>
  </si>
  <si>
    <t>Flamenco Guitar</t>
  </si>
  <si>
    <t>Zhuang</t>
  </si>
  <si>
    <t>Saint Pierre and Miquelon</t>
  </si>
  <si>
    <t>Flugelhorn</t>
  </si>
  <si>
    <t>Zulu</t>
  </si>
  <si>
    <t>Saint Vincent and the Grenadines</t>
  </si>
  <si>
    <t>Flute</t>
  </si>
  <si>
    <t>Samoa</t>
  </si>
  <si>
    <t>|Chinese Traditional Opera|Chinese Local Opera|Peking Opera|Local Opera|Traditional Opera|</t>
  </si>
  <si>
    <t>Fortepiano</t>
  </si>
  <si>
    <t>San Marino</t>
  </si>
  <si>
    <t>Highlife</t>
  </si>
  <si>
    <t>Frame Drum</t>
  </si>
  <si>
    <t>Sao Tome And Principe</t>
  </si>
  <si>
    <t>|Chinese Folk|</t>
  </si>
  <si>
    <t>Hindustani Classical</t>
  </si>
  <si>
    <t>French Horn</t>
  </si>
  <si>
    <t>Saudi Arabia</t>
  </si>
  <si>
    <t>Gendèr</t>
  </si>
  <si>
    <t>Senegal</t>
  </si>
  <si>
    <t>Hip-Hop</t>
  </si>
  <si>
    <t>Ghatam</t>
  </si>
  <si>
    <t>Serbia</t>
  </si>
  <si>
    <t>Taiwanese Folk</t>
  </si>
  <si>
    <t>Gitern</t>
  </si>
  <si>
    <t>Seychelles</t>
  </si>
  <si>
    <t>Tibetan Native Music</t>
  </si>
  <si>
    <t>Honky Tonk</t>
  </si>
  <si>
    <t>Glockenspiel</t>
  </si>
  <si>
    <t>Sierra Leone</t>
  </si>
  <si>
    <t>|Alternative CCM|</t>
  </si>
  <si>
    <t>Gong</t>
  </si>
  <si>
    <t>Singapore</t>
  </si>
  <si>
    <t>Hörspiele</t>
  </si>
  <si>
    <t>Group</t>
  </si>
  <si>
    <t>Sint Maarten</t>
  </si>
  <si>
    <t>Guest Vocals</t>
  </si>
  <si>
    <t>Slovakia</t>
  </si>
  <si>
    <t>Güiro</t>
  </si>
  <si>
    <t>Slovenia</t>
  </si>
  <si>
    <t>|Christian Punk|</t>
  </si>
  <si>
    <t>Impressionist</t>
  </si>
  <si>
    <t>Solomon Islands</t>
  </si>
  <si>
    <t>Hag'houge</t>
  </si>
  <si>
    <t>Somalia</t>
  </si>
  <si>
    <t>Hammered Dulcimer</t>
  </si>
  <si>
    <t>|Gospel Choir|Instrumental Gospel|</t>
  </si>
  <si>
    <t>Indian Folk</t>
  </si>
  <si>
    <t>Hammond Organ</t>
  </si>
  <si>
    <t>South Georgia and the South Sandwich Islands</t>
  </si>
  <si>
    <t>Praise &amp; Worship</t>
  </si>
  <si>
    <t>Indian Pop</t>
  </si>
  <si>
    <t>Handclaps</t>
  </si>
  <si>
    <t>South Korea</t>
  </si>
  <si>
    <t>Southern Gospel</t>
  </si>
  <si>
    <t>Indie Egyptian</t>
  </si>
  <si>
    <t>Hardingfele</t>
  </si>
  <si>
    <t>South Sudan</t>
  </si>
  <si>
    <t>Traditional Gospel</t>
  </si>
  <si>
    <t>Indie Levant</t>
  </si>
  <si>
    <t>Harmonica</t>
  </si>
  <si>
    <t>Spain</t>
  </si>
  <si>
    <t>Indie Maghreb</t>
  </si>
  <si>
    <t>Harmonium</t>
  </si>
  <si>
    <t>Sri Lanka</t>
  </si>
  <si>
    <t>|Avant Garde|</t>
  </si>
  <si>
    <t>Harmony Vocals</t>
  </si>
  <si>
    <t>Sudan</t>
  </si>
  <si>
    <t>|Pre-Baroque|Baroque|</t>
  </si>
  <si>
    <t>Harp</t>
  </si>
  <si>
    <t>Suriname</t>
  </si>
  <si>
    <t>Harpsichord</t>
  </si>
  <si>
    <t>Svalbard and Jan Mayen</t>
  </si>
  <si>
    <t>Horn Section</t>
  </si>
  <si>
    <t>Sweden</t>
  </si>
  <si>
    <t>Horns</t>
  </si>
  <si>
    <t>Switzerland</t>
  </si>
  <si>
    <t>Hurdy Gurdy</t>
  </si>
  <si>
    <t>Syria</t>
  </si>
  <si>
    <t>|Classical Vocal|Lieder|Vocal Classics|</t>
  </si>
  <si>
    <t>Kalimba</t>
  </si>
  <si>
    <t>Taiwan</t>
  </si>
  <si>
    <t>|Choral Music|</t>
  </si>
  <si>
    <t>Iraqi Folk</t>
  </si>
  <si>
    <t>Karkaba (Metal Castanets)</t>
  </si>
  <si>
    <t>Tajikistan</t>
  </si>
  <si>
    <t>Iraqi Pop</t>
  </si>
  <si>
    <t>Kazoo</t>
  </si>
  <si>
    <t>Tanzania</t>
  </si>
  <si>
    <t>Iraqi Tarab</t>
  </si>
  <si>
    <t>Kendang</t>
  </si>
  <si>
    <t>Thailand</t>
  </si>
  <si>
    <t>Kenong/Kethuk</t>
  </si>
  <si>
    <t>Timor-Leste</t>
  </si>
  <si>
    <t>Keyboard Bass</t>
  </si>
  <si>
    <t>Togo</t>
  </si>
  <si>
    <t>Keyboards</t>
  </si>
  <si>
    <t>Tokelau</t>
  </si>
  <si>
    <t>|Classical Guitar|</t>
  </si>
  <si>
    <t>Keytar</t>
  </si>
  <si>
    <t>Kora</t>
  </si>
  <si>
    <t>Trinidad and Tobago</t>
  </si>
  <si>
    <t>Medieval Era</t>
  </si>
  <si>
    <t>|Medieval|Gregorian|</t>
  </si>
  <si>
    <t>Koto</t>
  </si>
  <si>
    <t>Tunisia</t>
  </si>
  <si>
    <t>Minimalism</t>
  </si>
  <si>
    <t>Lap Steel Guitar</t>
  </si>
  <si>
    <t>Turkey</t>
  </si>
  <si>
    <t>Modern Era</t>
  </si>
  <si>
    <t>|Keyboard Music|Modern Classical|Postmodern Classical|Modern Composition|</t>
  </si>
  <si>
    <t>K-Pop</t>
  </si>
  <si>
    <t>Lead Guitar</t>
  </si>
  <si>
    <t>Turkmenistan</t>
  </si>
  <si>
    <t>Lead Violin</t>
  </si>
  <si>
    <t>Turks and Caicos Islands</t>
  </si>
  <si>
    <t>Oratorio</t>
  </si>
  <si>
    <t>Lead Vocals</t>
  </si>
  <si>
    <t>Tuvalu</t>
  </si>
  <si>
    <t>|Orchestra|</t>
  </si>
  <si>
    <t>Low Whistle</t>
  </si>
  <si>
    <t>U.S. Virgin Islands</t>
  </si>
  <si>
    <t>Percussion</t>
  </si>
  <si>
    <t>Lute</t>
  </si>
  <si>
    <t>Uganda</t>
  </si>
  <si>
    <t>Piano</t>
  </si>
  <si>
    <t>Khaleeji Folk</t>
  </si>
  <si>
    <t>Lyricon</t>
  </si>
  <si>
    <t>Ukraine</t>
  </si>
  <si>
    <t>Renaissance</t>
  </si>
  <si>
    <t>|Medieval/Renaissance|</t>
  </si>
  <si>
    <t>Khaleeji Hip-Hop</t>
  </si>
  <si>
    <t>Mandocello</t>
  </si>
  <si>
    <t>United Arab Emirates</t>
  </si>
  <si>
    <t>Romantic Era</t>
  </si>
  <si>
    <t>|Romantic|</t>
  </si>
  <si>
    <t>Khaleeji Jalsat</t>
  </si>
  <si>
    <t>Mandola</t>
  </si>
  <si>
    <t>United Kingdom</t>
  </si>
  <si>
    <t>Sacred</t>
  </si>
  <si>
    <t>Khaleeji Pop</t>
  </si>
  <si>
    <t>Mandolin</t>
  </si>
  <si>
    <t>United States</t>
  </si>
  <si>
    <t>Solo Instrumental</t>
  </si>
  <si>
    <t>Khaleeji Shailat</t>
  </si>
  <si>
    <t>Manzello</t>
  </si>
  <si>
    <t>United States Minor Outlying Islands</t>
  </si>
  <si>
    <t>Violin</t>
  </si>
  <si>
    <t>Khaleeji Tarab</t>
  </si>
  <si>
    <t>Maracas</t>
  </si>
  <si>
    <t>Unknown</t>
  </si>
  <si>
    <t>Wedding Music</t>
  </si>
  <si>
    <t>Kizomba</t>
  </si>
  <si>
    <t>Marimba</t>
  </si>
  <si>
    <t>Uruguay</t>
  </si>
  <si>
    <t>Novelty</t>
  </si>
  <si>
    <t>MC</t>
  </si>
  <si>
    <t>Uzbekistan</t>
  </si>
  <si>
    <t>Standup Comedy</t>
  </si>
  <si>
    <t>Mellophone</t>
  </si>
  <si>
    <t>Vanuatu</t>
  </si>
  <si>
    <t>|Alt. Country|Alt Country|</t>
  </si>
  <si>
    <t>Korean Folk-Pop</t>
  </si>
  <si>
    <t>Mellophonium</t>
  </si>
  <si>
    <t>Venezuela</t>
  </si>
  <si>
    <t>Korean Hip-Hop</t>
  </si>
  <si>
    <t>Mellotron</t>
  </si>
  <si>
    <t>Vietnam</t>
  </si>
  <si>
    <t>Korean Indie</t>
  </si>
  <si>
    <t>Melodica</t>
  </si>
  <si>
    <t>Wallis and Futuna</t>
  </si>
  <si>
    <t>Korean Rock</t>
  </si>
  <si>
    <t>Mezzo-soprano Vocals</t>
  </si>
  <si>
    <t>Western Sahara</t>
  </si>
  <si>
    <t>|Modern Country|Progressive Country|</t>
  </si>
  <si>
    <t>Korean Traditional</t>
  </si>
  <si>
    <t>Modular Synth</t>
  </si>
  <si>
    <t>Yemen</t>
  </si>
  <si>
    <t>Kuduro</t>
  </si>
  <si>
    <t>Mouth Organ</t>
  </si>
  <si>
    <t>Zambia</t>
  </si>
  <si>
    <t>Kwaito</t>
  </si>
  <si>
    <t>Mridangam</t>
  </si>
  <si>
    <t>Zimbabwe</t>
  </si>
  <si>
    <t>Outlaw Country</t>
  </si>
  <si>
    <t>|Outlaw|</t>
  </si>
  <si>
    <t>Musette</t>
  </si>
  <si>
    <t>Thai Country</t>
  </si>
  <si>
    <t>Narrator</t>
  </si>
  <si>
    <t>Traditional Bluegrass</t>
  </si>
  <si>
    <t>Ney</t>
  </si>
  <si>
    <t>Traditional Country</t>
  </si>
  <si>
    <t>Latin Rap</t>
  </si>
  <si>
    <t>Noises</t>
  </si>
  <si>
    <t>Urban Cowboy</t>
  </si>
  <si>
    <t>|Cowboy|</t>
  </si>
  <si>
    <t>Levant</t>
  </si>
  <si>
    <t>Nylon-String Guitar</t>
  </si>
  <si>
    <t>Levant Electronic</t>
  </si>
  <si>
    <t>Oboe</t>
  </si>
  <si>
    <t>|Dirty South/Crunk|</t>
  </si>
  <si>
    <t>Levant Hip-Hop</t>
  </si>
  <si>
    <t>Oboe D'Amore</t>
  </si>
  <si>
    <t>|East Coast|East Coast Hip-Hop|</t>
  </si>
  <si>
    <t>Levant Pop</t>
  </si>
  <si>
    <t>Ocarina</t>
  </si>
  <si>
    <t>|Gangsta|</t>
  </si>
  <si>
    <t>Lounge</t>
  </si>
  <si>
    <t>Omnichord</t>
  </si>
  <si>
    <t>Ondes Martenot</t>
  </si>
  <si>
    <t>|Hip-Hop 12-inches|Live Urban/Hip-Hop|</t>
  </si>
  <si>
    <t>Organ</t>
  </si>
  <si>
    <t>|Hip-Hop En Espanol|</t>
  </si>
  <si>
    <t>Oud</t>
  </si>
  <si>
    <t>Old School Rap</t>
  </si>
  <si>
    <t>|Old School Hip-Hop|</t>
  </si>
  <si>
    <t>Maghreb Dance</t>
  </si>
  <si>
    <t>Pan Flute</t>
  </si>
  <si>
    <t>Rap</t>
  </si>
  <si>
    <t>|Party Rap|</t>
  </si>
  <si>
    <t>Maghreb Electronic</t>
  </si>
  <si>
    <t>Panpipes</t>
  </si>
  <si>
    <t>Turkish Hip-Hop/Rap</t>
  </si>
  <si>
    <t>Maghreb Hip-Hop</t>
  </si>
  <si>
    <t>Parlour Guitar</t>
  </si>
  <si>
    <t>UK Hip Hop</t>
  </si>
  <si>
    <t>Maghreb Pop</t>
  </si>
  <si>
    <t>Pedal Steel Guitar</t>
  </si>
  <si>
    <t>Underground Rap</t>
  </si>
  <si>
    <t>|Underground|</t>
  </si>
  <si>
    <t>Maghreb Rai</t>
  </si>
  <si>
    <t>Peking</t>
  </si>
  <si>
    <t>West Coast Rap</t>
  </si>
  <si>
    <t>|West Coast|West Coast Hip Hop|West Coast Hip-Hop|</t>
  </si>
  <si>
    <t>Penny Whistle</t>
  </si>
  <si>
    <t>|Indian Devotional/Spiritual|</t>
  </si>
  <si>
    <t>|Ghazal|Indian Ghazal|Indian-Ghazal|</t>
  </si>
  <si>
    <t>Mambo</t>
  </si>
  <si>
    <t>Piccolo</t>
  </si>
  <si>
    <t>Piccolo Bass</t>
  </si>
  <si>
    <t>|Indian-Pop|</t>
  </si>
  <si>
    <t>Piccolo Oboe</t>
  </si>
  <si>
    <t>Sufi</t>
  </si>
  <si>
    <t>Piccolo Trumpet</t>
  </si>
  <si>
    <t>|Indian Tamil|Indian Tamil Film|Indian-Tamil|Indian-Tamil Film|Tamil|Tamil Film|</t>
  </si>
  <si>
    <t>Pikasa Guitar</t>
  </si>
  <si>
    <t>|Indian Telegu|Indian Telegu Film|Indian-Telegu|Indian-Telegu Film|Telegu|Telegu Film|</t>
  </si>
  <si>
    <t>Maskandi</t>
  </si>
  <si>
    <t>Pipe Organ</t>
  </si>
  <si>
    <t>Mbalax</t>
  </si>
  <si>
    <t>Portuguese Guitar</t>
  </si>
  <si>
    <t>|Korean Folk|</t>
  </si>
  <si>
    <t>Prepared Piano</t>
  </si>
  <si>
    <t>Programmer</t>
  </si>
  <si>
    <t>|Korean Alternative/Indie|</t>
  </si>
  <si>
    <t>Merengue</t>
  </si>
  <si>
    <t>Psaltery</t>
  </si>
  <si>
    <t>|Korean Classical|Korean-Classical|Korean Traditional Music|Korean Trad Instrumental|Korean Trad Song|Korean Trad Theater|</t>
  </si>
  <si>
    <t>Rebab</t>
  </si>
  <si>
    <t>|Film Music|Film Scores|Film Soundtracks|</t>
  </si>
  <si>
    <t>Rebec</t>
  </si>
  <si>
    <t>|Theatre Scores|</t>
  </si>
  <si>
    <t>Musicals</t>
  </si>
  <si>
    <t>Recorder</t>
  </si>
  <si>
    <t>|Musical Theatre|</t>
  </si>
  <si>
    <t>Reed Organ</t>
  </si>
  <si>
    <t>Original Score</t>
  </si>
  <si>
    <t>Ndombolo</t>
  </si>
  <si>
    <t>Requinto Guitar</t>
  </si>
  <si>
    <t>Sound Effects</t>
  </si>
  <si>
    <t>Rhodes Piano</t>
  </si>
  <si>
    <t>TV Soundtrack</t>
  </si>
  <si>
    <t>|TV Soundtracks|</t>
  </si>
  <si>
    <t>Rhythm Guitar</t>
  </si>
  <si>
    <t>Video Game</t>
  </si>
  <si>
    <t>Sackbut</t>
  </si>
  <si>
    <t>Standards</t>
  </si>
  <si>
    <t>|Vocal/Nostalgia|</t>
  </si>
  <si>
    <t>Sampler</t>
  </si>
  <si>
    <t>Traditional Pop</t>
  </si>
  <si>
    <t>Santoor</t>
  </si>
  <si>
    <t>Trot</t>
  </si>
  <si>
    <t>Santur</t>
  </si>
  <si>
    <t>Vocal Jazz</t>
  </si>
  <si>
    <t>Sarangi</t>
  </si>
  <si>
    <t>Vocal Pop</t>
  </si>
  <si>
    <t>Odia</t>
  </si>
  <si>
    <t>Sarod</t>
  </si>
  <si>
    <t>Saron</t>
  </si>
  <si>
    <t>Swing</t>
  </si>
  <si>
    <t>Sarrusophone</t>
  </si>
  <si>
    <t>|Indian Carnatic Classical|Indian-Carnatic Classical|</t>
  </si>
  <si>
    <t>Saxello</t>
  </si>
  <si>
    <t>|Indian Hindustani Classical|Indian-Hindustani Classical|</t>
  </si>
  <si>
    <t>Saxophone</t>
  </si>
  <si>
    <t>|Assamese Film|Indian Assamese|Indian Assamese Film|Indian-Assamese|Indian-Assamese Film|</t>
  </si>
  <si>
    <t>Saz</t>
  </si>
  <si>
    <t>|Bengali Film|Indian Bengali|Indian Bengali Film|Indian-Bengali|Indian-Bengali Film|</t>
  </si>
  <si>
    <t>Second Cello</t>
  </si>
  <si>
    <t>|Punjabi Punjabi Pop|Punjabi-Punjabi Pop|Regional Indian Punjabi Pop|Regional Indian-Punjabi Pop|Indian Punjabi Pop|Indian-Punjabi Pop|</t>
  </si>
  <si>
    <t>Second Soprano Vocals</t>
  </si>
  <si>
    <t>|Gujarati Film|Gujurati|Gujurati Film|Indian Gujarati|Indian Gujarati Film|Indian Gujurati|Indian Gujurati Film|Indian-Gujarati|Indian-Gujarati Film|Indian-Gujurati|Indian-Gujurati Film|</t>
  </si>
  <si>
    <t>Second Violin</t>
  </si>
  <si>
    <t>Serpent</t>
  </si>
  <si>
    <t>|Kannada Film|Indian Kannada|Indian Kannada Film|Indian-Kannada|Indian-Kannada Film|</t>
  </si>
  <si>
    <t>Shakers</t>
  </si>
  <si>
    <t>|Indian Malayalam|Indian Malayalam Film|Indian-Malayalam|Indian-Malayalam Film|Malayalam Film|</t>
  </si>
  <si>
    <t>Shakuhachi</t>
  </si>
  <si>
    <t>|Indian Marathi|Indian Marathi Film|Indian-Marathi|Indian-Marathi Film|Marathi Film|</t>
  </si>
  <si>
    <t>Shawm</t>
  </si>
  <si>
    <t>Shekere</t>
  </si>
  <si>
    <t>|Indian Punjabi|Indian Punjabi Film|Indian-Punjabi|Indian-Punjabi Film|Punjabi Film|</t>
  </si>
  <si>
    <t>Shenai</t>
  </si>
  <si>
    <t>Punjabi Pop</t>
  </si>
  <si>
    <t>Sitar</t>
  </si>
  <si>
    <t>Rabindra Sangeet</t>
  </si>
  <si>
    <t>|Bengali Rabindra Sangeet|Bengali-Rabindra Sangeet|Regional Indian Rabindra Sangeet|Regional Indian-Rabindra Sangeet|Indian Rabindra Sangeet|Indian-Rabindra Sangeet|</t>
  </si>
  <si>
    <t>Sleigh Bells</t>
  </si>
  <si>
    <t>Slenthem</t>
  </si>
  <si>
    <t>Slide Guitar</t>
  </si>
  <si>
    <t>Slide Saxophone</t>
  </si>
  <si>
    <t>Slide Trumpet</t>
  </si>
  <si>
    <t>Slide Whistle</t>
  </si>
  <si>
    <t>Snare Drum</t>
  </si>
  <si>
    <t>Solo Flute</t>
  </si>
  <si>
    <t>Solo Guitar</t>
  </si>
  <si>
    <t>Sopranino Clarinet</t>
  </si>
  <si>
    <t>Sopranino Saxophone</t>
  </si>
  <si>
    <t>Soprano Clarinet</t>
  </si>
  <si>
    <t>Soprano Flute</t>
  </si>
  <si>
    <t>Soprano Recorder</t>
  </si>
  <si>
    <t>Soprano Saxophone</t>
  </si>
  <si>
    <t>Soprano Violin</t>
  </si>
  <si>
    <t>Soprano Vocals</t>
  </si>
  <si>
    <t>Shangaan Electro</t>
  </si>
  <si>
    <t>Sousaphone</t>
  </si>
  <si>
    <t>Soukous</t>
  </si>
  <si>
    <t>Spanish Guitar</t>
  </si>
  <si>
    <t>Taarab</t>
  </si>
  <si>
    <t>Spinet</t>
  </si>
  <si>
    <t>Zouglou</t>
  </si>
  <si>
    <t>Religious</t>
  </si>
  <si>
    <t>Spoken word</t>
  </si>
  <si>
    <t>Spoons</t>
  </si>
  <si>
    <t>Steel Drums</t>
  </si>
  <si>
    <t>Turkish Alternative</t>
  </si>
  <si>
    <t>String Bass</t>
  </si>
  <si>
    <t>Turkish Pop</t>
  </si>
  <si>
    <t>Strings</t>
  </si>
  <si>
    <t>Turkish Rock</t>
  </si>
  <si>
    <t>Strings Conductor</t>
  </si>
  <si>
    <t>Ozgün</t>
  </si>
  <si>
    <t>Stritch</t>
  </si>
  <si>
    <t>Surdo</t>
  </si>
  <si>
    <t>Synclavier</t>
  </si>
  <si>
    <t>Russian Bard</t>
  </si>
  <si>
    <t>Synthesizer</t>
  </si>
  <si>
    <t>Tabla</t>
  </si>
  <si>
    <t>Russian Hip-Hop</t>
  </si>
  <si>
    <t>Tabor Pipe</t>
  </si>
  <si>
    <t>Son</t>
  </si>
  <si>
    <t>Russian Pop</t>
  </si>
  <si>
    <t>Tack Piano</t>
  </si>
  <si>
    <t>Timba</t>
  </si>
  <si>
    <t>Russian Rock</t>
  </si>
  <si>
    <t>Talkbox</t>
  </si>
  <si>
    <t>Russian Romance</t>
  </si>
  <si>
    <t>Talking Drum</t>
  </si>
  <si>
    <t>Tamborim</t>
  </si>
  <si>
    <t>Tamboura</t>
  </si>
  <si>
    <t>Tambourine</t>
  </si>
  <si>
    <t>Tanpura</t>
  </si>
  <si>
    <t>Tarogato</t>
  </si>
  <si>
    <t>Temple Blocks</t>
  </si>
  <si>
    <t>Tenor Banjo</t>
  </si>
  <si>
    <t>Tenor Drum</t>
  </si>
  <si>
    <t>Tenor Guitar</t>
  </si>
  <si>
    <t>Tenor Horn</t>
  </si>
  <si>
    <t>Tenor Recorder</t>
  </si>
  <si>
    <t>Tenor Saxophone</t>
  </si>
  <si>
    <t>Tenor Trombone</t>
  </si>
  <si>
    <t>Tenor Violin</t>
  </si>
  <si>
    <t>Tenor Vocals</t>
  </si>
  <si>
    <t>Thavil</t>
  </si>
  <si>
    <t>Theorbo</t>
  </si>
  <si>
    <t>Theremin</t>
  </si>
  <si>
    <t>Timbales</t>
  </si>
  <si>
    <t>Timpani</t>
  </si>
  <si>
    <t>Tin Whistle</t>
  </si>
  <si>
    <t>Toy Piano</t>
  </si>
  <si>
    <t>Tres</t>
  </si>
  <si>
    <t>Triangle</t>
  </si>
  <si>
    <t>Trombone</t>
  </si>
  <si>
    <t>Trombonium</t>
  </si>
  <si>
    <t>Trumpet</t>
  </si>
  <si>
    <t>Tuba</t>
  </si>
  <si>
    <t>Tubular Bells</t>
  </si>
  <si>
    <t>Turntable</t>
  </si>
  <si>
    <t>Udu</t>
  </si>
  <si>
    <t>Uilleann Pipes</t>
  </si>
  <si>
    <t>Ukulele</t>
  </si>
  <si>
    <t>Upright Piano</t>
  </si>
  <si>
    <t>Valve Trombone</t>
  </si>
  <si>
    <t>Veena</t>
  </si>
  <si>
    <t>Vibraphone</t>
  </si>
  <si>
    <t>Tarab</t>
  </si>
  <si>
    <t>Vibraslap</t>
  </si>
  <si>
    <t>Vielle</t>
  </si>
  <si>
    <t>Viol</t>
  </si>
  <si>
    <t>Viola</t>
  </si>
  <si>
    <t>Viola Da Gamba</t>
  </si>
  <si>
    <t>Violoncello</t>
  </si>
  <si>
    <t>Vocals</t>
  </si>
  <si>
    <t>Vocoder</t>
  </si>
  <si>
    <t>Washboard</t>
  </si>
  <si>
    <t>Whistle</t>
  </si>
  <si>
    <t>Wood Block</t>
  </si>
  <si>
    <t>Wood Flute</t>
  </si>
  <si>
    <t>Wurlitzer</t>
  </si>
  <si>
    <t>Xylophone</t>
  </si>
  <si>
    <t>Zarb</t>
  </si>
  <si>
    <t>Zither</t>
  </si>
  <si>
    <t>Özgün</t>
  </si>
  <si>
    <t>Sample Data</t>
  </si>
  <si>
    <t>1) Artists list</t>
  </si>
  <si>
    <t>Bob Dylan</t>
  </si>
  <si>
    <t>https://artlistdata.blob.core.windows.net/artlist-artistpage/Assaf_Ayalon_-_P_-_3000.jpg</t>
  </si>
  <si>
    <t>The Doors</t>
  </si>
  <si>
    <t>2) Labels list</t>
  </si>
  <si>
    <t>Epic</t>
  </si>
  <si>
    <t>3) Release_Label</t>
  </si>
  <si>
    <t>RELEASE IMAGE URL</t>
  </si>
  <si>
    <t>public URL triggering DIRECT DOWNLOAD of file
(required if distributing content)</t>
  </si>
  <si>
    <t>UPC: 12 digits
EAN: 13 digits
blank if no code yet</t>
  </si>
  <si>
    <t>Internal Ref. ID
required if no code yet</t>
  </si>
  <si>
    <t>Genre
(select from list, start typing or drag)</t>
  </si>
  <si>
    <t>Other/Sub-genre
(select from list, start typing or drag)</t>
  </si>
  <si>
    <t>https://artlistdata.blob.core.windows.net/artlist-images/Soul_Salvation_-_3000_-_18.6.19.jpg</t>
  </si>
  <si>
    <t>Soul Salvation</t>
  </si>
  <si>
    <t>Artlist Original</t>
  </si>
  <si>
    <t>4) Release_Artist(s)</t>
  </si>
  <si>
    <t>ONE ARTIST PER ROW
select from Artists list, start typing or drag
If compilation: Various Artists</t>
  </si>
  <si>
    <t>filter(A:B,F:F="Main Primary Artist")</t>
  </si>
  <si>
    <t>5) Release_Track</t>
  </si>
  <si>
    <t>ISRC</t>
  </si>
  <si>
    <t>CCXXXYY#####
blank if no ISRC yet</t>
  </si>
  <si>
    <t>Internal Ref. ID required if no ISRC/vISRC</t>
  </si>
  <si>
    <t>(select from list, start 
typing or drag)
If no lyrics, select Instrumental</t>
  </si>
  <si>
    <t>public URL triggering audio file DOWNLOAD</t>
  </si>
  <si>
    <t>IL6651901116</t>
  </si>
  <si>
    <t>https://artlistdata.blob.core.windows.net/artlist-wave/Soul_Salvation_-_Soul_Salvation_-_Master_(16-44.1).wav</t>
  </si>
  <si>
    <t>IL6651901117</t>
  </si>
  <si>
    <t>https://artlistdata.blob.core.windows.net/artlist-wave/Soul_Salvation_-_Soul_Salvation_-_Instrumental_-_Master_(16-44.1).wav</t>
  </si>
  <si>
    <t>IL6651901128</t>
  </si>
  <si>
    <t>Going Back</t>
  </si>
  <si>
    <t>https://artlistdata.blob.core.windows.net/artlist-wave/Soul_Salvation_-_Going_Back_(16-44.1).wav</t>
  </si>
  <si>
    <t>6) Track_Artist(s)</t>
  </si>
  <si>
    <t>7) Comp Contributor/Publisher lists</t>
  </si>
  <si>
    <t>Jan Dough</t>
  </si>
  <si>
    <t>AK publishing, LLC (BMI)</t>
  </si>
  <si>
    <t>Elliot Cook</t>
  </si>
  <si>
    <t>AK The Savior Publishing (BMI)</t>
  </si>
  <si>
    <t>8) Track_Composition(s)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</si>
</sst>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yyyy-mm-dd"/>
    <numFmt numFmtId="166" formatCode="yyyy&quot;-&quot;mm&quot;-&quot;dd"/>
    <numFmt numFmtId="167" formatCode="yyyy-mm"/>
  </numFmts>
  <fonts count="59">
    <font>
      <sz val="10.0"/>
      <color rgb="FF000000"/>
      <name val="Arial"/>
      <scheme val="minor"/>
    </font>
    <font>
      <color theme="1"/>
      <name val="Arial"/>
      <scheme val="minor"/>
    </font>
    <font>
      <b/>
      <color rgb="FFFFFFFF"/>
      <name val="Arial"/>
      <scheme val="minor"/>
    </font>
    <font>
      <b/>
      <color theme="1"/>
      <name val="Arial"/>
    </font>
    <font>
      <i/>
      <color rgb="FF000000"/>
      <name val="Arial"/>
      <scheme val="minor"/>
    </font>
    <font>
      <b/>
      <color theme="1"/>
      <name val="-apple-system"/>
    </font>
    <font>
      <b/>
      <color rgb="FFFF0000"/>
      <name val="Arial"/>
    </font>
    <font>
      <sz val="11.0"/>
      <color rgb="FF172B4D"/>
      <name val="-apple-system"/>
    </font>
    <font>
      <sz val="11.0"/>
      <color rgb="FF172B4D"/>
      <name val="Arial"/>
    </font>
    <font>
      <b/>
      <sz val="9.0"/>
      <color rgb="FF000000"/>
      <name val="Calibri"/>
    </font>
    <font>
      <sz val="9.0"/>
      <color rgb="FF000000"/>
      <name val="Calibri"/>
    </font>
    <font>
      <sz val="9.0"/>
      <color theme="1"/>
      <name val="Calibri"/>
    </font>
    <font>
      <b/>
      <sz val="9.0"/>
      <color theme="1"/>
      <name val="Calibri"/>
    </font>
    <font>
      <b/>
      <sz val="9.0"/>
      <color theme="1"/>
      <name val="Arial"/>
    </font>
    <font>
      <b/>
      <sz val="10.0"/>
      <color theme="1"/>
      <name val="Arial"/>
    </font>
    <font>
      <color theme="1"/>
      <name val="Arial"/>
    </font>
    <font>
      <color theme="1"/>
      <name val="'Consolas'"/>
    </font>
    <font>
      <b/>
      <color rgb="FF000000"/>
      <name val="Arial"/>
    </font>
    <font>
      <color rgb="FF000000"/>
      <name val="Arial"/>
    </font>
    <font>
      <u/>
      <color rgb="FF0000FF"/>
    </font>
    <font>
      <sz val="11.0"/>
      <color rgb="FF000000"/>
      <name val="Inconsolata"/>
    </font>
    <font>
      <b/>
      <color theme="1"/>
      <name val="Arial"/>
      <scheme val="minor"/>
    </font>
    <font>
      <sz val="12.0"/>
      <color theme="1"/>
      <name val="Calibri"/>
    </font>
    <font>
      <b/>
      <sz val="13.0"/>
      <color rgb="FFFFFFFF"/>
      <name val="Calibri"/>
    </font>
    <font>
      <color rgb="FF1750EB"/>
      <name val="Consolas"/>
    </font>
    <font>
      <sz val="11.0"/>
      <color rgb="FF000000"/>
      <name val="Calibri"/>
    </font>
    <font>
      <color rgb="FFEA4335"/>
      <name val="Arial"/>
      <scheme val="minor"/>
    </font>
    <font>
      <b/>
      <i/>
      <color rgb="FF0000FF"/>
      <name val="Consolas"/>
    </font>
    <font>
      <b/>
      <sz val="14.0"/>
      <color rgb="FFFFFFFF"/>
      <name val="Calibri"/>
    </font>
    <font>
      <sz val="10.0"/>
      <color theme="1"/>
      <name val="Arial"/>
    </font>
    <font>
      <sz val="11.0"/>
      <color theme="1"/>
      <name val="Aptos Narrow"/>
    </font>
    <font>
      <sz val="11.0"/>
      <color theme="1"/>
      <name val="Arial"/>
    </font>
    <font>
      <color theme="1"/>
      <name val="Calibri"/>
    </font>
    <font>
      <sz val="9.0"/>
      <color theme="1"/>
      <name val="Arial"/>
    </font>
    <font>
      <color theme="1"/>
      <name val="Consolas"/>
    </font>
    <font>
      <u/>
      <color rgb="FF1155CC"/>
      <name val="Consolas"/>
    </font>
    <font>
      <sz val="11.0"/>
      <color rgb="FF000000"/>
      <name val="Arial"/>
    </font>
    <font>
      <u/>
      <color rgb="FF1155CC"/>
      <name val="Consolas"/>
    </font>
    <font>
      <color rgb="FF0033B3"/>
      <name val="Consolas"/>
    </font>
    <font>
      <i/>
      <color rgb="FF1750EB"/>
      <name val="Consolas"/>
    </font>
    <font>
      <b/>
      <i/>
      <color rgb="FF000080"/>
      <name val="'Consolas'"/>
    </font>
    <font>
      <b/>
      <i/>
      <color rgb="FF0000FF"/>
      <name val="'Consolas'"/>
    </font>
    <font>
      <sz val="12.0"/>
      <color rgb="FFFF0000"/>
      <name val="Calibri"/>
    </font>
    <font>
      <sz val="12.0"/>
      <color rgb="FF000000"/>
      <name val="Calibri"/>
    </font>
    <font>
      <b/>
      <sz val="12.0"/>
      <color rgb="FFFF0000"/>
      <name val="Calibri"/>
    </font>
    <font>
      <sz val="12.0"/>
      <color rgb="FFFFFFFF"/>
      <name val="Calibri"/>
    </font>
    <font>
      <sz val="10.0"/>
      <color rgb="FFFF0000"/>
      <name val="Arial"/>
    </font>
    <font>
      <sz val="12.0"/>
      <color rgb="FF000000"/>
      <name val="Arial"/>
    </font>
    <font>
      <sz val="11.0"/>
      <color theme="1"/>
      <name val="Calibri"/>
    </font>
    <font>
      <sz val="12.0"/>
      <color theme="1"/>
      <name val="Arial"/>
    </font>
    <font>
      <b/>
      <sz val="12.0"/>
      <color theme="1"/>
      <name val="Arial"/>
    </font>
    <font>
      <sz val="12.0"/>
      <color rgb="FFFFFFFF"/>
      <name val="Arial"/>
    </font>
    <font>
      <b/>
      <sz val="12.0"/>
      <color rgb="FF000000"/>
      <name val="Arial"/>
    </font>
    <font>
      <color rgb="FF080808"/>
      <name val="Consolas"/>
    </font>
    <font>
      <sz val="10.0"/>
      <color rgb="FF222222"/>
      <name val="Arial"/>
      <scheme val="minor"/>
    </font>
    <font>
      <sz val="11.0"/>
      <color rgb="FF222222"/>
      <name val="&quot;Google Sans&quot;"/>
    </font>
    <font>
      <name val="'Consolas'"/>
    </font>
    <font>
      <sz val="11.0"/>
      <color rgb="FF222222"/>
      <name val="Arial"/>
    </font>
    <font/>
  </fonts>
  <fills count="16">
    <fill>
      <patternFill patternType="none"/>
    </fill>
    <fill>
      <patternFill patternType="lightGray"/>
    </fill>
    <fill>
      <patternFill patternType="solid">
        <fgColor rgb="FFFFFFFF"/>
        <bgColor rgb="FFFFFFFF"/>
      </patternFill>
    </fill>
    <fill>
      <patternFill patternType="solid">
        <fgColor rgb="FF4611EA"/>
        <bgColor rgb="FF4611EA"/>
      </patternFill>
    </fill>
    <fill>
      <patternFill patternType="solid">
        <fgColor rgb="FFD9D9D9"/>
        <bgColor rgb="FFD9D9D9"/>
      </patternFill>
    </fill>
    <fill>
      <patternFill patternType="solid">
        <fgColor rgb="FF000000"/>
        <bgColor rgb="FF000000"/>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B7E1CD"/>
        <bgColor rgb="FFB7E1CD"/>
      </patternFill>
    </fill>
    <fill>
      <patternFill patternType="solid">
        <fgColor rgb="FF4711EA"/>
        <bgColor rgb="FF4711EA"/>
      </patternFill>
    </fill>
    <fill>
      <patternFill patternType="solid">
        <fgColor rgb="FFEFEFEF"/>
        <bgColor rgb="FFEFEFEF"/>
      </patternFill>
    </fill>
    <fill>
      <patternFill patternType="solid">
        <fgColor rgb="FF434343"/>
        <bgColor rgb="FF434343"/>
      </patternFill>
    </fill>
    <fill>
      <patternFill patternType="solid">
        <fgColor rgb="FF999999"/>
        <bgColor rgb="FF999999"/>
      </patternFill>
    </fill>
    <fill>
      <patternFill patternType="solid">
        <fgColor rgb="FF4A86E8"/>
        <bgColor rgb="FF4A86E8"/>
      </patternFill>
    </fill>
    <fill>
      <patternFill patternType="solid">
        <fgColor rgb="FF00FFFF"/>
        <bgColor rgb="FF00FFFF"/>
      </patternFill>
    </fill>
  </fills>
  <borders count="11">
    <border/>
    <border>
      <right/>
    </border>
    <border>
      <left style="thin">
        <color rgb="FF000000"/>
      </left>
      <right style="thin">
        <color rgb="FF000000"/>
      </right>
      <top style="thin">
        <color rgb="FF000000"/>
      </top>
      <bottom style="thin">
        <color rgb="FF000000"/>
      </bottom>
    </border>
    <border>
      <left/>
      <right/>
      <top/>
    </border>
    <border>
      <bottom/>
    </border>
    <border>
      <left/>
      <right/>
      <top/>
      <bottom/>
    </border>
    <border>
      <left/>
      <right/>
    </border>
    <border>
      <left/>
      <right style="thin">
        <color rgb="FFFFFFFF"/>
      </right>
      <bottom/>
    </border>
    <border>
      <left style="thin">
        <color rgb="FFFFFFFF"/>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61">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readingOrder="0"/>
    </xf>
    <xf borderId="0" fillId="2" fontId="1" numFmtId="0" xfId="0" applyAlignment="1" applyFont="1">
      <alignment horizontal="right" readingOrder="0"/>
    </xf>
    <xf borderId="1" fillId="2" fontId="3" numFmtId="0" xfId="0" applyAlignment="1" applyBorder="1" applyFont="1">
      <alignment shrinkToFit="0" vertical="bottom" wrapText="0"/>
    </xf>
    <xf borderId="1" fillId="2" fontId="3" numFmtId="0" xfId="0" applyAlignment="1" applyBorder="1" applyFont="1">
      <alignment readingOrder="0" shrinkToFit="0" vertical="bottom" wrapText="0"/>
    </xf>
    <xf borderId="0" fillId="2" fontId="3" numFmtId="0" xfId="0" applyAlignment="1" applyFont="1">
      <alignment readingOrder="0"/>
    </xf>
    <xf borderId="0" fillId="2" fontId="4" numFmtId="0" xfId="0" applyAlignment="1" applyFont="1">
      <alignment readingOrder="0"/>
    </xf>
    <xf borderId="0" fillId="0" fontId="1" numFmtId="0" xfId="0" applyAlignment="1" applyFont="1">
      <alignment readingOrder="0"/>
    </xf>
    <xf borderId="0" fillId="2" fontId="5" numFmtId="0" xfId="0" applyFont="1"/>
    <xf borderId="0" fillId="2"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4" fontId="9" numFmtId="0" xfId="0" applyAlignment="1" applyFill="1" applyFont="1">
      <alignment horizontal="center" shrinkToFit="0" wrapText="1"/>
    </xf>
    <xf borderId="0" fillId="5" fontId="2" numFmtId="0" xfId="0" applyAlignment="1" applyFill="1" applyFont="1">
      <alignment horizontal="center" readingOrder="0"/>
    </xf>
    <xf borderId="0" fillId="4" fontId="10" numFmtId="0" xfId="0" applyAlignment="1" applyFont="1">
      <alignment horizontal="center" shrinkToFit="0" vertical="bottom" wrapText="1"/>
    </xf>
    <xf borderId="0" fillId="4" fontId="9" numFmtId="0" xfId="0" applyAlignment="1" applyFont="1">
      <alignment horizontal="center" shrinkToFit="0" vertical="bottom" wrapText="1"/>
    </xf>
    <xf borderId="0" fillId="4" fontId="11" numFmtId="0" xfId="0" applyAlignment="1" applyFont="1">
      <alignment horizontal="center" shrinkToFit="0" vertical="bottom" wrapText="1"/>
    </xf>
    <xf borderId="0" fillId="4" fontId="12" numFmtId="0" xfId="0" applyAlignment="1" applyFont="1">
      <alignment horizontal="center" shrinkToFit="0" vertical="bottom" wrapText="1"/>
    </xf>
    <xf borderId="0" fillId="0" fontId="13" numFmtId="0" xfId="0" applyAlignment="1" applyFont="1">
      <alignment horizontal="right" shrinkToFit="0" vertical="bottom" wrapText="0"/>
    </xf>
    <xf borderId="0" fillId="0" fontId="1" numFmtId="164" xfId="0" applyAlignment="1" applyFont="1" applyNumberFormat="1">
      <alignment readingOrder="0"/>
    </xf>
    <xf borderId="0" fillId="6" fontId="14" numFmtId="49" xfId="0" applyAlignment="1" applyFill="1" applyFont="1" applyNumberFormat="1">
      <alignment horizontal="center" shrinkToFit="0" vertical="center" wrapText="1"/>
    </xf>
    <xf borderId="0" fillId="7" fontId="14" numFmtId="49" xfId="0" applyAlignment="1" applyFill="1" applyFont="1" applyNumberFormat="1">
      <alignment horizontal="center" shrinkToFit="0" vertical="center" wrapText="1"/>
    </xf>
    <xf borderId="0" fillId="8" fontId="3" numFmtId="0" xfId="0" applyAlignment="1" applyFill="1" applyFont="1">
      <alignment horizontal="center" vertical="bottom"/>
    </xf>
    <xf quotePrefix="1" borderId="0" fillId="8" fontId="3" numFmtId="0" xfId="0" applyAlignment="1" applyFont="1">
      <alignment horizontal="right" vertical="bottom"/>
    </xf>
    <xf borderId="0" fillId="7" fontId="3" numFmtId="49" xfId="0" applyAlignment="1" applyFont="1" applyNumberFormat="1">
      <alignment shrinkToFit="0" wrapText="1"/>
    </xf>
    <xf borderId="0" fillId="7" fontId="15" numFmtId="49" xfId="0" applyFont="1" applyNumberFormat="1"/>
    <xf borderId="0" fillId="4" fontId="12" numFmtId="0" xfId="0" applyAlignment="1" applyFont="1">
      <alignment horizontal="center" shrinkToFit="0" vertical="bottom" wrapText="1"/>
    </xf>
    <xf borderId="0" fillId="2" fontId="16" numFmtId="0" xfId="0" applyAlignment="1" applyFont="1">
      <alignment readingOrder="0"/>
    </xf>
    <xf borderId="0" fillId="6" fontId="14" numFmtId="49" xfId="0" applyAlignment="1" applyFont="1" applyNumberFormat="1">
      <alignment horizontal="center" readingOrder="0" shrinkToFit="0" vertical="center" wrapText="1"/>
    </xf>
    <xf borderId="0" fillId="7" fontId="3" numFmtId="0" xfId="0" applyAlignment="1" applyFont="1">
      <alignment horizontal="center" readingOrder="0"/>
    </xf>
    <xf borderId="0" fillId="8" fontId="17" numFmtId="0" xfId="0" applyAlignment="1" applyFont="1">
      <alignment horizontal="center" shrinkToFit="0" vertical="bottom" wrapText="1"/>
    </xf>
    <xf borderId="0" fillId="8" fontId="3" numFmtId="0" xfId="0" applyAlignment="1" applyFont="1">
      <alignment horizontal="center" shrinkToFit="0" vertical="bottom" wrapText="1"/>
    </xf>
    <xf borderId="0" fillId="7" fontId="3" numFmtId="0" xfId="0" applyAlignment="1" applyFont="1">
      <alignment horizontal="center" vertical="bottom"/>
    </xf>
    <xf borderId="0" fillId="0" fontId="15" numFmtId="0" xfId="0" applyAlignment="1" applyFont="1">
      <alignment vertical="bottom"/>
    </xf>
    <xf borderId="0" fillId="6" fontId="15" numFmtId="0" xfId="0" applyAlignment="1" applyFont="1">
      <alignment horizontal="center" readingOrder="0" shrinkToFit="0" wrapText="1"/>
    </xf>
    <xf borderId="0" fillId="7" fontId="15" numFmtId="0" xfId="0" applyAlignment="1" applyFont="1">
      <alignment horizontal="center" readingOrder="0" shrinkToFit="0" wrapText="1"/>
    </xf>
    <xf borderId="0" fillId="8" fontId="18" numFmtId="0" xfId="0" applyAlignment="1" applyFont="1">
      <alignment horizontal="center" shrinkToFit="0" vertical="bottom" wrapText="1"/>
    </xf>
    <xf borderId="0" fillId="8" fontId="15" numFmtId="0" xfId="0" applyAlignment="1" applyFont="1">
      <alignment horizontal="center" shrinkToFit="0" vertical="bottom" wrapText="1"/>
    </xf>
    <xf borderId="0" fillId="7" fontId="15" numFmtId="0" xfId="0" applyAlignment="1" applyFont="1">
      <alignment horizontal="center" shrinkToFit="0" vertical="bottom" wrapText="1"/>
    </xf>
    <xf borderId="0" fillId="7" fontId="15" numFmtId="0" xfId="0" applyAlignment="1" applyFont="1">
      <alignment horizontal="center" shrinkToFit="0" vertical="bottom" wrapText="1"/>
    </xf>
    <xf borderId="0" fillId="7" fontId="15" numFmtId="0" xfId="0" applyAlignment="1" applyFont="1">
      <alignment vertical="bottom"/>
    </xf>
    <xf borderId="0" fillId="9" fontId="12" numFmtId="0" xfId="0" applyAlignment="1" applyFill="1" applyFont="1">
      <alignment horizontal="center" shrinkToFit="0" vertical="bottom" wrapText="1"/>
    </xf>
    <xf borderId="0" fillId="2" fontId="16" numFmtId="164" xfId="0" applyAlignment="1" applyFont="1" applyNumberFormat="1">
      <alignment readingOrder="0"/>
    </xf>
    <xf borderId="0" fillId="0" fontId="19" numFmtId="0" xfId="0" applyAlignment="1" applyFont="1">
      <alignment readingOrder="0"/>
    </xf>
    <xf borderId="0" fillId="0" fontId="15" numFmtId="0" xfId="0" applyAlignment="1" applyFont="1">
      <alignment readingOrder="0" vertical="bottom"/>
    </xf>
    <xf borderId="0" fillId="0" fontId="1" numFmtId="49" xfId="0" applyAlignment="1" applyFont="1" applyNumberFormat="1">
      <alignment readingOrder="0"/>
    </xf>
    <xf borderId="0" fillId="0" fontId="15" numFmtId="0" xfId="0" applyAlignment="1" applyFont="1">
      <alignment vertical="bottom"/>
    </xf>
    <xf borderId="0" fillId="2" fontId="20" numFmtId="0" xfId="0" applyAlignment="1" applyFont="1">
      <alignment readingOrder="0"/>
    </xf>
    <xf borderId="0" fillId="0" fontId="1" numFmtId="165" xfId="0" applyAlignment="1" applyFont="1" applyNumberFormat="1">
      <alignment readingOrder="0"/>
    </xf>
    <xf borderId="0" fillId="6" fontId="3" numFmtId="0" xfId="0" applyAlignment="1" applyFont="1">
      <alignment horizontal="center" readingOrder="0" shrinkToFit="0" wrapText="1"/>
    </xf>
    <xf borderId="0" fillId="0" fontId="9" numFmtId="0" xfId="0" applyAlignment="1" applyFont="1">
      <alignment horizontal="center" shrinkToFit="0" vertical="bottom" wrapText="1"/>
    </xf>
    <xf quotePrefix="1" borderId="0" fillId="8" fontId="21" numFmtId="49" xfId="0" applyAlignment="1" applyFont="1" applyNumberFormat="1">
      <alignment readingOrder="0"/>
    </xf>
    <xf quotePrefix="1" borderId="0" fillId="7" fontId="14" numFmtId="49" xfId="0" applyAlignment="1" applyFont="1" applyNumberFormat="1">
      <alignment horizontal="center" readingOrder="0" shrinkToFit="0" vertical="center" wrapText="1"/>
    </xf>
    <xf borderId="0" fillId="4" fontId="9" numFmtId="49" xfId="0" applyAlignment="1" applyFont="1" applyNumberFormat="1">
      <alignment horizontal="center" shrinkToFit="0" wrapText="1"/>
    </xf>
    <xf borderId="0" fillId="0" fontId="22" numFmtId="49" xfId="0" applyFont="1" applyNumberFormat="1"/>
    <xf borderId="0" fillId="0" fontId="22" numFmtId="0" xfId="0" applyFont="1"/>
    <xf quotePrefix="1" borderId="0" fillId="7" fontId="14" numFmtId="166" xfId="0" applyAlignment="1" applyFont="1" applyNumberFormat="1">
      <alignment horizontal="center" readingOrder="0" shrinkToFit="0" vertical="center" wrapText="1"/>
    </xf>
    <xf borderId="0" fillId="0" fontId="1" numFmtId="0" xfId="0" applyFont="1"/>
    <xf borderId="0" fillId="10" fontId="23" numFmtId="0" xfId="0" applyAlignment="1" applyFill="1" applyFont="1">
      <alignment readingOrder="0" shrinkToFit="0" vertical="bottom" wrapText="0"/>
    </xf>
    <xf borderId="0" fillId="10" fontId="15" numFmtId="0" xfId="0" applyAlignment="1" applyFont="1">
      <alignment vertical="bottom"/>
    </xf>
    <xf borderId="0" fillId="10" fontId="15" numFmtId="49" xfId="0" applyAlignment="1" applyFont="1" applyNumberFormat="1">
      <alignment vertical="bottom"/>
    </xf>
    <xf borderId="0" fillId="10" fontId="15" numFmtId="0" xfId="0" applyAlignment="1" applyFont="1">
      <alignment vertical="bottom"/>
    </xf>
    <xf borderId="0" fillId="10" fontId="15" numFmtId="166" xfId="0" applyAlignment="1" applyFont="1" applyNumberFormat="1">
      <alignment vertical="bottom"/>
    </xf>
    <xf borderId="0" fillId="6" fontId="3" numFmtId="0" xfId="0" applyAlignment="1" applyFont="1">
      <alignment horizontal="center" shrinkToFit="0" wrapText="1"/>
    </xf>
    <xf borderId="0" fillId="8" fontId="3" numFmtId="49" xfId="0" applyAlignment="1" applyFont="1" applyNumberFormat="1">
      <alignment horizontal="center" readingOrder="0" shrinkToFit="0" wrapText="1"/>
    </xf>
    <xf borderId="0" fillId="8" fontId="3" numFmtId="49" xfId="0" applyAlignment="1" applyFont="1" applyNumberFormat="1">
      <alignment horizontal="center" shrinkToFit="0" vertical="bottom" wrapText="1"/>
    </xf>
    <xf borderId="0" fillId="8" fontId="3" numFmtId="49" xfId="0" applyAlignment="1" applyFont="1" applyNumberFormat="1">
      <alignment horizontal="center" shrinkToFit="0" wrapText="1"/>
    </xf>
    <xf borderId="0" fillId="8" fontId="3" numFmtId="49" xfId="0" applyAlignment="1" applyFont="1" applyNumberFormat="1">
      <alignment horizontal="center" readingOrder="0" shrinkToFit="0" wrapText="1"/>
    </xf>
    <xf borderId="0" fillId="6" fontId="3" numFmtId="49" xfId="0" applyAlignment="1" applyFont="1" applyNumberFormat="1">
      <alignment horizontal="center" shrinkToFit="0" wrapText="1"/>
    </xf>
    <xf borderId="0" fillId="7" fontId="3" numFmtId="49" xfId="0" applyAlignment="1" applyFont="1" applyNumberFormat="1">
      <alignment horizontal="center" shrinkToFit="0" wrapText="1"/>
    </xf>
    <xf borderId="0" fillId="6" fontId="3" numFmtId="0" xfId="0" applyAlignment="1" applyFont="1">
      <alignment horizontal="left" readingOrder="0" shrinkToFit="0" wrapText="0"/>
    </xf>
    <xf borderId="0" fillId="7" fontId="3" numFmtId="166" xfId="0" applyAlignment="1" applyFont="1" applyNumberFormat="1">
      <alignment horizontal="center" shrinkToFit="0" wrapText="1"/>
    </xf>
    <xf borderId="0" fillId="6" fontId="3" numFmtId="0" xfId="0" applyAlignment="1" applyFont="1">
      <alignment horizontal="center" shrinkToFit="0" vertical="bottom" wrapText="1"/>
    </xf>
    <xf borderId="0" fillId="7" fontId="3" numFmtId="0" xfId="0" applyAlignment="1" applyFont="1">
      <alignment horizontal="center" shrinkToFit="0" vertical="bottom" wrapText="1"/>
    </xf>
    <xf borderId="0" fillId="2" fontId="24" numFmtId="0" xfId="0" applyAlignment="1" applyFont="1">
      <alignment readingOrder="0"/>
    </xf>
    <xf borderId="0" fillId="6" fontId="18" numFmtId="0" xfId="0" applyAlignment="1" applyFont="1">
      <alignment horizontal="center" readingOrder="0" shrinkToFit="0" wrapText="1"/>
    </xf>
    <xf borderId="0" fillId="8" fontId="15" numFmtId="49" xfId="0" applyAlignment="1" applyFont="1" applyNumberFormat="1">
      <alignment horizontal="center" readingOrder="0" shrinkToFit="0" wrapText="1"/>
    </xf>
    <xf borderId="0" fillId="8" fontId="15" numFmtId="49" xfId="0" applyAlignment="1" applyFont="1" applyNumberFormat="1">
      <alignment horizontal="center" readingOrder="0" shrinkToFit="0" wrapText="1"/>
    </xf>
    <xf borderId="0" fillId="8" fontId="15" numFmtId="49" xfId="0" applyAlignment="1" applyFont="1" applyNumberFormat="1">
      <alignment horizontal="center" readingOrder="0" shrinkToFit="0" wrapText="1"/>
    </xf>
    <xf borderId="0" fillId="6" fontId="15" numFmtId="49" xfId="0" applyAlignment="1" applyFont="1" applyNumberFormat="1">
      <alignment horizontal="center" readingOrder="0" shrinkToFit="0" wrapText="1"/>
    </xf>
    <xf borderId="0" fillId="7" fontId="15" numFmtId="0" xfId="0" applyAlignment="1" applyFont="1">
      <alignment horizontal="center" shrinkToFit="0" wrapText="1"/>
    </xf>
    <xf borderId="0" fillId="0" fontId="15" numFmtId="0" xfId="0" applyAlignment="1" applyFont="1">
      <alignment horizontal="center" readingOrder="0" vertical="bottom"/>
    </xf>
    <xf borderId="0" fillId="0" fontId="15" numFmtId="0" xfId="0" applyAlignment="1" applyFont="1">
      <alignment horizontal="right" readingOrder="0" vertical="bottom"/>
    </xf>
    <xf borderId="0" fillId="0" fontId="15" numFmtId="49" xfId="0" applyAlignment="1" applyFont="1" applyNumberFormat="1">
      <alignment readingOrder="0" vertical="bottom"/>
    </xf>
    <xf borderId="0" fillId="0" fontId="1" numFmtId="166" xfId="0" applyAlignment="1" applyFont="1" applyNumberFormat="1">
      <alignment readingOrder="0"/>
    </xf>
    <xf borderId="0" fillId="0" fontId="25" numFmtId="0" xfId="0" applyAlignment="1" applyFont="1">
      <alignment horizontal="left" readingOrder="0" shrinkToFit="0" vertical="bottom" wrapText="0"/>
    </xf>
    <xf borderId="0" fillId="2" fontId="15" numFmtId="0" xfId="0" applyAlignment="1" applyFont="1">
      <alignment readingOrder="0"/>
    </xf>
    <xf borderId="0" fillId="0" fontId="15" numFmtId="0" xfId="0" applyAlignment="1" applyFont="1">
      <alignment horizontal="center" readingOrder="0"/>
    </xf>
    <xf borderId="0" fillId="0" fontId="26" numFmtId="0" xfId="0" applyAlignment="1" applyFont="1">
      <alignment readingOrder="0"/>
    </xf>
    <xf borderId="0" fillId="0" fontId="15" numFmtId="0" xfId="0" applyAlignment="1" applyFont="1">
      <alignment horizontal="right" vertical="bottom"/>
    </xf>
    <xf borderId="0" fillId="0" fontId="15" numFmtId="49" xfId="0" applyAlignment="1" applyFont="1" applyNumberFormat="1">
      <alignment vertical="bottom"/>
    </xf>
    <xf borderId="0" fillId="0" fontId="1" numFmtId="0" xfId="0" applyFont="1"/>
    <xf borderId="0" fillId="0" fontId="1" numFmtId="166" xfId="0" applyFont="1" applyNumberFormat="1"/>
    <xf borderId="0" fillId="0" fontId="15" numFmtId="0" xfId="0" applyAlignment="1" applyFont="1">
      <alignment horizontal="center"/>
    </xf>
    <xf borderId="0" fillId="2" fontId="16" numFmtId="166" xfId="0" applyAlignment="1" applyFont="1" applyNumberFormat="1">
      <alignment readingOrder="0"/>
    </xf>
    <xf borderId="0" fillId="0" fontId="25" numFmtId="0" xfId="0" applyAlignment="1" applyFont="1">
      <alignment horizontal="right" readingOrder="0" shrinkToFit="0" vertical="bottom" wrapText="0"/>
    </xf>
    <xf borderId="0" fillId="0" fontId="1" numFmtId="49" xfId="0" applyFont="1" applyNumberFormat="1"/>
    <xf borderId="0" fillId="0" fontId="1" numFmtId="0" xfId="0" applyAlignment="1" applyFont="1">
      <alignment horizontal="center"/>
    </xf>
    <xf quotePrefix="1" borderId="0" fillId="4" fontId="3" numFmtId="49" xfId="0" applyAlignment="1" applyFont="1" applyNumberFormat="1">
      <alignment horizontal="left" readingOrder="0" shrinkToFit="0" wrapText="0"/>
    </xf>
    <xf borderId="0" fillId="4" fontId="15" numFmtId="49" xfId="0" applyAlignment="1" applyFont="1" applyNumberFormat="1">
      <alignment horizontal="center" readingOrder="0" shrinkToFit="0" wrapText="1"/>
    </xf>
    <xf quotePrefix="1" borderId="0" fillId="8" fontId="21" numFmtId="0" xfId="0" applyAlignment="1" applyFont="1">
      <alignment readingOrder="0"/>
    </xf>
    <xf borderId="0" fillId="2" fontId="27" numFmtId="0" xfId="0" applyAlignment="1" applyFont="1">
      <alignment readingOrder="0"/>
    </xf>
    <xf borderId="0" fillId="10" fontId="23" numFmtId="0" xfId="0" applyAlignment="1" applyFont="1">
      <alignment readingOrder="0"/>
    </xf>
    <xf borderId="0" fillId="10" fontId="22" numFmtId="49" xfId="0" applyFont="1" applyNumberFormat="1"/>
    <xf borderId="0" fillId="10" fontId="28" numFmtId="0" xfId="0" applyAlignment="1" applyFont="1">
      <alignment readingOrder="0"/>
    </xf>
    <xf borderId="0" fillId="10" fontId="22" numFmtId="0" xfId="0" applyFont="1"/>
    <xf borderId="0" fillId="10" fontId="15" numFmtId="0" xfId="0" applyAlignment="1" applyFont="1">
      <alignment horizontal="center" vertical="bottom"/>
    </xf>
    <xf borderId="0" fillId="11" fontId="3" numFmtId="49" xfId="0" applyAlignment="1" applyFill="1" applyFont="1" applyNumberFormat="1">
      <alignment horizontal="center" shrinkToFit="0" wrapText="1"/>
    </xf>
    <xf borderId="0" fillId="6" fontId="3" numFmtId="49" xfId="0" applyAlignment="1" applyFont="1" applyNumberFormat="1">
      <alignment horizontal="center" readingOrder="0" shrinkToFit="0" wrapText="1"/>
    </xf>
    <xf borderId="0" fillId="11" fontId="3" numFmtId="49" xfId="0" applyAlignment="1" applyFont="1" applyNumberFormat="1">
      <alignment horizontal="center" shrinkToFit="0" vertical="bottom" wrapText="1"/>
    </xf>
    <xf borderId="0" fillId="11" fontId="15" numFmtId="49" xfId="0" applyAlignment="1" applyFont="1" applyNumberFormat="1">
      <alignment horizontal="center" readingOrder="0" shrinkToFit="0" wrapText="1"/>
    </xf>
    <xf borderId="0" fillId="6" fontId="29" numFmtId="49" xfId="0" applyAlignment="1" applyFont="1" applyNumberFormat="1">
      <alignment horizontal="center" readingOrder="0" shrinkToFit="0" vertical="bottom" wrapText="1"/>
    </xf>
    <xf borderId="0" fillId="11" fontId="15" numFmtId="0" xfId="0" applyAlignment="1" applyFont="1">
      <alignment horizontal="center" shrinkToFit="0" vertical="bottom" wrapText="1"/>
    </xf>
    <xf borderId="0" fillId="0" fontId="30" numFmtId="0" xfId="0" applyAlignment="1" applyFont="1">
      <alignment horizontal="right" vertical="bottom"/>
    </xf>
    <xf borderId="0" fillId="2" fontId="15" numFmtId="49" xfId="0" applyAlignment="1" applyFont="1" applyNumberFormat="1">
      <alignment vertical="bottom"/>
    </xf>
    <xf borderId="0" fillId="11" fontId="15" numFmtId="0" xfId="0" applyAlignment="1" applyFont="1">
      <alignment vertical="bottom"/>
    </xf>
    <xf borderId="0" fillId="0" fontId="31" numFmtId="0" xfId="0" applyAlignment="1" applyFont="1">
      <alignment readingOrder="0" vertical="bottom"/>
    </xf>
    <xf borderId="0" fillId="0" fontId="15" numFmtId="0" xfId="0" applyAlignment="1" applyFont="1">
      <alignment horizontal="center" vertical="bottom"/>
    </xf>
    <xf borderId="0" fillId="11" fontId="15" numFmtId="0" xfId="0" applyAlignment="1" applyFont="1">
      <alignment horizontal="center" vertical="bottom"/>
    </xf>
    <xf borderId="0" fillId="2" fontId="16" numFmtId="49" xfId="0" applyAlignment="1" applyFont="1" applyNumberFormat="1">
      <alignment readingOrder="0"/>
    </xf>
    <xf borderId="0" fillId="11" fontId="16" numFmtId="0" xfId="0" applyAlignment="1" applyFont="1">
      <alignment readingOrder="0"/>
    </xf>
    <xf borderId="0" fillId="11" fontId="15" numFmtId="0" xfId="0" applyAlignment="1" applyFont="1">
      <alignment horizontal="center" readingOrder="0" vertical="bottom"/>
    </xf>
    <xf borderId="0" fillId="0" fontId="18" numFmtId="0" xfId="0" applyAlignment="1" applyFont="1">
      <alignment horizontal="right" readingOrder="0" shrinkToFit="0" vertical="bottom" wrapText="0"/>
    </xf>
    <xf borderId="0" fillId="0" fontId="16" numFmtId="0" xfId="0" applyAlignment="1" applyFont="1">
      <alignment readingOrder="0"/>
    </xf>
    <xf borderId="0" fillId="11" fontId="15" numFmtId="0" xfId="0" applyAlignment="1" applyFont="1">
      <alignment horizontal="center" vertical="bottom"/>
    </xf>
    <xf borderId="0" fillId="10" fontId="22" numFmtId="0" xfId="0" applyAlignment="1" applyFont="1">
      <alignment horizontal="center"/>
    </xf>
    <xf borderId="0" fillId="10" fontId="22" numFmtId="0" xfId="0" applyAlignment="1" applyFont="1">
      <alignment horizontal="left"/>
    </xf>
    <xf borderId="0" fillId="0" fontId="32" numFmtId="0" xfId="0" applyFont="1"/>
    <xf borderId="0" fillId="8" fontId="3" numFmtId="0" xfId="0" applyAlignment="1" applyFont="1">
      <alignment horizontal="center" readingOrder="0" shrinkToFit="0" wrapText="1"/>
    </xf>
    <xf borderId="0" fillId="7" fontId="3" numFmtId="0" xfId="0" applyAlignment="1" applyFont="1">
      <alignment horizontal="center" shrinkToFit="0" wrapText="1"/>
    </xf>
    <xf borderId="0" fillId="7" fontId="3" numFmtId="0" xfId="0" applyAlignment="1" applyFont="1">
      <alignment horizontal="center" readingOrder="0" shrinkToFit="0" wrapText="1"/>
    </xf>
    <xf borderId="0" fillId="11" fontId="15" numFmtId="49" xfId="0" applyAlignment="1" applyFont="1" applyNumberFormat="1">
      <alignment horizontal="center" readingOrder="0" shrinkToFit="0" wrapText="0"/>
    </xf>
    <xf borderId="0" fillId="11" fontId="17" numFmtId="49" xfId="0" applyAlignment="1" applyFont="1" applyNumberFormat="1">
      <alignment horizontal="center" readingOrder="0" vertical="center"/>
    </xf>
    <xf borderId="0" fillId="8" fontId="33" numFmtId="49" xfId="0" applyAlignment="1" applyFont="1" applyNumberFormat="1">
      <alignment horizontal="center" readingOrder="0" shrinkToFit="0" wrapText="1"/>
    </xf>
    <xf borderId="0" fillId="6" fontId="29" numFmtId="49" xfId="0" applyAlignment="1" applyFont="1" applyNumberFormat="1">
      <alignment horizontal="center" readingOrder="0" shrinkToFit="0" wrapText="1"/>
    </xf>
    <xf borderId="0" fillId="8" fontId="15" numFmtId="49" xfId="0" applyAlignment="1" applyFont="1" applyNumberFormat="1">
      <alignment horizontal="center" shrinkToFit="0" vertical="bottom" wrapText="1"/>
    </xf>
    <xf borderId="0" fillId="11" fontId="34" numFmtId="0" xfId="0" applyAlignment="1" applyFont="1">
      <alignment vertical="bottom"/>
    </xf>
    <xf borderId="0" fillId="2" fontId="34" numFmtId="0" xfId="0" applyAlignment="1" applyFont="1">
      <alignment vertical="bottom"/>
    </xf>
    <xf borderId="0" fillId="0" fontId="35" numFmtId="0" xfId="0" applyAlignment="1" applyFont="1">
      <alignment shrinkToFit="0" vertical="bottom" wrapText="0"/>
    </xf>
    <xf borderId="0" fillId="2" fontId="34" numFmtId="0" xfId="0" applyAlignment="1" applyFont="1">
      <alignment horizontal="right" vertical="bottom"/>
    </xf>
    <xf borderId="0" fillId="2" fontId="36" numFmtId="0" xfId="0" applyAlignment="1" applyFont="1">
      <alignment readingOrder="0"/>
    </xf>
    <xf borderId="0" fillId="0" fontId="15" numFmtId="0" xfId="0" applyAlignment="1" applyFont="1">
      <alignment shrinkToFit="0" vertical="bottom" wrapText="0"/>
    </xf>
    <xf borderId="0" fillId="2" fontId="15" numFmtId="0" xfId="0" applyAlignment="1" applyFont="1">
      <alignment vertical="bottom"/>
    </xf>
    <xf borderId="0" fillId="2" fontId="37" numFmtId="0" xfId="0" applyAlignment="1" applyFont="1">
      <alignment vertical="bottom"/>
    </xf>
    <xf borderId="0" fillId="2" fontId="15" numFmtId="0" xfId="0" applyAlignment="1" applyFont="1">
      <alignment vertical="bottom"/>
    </xf>
    <xf borderId="0" fillId="2" fontId="34" numFmtId="0" xfId="0" applyAlignment="1" applyFont="1">
      <alignment vertical="bottom"/>
    </xf>
    <xf borderId="0" fillId="11" fontId="16" numFmtId="0" xfId="0" applyAlignment="1" applyFont="1">
      <alignment horizontal="left" readingOrder="0"/>
    </xf>
    <xf borderId="0" fillId="2" fontId="16" numFmtId="0" xfId="0" applyAlignment="1" applyFont="1">
      <alignment horizontal="left" readingOrder="0"/>
    </xf>
    <xf borderId="0" fillId="0" fontId="15" numFmtId="0" xfId="0" applyAlignment="1" applyFont="1">
      <alignment readingOrder="0" vertical="bottom"/>
    </xf>
    <xf borderId="0" fillId="0" fontId="1" numFmtId="0" xfId="0" applyAlignment="1" applyFont="1">
      <alignment horizontal="center" readingOrder="0"/>
    </xf>
    <xf borderId="0" fillId="0" fontId="16" numFmtId="0" xfId="0" applyAlignment="1" applyFont="1">
      <alignment readingOrder="0" shrinkToFit="0" wrapText="0"/>
    </xf>
    <xf borderId="0" fillId="2" fontId="16" numFmtId="0" xfId="0" applyAlignment="1" applyFont="1">
      <alignment horizontal="center" readingOrder="0"/>
    </xf>
    <xf borderId="0" fillId="2" fontId="38" numFmtId="0" xfId="0" applyAlignment="1" applyFont="1">
      <alignment readingOrder="0"/>
    </xf>
    <xf borderId="0" fillId="0" fontId="18" numFmtId="0" xfId="0" applyAlignment="1" applyFont="1">
      <alignment readingOrder="0" shrinkToFit="0" vertical="bottom" wrapText="0"/>
    </xf>
    <xf borderId="0" fillId="0" fontId="1" numFmtId="0" xfId="0" applyAlignment="1" applyFont="1">
      <alignment horizontal="left"/>
    </xf>
    <xf borderId="0" fillId="2" fontId="39" numFmtId="0" xfId="0" applyAlignment="1" applyFont="1">
      <alignment readingOrder="0"/>
    </xf>
    <xf borderId="0" fillId="10" fontId="28" numFmtId="0" xfId="0" applyFont="1"/>
    <xf borderId="0" fillId="11" fontId="3" numFmtId="49" xfId="0" applyAlignment="1" applyFont="1" applyNumberFormat="1">
      <alignment horizontal="center" readingOrder="0" shrinkToFit="0" wrapText="1"/>
    </xf>
    <xf borderId="0" fillId="8" fontId="15" numFmtId="49" xfId="0" applyAlignment="1" applyFont="1" applyNumberFormat="1">
      <alignment horizontal="center" readingOrder="0" shrinkToFit="0" vertical="bottom" wrapText="1"/>
    </xf>
    <xf borderId="0" fillId="0" fontId="1" numFmtId="167" xfId="0" applyAlignment="1" applyFont="1" applyNumberFormat="1">
      <alignment readingOrder="0"/>
    </xf>
    <xf quotePrefix="1" borderId="0" fillId="7" fontId="3" numFmtId="49" xfId="0" applyAlignment="1" applyFont="1" applyNumberFormat="1">
      <alignment horizontal="center" shrinkToFit="0" wrapText="1"/>
    </xf>
    <xf quotePrefix="1" borderId="0" fillId="8" fontId="21" numFmtId="0" xfId="0" applyAlignment="1" applyFont="1">
      <alignment horizontal="center" readingOrder="0"/>
    </xf>
    <xf borderId="0" fillId="8" fontId="15" numFmtId="0" xfId="0" applyAlignment="1" applyFont="1">
      <alignment vertical="bottom"/>
    </xf>
    <xf borderId="0" fillId="7" fontId="3" numFmtId="49" xfId="0" applyAlignment="1" applyFont="1" applyNumberFormat="1">
      <alignment horizontal="center" shrinkToFit="0" vertical="bottom" wrapText="1"/>
    </xf>
    <xf borderId="0" fillId="6" fontId="15" numFmtId="49" xfId="0" applyAlignment="1" applyFont="1" applyNumberFormat="1">
      <alignment horizontal="center" readingOrder="0" shrinkToFit="0" wrapText="1"/>
    </xf>
    <xf borderId="0" fillId="7" fontId="15" numFmtId="49" xfId="0" applyAlignment="1" applyFont="1" applyNumberFormat="1">
      <alignment horizontal="center" shrinkToFit="0" wrapText="1"/>
    </xf>
    <xf borderId="0" fillId="2" fontId="31" numFmtId="0" xfId="0" applyAlignment="1" applyFont="1">
      <alignment readingOrder="0"/>
    </xf>
    <xf quotePrefix="1" borderId="0" fillId="11" fontId="3" numFmtId="49" xfId="0" applyAlignment="1" applyFont="1" applyNumberFormat="1">
      <alignment horizontal="left" readingOrder="0" shrinkToFit="0" wrapText="0"/>
    </xf>
    <xf borderId="0" fillId="4" fontId="9" numFmtId="4" xfId="0" applyAlignment="1" applyFont="1" applyNumberFormat="1">
      <alignment horizontal="center" shrinkToFit="0" wrapText="1"/>
    </xf>
    <xf borderId="2" fillId="10" fontId="28" numFmtId="0" xfId="0" applyAlignment="1" applyBorder="1" applyFont="1">
      <alignment readingOrder="0" shrinkToFit="0" vertical="bottom" wrapText="0"/>
    </xf>
    <xf borderId="0" fillId="8" fontId="21" numFmtId="0" xfId="0" applyAlignment="1" applyFont="1">
      <alignment readingOrder="0"/>
    </xf>
    <xf borderId="0" fillId="6" fontId="3" numFmtId="10" xfId="0" applyAlignment="1" applyFont="1" applyNumberFormat="1">
      <alignment horizontal="center" readingOrder="0" shrinkToFit="0" wrapText="1"/>
    </xf>
    <xf borderId="0" fillId="11" fontId="15" numFmtId="49" xfId="0" applyAlignment="1" applyFont="1" applyNumberFormat="1">
      <alignment horizontal="center" shrinkToFit="0" vertical="bottom" wrapText="1"/>
    </xf>
    <xf borderId="0" fillId="6" fontId="29" numFmtId="10" xfId="0" applyAlignment="1" applyFont="1" applyNumberFormat="1">
      <alignment horizontal="center" readingOrder="0" shrinkToFit="0" vertical="bottom" wrapText="1"/>
    </xf>
    <xf borderId="0" fillId="8" fontId="15" numFmtId="0" xfId="0" applyAlignment="1" applyFont="1">
      <alignment horizontal="center" readingOrder="0" shrinkToFit="0" wrapText="1"/>
    </xf>
    <xf borderId="0" fillId="0" fontId="31" numFmtId="0" xfId="0" applyAlignment="1" applyFont="1">
      <alignment vertical="bottom"/>
    </xf>
    <xf borderId="0" fillId="0" fontId="15" numFmtId="10" xfId="0" applyAlignment="1" applyFont="1" applyNumberFormat="1">
      <alignment horizontal="right" vertical="bottom"/>
    </xf>
    <xf borderId="0" fillId="0" fontId="34" numFmtId="10" xfId="0" applyAlignment="1" applyFont="1" applyNumberFormat="1">
      <alignment horizontal="right" vertical="bottom"/>
    </xf>
    <xf borderId="0" fillId="0" fontId="30" numFmtId="0" xfId="0" applyAlignment="1" applyFont="1">
      <alignment vertical="bottom"/>
    </xf>
    <xf borderId="0" fillId="9" fontId="34" numFmtId="10" xfId="0" applyAlignment="1" applyFont="1" applyNumberFormat="1">
      <alignment horizontal="right" vertical="bottom"/>
    </xf>
    <xf borderId="0" fillId="2" fontId="40" numFmtId="0" xfId="0" applyAlignment="1" applyFont="1">
      <alignment readingOrder="0"/>
    </xf>
    <xf borderId="0" fillId="11" fontId="34" numFmtId="10" xfId="0" applyAlignment="1" applyFont="1" applyNumberFormat="1">
      <alignment horizontal="right" vertical="bottom"/>
    </xf>
    <xf borderId="0" fillId="2" fontId="41" numFmtId="0" xfId="0" applyAlignment="1" applyFont="1">
      <alignment readingOrder="0"/>
    </xf>
    <xf borderId="0" fillId="2" fontId="16" numFmtId="10" xfId="0" applyAlignment="1" applyFont="1" applyNumberFormat="1">
      <alignment readingOrder="0"/>
    </xf>
    <xf borderId="0" fillId="0" fontId="1" numFmtId="10" xfId="0" applyFont="1" applyNumberFormat="1"/>
    <xf borderId="0" fillId="6" fontId="14" numFmtId="49" xfId="0" applyAlignment="1" applyFont="1" applyNumberFormat="1">
      <alignment horizontal="left" shrinkToFit="0" vertical="center" wrapText="0"/>
    </xf>
    <xf borderId="0" fillId="6" fontId="3" numFmtId="49" xfId="0" applyAlignment="1" applyFont="1" applyNumberFormat="1">
      <alignment horizontal="center" readingOrder="0" shrinkToFit="0" vertical="center" wrapText="0"/>
    </xf>
    <xf borderId="0" fillId="12" fontId="15" numFmtId="0" xfId="0" applyAlignment="1" applyFill="1" applyFont="1">
      <alignment horizontal="center"/>
    </xf>
    <xf borderId="0" fillId="2" fontId="42" numFmtId="0" xfId="0" applyAlignment="1" applyFont="1">
      <alignment shrinkToFit="0" wrapText="0"/>
    </xf>
    <xf borderId="0" fillId="0" fontId="43" numFmtId="0" xfId="0" applyAlignment="1" applyFont="1">
      <alignment readingOrder="0" shrinkToFit="0" wrapText="0"/>
    </xf>
    <xf borderId="0" fillId="0" fontId="43" numFmtId="0" xfId="0" applyAlignment="1" applyFont="1">
      <alignment shrinkToFit="0" wrapText="0"/>
    </xf>
    <xf borderId="3" fillId="13" fontId="44" numFmtId="0" xfId="0" applyAlignment="1" applyBorder="1" applyFill="1" applyFont="1">
      <alignment shrinkToFit="0" vertical="bottom" wrapText="0"/>
    </xf>
    <xf borderId="4" fillId="13" fontId="15" numFmtId="0" xfId="0" applyAlignment="1" applyBorder="1" applyFont="1">
      <alignment horizontal="center" vertical="bottom"/>
    </xf>
    <xf borderId="4" fillId="13" fontId="15" numFmtId="0" xfId="0" applyAlignment="1" applyBorder="1" applyFont="1">
      <alignment horizontal="center" vertical="bottom"/>
    </xf>
    <xf borderId="4" fillId="13" fontId="15" numFmtId="0" xfId="0" applyAlignment="1" applyBorder="1" applyFont="1">
      <alignment vertical="bottom"/>
    </xf>
    <xf borderId="3" fillId="13" fontId="45" numFmtId="0" xfId="0" applyAlignment="1" applyBorder="1" applyFont="1">
      <alignment vertical="bottom"/>
    </xf>
    <xf borderId="5" fillId="13" fontId="45" numFmtId="0" xfId="0" applyAlignment="1" applyBorder="1" applyFont="1">
      <alignment vertical="bottom"/>
    </xf>
    <xf borderId="0" fillId="13" fontId="45" numFmtId="0" xfId="0" applyAlignment="1" applyFont="1">
      <alignment vertical="bottom"/>
    </xf>
    <xf borderId="3" fillId="13" fontId="45" numFmtId="0" xfId="0" applyAlignment="1" applyBorder="1" applyFont="1">
      <alignment vertical="bottom"/>
    </xf>
    <xf borderId="6" fillId="13" fontId="45" numFmtId="0" xfId="0" applyAlignment="1" applyBorder="1" applyFont="1">
      <alignment vertical="bottom"/>
    </xf>
    <xf borderId="6" fillId="13" fontId="45" numFmtId="0" xfId="0" applyAlignment="1" applyBorder="1" applyFont="1">
      <alignment vertical="bottom"/>
    </xf>
    <xf borderId="0" fillId="13" fontId="45" numFmtId="0" xfId="0" applyAlignment="1" applyFont="1">
      <alignment vertical="bottom"/>
    </xf>
    <xf borderId="0" fillId="2" fontId="46" numFmtId="0" xfId="0" applyAlignment="1" applyFont="1">
      <alignment readingOrder="0" shrinkToFit="0" vertical="center" wrapText="0"/>
    </xf>
    <xf borderId="0" fillId="2" fontId="47" numFmtId="0" xfId="0" applyAlignment="1" applyFont="1">
      <alignment shrinkToFit="0" wrapText="0"/>
    </xf>
    <xf borderId="0" fillId="0" fontId="22" numFmtId="0" xfId="0" applyAlignment="1" applyFont="1">
      <alignment vertical="bottom"/>
    </xf>
    <xf borderId="0" fillId="0" fontId="48" numFmtId="0" xfId="0" applyAlignment="1" applyFont="1">
      <alignment vertical="bottom"/>
    </xf>
    <xf borderId="0" fillId="0" fontId="48" numFmtId="0" xfId="0" applyAlignment="1" applyFont="1">
      <alignment horizontal="right" vertical="bottom"/>
    </xf>
    <xf borderId="3" fillId="2" fontId="49" numFmtId="0" xfId="0" applyAlignment="1" applyBorder="1" applyFont="1">
      <alignment vertical="bottom"/>
    </xf>
    <xf borderId="0" fillId="0" fontId="49" numFmtId="0" xfId="0" applyAlignment="1" applyFont="1">
      <alignment readingOrder="0" vertical="bottom"/>
    </xf>
    <xf borderId="0" fillId="0" fontId="49" numFmtId="0" xfId="0" applyAlignment="1" applyFont="1">
      <alignment horizontal="right" readingOrder="0" vertical="bottom"/>
    </xf>
    <xf borderId="0" fillId="0" fontId="49" numFmtId="0" xfId="0" applyAlignment="1" applyFont="1">
      <alignment vertical="bottom"/>
    </xf>
    <xf borderId="0" fillId="0" fontId="46" numFmtId="0" xfId="0" applyAlignment="1" applyFont="1">
      <alignment readingOrder="0" shrinkToFit="0" vertical="center" wrapText="0"/>
    </xf>
    <xf borderId="0" fillId="0" fontId="47" numFmtId="0" xfId="0" applyAlignment="1" applyFont="1">
      <alignment shrinkToFit="0" wrapText="0"/>
    </xf>
    <xf borderId="0" fillId="0" fontId="22" numFmtId="0" xfId="0" applyAlignment="1" applyFont="1">
      <alignment vertical="bottom"/>
    </xf>
    <xf borderId="3" fillId="2" fontId="50" numFmtId="0" xfId="0" applyAlignment="1" applyBorder="1" applyFont="1">
      <alignment vertical="bottom"/>
    </xf>
    <xf borderId="0" fillId="0" fontId="49" numFmtId="0" xfId="0" applyAlignment="1" applyFont="1">
      <alignment horizontal="right" vertical="bottom"/>
    </xf>
    <xf borderId="0" fillId="0" fontId="49" numFmtId="0" xfId="0" applyAlignment="1" applyFont="1">
      <alignment vertical="bottom"/>
    </xf>
    <xf borderId="7" fillId="14" fontId="51" numFmtId="0" xfId="0" applyAlignment="1" applyBorder="1" applyFill="1" applyFont="1">
      <alignment horizontal="center" readingOrder="0" shrinkToFit="0" wrapText="0"/>
    </xf>
    <xf borderId="8" fillId="14" fontId="51" numFmtId="0" xfId="0" applyAlignment="1" applyBorder="1" applyFont="1">
      <alignment horizontal="center" shrinkToFit="0" wrapText="0"/>
    </xf>
    <xf borderId="0" fillId="0" fontId="52" numFmtId="0" xfId="0" applyAlignment="1" applyFont="1">
      <alignment readingOrder="0" shrinkToFit="0" wrapText="0"/>
    </xf>
    <xf borderId="1" fillId="0" fontId="49" numFmtId="0" xfId="0" applyAlignment="1" applyBorder="1" applyFont="1">
      <alignment readingOrder="0" vertical="bottom"/>
    </xf>
    <xf borderId="1" fillId="0" fontId="49" numFmtId="0" xfId="0" applyAlignment="1" applyBorder="1" applyFont="1">
      <alignment horizontal="right" readingOrder="0" vertical="bottom"/>
    </xf>
    <xf borderId="0" fillId="0" fontId="15" numFmtId="0" xfId="0" applyAlignment="1" applyFont="1">
      <alignment horizontal="right" vertical="bottom"/>
    </xf>
    <xf borderId="0" fillId="2" fontId="53" numFmtId="0" xfId="0" applyAlignment="1" applyFont="1">
      <alignment vertical="bottom"/>
    </xf>
    <xf borderId="0" fillId="0" fontId="47" numFmtId="0" xfId="0" applyAlignment="1" applyFont="1">
      <alignment readingOrder="0" shrinkToFit="0" wrapText="0"/>
    </xf>
    <xf borderId="0" fillId="0" fontId="50" numFmtId="0" xfId="0" applyAlignment="1" applyFont="1">
      <alignment vertical="bottom"/>
    </xf>
    <xf borderId="0" fillId="0" fontId="49" numFmtId="0" xfId="0" applyAlignment="1" applyFont="1">
      <alignment horizontal="right" vertical="bottom"/>
    </xf>
    <xf borderId="0" fillId="15" fontId="54" numFmtId="0" xfId="0" applyAlignment="1" applyFill="1" applyFont="1">
      <alignment readingOrder="0"/>
    </xf>
    <xf borderId="2" fillId="2" fontId="55" numFmtId="0" xfId="0" applyAlignment="1" applyBorder="1" applyFont="1">
      <alignment readingOrder="0"/>
    </xf>
    <xf borderId="0" fillId="15" fontId="15" numFmtId="0" xfId="0" applyAlignment="1" applyFont="1">
      <alignment vertical="bottom"/>
    </xf>
    <xf borderId="0" fillId="15" fontId="56" numFmtId="0" xfId="0" applyAlignment="1" applyFont="1">
      <alignment readingOrder="0" shrinkToFit="0" wrapText="0"/>
    </xf>
    <xf borderId="0" fillId="15" fontId="16" numFmtId="0" xfId="0" applyFont="1"/>
    <xf borderId="0" fillId="15" fontId="18" numFmtId="0" xfId="0" applyAlignment="1" applyFont="1">
      <alignment vertical="bottom"/>
    </xf>
    <xf borderId="0" fillId="0" fontId="9" numFmtId="0" xfId="0" applyAlignment="1" applyFont="1">
      <alignment horizontal="center" readingOrder="0" shrinkToFit="0" vertical="bottom" wrapText="1"/>
    </xf>
    <xf borderId="0" fillId="15" fontId="15" numFmtId="0" xfId="0" applyAlignment="1" applyFont="1">
      <alignment readingOrder="0"/>
    </xf>
    <xf borderId="2" fillId="2" fontId="57" numFmtId="0" xfId="0" applyAlignment="1" applyBorder="1" applyFont="1">
      <alignment readingOrder="0"/>
    </xf>
    <xf borderId="0" fillId="15" fontId="1" numFmtId="0" xfId="0" applyAlignment="1" applyFont="1">
      <alignment readingOrder="0"/>
    </xf>
    <xf borderId="0" fillId="15" fontId="56" numFmtId="0" xfId="0" applyAlignment="1" applyFont="1">
      <alignment readingOrder="0"/>
    </xf>
    <xf borderId="0" fillId="15" fontId="16" numFmtId="0" xfId="0" applyAlignment="1" applyFont="1">
      <alignment horizontal="center" readingOrder="0"/>
    </xf>
    <xf borderId="0" fillId="15" fontId="16" numFmtId="0" xfId="0" applyAlignment="1" applyFont="1">
      <alignment readingOrder="0"/>
    </xf>
    <xf borderId="0" fillId="15" fontId="16" numFmtId="0" xfId="0" applyAlignment="1" applyFont="1">
      <alignment horizontal="center" readingOrder="0"/>
    </xf>
    <xf borderId="0" fillId="15" fontId="1" numFmtId="0" xfId="0" applyFont="1"/>
    <xf borderId="0" fillId="15" fontId="15" numFmtId="0" xfId="0" applyAlignment="1" applyFont="1">
      <alignment horizontal="center" readingOrder="0"/>
    </xf>
    <xf borderId="0" fillId="15" fontId="15" numFmtId="0" xfId="0" applyAlignment="1" applyFont="1">
      <alignment horizontal="center"/>
    </xf>
    <xf borderId="2" fillId="2" fontId="55" numFmtId="0" xfId="0" applyAlignment="1" applyBorder="1" applyFont="1">
      <alignment readingOrder="0"/>
    </xf>
    <xf borderId="0" fillId="4" fontId="9" numFmtId="0" xfId="0" applyAlignment="1" applyFont="1">
      <alignment horizontal="center" readingOrder="0" shrinkToFit="0" wrapText="1"/>
    </xf>
    <xf borderId="0" fillId="11" fontId="16" numFmtId="0" xfId="0" applyAlignment="1" applyFont="1">
      <alignment horizontal="center" readingOrder="0"/>
    </xf>
    <xf borderId="0" fillId="15" fontId="15" numFmtId="0" xfId="0" applyAlignment="1" applyFont="1">
      <alignment horizontal="left" readingOrder="0"/>
    </xf>
    <xf borderId="0" fillId="15" fontId="1" numFmtId="0" xfId="0" applyAlignment="1" applyFont="1">
      <alignment horizontal="center" readingOrder="0"/>
    </xf>
    <xf borderId="0" fillId="15" fontId="58" numFmtId="0" xfId="0" applyAlignment="1" applyFont="1">
      <alignment readingOrder="0" shrinkToFit="0" wrapText="0"/>
    </xf>
    <xf borderId="0" fillId="15" fontId="15" numFmtId="0" xfId="0" applyAlignment="1" applyFont="1">
      <alignment readingOrder="0" vertical="bottom"/>
    </xf>
    <xf borderId="9" fillId="2" fontId="57" numFmtId="0" xfId="0" applyAlignment="1" applyBorder="1" applyFont="1">
      <alignment readingOrder="0"/>
    </xf>
    <xf borderId="10" fillId="0" fontId="1" numFmtId="0" xfId="0" applyBorder="1" applyFont="1"/>
    <xf borderId="0" fillId="15" fontId="15" numFmtId="0" xfId="0" applyAlignment="1" applyFont="1">
      <alignment vertical="bottom"/>
    </xf>
    <xf borderId="0" fillId="15" fontId="15" numFmtId="0" xfId="0" applyAlignment="1" applyFont="1">
      <alignment readingOrder="0" vertical="bottom"/>
    </xf>
    <xf borderId="0" fillId="2" fontId="55" numFmtId="0" xfId="0" applyAlignment="1" applyFont="1">
      <alignment readingOrder="0"/>
    </xf>
    <xf borderId="0" fillId="15" fontId="1" numFmtId="10" xfId="0" applyAlignment="1" applyFont="1" applyNumberFormat="1">
      <alignment readingOrder="0"/>
    </xf>
    <xf borderId="0" fillId="11" fontId="16" numFmtId="10" xfId="0" applyAlignment="1" applyFont="1" applyNumberFormat="1">
      <alignment readingOrder="0"/>
    </xf>
    <xf borderId="0" fillId="15" fontId="18" numFmtId="0" xfId="0" applyAlignment="1" applyFont="1">
      <alignment horizontal="left" readingOrder="0"/>
    </xf>
    <xf borderId="0" fillId="15" fontId="16" numFmtId="10" xfId="0" applyAlignment="1" applyFont="1" applyNumberFormat="1">
      <alignment readingOrder="0"/>
    </xf>
  </cellXfs>
  <cellStyles count="1">
    <cellStyle xfId="0" name="Normal" builtinId="0"/>
  </cellStyles>
  <dxfs count="11">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F9900"/>
          <bgColor rgb="FFFF9900"/>
        </patternFill>
      </fill>
      <border/>
    </dxf>
    <dxf>
      <font/>
      <fill>
        <patternFill patternType="solid">
          <fgColor rgb="FFF4CCCC"/>
          <bgColor rgb="FFF4CCCC"/>
        </patternFill>
      </fill>
      <border/>
    </dxf>
    <dxf>
      <font/>
      <fill>
        <patternFill patternType="solid">
          <fgColor rgb="FFF9CB9C"/>
          <bgColor rgb="FFF9CB9C"/>
        </patternFill>
      </fill>
      <border/>
    </dxf>
    <dxf>
      <font/>
      <fill>
        <patternFill patternType="solid">
          <fgColor rgb="FFCC0000"/>
          <bgColor rgb="FFCC0000"/>
        </patternFill>
      </fill>
      <border/>
    </dxf>
    <dxf>
      <font/>
      <fill>
        <patternFill patternType="solid">
          <fgColor rgb="FFFFF2CC"/>
          <bgColor rgb="FFFFF2CC"/>
        </patternFill>
      </fill>
      <border/>
    </dxf>
    <dxf>
      <font/>
      <fill>
        <patternFill patternType="solid">
          <fgColor rgb="FFE6B8AF"/>
          <bgColor rgb="FFE6B8AF"/>
        </patternFill>
      </fill>
      <border/>
    </dxf>
    <dxf>
      <font/>
      <fill>
        <patternFill patternType="solid">
          <fgColor rgb="FF434343"/>
          <bgColor rgb="FF43434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dropbox.com/scl/fi/7safoetk4p2k4vwi29k4c/Receba-789294845633-UPC.jpg?rlkey=3vty6hb78ol10iv3y6h4md8h3&amp;st=m30ox0p4&amp;dl=1" TargetMode="External"/><Relationship Id="rId3" Type="http://schemas.openxmlformats.org/officeDocument/2006/relationships/hyperlink" Target="https://www.dropbox.com/scl/fi/wky0ryb739s0xs3wo5qop/A-Cl-usula-do-Contrato-789294962088-UPC.jpg?rlkey=91bp85llgb8ho5lnfcs56105s&amp;st=dn12pxrd&amp;dl=1"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dropbox.com/scl/fi/7safoetk4p2k4vwi29k4c/Receba-789294845633-UPC.jpg?rlkey=3vty6hb78ol10iv3y6h4md8h3&amp;st=m30ox0p4&amp;dl=1" TargetMode="External"/><Relationship Id="rId3" Type="http://schemas.openxmlformats.org/officeDocument/2006/relationships/hyperlink" Target="https://www.dropbox.com/scl/fi/wky0ryb739s0xs3wo5qop/A-Cl-usula-do-Contrato-789294962088-UPC.jpg?rlkey=91bp85llgb8ho5lnfcs56105s&amp;st=dn12pxrd&amp;dl=1" TargetMode="Externa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dropbox.com/scl/fi/g6ch1pcun31eep1am9mkv/Receba-789294845633-UPC.flac?rlkey=mxh9w3x6d82jmu7mmv2a9trio&amp;st=i02exo9k&amp;dl=1" TargetMode="External"/><Relationship Id="rId3" Type="http://schemas.openxmlformats.org/officeDocument/2006/relationships/hyperlink" Target="https://www.dropbox.com/scl/fi/i5lnp58jvdvz99rmvukp3/A-Cl-usula-do-Contrato-789294962088-UPC.flac?rlkey=hr2u9fvf5lq6u33enhqm3ui3f&amp;st=m6hlmmgt&amp;dl=1" TargetMode="Externa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artlistdata.blob.core.windows.net/artlist-artistpage/Assaf_Ayalon_-_P_-_3000.jpg" TargetMode="External"/><Relationship Id="rId3" Type="http://schemas.openxmlformats.org/officeDocument/2006/relationships/hyperlink" Target="https://artlistdata.blob.core.windows.net/artlist-images/Soul_Salvation_-_3000_-_18.6.19.jpg" TargetMode="External"/><Relationship Id="rId4" Type="http://schemas.openxmlformats.org/officeDocument/2006/relationships/hyperlink" Target="https://artlistdata.blob.core.windows.net/artlist-wave/Soul_Salvation_-_Soul_Salvation_-_Master_(16-44.1).wav" TargetMode="External"/><Relationship Id="rId5" Type="http://schemas.openxmlformats.org/officeDocument/2006/relationships/hyperlink" Target="https://artlistdata.blob.core.windows.net/artlist-wave/Soul_Salvation_-_Soul_Salvation_-_Instrumental_-_Master_(16-44.1).wav" TargetMode="External"/><Relationship Id="rId6" Type="http://schemas.openxmlformats.org/officeDocument/2006/relationships/hyperlink" Target="https://artlistdata.blob.core.windows.net/artlist-wave/Soul_Salvation_-_Going_Back_(16-44.1).wav" TargetMode="External"/><Relationship Id="rId7" Type="http://schemas.openxmlformats.org/officeDocument/2006/relationships/drawing" Target="../drawings/drawing12.xml"/><Relationship Id="rId8"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sheetViews>
  <sheetFormatPr customHeight="1" defaultColWidth="12.63" defaultRowHeight="15.75"/>
  <cols>
    <col customWidth="1" min="2" max="2" width="14.13"/>
  </cols>
  <sheetData>
    <row r="1">
      <c r="A1" s="1"/>
      <c r="B1" s="2" t="s">
        <v>0</v>
      </c>
      <c r="C1" s="1"/>
      <c r="D1" s="1"/>
      <c r="E1" s="1"/>
      <c r="F1" s="1"/>
      <c r="G1" s="1"/>
      <c r="H1" s="1"/>
      <c r="I1" s="1"/>
      <c r="J1" s="1"/>
      <c r="K1" s="1"/>
      <c r="L1" s="1"/>
      <c r="M1" s="1"/>
      <c r="N1" s="1"/>
      <c r="O1" s="1"/>
      <c r="P1" s="1"/>
    </row>
    <row r="2">
      <c r="A2" s="3" t="s">
        <v>1</v>
      </c>
      <c r="B2" s="4" t="s">
        <v>2</v>
      </c>
      <c r="C2" s="1"/>
      <c r="D2" s="1"/>
      <c r="E2" s="1"/>
      <c r="F2" s="1"/>
      <c r="G2" s="1"/>
      <c r="H2" s="1"/>
      <c r="I2" s="1"/>
      <c r="J2" s="1"/>
      <c r="K2" s="1"/>
      <c r="L2" s="1"/>
      <c r="M2" s="1"/>
      <c r="N2" s="1"/>
      <c r="O2" s="1"/>
      <c r="P2" s="1"/>
    </row>
    <row r="3">
      <c r="A3" s="3" t="s">
        <v>3</v>
      </c>
      <c r="B3" s="5" t="s">
        <v>4</v>
      </c>
      <c r="C3" s="1"/>
      <c r="D3" s="1"/>
      <c r="E3" s="1"/>
      <c r="F3" s="1"/>
      <c r="G3" s="1"/>
      <c r="H3" s="1"/>
      <c r="I3" s="1"/>
      <c r="J3" s="1"/>
      <c r="K3" s="1"/>
      <c r="L3" s="1"/>
      <c r="M3" s="1"/>
      <c r="N3" s="1"/>
      <c r="O3" s="1"/>
      <c r="P3" s="1"/>
    </row>
    <row r="4">
      <c r="A4" s="3" t="s">
        <v>5</v>
      </c>
      <c r="B4" s="6" t="s">
        <v>6</v>
      </c>
      <c r="C4" s="1"/>
      <c r="D4" s="1"/>
      <c r="E4" s="1"/>
      <c r="F4" s="1"/>
      <c r="G4" s="1"/>
      <c r="H4" s="1"/>
      <c r="I4" s="1"/>
      <c r="J4" s="1"/>
      <c r="K4" s="1"/>
      <c r="L4" s="1"/>
      <c r="M4" s="1"/>
      <c r="N4" s="1"/>
      <c r="O4" s="1"/>
      <c r="P4" s="1"/>
    </row>
    <row r="5">
      <c r="A5" s="1"/>
      <c r="B5" s="7" t="s">
        <v>7</v>
      </c>
      <c r="C5" s="1"/>
      <c r="D5" s="1"/>
      <c r="E5" s="1"/>
      <c r="F5" s="1"/>
      <c r="G5" s="1"/>
      <c r="H5" s="1"/>
      <c r="I5" s="1"/>
      <c r="J5" s="1"/>
      <c r="K5" s="1"/>
      <c r="L5" s="1"/>
      <c r="M5" s="1"/>
      <c r="N5" s="1"/>
      <c r="O5" s="1"/>
      <c r="P5" s="1"/>
    </row>
    <row r="6">
      <c r="A6" s="1"/>
      <c r="C6" s="1"/>
      <c r="D6" s="1"/>
      <c r="E6" s="1"/>
      <c r="F6" s="1"/>
      <c r="G6" s="1"/>
      <c r="H6" s="1"/>
      <c r="I6" s="1"/>
      <c r="J6" s="1"/>
      <c r="K6" s="1"/>
      <c r="L6" s="1"/>
      <c r="M6" s="1"/>
      <c r="N6" s="1"/>
      <c r="O6" s="1"/>
      <c r="P6" s="1"/>
    </row>
    <row r="7">
      <c r="A7" s="1"/>
      <c r="B7" s="6" t="s">
        <v>8</v>
      </c>
      <c r="C7" s="1"/>
      <c r="D7" s="1"/>
      <c r="E7" s="1"/>
      <c r="F7" s="1"/>
      <c r="G7" s="1"/>
      <c r="H7" s="1"/>
      <c r="I7" s="1"/>
      <c r="J7" s="1"/>
      <c r="K7" s="1"/>
      <c r="L7" s="1"/>
      <c r="M7" s="1"/>
      <c r="N7" s="1"/>
      <c r="O7" s="1"/>
      <c r="P7" s="1"/>
    </row>
    <row r="8">
      <c r="A8" s="1"/>
      <c r="B8" s="6"/>
      <c r="C8" s="1"/>
      <c r="D8" s="1"/>
      <c r="E8" s="1"/>
      <c r="F8" s="1"/>
      <c r="G8" s="1"/>
      <c r="H8" s="1"/>
      <c r="I8" s="1"/>
      <c r="J8" s="1"/>
      <c r="K8" s="1"/>
      <c r="L8" s="1"/>
      <c r="M8" s="1"/>
      <c r="N8" s="1"/>
      <c r="O8" s="1"/>
      <c r="P8" s="1"/>
    </row>
    <row r="9">
      <c r="A9" s="1"/>
      <c r="B9" s="6" t="s">
        <v>9</v>
      </c>
      <c r="C9" s="1"/>
      <c r="D9" s="1"/>
      <c r="E9" s="1"/>
      <c r="F9" s="1"/>
      <c r="G9" s="1"/>
      <c r="H9" s="1"/>
      <c r="I9" s="1"/>
      <c r="J9" s="1"/>
      <c r="K9" s="1"/>
      <c r="L9" s="1"/>
      <c r="M9" s="1"/>
      <c r="N9" s="1"/>
      <c r="O9" s="1"/>
      <c r="P9" s="1"/>
    </row>
    <row r="10">
      <c r="A10" s="1"/>
      <c r="B10" s="6" t="s">
        <v>10</v>
      </c>
      <c r="C10" s="1"/>
      <c r="D10" s="1"/>
      <c r="E10" s="1"/>
      <c r="F10" s="1"/>
      <c r="G10" s="1"/>
      <c r="H10" s="1"/>
      <c r="I10" s="1"/>
      <c r="J10" s="1"/>
      <c r="K10" s="1"/>
      <c r="L10" s="1"/>
      <c r="M10" s="1"/>
      <c r="N10" s="1"/>
      <c r="O10" s="1"/>
      <c r="P10" s="1"/>
    </row>
    <row r="11">
      <c r="A11" s="1"/>
      <c r="B11" s="6" t="s">
        <v>11</v>
      </c>
      <c r="C11" s="1"/>
      <c r="D11" s="1"/>
      <c r="E11" s="1"/>
      <c r="F11" s="1"/>
      <c r="G11" s="1"/>
      <c r="H11" s="1"/>
      <c r="I11" s="1"/>
      <c r="J11" s="1"/>
      <c r="K11" s="1"/>
      <c r="L11" s="1"/>
      <c r="M11" s="1"/>
      <c r="N11" s="1"/>
      <c r="O11" s="1"/>
      <c r="P11" s="1"/>
    </row>
    <row r="12">
      <c r="A12" s="1"/>
      <c r="B12" s="6"/>
      <c r="C12" s="1"/>
      <c r="D12" s="1"/>
      <c r="E12" s="1"/>
      <c r="F12" s="1"/>
      <c r="G12" s="1"/>
      <c r="H12" s="1"/>
      <c r="I12" s="1"/>
      <c r="J12" s="1"/>
      <c r="K12" s="1"/>
      <c r="L12" s="1"/>
      <c r="M12" s="1"/>
      <c r="N12" s="1"/>
      <c r="O12" s="1"/>
      <c r="P12" s="1"/>
    </row>
    <row r="13">
      <c r="A13" s="1"/>
      <c r="B13" s="6" t="s">
        <v>12</v>
      </c>
      <c r="C13" s="1"/>
      <c r="D13" s="1"/>
      <c r="E13" s="1"/>
      <c r="F13" s="1"/>
      <c r="G13" s="1"/>
      <c r="H13" s="1"/>
      <c r="I13" s="1"/>
      <c r="J13" s="1"/>
      <c r="K13" s="1"/>
      <c r="L13" s="1"/>
      <c r="M13" s="1"/>
      <c r="N13" s="1"/>
      <c r="O13" s="1"/>
      <c r="P13" s="1"/>
    </row>
    <row r="14">
      <c r="A14" s="1"/>
      <c r="B14" s="1"/>
      <c r="C14" s="1"/>
      <c r="D14" s="1"/>
      <c r="E14" s="1"/>
      <c r="F14" s="1"/>
      <c r="G14" s="1"/>
      <c r="H14" s="1"/>
      <c r="I14" s="1"/>
      <c r="J14" s="1"/>
      <c r="K14" s="1"/>
      <c r="L14" s="1"/>
      <c r="M14" s="1"/>
      <c r="N14" s="1"/>
      <c r="O14" s="1"/>
      <c r="P14" s="1"/>
    </row>
    <row r="15">
      <c r="A15" s="1"/>
      <c r="B15" s="8" t="s">
        <v>13</v>
      </c>
      <c r="C15" s="1"/>
      <c r="D15" s="1"/>
      <c r="E15" s="1"/>
      <c r="F15" s="1"/>
      <c r="G15" s="1"/>
      <c r="H15" s="1"/>
      <c r="I15" s="1"/>
      <c r="J15" s="1"/>
      <c r="K15" s="1"/>
      <c r="L15" s="1"/>
      <c r="M15" s="1"/>
      <c r="N15" s="1"/>
      <c r="O15" s="1"/>
      <c r="P15" s="1"/>
    </row>
    <row r="16">
      <c r="A16" s="1"/>
      <c r="B16" s="8" t="s">
        <v>14</v>
      </c>
      <c r="C16" s="1"/>
      <c r="D16" s="1"/>
      <c r="E16" s="1"/>
      <c r="F16" s="1"/>
      <c r="G16" s="1"/>
      <c r="H16" s="1"/>
      <c r="I16" s="1"/>
      <c r="J16" s="1"/>
      <c r="K16" s="1"/>
      <c r="L16" s="1"/>
      <c r="M16" s="1"/>
      <c r="N16" s="1"/>
      <c r="O16" s="1"/>
      <c r="P16" s="1"/>
    </row>
    <row r="17">
      <c r="A17" s="1"/>
      <c r="B17" s="9"/>
      <c r="C17" s="1"/>
      <c r="D17" s="1"/>
      <c r="E17" s="1"/>
      <c r="F17" s="1"/>
      <c r="G17" s="1"/>
      <c r="H17" s="1"/>
      <c r="I17" s="1"/>
      <c r="J17" s="1"/>
      <c r="K17" s="1"/>
      <c r="L17" s="1"/>
      <c r="M17" s="1"/>
      <c r="N17" s="1"/>
      <c r="O17" s="1"/>
      <c r="P17" s="1"/>
    </row>
    <row r="18">
      <c r="A18" s="1"/>
      <c r="B18" s="10" t="s">
        <v>15</v>
      </c>
      <c r="C18" s="1"/>
      <c r="D18" s="1"/>
      <c r="E18" s="1"/>
      <c r="F18" s="1"/>
      <c r="G18" s="1"/>
      <c r="H18" s="1"/>
      <c r="I18" s="1"/>
      <c r="J18" s="1"/>
      <c r="K18" s="1"/>
      <c r="L18" s="1"/>
      <c r="M18" s="1"/>
      <c r="N18" s="1"/>
      <c r="O18" s="1"/>
      <c r="P18" s="1"/>
    </row>
    <row r="19">
      <c r="A19" s="1"/>
      <c r="B19" s="6"/>
      <c r="C19" s="1"/>
      <c r="D19" s="1"/>
      <c r="E19" s="1"/>
      <c r="F19" s="1"/>
      <c r="G19" s="1"/>
      <c r="H19" s="1"/>
      <c r="I19" s="1"/>
      <c r="J19" s="1"/>
      <c r="K19" s="1"/>
      <c r="L19" s="1"/>
      <c r="M19" s="1"/>
      <c r="N19" s="1"/>
      <c r="O19" s="1"/>
      <c r="P19" s="1"/>
    </row>
    <row r="20">
      <c r="A20" s="1"/>
      <c r="B20" s="1"/>
      <c r="C20" s="1"/>
      <c r="D20" s="1"/>
      <c r="E20" s="1"/>
      <c r="F20" s="1"/>
      <c r="G20" s="1"/>
      <c r="H20" s="1"/>
      <c r="I20" s="1"/>
      <c r="J20" s="1"/>
      <c r="K20" s="1"/>
      <c r="L20" s="1"/>
      <c r="M20" s="1"/>
      <c r="N20" s="1"/>
      <c r="O20" s="1"/>
      <c r="P20" s="1"/>
    </row>
    <row r="21">
      <c r="A21" s="1"/>
      <c r="B21" s="11" t="s">
        <v>16</v>
      </c>
      <c r="C21" s="1"/>
      <c r="D21" s="1"/>
      <c r="E21" s="1"/>
      <c r="F21" s="1"/>
      <c r="G21" s="1"/>
      <c r="H21" s="1"/>
      <c r="I21" s="1"/>
      <c r="J21" s="1"/>
      <c r="K21" s="1"/>
      <c r="L21" s="1"/>
      <c r="M21" s="1"/>
      <c r="N21" s="1"/>
      <c r="O21" s="1"/>
      <c r="P21" s="1"/>
    </row>
    <row r="22">
      <c r="A22" s="1"/>
      <c r="B22" s="12" t="s">
        <v>17</v>
      </c>
      <c r="C22" s="1"/>
      <c r="D22" s="1"/>
      <c r="E22" s="1"/>
      <c r="F22" s="1"/>
      <c r="G22" s="1"/>
      <c r="H22" s="1"/>
      <c r="I22" s="1"/>
      <c r="J22" s="1"/>
      <c r="K22" s="1"/>
      <c r="L22" s="1"/>
      <c r="M22" s="1"/>
      <c r="N22" s="1"/>
      <c r="O22" s="1"/>
      <c r="P22" s="1"/>
    </row>
    <row r="23">
      <c r="A23" s="1"/>
      <c r="B23" s="12" t="s">
        <v>18</v>
      </c>
      <c r="C23" s="1"/>
      <c r="D23" s="1"/>
      <c r="E23" s="1"/>
      <c r="F23" s="1"/>
      <c r="G23" s="1"/>
      <c r="H23" s="1"/>
      <c r="I23" s="1"/>
      <c r="J23" s="1"/>
      <c r="K23" s="1"/>
      <c r="L23" s="1"/>
      <c r="M23" s="1"/>
      <c r="N23" s="1"/>
      <c r="O23" s="1"/>
      <c r="P23" s="1"/>
    </row>
    <row r="24">
      <c r="A24" s="1"/>
      <c r="B24" s="12" t="s">
        <v>19</v>
      </c>
      <c r="C24" s="1"/>
      <c r="D24" s="1"/>
      <c r="E24" s="1"/>
      <c r="F24" s="1"/>
      <c r="G24" s="1"/>
      <c r="H24" s="1"/>
      <c r="I24" s="1"/>
      <c r="J24" s="1"/>
      <c r="K24" s="1"/>
      <c r="L24" s="1"/>
      <c r="M24" s="1"/>
      <c r="N24" s="1"/>
      <c r="O24" s="1"/>
      <c r="P24" s="1"/>
    </row>
    <row r="25">
      <c r="A25" s="1"/>
      <c r="B25" s="12" t="s">
        <v>20</v>
      </c>
      <c r="C25" s="1"/>
      <c r="D25" s="1"/>
      <c r="E25" s="1"/>
      <c r="F25" s="1"/>
      <c r="G25" s="1"/>
      <c r="H25" s="1"/>
      <c r="I25" s="1"/>
      <c r="J25" s="1"/>
      <c r="K25" s="1"/>
      <c r="L25" s="1"/>
      <c r="M25" s="1"/>
      <c r="N25" s="1"/>
      <c r="O25" s="1"/>
      <c r="P25" s="1"/>
    </row>
    <row r="26">
      <c r="A26" s="1"/>
      <c r="B26" s="12" t="s">
        <v>21</v>
      </c>
      <c r="C26" s="1"/>
      <c r="D26" s="1"/>
      <c r="E26" s="1"/>
      <c r="F26" s="1"/>
      <c r="G26" s="1"/>
      <c r="H26" s="1"/>
      <c r="I26" s="1"/>
      <c r="J26" s="1"/>
      <c r="K26" s="1"/>
      <c r="L26" s="1"/>
      <c r="M26" s="1"/>
      <c r="N26" s="1"/>
      <c r="O26" s="1"/>
      <c r="P26" s="1"/>
    </row>
    <row r="27">
      <c r="A27" s="1"/>
      <c r="B27" s="11"/>
      <c r="C27" s="1"/>
      <c r="D27" s="1"/>
      <c r="E27" s="1"/>
      <c r="F27" s="1"/>
      <c r="G27" s="1"/>
      <c r="H27" s="1"/>
      <c r="I27" s="1"/>
      <c r="J27" s="1"/>
      <c r="K27" s="1"/>
      <c r="L27" s="1"/>
      <c r="M27" s="1"/>
      <c r="N27" s="1"/>
      <c r="O27" s="1"/>
      <c r="P27" s="1"/>
    </row>
    <row r="28">
      <c r="A28" s="1"/>
      <c r="B28" s="11" t="s">
        <v>22</v>
      </c>
      <c r="C28" s="1"/>
      <c r="D28" s="1"/>
      <c r="E28" s="1"/>
      <c r="F28" s="1"/>
      <c r="G28" s="1"/>
      <c r="H28" s="1"/>
      <c r="I28" s="1"/>
      <c r="J28" s="1"/>
      <c r="K28" s="1"/>
      <c r="L28" s="1"/>
      <c r="M28" s="1"/>
      <c r="N28" s="1"/>
      <c r="O28" s="1"/>
      <c r="P28" s="1"/>
    </row>
    <row r="29">
      <c r="A29" s="1"/>
      <c r="B29" s="12" t="s">
        <v>23</v>
      </c>
      <c r="C29" s="1"/>
      <c r="D29" s="1"/>
      <c r="E29" s="1"/>
      <c r="F29" s="1"/>
      <c r="G29" s="1"/>
      <c r="H29" s="1"/>
      <c r="I29" s="1"/>
      <c r="J29" s="1"/>
      <c r="K29" s="1"/>
      <c r="L29" s="1"/>
      <c r="M29" s="1"/>
      <c r="N29" s="1"/>
      <c r="O29" s="1"/>
      <c r="P29" s="1"/>
    </row>
    <row r="30">
      <c r="A30" s="1"/>
      <c r="B30" s="12" t="s">
        <v>24</v>
      </c>
      <c r="C30" s="1"/>
      <c r="D30" s="1"/>
      <c r="E30" s="1"/>
      <c r="F30" s="1"/>
      <c r="G30" s="1"/>
      <c r="H30" s="1"/>
      <c r="I30" s="1"/>
      <c r="J30" s="1"/>
      <c r="K30" s="1"/>
      <c r="L30" s="1"/>
      <c r="M30" s="1"/>
      <c r="N30" s="1"/>
      <c r="O30" s="1"/>
      <c r="P30" s="1"/>
    </row>
    <row r="31">
      <c r="A31" s="1"/>
      <c r="B31" s="1"/>
      <c r="C31" s="1"/>
      <c r="D31" s="1"/>
      <c r="E31" s="1"/>
      <c r="F31" s="1"/>
      <c r="G31" s="1"/>
      <c r="H31" s="1"/>
      <c r="I31" s="1"/>
      <c r="J31" s="1"/>
      <c r="K31" s="1"/>
      <c r="L31" s="1"/>
      <c r="M31" s="1"/>
      <c r="N31" s="1"/>
      <c r="O31" s="1"/>
      <c r="P31" s="1"/>
    </row>
    <row r="32">
      <c r="A32" s="1"/>
      <c r="B32" s="1"/>
      <c r="C32" s="1"/>
      <c r="D32" s="1"/>
      <c r="E32" s="1"/>
      <c r="F32" s="1"/>
      <c r="G32" s="1"/>
      <c r="H32" s="1"/>
      <c r="I32" s="1"/>
      <c r="J32" s="1"/>
      <c r="K32" s="1"/>
      <c r="L32" s="1"/>
      <c r="M32" s="1"/>
      <c r="N32" s="1"/>
      <c r="O32" s="1"/>
      <c r="P32" s="1"/>
    </row>
    <row r="33">
      <c r="A33" s="1"/>
      <c r="B33" s="1"/>
      <c r="C33" s="1"/>
      <c r="D33" s="1"/>
      <c r="E33" s="1"/>
      <c r="F33" s="1"/>
      <c r="G33" s="1"/>
      <c r="H33" s="1"/>
      <c r="I33" s="1"/>
      <c r="J33" s="1"/>
      <c r="K33" s="1"/>
      <c r="L33" s="1"/>
      <c r="M33" s="1"/>
      <c r="N33" s="1"/>
      <c r="O33" s="1"/>
      <c r="P33" s="1"/>
    </row>
    <row r="34">
      <c r="A34" s="1"/>
      <c r="B34" s="1"/>
      <c r="C34" s="1"/>
      <c r="D34" s="1"/>
      <c r="E34" s="1"/>
      <c r="F34" s="1"/>
      <c r="G34" s="1"/>
      <c r="H34" s="1"/>
      <c r="I34" s="1"/>
      <c r="J34" s="1"/>
      <c r="K34" s="1"/>
      <c r="L34" s="1"/>
      <c r="M34" s="1"/>
      <c r="N34" s="1"/>
      <c r="O34" s="1"/>
      <c r="P34" s="1"/>
    </row>
    <row r="35">
      <c r="A35" s="1"/>
      <c r="B35" s="1"/>
      <c r="C35" s="1"/>
      <c r="D35" s="1"/>
      <c r="E35" s="1"/>
      <c r="F35" s="1"/>
      <c r="G35" s="1"/>
      <c r="H35" s="1"/>
      <c r="I35" s="1"/>
      <c r="J35" s="1"/>
      <c r="K35" s="1"/>
      <c r="L35" s="1"/>
      <c r="M35" s="1"/>
      <c r="N35" s="1"/>
      <c r="O35" s="1"/>
      <c r="P35" s="1"/>
    </row>
    <row r="36">
      <c r="A36" s="1"/>
      <c r="B36" s="1"/>
      <c r="C36" s="1"/>
      <c r="D36" s="1"/>
      <c r="E36" s="1"/>
      <c r="F36" s="1"/>
      <c r="G36" s="1"/>
      <c r="H36" s="1"/>
      <c r="I36" s="1"/>
      <c r="J36" s="1"/>
      <c r="K36" s="1"/>
      <c r="L36" s="1"/>
      <c r="M36" s="1"/>
      <c r="N36" s="1"/>
      <c r="O36" s="1"/>
      <c r="P36" s="1"/>
    </row>
    <row r="37">
      <c r="A37" s="1"/>
      <c r="B37" s="1"/>
      <c r="C37" s="1"/>
      <c r="D37" s="1"/>
      <c r="E37" s="1"/>
      <c r="F37" s="1"/>
      <c r="G37" s="1"/>
      <c r="H37" s="1"/>
      <c r="I37" s="1"/>
      <c r="J37" s="1"/>
      <c r="K37" s="1"/>
      <c r="L37" s="1"/>
      <c r="M37" s="1"/>
      <c r="N37" s="1"/>
      <c r="O37" s="1"/>
      <c r="P37" s="1"/>
    </row>
    <row r="38">
      <c r="A38" s="1"/>
      <c r="B38" s="1"/>
      <c r="C38" s="1"/>
      <c r="D38" s="1"/>
      <c r="E38" s="1"/>
      <c r="F38" s="1"/>
      <c r="G38" s="1"/>
      <c r="H38" s="1"/>
      <c r="I38" s="1"/>
      <c r="J38" s="1"/>
      <c r="K38" s="1"/>
      <c r="L38" s="1"/>
      <c r="M38" s="1"/>
      <c r="N38" s="1"/>
      <c r="O38" s="1"/>
      <c r="P38" s="1"/>
    </row>
    <row r="39">
      <c r="A39" s="1"/>
      <c r="B39" s="1"/>
      <c r="C39" s="1"/>
      <c r="D39" s="1"/>
      <c r="E39" s="1"/>
      <c r="F39" s="1"/>
      <c r="G39" s="1"/>
      <c r="H39" s="1"/>
      <c r="I39" s="1"/>
      <c r="J39" s="1"/>
      <c r="K39" s="1"/>
      <c r="L39" s="1"/>
      <c r="M39" s="1"/>
      <c r="N39" s="1"/>
      <c r="O39" s="1"/>
      <c r="P39" s="1"/>
    </row>
    <row r="40">
      <c r="A40" s="1"/>
      <c r="B40" s="1"/>
      <c r="C40" s="1"/>
      <c r="D40" s="1"/>
      <c r="E40" s="1"/>
      <c r="F40" s="1"/>
      <c r="G40" s="1"/>
      <c r="H40" s="1"/>
      <c r="I40" s="1"/>
      <c r="J40" s="1"/>
      <c r="K40" s="1"/>
      <c r="L40" s="1"/>
      <c r="M40" s="1"/>
      <c r="N40" s="1"/>
      <c r="O40" s="1"/>
      <c r="P40" s="1"/>
    </row>
    <row r="41">
      <c r="A41" s="1"/>
      <c r="B41" s="1"/>
      <c r="C41" s="1"/>
      <c r="D41" s="1"/>
      <c r="E41" s="1"/>
      <c r="F41" s="1"/>
      <c r="G41" s="1"/>
      <c r="H41" s="1"/>
      <c r="I41" s="1"/>
      <c r="J41" s="1"/>
      <c r="K41" s="1"/>
      <c r="L41" s="1"/>
      <c r="M41" s="1"/>
      <c r="N41" s="1"/>
      <c r="O41" s="1"/>
      <c r="P41" s="1"/>
    </row>
    <row r="42">
      <c r="A42" s="1"/>
      <c r="B42" s="1"/>
      <c r="C42" s="1"/>
      <c r="D42" s="1"/>
      <c r="E42" s="1"/>
      <c r="F42" s="1"/>
      <c r="G42" s="1"/>
      <c r="H42" s="1"/>
      <c r="I42" s="1"/>
      <c r="J42" s="1"/>
      <c r="K42" s="1"/>
      <c r="L42" s="1"/>
      <c r="M42" s="1"/>
      <c r="N42" s="1"/>
      <c r="O42" s="1"/>
      <c r="P42" s="1"/>
    </row>
    <row r="43">
      <c r="A43" s="1"/>
      <c r="B43" s="1"/>
      <c r="C43" s="1"/>
      <c r="D43" s="1"/>
      <c r="E43" s="1"/>
      <c r="F43" s="1"/>
      <c r="G43" s="1"/>
      <c r="H43" s="1"/>
      <c r="I43" s="1"/>
      <c r="J43" s="1"/>
      <c r="K43" s="1"/>
      <c r="L43" s="1"/>
      <c r="M43" s="1"/>
      <c r="N43" s="1"/>
      <c r="O43" s="1"/>
      <c r="P43" s="1"/>
    </row>
    <row r="44">
      <c r="A44" s="1"/>
      <c r="B44" s="1"/>
      <c r="C44" s="1"/>
      <c r="D44" s="1"/>
      <c r="E44" s="1"/>
      <c r="F44" s="1"/>
      <c r="G44" s="1"/>
      <c r="H44" s="1"/>
      <c r="I44" s="1"/>
      <c r="J44" s="1"/>
      <c r="K44" s="1"/>
      <c r="L44" s="1"/>
      <c r="M44" s="1"/>
      <c r="N44" s="1"/>
      <c r="O44" s="1"/>
      <c r="P44" s="1"/>
    </row>
    <row r="45">
      <c r="A45" s="1"/>
      <c r="B45" s="1"/>
      <c r="C45" s="1"/>
      <c r="D45" s="1"/>
      <c r="E45" s="1"/>
      <c r="F45" s="1"/>
      <c r="G45" s="1"/>
      <c r="H45" s="1"/>
      <c r="I45" s="1"/>
      <c r="J45" s="1"/>
      <c r="K45" s="1"/>
      <c r="L45" s="1"/>
      <c r="M45" s="1"/>
      <c r="N45" s="1"/>
      <c r="O45" s="1"/>
      <c r="P45" s="1"/>
    </row>
    <row r="46">
      <c r="A46" s="1"/>
      <c r="B46" s="1"/>
      <c r="C46" s="1"/>
      <c r="D46" s="1"/>
      <c r="E46" s="1"/>
      <c r="F46" s="1"/>
      <c r="G46" s="1"/>
      <c r="H46" s="1"/>
      <c r="I46" s="1"/>
      <c r="J46" s="1"/>
      <c r="K46" s="1"/>
      <c r="L46" s="1"/>
      <c r="M46" s="1"/>
      <c r="N46" s="1"/>
      <c r="O46" s="1"/>
      <c r="P46" s="1"/>
    </row>
    <row r="47">
      <c r="A47" s="1"/>
      <c r="B47" s="1"/>
      <c r="C47" s="1"/>
      <c r="D47" s="1"/>
      <c r="E47" s="1"/>
      <c r="F47" s="1"/>
      <c r="G47" s="1"/>
      <c r="H47" s="1"/>
      <c r="I47" s="1"/>
      <c r="J47" s="1"/>
      <c r="K47" s="1"/>
      <c r="L47" s="1"/>
      <c r="M47" s="1"/>
      <c r="N47" s="1"/>
      <c r="O47" s="1"/>
      <c r="P47" s="1"/>
    </row>
    <row r="48">
      <c r="A48" s="1"/>
      <c r="B48" s="1"/>
      <c r="C48" s="1"/>
      <c r="D48" s="1"/>
      <c r="E48" s="1"/>
      <c r="F48" s="1"/>
      <c r="G48" s="1"/>
      <c r="H48" s="1"/>
      <c r="I48" s="1"/>
      <c r="J48" s="1"/>
      <c r="K48" s="1"/>
      <c r="L48" s="1"/>
      <c r="M48" s="1"/>
      <c r="N48" s="1"/>
      <c r="O48" s="1"/>
      <c r="P48" s="1"/>
    </row>
    <row r="49">
      <c r="A49" s="1"/>
      <c r="B49" s="1"/>
      <c r="C49" s="1"/>
      <c r="D49" s="1"/>
      <c r="E49" s="1"/>
      <c r="F49" s="1"/>
      <c r="G49" s="1"/>
      <c r="H49" s="1"/>
      <c r="I49" s="1"/>
      <c r="J49" s="1"/>
      <c r="K49" s="1"/>
      <c r="L49" s="1"/>
      <c r="M49" s="1"/>
      <c r="N49" s="1"/>
      <c r="O49" s="1"/>
      <c r="P49" s="1"/>
    </row>
    <row r="50">
      <c r="A50" s="1"/>
      <c r="B50" s="1"/>
      <c r="C50" s="1"/>
      <c r="D50" s="1"/>
      <c r="E50" s="1"/>
      <c r="F50" s="1"/>
      <c r="G50" s="1"/>
      <c r="H50" s="1"/>
      <c r="I50" s="1"/>
      <c r="J50" s="1"/>
      <c r="K50" s="1"/>
      <c r="L50" s="1"/>
      <c r="M50" s="1"/>
      <c r="N50" s="1"/>
      <c r="O50" s="1"/>
      <c r="P50" s="1"/>
    </row>
    <row r="51">
      <c r="A51" s="1"/>
      <c r="B51" s="1"/>
      <c r="C51" s="1"/>
      <c r="D51" s="1"/>
      <c r="E51" s="1"/>
      <c r="F51" s="1"/>
      <c r="G51" s="1"/>
      <c r="H51" s="1"/>
      <c r="I51" s="1"/>
      <c r="J51" s="1"/>
      <c r="K51" s="1"/>
      <c r="L51" s="1"/>
      <c r="M51" s="1"/>
      <c r="N51" s="1"/>
      <c r="O51" s="1"/>
      <c r="P51" s="1"/>
    </row>
    <row r="52">
      <c r="A52" s="1"/>
      <c r="B52" s="1"/>
      <c r="C52" s="1"/>
      <c r="D52" s="1"/>
      <c r="E52" s="1"/>
      <c r="F52" s="1"/>
      <c r="G52" s="1"/>
      <c r="H52" s="1"/>
      <c r="I52" s="1"/>
      <c r="J52" s="1"/>
      <c r="K52" s="1"/>
      <c r="L52" s="1"/>
      <c r="M52" s="1"/>
      <c r="N52" s="1"/>
      <c r="O52" s="1"/>
      <c r="P52" s="1"/>
    </row>
    <row r="53">
      <c r="A53" s="1"/>
      <c r="B53" s="1"/>
      <c r="C53" s="1"/>
      <c r="D53" s="1"/>
      <c r="E53" s="1"/>
      <c r="F53" s="1"/>
      <c r="G53" s="1"/>
      <c r="H53" s="1"/>
      <c r="I53" s="1"/>
      <c r="J53" s="1"/>
      <c r="K53" s="1"/>
      <c r="L53" s="1"/>
      <c r="M53" s="1"/>
      <c r="N53" s="1"/>
      <c r="O53" s="1"/>
      <c r="P53" s="1"/>
    </row>
    <row r="54">
      <c r="A54" s="1"/>
      <c r="B54" s="1"/>
      <c r="C54" s="1"/>
      <c r="D54" s="1"/>
      <c r="E54" s="1"/>
      <c r="F54" s="1"/>
      <c r="G54" s="1"/>
      <c r="H54" s="1"/>
      <c r="I54" s="1"/>
      <c r="J54" s="1"/>
      <c r="K54" s="1"/>
      <c r="L54" s="1"/>
      <c r="M54" s="1"/>
      <c r="N54" s="1"/>
      <c r="O54" s="1"/>
      <c r="P54" s="1"/>
    </row>
    <row r="55">
      <c r="A55" s="1"/>
      <c r="B55" s="1"/>
      <c r="C55" s="1"/>
      <c r="D55" s="1"/>
      <c r="E55" s="1"/>
      <c r="F55" s="1"/>
      <c r="G55" s="1"/>
      <c r="H55" s="1"/>
      <c r="I55" s="1"/>
      <c r="J55" s="1"/>
      <c r="K55" s="1"/>
      <c r="L55" s="1"/>
      <c r="M55" s="1"/>
      <c r="N55" s="1"/>
      <c r="O55" s="1"/>
      <c r="P55" s="1"/>
    </row>
    <row r="56">
      <c r="A56" s="1"/>
      <c r="B56" s="1"/>
      <c r="C56" s="1"/>
      <c r="D56" s="1"/>
      <c r="E56" s="1"/>
      <c r="F56" s="1"/>
      <c r="G56" s="1"/>
      <c r="H56" s="1"/>
      <c r="I56" s="1"/>
      <c r="J56" s="1"/>
      <c r="K56" s="1"/>
      <c r="L56" s="1"/>
      <c r="M56" s="1"/>
      <c r="N56" s="1"/>
      <c r="O56" s="1"/>
      <c r="P56" s="1"/>
    </row>
    <row r="57">
      <c r="A57" s="1"/>
      <c r="B57" s="1"/>
      <c r="C57" s="1"/>
      <c r="D57" s="1"/>
      <c r="E57" s="1"/>
      <c r="F57" s="1"/>
      <c r="G57" s="1"/>
      <c r="H57" s="1"/>
      <c r="I57" s="1"/>
      <c r="J57" s="1"/>
      <c r="K57" s="1"/>
      <c r="L57" s="1"/>
      <c r="M57" s="1"/>
      <c r="N57" s="1"/>
      <c r="O57" s="1"/>
      <c r="P57" s="1"/>
    </row>
    <row r="58">
      <c r="A58" s="1"/>
      <c r="B58" s="1"/>
      <c r="C58" s="1"/>
      <c r="D58" s="1"/>
      <c r="E58" s="1"/>
      <c r="F58" s="1"/>
      <c r="G58" s="1"/>
      <c r="H58" s="1"/>
      <c r="I58" s="1"/>
      <c r="J58" s="1"/>
      <c r="K58" s="1"/>
      <c r="L58" s="1"/>
      <c r="M58" s="1"/>
      <c r="N58" s="1"/>
      <c r="O58" s="1"/>
      <c r="P58" s="1"/>
    </row>
    <row r="59">
      <c r="A59" s="1"/>
      <c r="B59" s="1"/>
      <c r="C59" s="1"/>
      <c r="D59" s="1"/>
      <c r="E59" s="1"/>
      <c r="F59" s="1"/>
      <c r="G59" s="1"/>
      <c r="H59" s="1"/>
      <c r="I59" s="1"/>
      <c r="J59" s="1"/>
      <c r="K59" s="1"/>
      <c r="L59" s="1"/>
      <c r="M59" s="1"/>
      <c r="N59" s="1"/>
      <c r="O59" s="1"/>
      <c r="P59" s="1"/>
    </row>
    <row r="60">
      <c r="A60" s="1"/>
      <c r="B60" s="1"/>
      <c r="C60" s="1"/>
      <c r="D60" s="1"/>
      <c r="E60" s="1"/>
      <c r="F60" s="1"/>
      <c r="G60" s="1"/>
      <c r="H60" s="1"/>
      <c r="I60" s="1"/>
      <c r="J60" s="1"/>
      <c r="K60" s="1"/>
      <c r="L60" s="1"/>
      <c r="M60" s="1"/>
      <c r="N60" s="1"/>
      <c r="O60" s="1"/>
      <c r="P60" s="1"/>
    </row>
    <row r="61">
      <c r="A61" s="1"/>
      <c r="B61" s="1"/>
      <c r="C61" s="1"/>
      <c r="D61" s="1"/>
      <c r="E61" s="1"/>
      <c r="F61" s="1"/>
      <c r="G61" s="1"/>
      <c r="H61" s="1"/>
      <c r="I61" s="1"/>
      <c r="J61" s="1"/>
      <c r="K61" s="1"/>
      <c r="L61" s="1"/>
      <c r="M61" s="1"/>
      <c r="N61" s="1"/>
      <c r="O61" s="1"/>
      <c r="P61" s="1"/>
    </row>
    <row r="62">
      <c r="A62" s="1"/>
      <c r="B62" s="1"/>
      <c r="C62" s="1"/>
      <c r="D62" s="1"/>
      <c r="E62" s="1"/>
      <c r="F62" s="1"/>
      <c r="G62" s="1"/>
      <c r="H62" s="1"/>
      <c r="I62" s="1"/>
      <c r="J62" s="1"/>
      <c r="K62" s="1"/>
      <c r="L62" s="1"/>
      <c r="M62" s="1"/>
      <c r="N62" s="1"/>
      <c r="O62" s="1"/>
      <c r="P62" s="1"/>
    </row>
    <row r="63">
      <c r="A63" s="1"/>
      <c r="B63" s="1"/>
      <c r="C63" s="1"/>
      <c r="D63" s="1"/>
      <c r="E63" s="1"/>
      <c r="F63" s="1"/>
      <c r="G63" s="1"/>
      <c r="H63" s="1"/>
      <c r="I63" s="1"/>
      <c r="J63" s="1"/>
      <c r="K63" s="1"/>
      <c r="L63" s="1"/>
      <c r="M63" s="1"/>
      <c r="N63" s="1"/>
      <c r="O63" s="1"/>
      <c r="P63" s="1"/>
    </row>
    <row r="64">
      <c r="A64" s="1"/>
      <c r="B64" s="1"/>
      <c r="C64" s="1"/>
      <c r="D64" s="1"/>
      <c r="E64" s="1"/>
      <c r="F64" s="1"/>
      <c r="G64" s="1"/>
      <c r="H64" s="1"/>
      <c r="I64" s="1"/>
      <c r="J64" s="1"/>
      <c r="K64" s="1"/>
      <c r="L64" s="1"/>
      <c r="M64" s="1"/>
      <c r="N64" s="1"/>
      <c r="O64" s="1"/>
      <c r="P64" s="1"/>
    </row>
    <row r="65">
      <c r="A65" s="1"/>
      <c r="B65" s="1"/>
      <c r="C65" s="1"/>
      <c r="D65" s="1"/>
      <c r="E65" s="1"/>
      <c r="F65" s="1"/>
      <c r="G65" s="1"/>
      <c r="H65" s="1"/>
      <c r="I65" s="1"/>
      <c r="J65" s="1"/>
      <c r="K65" s="1"/>
      <c r="L65" s="1"/>
      <c r="M65" s="1"/>
      <c r="N65" s="1"/>
      <c r="O65" s="1"/>
      <c r="P65" s="1"/>
    </row>
    <row r="66">
      <c r="A66" s="1"/>
      <c r="B66" s="1"/>
      <c r="C66" s="1"/>
      <c r="D66" s="1"/>
      <c r="E66" s="1"/>
      <c r="F66" s="1"/>
      <c r="G66" s="1"/>
      <c r="H66" s="1"/>
      <c r="I66" s="1"/>
      <c r="J66" s="1"/>
      <c r="K66" s="1"/>
      <c r="L66" s="1"/>
      <c r="M66" s="1"/>
      <c r="N66" s="1"/>
      <c r="O66" s="1"/>
      <c r="P66" s="1"/>
    </row>
    <row r="67">
      <c r="A67" s="1"/>
      <c r="B67" s="1"/>
      <c r="C67" s="1"/>
      <c r="D67" s="1"/>
      <c r="E67" s="1"/>
      <c r="F67" s="1"/>
      <c r="G67" s="1"/>
      <c r="H67" s="1"/>
      <c r="I67" s="1"/>
      <c r="J67" s="1"/>
      <c r="K67" s="1"/>
      <c r="L67" s="1"/>
      <c r="M67" s="1"/>
      <c r="N67" s="1"/>
      <c r="O67" s="1"/>
      <c r="P67" s="1"/>
    </row>
    <row r="68">
      <c r="A68" s="1"/>
      <c r="B68" s="1"/>
      <c r="C68" s="1"/>
      <c r="D68" s="1"/>
      <c r="E68" s="1"/>
      <c r="F68" s="1"/>
      <c r="G68" s="1"/>
      <c r="H68" s="1"/>
      <c r="I68" s="1"/>
      <c r="J68" s="1"/>
      <c r="K68" s="1"/>
      <c r="L68" s="1"/>
      <c r="M68" s="1"/>
      <c r="N68" s="1"/>
      <c r="O68" s="1"/>
      <c r="P68" s="1"/>
    </row>
    <row r="69">
      <c r="A69" s="1"/>
      <c r="B69" s="1"/>
      <c r="C69" s="1"/>
      <c r="D69" s="1"/>
      <c r="E69" s="1"/>
      <c r="F69" s="1"/>
      <c r="G69" s="1"/>
      <c r="H69" s="1"/>
      <c r="I69" s="1"/>
      <c r="J69" s="1"/>
      <c r="K69" s="1"/>
      <c r="L69" s="1"/>
      <c r="M69" s="1"/>
      <c r="N69" s="1"/>
      <c r="O69" s="1"/>
      <c r="P69" s="1"/>
    </row>
    <row r="70">
      <c r="A70" s="1"/>
      <c r="B70" s="1"/>
      <c r="C70" s="1"/>
      <c r="D70" s="1"/>
      <c r="E70" s="1"/>
      <c r="F70" s="1"/>
      <c r="G70" s="1"/>
      <c r="H70" s="1"/>
      <c r="I70" s="1"/>
      <c r="J70" s="1"/>
      <c r="K70" s="1"/>
      <c r="L70" s="1"/>
      <c r="M70" s="1"/>
      <c r="N70" s="1"/>
      <c r="O70" s="1"/>
      <c r="P70" s="1"/>
    </row>
    <row r="71">
      <c r="A71" s="1"/>
      <c r="B71" s="1"/>
      <c r="C71" s="1"/>
      <c r="D71" s="1"/>
      <c r="E71" s="1"/>
      <c r="F71" s="1"/>
      <c r="G71" s="1"/>
      <c r="H71" s="1"/>
      <c r="I71" s="1"/>
      <c r="J71" s="1"/>
      <c r="K71" s="1"/>
      <c r="L71" s="1"/>
      <c r="M71" s="1"/>
      <c r="N71" s="1"/>
      <c r="O71" s="1"/>
      <c r="P71" s="1"/>
    </row>
    <row r="72">
      <c r="A72" s="1"/>
      <c r="B72" s="1"/>
      <c r="C72" s="1"/>
      <c r="D72" s="1"/>
      <c r="E72" s="1"/>
      <c r="F72" s="1"/>
      <c r="G72" s="1"/>
      <c r="H72" s="1"/>
      <c r="I72" s="1"/>
      <c r="J72" s="1"/>
      <c r="K72" s="1"/>
      <c r="L72" s="1"/>
      <c r="M72" s="1"/>
      <c r="N72" s="1"/>
      <c r="O72" s="1"/>
      <c r="P72" s="1"/>
    </row>
    <row r="73">
      <c r="A73" s="1"/>
      <c r="B73" s="1"/>
      <c r="C73" s="1"/>
      <c r="D73" s="1"/>
      <c r="E73" s="1"/>
      <c r="F73" s="1"/>
      <c r="G73" s="1"/>
      <c r="H73" s="1"/>
      <c r="I73" s="1"/>
      <c r="J73" s="1"/>
      <c r="K73" s="1"/>
      <c r="L73" s="1"/>
      <c r="M73" s="1"/>
      <c r="N73" s="1"/>
      <c r="O73" s="1"/>
      <c r="P73" s="1"/>
    </row>
    <row r="74">
      <c r="A74" s="1"/>
      <c r="B74" s="1"/>
      <c r="C74" s="1"/>
      <c r="D74" s="1"/>
      <c r="E74" s="1"/>
      <c r="F74" s="1"/>
      <c r="G74" s="1"/>
      <c r="H74" s="1"/>
      <c r="I74" s="1"/>
      <c r="J74" s="1"/>
      <c r="K74" s="1"/>
      <c r="L74" s="1"/>
      <c r="M74" s="1"/>
      <c r="N74" s="1"/>
      <c r="O74" s="1"/>
      <c r="P74" s="1"/>
    </row>
    <row r="75">
      <c r="A75" s="1"/>
      <c r="B75" s="1"/>
      <c r="C75" s="1"/>
      <c r="D75" s="1"/>
      <c r="E75" s="1"/>
      <c r="F75" s="1"/>
      <c r="G75" s="1"/>
      <c r="H75" s="1"/>
      <c r="I75" s="1"/>
      <c r="J75" s="1"/>
      <c r="K75" s="1"/>
      <c r="L75" s="1"/>
      <c r="M75" s="1"/>
      <c r="N75" s="1"/>
      <c r="O75" s="1"/>
      <c r="P75" s="1"/>
    </row>
    <row r="76">
      <c r="A76" s="1"/>
      <c r="B76" s="1"/>
      <c r="C76" s="1"/>
      <c r="D76" s="1"/>
      <c r="E76" s="1"/>
      <c r="F76" s="1"/>
      <c r="G76" s="1"/>
      <c r="H76" s="1"/>
      <c r="I76" s="1"/>
      <c r="J76" s="1"/>
      <c r="K76" s="1"/>
      <c r="L76" s="1"/>
      <c r="M76" s="1"/>
      <c r="N76" s="1"/>
      <c r="O76" s="1"/>
      <c r="P76" s="1"/>
    </row>
    <row r="77">
      <c r="A77" s="1"/>
      <c r="B77" s="1"/>
      <c r="C77" s="1"/>
      <c r="D77" s="1"/>
      <c r="E77" s="1"/>
      <c r="F77" s="1"/>
      <c r="G77" s="1"/>
      <c r="H77" s="1"/>
      <c r="I77" s="1"/>
      <c r="J77" s="1"/>
      <c r="K77" s="1"/>
      <c r="L77" s="1"/>
      <c r="M77" s="1"/>
      <c r="N77" s="1"/>
      <c r="O77" s="1"/>
      <c r="P77" s="1"/>
    </row>
    <row r="78">
      <c r="A78" s="1"/>
      <c r="B78" s="1"/>
      <c r="C78" s="1"/>
      <c r="D78" s="1"/>
      <c r="E78" s="1"/>
      <c r="F78" s="1"/>
      <c r="G78" s="1"/>
      <c r="H78" s="1"/>
      <c r="I78" s="1"/>
      <c r="J78" s="1"/>
      <c r="K78" s="1"/>
      <c r="L78" s="1"/>
      <c r="M78" s="1"/>
      <c r="N78" s="1"/>
      <c r="O78" s="1"/>
      <c r="P78" s="1"/>
    </row>
    <row r="79">
      <c r="A79" s="1"/>
      <c r="B79" s="1"/>
      <c r="C79" s="1"/>
      <c r="D79" s="1"/>
      <c r="E79" s="1"/>
      <c r="F79" s="1"/>
      <c r="G79" s="1"/>
      <c r="H79" s="1"/>
      <c r="I79" s="1"/>
      <c r="J79" s="1"/>
      <c r="K79" s="1"/>
      <c r="L79" s="1"/>
      <c r="M79" s="1"/>
      <c r="N79" s="1"/>
      <c r="O79" s="1"/>
      <c r="P79" s="1"/>
    </row>
    <row r="80">
      <c r="A80" s="1"/>
      <c r="B80" s="1"/>
      <c r="C80" s="1"/>
      <c r="D80" s="1"/>
      <c r="E80" s="1"/>
      <c r="F80" s="1"/>
      <c r="G80" s="1"/>
      <c r="H80" s="1"/>
      <c r="I80" s="1"/>
      <c r="J80" s="1"/>
      <c r="K80" s="1"/>
      <c r="L80" s="1"/>
      <c r="M80" s="1"/>
      <c r="N80" s="1"/>
      <c r="O80" s="1"/>
      <c r="P80" s="1"/>
    </row>
    <row r="81">
      <c r="A81" s="1"/>
      <c r="B81" s="1"/>
      <c r="C81" s="1"/>
      <c r="D81" s="1"/>
      <c r="E81" s="1"/>
      <c r="F81" s="1"/>
      <c r="G81" s="1"/>
      <c r="H81" s="1"/>
      <c r="I81" s="1"/>
      <c r="J81" s="1"/>
      <c r="K81" s="1"/>
      <c r="L81" s="1"/>
      <c r="M81" s="1"/>
      <c r="N81" s="1"/>
      <c r="O81" s="1"/>
      <c r="P81" s="1"/>
    </row>
    <row r="82">
      <c r="A82" s="1"/>
      <c r="B82" s="1"/>
      <c r="C82" s="1"/>
      <c r="D82" s="1"/>
      <c r="E82" s="1"/>
      <c r="F82" s="1"/>
      <c r="G82" s="1"/>
      <c r="H82" s="1"/>
      <c r="I82" s="1"/>
      <c r="J82" s="1"/>
      <c r="K82" s="1"/>
      <c r="L82" s="1"/>
      <c r="M82" s="1"/>
      <c r="N82" s="1"/>
      <c r="O82" s="1"/>
      <c r="P82" s="1"/>
    </row>
    <row r="83">
      <c r="A83" s="1"/>
      <c r="B83" s="1"/>
      <c r="C83" s="1"/>
      <c r="D83" s="1"/>
      <c r="E83" s="1"/>
      <c r="F83" s="1"/>
      <c r="G83" s="1"/>
      <c r="H83" s="1"/>
      <c r="I83" s="1"/>
      <c r="J83" s="1"/>
      <c r="K83" s="1"/>
      <c r="L83" s="1"/>
      <c r="M83" s="1"/>
      <c r="N83" s="1"/>
      <c r="O83" s="1"/>
      <c r="P83" s="1"/>
    </row>
    <row r="84">
      <c r="A84" s="1"/>
      <c r="B84" s="1"/>
      <c r="C84" s="1"/>
      <c r="D84" s="1"/>
      <c r="E84" s="1"/>
      <c r="F84" s="1"/>
      <c r="G84" s="1"/>
      <c r="H84" s="1"/>
      <c r="I84" s="1"/>
      <c r="J84" s="1"/>
      <c r="K84" s="1"/>
      <c r="L84" s="1"/>
      <c r="M84" s="1"/>
      <c r="N84" s="1"/>
      <c r="O84" s="1"/>
      <c r="P84" s="1"/>
    </row>
    <row r="85">
      <c r="A85" s="1"/>
      <c r="B85" s="1"/>
      <c r="C85" s="1"/>
      <c r="D85" s="1"/>
      <c r="E85" s="1"/>
      <c r="F85" s="1"/>
      <c r="G85" s="1"/>
      <c r="H85" s="1"/>
      <c r="I85" s="1"/>
      <c r="J85" s="1"/>
      <c r="K85" s="1"/>
      <c r="L85" s="1"/>
      <c r="M85" s="1"/>
      <c r="N85" s="1"/>
      <c r="O85" s="1"/>
      <c r="P85" s="1"/>
    </row>
    <row r="86">
      <c r="A86" s="1"/>
      <c r="B86" s="1"/>
      <c r="C86" s="1"/>
      <c r="D86" s="1"/>
      <c r="E86" s="1"/>
      <c r="F86" s="1"/>
      <c r="G86" s="1"/>
      <c r="H86" s="1"/>
      <c r="I86" s="1"/>
      <c r="J86" s="1"/>
      <c r="K86" s="1"/>
      <c r="L86" s="1"/>
      <c r="M86" s="1"/>
      <c r="N86" s="1"/>
      <c r="O86" s="1"/>
      <c r="P86" s="1"/>
    </row>
    <row r="87">
      <c r="A87" s="1"/>
      <c r="B87" s="1"/>
      <c r="C87" s="1"/>
      <c r="D87" s="1"/>
      <c r="E87" s="1"/>
      <c r="F87" s="1"/>
      <c r="G87" s="1"/>
      <c r="H87" s="1"/>
      <c r="I87" s="1"/>
      <c r="J87" s="1"/>
      <c r="K87" s="1"/>
      <c r="L87" s="1"/>
      <c r="M87" s="1"/>
      <c r="N87" s="1"/>
      <c r="O87" s="1"/>
      <c r="P87" s="1"/>
    </row>
    <row r="88">
      <c r="A88" s="1"/>
      <c r="B88" s="1"/>
      <c r="C88" s="1"/>
      <c r="D88" s="1"/>
      <c r="E88" s="1"/>
      <c r="F88" s="1"/>
      <c r="G88" s="1"/>
      <c r="H88" s="1"/>
      <c r="I88" s="1"/>
      <c r="J88" s="1"/>
      <c r="K88" s="1"/>
      <c r="L88" s="1"/>
      <c r="M88" s="1"/>
      <c r="N88" s="1"/>
      <c r="O88" s="1"/>
      <c r="P88" s="1"/>
    </row>
    <row r="89">
      <c r="A89" s="1"/>
      <c r="B89" s="1"/>
      <c r="C89" s="1"/>
      <c r="D89" s="1"/>
      <c r="E89" s="1"/>
      <c r="F89" s="1"/>
      <c r="G89" s="1"/>
      <c r="H89" s="1"/>
      <c r="I89" s="1"/>
      <c r="J89" s="1"/>
      <c r="K89" s="1"/>
      <c r="L89" s="1"/>
      <c r="M89" s="1"/>
      <c r="N89" s="1"/>
      <c r="O89" s="1"/>
      <c r="P89" s="1"/>
    </row>
    <row r="90">
      <c r="A90" s="1"/>
      <c r="B90" s="1"/>
      <c r="C90" s="1"/>
      <c r="D90" s="1"/>
      <c r="E90" s="1"/>
      <c r="F90" s="1"/>
      <c r="G90" s="1"/>
      <c r="H90" s="1"/>
      <c r="I90" s="1"/>
      <c r="J90" s="1"/>
      <c r="K90" s="1"/>
      <c r="L90" s="1"/>
      <c r="M90" s="1"/>
      <c r="N90" s="1"/>
      <c r="O90" s="1"/>
      <c r="P90" s="1"/>
    </row>
    <row r="91">
      <c r="A91" s="1"/>
      <c r="B91" s="1"/>
      <c r="C91" s="1"/>
      <c r="D91" s="1"/>
      <c r="E91" s="1"/>
      <c r="F91" s="1"/>
      <c r="G91" s="1"/>
      <c r="H91" s="1"/>
      <c r="I91" s="1"/>
      <c r="J91" s="1"/>
      <c r="K91" s="1"/>
      <c r="L91" s="1"/>
      <c r="M91" s="1"/>
      <c r="N91" s="1"/>
      <c r="O91" s="1"/>
      <c r="P91" s="1"/>
    </row>
    <row r="92">
      <c r="A92" s="1"/>
      <c r="B92" s="1"/>
      <c r="C92" s="1"/>
      <c r="D92" s="1"/>
      <c r="E92" s="1"/>
      <c r="F92" s="1"/>
      <c r="G92" s="1"/>
      <c r="H92" s="1"/>
      <c r="I92" s="1"/>
      <c r="J92" s="1"/>
      <c r="K92" s="1"/>
      <c r="L92" s="1"/>
      <c r="M92" s="1"/>
      <c r="N92" s="1"/>
      <c r="O92" s="1"/>
      <c r="P92" s="1"/>
    </row>
    <row r="93">
      <c r="A93" s="1"/>
      <c r="B93" s="1"/>
      <c r="C93" s="1"/>
      <c r="D93" s="1"/>
      <c r="E93" s="1"/>
      <c r="F93" s="1"/>
      <c r="G93" s="1"/>
      <c r="H93" s="1"/>
      <c r="I93" s="1"/>
      <c r="J93" s="1"/>
      <c r="K93" s="1"/>
      <c r="L93" s="1"/>
      <c r="M93" s="1"/>
      <c r="N93" s="1"/>
      <c r="O93" s="1"/>
      <c r="P93" s="1"/>
    </row>
    <row r="94">
      <c r="A94" s="1"/>
      <c r="B94" s="1"/>
      <c r="C94" s="1"/>
      <c r="D94" s="1"/>
      <c r="E94" s="1"/>
      <c r="F94" s="1"/>
      <c r="G94" s="1"/>
      <c r="H94" s="1"/>
      <c r="I94" s="1"/>
      <c r="J94" s="1"/>
      <c r="K94" s="1"/>
      <c r="L94" s="1"/>
      <c r="M94" s="1"/>
      <c r="N94" s="1"/>
      <c r="O94" s="1"/>
      <c r="P94" s="1"/>
    </row>
    <row r="95">
      <c r="A95" s="1"/>
      <c r="B95" s="1"/>
      <c r="C95" s="1"/>
      <c r="D95" s="1"/>
      <c r="E95" s="1"/>
      <c r="F95" s="1"/>
      <c r="G95" s="1"/>
      <c r="H95" s="1"/>
      <c r="I95" s="1"/>
      <c r="J95" s="1"/>
      <c r="K95" s="1"/>
      <c r="L95" s="1"/>
      <c r="M95" s="1"/>
      <c r="N95" s="1"/>
      <c r="O95" s="1"/>
      <c r="P95" s="1"/>
    </row>
    <row r="96">
      <c r="A96" s="1"/>
      <c r="B96" s="1"/>
      <c r="C96" s="1"/>
      <c r="D96" s="1"/>
      <c r="E96" s="1"/>
      <c r="F96" s="1"/>
      <c r="G96" s="1"/>
      <c r="H96" s="1"/>
      <c r="I96" s="1"/>
      <c r="J96" s="1"/>
      <c r="K96" s="1"/>
      <c r="L96" s="1"/>
      <c r="M96" s="1"/>
      <c r="N96" s="1"/>
      <c r="O96" s="1"/>
      <c r="P96" s="1"/>
    </row>
    <row r="97">
      <c r="A97" s="1"/>
      <c r="B97" s="1"/>
      <c r="C97" s="1"/>
      <c r="D97" s="1"/>
      <c r="E97" s="1"/>
      <c r="F97" s="1"/>
      <c r="G97" s="1"/>
      <c r="H97" s="1"/>
      <c r="I97" s="1"/>
      <c r="J97" s="1"/>
      <c r="K97" s="1"/>
      <c r="L97" s="1"/>
      <c r="M97" s="1"/>
      <c r="N97" s="1"/>
      <c r="O97" s="1"/>
      <c r="P97" s="1"/>
    </row>
    <row r="98">
      <c r="A98" s="1"/>
      <c r="B98" s="1"/>
      <c r="C98" s="1"/>
      <c r="D98" s="1"/>
      <c r="E98" s="1"/>
      <c r="F98" s="1"/>
      <c r="G98" s="1"/>
      <c r="H98" s="1"/>
      <c r="I98" s="1"/>
      <c r="J98" s="1"/>
      <c r="K98" s="1"/>
      <c r="L98" s="1"/>
      <c r="M98" s="1"/>
      <c r="N98" s="1"/>
      <c r="O98" s="1"/>
      <c r="P98" s="1"/>
    </row>
    <row r="99">
      <c r="A99" s="1"/>
      <c r="B99" s="1"/>
      <c r="C99" s="1"/>
      <c r="D99" s="1"/>
      <c r="E99" s="1"/>
      <c r="F99" s="1"/>
      <c r="G99" s="1"/>
      <c r="H99" s="1"/>
      <c r="I99" s="1"/>
      <c r="J99" s="1"/>
      <c r="K99" s="1"/>
      <c r="L99" s="1"/>
      <c r="M99" s="1"/>
      <c r="N99" s="1"/>
      <c r="O99" s="1"/>
      <c r="P99" s="1"/>
    </row>
    <row r="100">
      <c r="A100" s="1"/>
      <c r="B100" s="1"/>
      <c r="C100" s="1"/>
      <c r="D100" s="1"/>
      <c r="E100" s="1"/>
      <c r="F100" s="1"/>
      <c r="G100" s="1"/>
      <c r="H100" s="1"/>
      <c r="I100" s="1"/>
      <c r="J100" s="1"/>
      <c r="K100" s="1"/>
      <c r="L100" s="1"/>
      <c r="M100" s="1"/>
      <c r="N100" s="1"/>
      <c r="O100" s="1"/>
      <c r="P100" s="1"/>
    </row>
    <row r="101">
      <c r="A101" s="1"/>
      <c r="B101" s="1"/>
      <c r="C101" s="1"/>
      <c r="D101" s="1"/>
      <c r="E101" s="1"/>
      <c r="F101" s="1"/>
      <c r="G101" s="1"/>
      <c r="H101" s="1"/>
      <c r="I101" s="1"/>
      <c r="J101" s="1"/>
      <c r="K101" s="1"/>
      <c r="L101" s="1"/>
      <c r="M101" s="1"/>
      <c r="N101" s="1"/>
      <c r="O101" s="1"/>
      <c r="P101" s="1"/>
    </row>
    <row r="102">
      <c r="A102" s="1"/>
      <c r="B102" s="1"/>
      <c r="C102" s="1"/>
      <c r="D102" s="1"/>
      <c r="E102" s="1"/>
      <c r="F102" s="1"/>
      <c r="G102" s="1"/>
      <c r="H102" s="1"/>
      <c r="I102" s="1"/>
      <c r="J102" s="1"/>
      <c r="K102" s="1"/>
      <c r="L102" s="1"/>
      <c r="M102" s="1"/>
      <c r="N102" s="1"/>
      <c r="O102" s="1"/>
      <c r="P102" s="1"/>
    </row>
    <row r="103">
      <c r="A103" s="1"/>
      <c r="B103" s="1"/>
      <c r="C103" s="1"/>
      <c r="D103" s="1"/>
      <c r="E103" s="1"/>
      <c r="F103" s="1"/>
      <c r="G103" s="1"/>
      <c r="H103" s="1"/>
      <c r="I103" s="1"/>
      <c r="J103" s="1"/>
      <c r="K103" s="1"/>
      <c r="L103" s="1"/>
      <c r="M103" s="1"/>
      <c r="N103" s="1"/>
      <c r="O103" s="1"/>
      <c r="P103" s="1"/>
    </row>
    <row r="104">
      <c r="A104" s="1"/>
      <c r="B104" s="1"/>
      <c r="C104" s="1"/>
      <c r="D104" s="1"/>
      <c r="E104" s="1"/>
      <c r="F104" s="1"/>
      <c r="G104" s="1"/>
      <c r="H104" s="1"/>
      <c r="I104" s="1"/>
      <c r="J104" s="1"/>
      <c r="K104" s="1"/>
      <c r="L104" s="1"/>
      <c r="M104" s="1"/>
      <c r="N104" s="1"/>
      <c r="O104" s="1"/>
      <c r="P104" s="1"/>
    </row>
    <row r="105">
      <c r="A105" s="1"/>
      <c r="B105" s="1"/>
      <c r="C105" s="1"/>
      <c r="D105" s="1"/>
      <c r="E105" s="1"/>
      <c r="F105" s="1"/>
      <c r="G105" s="1"/>
      <c r="H105" s="1"/>
      <c r="I105" s="1"/>
      <c r="J105" s="1"/>
      <c r="K105" s="1"/>
      <c r="L105" s="1"/>
      <c r="M105" s="1"/>
      <c r="N105" s="1"/>
      <c r="O105" s="1"/>
      <c r="P105" s="1"/>
    </row>
    <row r="106">
      <c r="A106" s="1"/>
      <c r="B106" s="1"/>
      <c r="C106" s="1"/>
      <c r="D106" s="1"/>
      <c r="E106" s="1"/>
      <c r="F106" s="1"/>
      <c r="G106" s="1"/>
      <c r="H106" s="1"/>
      <c r="I106" s="1"/>
      <c r="J106" s="1"/>
      <c r="K106" s="1"/>
      <c r="L106" s="1"/>
      <c r="M106" s="1"/>
      <c r="N106" s="1"/>
      <c r="O106" s="1"/>
      <c r="P106" s="1"/>
    </row>
    <row r="107">
      <c r="A107" s="1"/>
      <c r="B107" s="1"/>
      <c r="C107" s="1"/>
      <c r="D107" s="1"/>
      <c r="E107" s="1"/>
      <c r="F107" s="1"/>
      <c r="G107" s="1"/>
      <c r="H107" s="1"/>
      <c r="I107" s="1"/>
      <c r="J107" s="1"/>
      <c r="K107" s="1"/>
      <c r="L107" s="1"/>
      <c r="M107" s="1"/>
      <c r="N107" s="1"/>
      <c r="O107" s="1"/>
      <c r="P107" s="1"/>
    </row>
    <row r="108">
      <c r="A108" s="1"/>
      <c r="B108" s="1"/>
      <c r="C108" s="1"/>
      <c r="D108" s="1"/>
      <c r="E108" s="1"/>
      <c r="F108" s="1"/>
      <c r="G108" s="1"/>
      <c r="H108" s="1"/>
      <c r="I108" s="1"/>
      <c r="J108" s="1"/>
      <c r="K108" s="1"/>
      <c r="L108" s="1"/>
      <c r="M108" s="1"/>
      <c r="N108" s="1"/>
      <c r="O108" s="1"/>
      <c r="P108" s="1"/>
    </row>
    <row r="109">
      <c r="A109" s="1"/>
      <c r="B109" s="1"/>
      <c r="C109" s="1"/>
      <c r="D109" s="1"/>
      <c r="E109" s="1"/>
      <c r="F109" s="1"/>
      <c r="G109" s="1"/>
      <c r="H109" s="1"/>
      <c r="I109" s="1"/>
      <c r="J109" s="1"/>
      <c r="K109" s="1"/>
      <c r="L109" s="1"/>
      <c r="M109" s="1"/>
      <c r="N109" s="1"/>
      <c r="O109" s="1"/>
      <c r="P109" s="1"/>
    </row>
    <row r="110">
      <c r="A110" s="1"/>
      <c r="B110" s="1"/>
      <c r="C110" s="1"/>
      <c r="D110" s="1"/>
      <c r="E110" s="1"/>
      <c r="F110" s="1"/>
      <c r="G110" s="1"/>
      <c r="H110" s="1"/>
      <c r="I110" s="1"/>
      <c r="J110" s="1"/>
      <c r="K110" s="1"/>
      <c r="L110" s="1"/>
      <c r="M110" s="1"/>
      <c r="N110" s="1"/>
      <c r="O110" s="1"/>
      <c r="P110" s="1"/>
    </row>
    <row r="111">
      <c r="A111" s="1"/>
      <c r="B111" s="1"/>
      <c r="C111" s="1"/>
      <c r="D111" s="1"/>
      <c r="E111" s="1"/>
      <c r="F111" s="1"/>
      <c r="G111" s="1"/>
      <c r="H111" s="1"/>
      <c r="I111" s="1"/>
      <c r="J111" s="1"/>
      <c r="K111" s="1"/>
      <c r="L111" s="1"/>
      <c r="M111" s="1"/>
      <c r="N111" s="1"/>
      <c r="O111" s="1"/>
      <c r="P111" s="1"/>
    </row>
    <row r="112">
      <c r="A112" s="1"/>
      <c r="B112" s="1"/>
      <c r="C112" s="1"/>
      <c r="D112" s="1"/>
      <c r="E112" s="1"/>
      <c r="F112" s="1"/>
      <c r="G112" s="1"/>
      <c r="H112" s="1"/>
      <c r="I112" s="1"/>
      <c r="J112" s="1"/>
      <c r="K112" s="1"/>
      <c r="L112" s="1"/>
      <c r="M112" s="1"/>
      <c r="N112" s="1"/>
      <c r="O112" s="1"/>
      <c r="P112" s="1"/>
    </row>
    <row r="113">
      <c r="A113" s="1"/>
      <c r="B113" s="1"/>
      <c r="C113" s="1"/>
      <c r="D113" s="1"/>
      <c r="E113" s="1"/>
      <c r="F113" s="1"/>
      <c r="G113" s="1"/>
      <c r="H113" s="1"/>
      <c r="I113" s="1"/>
      <c r="J113" s="1"/>
      <c r="K113" s="1"/>
      <c r="L113" s="1"/>
      <c r="M113" s="1"/>
      <c r="N113" s="1"/>
      <c r="O113" s="1"/>
      <c r="P113" s="1"/>
    </row>
    <row r="114">
      <c r="A114" s="1"/>
      <c r="B114" s="1"/>
      <c r="C114" s="1"/>
      <c r="D114" s="1"/>
      <c r="E114" s="1"/>
      <c r="F114" s="1"/>
      <c r="G114" s="1"/>
      <c r="H114" s="1"/>
      <c r="I114" s="1"/>
      <c r="J114" s="1"/>
      <c r="K114" s="1"/>
      <c r="L114" s="1"/>
      <c r="M114" s="1"/>
      <c r="N114" s="1"/>
      <c r="O114" s="1"/>
      <c r="P114" s="1"/>
    </row>
    <row r="115">
      <c r="A115" s="1"/>
      <c r="B115" s="1"/>
      <c r="C115" s="1"/>
      <c r="D115" s="1"/>
      <c r="E115" s="1"/>
      <c r="F115" s="1"/>
      <c r="G115" s="1"/>
      <c r="H115" s="1"/>
      <c r="I115" s="1"/>
      <c r="J115" s="1"/>
      <c r="K115" s="1"/>
      <c r="L115" s="1"/>
      <c r="M115" s="1"/>
      <c r="N115" s="1"/>
      <c r="O115" s="1"/>
      <c r="P115" s="1"/>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6.5"/>
    <col customWidth="1" min="2" max="2" width="31.25"/>
    <col customWidth="1" min="3" max="3" width="18.38"/>
    <col customWidth="1" min="4" max="4" width="26.5"/>
    <col customWidth="1" min="5" max="5" width="20.0"/>
    <col customWidth="1" min="6" max="7" width="18.0"/>
    <col customWidth="1" min="8" max="8" width="14.5"/>
    <col customWidth="1" min="9" max="9" width="11.5"/>
    <col customWidth="1" min="10" max="10" width="8.38"/>
    <col customWidth="1" min="11" max="11" width="16.13"/>
    <col customWidth="1" min="12" max="12" width="12.75"/>
    <col customWidth="1" min="13" max="13" width="12.13"/>
    <col customWidth="1" min="14" max="14" width="8.0"/>
    <col customWidth="1" min="15" max="15" width="6.5"/>
    <col customWidth="1" min="16" max="16" width="6.38"/>
    <col customWidth="1" min="17" max="17" width="9.75"/>
    <col customWidth="1" min="18" max="18" width="9.5"/>
    <col customWidth="1" min="19" max="19" width="9.0"/>
    <col customWidth="1" min="20" max="20" width="12.5"/>
    <col customWidth="1" min="21" max="21" width="4.38"/>
    <col customWidth="1" min="22" max="22" width="7.38"/>
    <col customWidth="1" min="23" max="23" width="7.88"/>
  </cols>
  <sheetData>
    <row r="1">
      <c r="A1" s="13">
        <f>IFERROR(__xludf.DUMMYFUNCTION("COUNTUNIQUE(A5:A999)-if(COUNTIF('4) Release_Artist(s)'!E:E, ""Various Artists"")&gt;0,0,1)"),2.0)</f>
        <v>2</v>
      </c>
      <c r="B1" s="14" t="s">
        <v>25</v>
      </c>
      <c r="C1" s="15">
        <f>IFERROR(__xludf.DUMMYFUNCTION("COUNTUNIQUE(C5:C999)"),2.0)</f>
        <v>2</v>
      </c>
      <c r="D1" s="16">
        <f>IFERROR(__xludf.DUMMYFUNCTION("COUNTUNIQUE(D5:D999)"),2.0)</f>
        <v>2</v>
      </c>
      <c r="E1" s="17">
        <f>IFERROR(__xludf.DUMMYFUNCTION("COUNTUNIQUE(E5:E999)"),2.0)</f>
        <v>2</v>
      </c>
      <c r="F1" s="18">
        <f>IFERROR(__xludf.DUMMYFUNCTION("COUNTUNIQUE(F5:F999)"),0.0)</f>
        <v>0</v>
      </c>
      <c r="G1" s="18">
        <f>IFERROR(__xludf.DUMMYFUNCTION("COUNTUNIQUE(G5:G999)"),1.0)</f>
        <v>1</v>
      </c>
      <c r="H1" s="18">
        <f>IFERROR(__xludf.DUMMYFUNCTION("COUNTUNIQUE(B5:B999)"),2.0)</f>
        <v>2</v>
      </c>
      <c r="I1" s="19" t="s">
        <v>26</v>
      </c>
      <c r="J1" s="8">
        <v>691097.0</v>
      </c>
      <c r="O1" s="8"/>
      <c r="P1" s="8"/>
      <c r="R1" s="8"/>
      <c r="S1" s="8"/>
      <c r="T1" s="8"/>
      <c r="U1" s="8"/>
      <c r="V1" s="8"/>
      <c r="W1" s="8"/>
      <c r="X1" s="8"/>
      <c r="Y1" s="20"/>
      <c r="Z1" s="8"/>
    </row>
    <row r="2">
      <c r="A2" s="21" t="s">
        <v>27</v>
      </c>
      <c r="B2" s="22" t="s">
        <v>28</v>
      </c>
      <c r="C2" s="23"/>
      <c r="D2" s="24" t="s">
        <v>29</v>
      </c>
      <c r="E2" s="25"/>
      <c r="F2" s="25" t="s">
        <v>28</v>
      </c>
      <c r="G2" s="26"/>
      <c r="H2" s="27">
        <f>countif(B5:B999,"&lt;&gt;""")-countif(B5:B999,"")</f>
        <v>2</v>
      </c>
      <c r="I2" s="19" t="s">
        <v>30</v>
      </c>
      <c r="J2" s="28">
        <v>332920.0</v>
      </c>
      <c r="K2" s="28"/>
      <c r="L2" s="28"/>
      <c r="M2" s="28"/>
      <c r="N2" s="28"/>
      <c r="O2" s="28"/>
      <c r="P2" s="28"/>
      <c r="Q2" s="28"/>
      <c r="R2" s="28"/>
      <c r="S2" s="28"/>
      <c r="T2" s="28"/>
      <c r="U2" s="28"/>
      <c r="V2" s="28"/>
      <c r="W2" s="28"/>
    </row>
    <row r="3">
      <c r="A3" s="29" t="s">
        <v>31</v>
      </c>
      <c r="B3" s="30" t="s">
        <v>32</v>
      </c>
      <c r="C3" s="31" t="s">
        <v>33</v>
      </c>
      <c r="D3" s="32" t="s">
        <v>34</v>
      </c>
      <c r="E3" s="33" t="s">
        <v>35</v>
      </c>
      <c r="F3" s="33" t="s">
        <v>36</v>
      </c>
      <c r="G3" s="33" t="s">
        <v>37</v>
      </c>
      <c r="H3" s="34"/>
      <c r="I3" s="18" t="s">
        <v>38</v>
      </c>
      <c r="J3" s="28"/>
      <c r="K3" s="28"/>
      <c r="L3" s="28"/>
      <c r="M3" s="28"/>
      <c r="N3" s="28"/>
      <c r="O3" s="28"/>
      <c r="P3" s="28"/>
      <c r="Q3" s="28"/>
      <c r="R3" s="28"/>
      <c r="S3" s="28"/>
      <c r="T3" s="28"/>
      <c r="U3" s="28"/>
      <c r="V3" s="28"/>
      <c r="W3" s="28"/>
      <c r="X3" s="28"/>
      <c r="Y3" s="28"/>
    </row>
    <row r="4">
      <c r="A4" s="35" t="s">
        <v>39</v>
      </c>
      <c r="B4" s="36" t="s">
        <v>40</v>
      </c>
      <c r="C4" s="37" t="s">
        <v>41</v>
      </c>
      <c r="D4" s="38" t="s">
        <v>42</v>
      </c>
      <c r="E4" s="39" t="s">
        <v>43</v>
      </c>
      <c r="F4" s="40" t="s">
        <v>44</v>
      </c>
      <c r="G4" s="41"/>
      <c r="H4" s="34"/>
      <c r="I4" s="42">
        <f>IFERROR(__xludf.DUMMYFUNCTION("counta(A5:A999)-COUNTUNIQUE(A5:A999)"),0.0)</f>
        <v>0</v>
      </c>
      <c r="J4" s="28"/>
      <c r="K4" s="28"/>
      <c r="L4" s="28"/>
      <c r="M4" s="43"/>
      <c r="N4" s="43"/>
      <c r="O4" s="28"/>
      <c r="P4" s="28"/>
      <c r="Q4" s="28"/>
      <c r="R4" s="28"/>
      <c r="S4" s="28"/>
      <c r="T4" s="28"/>
      <c r="U4" s="28"/>
      <c r="V4" s="28"/>
      <c r="W4" s="28"/>
      <c r="X4" s="28"/>
      <c r="Y4" s="28"/>
    </row>
    <row r="5">
      <c r="A5" s="8" t="s">
        <v>45</v>
      </c>
      <c r="B5" s="44" t="s">
        <v>46</v>
      </c>
      <c r="C5" s="8">
        <v>1.532352644E9</v>
      </c>
      <c r="D5" s="8" t="s">
        <v>47</v>
      </c>
      <c r="E5" s="45">
        <v>6.97315585919469E14</v>
      </c>
      <c r="F5" s="34"/>
      <c r="G5" s="46" t="s">
        <v>48</v>
      </c>
      <c r="H5" s="47"/>
      <c r="I5" s="34" t="str">
        <f>IFERROR(__xludf.DUMMYFUNCTION("if(B5="""","""",""insert into Images VALUES (NEWID(),'""&amp;REGEXREPLACE(A5,""[^[:alnum:]]"","""")&amp;EntId&amp;H5&amp;""', '""&amp;H5&amp;""', getdate(), 0, null, '""&amp;trim(B5)&amp;""', 0, getdate(), null, null)"")"),"insert into Images VALUES (NEWID(),'JKZTest2', '', getdate(), 0, null, 'https://www.dropbox.com/scl/fi/7safoetk4p2k4vwi29k4c/Receba-789294845633-UPC.jpg?rlkey=3vty6hb78ol10iv3y6h4md8h3&amp;st=m30ox0p4&amp;dl=1', 0, getdate(), null, null)")</f>
        <v>insert into Images VALUES (NEWID(),'JKZTest2', '', getdate(), 0, null, 'https://www.dropbox.com/scl/fi/7safoetk4p2k4vwi29k4c/Receba-789294845633-UPC.jpg?rlkey=3vty6hb78ol10iv3y6h4md8h3&amp;st=m30ox0p4&amp;dl=1', 0, getdate(), null, null)</v>
      </c>
      <c r="W5" s="28" t="s">
        <v>49</v>
      </c>
      <c r="Y5" s="20"/>
    </row>
    <row r="6">
      <c r="A6" s="8" t="s">
        <v>50</v>
      </c>
      <c r="B6" s="44" t="s">
        <v>51</v>
      </c>
      <c r="C6" s="8">
        <v>1.60113962E9</v>
      </c>
      <c r="D6" s="8" t="s">
        <v>52</v>
      </c>
      <c r="E6" s="45">
        <v>6.97315585919468E14</v>
      </c>
      <c r="F6" s="34"/>
      <c r="G6" s="34"/>
      <c r="H6" s="47"/>
      <c r="I6" s="34"/>
      <c r="K6" s="48"/>
    </row>
    <row r="7">
      <c r="E7" s="34"/>
      <c r="F7" s="34"/>
      <c r="G7" s="34"/>
      <c r="H7" s="34"/>
      <c r="I7" s="34"/>
    </row>
    <row r="8">
      <c r="A8" s="28"/>
      <c r="E8" s="34"/>
      <c r="F8" s="34"/>
      <c r="G8" s="34"/>
      <c r="H8" s="34"/>
      <c r="I8" s="34"/>
    </row>
    <row r="9">
      <c r="A9" s="28"/>
      <c r="E9" s="34"/>
      <c r="F9" s="34"/>
      <c r="G9" s="34"/>
      <c r="H9" s="34"/>
      <c r="I9" s="34"/>
      <c r="J9" s="20"/>
      <c r="M9" s="8" t="s">
        <v>49</v>
      </c>
    </row>
    <row r="10">
      <c r="E10" s="34"/>
      <c r="F10" s="34"/>
      <c r="G10" s="34"/>
      <c r="H10" s="34"/>
      <c r="I10" s="34"/>
    </row>
    <row r="11">
      <c r="E11" s="34"/>
      <c r="F11" s="34"/>
      <c r="G11" s="34"/>
      <c r="H11" s="34"/>
      <c r="I11" s="34"/>
    </row>
    <row r="12">
      <c r="E12" s="34"/>
      <c r="F12" s="34"/>
      <c r="G12" s="34"/>
      <c r="H12" s="34"/>
      <c r="I12" s="34"/>
    </row>
    <row r="13">
      <c r="E13" s="34"/>
      <c r="F13" s="34"/>
      <c r="G13" s="34"/>
      <c r="H13" s="34"/>
      <c r="I13" s="34"/>
    </row>
    <row r="14">
      <c r="E14" s="34"/>
      <c r="F14" s="34"/>
      <c r="G14" s="34"/>
      <c r="H14" s="34"/>
      <c r="I14" s="34"/>
    </row>
    <row r="15">
      <c r="E15" s="34"/>
      <c r="F15" s="34"/>
      <c r="G15" s="34"/>
      <c r="H15" s="34"/>
      <c r="I15" s="34"/>
    </row>
    <row r="16">
      <c r="E16" s="34"/>
      <c r="F16" s="34"/>
      <c r="G16" s="34"/>
      <c r="H16" s="34"/>
      <c r="I16" s="34"/>
    </row>
    <row r="17">
      <c r="E17" s="34"/>
      <c r="F17" s="34"/>
      <c r="G17" s="34"/>
      <c r="H17" s="34"/>
      <c r="I17" s="34"/>
    </row>
    <row r="18">
      <c r="E18" s="34"/>
      <c r="F18" s="34"/>
      <c r="G18" s="34"/>
      <c r="H18" s="34"/>
      <c r="I18" s="34"/>
    </row>
    <row r="19">
      <c r="E19" s="34"/>
      <c r="F19" s="34"/>
      <c r="G19" s="34"/>
      <c r="H19" s="34"/>
      <c r="I19" s="34"/>
    </row>
    <row r="20">
      <c r="E20" s="34"/>
      <c r="F20" s="34"/>
      <c r="G20" s="34"/>
      <c r="H20" s="34"/>
      <c r="I20" s="34"/>
    </row>
    <row r="21">
      <c r="E21" s="34"/>
      <c r="F21" s="34"/>
      <c r="G21" s="34"/>
      <c r="H21" s="34"/>
      <c r="I21" s="34"/>
    </row>
    <row r="22">
      <c r="E22" s="34"/>
      <c r="F22" s="34"/>
      <c r="G22" s="34"/>
      <c r="H22" s="34"/>
      <c r="I22" s="34"/>
    </row>
    <row r="23">
      <c r="E23" s="34"/>
      <c r="F23" s="34"/>
      <c r="G23" s="34"/>
      <c r="H23" s="34"/>
      <c r="I23" s="34"/>
    </row>
    <row r="24">
      <c r="E24" s="34"/>
      <c r="F24" s="34"/>
      <c r="G24" s="34"/>
      <c r="H24" s="34"/>
      <c r="I24" s="34"/>
    </row>
    <row r="25">
      <c r="E25" s="34"/>
      <c r="F25" s="34"/>
      <c r="G25" s="34"/>
      <c r="H25" s="34"/>
      <c r="I25" s="34"/>
    </row>
    <row r="26">
      <c r="E26" s="34"/>
      <c r="F26" s="34"/>
      <c r="G26" s="34"/>
      <c r="H26" s="34"/>
      <c r="I26" s="34"/>
    </row>
    <row r="27">
      <c r="E27" s="34"/>
      <c r="F27" s="34"/>
      <c r="G27" s="34"/>
      <c r="H27" s="34"/>
      <c r="I27" s="34"/>
    </row>
    <row r="28">
      <c r="E28" s="34"/>
      <c r="F28" s="34"/>
      <c r="G28" s="34"/>
      <c r="H28" s="34"/>
      <c r="I28" s="34"/>
    </row>
    <row r="29">
      <c r="E29" s="34"/>
      <c r="F29" s="34"/>
      <c r="G29" s="34"/>
      <c r="H29" s="34"/>
      <c r="I29" s="34"/>
    </row>
    <row r="30">
      <c r="E30" s="34"/>
      <c r="F30" s="34"/>
      <c r="G30" s="34"/>
      <c r="H30" s="34"/>
      <c r="I30" s="34"/>
    </row>
    <row r="31">
      <c r="E31" s="34"/>
      <c r="F31" s="34"/>
      <c r="G31" s="34"/>
      <c r="H31" s="34"/>
      <c r="I31" s="34"/>
    </row>
    <row r="32">
      <c r="E32" s="34"/>
      <c r="F32" s="34"/>
      <c r="G32" s="34"/>
      <c r="H32" s="34"/>
      <c r="I32" s="34"/>
    </row>
    <row r="33">
      <c r="E33" s="34"/>
      <c r="F33" s="34"/>
      <c r="G33" s="34"/>
      <c r="H33" s="34"/>
      <c r="I33" s="34"/>
    </row>
    <row r="34">
      <c r="E34" s="34"/>
      <c r="F34" s="34"/>
      <c r="G34" s="34"/>
      <c r="H34" s="34"/>
      <c r="I34" s="34"/>
    </row>
    <row r="35">
      <c r="E35" s="34"/>
      <c r="F35" s="34"/>
      <c r="G35" s="34"/>
      <c r="H35" s="34"/>
      <c r="I35" s="34"/>
    </row>
    <row r="36">
      <c r="E36" s="34"/>
      <c r="F36" s="34"/>
      <c r="G36" s="34"/>
      <c r="H36" s="34"/>
      <c r="I36" s="34"/>
    </row>
    <row r="37">
      <c r="E37" s="34"/>
      <c r="F37" s="34"/>
      <c r="G37" s="34"/>
      <c r="H37" s="34"/>
      <c r="I37" s="34"/>
    </row>
    <row r="38">
      <c r="E38" s="34"/>
      <c r="F38" s="34"/>
      <c r="G38" s="34"/>
      <c r="H38" s="34"/>
      <c r="I38" s="34"/>
    </row>
    <row r="39">
      <c r="E39" s="34"/>
      <c r="F39" s="34"/>
      <c r="G39" s="34"/>
      <c r="H39" s="34"/>
      <c r="I39" s="34"/>
    </row>
    <row r="40">
      <c r="E40" s="34"/>
      <c r="F40" s="34"/>
      <c r="G40" s="34"/>
      <c r="H40" s="34"/>
      <c r="I40" s="34"/>
    </row>
    <row r="41">
      <c r="E41" s="34"/>
      <c r="F41" s="34"/>
      <c r="G41" s="34"/>
      <c r="H41" s="34"/>
      <c r="I41" s="34"/>
    </row>
    <row r="42">
      <c r="E42" s="34"/>
      <c r="F42" s="34"/>
      <c r="G42" s="34"/>
      <c r="H42" s="34"/>
      <c r="I42" s="34"/>
    </row>
    <row r="43">
      <c r="E43" s="34"/>
      <c r="F43" s="34"/>
      <c r="G43" s="34"/>
      <c r="H43" s="34"/>
      <c r="I43" s="34"/>
    </row>
    <row r="44">
      <c r="E44" s="34"/>
      <c r="F44" s="34"/>
      <c r="G44" s="34"/>
      <c r="H44" s="34"/>
      <c r="I44" s="34"/>
    </row>
    <row r="45">
      <c r="E45" s="34"/>
      <c r="F45" s="34"/>
      <c r="G45" s="34"/>
      <c r="H45" s="34"/>
      <c r="I45" s="34"/>
    </row>
    <row r="46">
      <c r="E46" s="34"/>
      <c r="F46" s="34"/>
      <c r="G46" s="34"/>
      <c r="H46" s="34"/>
      <c r="I46" s="34"/>
    </row>
    <row r="47">
      <c r="E47" s="34"/>
      <c r="F47" s="34"/>
      <c r="G47" s="34"/>
      <c r="H47" s="34"/>
      <c r="I47" s="34"/>
    </row>
    <row r="48">
      <c r="E48" s="34"/>
      <c r="F48" s="34"/>
      <c r="G48" s="34"/>
      <c r="H48" s="34"/>
      <c r="I48" s="34"/>
    </row>
    <row r="49">
      <c r="E49" s="34"/>
      <c r="F49" s="34"/>
      <c r="G49" s="34"/>
      <c r="H49" s="34"/>
      <c r="I49" s="34"/>
    </row>
    <row r="50">
      <c r="E50" s="34"/>
      <c r="F50" s="34"/>
      <c r="G50" s="34"/>
      <c r="H50" s="34"/>
      <c r="I50" s="34"/>
    </row>
    <row r="51">
      <c r="E51" s="34"/>
      <c r="F51" s="34"/>
      <c r="G51" s="34"/>
      <c r="H51" s="34"/>
      <c r="I51" s="34"/>
    </row>
    <row r="52">
      <c r="E52" s="34"/>
      <c r="F52" s="34"/>
      <c r="G52" s="34"/>
      <c r="H52" s="34"/>
      <c r="I52" s="34"/>
    </row>
    <row r="53">
      <c r="E53" s="34"/>
      <c r="F53" s="34"/>
      <c r="G53" s="34"/>
      <c r="H53" s="34"/>
      <c r="I53" s="34"/>
    </row>
    <row r="54">
      <c r="E54" s="34"/>
      <c r="F54" s="34"/>
      <c r="G54" s="34"/>
      <c r="H54" s="34"/>
      <c r="I54" s="34"/>
    </row>
    <row r="55">
      <c r="E55" s="34"/>
      <c r="F55" s="34"/>
      <c r="G55" s="34"/>
      <c r="H55" s="34"/>
      <c r="I55" s="34"/>
    </row>
    <row r="56">
      <c r="E56" s="34"/>
      <c r="F56" s="34"/>
      <c r="G56" s="34"/>
      <c r="H56" s="34"/>
      <c r="I56" s="34"/>
    </row>
    <row r="57">
      <c r="E57" s="34"/>
      <c r="F57" s="34"/>
      <c r="G57" s="34"/>
      <c r="H57" s="34"/>
      <c r="I57" s="34"/>
    </row>
    <row r="58">
      <c r="E58" s="34"/>
      <c r="F58" s="34"/>
      <c r="G58" s="34"/>
      <c r="H58" s="34"/>
      <c r="I58" s="34"/>
    </row>
    <row r="59">
      <c r="E59" s="34"/>
      <c r="F59" s="34"/>
      <c r="G59" s="34"/>
      <c r="H59" s="34"/>
      <c r="I59" s="34"/>
    </row>
    <row r="60">
      <c r="E60" s="34"/>
      <c r="F60" s="34"/>
      <c r="G60" s="34"/>
      <c r="H60" s="34"/>
      <c r="I60" s="34"/>
    </row>
    <row r="61">
      <c r="E61" s="34"/>
      <c r="F61" s="34"/>
      <c r="G61" s="34"/>
      <c r="H61" s="34"/>
      <c r="I61" s="34"/>
    </row>
    <row r="62">
      <c r="E62" s="34"/>
      <c r="F62" s="34"/>
      <c r="G62" s="34"/>
      <c r="H62" s="34"/>
      <c r="I62" s="34"/>
    </row>
    <row r="63">
      <c r="E63" s="34"/>
      <c r="F63" s="34"/>
      <c r="G63" s="34"/>
      <c r="H63" s="34"/>
      <c r="I63" s="34"/>
    </row>
    <row r="64">
      <c r="E64" s="34"/>
      <c r="F64" s="34"/>
      <c r="G64" s="34"/>
      <c r="H64" s="34"/>
      <c r="I64" s="34"/>
    </row>
    <row r="65">
      <c r="E65" s="34"/>
      <c r="F65" s="34"/>
      <c r="G65" s="34"/>
      <c r="H65" s="34"/>
      <c r="I65" s="34"/>
    </row>
    <row r="66">
      <c r="E66" s="34"/>
      <c r="F66" s="34"/>
      <c r="G66" s="34"/>
      <c r="H66" s="34"/>
      <c r="I66" s="34"/>
    </row>
    <row r="67">
      <c r="E67" s="34"/>
      <c r="F67" s="34"/>
      <c r="G67" s="34"/>
      <c r="H67" s="34"/>
      <c r="I67" s="34"/>
    </row>
    <row r="68">
      <c r="E68" s="34"/>
      <c r="F68" s="34"/>
      <c r="G68" s="34"/>
      <c r="H68" s="34"/>
      <c r="I68" s="34"/>
    </row>
    <row r="69">
      <c r="E69" s="34"/>
      <c r="F69" s="34"/>
      <c r="G69" s="34"/>
      <c r="H69" s="34"/>
      <c r="I69" s="34"/>
    </row>
    <row r="70">
      <c r="E70" s="34"/>
      <c r="F70" s="34"/>
      <c r="G70" s="34"/>
      <c r="H70" s="34"/>
      <c r="I70" s="34"/>
    </row>
    <row r="71">
      <c r="E71" s="34"/>
      <c r="F71" s="34"/>
      <c r="G71" s="34"/>
      <c r="H71" s="34"/>
      <c r="I71" s="34"/>
    </row>
    <row r="72">
      <c r="E72" s="34"/>
      <c r="F72" s="34"/>
      <c r="G72" s="34"/>
      <c r="H72" s="34"/>
      <c r="I72" s="34"/>
    </row>
    <row r="73">
      <c r="E73" s="34"/>
      <c r="F73" s="34"/>
      <c r="G73" s="34"/>
      <c r="H73" s="34"/>
      <c r="I73" s="34"/>
    </row>
    <row r="74">
      <c r="E74" s="34"/>
      <c r="F74" s="34"/>
      <c r="G74" s="34"/>
      <c r="H74" s="34"/>
      <c r="I74" s="34"/>
    </row>
    <row r="75">
      <c r="E75" s="34"/>
      <c r="F75" s="34"/>
      <c r="G75" s="34"/>
      <c r="H75" s="34"/>
      <c r="I75" s="34"/>
    </row>
    <row r="76">
      <c r="E76" s="34"/>
      <c r="F76" s="34"/>
      <c r="G76" s="34"/>
      <c r="H76" s="34"/>
      <c r="I76" s="34"/>
    </row>
    <row r="77">
      <c r="E77" s="34"/>
      <c r="F77" s="34"/>
      <c r="G77" s="34"/>
      <c r="H77" s="34"/>
      <c r="I77" s="34"/>
    </row>
    <row r="78">
      <c r="E78" s="34"/>
      <c r="F78" s="34"/>
      <c r="G78" s="34"/>
      <c r="H78" s="34"/>
      <c r="I78" s="34"/>
    </row>
    <row r="79">
      <c r="E79" s="34"/>
      <c r="F79" s="34"/>
      <c r="G79" s="34"/>
      <c r="H79" s="34"/>
      <c r="I79" s="34"/>
    </row>
    <row r="80">
      <c r="E80" s="34"/>
      <c r="F80" s="34"/>
      <c r="G80" s="34"/>
      <c r="H80" s="34"/>
      <c r="I80" s="34"/>
    </row>
    <row r="81">
      <c r="E81" s="34"/>
      <c r="F81" s="34"/>
      <c r="G81" s="34"/>
      <c r="H81" s="34"/>
      <c r="I81" s="34"/>
    </row>
    <row r="82">
      <c r="E82" s="34"/>
      <c r="F82" s="34"/>
      <c r="G82" s="34"/>
      <c r="H82" s="34"/>
      <c r="I82" s="34"/>
    </row>
    <row r="83">
      <c r="E83" s="34"/>
      <c r="F83" s="34"/>
      <c r="G83" s="34"/>
      <c r="H83" s="34"/>
      <c r="I83" s="34"/>
    </row>
    <row r="84">
      <c r="E84" s="34"/>
      <c r="F84" s="34"/>
      <c r="G84" s="34"/>
      <c r="H84" s="34"/>
      <c r="I84" s="34"/>
    </row>
    <row r="85">
      <c r="E85" s="34"/>
      <c r="F85" s="34"/>
      <c r="G85" s="34"/>
      <c r="H85" s="34"/>
      <c r="I85" s="34"/>
    </row>
    <row r="86">
      <c r="E86" s="34"/>
      <c r="F86" s="34"/>
      <c r="G86" s="34"/>
      <c r="H86" s="34"/>
      <c r="I86" s="34"/>
    </row>
    <row r="87">
      <c r="E87" s="34"/>
      <c r="F87" s="34"/>
      <c r="G87" s="34"/>
      <c r="H87" s="34"/>
      <c r="I87" s="34"/>
    </row>
    <row r="88">
      <c r="E88" s="34"/>
      <c r="F88" s="34"/>
      <c r="G88" s="34"/>
      <c r="H88" s="34"/>
      <c r="I88" s="34"/>
    </row>
    <row r="89">
      <c r="E89" s="34"/>
      <c r="F89" s="34"/>
      <c r="G89" s="34"/>
      <c r="H89" s="34"/>
      <c r="I89" s="34"/>
    </row>
    <row r="90">
      <c r="E90" s="34"/>
      <c r="F90" s="34"/>
      <c r="G90" s="34"/>
      <c r="H90" s="34"/>
      <c r="I90" s="34"/>
    </row>
    <row r="91">
      <c r="E91" s="34"/>
      <c r="F91" s="34"/>
      <c r="G91" s="34"/>
      <c r="H91" s="34"/>
      <c r="I91" s="34"/>
    </row>
    <row r="92">
      <c r="E92" s="34"/>
      <c r="F92" s="34"/>
      <c r="G92" s="34"/>
      <c r="H92" s="34"/>
      <c r="I92" s="34"/>
    </row>
    <row r="93">
      <c r="E93" s="34"/>
      <c r="F93" s="34"/>
      <c r="G93" s="34"/>
      <c r="H93" s="34"/>
      <c r="I93" s="34"/>
    </row>
    <row r="94">
      <c r="E94" s="34"/>
      <c r="F94" s="34"/>
      <c r="G94" s="34"/>
      <c r="H94" s="34"/>
      <c r="I94" s="34"/>
    </row>
    <row r="95">
      <c r="E95" s="34"/>
      <c r="F95" s="34"/>
      <c r="G95" s="34"/>
      <c r="H95" s="34"/>
      <c r="I95" s="34"/>
    </row>
    <row r="96">
      <c r="E96" s="34"/>
      <c r="F96" s="34"/>
      <c r="G96" s="34"/>
      <c r="H96" s="34"/>
      <c r="I96" s="34"/>
    </row>
    <row r="97">
      <c r="E97" s="34"/>
      <c r="F97" s="34"/>
      <c r="G97" s="34"/>
      <c r="H97" s="34"/>
      <c r="I97" s="34"/>
    </row>
    <row r="98">
      <c r="E98" s="34"/>
      <c r="F98" s="34"/>
      <c r="G98" s="34"/>
      <c r="H98" s="34"/>
      <c r="I98" s="34"/>
    </row>
    <row r="99">
      <c r="E99" s="34"/>
      <c r="F99" s="34"/>
      <c r="G99" s="34"/>
      <c r="H99" s="34"/>
      <c r="I99" s="34"/>
    </row>
    <row r="100">
      <c r="E100" s="34"/>
      <c r="F100" s="34"/>
      <c r="G100" s="34"/>
      <c r="H100" s="34"/>
      <c r="I100" s="34"/>
    </row>
    <row r="101">
      <c r="E101" s="34"/>
      <c r="F101" s="34"/>
      <c r="G101" s="34"/>
      <c r="H101" s="34"/>
      <c r="I101" s="34"/>
    </row>
    <row r="102">
      <c r="E102" s="34"/>
      <c r="F102" s="34"/>
      <c r="G102" s="34"/>
      <c r="H102" s="34"/>
      <c r="I102" s="34"/>
    </row>
    <row r="103">
      <c r="E103" s="34"/>
      <c r="F103" s="34"/>
      <c r="G103" s="34"/>
      <c r="H103" s="34"/>
      <c r="I103" s="34"/>
    </row>
    <row r="104">
      <c r="E104" s="34"/>
      <c r="F104" s="34"/>
      <c r="G104" s="34"/>
      <c r="H104" s="34"/>
      <c r="I104" s="34"/>
    </row>
    <row r="105">
      <c r="E105" s="34"/>
      <c r="F105" s="34"/>
      <c r="G105" s="34"/>
      <c r="H105" s="34"/>
      <c r="I105" s="34"/>
    </row>
    <row r="106">
      <c r="E106" s="34"/>
      <c r="F106" s="34"/>
      <c r="G106" s="34"/>
      <c r="H106" s="34"/>
      <c r="I106" s="34"/>
    </row>
    <row r="107">
      <c r="E107" s="34"/>
      <c r="F107" s="34"/>
      <c r="G107" s="34"/>
      <c r="H107" s="34"/>
      <c r="I107" s="34"/>
    </row>
    <row r="108">
      <c r="E108" s="34"/>
      <c r="F108" s="34"/>
      <c r="G108" s="34"/>
      <c r="H108" s="34"/>
      <c r="I108" s="34"/>
    </row>
    <row r="109">
      <c r="E109" s="34"/>
      <c r="F109" s="34"/>
      <c r="G109" s="34"/>
      <c r="H109" s="34"/>
      <c r="I109" s="34"/>
    </row>
    <row r="110">
      <c r="E110" s="34"/>
      <c r="F110" s="34"/>
      <c r="G110" s="34"/>
      <c r="H110" s="34"/>
      <c r="I110" s="34"/>
    </row>
    <row r="111">
      <c r="E111" s="34"/>
      <c r="F111" s="34"/>
      <c r="G111" s="34"/>
      <c r="H111" s="34"/>
      <c r="I111" s="34"/>
    </row>
    <row r="112">
      <c r="E112" s="34"/>
      <c r="F112" s="34"/>
      <c r="G112" s="34"/>
      <c r="H112" s="34"/>
      <c r="I112" s="34"/>
    </row>
    <row r="113">
      <c r="E113" s="34"/>
      <c r="F113" s="34"/>
      <c r="G113" s="34"/>
      <c r="H113" s="34"/>
      <c r="I113" s="34"/>
    </row>
    <row r="114">
      <c r="E114" s="34"/>
      <c r="F114" s="34"/>
      <c r="G114" s="34"/>
      <c r="H114" s="34"/>
      <c r="I114" s="34"/>
    </row>
    <row r="115">
      <c r="E115" s="34"/>
      <c r="F115" s="34"/>
      <c r="G115" s="34"/>
      <c r="H115" s="34"/>
      <c r="I115" s="34"/>
    </row>
    <row r="116">
      <c r="E116" s="34"/>
      <c r="F116" s="34"/>
      <c r="G116" s="34"/>
      <c r="H116" s="34"/>
      <c r="I116" s="34"/>
    </row>
    <row r="117">
      <c r="E117" s="34"/>
      <c r="F117" s="34"/>
      <c r="G117" s="34"/>
      <c r="H117" s="34"/>
      <c r="I117" s="34"/>
    </row>
    <row r="118">
      <c r="E118" s="34"/>
      <c r="F118" s="34"/>
      <c r="G118" s="34"/>
      <c r="H118" s="34"/>
      <c r="I118" s="34"/>
    </row>
    <row r="119">
      <c r="E119" s="34"/>
      <c r="F119" s="34"/>
      <c r="G119" s="34"/>
      <c r="H119" s="34"/>
      <c r="I119" s="34"/>
    </row>
    <row r="120">
      <c r="E120" s="34"/>
      <c r="F120" s="34"/>
      <c r="G120" s="34"/>
      <c r="H120" s="34"/>
      <c r="I120" s="34"/>
    </row>
    <row r="121">
      <c r="E121" s="34"/>
      <c r="F121" s="34"/>
      <c r="G121" s="34"/>
      <c r="H121" s="34"/>
      <c r="I121" s="34"/>
    </row>
    <row r="122">
      <c r="E122" s="34"/>
      <c r="F122" s="34"/>
      <c r="G122" s="34"/>
      <c r="H122" s="34"/>
      <c r="I122" s="34"/>
    </row>
    <row r="123">
      <c r="E123" s="34"/>
      <c r="F123" s="34"/>
      <c r="G123" s="34"/>
      <c r="H123" s="34"/>
      <c r="I123" s="34"/>
    </row>
    <row r="124">
      <c r="E124" s="34"/>
      <c r="F124" s="34"/>
      <c r="G124" s="34"/>
      <c r="H124" s="34"/>
      <c r="I124" s="34"/>
    </row>
    <row r="125">
      <c r="E125" s="34"/>
      <c r="F125" s="34"/>
      <c r="G125" s="34"/>
      <c r="H125" s="34"/>
      <c r="I125" s="34"/>
    </row>
    <row r="126">
      <c r="E126" s="34"/>
      <c r="F126" s="34"/>
      <c r="G126" s="34"/>
      <c r="H126" s="34"/>
      <c r="I126" s="34"/>
    </row>
    <row r="127">
      <c r="E127" s="34"/>
      <c r="F127" s="34"/>
      <c r="G127" s="34"/>
      <c r="H127" s="34"/>
      <c r="I127" s="34"/>
    </row>
    <row r="128">
      <c r="E128" s="34"/>
      <c r="F128" s="34"/>
      <c r="G128" s="34"/>
      <c r="H128" s="34"/>
      <c r="I128" s="34"/>
    </row>
    <row r="129">
      <c r="E129" s="34"/>
      <c r="F129" s="34"/>
      <c r="G129" s="34"/>
      <c r="H129" s="34"/>
      <c r="I129" s="34"/>
    </row>
    <row r="130">
      <c r="E130" s="34"/>
      <c r="F130" s="34"/>
      <c r="G130" s="34"/>
      <c r="H130" s="34"/>
      <c r="I130" s="34"/>
    </row>
    <row r="131">
      <c r="E131" s="34"/>
      <c r="F131" s="34"/>
      <c r="G131" s="34"/>
      <c r="H131" s="34"/>
      <c r="I131" s="34"/>
    </row>
    <row r="132">
      <c r="E132" s="34"/>
      <c r="F132" s="34"/>
      <c r="G132" s="34"/>
      <c r="H132" s="34"/>
      <c r="I132" s="34"/>
    </row>
    <row r="133">
      <c r="E133" s="34"/>
      <c r="F133" s="34"/>
      <c r="G133" s="34"/>
      <c r="H133" s="34"/>
      <c r="I133" s="34"/>
    </row>
    <row r="134">
      <c r="E134" s="34"/>
      <c r="F134" s="34"/>
      <c r="G134" s="34"/>
      <c r="H134" s="34"/>
      <c r="I134" s="34"/>
    </row>
    <row r="135">
      <c r="E135" s="34"/>
      <c r="F135" s="34"/>
      <c r="G135" s="34"/>
      <c r="H135" s="34"/>
      <c r="I135" s="34"/>
    </row>
    <row r="136">
      <c r="E136" s="34"/>
      <c r="F136" s="34"/>
      <c r="G136" s="34"/>
      <c r="H136" s="34"/>
      <c r="I136" s="34"/>
    </row>
    <row r="137">
      <c r="E137" s="34"/>
      <c r="F137" s="34"/>
      <c r="G137" s="34"/>
      <c r="H137" s="34"/>
      <c r="I137" s="34"/>
    </row>
    <row r="138">
      <c r="E138" s="34"/>
      <c r="F138" s="34"/>
      <c r="G138" s="34"/>
      <c r="H138" s="34"/>
      <c r="I138" s="34"/>
    </row>
    <row r="139">
      <c r="E139" s="34"/>
      <c r="F139" s="34"/>
      <c r="G139" s="34"/>
      <c r="H139" s="34"/>
      <c r="I139" s="34"/>
    </row>
    <row r="140">
      <c r="E140" s="34"/>
      <c r="F140" s="34"/>
      <c r="G140" s="34"/>
      <c r="H140" s="34"/>
      <c r="I140" s="34"/>
    </row>
    <row r="141">
      <c r="E141" s="34"/>
      <c r="F141" s="34"/>
      <c r="G141" s="34"/>
      <c r="H141" s="34"/>
      <c r="I141" s="34"/>
    </row>
    <row r="142">
      <c r="E142" s="34"/>
      <c r="F142" s="34"/>
      <c r="G142" s="34"/>
      <c r="H142" s="34"/>
      <c r="I142" s="34"/>
    </row>
    <row r="143">
      <c r="E143" s="34"/>
      <c r="F143" s="34"/>
      <c r="G143" s="34"/>
      <c r="H143" s="34"/>
      <c r="I143" s="34"/>
    </row>
    <row r="144">
      <c r="E144" s="34"/>
      <c r="F144" s="34"/>
      <c r="G144" s="34"/>
      <c r="H144" s="34"/>
      <c r="I144" s="34"/>
    </row>
    <row r="145">
      <c r="E145" s="34"/>
      <c r="F145" s="34"/>
      <c r="G145" s="34"/>
      <c r="H145" s="34"/>
      <c r="I145" s="34"/>
    </row>
    <row r="146">
      <c r="E146" s="34"/>
      <c r="F146" s="34"/>
      <c r="G146" s="34"/>
      <c r="H146" s="34"/>
      <c r="I146" s="34"/>
    </row>
    <row r="147">
      <c r="E147" s="34"/>
      <c r="F147" s="34"/>
      <c r="G147" s="34"/>
      <c r="H147" s="34"/>
      <c r="I147" s="34"/>
    </row>
    <row r="148">
      <c r="E148" s="34"/>
      <c r="F148" s="34"/>
      <c r="G148" s="34"/>
      <c r="H148" s="34"/>
      <c r="I148" s="34"/>
    </row>
    <row r="149">
      <c r="E149" s="34"/>
      <c r="F149" s="34"/>
      <c r="G149" s="34"/>
      <c r="H149" s="34"/>
      <c r="I149" s="34"/>
    </row>
    <row r="150">
      <c r="E150" s="34"/>
      <c r="F150" s="34"/>
      <c r="G150" s="34"/>
      <c r="H150" s="34"/>
      <c r="I150" s="34"/>
    </row>
    <row r="151">
      <c r="E151" s="34"/>
      <c r="F151" s="34"/>
      <c r="G151" s="34"/>
      <c r="H151" s="34"/>
      <c r="I151" s="34"/>
    </row>
    <row r="152">
      <c r="E152" s="34"/>
      <c r="F152" s="34"/>
      <c r="G152" s="34"/>
      <c r="H152" s="34"/>
      <c r="I152" s="34"/>
    </row>
    <row r="153">
      <c r="E153" s="34"/>
      <c r="F153" s="34"/>
      <c r="G153" s="34"/>
      <c r="H153" s="34"/>
      <c r="I153" s="34"/>
    </row>
    <row r="154">
      <c r="E154" s="34"/>
      <c r="F154" s="34"/>
      <c r="G154" s="34"/>
      <c r="H154" s="34"/>
      <c r="I154" s="34"/>
    </row>
    <row r="155">
      <c r="E155" s="34"/>
      <c r="F155" s="34"/>
      <c r="G155" s="34"/>
      <c r="H155" s="34"/>
      <c r="I155" s="34"/>
    </row>
    <row r="156">
      <c r="E156" s="34"/>
      <c r="F156" s="34"/>
      <c r="G156" s="34"/>
      <c r="H156" s="34"/>
      <c r="I156" s="34"/>
    </row>
    <row r="157">
      <c r="E157" s="34"/>
      <c r="F157" s="34"/>
      <c r="G157" s="34"/>
      <c r="H157" s="34"/>
      <c r="I157" s="34"/>
    </row>
    <row r="158">
      <c r="E158" s="34"/>
      <c r="F158" s="34"/>
      <c r="G158" s="34"/>
      <c r="H158" s="34"/>
      <c r="I158" s="34"/>
    </row>
    <row r="159">
      <c r="E159" s="34"/>
      <c r="F159" s="34"/>
      <c r="G159" s="34"/>
      <c r="H159" s="34"/>
      <c r="I159" s="34"/>
    </row>
    <row r="160">
      <c r="E160" s="34"/>
      <c r="F160" s="34"/>
      <c r="G160" s="34"/>
      <c r="H160" s="34"/>
      <c r="I160" s="34"/>
    </row>
    <row r="161">
      <c r="E161" s="34"/>
      <c r="F161" s="34"/>
      <c r="G161" s="34"/>
      <c r="H161" s="34"/>
      <c r="I161" s="34"/>
    </row>
    <row r="162">
      <c r="E162" s="34"/>
      <c r="F162" s="34"/>
      <c r="G162" s="34"/>
      <c r="H162" s="34"/>
      <c r="I162" s="34"/>
    </row>
    <row r="163">
      <c r="E163" s="34"/>
      <c r="F163" s="34"/>
      <c r="G163" s="34"/>
      <c r="H163" s="34"/>
      <c r="I163" s="34"/>
    </row>
    <row r="164">
      <c r="E164" s="34"/>
      <c r="F164" s="34"/>
      <c r="G164" s="34"/>
      <c r="H164" s="34"/>
      <c r="I164" s="34"/>
    </row>
    <row r="165">
      <c r="E165" s="34"/>
      <c r="F165" s="34"/>
      <c r="G165" s="34"/>
      <c r="H165" s="34"/>
      <c r="I165" s="34"/>
    </row>
    <row r="166">
      <c r="E166" s="34"/>
      <c r="F166" s="34"/>
      <c r="G166" s="34"/>
      <c r="H166" s="34"/>
      <c r="I166" s="34"/>
    </row>
    <row r="167">
      <c r="E167" s="34"/>
      <c r="F167" s="34"/>
      <c r="G167" s="34"/>
      <c r="H167" s="34"/>
      <c r="I167" s="34"/>
    </row>
    <row r="168">
      <c r="E168" s="34"/>
      <c r="F168" s="34"/>
      <c r="G168" s="34"/>
      <c r="H168" s="34"/>
      <c r="I168" s="34"/>
    </row>
    <row r="169">
      <c r="E169" s="34"/>
      <c r="F169" s="34"/>
      <c r="G169" s="34"/>
      <c r="H169" s="34"/>
      <c r="I169" s="34"/>
    </row>
    <row r="170">
      <c r="E170" s="34"/>
      <c r="F170" s="34"/>
      <c r="G170" s="34"/>
      <c r="H170" s="34"/>
      <c r="I170" s="34"/>
    </row>
    <row r="171">
      <c r="E171" s="34"/>
      <c r="F171" s="34"/>
      <c r="G171" s="34"/>
      <c r="H171" s="34"/>
      <c r="I171" s="34"/>
    </row>
    <row r="172">
      <c r="E172" s="34"/>
      <c r="F172" s="34"/>
      <c r="G172" s="34"/>
      <c r="H172" s="34"/>
      <c r="I172" s="34"/>
    </row>
    <row r="173">
      <c r="E173" s="34"/>
      <c r="F173" s="34"/>
      <c r="G173" s="34"/>
      <c r="H173" s="34"/>
      <c r="I173" s="34"/>
    </row>
    <row r="174">
      <c r="E174" s="34"/>
      <c r="F174" s="34"/>
      <c r="G174" s="34"/>
      <c r="H174" s="34"/>
      <c r="I174" s="34"/>
    </row>
    <row r="175">
      <c r="E175" s="34"/>
      <c r="F175" s="34"/>
      <c r="G175" s="34"/>
      <c r="H175" s="34"/>
      <c r="I175" s="34"/>
    </row>
    <row r="176">
      <c r="E176" s="34"/>
      <c r="F176" s="34"/>
      <c r="G176" s="34"/>
      <c r="H176" s="34"/>
      <c r="I176" s="34"/>
    </row>
    <row r="177">
      <c r="E177" s="34"/>
      <c r="F177" s="34"/>
      <c r="G177" s="34"/>
      <c r="H177" s="34"/>
      <c r="I177" s="34"/>
    </row>
    <row r="178">
      <c r="E178" s="34"/>
      <c r="F178" s="34"/>
      <c r="G178" s="34"/>
      <c r="H178" s="34"/>
      <c r="I178" s="34"/>
    </row>
    <row r="179">
      <c r="E179" s="34"/>
      <c r="F179" s="34"/>
      <c r="G179" s="34"/>
      <c r="H179" s="34"/>
      <c r="I179" s="34"/>
    </row>
    <row r="180">
      <c r="E180" s="34"/>
      <c r="F180" s="34"/>
      <c r="G180" s="34"/>
      <c r="H180" s="34"/>
      <c r="I180" s="34"/>
    </row>
    <row r="181">
      <c r="E181" s="34"/>
      <c r="F181" s="34"/>
      <c r="G181" s="34"/>
      <c r="H181" s="34"/>
      <c r="I181" s="34"/>
    </row>
    <row r="182">
      <c r="E182" s="34"/>
      <c r="F182" s="34"/>
      <c r="G182" s="34"/>
      <c r="H182" s="34"/>
      <c r="I182" s="34"/>
    </row>
    <row r="183">
      <c r="E183" s="34"/>
      <c r="F183" s="34"/>
      <c r="G183" s="34"/>
      <c r="H183" s="34"/>
      <c r="I183" s="34"/>
    </row>
    <row r="184">
      <c r="E184" s="34"/>
      <c r="F184" s="34"/>
      <c r="G184" s="34"/>
      <c r="H184" s="34"/>
      <c r="I184" s="34"/>
    </row>
    <row r="185">
      <c r="E185" s="34"/>
      <c r="F185" s="34"/>
      <c r="G185" s="34"/>
      <c r="H185" s="34"/>
      <c r="I185" s="34"/>
    </row>
    <row r="186">
      <c r="E186" s="34"/>
      <c r="F186" s="34"/>
      <c r="G186" s="34"/>
      <c r="H186" s="34"/>
      <c r="I186" s="34"/>
    </row>
    <row r="187">
      <c r="E187" s="34"/>
      <c r="F187" s="34"/>
      <c r="G187" s="34"/>
      <c r="H187" s="34"/>
      <c r="I187" s="34"/>
    </row>
    <row r="188">
      <c r="E188" s="34"/>
      <c r="F188" s="34"/>
      <c r="G188" s="34"/>
      <c r="H188" s="34"/>
      <c r="I188" s="34"/>
    </row>
    <row r="189">
      <c r="E189" s="34"/>
      <c r="F189" s="34"/>
      <c r="G189" s="34"/>
      <c r="H189" s="34"/>
      <c r="I189" s="34"/>
    </row>
    <row r="190">
      <c r="E190" s="34"/>
      <c r="F190" s="34"/>
      <c r="G190" s="34"/>
      <c r="H190" s="34"/>
      <c r="I190" s="34"/>
    </row>
    <row r="191">
      <c r="E191" s="34"/>
      <c r="F191" s="34"/>
      <c r="G191" s="34"/>
      <c r="H191" s="34"/>
      <c r="I191" s="34"/>
    </row>
    <row r="192">
      <c r="E192" s="34"/>
      <c r="F192" s="34"/>
      <c r="G192" s="34"/>
      <c r="H192" s="34"/>
      <c r="I192" s="34"/>
    </row>
    <row r="193">
      <c r="E193" s="34"/>
      <c r="F193" s="34"/>
      <c r="G193" s="34"/>
      <c r="H193" s="34"/>
      <c r="I193" s="34"/>
    </row>
    <row r="194">
      <c r="E194" s="34"/>
      <c r="F194" s="34"/>
      <c r="G194" s="34"/>
      <c r="H194" s="34"/>
      <c r="I194" s="34"/>
    </row>
    <row r="195">
      <c r="E195" s="34"/>
      <c r="F195" s="34"/>
      <c r="G195" s="34"/>
      <c r="H195" s="34"/>
      <c r="I195" s="34"/>
    </row>
    <row r="196">
      <c r="E196" s="34"/>
      <c r="F196" s="34"/>
      <c r="G196" s="34"/>
      <c r="H196" s="34"/>
      <c r="I196" s="34"/>
    </row>
    <row r="197">
      <c r="E197" s="34"/>
      <c r="F197" s="34"/>
      <c r="G197" s="34"/>
      <c r="H197" s="34"/>
      <c r="I197" s="34"/>
    </row>
    <row r="198">
      <c r="E198" s="34"/>
      <c r="F198" s="34"/>
      <c r="G198" s="34"/>
      <c r="H198" s="34"/>
      <c r="I198" s="34"/>
    </row>
    <row r="199">
      <c r="E199" s="34"/>
      <c r="F199" s="34"/>
      <c r="G199" s="34"/>
      <c r="H199" s="34"/>
      <c r="I199" s="34"/>
    </row>
    <row r="200">
      <c r="E200" s="34"/>
      <c r="F200" s="34"/>
      <c r="G200" s="34"/>
      <c r="H200" s="34"/>
      <c r="I200" s="34"/>
    </row>
    <row r="201">
      <c r="E201" s="34"/>
      <c r="F201" s="34"/>
      <c r="G201" s="34"/>
      <c r="H201" s="34"/>
      <c r="I201" s="34"/>
    </row>
    <row r="202">
      <c r="E202" s="34"/>
      <c r="F202" s="34"/>
      <c r="G202" s="34"/>
      <c r="H202" s="34"/>
      <c r="I202" s="34"/>
    </row>
    <row r="203">
      <c r="E203" s="34"/>
      <c r="F203" s="34"/>
      <c r="G203" s="34"/>
      <c r="H203" s="34"/>
      <c r="I203" s="34"/>
    </row>
    <row r="204">
      <c r="E204" s="34"/>
      <c r="F204" s="34"/>
      <c r="G204" s="34"/>
      <c r="H204" s="34"/>
      <c r="I204" s="34"/>
    </row>
    <row r="205">
      <c r="E205" s="34"/>
      <c r="F205" s="34"/>
      <c r="G205" s="34"/>
      <c r="H205" s="34"/>
      <c r="I205" s="34"/>
    </row>
    <row r="206">
      <c r="E206" s="34"/>
      <c r="F206" s="34"/>
      <c r="G206" s="34"/>
      <c r="H206" s="34"/>
      <c r="I206" s="34"/>
    </row>
    <row r="207">
      <c r="E207" s="34"/>
      <c r="F207" s="34"/>
      <c r="G207" s="34"/>
      <c r="H207" s="34"/>
      <c r="I207" s="34"/>
    </row>
    <row r="208">
      <c r="E208" s="34"/>
      <c r="F208" s="34"/>
      <c r="G208" s="34"/>
      <c r="H208" s="34"/>
      <c r="I208" s="34"/>
    </row>
    <row r="209">
      <c r="E209" s="34"/>
      <c r="F209" s="34"/>
      <c r="G209" s="34"/>
      <c r="H209" s="34"/>
      <c r="I209" s="34"/>
    </row>
    <row r="210">
      <c r="E210" s="34"/>
      <c r="F210" s="34"/>
      <c r="G210" s="34"/>
      <c r="H210" s="34"/>
      <c r="I210" s="34"/>
    </row>
    <row r="211">
      <c r="E211" s="34"/>
      <c r="F211" s="34"/>
      <c r="G211" s="34"/>
      <c r="H211" s="34"/>
      <c r="I211" s="34"/>
    </row>
    <row r="212">
      <c r="E212" s="34"/>
      <c r="F212" s="34"/>
      <c r="G212" s="34"/>
      <c r="H212" s="34"/>
      <c r="I212" s="34"/>
    </row>
    <row r="213">
      <c r="E213" s="34"/>
      <c r="F213" s="34"/>
      <c r="G213" s="34"/>
      <c r="H213" s="34"/>
      <c r="I213" s="34"/>
    </row>
    <row r="214">
      <c r="E214" s="34"/>
      <c r="F214" s="34"/>
      <c r="G214" s="34"/>
      <c r="H214" s="34"/>
      <c r="I214" s="34"/>
    </row>
    <row r="215">
      <c r="E215" s="34"/>
      <c r="F215" s="34"/>
      <c r="G215" s="34"/>
      <c r="H215" s="34"/>
      <c r="I215" s="34"/>
    </row>
    <row r="216">
      <c r="E216" s="34"/>
      <c r="F216" s="34"/>
      <c r="G216" s="34"/>
      <c r="H216" s="34"/>
      <c r="I216" s="34"/>
    </row>
    <row r="217">
      <c r="E217" s="34"/>
      <c r="F217" s="34"/>
      <c r="G217" s="34"/>
      <c r="H217" s="34"/>
      <c r="I217" s="34"/>
    </row>
    <row r="218">
      <c r="E218" s="34"/>
      <c r="F218" s="34"/>
      <c r="G218" s="34"/>
      <c r="H218" s="34"/>
      <c r="I218" s="34"/>
    </row>
    <row r="219">
      <c r="E219" s="34"/>
      <c r="F219" s="34"/>
      <c r="G219" s="34"/>
      <c r="H219" s="34"/>
      <c r="I219" s="34"/>
    </row>
    <row r="220">
      <c r="E220" s="34"/>
      <c r="F220" s="34"/>
      <c r="G220" s="34"/>
      <c r="H220" s="34"/>
      <c r="I220" s="34"/>
    </row>
    <row r="221">
      <c r="E221" s="34"/>
      <c r="F221" s="34"/>
      <c r="G221" s="34"/>
      <c r="H221" s="34"/>
      <c r="I221" s="34"/>
    </row>
    <row r="222">
      <c r="E222" s="34"/>
      <c r="F222" s="34"/>
      <c r="G222" s="34"/>
      <c r="H222" s="34"/>
      <c r="I222" s="34"/>
    </row>
    <row r="223">
      <c r="E223" s="34"/>
      <c r="F223" s="34"/>
      <c r="G223" s="34"/>
      <c r="H223" s="34"/>
      <c r="I223" s="34"/>
    </row>
    <row r="224">
      <c r="E224" s="34"/>
      <c r="F224" s="34"/>
      <c r="G224" s="34"/>
      <c r="H224" s="34"/>
      <c r="I224" s="34"/>
    </row>
    <row r="225">
      <c r="E225" s="34"/>
      <c r="F225" s="34"/>
      <c r="G225" s="34"/>
      <c r="H225" s="34"/>
      <c r="I225" s="34"/>
    </row>
    <row r="226">
      <c r="E226" s="34"/>
      <c r="F226" s="34"/>
      <c r="G226" s="34"/>
      <c r="H226" s="34"/>
      <c r="I226" s="34"/>
    </row>
    <row r="227">
      <c r="E227" s="34"/>
      <c r="F227" s="34"/>
      <c r="G227" s="34"/>
      <c r="H227" s="34"/>
      <c r="I227" s="34"/>
    </row>
    <row r="228">
      <c r="E228" s="34"/>
      <c r="F228" s="34"/>
      <c r="G228" s="34"/>
      <c r="H228" s="34"/>
      <c r="I228" s="34"/>
    </row>
    <row r="229">
      <c r="E229" s="34"/>
      <c r="F229" s="34"/>
      <c r="G229" s="34"/>
      <c r="H229" s="34"/>
      <c r="I229" s="34"/>
    </row>
    <row r="230">
      <c r="E230" s="34"/>
      <c r="F230" s="34"/>
      <c r="G230" s="34"/>
      <c r="H230" s="34"/>
      <c r="I230" s="34"/>
    </row>
    <row r="231">
      <c r="E231" s="34"/>
      <c r="F231" s="34"/>
      <c r="G231" s="34"/>
      <c r="H231" s="34"/>
      <c r="I231" s="34"/>
    </row>
    <row r="232">
      <c r="E232" s="34"/>
      <c r="F232" s="34"/>
      <c r="G232" s="34"/>
      <c r="H232" s="34"/>
      <c r="I232" s="34"/>
    </row>
    <row r="233">
      <c r="E233" s="34"/>
      <c r="F233" s="34"/>
      <c r="G233" s="34"/>
      <c r="H233" s="34"/>
      <c r="I233" s="34"/>
    </row>
    <row r="234">
      <c r="E234" s="34"/>
      <c r="F234" s="34"/>
      <c r="G234" s="34"/>
      <c r="H234" s="34"/>
      <c r="I234" s="34"/>
    </row>
    <row r="235">
      <c r="E235" s="34"/>
      <c r="F235" s="34"/>
      <c r="G235" s="34"/>
      <c r="H235" s="34"/>
      <c r="I235" s="34"/>
    </row>
    <row r="236">
      <c r="E236" s="34"/>
      <c r="F236" s="34"/>
      <c r="G236" s="34"/>
      <c r="H236" s="34"/>
      <c r="I236" s="34"/>
    </row>
    <row r="237">
      <c r="E237" s="34"/>
      <c r="F237" s="34"/>
      <c r="G237" s="34"/>
      <c r="H237" s="34"/>
      <c r="I237" s="34"/>
    </row>
    <row r="238">
      <c r="E238" s="34"/>
      <c r="F238" s="34"/>
      <c r="G238" s="34"/>
      <c r="H238" s="34"/>
      <c r="I238" s="34"/>
    </row>
    <row r="239">
      <c r="E239" s="34"/>
      <c r="F239" s="34"/>
      <c r="G239" s="34"/>
      <c r="H239" s="34"/>
      <c r="I239" s="34"/>
    </row>
    <row r="240">
      <c r="E240" s="34"/>
      <c r="F240" s="34"/>
      <c r="G240" s="34"/>
      <c r="H240" s="34"/>
      <c r="I240" s="34"/>
    </row>
    <row r="241">
      <c r="E241" s="34"/>
      <c r="F241" s="34"/>
      <c r="G241" s="34"/>
      <c r="H241" s="34"/>
      <c r="I241" s="34"/>
    </row>
    <row r="242">
      <c r="E242" s="34"/>
      <c r="F242" s="34"/>
      <c r="G242" s="34"/>
      <c r="H242" s="34"/>
      <c r="I242" s="34"/>
    </row>
    <row r="243">
      <c r="E243" s="34"/>
      <c r="F243" s="34"/>
      <c r="G243" s="34"/>
      <c r="H243" s="34"/>
      <c r="I243" s="34"/>
    </row>
    <row r="244">
      <c r="E244" s="34"/>
      <c r="F244" s="34"/>
      <c r="G244" s="34"/>
      <c r="H244" s="34"/>
      <c r="I244" s="34"/>
    </row>
    <row r="245">
      <c r="E245" s="34"/>
      <c r="F245" s="34"/>
      <c r="G245" s="34"/>
      <c r="H245" s="34"/>
      <c r="I245" s="34"/>
    </row>
    <row r="246">
      <c r="E246" s="34"/>
      <c r="F246" s="34"/>
      <c r="G246" s="34"/>
      <c r="H246" s="34"/>
      <c r="I246" s="34"/>
    </row>
    <row r="247">
      <c r="E247" s="34"/>
      <c r="F247" s="34"/>
      <c r="G247" s="34"/>
      <c r="H247" s="34"/>
      <c r="I247" s="34"/>
    </row>
    <row r="248">
      <c r="E248" s="34"/>
      <c r="F248" s="34"/>
      <c r="G248" s="34"/>
      <c r="H248" s="34"/>
      <c r="I248" s="34"/>
    </row>
    <row r="249">
      <c r="E249" s="34"/>
      <c r="F249" s="34"/>
      <c r="G249" s="34"/>
      <c r="H249" s="34"/>
      <c r="I249" s="34"/>
    </row>
    <row r="250">
      <c r="E250" s="34"/>
      <c r="F250" s="34"/>
      <c r="G250" s="34"/>
      <c r="H250" s="34"/>
      <c r="I250" s="34"/>
    </row>
    <row r="251">
      <c r="E251" s="34"/>
      <c r="F251" s="34"/>
      <c r="G251" s="34"/>
      <c r="H251" s="34"/>
      <c r="I251" s="34"/>
    </row>
    <row r="252">
      <c r="E252" s="34"/>
      <c r="F252" s="34"/>
      <c r="G252" s="34"/>
      <c r="H252" s="34"/>
      <c r="I252" s="34"/>
    </row>
    <row r="253">
      <c r="E253" s="34"/>
      <c r="F253" s="34"/>
      <c r="G253" s="34"/>
      <c r="H253" s="34"/>
      <c r="I253" s="34"/>
    </row>
    <row r="254">
      <c r="E254" s="34"/>
      <c r="F254" s="34"/>
      <c r="G254" s="34"/>
      <c r="H254" s="34"/>
      <c r="I254" s="34"/>
    </row>
    <row r="255">
      <c r="E255" s="34"/>
      <c r="F255" s="34"/>
      <c r="G255" s="34"/>
      <c r="H255" s="34"/>
      <c r="I255" s="34"/>
    </row>
    <row r="256">
      <c r="E256" s="34"/>
      <c r="F256" s="34"/>
      <c r="G256" s="34"/>
      <c r="H256" s="34"/>
      <c r="I256" s="34"/>
    </row>
    <row r="257">
      <c r="E257" s="34"/>
      <c r="F257" s="34"/>
      <c r="G257" s="34"/>
      <c r="H257" s="34"/>
      <c r="I257" s="34"/>
    </row>
    <row r="258">
      <c r="E258" s="34"/>
      <c r="F258" s="34"/>
      <c r="G258" s="34"/>
      <c r="H258" s="34"/>
      <c r="I258" s="34"/>
    </row>
    <row r="259">
      <c r="E259" s="34"/>
      <c r="F259" s="34"/>
      <c r="G259" s="34"/>
      <c r="H259" s="34"/>
      <c r="I259" s="34"/>
    </row>
    <row r="260">
      <c r="E260" s="34"/>
      <c r="F260" s="34"/>
      <c r="G260" s="34"/>
      <c r="H260" s="34"/>
      <c r="I260" s="34"/>
    </row>
    <row r="261">
      <c r="E261" s="34"/>
      <c r="F261" s="34"/>
      <c r="G261" s="34"/>
      <c r="H261" s="34"/>
      <c r="I261" s="34"/>
    </row>
    <row r="262">
      <c r="E262" s="34"/>
      <c r="F262" s="34"/>
      <c r="G262" s="34"/>
      <c r="H262" s="34"/>
      <c r="I262" s="34"/>
    </row>
    <row r="263">
      <c r="E263" s="34"/>
      <c r="F263" s="34"/>
      <c r="G263" s="34"/>
      <c r="H263" s="34"/>
      <c r="I263" s="34"/>
    </row>
    <row r="264">
      <c r="E264" s="34"/>
      <c r="F264" s="34"/>
      <c r="G264" s="34"/>
      <c r="H264" s="34"/>
      <c r="I264" s="34"/>
    </row>
    <row r="265">
      <c r="E265" s="34"/>
      <c r="F265" s="34"/>
      <c r="G265" s="34"/>
      <c r="H265" s="34"/>
      <c r="I265" s="34"/>
    </row>
    <row r="266">
      <c r="E266" s="34"/>
      <c r="F266" s="34"/>
      <c r="G266" s="34"/>
      <c r="H266" s="34"/>
      <c r="I266" s="34"/>
    </row>
    <row r="267">
      <c r="E267" s="34"/>
      <c r="F267" s="34"/>
      <c r="G267" s="34"/>
      <c r="H267" s="34"/>
      <c r="I267" s="34"/>
    </row>
    <row r="268">
      <c r="E268" s="34"/>
      <c r="F268" s="34"/>
      <c r="G268" s="34"/>
      <c r="H268" s="34"/>
      <c r="I268" s="34"/>
    </row>
    <row r="269">
      <c r="E269" s="34"/>
      <c r="F269" s="34"/>
      <c r="G269" s="34"/>
      <c r="H269" s="34"/>
      <c r="I269" s="34"/>
    </row>
    <row r="270">
      <c r="E270" s="34"/>
      <c r="F270" s="34"/>
      <c r="G270" s="34"/>
      <c r="H270" s="34"/>
      <c r="I270" s="34"/>
    </row>
    <row r="271">
      <c r="E271" s="34"/>
      <c r="F271" s="34"/>
      <c r="G271" s="34"/>
      <c r="H271" s="34"/>
      <c r="I271" s="34"/>
    </row>
    <row r="272">
      <c r="E272" s="34"/>
      <c r="F272" s="34"/>
      <c r="G272" s="34"/>
      <c r="H272" s="34"/>
      <c r="I272" s="34"/>
    </row>
    <row r="273">
      <c r="E273" s="34"/>
      <c r="F273" s="34"/>
      <c r="G273" s="34"/>
      <c r="H273" s="34"/>
      <c r="I273" s="34"/>
    </row>
    <row r="274">
      <c r="E274" s="34"/>
      <c r="F274" s="34"/>
      <c r="G274" s="34"/>
      <c r="H274" s="34"/>
      <c r="I274" s="34"/>
    </row>
    <row r="275">
      <c r="E275" s="34"/>
      <c r="F275" s="34"/>
      <c r="G275" s="34"/>
      <c r="H275" s="34"/>
      <c r="I275" s="34"/>
    </row>
    <row r="276">
      <c r="E276" s="34"/>
      <c r="F276" s="34"/>
      <c r="G276" s="34"/>
      <c r="H276" s="34"/>
      <c r="I276" s="34"/>
    </row>
    <row r="277">
      <c r="E277" s="34"/>
      <c r="F277" s="34"/>
      <c r="G277" s="34"/>
      <c r="H277" s="34"/>
      <c r="I277" s="34"/>
    </row>
    <row r="278">
      <c r="E278" s="34"/>
      <c r="F278" s="34"/>
      <c r="G278" s="34"/>
      <c r="H278" s="34"/>
      <c r="I278" s="34"/>
    </row>
    <row r="279">
      <c r="E279" s="34"/>
      <c r="F279" s="34"/>
      <c r="G279" s="34"/>
      <c r="H279" s="34"/>
      <c r="I279" s="34"/>
    </row>
    <row r="280">
      <c r="E280" s="34"/>
      <c r="F280" s="34"/>
      <c r="G280" s="34"/>
      <c r="H280" s="34"/>
      <c r="I280" s="34"/>
    </row>
    <row r="281">
      <c r="E281" s="34"/>
      <c r="F281" s="34"/>
      <c r="G281" s="34"/>
      <c r="H281" s="34"/>
      <c r="I281" s="34"/>
    </row>
    <row r="282">
      <c r="E282" s="34"/>
      <c r="F282" s="34"/>
      <c r="G282" s="34"/>
      <c r="H282" s="34"/>
      <c r="I282" s="34"/>
    </row>
    <row r="283">
      <c r="E283" s="34"/>
      <c r="F283" s="34"/>
      <c r="G283" s="34"/>
      <c r="H283" s="34"/>
      <c r="I283" s="34"/>
    </row>
    <row r="284">
      <c r="E284" s="34"/>
      <c r="F284" s="34"/>
      <c r="G284" s="34"/>
      <c r="H284" s="34"/>
      <c r="I284" s="34"/>
    </row>
    <row r="285">
      <c r="E285" s="34"/>
      <c r="F285" s="34"/>
      <c r="G285" s="34"/>
      <c r="H285" s="34"/>
      <c r="I285" s="34"/>
    </row>
    <row r="286">
      <c r="E286" s="34"/>
      <c r="F286" s="34"/>
      <c r="G286" s="34"/>
      <c r="H286" s="34"/>
      <c r="I286" s="34"/>
    </row>
    <row r="287">
      <c r="E287" s="34"/>
      <c r="F287" s="34"/>
      <c r="G287" s="34"/>
      <c r="H287" s="34"/>
      <c r="I287" s="34"/>
    </row>
    <row r="288">
      <c r="E288" s="34"/>
      <c r="F288" s="34"/>
      <c r="G288" s="34"/>
      <c r="H288" s="34"/>
      <c r="I288" s="34"/>
    </row>
    <row r="289">
      <c r="E289" s="34"/>
      <c r="F289" s="34"/>
      <c r="G289" s="34"/>
      <c r="H289" s="34"/>
      <c r="I289" s="34"/>
    </row>
    <row r="290">
      <c r="E290" s="34"/>
      <c r="F290" s="34"/>
      <c r="G290" s="34"/>
      <c r="H290" s="34"/>
      <c r="I290" s="34"/>
    </row>
    <row r="291">
      <c r="E291" s="34"/>
      <c r="F291" s="34"/>
      <c r="G291" s="34"/>
      <c r="H291" s="34"/>
      <c r="I291" s="34"/>
    </row>
    <row r="292">
      <c r="E292" s="34"/>
      <c r="F292" s="34"/>
      <c r="G292" s="34"/>
      <c r="H292" s="34"/>
      <c r="I292" s="34"/>
    </row>
    <row r="293">
      <c r="E293" s="34"/>
      <c r="F293" s="34"/>
      <c r="G293" s="34"/>
      <c r="H293" s="34"/>
      <c r="I293" s="34"/>
    </row>
    <row r="294">
      <c r="E294" s="34"/>
      <c r="F294" s="34"/>
      <c r="G294" s="34"/>
      <c r="H294" s="34"/>
      <c r="I294" s="34"/>
    </row>
    <row r="295">
      <c r="E295" s="34"/>
      <c r="F295" s="34"/>
      <c r="G295" s="34"/>
      <c r="H295" s="34"/>
      <c r="I295" s="34"/>
    </row>
    <row r="296">
      <c r="E296" s="34"/>
      <c r="F296" s="34"/>
      <c r="G296" s="34"/>
      <c r="H296" s="34"/>
      <c r="I296" s="34"/>
    </row>
    <row r="297">
      <c r="E297" s="34"/>
      <c r="F297" s="34"/>
      <c r="G297" s="34"/>
      <c r="H297" s="34"/>
      <c r="I297" s="34"/>
    </row>
    <row r="298">
      <c r="E298" s="34"/>
      <c r="F298" s="34"/>
      <c r="G298" s="34"/>
      <c r="H298" s="34"/>
      <c r="I298" s="34"/>
    </row>
    <row r="299">
      <c r="E299" s="34"/>
      <c r="F299" s="34"/>
      <c r="G299" s="34"/>
      <c r="H299" s="34"/>
      <c r="I299" s="34"/>
    </row>
    <row r="300">
      <c r="E300" s="34"/>
      <c r="F300" s="34"/>
      <c r="G300" s="34"/>
      <c r="H300" s="34"/>
      <c r="I300" s="34"/>
    </row>
    <row r="301">
      <c r="E301" s="34"/>
      <c r="F301" s="34"/>
      <c r="G301" s="34"/>
      <c r="H301" s="34"/>
      <c r="I301" s="34"/>
    </row>
    <row r="302">
      <c r="E302" s="34"/>
      <c r="F302" s="34"/>
      <c r="G302" s="34"/>
      <c r="H302" s="34"/>
      <c r="I302" s="34"/>
    </row>
    <row r="303">
      <c r="E303" s="34"/>
      <c r="F303" s="34"/>
      <c r="G303" s="34"/>
      <c r="H303" s="34"/>
      <c r="I303" s="34"/>
    </row>
    <row r="304">
      <c r="E304" s="34"/>
      <c r="F304" s="34"/>
      <c r="G304" s="34"/>
      <c r="H304" s="34"/>
      <c r="I304" s="34"/>
    </row>
    <row r="305">
      <c r="E305" s="34"/>
      <c r="F305" s="34"/>
      <c r="G305" s="34"/>
      <c r="H305" s="34"/>
      <c r="I305" s="34"/>
    </row>
    <row r="306">
      <c r="E306" s="34"/>
      <c r="F306" s="34"/>
      <c r="G306" s="34"/>
      <c r="H306" s="34"/>
      <c r="I306" s="34"/>
    </row>
    <row r="307">
      <c r="E307" s="34"/>
      <c r="F307" s="34"/>
      <c r="G307" s="34"/>
      <c r="H307" s="34"/>
      <c r="I307" s="34"/>
    </row>
    <row r="308">
      <c r="E308" s="34"/>
      <c r="F308" s="34"/>
      <c r="G308" s="34"/>
      <c r="H308" s="34"/>
      <c r="I308" s="34"/>
    </row>
    <row r="309">
      <c r="E309" s="34"/>
      <c r="F309" s="34"/>
      <c r="G309" s="34"/>
      <c r="H309" s="34"/>
      <c r="I309" s="34"/>
    </row>
    <row r="310">
      <c r="E310" s="34"/>
      <c r="F310" s="34"/>
      <c r="G310" s="34"/>
      <c r="H310" s="34"/>
      <c r="I310" s="34"/>
    </row>
    <row r="311">
      <c r="E311" s="34"/>
      <c r="F311" s="34"/>
      <c r="G311" s="34"/>
      <c r="H311" s="34"/>
      <c r="I311" s="34"/>
    </row>
    <row r="312">
      <c r="E312" s="34"/>
      <c r="F312" s="34"/>
      <c r="G312" s="34"/>
      <c r="H312" s="34"/>
      <c r="I312" s="34"/>
    </row>
    <row r="313">
      <c r="E313" s="34"/>
      <c r="F313" s="34"/>
      <c r="G313" s="34"/>
      <c r="H313" s="34"/>
      <c r="I313" s="34"/>
    </row>
    <row r="314">
      <c r="E314" s="34"/>
      <c r="F314" s="34"/>
      <c r="G314" s="34"/>
      <c r="H314" s="34"/>
      <c r="I314" s="34"/>
    </row>
    <row r="315">
      <c r="E315" s="34"/>
      <c r="F315" s="34"/>
      <c r="G315" s="34"/>
      <c r="H315" s="34"/>
      <c r="I315" s="34"/>
    </row>
    <row r="316">
      <c r="E316" s="34"/>
      <c r="F316" s="34"/>
      <c r="G316" s="34"/>
      <c r="H316" s="34"/>
      <c r="I316" s="34"/>
    </row>
    <row r="317">
      <c r="E317" s="34"/>
      <c r="F317" s="34"/>
      <c r="G317" s="34"/>
      <c r="H317" s="34"/>
      <c r="I317" s="34"/>
    </row>
    <row r="318">
      <c r="E318" s="34"/>
      <c r="F318" s="34"/>
      <c r="G318" s="34"/>
      <c r="H318" s="34"/>
      <c r="I318" s="34"/>
    </row>
    <row r="319">
      <c r="E319" s="34"/>
      <c r="F319" s="34"/>
      <c r="G319" s="34"/>
      <c r="H319" s="34"/>
      <c r="I319" s="34"/>
    </row>
    <row r="320">
      <c r="E320" s="34"/>
      <c r="F320" s="34"/>
      <c r="G320" s="34"/>
      <c r="H320" s="34"/>
      <c r="I320" s="34"/>
    </row>
    <row r="321">
      <c r="E321" s="34"/>
      <c r="F321" s="34"/>
      <c r="G321" s="34"/>
      <c r="H321" s="34"/>
      <c r="I321" s="34"/>
    </row>
    <row r="322">
      <c r="E322" s="34"/>
      <c r="F322" s="34"/>
      <c r="G322" s="34"/>
      <c r="H322" s="34"/>
      <c r="I322" s="34"/>
    </row>
    <row r="323">
      <c r="E323" s="34"/>
      <c r="F323" s="34"/>
      <c r="G323" s="34"/>
      <c r="H323" s="34"/>
      <c r="I323" s="34"/>
    </row>
    <row r="324">
      <c r="E324" s="34"/>
      <c r="F324" s="34"/>
      <c r="G324" s="34"/>
      <c r="H324" s="34"/>
      <c r="I324" s="34"/>
    </row>
    <row r="325">
      <c r="E325" s="34"/>
      <c r="F325" s="34"/>
      <c r="G325" s="34"/>
      <c r="H325" s="34"/>
      <c r="I325" s="34"/>
    </row>
    <row r="326">
      <c r="E326" s="34"/>
      <c r="F326" s="34"/>
      <c r="G326" s="34"/>
      <c r="H326" s="34"/>
      <c r="I326" s="34"/>
    </row>
    <row r="327">
      <c r="E327" s="34"/>
      <c r="F327" s="34"/>
      <c r="G327" s="34"/>
      <c r="H327" s="34"/>
      <c r="I327" s="34"/>
    </row>
    <row r="328">
      <c r="E328" s="34"/>
      <c r="F328" s="34"/>
      <c r="G328" s="34"/>
      <c r="H328" s="34"/>
      <c r="I328" s="34"/>
    </row>
    <row r="329">
      <c r="E329" s="34"/>
      <c r="F329" s="34"/>
      <c r="G329" s="34"/>
      <c r="H329" s="34"/>
      <c r="I329" s="34"/>
    </row>
    <row r="330">
      <c r="E330" s="34"/>
      <c r="F330" s="34"/>
      <c r="G330" s="34"/>
      <c r="H330" s="34"/>
      <c r="I330" s="34"/>
    </row>
    <row r="331">
      <c r="E331" s="34"/>
      <c r="F331" s="34"/>
      <c r="G331" s="34"/>
      <c r="H331" s="34"/>
      <c r="I331" s="34"/>
    </row>
    <row r="332">
      <c r="E332" s="34"/>
      <c r="F332" s="34"/>
      <c r="G332" s="34"/>
      <c r="H332" s="34"/>
      <c r="I332" s="34"/>
    </row>
    <row r="333">
      <c r="E333" s="34"/>
      <c r="F333" s="34"/>
      <c r="G333" s="34"/>
      <c r="H333" s="34"/>
      <c r="I333" s="34"/>
    </row>
    <row r="334">
      <c r="E334" s="34"/>
      <c r="F334" s="34"/>
      <c r="G334" s="34"/>
      <c r="H334" s="34"/>
      <c r="I334" s="34"/>
    </row>
    <row r="335">
      <c r="E335" s="34"/>
      <c r="F335" s="34"/>
      <c r="G335" s="34"/>
      <c r="H335" s="34"/>
      <c r="I335" s="34"/>
    </row>
    <row r="336">
      <c r="E336" s="34"/>
      <c r="F336" s="34"/>
      <c r="G336" s="34"/>
      <c r="H336" s="34"/>
      <c r="I336" s="34"/>
    </row>
    <row r="337">
      <c r="E337" s="34"/>
      <c r="F337" s="34"/>
      <c r="G337" s="34"/>
      <c r="H337" s="34"/>
      <c r="I337" s="34"/>
    </row>
    <row r="338">
      <c r="E338" s="34"/>
      <c r="F338" s="34"/>
      <c r="G338" s="34"/>
      <c r="H338" s="34"/>
      <c r="I338" s="34"/>
    </row>
    <row r="339">
      <c r="E339" s="34"/>
      <c r="F339" s="34"/>
      <c r="G339" s="34"/>
      <c r="H339" s="34"/>
      <c r="I339" s="34"/>
    </row>
    <row r="340">
      <c r="E340" s="34"/>
      <c r="F340" s="34"/>
      <c r="G340" s="34"/>
      <c r="H340" s="34"/>
      <c r="I340" s="34"/>
    </row>
    <row r="341">
      <c r="E341" s="34"/>
      <c r="F341" s="34"/>
      <c r="G341" s="34"/>
      <c r="H341" s="34"/>
      <c r="I341" s="34"/>
    </row>
    <row r="342">
      <c r="E342" s="34"/>
      <c r="F342" s="34"/>
      <c r="G342" s="34"/>
      <c r="H342" s="34"/>
      <c r="I342" s="34"/>
    </row>
    <row r="343">
      <c r="E343" s="34"/>
      <c r="F343" s="34"/>
      <c r="G343" s="34"/>
      <c r="H343" s="34"/>
      <c r="I343" s="34"/>
    </row>
    <row r="344">
      <c r="E344" s="34"/>
      <c r="F344" s="34"/>
      <c r="G344" s="34"/>
      <c r="H344" s="34"/>
      <c r="I344" s="34"/>
    </row>
    <row r="345">
      <c r="E345" s="34"/>
      <c r="F345" s="34"/>
      <c r="G345" s="34"/>
      <c r="H345" s="34"/>
      <c r="I345" s="34"/>
    </row>
    <row r="346">
      <c r="E346" s="34"/>
      <c r="F346" s="34"/>
      <c r="G346" s="34"/>
      <c r="H346" s="34"/>
      <c r="I346" s="34"/>
    </row>
    <row r="347">
      <c r="E347" s="34"/>
      <c r="F347" s="34"/>
      <c r="G347" s="34"/>
      <c r="H347" s="34"/>
      <c r="I347" s="34"/>
    </row>
    <row r="348">
      <c r="E348" s="34"/>
      <c r="F348" s="34"/>
      <c r="G348" s="34"/>
      <c r="H348" s="34"/>
      <c r="I348" s="34"/>
    </row>
    <row r="349">
      <c r="E349" s="34"/>
      <c r="F349" s="34"/>
      <c r="G349" s="34"/>
      <c r="H349" s="34"/>
      <c r="I349" s="34"/>
    </row>
    <row r="350">
      <c r="E350" s="34"/>
      <c r="F350" s="34"/>
      <c r="G350" s="34"/>
      <c r="H350" s="34"/>
      <c r="I350" s="34"/>
    </row>
    <row r="351">
      <c r="E351" s="34"/>
      <c r="F351" s="34"/>
      <c r="G351" s="34"/>
      <c r="H351" s="34"/>
      <c r="I351" s="34"/>
    </row>
    <row r="352">
      <c r="E352" s="34"/>
      <c r="F352" s="34"/>
      <c r="G352" s="34"/>
      <c r="H352" s="34"/>
      <c r="I352" s="34"/>
    </row>
    <row r="353">
      <c r="E353" s="34"/>
      <c r="F353" s="34"/>
      <c r="G353" s="34"/>
      <c r="H353" s="34"/>
      <c r="I353" s="34"/>
    </row>
    <row r="354">
      <c r="E354" s="34"/>
      <c r="F354" s="34"/>
      <c r="G354" s="34"/>
      <c r="H354" s="34"/>
      <c r="I354" s="34"/>
    </row>
    <row r="355">
      <c r="E355" s="34"/>
      <c r="F355" s="34"/>
      <c r="G355" s="34"/>
      <c r="H355" s="34"/>
      <c r="I355" s="34"/>
    </row>
    <row r="356">
      <c r="E356" s="34"/>
      <c r="F356" s="34"/>
      <c r="G356" s="34"/>
      <c r="H356" s="34"/>
      <c r="I356" s="34"/>
    </row>
    <row r="357">
      <c r="E357" s="34"/>
      <c r="F357" s="34"/>
      <c r="G357" s="34"/>
      <c r="H357" s="34"/>
      <c r="I357" s="34"/>
    </row>
    <row r="358">
      <c r="E358" s="34"/>
      <c r="F358" s="34"/>
      <c r="G358" s="34"/>
      <c r="H358" s="34"/>
      <c r="I358" s="34"/>
    </row>
    <row r="359">
      <c r="E359" s="34"/>
      <c r="F359" s="34"/>
      <c r="G359" s="34"/>
      <c r="H359" s="34"/>
      <c r="I359" s="34"/>
    </row>
    <row r="360">
      <c r="E360" s="34"/>
      <c r="F360" s="34"/>
      <c r="G360" s="34"/>
      <c r="H360" s="34"/>
      <c r="I360" s="34"/>
    </row>
    <row r="361">
      <c r="E361" s="34"/>
      <c r="F361" s="34"/>
      <c r="G361" s="34"/>
      <c r="H361" s="34"/>
      <c r="I361" s="34"/>
    </row>
    <row r="362">
      <c r="E362" s="34"/>
      <c r="F362" s="34"/>
      <c r="G362" s="34"/>
      <c r="H362" s="34"/>
      <c r="I362" s="34"/>
    </row>
    <row r="363">
      <c r="E363" s="34"/>
      <c r="F363" s="34"/>
      <c r="G363" s="34"/>
      <c r="H363" s="34"/>
      <c r="I363" s="34"/>
    </row>
    <row r="364">
      <c r="E364" s="34"/>
      <c r="F364" s="34"/>
      <c r="G364" s="34"/>
      <c r="H364" s="34"/>
      <c r="I364" s="34"/>
    </row>
    <row r="365">
      <c r="E365" s="34"/>
      <c r="F365" s="34"/>
      <c r="G365" s="34"/>
      <c r="H365" s="34"/>
      <c r="I365" s="34"/>
    </row>
    <row r="366">
      <c r="E366" s="34"/>
      <c r="F366" s="34"/>
      <c r="G366" s="34"/>
      <c r="H366" s="34"/>
      <c r="I366" s="34"/>
    </row>
    <row r="367">
      <c r="E367" s="34"/>
      <c r="F367" s="34"/>
      <c r="G367" s="34"/>
      <c r="H367" s="34"/>
      <c r="I367" s="34"/>
    </row>
    <row r="368">
      <c r="E368" s="34"/>
      <c r="F368" s="34"/>
      <c r="G368" s="34"/>
      <c r="H368" s="34"/>
      <c r="I368" s="34"/>
    </row>
    <row r="369">
      <c r="E369" s="34"/>
      <c r="F369" s="34"/>
      <c r="G369" s="34"/>
      <c r="H369" s="34"/>
      <c r="I369" s="34"/>
    </row>
    <row r="370">
      <c r="E370" s="34"/>
      <c r="F370" s="34"/>
      <c r="G370" s="34"/>
      <c r="H370" s="34"/>
      <c r="I370" s="34"/>
    </row>
    <row r="371">
      <c r="E371" s="34"/>
      <c r="F371" s="34"/>
      <c r="G371" s="34"/>
      <c r="H371" s="34"/>
      <c r="I371" s="34"/>
    </row>
    <row r="372">
      <c r="E372" s="34"/>
      <c r="F372" s="34"/>
      <c r="G372" s="34"/>
      <c r="H372" s="34"/>
      <c r="I372" s="34"/>
    </row>
    <row r="373">
      <c r="E373" s="34"/>
      <c r="F373" s="34"/>
      <c r="G373" s="34"/>
      <c r="H373" s="34"/>
      <c r="I373" s="34"/>
    </row>
    <row r="374">
      <c r="E374" s="34"/>
      <c r="F374" s="34"/>
      <c r="G374" s="34"/>
      <c r="H374" s="34"/>
      <c r="I374" s="34"/>
    </row>
    <row r="375">
      <c r="E375" s="34"/>
      <c r="F375" s="34"/>
      <c r="G375" s="34"/>
      <c r="H375" s="34"/>
      <c r="I375" s="34"/>
    </row>
    <row r="376">
      <c r="E376" s="34"/>
      <c r="F376" s="34"/>
      <c r="G376" s="34"/>
      <c r="H376" s="34"/>
      <c r="I376" s="34"/>
    </row>
    <row r="377">
      <c r="E377" s="34"/>
      <c r="F377" s="34"/>
      <c r="G377" s="34"/>
      <c r="H377" s="34"/>
      <c r="I377" s="34"/>
    </row>
    <row r="378">
      <c r="E378" s="34"/>
      <c r="F378" s="34"/>
      <c r="G378" s="34"/>
      <c r="H378" s="34"/>
      <c r="I378" s="34"/>
    </row>
    <row r="379">
      <c r="E379" s="34"/>
      <c r="F379" s="34"/>
      <c r="G379" s="34"/>
      <c r="H379" s="34"/>
      <c r="I379" s="34"/>
    </row>
    <row r="380">
      <c r="E380" s="34"/>
      <c r="F380" s="34"/>
      <c r="G380" s="34"/>
      <c r="H380" s="34"/>
      <c r="I380" s="34"/>
    </row>
    <row r="381">
      <c r="E381" s="34"/>
      <c r="F381" s="34"/>
      <c r="G381" s="34"/>
      <c r="H381" s="34"/>
      <c r="I381" s="34"/>
    </row>
    <row r="382">
      <c r="E382" s="34"/>
      <c r="F382" s="34"/>
      <c r="G382" s="34"/>
      <c r="H382" s="34"/>
      <c r="I382" s="34"/>
    </row>
    <row r="383">
      <c r="E383" s="34"/>
      <c r="F383" s="34"/>
      <c r="G383" s="34"/>
      <c r="H383" s="34"/>
      <c r="I383" s="34"/>
    </row>
    <row r="384">
      <c r="E384" s="34"/>
      <c r="F384" s="34"/>
      <c r="G384" s="34"/>
      <c r="H384" s="34"/>
      <c r="I384" s="34"/>
    </row>
    <row r="385">
      <c r="E385" s="34"/>
      <c r="F385" s="34"/>
      <c r="G385" s="34"/>
      <c r="H385" s="34"/>
      <c r="I385" s="34"/>
    </row>
    <row r="386">
      <c r="E386" s="34"/>
      <c r="F386" s="34"/>
      <c r="G386" s="34"/>
      <c r="H386" s="34"/>
      <c r="I386" s="34"/>
    </row>
    <row r="387">
      <c r="E387" s="34"/>
      <c r="F387" s="34"/>
      <c r="G387" s="34"/>
      <c r="H387" s="34"/>
      <c r="I387" s="34"/>
    </row>
    <row r="388">
      <c r="E388" s="34"/>
      <c r="F388" s="34"/>
      <c r="G388" s="34"/>
      <c r="H388" s="34"/>
      <c r="I388" s="34"/>
    </row>
    <row r="389">
      <c r="E389" s="34"/>
      <c r="F389" s="34"/>
      <c r="G389" s="34"/>
      <c r="H389" s="34"/>
      <c r="I389" s="34"/>
    </row>
    <row r="390">
      <c r="E390" s="34"/>
      <c r="F390" s="34"/>
      <c r="G390" s="34"/>
      <c r="H390" s="34"/>
      <c r="I390" s="34"/>
    </row>
    <row r="391">
      <c r="E391" s="34"/>
      <c r="F391" s="34"/>
      <c r="G391" s="34"/>
      <c r="H391" s="34"/>
      <c r="I391" s="34"/>
    </row>
    <row r="392">
      <c r="E392" s="34"/>
      <c r="F392" s="34"/>
      <c r="G392" s="34"/>
      <c r="H392" s="34"/>
      <c r="I392" s="34"/>
    </row>
    <row r="393">
      <c r="E393" s="34"/>
      <c r="F393" s="34"/>
      <c r="G393" s="34"/>
      <c r="H393" s="34"/>
      <c r="I393" s="34"/>
    </row>
    <row r="394">
      <c r="E394" s="34"/>
      <c r="F394" s="34"/>
      <c r="G394" s="34"/>
      <c r="H394" s="34"/>
      <c r="I394" s="34"/>
    </row>
    <row r="395">
      <c r="E395" s="34"/>
      <c r="F395" s="34"/>
      <c r="G395" s="34"/>
      <c r="H395" s="34"/>
      <c r="I395" s="34"/>
    </row>
    <row r="396">
      <c r="E396" s="34"/>
      <c r="F396" s="34"/>
      <c r="G396" s="34"/>
      <c r="H396" s="34"/>
      <c r="I396" s="34"/>
    </row>
    <row r="397">
      <c r="E397" s="34"/>
      <c r="F397" s="34"/>
      <c r="G397" s="34"/>
      <c r="H397" s="34"/>
      <c r="I397" s="34"/>
    </row>
    <row r="398">
      <c r="E398" s="34"/>
      <c r="F398" s="34"/>
      <c r="G398" s="34"/>
      <c r="H398" s="34"/>
      <c r="I398" s="34"/>
    </row>
    <row r="399">
      <c r="E399" s="34"/>
      <c r="F399" s="34"/>
      <c r="G399" s="34"/>
      <c r="H399" s="34"/>
      <c r="I399" s="34"/>
    </row>
    <row r="400">
      <c r="E400" s="34"/>
      <c r="F400" s="34"/>
      <c r="G400" s="34"/>
      <c r="H400" s="34"/>
      <c r="I400" s="34"/>
    </row>
    <row r="401">
      <c r="E401" s="34"/>
      <c r="F401" s="34"/>
      <c r="G401" s="34"/>
      <c r="H401" s="34"/>
      <c r="I401" s="34"/>
    </row>
    <row r="402">
      <c r="E402" s="34"/>
      <c r="F402" s="34"/>
      <c r="G402" s="34"/>
      <c r="H402" s="34"/>
      <c r="I402" s="34"/>
    </row>
    <row r="403">
      <c r="E403" s="34"/>
      <c r="F403" s="34"/>
      <c r="G403" s="34"/>
      <c r="H403" s="34"/>
      <c r="I403" s="34"/>
    </row>
    <row r="404">
      <c r="E404" s="34"/>
      <c r="F404" s="34"/>
      <c r="G404" s="34"/>
      <c r="H404" s="34"/>
      <c r="I404" s="34"/>
    </row>
    <row r="405">
      <c r="E405" s="34"/>
      <c r="F405" s="34"/>
      <c r="G405" s="34"/>
      <c r="H405" s="34"/>
      <c r="I405" s="34"/>
    </row>
    <row r="406">
      <c r="E406" s="34"/>
      <c r="F406" s="34"/>
      <c r="G406" s="34"/>
      <c r="H406" s="34"/>
      <c r="I406" s="34"/>
    </row>
    <row r="407">
      <c r="E407" s="34"/>
      <c r="F407" s="34"/>
      <c r="G407" s="34"/>
      <c r="H407" s="34"/>
      <c r="I407" s="34"/>
    </row>
    <row r="408">
      <c r="E408" s="34"/>
      <c r="F408" s="34"/>
      <c r="G408" s="34"/>
      <c r="H408" s="34"/>
      <c r="I408" s="34"/>
    </row>
    <row r="409">
      <c r="E409" s="34"/>
      <c r="F409" s="34"/>
      <c r="G409" s="34"/>
      <c r="H409" s="34"/>
      <c r="I409" s="34"/>
    </row>
    <row r="410">
      <c r="E410" s="34"/>
      <c r="F410" s="34"/>
      <c r="G410" s="34"/>
      <c r="H410" s="34"/>
      <c r="I410" s="34"/>
    </row>
    <row r="411">
      <c r="E411" s="34"/>
      <c r="F411" s="34"/>
      <c r="G411" s="34"/>
      <c r="H411" s="34"/>
      <c r="I411" s="34"/>
    </row>
    <row r="412">
      <c r="E412" s="34"/>
      <c r="F412" s="34"/>
      <c r="G412" s="34"/>
      <c r="H412" s="34"/>
      <c r="I412" s="34"/>
    </row>
    <row r="413">
      <c r="E413" s="34"/>
      <c r="F413" s="34"/>
      <c r="G413" s="34"/>
      <c r="H413" s="34"/>
      <c r="I413" s="34"/>
    </row>
    <row r="414">
      <c r="E414" s="34"/>
      <c r="F414" s="34"/>
      <c r="G414" s="34"/>
      <c r="H414" s="34"/>
      <c r="I414" s="34"/>
    </row>
    <row r="415">
      <c r="E415" s="34"/>
      <c r="F415" s="34"/>
      <c r="G415" s="34"/>
      <c r="H415" s="34"/>
      <c r="I415" s="34"/>
    </row>
    <row r="416">
      <c r="E416" s="34"/>
      <c r="F416" s="34"/>
      <c r="G416" s="34"/>
      <c r="H416" s="34"/>
      <c r="I416" s="34"/>
    </row>
    <row r="417">
      <c r="E417" s="34"/>
      <c r="F417" s="34"/>
      <c r="G417" s="34"/>
      <c r="H417" s="34"/>
      <c r="I417" s="34"/>
    </row>
    <row r="418">
      <c r="E418" s="34"/>
      <c r="F418" s="34"/>
      <c r="G418" s="34"/>
      <c r="H418" s="34"/>
      <c r="I418" s="34"/>
    </row>
    <row r="419">
      <c r="E419" s="34"/>
      <c r="F419" s="34"/>
      <c r="G419" s="34"/>
      <c r="H419" s="34"/>
      <c r="I419" s="34"/>
    </row>
    <row r="420">
      <c r="E420" s="34"/>
      <c r="F420" s="34"/>
      <c r="G420" s="34"/>
      <c r="H420" s="34"/>
      <c r="I420" s="34"/>
    </row>
    <row r="421">
      <c r="E421" s="34"/>
      <c r="F421" s="34"/>
      <c r="G421" s="34"/>
      <c r="H421" s="34"/>
      <c r="I421" s="34"/>
    </row>
    <row r="422">
      <c r="E422" s="34"/>
      <c r="F422" s="34"/>
      <c r="G422" s="34"/>
      <c r="H422" s="34"/>
      <c r="I422" s="34"/>
    </row>
    <row r="423">
      <c r="E423" s="34"/>
      <c r="F423" s="34"/>
      <c r="G423" s="34"/>
      <c r="H423" s="34"/>
      <c r="I423" s="34"/>
    </row>
    <row r="424">
      <c r="E424" s="34"/>
      <c r="F424" s="34"/>
      <c r="G424" s="34"/>
      <c r="H424" s="34"/>
      <c r="I424" s="34"/>
    </row>
    <row r="425">
      <c r="E425" s="34"/>
      <c r="F425" s="34"/>
      <c r="G425" s="34"/>
      <c r="H425" s="34"/>
      <c r="I425" s="34"/>
    </row>
    <row r="426">
      <c r="E426" s="34"/>
      <c r="F426" s="34"/>
      <c r="G426" s="34"/>
      <c r="H426" s="34"/>
      <c r="I426" s="34"/>
    </row>
    <row r="427">
      <c r="E427" s="34"/>
      <c r="F427" s="34"/>
      <c r="G427" s="34"/>
      <c r="H427" s="34"/>
      <c r="I427" s="34"/>
    </row>
    <row r="428">
      <c r="E428" s="34"/>
      <c r="F428" s="34"/>
      <c r="G428" s="34"/>
      <c r="H428" s="34"/>
      <c r="I428" s="34"/>
    </row>
    <row r="429">
      <c r="E429" s="34"/>
      <c r="F429" s="34"/>
      <c r="G429" s="34"/>
      <c r="H429" s="34"/>
      <c r="I429" s="34"/>
    </row>
    <row r="430">
      <c r="E430" s="34"/>
      <c r="F430" s="34"/>
      <c r="G430" s="34"/>
      <c r="H430" s="34"/>
      <c r="I430" s="34"/>
    </row>
    <row r="431">
      <c r="E431" s="34"/>
      <c r="F431" s="34"/>
      <c r="G431" s="34"/>
      <c r="H431" s="34"/>
      <c r="I431" s="34"/>
    </row>
    <row r="432">
      <c r="E432" s="34"/>
      <c r="F432" s="34"/>
      <c r="G432" s="34"/>
      <c r="H432" s="34"/>
      <c r="I432" s="34"/>
    </row>
    <row r="433">
      <c r="E433" s="34"/>
      <c r="F433" s="34"/>
      <c r="G433" s="34"/>
      <c r="H433" s="34"/>
      <c r="I433" s="34"/>
    </row>
    <row r="434">
      <c r="E434" s="34"/>
      <c r="F434" s="34"/>
      <c r="G434" s="34"/>
      <c r="H434" s="34"/>
      <c r="I434" s="34"/>
    </row>
    <row r="435">
      <c r="E435" s="34"/>
      <c r="F435" s="34"/>
      <c r="G435" s="34"/>
      <c r="H435" s="34"/>
      <c r="I435" s="34"/>
    </row>
    <row r="436">
      <c r="E436" s="34"/>
      <c r="F436" s="34"/>
      <c r="G436" s="34"/>
      <c r="H436" s="34"/>
      <c r="I436" s="34"/>
    </row>
    <row r="437">
      <c r="E437" s="34"/>
      <c r="F437" s="34"/>
      <c r="G437" s="34"/>
      <c r="H437" s="34"/>
      <c r="I437" s="34"/>
    </row>
    <row r="438">
      <c r="E438" s="34"/>
      <c r="F438" s="34"/>
      <c r="G438" s="34"/>
      <c r="H438" s="34"/>
      <c r="I438" s="34"/>
    </row>
    <row r="439">
      <c r="E439" s="34"/>
      <c r="F439" s="34"/>
      <c r="G439" s="34"/>
      <c r="H439" s="34"/>
      <c r="I439" s="34"/>
    </row>
    <row r="440">
      <c r="E440" s="34"/>
      <c r="F440" s="34"/>
      <c r="G440" s="34"/>
      <c r="H440" s="34"/>
      <c r="I440" s="34"/>
    </row>
    <row r="441">
      <c r="E441" s="34"/>
      <c r="F441" s="34"/>
      <c r="G441" s="34"/>
      <c r="H441" s="34"/>
      <c r="I441" s="34"/>
    </row>
    <row r="442">
      <c r="E442" s="34"/>
      <c r="F442" s="34"/>
      <c r="G442" s="34"/>
      <c r="H442" s="34"/>
      <c r="I442" s="34"/>
    </row>
    <row r="443">
      <c r="E443" s="34"/>
      <c r="F443" s="34"/>
      <c r="G443" s="34"/>
      <c r="H443" s="34"/>
      <c r="I443" s="34"/>
    </row>
    <row r="444">
      <c r="E444" s="34"/>
      <c r="F444" s="34"/>
      <c r="G444" s="34"/>
      <c r="H444" s="34"/>
      <c r="I444" s="34"/>
    </row>
    <row r="445">
      <c r="E445" s="34"/>
      <c r="F445" s="34"/>
      <c r="G445" s="34"/>
      <c r="H445" s="34"/>
      <c r="I445" s="34"/>
    </row>
    <row r="446">
      <c r="E446" s="34"/>
      <c r="F446" s="34"/>
      <c r="G446" s="34"/>
      <c r="H446" s="34"/>
      <c r="I446" s="34"/>
    </row>
    <row r="447">
      <c r="E447" s="34"/>
      <c r="F447" s="34"/>
      <c r="G447" s="34"/>
      <c r="H447" s="34"/>
      <c r="I447" s="34"/>
    </row>
    <row r="448">
      <c r="E448" s="34"/>
      <c r="F448" s="34"/>
      <c r="G448" s="34"/>
      <c r="H448" s="34"/>
      <c r="I448" s="34"/>
    </row>
    <row r="449">
      <c r="E449" s="34"/>
      <c r="F449" s="34"/>
      <c r="G449" s="34"/>
      <c r="H449" s="34"/>
      <c r="I449" s="34"/>
    </row>
    <row r="450">
      <c r="E450" s="34"/>
      <c r="F450" s="34"/>
      <c r="G450" s="34"/>
      <c r="H450" s="34"/>
      <c r="I450" s="34"/>
    </row>
    <row r="451">
      <c r="E451" s="34"/>
      <c r="F451" s="34"/>
      <c r="G451" s="34"/>
      <c r="H451" s="34"/>
      <c r="I451" s="34"/>
    </row>
    <row r="452">
      <c r="E452" s="34"/>
      <c r="F452" s="34"/>
      <c r="G452" s="34"/>
      <c r="H452" s="34"/>
      <c r="I452" s="34"/>
    </row>
    <row r="453">
      <c r="E453" s="34"/>
      <c r="F453" s="34"/>
      <c r="G453" s="34"/>
      <c r="H453" s="34"/>
      <c r="I453" s="34"/>
    </row>
    <row r="454">
      <c r="E454" s="34"/>
      <c r="F454" s="34"/>
      <c r="G454" s="34"/>
      <c r="H454" s="34"/>
      <c r="I454" s="34"/>
    </row>
    <row r="455">
      <c r="E455" s="34"/>
      <c r="F455" s="34"/>
      <c r="G455" s="34"/>
      <c r="H455" s="34"/>
      <c r="I455" s="34"/>
    </row>
    <row r="456">
      <c r="E456" s="34"/>
      <c r="F456" s="34"/>
      <c r="G456" s="34"/>
      <c r="H456" s="34"/>
      <c r="I456" s="34"/>
    </row>
    <row r="457">
      <c r="E457" s="34"/>
      <c r="F457" s="34"/>
      <c r="G457" s="34"/>
      <c r="H457" s="34"/>
      <c r="I457" s="34"/>
    </row>
    <row r="458">
      <c r="E458" s="34"/>
      <c r="F458" s="34"/>
      <c r="G458" s="34"/>
      <c r="H458" s="34"/>
      <c r="I458" s="34"/>
    </row>
    <row r="459">
      <c r="E459" s="34"/>
      <c r="F459" s="34"/>
      <c r="G459" s="34"/>
      <c r="H459" s="34"/>
      <c r="I459" s="34"/>
    </row>
    <row r="460">
      <c r="E460" s="34"/>
      <c r="F460" s="34"/>
      <c r="G460" s="34"/>
      <c r="H460" s="34"/>
      <c r="I460" s="34"/>
    </row>
    <row r="461">
      <c r="E461" s="34"/>
      <c r="F461" s="34"/>
      <c r="G461" s="34"/>
      <c r="H461" s="34"/>
      <c r="I461" s="34"/>
    </row>
    <row r="462">
      <c r="E462" s="34"/>
      <c r="F462" s="34"/>
      <c r="G462" s="34"/>
      <c r="H462" s="34"/>
      <c r="I462" s="34"/>
    </row>
    <row r="463">
      <c r="E463" s="34"/>
      <c r="F463" s="34"/>
      <c r="G463" s="34"/>
      <c r="H463" s="34"/>
      <c r="I463" s="34"/>
    </row>
    <row r="464">
      <c r="E464" s="34"/>
      <c r="F464" s="34"/>
      <c r="G464" s="34"/>
      <c r="H464" s="34"/>
      <c r="I464" s="34"/>
    </row>
    <row r="465">
      <c r="E465" s="34"/>
      <c r="F465" s="34"/>
      <c r="G465" s="34"/>
      <c r="H465" s="34"/>
      <c r="I465" s="34"/>
    </row>
    <row r="466">
      <c r="E466" s="34"/>
      <c r="F466" s="34"/>
      <c r="G466" s="34"/>
      <c r="H466" s="34"/>
      <c r="I466" s="34"/>
    </row>
    <row r="467">
      <c r="E467" s="34"/>
      <c r="F467" s="34"/>
      <c r="G467" s="34"/>
      <c r="H467" s="34"/>
      <c r="I467" s="34"/>
    </row>
    <row r="468">
      <c r="E468" s="34"/>
      <c r="F468" s="34"/>
      <c r="G468" s="34"/>
      <c r="H468" s="34"/>
      <c r="I468" s="34"/>
    </row>
    <row r="469">
      <c r="E469" s="34"/>
      <c r="F469" s="34"/>
      <c r="G469" s="34"/>
      <c r="H469" s="34"/>
      <c r="I469" s="34"/>
    </row>
    <row r="470">
      <c r="E470" s="34"/>
      <c r="F470" s="34"/>
      <c r="G470" s="34"/>
      <c r="H470" s="34"/>
      <c r="I470" s="34"/>
    </row>
    <row r="471">
      <c r="E471" s="34"/>
      <c r="F471" s="34"/>
      <c r="G471" s="34"/>
      <c r="H471" s="34"/>
      <c r="I471" s="34"/>
    </row>
    <row r="472">
      <c r="E472" s="34"/>
      <c r="F472" s="34"/>
      <c r="G472" s="34"/>
      <c r="H472" s="34"/>
      <c r="I472" s="34"/>
    </row>
    <row r="473">
      <c r="E473" s="34"/>
      <c r="F473" s="34"/>
      <c r="G473" s="34"/>
      <c r="H473" s="34"/>
      <c r="I473" s="34"/>
    </row>
    <row r="474">
      <c r="E474" s="34"/>
      <c r="F474" s="34"/>
      <c r="G474" s="34"/>
      <c r="H474" s="34"/>
      <c r="I474" s="34"/>
    </row>
    <row r="475">
      <c r="E475" s="34"/>
      <c r="F475" s="34"/>
      <c r="G475" s="34"/>
      <c r="H475" s="34"/>
      <c r="I475" s="34"/>
    </row>
    <row r="476">
      <c r="E476" s="34"/>
      <c r="F476" s="34"/>
      <c r="G476" s="34"/>
      <c r="H476" s="34"/>
      <c r="I476" s="34"/>
    </row>
    <row r="477">
      <c r="E477" s="34"/>
      <c r="F477" s="34"/>
      <c r="G477" s="34"/>
      <c r="H477" s="34"/>
      <c r="I477" s="34"/>
    </row>
    <row r="478">
      <c r="E478" s="34"/>
      <c r="F478" s="34"/>
      <c r="G478" s="34"/>
      <c r="H478" s="34"/>
      <c r="I478" s="34"/>
    </row>
    <row r="479">
      <c r="E479" s="34"/>
      <c r="F479" s="34"/>
      <c r="G479" s="34"/>
      <c r="H479" s="34"/>
      <c r="I479" s="34"/>
    </row>
    <row r="480">
      <c r="E480" s="34"/>
      <c r="F480" s="34"/>
      <c r="G480" s="34"/>
      <c r="H480" s="34"/>
      <c r="I480" s="34"/>
    </row>
    <row r="481">
      <c r="E481" s="34"/>
      <c r="F481" s="34"/>
      <c r="G481" s="34"/>
      <c r="H481" s="34"/>
      <c r="I481" s="34"/>
    </row>
    <row r="482">
      <c r="E482" s="34"/>
      <c r="F482" s="34"/>
      <c r="G482" s="34"/>
      <c r="H482" s="34"/>
      <c r="I482" s="34"/>
    </row>
    <row r="483">
      <c r="E483" s="34"/>
      <c r="F483" s="34"/>
      <c r="G483" s="34"/>
      <c r="H483" s="34"/>
      <c r="I483" s="34"/>
    </row>
    <row r="484">
      <c r="E484" s="34"/>
      <c r="F484" s="34"/>
      <c r="G484" s="34"/>
      <c r="H484" s="34"/>
      <c r="I484" s="34"/>
    </row>
    <row r="485">
      <c r="E485" s="34"/>
      <c r="F485" s="34"/>
      <c r="G485" s="34"/>
      <c r="H485" s="34"/>
      <c r="I485" s="34"/>
    </row>
    <row r="486">
      <c r="E486" s="34"/>
      <c r="F486" s="34"/>
      <c r="G486" s="34"/>
      <c r="H486" s="34"/>
      <c r="I486" s="34"/>
    </row>
    <row r="487">
      <c r="E487" s="34"/>
      <c r="F487" s="34"/>
      <c r="G487" s="34"/>
      <c r="H487" s="34"/>
      <c r="I487" s="34"/>
    </row>
    <row r="488">
      <c r="E488" s="34"/>
      <c r="F488" s="34"/>
      <c r="G488" s="34"/>
      <c r="H488" s="34"/>
      <c r="I488" s="34"/>
    </row>
    <row r="489">
      <c r="E489" s="34"/>
      <c r="F489" s="34"/>
      <c r="G489" s="34"/>
      <c r="H489" s="34"/>
      <c r="I489" s="34"/>
    </row>
    <row r="490">
      <c r="E490" s="34"/>
      <c r="F490" s="34"/>
      <c r="G490" s="34"/>
      <c r="H490" s="34"/>
      <c r="I490" s="34"/>
    </row>
    <row r="491">
      <c r="E491" s="34"/>
      <c r="F491" s="34"/>
      <c r="G491" s="34"/>
      <c r="H491" s="34"/>
      <c r="I491" s="34"/>
    </row>
    <row r="492">
      <c r="E492" s="34"/>
      <c r="F492" s="34"/>
      <c r="G492" s="34"/>
      <c r="H492" s="34"/>
      <c r="I492" s="34"/>
    </row>
    <row r="493">
      <c r="E493" s="34"/>
      <c r="F493" s="34"/>
      <c r="G493" s="34"/>
      <c r="H493" s="34"/>
      <c r="I493" s="34"/>
    </row>
    <row r="494">
      <c r="E494" s="34"/>
      <c r="F494" s="34"/>
      <c r="G494" s="34"/>
      <c r="H494" s="34"/>
      <c r="I494" s="34"/>
    </row>
    <row r="495">
      <c r="E495" s="34"/>
      <c r="F495" s="34"/>
      <c r="G495" s="34"/>
      <c r="H495" s="34"/>
      <c r="I495" s="34"/>
    </row>
    <row r="496">
      <c r="E496" s="34"/>
      <c r="F496" s="34"/>
      <c r="G496" s="34"/>
      <c r="H496" s="34"/>
      <c r="I496" s="34"/>
    </row>
    <row r="497">
      <c r="E497" s="34"/>
      <c r="F497" s="34"/>
      <c r="G497" s="34"/>
      <c r="H497" s="34"/>
      <c r="I497" s="34"/>
    </row>
    <row r="498">
      <c r="E498" s="34"/>
      <c r="F498" s="34"/>
      <c r="G498" s="34"/>
      <c r="H498" s="34"/>
      <c r="I498" s="34"/>
    </row>
    <row r="499">
      <c r="E499" s="34"/>
      <c r="F499" s="34"/>
      <c r="G499" s="34"/>
      <c r="H499" s="34"/>
      <c r="I499" s="34"/>
    </row>
    <row r="500">
      <c r="E500" s="34"/>
      <c r="F500" s="34"/>
      <c r="G500" s="34"/>
      <c r="H500" s="34"/>
      <c r="I500" s="34"/>
    </row>
    <row r="501">
      <c r="E501" s="34"/>
      <c r="F501" s="34"/>
      <c r="G501" s="34"/>
      <c r="H501" s="34"/>
      <c r="I501" s="34"/>
    </row>
    <row r="502">
      <c r="E502" s="34"/>
      <c r="F502" s="34"/>
      <c r="G502" s="34"/>
      <c r="H502" s="34"/>
      <c r="I502" s="34"/>
    </row>
    <row r="503">
      <c r="E503" s="34"/>
      <c r="F503" s="34"/>
      <c r="G503" s="34"/>
      <c r="H503" s="34"/>
      <c r="I503" s="34"/>
    </row>
    <row r="504">
      <c r="E504" s="34"/>
      <c r="F504" s="34"/>
      <c r="G504" s="34"/>
      <c r="H504" s="34"/>
      <c r="I504" s="34"/>
    </row>
    <row r="505">
      <c r="E505" s="34"/>
      <c r="F505" s="34"/>
      <c r="G505" s="34"/>
      <c r="H505" s="34"/>
      <c r="I505" s="34"/>
    </row>
    <row r="506">
      <c r="E506" s="34"/>
      <c r="F506" s="34"/>
      <c r="G506" s="34"/>
      <c r="H506" s="34"/>
      <c r="I506" s="34"/>
    </row>
    <row r="507">
      <c r="E507" s="34"/>
      <c r="F507" s="34"/>
      <c r="G507" s="34"/>
      <c r="H507" s="34"/>
      <c r="I507" s="34"/>
    </row>
    <row r="508">
      <c r="E508" s="34"/>
      <c r="F508" s="34"/>
      <c r="G508" s="34"/>
      <c r="H508" s="34"/>
      <c r="I508" s="34"/>
    </row>
    <row r="509">
      <c r="E509" s="34"/>
      <c r="F509" s="34"/>
      <c r="G509" s="34"/>
      <c r="H509" s="34"/>
      <c r="I509" s="34"/>
    </row>
    <row r="510">
      <c r="E510" s="34"/>
      <c r="F510" s="34"/>
      <c r="G510" s="34"/>
      <c r="H510" s="34"/>
      <c r="I510" s="34"/>
    </row>
    <row r="511">
      <c r="E511" s="34"/>
      <c r="F511" s="34"/>
      <c r="G511" s="34"/>
      <c r="H511" s="34"/>
      <c r="I511" s="34"/>
    </row>
    <row r="512">
      <c r="E512" s="34"/>
      <c r="F512" s="34"/>
      <c r="G512" s="34"/>
      <c r="H512" s="34"/>
      <c r="I512" s="34"/>
    </row>
    <row r="513">
      <c r="E513" s="34"/>
      <c r="F513" s="34"/>
      <c r="G513" s="34"/>
      <c r="H513" s="34"/>
      <c r="I513" s="34"/>
    </row>
    <row r="514">
      <c r="E514" s="34"/>
      <c r="F514" s="34"/>
      <c r="G514" s="34"/>
      <c r="H514" s="34"/>
      <c r="I514" s="34"/>
    </row>
    <row r="515">
      <c r="E515" s="34"/>
      <c r="F515" s="34"/>
      <c r="G515" s="34"/>
      <c r="H515" s="34"/>
      <c r="I515" s="34"/>
    </row>
    <row r="516">
      <c r="E516" s="34"/>
      <c r="F516" s="34"/>
      <c r="G516" s="34"/>
      <c r="H516" s="34"/>
      <c r="I516" s="34"/>
    </row>
    <row r="517">
      <c r="E517" s="34"/>
      <c r="F517" s="34"/>
      <c r="G517" s="34"/>
      <c r="H517" s="34"/>
      <c r="I517" s="34"/>
    </row>
    <row r="518">
      <c r="E518" s="34"/>
      <c r="F518" s="34"/>
      <c r="G518" s="34"/>
      <c r="H518" s="34"/>
      <c r="I518" s="34"/>
    </row>
    <row r="519">
      <c r="E519" s="34"/>
      <c r="F519" s="34"/>
      <c r="G519" s="34"/>
      <c r="H519" s="34"/>
      <c r="I519" s="34"/>
    </row>
    <row r="520">
      <c r="E520" s="34"/>
      <c r="F520" s="34"/>
      <c r="G520" s="34"/>
      <c r="H520" s="34"/>
      <c r="I520" s="34"/>
    </row>
    <row r="521">
      <c r="E521" s="34"/>
      <c r="F521" s="34"/>
      <c r="G521" s="34"/>
      <c r="H521" s="34"/>
      <c r="I521" s="34"/>
    </row>
    <row r="522">
      <c r="E522" s="34"/>
      <c r="F522" s="34"/>
      <c r="G522" s="34"/>
      <c r="H522" s="34"/>
      <c r="I522" s="34"/>
    </row>
    <row r="523">
      <c r="E523" s="34"/>
      <c r="F523" s="34"/>
      <c r="G523" s="34"/>
      <c r="H523" s="34"/>
      <c r="I523" s="34"/>
    </row>
    <row r="524">
      <c r="E524" s="34"/>
      <c r="F524" s="34"/>
      <c r="G524" s="34"/>
      <c r="H524" s="34"/>
      <c r="I524" s="34"/>
    </row>
    <row r="525">
      <c r="E525" s="34"/>
      <c r="F525" s="34"/>
      <c r="G525" s="34"/>
      <c r="H525" s="34"/>
      <c r="I525" s="34"/>
    </row>
    <row r="526">
      <c r="E526" s="34"/>
      <c r="F526" s="34"/>
      <c r="G526" s="34"/>
      <c r="H526" s="34"/>
      <c r="I526" s="34"/>
    </row>
    <row r="527">
      <c r="E527" s="34"/>
      <c r="F527" s="34"/>
      <c r="G527" s="34"/>
      <c r="H527" s="34"/>
      <c r="I527" s="34"/>
    </row>
    <row r="528">
      <c r="E528" s="34"/>
      <c r="F528" s="34"/>
      <c r="G528" s="34"/>
      <c r="H528" s="34"/>
      <c r="I528" s="34"/>
    </row>
    <row r="529">
      <c r="E529" s="34"/>
      <c r="F529" s="34"/>
      <c r="G529" s="34"/>
      <c r="H529" s="34"/>
      <c r="I529" s="34"/>
    </row>
    <row r="530">
      <c r="E530" s="34"/>
      <c r="F530" s="34"/>
      <c r="G530" s="34"/>
      <c r="H530" s="34"/>
      <c r="I530" s="34"/>
    </row>
    <row r="531">
      <c r="E531" s="34"/>
      <c r="F531" s="34"/>
      <c r="G531" s="34"/>
      <c r="H531" s="34"/>
      <c r="I531" s="34"/>
    </row>
    <row r="532">
      <c r="E532" s="34"/>
      <c r="F532" s="34"/>
      <c r="G532" s="34"/>
      <c r="H532" s="34"/>
      <c r="I532" s="34"/>
    </row>
    <row r="533">
      <c r="E533" s="34"/>
      <c r="F533" s="34"/>
      <c r="G533" s="34"/>
      <c r="H533" s="34"/>
      <c r="I533" s="34"/>
    </row>
    <row r="534">
      <c r="E534" s="34"/>
      <c r="F534" s="34"/>
      <c r="G534" s="34"/>
      <c r="H534" s="34"/>
      <c r="I534" s="34"/>
    </row>
    <row r="535">
      <c r="E535" s="34"/>
      <c r="F535" s="34"/>
      <c r="G535" s="34"/>
      <c r="H535" s="34"/>
      <c r="I535" s="34"/>
    </row>
    <row r="536">
      <c r="E536" s="34"/>
      <c r="F536" s="34"/>
      <c r="G536" s="34"/>
      <c r="H536" s="34"/>
      <c r="I536" s="34"/>
    </row>
    <row r="537">
      <c r="E537" s="34"/>
      <c r="F537" s="34"/>
      <c r="G537" s="34"/>
      <c r="H537" s="34"/>
      <c r="I537" s="34"/>
    </row>
    <row r="538">
      <c r="E538" s="34"/>
      <c r="F538" s="34"/>
      <c r="G538" s="34"/>
      <c r="H538" s="34"/>
      <c r="I538" s="34"/>
    </row>
    <row r="539">
      <c r="E539" s="34"/>
      <c r="F539" s="34"/>
      <c r="G539" s="34"/>
      <c r="H539" s="34"/>
      <c r="I539" s="34"/>
    </row>
    <row r="540">
      <c r="E540" s="34"/>
      <c r="F540" s="34"/>
      <c r="G540" s="34"/>
      <c r="H540" s="34"/>
      <c r="I540" s="34"/>
    </row>
    <row r="541">
      <c r="E541" s="34"/>
      <c r="F541" s="34"/>
      <c r="G541" s="34"/>
      <c r="H541" s="34"/>
      <c r="I541" s="34"/>
    </row>
    <row r="542">
      <c r="E542" s="34"/>
      <c r="F542" s="34"/>
      <c r="G542" s="34"/>
      <c r="H542" s="34"/>
      <c r="I542" s="34"/>
    </row>
    <row r="543">
      <c r="E543" s="34"/>
      <c r="F543" s="34"/>
      <c r="G543" s="34"/>
      <c r="H543" s="34"/>
      <c r="I543" s="34"/>
    </row>
    <row r="544">
      <c r="E544" s="34"/>
      <c r="F544" s="34"/>
      <c r="G544" s="34"/>
      <c r="H544" s="34"/>
      <c r="I544" s="34"/>
    </row>
    <row r="545">
      <c r="E545" s="34"/>
      <c r="F545" s="34"/>
      <c r="G545" s="34"/>
      <c r="H545" s="34"/>
      <c r="I545" s="34"/>
    </row>
    <row r="546">
      <c r="E546" s="34"/>
      <c r="F546" s="34"/>
      <c r="G546" s="34"/>
      <c r="H546" s="34"/>
      <c r="I546" s="34"/>
    </row>
    <row r="547">
      <c r="E547" s="34"/>
      <c r="F547" s="34"/>
      <c r="G547" s="34"/>
      <c r="H547" s="34"/>
      <c r="I547" s="34"/>
    </row>
    <row r="548">
      <c r="E548" s="34"/>
      <c r="F548" s="34"/>
      <c r="G548" s="34"/>
      <c r="H548" s="34"/>
      <c r="I548" s="34"/>
    </row>
    <row r="549">
      <c r="E549" s="34"/>
      <c r="F549" s="34"/>
      <c r="G549" s="34"/>
      <c r="H549" s="34"/>
      <c r="I549" s="34"/>
    </row>
    <row r="550">
      <c r="E550" s="34"/>
      <c r="F550" s="34"/>
      <c r="G550" s="34"/>
      <c r="H550" s="34"/>
      <c r="I550" s="34"/>
    </row>
    <row r="551">
      <c r="E551" s="34"/>
      <c r="F551" s="34"/>
      <c r="G551" s="34"/>
      <c r="H551" s="34"/>
      <c r="I551" s="34"/>
    </row>
    <row r="552">
      <c r="E552" s="34"/>
      <c r="F552" s="34"/>
      <c r="G552" s="34"/>
      <c r="H552" s="34"/>
      <c r="I552" s="34"/>
    </row>
    <row r="553">
      <c r="E553" s="34"/>
      <c r="F553" s="34"/>
      <c r="G553" s="34"/>
      <c r="H553" s="34"/>
      <c r="I553" s="34"/>
    </row>
    <row r="554">
      <c r="E554" s="34"/>
      <c r="F554" s="34"/>
      <c r="G554" s="34"/>
      <c r="H554" s="34"/>
      <c r="I554" s="34"/>
    </row>
    <row r="555">
      <c r="E555" s="34"/>
      <c r="F555" s="34"/>
      <c r="G555" s="34"/>
      <c r="H555" s="34"/>
      <c r="I555" s="34"/>
    </row>
    <row r="556">
      <c r="E556" s="34"/>
      <c r="F556" s="34"/>
      <c r="G556" s="34"/>
      <c r="H556" s="34"/>
      <c r="I556" s="34"/>
    </row>
    <row r="557">
      <c r="E557" s="34"/>
      <c r="F557" s="34"/>
      <c r="G557" s="34"/>
      <c r="H557" s="34"/>
      <c r="I557" s="34"/>
    </row>
    <row r="558">
      <c r="E558" s="34"/>
      <c r="F558" s="34"/>
      <c r="G558" s="34"/>
      <c r="H558" s="34"/>
      <c r="I558" s="34"/>
    </row>
    <row r="559">
      <c r="E559" s="34"/>
      <c r="F559" s="34"/>
      <c r="G559" s="34"/>
      <c r="H559" s="34"/>
      <c r="I559" s="34"/>
    </row>
    <row r="560">
      <c r="E560" s="34"/>
      <c r="F560" s="34"/>
      <c r="G560" s="34"/>
      <c r="H560" s="34"/>
      <c r="I560" s="34"/>
    </row>
    <row r="561">
      <c r="E561" s="34"/>
      <c r="F561" s="34"/>
      <c r="G561" s="34"/>
      <c r="H561" s="34"/>
      <c r="I561" s="34"/>
    </row>
    <row r="562">
      <c r="E562" s="34"/>
      <c r="F562" s="34"/>
      <c r="G562" s="34"/>
      <c r="H562" s="34"/>
      <c r="I562" s="34"/>
    </row>
    <row r="563">
      <c r="E563" s="34"/>
      <c r="F563" s="34"/>
      <c r="G563" s="34"/>
      <c r="H563" s="34"/>
      <c r="I563" s="34"/>
    </row>
    <row r="564">
      <c r="E564" s="34"/>
      <c r="F564" s="34"/>
      <c r="G564" s="34"/>
      <c r="H564" s="34"/>
      <c r="I564" s="34"/>
    </row>
    <row r="565">
      <c r="E565" s="34"/>
      <c r="F565" s="34"/>
      <c r="G565" s="34"/>
      <c r="H565" s="34"/>
      <c r="I565" s="34"/>
    </row>
    <row r="566">
      <c r="E566" s="34"/>
      <c r="F566" s="34"/>
      <c r="G566" s="34"/>
      <c r="H566" s="34"/>
      <c r="I566" s="34"/>
    </row>
    <row r="567">
      <c r="E567" s="34"/>
      <c r="F567" s="34"/>
      <c r="G567" s="34"/>
      <c r="H567" s="34"/>
      <c r="I567" s="34"/>
    </row>
    <row r="568">
      <c r="E568" s="34"/>
      <c r="F568" s="34"/>
      <c r="G568" s="34"/>
      <c r="H568" s="34"/>
      <c r="I568" s="34"/>
    </row>
    <row r="569">
      <c r="E569" s="34"/>
      <c r="F569" s="34"/>
      <c r="G569" s="34"/>
      <c r="H569" s="34"/>
      <c r="I569" s="34"/>
    </row>
    <row r="570">
      <c r="E570" s="34"/>
      <c r="F570" s="34"/>
      <c r="G570" s="34"/>
      <c r="H570" s="34"/>
      <c r="I570" s="34"/>
    </row>
    <row r="571">
      <c r="E571" s="34"/>
      <c r="F571" s="34"/>
      <c r="G571" s="34"/>
      <c r="H571" s="34"/>
      <c r="I571" s="34"/>
    </row>
    <row r="572">
      <c r="E572" s="34"/>
      <c r="F572" s="34"/>
      <c r="G572" s="34"/>
      <c r="H572" s="34"/>
      <c r="I572" s="34"/>
    </row>
    <row r="573">
      <c r="E573" s="34"/>
      <c r="F573" s="34"/>
      <c r="G573" s="34"/>
      <c r="H573" s="34"/>
      <c r="I573" s="34"/>
    </row>
    <row r="574">
      <c r="E574" s="34"/>
      <c r="F574" s="34"/>
      <c r="G574" s="34"/>
      <c r="H574" s="34"/>
      <c r="I574" s="34"/>
    </row>
    <row r="575">
      <c r="E575" s="34"/>
      <c r="F575" s="34"/>
      <c r="G575" s="34"/>
      <c r="H575" s="34"/>
      <c r="I575" s="34"/>
    </row>
    <row r="576">
      <c r="E576" s="34"/>
      <c r="F576" s="34"/>
      <c r="G576" s="34"/>
      <c r="H576" s="34"/>
      <c r="I576" s="34"/>
    </row>
    <row r="577">
      <c r="E577" s="34"/>
      <c r="F577" s="34"/>
      <c r="G577" s="34"/>
      <c r="H577" s="34"/>
      <c r="I577" s="34"/>
    </row>
    <row r="578">
      <c r="E578" s="34"/>
      <c r="F578" s="34"/>
      <c r="G578" s="34"/>
      <c r="H578" s="34"/>
      <c r="I578" s="34"/>
    </row>
    <row r="579">
      <c r="E579" s="34"/>
      <c r="F579" s="34"/>
      <c r="G579" s="34"/>
      <c r="H579" s="34"/>
      <c r="I579" s="34"/>
    </row>
    <row r="580">
      <c r="E580" s="34"/>
      <c r="F580" s="34"/>
      <c r="G580" s="34"/>
      <c r="H580" s="34"/>
      <c r="I580" s="34"/>
    </row>
    <row r="581">
      <c r="E581" s="34"/>
      <c r="F581" s="34"/>
      <c r="G581" s="34"/>
      <c r="H581" s="34"/>
      <c r="I581" s="34"/>
    </row>
    <row r="582">
      <c r="E582" s="34"/>
      <c r="F582" s="34"/>
      <c r="G582" s="34"/>
      <c r="H582" s="34"/>
      <c r="I582" s="34"/>
    </row>
    <row r="583">
      <c r="E583" s="34"/>
      <c r="F583" s="34"/>
      <c r="G583" s="34"/>
      <c r="H583" s="34"/>
      <c r="I583" s="34"/>
    </row>
    <row r="584">
      <c r="E584" s="34"/>
      <c r="F584" s="34"/>
      <c r="G584" s="34"/>
      <c r="H584" s="34"/>
      <c r="I584" s="34"/>
    </row>
    <row r="585">
      <c r="E585" s="34"/>
      <c r="F585" s="34"/>
      <c r="G585" s="34"/>
      <c r="H585" s="34"/>
      <c r="I585" s="34"/>
    </row>
    <row r="586">
      <c r="E586" s="34"/>
      <c r="F586" s="34"/>
      <c r="G586" s="34"/>
      <c r="H586" s="34"/>
      <c r="I586" s="34"/>
    </row>
    <row r="587">
      <c r="E587" s="34"/>
      <c r="F587" s="34"/>
      <c r="G587" s="34"/>
      <c r="H587" s="34"/>
      <c r="I587" s="34"/>
    </row>
    <row r="588">
      <c r="E588" s="34"/>
      <c r="F588" s="34"/>
      <c r="G588" s="34"/>
      <c r="H588" s="34"/>
      <c r="I588" s="34"/>
    </row>
    <row r="589">
      <c r="E589" s="34"/>
      <c r="F589" s="34"/>
      <c r="G589" s="34"/>
      <c r="H589" s="34"/>
      <c r="I589" s="34"/>
    </row>
    <row r="590">
      <c r="E590" s="34"/>
      <c r="F590" s="34"/>
      <c r="G590" s="34"/>
      <c r="H590" s="34"/>
      <c r="I590" s="34"/>
    </row>
    <row r="591">
      <c r="E591" s="34"/>
      <c r="F591" s="34"/>
      <c r="G591" s="34"/>
      <c r="H591" s="34"/>
      <c r="I591" s="34"/>
    </row>
    <row r="592">
      <c r="E592" s="34"/>
      <c r="F592" s="34"/>
      <c r="G592" s="34"/>
      <c r="H592" s="34"/>
      <c r="I592" s="34"/>
    </row>
    <row r="593">
      <c r="E593" s="34"/>
      <c r="F593" s="34"/>
      <c r="G593" s="34"/>
      <c r="H593" s="34"/>
      <c r="I593" s="34"/>
    </row>
    <row r="594">
      <c r="E594" s="34"/>
      <c r="F594" s="34"/>
      <c r="G594" s="34"/>
      <c r="H594" s="34"/>
      <c r="I594" s="34"/>
    </row>
    <row r="595">
      <c r="E595" s="34"/>
      <c r="F595" s="34"/>
      <c r="G595" s="34"/>
      <c r="H595" s="34"/>
      <c r="I595" s="34"/>
    </row>
    <row r="596">
      <c r="E596" s="34"/>
      <c r="F596" s="34"/>
      <c r="G596" s="34"/>
      <c r="H596" s="34"/>
      <c r="I596" s="34"/>
    </row>
    <row r="597">
      <c r="E597" s="34"/>
      <c r="F597" s="34"/>
      <c r="G597" s="34"/>
      <c r="H597" s="34"/>
      <c r="I597" s="34"/>
    </row>
    <row r="598">
      <c r="E598" s="34"/>
      <c r="F598" s="34"/>
      <c r="G598" s="34"/>
      <c r="H598" s="34"/>
      <c r="I598" s="34"/>
    </row>
    <row r="599">
      <c r="E599" s="34"/>
      <c r="F599" s="34"/>
      <c r="G599" s="34"/>
      <c r="H599" s="34"/>
      <c r="I599" s="34"/>
    </row>
    <row r="600">
      <c r="E600" s="34"/>
      <c r="F600" s="34"/>
      <c r="G600" s="34"/>
      <c r="H600" s="34"/>
      <c r="I600" s="34"/>
    </row>
    <row r="601">
      <c r="E601" s="34"/>
      <c r="F601" s="34"/>
      <c r="G601" s="34"/>
      <c r="H601" s="34"/>
      <c r="I601" s="34"/>
    </row>
    <row r="602">
      <c r="E602" s="34"/>
      <c r="F602" s="34"/>
      <c r="G602" s="34"/>
      <c r="H602" s="34"/>
      <c r="I602" s="34"/>
    </row>
    <row r="603">
      <c r="E603" s="34"/>
      <c r="F603" s="34"/>
      <c r="G603" s="34"/>
      <c r="H603" s="34"/>
      <c r="I603" s="34"/>
    </row>
    <row r="604">
      <c r="E604" s="34"/>
      <c r="F604" s="34"/>
      <c r="G604" s="34"/>
      <c r="H604" s="34"/>
      <c r="I604" s="34"/>
    </row>
    <row r="605">
      <c r="E605" s="34"/>
      <c r="F605" s="34"/>
      <c r="G605" s="34"/>
      <c r="H605" s="34"/>
      <c r="I605" s="34"/>
    </row>
    <row r="606">
      <c r="E606" s="34"/>
      <c r="F606" s="34"/>
      <c r="G606" s="34"/>
      <c r="H606" s="34"/>
      <c r="I606" s="34"/>
    </row>
    <row r="607">
      <c r="E607" s="34"/>
      <c r="F607" s="34"/>
      <c r="G607" s="34"/>
      <c r="H607" s="34"/>
      <c r="I607" s="34"/>
    </row>
    <row r="608">
      <c r="E608" s="34"/>
      <c r="F608" s="34"/>
      <c r="G608" s="34"/>
      <c r="H608" s="34"/>
      <c r="I608" s="34"/>
    </row>
    <row r="609">
      <c r="E609" s="34"/>
      <c r="F609" s="34"/>
      <c r="G609" s="34"/>
      <c r="H609" s="34"/>
      <c r="I609" s="34"/>
    </row>
    <row r="610">
      <c r="E610" s="34"/>
      <c r="F610" s="34"/>
      <c r="G610" s="34"/>
      <c r="H610" s="34"/>
      <c r="I610" s="34"/>
    </row>
    <row r="611">
      <c r="E611" s="34"/>
      <c r="F611" s="34"/>
      <c r="G611" s="34"/>
      <c r="H611" s="34"/>
      <c r="I611" s="34"/>
    </row>
    <row r="612">
      <c r="E612" s="34"/>
      <c r="F612" s="34"/>
      <c r="G612" s="34"/>
      <c r="H612" s="34"/>
      <c r="I612" s="34"/>
    </row>
    <row r="613">
      <c r="E613" s="34"/>
      <c r="F613" s="34"/>
      <c r="G613" s="34"/>
      <c r="H613" s="34"/>
      <c r="I613" s="34"/>
    </row>
    <row r="614">
      <c r="E614" s="34"/>
      <c r="F614" s="34"/>
      <c r="G614" s="34"/>
      <c r="H614" s="34"/>
      <c r="I614" s="34"/>
    </row>
    <row r="615">
      <c r="E615" s="34"/>
      <c r="F615" s="34"/>
      <c r="G615" s="34"/>
      <c r="H615" s="34"/>
      <c r="I615" s="34"/>
    </row>
    <row r="616">
      <c r="E616" s="34"/>
      <c r="F616" s="34"/>
      <c r="G616" s="34"/>
      <c r="H616" s="34"/>
      <c r="I616" s="34"/>
    </row>
    <row r="617">
      <c r="E617" s="34"/>
      <c r="F617" s="34"/>
      <c r="G617" s="34"/>
      <c r="H617" s="34"/>
      <c r="I617" s="34"/>
    </row>
    <row r="618">
      <c r="E618" s="34"/>
      <c r="F618" s="34"/>
      <c r="G618" s="34"/>
      <c r="H618" s="34"/>
      <c r="I618" s="34"/>
    </row>
    <row r="619">
      <c r="E619" s="34"/>
      <c r="F619" s="34"/>
      <c r="G619" s="34"/>
      <c r="H619" s="34"/>
      <c r="I619" s="34"/>
    </row>
    <row r="620">
      <c r="E620" s="34"/>
      <c r="F620" s="34"/>
      <c r="G620" s="34"/>
      <c r="H620" s="34"/>
      <c r="I620" s="34"/>
    </row>
    <row r="621">
      <c r="E621" s="34"/>
      <c r="F621" s="34"/>
      <c r="G621" s="34"/>
      <c r="H621" s="34"/>
      <c r="I621" s="34"/>
    </row>
    <row r="622">
      <c r="E622" s="34"/>
      <c r="F622" s="34"/>
      <c r="G622" s="34"/>
      <c r="H622" s="34"/>
      <c r="I622" s="34"/>
    </row>
    <row r="623">
      <c r="E623" s="34"/>
      <c r="F623" s="34"/>
      <c r="G623" s="34"/>
      <c r="H623" s="34"/>
      <c r="I623" s="34"/>
    </row>
    <row r="624">
      <c r="E624" s="34"/>
      <c r="F624" s="34"/>
      <c r="G624" s="34"/>
      <c r="H624" s="34"/>
      <c r="I624" s="34"/>
    </row>
    <row r="625">
      <c r="E625" s="34"/>
      <c r="F625" s="34"/>
      <c r="G625" s="34"/>
      <c r="H625" s="34"/>
      <c r="I625" s="34"/>
    </row>
    <row r="626">
      <c r="E626" s="34"/>
      <c r="F626" s="34"/>
      <c r="G626" s="34"/>
      <c r="H626" s="34"/>
      <c r="I626" s="34"/>
    </row>
    <row r="627">
      <c r="E627" s="34"/>
      <c r="F627" s="34"/>
      <c r="G627" s="34"/>
      <c r="H627" s="34"/>
      <c r="I627" s="34"/>
    </row>
    <row r="628">
      <c r="E628" s="34"/>
      <c r="F628" s="34"/>
      <c r="G628" s="34"/>
      <c r="H628" s="34"/>
      <c r="I628" s="34"/>
    </row>
    <row r="629">
      <c r="E629" s="34"/>
      <c r="F629" s="34"/>
      <c r="G629" s="34"/>
      <c r="H629" s="34"/>
      <c r="I629" s="34"/>
    </row>
    <row r="630">
      <c r="E630" s="34"/>
      <c r="F630" s="34"/>
      <c r="G630" s="34"/>
      <c r="H630" s="34"/>
      <c r="I630" s="34"/>
    </row>
    <row r="631">
      <c r="E631" s="34"/>
      <c r="F631" s="34"/>
      <c r="G631" s="34"/>
      <c r="H631" s="34"/>
      <c r="I631" s="34"/>
    </row>
    <row r="632">
      <c r="E632" s="34"/>
      <c r="F632" s="34"/>
      <c r="G632" s="34"/>
      <c r="H632" s="34"/>
      <c r="I632" s="34"/>
    </row>
    <row r="633">
      <c r="E633" s="34"/>
      <c r="F633" s="34"/>
      <c r="G633" s="34"/>
      <c r="H633" s="34"/>
      <c r="I633" s="34"/>
    </row>
    <row r="634">
      <c r="E634" s="34"/>
      <c r="F634" s="34"/>
      <c r="G634" s="34"/>
      <c r="H634" s="34"/>
      <c r="I634" s="34"/>
    </row>
    <row r="635">
      <c r="E635" s="34"/>
      <c r="F635" s="34"/>
      <c r="G635" s="34"/>
      <c r="H635" s="34"/>
      <c r="I635" s="34"/>
    </row>
    <row r="636">
      <c r="E636" s="34"/>
      <c r="F636" s="34"/>
      <c r="G636" s="34"/>
      <c r="H636" s="34"/>
      <c r="I636" s="34"/>
    </row>
    <row r="637">
      <c r="E637" s="34"/>
      <c r="F637" s="34"/>
      <c r="G637" s="34"/>
      <c r="H637" s="34"/>
      <c r="I637" s="34"/>
    </row>
    <row r="638">
      <c r="E638" s="34"/>
      <c r="F638" s="34"/>
      <c r="G638" s="34"/>
      <c r="H638" s="34"/>
      <c r="I638" s="34"/>
    </row>
    <row r="639">
      <c r="E639" s="34"/>
      <c r="F639" s="34"/>
      <c r="G639" s="34"/>
      <c r="H639" s="34"/>
      <c r="I639" s="34"/>
    </row>
    <row r="640">
      <c r="E640" s="34"/>
      <c r="F640" s="34"/>
      <c r="G640" s="34"/>
      <c r="H640" s="34"/>
      <c r="I640" s="34"/>
    </row>
    <row r="641">
      <c r="E641" s="34"/>
      <c r="F641" s="34"/>
      <c r="G641" s="34"/>
      <c r="H641" s="34"/>
      <c r="I641" s="34"/>
    </row>
    <row r="642">
      <c r="E642" s="34"/>
      <c r="F642" s="34"/>
      <c r="G642" s="34"/>
      <c r="H642" s="34"/>
      <c r="I642" s="34"/>
    </row>
    <row r="643">
      <c r="E643" s="34"/>
      <c r="F643" s="34"/>
      <c r="G643" s="34"/>
      <c r="H643" s="34"/>
      <c r="I643" s="34"/>
    </row>
    <row r="644">
      <c r="E644" s="34"/>
      <c r="F644" s="34"/>
      <c r="G644" s="34"/>
      <c r="H644" s="34"/>
      <c r="I644" s="34"/>
    </row>
    <row r="645">
      <c r="E645" s="34"/>
      <c r="F645" s="34"/>
      <c r="G645" s="34"/>
      <c r="H645" s="34"/>
      <c r="I645" s="34"/>
    </row>
    <row r="646">
      <c r="E646" s="34"/>
      <c r="F646" s="34"/>
      <c r="G646" s="34"/>
      <c r="H646" s="34"/>
      <c r="I646" s="34"/>
    </row>
    <row r="647">
      <c r="E647" s="34"/>
      <c r="F647" s="34"/>
      <c r="G647" s="34"/>
      <c r="H647" s="34"/>
      <c r="I647" s="34"/>
    </row>
    <row r="648">
      <c r="E648" s="34"/>
      <c r="F648" s="34"/>
      <c r="G648" s="34"/>
      <c r="H648" s="34"/>
      <c r="I648" s="34"/>
    </row>
    <row r="649">
      <c r="E649" s="34"/>
      <c r="F649" s="34"/>
      <c r="G649" s="34"/>
      <c r="H649" s="34"/>
      <c r="I649" s="34"/>
    </row>
    <row r="650">
      <c r="E650" s="34"/>
      <c r="F650" s="34"/>
      <c r="G650" s="34"/>
      <c r="H650" s="34"/>
      <c r="I650" s="34"/>
    </row>
    <row r="651">
      <c r="E651" s="34"/>
      <c r="F651" s="34"/>
      <c r="G651" s="34"/>
      <c r="H651" s="34"/>
      <c r="I651" s="34"/>
    </row>
    <row r="652">
      <c r="E652" s="34"/>
      <c r="F652" s="34"/>
      <c r="G652" s="34"/>
      <c r="H652" s="34"/>
      <c r="I652" s="34"/>
    </row>
    <row r="653">
      <c r="E653" s="34"/>
      <c r="F653" s="34"/>
      <c r="G653" s="34"/>
      <c r="H653" s="34"/>
      <c r="I653" s="34"/>
    </row>
    <row r="654">
      <c r="E654" s="34"/>
      <c r="F654" s="34"/>
      <c r="G654" s="34"/>
      <c r="H654" s="34"/>
      <c r="I654" s="34"/>
    </row>
    <row r="655">
      <c r="E655" s="34"/>
      <c r="F655" s="34"/>
      <c r="G655" s="34"/>
      <c r="H655" s="34"/>
      <c r="I655" s="34"/>
    </row>
    <row r="656">
      <c r="E656" s="34"/>
      <c r="F656" s="34"/>
      <c r="G656" s="34"/>
      <c r="H656" s="34"/>
      <c r="I656" s="34"/>
    </row>
    <row r="657">
      <c r="E657" s="34"/>
      <c r="F657" s="34"/>
      <c r="G657" s="34"/>
      <c r="H657" s="34"/>
      <c r="I657" s="34"/>
    </row>
    <row r="658">
      <c r="E658" s="34"/>
      <c r="F658" s="34"/>
      <c r="G658" s="34"/>
      <c r="H658" s="34"/>
      <c r="I658" s="34"/>
    </row>
    <row r="659">
      <c r="E659" s="34"/>
      <c r="F659" s="34"/>
      <c r="G659" s="34"/>
      <c r="H659" s="34"/>
      <c r="I659" s="34"/>
    </row>
    <row r="660">
      <c r="E660" s="34"/>
      <c r="F660" s="34"/>
      <c r="G660" s="34"/>
      <c r="H660" s="34"/>
      <c r="I660" s="34"/>
    </row>
    <row r="661">
      <c r="E661" s="34"/>
      <c r="F661" s="34"/>
      <c r="G661" s="34"/>
      <c r="H661" s="34"/>
      <c r="I661" s="34"/>
    </row>
    <row r="662">
      <c r="E662" s="34"/>
      <c r="F662" s="34"/>
      <c r="G662" s="34"/>
      <c r="H662" s="34"/>
      <c r="I662" s="34"/>
    </row>
    <row r="663">
      <c r="E663" s="34"/>
      <c r="F663" s="34"/>
      <c r="G663" s="34"/>
      <c r="H663" s="34"/>
      <c r="I663" s="34"/>
    </row>
    <row r="664">
      <c r="E664" s="34"/>
      <c r="F664" s="34"/>
      <c r="G664" s="34"/>
      <c r="H664" s="34"/>
      <c r="I664" s="34"/>
    </row>
    <row r="665">
      <c r="E665" s="34"/>
      <c r="F665" s="34"/>
      <c r="G665" s="34"/>
      <c r="H665" s="34"/>
      <c r="I665" s="34"/>
    </row>
    <row r="666">
      <c r="E666" s="34"/>
      <c r="F666" s="34"/>
      <c r="G666" s="34"/>
      <c r="H666" s="34"/>
      <c r="I666" s="34"/>
    </row>
    <row r="667">
      <c r="E667" s="34"/>
      <c r="F667" s="34"/>
      <c r="G667" s="34"/>
      <c r="H667" s="34"/>
      <c r="I667" s="34"/>
    </row>
    <row r="668">
      <c r="E668" s="34"/>
      <c r="F668" s="34"/>
      <c r="G668" s="34"/>
      <c r="H668" s="34"/>
      <c r="I668" s="34"/>
    </row>
    <row r="669">
      <c r="E669" s="34"/>
      <c r="F669" s="34"/>
      <c r="G669" s="34"/>
      <c r="H669" s="34"/>
      <c r="I669" s="34"/>
    </row>
    <row r="670">
      <c r="E670" s="34"/>
      <c r="F670" s="34"/>
      <c r="G670" s="34"/>
      <c r="H670" s="34"/>
      <c r="I670" s="34"/>
    </row>
    <row r="671">
      <c r="E671" s="34"/>
      <c r="F671" s="34"/>
      <c r="G671" s="34"/>
      <c r="H671" s="34"/>
      <c r="I671" s="34"/>
    </row>
    <row r="672">
      <c r="E672" s="34"/>
      <c r="F672" s="34"/>
      <c r="G672" s="34"/>
      <c r="H672" s="34"/>
      <c r="I672" s="34"/>
    </row>
    <row r="673">
      <c r="E673" s="34"/>
      <c r="F673" s="34"/>
      <c r="G673" s="34"/>
      <c r="H673" s="34"/>
      <c r="I673" s="34"/>
    </row>
    <row r="674">
      <c r="E674" s="34"/>
      <c r="F674" s="34"/>
      <c r="G674" s="34"/>
      <c r="H674" s="34"/>
      <c r="I674" s="34"/>
    </row>
    <row r="675">
      <c r="E675" s="34"/>
      <c r="F675" s="34"/>
      <c r="G675" s="34"/>
      <c r="H675" s="34"/>
      <c r="I675" s="34"/>
    </row>
    <row r="676">
      <c r="E676" s="34"/>
      <c r="F676" s="34"/>
      <c r="G676" s="34"/>
      <c r="H676" s="34"/>
      <c r="I676" s="34"/>
    </row>
    <row r="677">
      <c r="E677" s="34"/>
      <c r="F677" s="34"/>
      <c r="G677" s="34"/>
      <c r="H677" s="34"/>
      <c r="I677" s="34"/>
    </row>
    <row r="678">
      <c r="E678" s="34"/>
      <c r="F678" s="34"/>
      <c r="G678" s="34"/>
      <c r="H678" s="34"/>
      <c r="I678" s="34"/>
    </row>
    <row r="679">
      <c r="E679" s="34"/>
      <c r="F679" s="34"/>
      <c r="G679" s="34"/>
      <c r="H679" s="34"/>
      <c r="I679" s="34"/>
    </row>
    <row r="680">
      <c r="E680" s="34"/>
      <c r="F680" s="34"/>
      <c r="G680" s="34"/>
      <c r="H680" s="34"/>
      <c r="I680" s="34"/>
    </row>
    <row r="681">
      <c r="E681" s="34"/>
      <c r="F681" s="34"/>
      <c r="G681" s="34"/>
      <c r="H681" s="34"/>
      <c r="I681" s="34"/>
    </row>
    <row r="682">
      <c r="E682" s="34"/>
      <c r="F682" s="34"/>
      <c r="G682" s="34"/>
      <c r="H682" s="34"/>
      <c r="I682" s="34"/>
    </row>
    <row r="683">
      <c r="E683" s="34"/>
      <c r="F683" s="34"/>
      <c r="G683" s="34"/>
      <c r="H683" s="34"/>
      <c r="I683" s="34"/>
    </row>
    <row r="684">
      <c r="E684" s="34"/>
      <c r="F684" s="34"/>
      <c r="G684" s="34"/>
      <c r="H684" s="34"/>
      <c r="I684" s="34"/>
    </row>
    <row r="685">
      <c r="E685" s="34"/>
      <c r="F685" s="34"/>
      <c r="G685" s="34"/>
      <c r="H685" s="34"/>
      <c r="I685" s="34"/>
    </row>
    <row r="686">
      <c r="E686" s="34"/>
      <c r="F686" s="34"/>
      <c r="G686" s="34"/>
      <c r="H686" s="34"/>
      <c r="I686" s="34"/>
    </row>
    <row r="687">
      <c r="E687" s="34"/>
      <c r="F687" s="34"/>
      <c r="G687" s="34"/>
      <c r="H687" s="34"/>
      <c r="I687" s="34"/>
    </row>
    <row r="688">
      <c r="E688" s="34"/>
      <c r="F688" s="34"/>
      <c r="G688" s="34"/>
      <c r="H688" s="34"/>
      <c r="I688" s="34"/>
    </row>
    <row r="689">
      <c r="E689" s="34"/>
      <c r="F689" s="34"/>
      <c r="G689" s="34"/>
      <c r="H689" s="34"/>
      <c r="I689" s="34"/>
    </row>
    <row r="690">
      <c r="E690" s="34"/>
      <c r="F690" s="34"/>
      <c r="G690" s="34"/>
      <c r="H690" s="34"/>
      <c r="I690" s="34"/>
    </row>
    <row r="691">
      <c r="E691" s="34"/>
      <c r="F691" s="34"/>
      <c r="G691" s="34"/>
      <c r="H691" s="34"/>
      <c r="I691" s="34"/>
    </row>
    <row r="692">
      <c r="E692" s="34"/>
      <c r="F692" s="34"/>
      <c r="G692" s="34"/>
      <c r="H692" s="34"/>
      <c r="I692" s="34"/>
    </row>
    <row r="693">
      <c r="E693" s="34"/>
      <c r="F693" s="34"/>
      <c r="G693" s="34"/>
      <c r="H693" s="34"/>
      <c r="I693" s="34"/>
    </row>
    <row r="694">
      <c r="E694" s="34"/>
      <c r="F694" s="34"/>
      <c r="G694" s="34"/>
      <c r="H694" s="34"/>
      <c r="I694" s="34"/>
    </row>
    <row r="695">
      <c r="E695" s="34"/>
      <c r="F695" s="34"/>
      <c r="G695" s="34"/>
      <c r="H695" s="34"/>
      <c r="I695" s="34"/>
    </row>
    <row r="696">
      <c r="E696" s="34"/>
      <c r="F696" s="34"/>
      <c r="G696" s="34"/>
      <c r="H696" s="34"/>
      <c r="I696" s="34"/>
    </row>
    <row r="697">
      <c r="E697" s="34"/>
      <c r="F697" s="34"/>
      <c r="G697" s="34"/>
      <c r="H697" s="34"/>
      <c r="I697" s="34"/>
    </row>
    <row r="698">
      <c r="E698" s="34"/>
      <c r="F698" s="34"/>
      <c r="G698" s="34"/>
      <c r="H698" s="34"/>
      <c r="I698" s="34"/>
    </row>
    <row r="699">
      <c r="E699" s="34"/>
      <c r="F699" s="34"/>
      <c r="G699" s="34"/>
      <c r="H699" s="34"/>
      <c r="I699" s="34"/>
    </row>
    <row r="700">
      <c r="E700" s="34"/>
      <c r="F700" s="34"/>
      <c r="G700" s="34"/>
      <c r="H700" s="34"/>
      <c r="I700" s="34"/>
    </row>
    <row r="701">
      <c r="E701" s="34"/>
      <c r="F701" s="34"/>
      <c r="G701" s="34"/>
      <c r="H701" s="34"/>
      <c r="I701" s="34"/>
    </row>
    <row r="702">
      <c r="E702" s="34"/>
      <c r="F702" s="34"/>
      <c r="G702" s="34"/>
      <c r="H702" s="34"/>
      <c r="I702" s="34"/>
    </row>
    <row r="703">
      <c r="E703" s="34"/>
      <c r="F703" s="34"/>
      <c r="G703" s="34"/>
      <c r="H703" s="34"/>
      <c r="I703" s="34"/>
    </row>
    <row r="704">
      <c r="E704" s="34"/>
      <c r="F704" s="34"/>
      <c r="G704" s="34"/>
      <c r="H704" s="34"/>
      <c r="I704" s="34"/>
    </row>
    <row r="705">
      <c r="E705" s="34"/>
      <c r="F705" s="34"/>
      <c r="G705" s="34"/>
      <c r="H705" s="34"/>
      <c r="I705" s="34"/>
    </row>
    <row r="706">
      <c r="E706" s="34"/>
      <c r="F706" s="34"/>
      <c r="G706" s="34"/>
      <c r="H706" s="34"/>
      <c r="I706" s="34"/>
    </row>
    <row r="707">
      <c r="E707" s="34"/>
      <c r="F707" s="34"/>
      <c r="G707" s="34"/>
      <c r="H707" s="34"/>
      <c r="I707" s="34"/>
    </row>
    <row r="708">
      <c r="E708" s="34"/>
      <c r="F708" s="34"/>
      <c r="G708" s="34"/>
      <c r="H708" s="34"/>
      <c r="I708" s="34"/>
    </row>
    <row r="709">
      <c r="E709" s="34"/>
      <c r="F709" s="34"/>
      <c r="G709" s="34"/>
      <c r="H709" s="34"/>
      <c r="I709" s="34"/>
    </row>
    <row r="710">
      <c r="E710" s="34"/>
      <c r="F710" s="34"/>
      <c r="G710" s="34"/>
      <c r="H710" s="34"/>
      <c r="I710" s="34"/>
    </row>
    <row r="711">
      <c r="E711" s="34"/>
      <c r="F711" s="34"/>
      <c r="G711" s="34"/>
      <c r="H711" s="34"/>
      <c r="I711" s="34"/>
    </row>
    <row r="712">
      <c r="E712" s="34"/>
      <c r="F712" s="34"/>
      <c r="G712" s="34"/>
      <c r="H712" s="34"/>
      <c r="I712" s="34"/>
    </row>
    <row r="713">
      <c r="E713" s="34"/>
      <c r="F713" s="34"/>
      <c r="G713" s="34"/>
      <c r="H713" s="34"/>
      <c r="I713" s="34"/>
    </row>
    <row r="714">
      <c r="E714" s="34"/>
      <c r="F714" s="34"/>
      <c r="G714" s="34"/>
      <c r="H714" s="34"/>
      <c r="I714" s="34"/>
    </row>
    <row r="715">
      <c r="E715" s="34"/>
      <c r="F715" s="34"/>
      <c r="G715" s="34"/>
      <c r="H715" s="34"/>
      <c r="I715" s="34"/>
    </row>
    <row r="716">
      <c r="E716" s="34"/>
      <c r="F716" s="34"/>
      <c r="G716" s="34"/>
      <c r="H716" s="34"/>
      <c r="I716" s="34"/>
    </row>
    <row r="717">
      <c r="E717" s="34"/>
      <c r="F717" s="34"/>
      <c r="G717" s="34"/>
      <c r="H717" s="34"/>
      <c r="I717" s="34"/>
    </row>
    <row r="718">
      <c r="E718" s="34"/>
      <c r="F718" s="34"/>
      <c r="G718" s="34"/>
      <c r="H718" s="34"/>
      <c r="I718" s="34"/>
    </row>
    <row r="719">
      <c r="E719" s="34"/>
      <c r="F719" s="34"/>
      <c r="G719" s="34"/>
      <c r="H719" s="34"/>
      <c r="I719" s="34"/>
    </row>
    <row r="720">
      <c r="E720" s="34"/>
      <c r="F720" s="34"/>
      <c r="G720" s="34"/>
      <c r="H720" s="34"/>
      <c r="I720" s="34"/>
    </row>
    <row r="721">
      <c r="E721" s="34"/>
      <c r="F721" s="34"/>
      <c r="G721" s="34"/>
      <c r="H721" s="34"/>
      <c r="I721" s="34"/>
    </row>
    <row r="722">
      <c r="E722" s="34"/>
      <c r="F722" s="34"/>
      <c r="G722" s="34"/>
      <c r="H722" s="34"/>
      <c r="I722" s="34"/>
    </row>
    <row r="723">
      <c r="E723" s="34"/>
      <c r="F723" s="34"/>
      <c r="G723" s="34"/>
      <c r="H723" s="34"/>
      <c r="I723" s="34"/>
    </row>
    <row r="724">
      <c r="E724" s="34"/>
      <c r="F724" s="34"/>
      <c r="G724" s="34"/>
      <c r="H724" s="34"/>
      <c r="I724" s="34"/>
    </row>
    <row r="725">
      <c r="E725" s="34"/>
      <c r="F725" s="34"/>
      <c r="G725" s="34"/>
      <c r="H725" s="34"/>
      <c r="I725" s="34"/>
    </row>
    <row r="726">
      <c r="E726" s="34"/>
      <c r="F726" s="34"/>
      <c r="G726" s="34"/>
      <c r="H726" s="34"/>
      <c r="I726" s="34"/>
    </row>
    <row r="727">
      <c r="E727" s="34"/>
      <c r="F727" s="34"/>
      <c r="G727" s="34"/>
      <c r="H727" s="34"/>
      <c r="I727" s="34"/>
    </row>
    <row r="728">
      <c r="E728" s="34"/>
      <c r="F728" s="34"/>
      <c r="G728" s="34"/>
      <c r="H728" s="34"/>
      <c r="I728" s="34"/>
    </row>
    <row r="729">
      <c r="E729" s="34"/>
      <c r="F729" s="34"/>
      <c r="G729" s="34"/>
      <c r="H729" s="34"/>
      <c r="I729" s="34"/>
    </row>
    <row r="730">
      <c r="E730" s="34"/>
      <c r="F730" s="34"/>
      <c r="G730" s="34"/>
      <c r="H730" s="34"/>
      <c r="I730" s="34"/>
    </row>
    <row r="731">
      <c r="E731" s="34"/>
      <c r="F731" s="34"/>
      <c r="G731" s="34"/>
      <c r="H731" s="34"/>
      <c r="I731" s="34"/>
    </row>
    <row r="732">
      <c r="E732" s="34"/>
      <c r="F732" s="34"/>
      <c r="G732" s="34"/>
      <c r="H732" s="34"/>
      <c r="I732" s="34"/>
    </row>
    <row r="733">
      <c r="E733" s="34"/>
      <c r="F733" s="34"/>
      <c r="G733" s="34"/>
      <c r="H733" s="34"/>
      <c r="I733" s="34"/>
    </row>
    <row r="734">
      <c r="E734" s="34"/>
      <c r="F734" s="34"/>
      <c r="G734" s="34"/>
      <c r="H734" s="34"/>
      <c r="I734" s="34"/>
    </row>
    <row r="735">
      <c r="E735" s="34"/>
      <c r="F735" s="34"/>
      <c r="G735" s="34"/>
      <c r="H735" s="34"/>
      <c r="I735" s="34"/>
    </row>
    <row r="736">
      <c r="E736" s="34"/>
      <c r="F736" s="34"/>
      <c r="G736" s="34"/>
      <c r="H736" s="34"/>
      <c r="I736" s="34"/>
    </row>
    <row r="737">
      <c r="E737" s="34"/>
      <c r="F737" s="34"/>
      <c r="G737" s="34"/>
      <c r="H737" s="34"/>
      <c r="I737" s="34"/>
    </row>
    <row r="738">
      <c r="E738" s="34"/>
      <c r="F738" s="34"/>
      <c r="G738" s="34"/>
      <c r="H738" s="34"/>
      <c r="I738" s="34"/>
    </row>
    <row r="739">
      <c r="E739" s="34"/>
      <c r="F739" s="34"/>
      <c r="G739" s="34"/>
      <c r="H739" s="34"/>
      <c r="I739" s="34"/>
    </row>
    <row r="740">
      <c r="E740" s="34"/>
      <c r="F740" s="34"/>
      <c r="G740" s="34"/>
      <c r="H740" s="34"/>
      <c r="I740" s="34"/>
    </row>
    <row r="741">
      <c r="E741" s="34"/>
      <c r="F741" s="34"/>
      <c r="G741" s="34"/>
      <c r="H741" s="34"/>
      <c r="I741" s="34"/>
    </row>
    <row r="742">
      <c r="E742" s="34"/>
      <c r="F742" s="34"/>
      <c r="G742" s="34"/>
      <c r="H742" s="34"/>
      <c r="I742" s="34"/>
    </row>
    <row r="743">
      <c r="E743" s="34"/>
      <c r="F743" s="34"/>
      <c r="G743" s="34"/>
      <c r="H743" s="34"/>
      <c r="I743" s="34"/>
    </row>
    <row r="744">
      <c r="E744" s="34"/>
      <c r="F744" s="34"/>
      <c r="G744" s="34"/>
      <c r="H744" s="34"/>
      <c r="I744" s="34"/>
    </row>
    <row r="745">
      <c r="E745" s="34"/>
      <c r="F745" s="34"/>
      <c r="G745" s="34"/>
      <c r="H745" s="34"/>
      <c r="I745" s="34"/>
    </row>
    <row r="746">
      <c r="E746" s="34"/>
      <c r="F746" s="34"/>
      <c r="G746" s="34"/>
      <c r="H746" s="34"/>
      <c r="I746" s="34"/>
    </row>
    <row r="747">
      <c r="E747" s="34"/>
      <c r="F747" s="34"/>
      <c r="G747" s="34"/>
      <c r="H747" s="34"/>
      <c r="I747" s="34"/>
    </row>
    <row r="748">
      <c r="E748" s="34"/>
      <c r="F748" s="34"/>
      <c r="G748" s="34"/>
      <c r="H748" s="34"/>
      <c r="I748" s="34"/>
    </row>
    <row r="749">
      <c r="E749" s="34"/>
      <c r="F749" s="34"/>
      <c r="G749" s="34"/>
      <c r="H749" s="34"/>
      <c r="I749" s="34"/>
    </row>
    <row r="750">
      <c r="E750" s="34"/>
      <c r="F750" s="34"/>
      <c r="G750" s="34"/>
      <c r="H750" s="34"/>
      <c r="I750" s="34"/>
    </row>
    <row r="751">
      <c r="E751" s="34"/>
      <c r="F751" s="34"/>
      <c r="G751" s="34"/>
      <c r="H751" s="34"/>
      <c r="I751" s="34"/>
    </row>
    <row r="752">
      <c r="E752" s="34"/>
      <c r="F752" s="34"/>
      <c r="G752" s="34"/>
      <c r="H752" s="34"/>
      <c r="I752" s="34"/>
    </row>
    <row r="753">
      <c r="E753" s="34"/>
      <c r="F753" s="34"/>
      <c r="G753" s="34"/>
      <c r="H753" s="34"/>
      <c r="I753" s="34"/>
    </row>
    <row r="754">
      <c r="E754" s="34"/>
      <c r="F754" s="34"/>
      <c r="G754" s="34"/>
      <c r="H754" s="34"/>
      <c r="I754" s="34"/>
    </row>
    <row r="755">
      <c r="E755" s="34"/>
      <c r="F755" s="34"/>
      <c r="G755" s="34"/>
      <c r="H755" s="34"/>
      <c r="I755" s="34"/>
    </row>
    <row r="756">
      <c r="E756" s="34"/>
      <c r="F756" s="34"/>
      <c r="G756" s="34"/>
      <c r="H756" s="34"/>
      <c r="I756" s="34"/>
    </row>
    <row r="757">
      <c r="E757" s="34"/>
      <c r="F757" s="34"/>
      <c r="G757" s="34"/>
      <c r="H757" s="34"/>
      <c r="I757" s="34"/>
    </row>
    <row r="758">
      <c r="E758" s="34"/>
      <c r="F758" s="34"/>
      <c r="G758" s="34"/>
      <c r="H758" s="34"/>
      <c r="I758" s="34"/>
    </row>
    <row r="759">
      <c r="E759" s="34"/>
      <c r="F759" s="34"/>
      <c r="G759" s="34"/>
      <c r="H759" s="34"/>
      <c r="I759" s="34"/>
    </row>
    <row r="760">
      <c r="E760" s="34"/>
      <c r="F760" s="34"/>
      <c r="G760" s="34"/>
      <c r="H760" s="34"/>
      <c r="I760" s="34"/>
    </row>
    <row r="761">
      <c r="E761" s="34"/>
      <c r="F761" s="34"/>
      <c r="G761" s="34"/>
      <c r="H761" s="34"/>
      <c r="I761" s="34"/>
    </row>
    <row r="762">
      <c r="E762" s="34"/>
      <c r="F762" s="34"/>
      <c r="G762" s="34"/>
      <c r="H762" s="34"/>
      <c r="I762" s="34"/>
    </row>
    <row r="763">
      <c r="E763" s="34"/>
      <c r="F763" s="34"/>
      <c r="G763" s="34"/>
      <c r="H763" s="34"/>
      <c r="I763" s="34"/>
    </row>
    <row r="764">
      <c r="E764" s="34"/>
      <c r="F764" s="34"/>
      <c r="G764" s="34"/>
      <c r="H764" s="34"/>
      <c r="I764" s="34"/>
    </row>
    <row r="765">
      <c r="E765" s="34"/>
      <c r="F765" s="34"/>
      <c r="G765" s="34"/>
      <c r="H765" s="34"/>
      <c r="I765" s="34"/>
    </row>
    <row r="766">
      <c r="E766" s="34"/>
      <c r="F766" s="34"/>
      <c r="G766" s="34"/>
      <c r="H766" s="34"/>
      <c r="I766" s="34"/>
    </row>
    <row r="767">
      <c r="E767" s="34"/>
      <c r="F767" s="34"/>
      <c r="G767" s="34"/>
      <c r="H767" s="34"/>
      <c r="I767" s="34"/>
    </row>
    <row r="768">
      <c r="E768" s="34"/>
      <c r="F768" s="34"/>
      <c r="G768" s="34"/>
      <c r="H768" s="34"/>
      <c r="I768" s="34"/>
    </row>
    <row r="769">
      <c r="E769" s="34"/>
      <c r="F769" s="34"/>
      <c r="G769" s="34"/>
      <c r="H769" s="34"/>
      <c r="I769" s="34"/>
    </row>
    <row r="770">
      <c r="E770" s="34"/>
      <c r="F770" s="34"/>
      <c r="G770" s="34"/>
      <c r="H770" s="34"/>
      <c r="I770" s="34"/>
    </row>
    <row r="771">
      <c r="E771" s="34"/>
      <c r="F771" s="34"/>
      <c r="G771" s="34"/>
      <c r="H771" s="34"/>
      <c r="I771" s="34"/>
    </row>
    <row r="772">
      <c r="E772" s="34"/>
      <c r="F772" s="34"/>
      <c r="G772" s="34"/>
      <c r="H772" s="34"/>
      <c r="I772" s="34"/>
    </row>
    <row r="773">
      <c r="E773" s="34"/>
      <c r="F773" s="34"/>
      <c r="G773" s="34"/>
      <c r="H773" s="34"/>
      <c r="I773" s="34"/>
    </row>
    <row r="774">
      <c r="E774" s="34"/>
      <c r="F774" s="34"/>
      <c r="G774" s="34"/>
      <c r="H774" s="34"/>
      <c r="I774" s="34"/>
    </row>
    <row r="775">
      <c r="E775" s="34"/>
      <c r="F775" s="34"/>
      <c r="G775" s="34"/>
      <c r="H775" s="34"/>
      <c r="I775" s="34"/>
    </row>
    <row r="776">
      <c r="E776" s="34"/>
      <c r="F776" s="34"/>
      <c r="G776" s="34"/>
      <c r="H776" s="34"/>
      <c r="I776" s="34"/>
    </row>
    <row r="777">
      <c r="E777" s="34"/>
      <c r="F777" s="34"/>
      <c r="G777" s="34"/>
      <c r="H777" s="34"/>
      <c r="I777" s="34"/>
    </row>
    <row r="778">
      <c r="E778" s="34"/>
      <c r="F778" s="34"/>
      <c r="G778" s="34"/>
      <c r="H778" s="34"/>
      <c r="I778" s="34"/>
    </row>
    <row r="779">
      <c r="E779" s="34"/>
      <c r="F779" s="34"/>
      <c r="G779" s="34"/>
      <c r="H779" s="34"/>
      <c r="I779" s="34"/>
    </row>
    <row r="780">
      <c r="E780" s="34"/>
      <c r="F780" s="34"/>
      <c r="G780" s="34"/>
      <c r="H780" s="34"/>
      <c r="I780" s="34"/>
    </row>
    <row r="781">
      <c r="E781" s="34"/>
      <c r="F781" s="34"/>
      <c r="G781" s="34"/>
      <c r="H781" s="34"/>
      <c r="I781" s="34"/>
    </row>
    <row r="782">
      <c r="E782" s="34"/>
      <c r="F782" s="34"/>
      <c r="G782" s="34"/>
      <c r="H782" s="34"/>
      <c r="I782" s="34"/>
    </row>
    <row r="783">
      <c r="E783" s="34"/>
      <c r="F783" s="34"/>
      <c r="G783" s="34"/>
      <c r="H783" s="34"/>
      <c r="I783" s="34"/>
    </row>
    <row r="784">
      <c r="E784" s="34"/>
      <c r="F784" s="34"/>
      <c r="G784" s="34"/>
      <c r="H784" s="34"/>
      <c r="I784" s="34"/>
    </row>
    <row r="785">
      <c r="E785" s="34"/>
      <c r="F785" s="34"/>
      <c r="G785" s="34"/>
      <c r="H785" s="34"/>
      <c r="I785" s="34"/>
    </row>
    <row r="786">
      <c r="E786" s="34"/>
      <c r="F786" s="34"/>
      <c r="G786" s="34"/>
      <c r="H786" s="34"/>
      <c r="I786" s="34"/>
    </row>
    <row r="787">
      <c r="E787" s="34"/>
      <c r="F787" s="34"/>
      <c r="G787" s="34"/>
      <c r="H787" s="34"/>
      <c r="I787" s="34"/>
    </row>
    <row r="788">
      <c r="E788" s="34"/>
      <c r="F788" s="34"/>
      <c r="G788" s="34"/>
      <c r="H788" s="34"/>
      <c r="I788" s="34"/>
    </row>
    <row r="789">
      <c r="E789" s="34"/>
      <c r="F789" s="34"/>
      <c r="G789" s="34"/>
      <c r="H789" s="34"/>
      <c r="I789" s="34"/>
    </row>
    <row r="790">
      <c r="E790" s="34"/>
      <c r="F790" s="34"/>
      <c r="G790" s="34"/>
      <c r="H790" s="34"/>
      <c r="I790" s="34"/>
    </row>
    <row r="791">
      <c r="E791" s="34"/>
      <c r="F791" s="34"/>
      <c r="G791" s="34"/>
      <c r="H791" s="34"/>
      <c r="I791" s="34"/>
    </row>
    <row r="792">
      <c r="E792" s="34"/>
      <c r="F792" s="34"/>
      <c r="G792" s="34"/>
      <c r="H792" s="34"/>
      <c r="I792" s="34"/>
    </row>
    <row r="793">
      <c r="E793" s="34"/>
      <c r="F793" s="34"/>
      <c r="G793" s="34"/>
      <c r="H793" s="34"/>
      <c r="I793" s="34"/>
    </row>
    <row r="794">
      <c r="E794" s="34"/>
      <c r="F794" s="34"/>
      <c r="G794" s="34"/>
      <c r="H794" s="34"/>
      <c r="I794" s="34"/>
    </row>
    <row r="795">
      <c r="E795" s="34"/>
      <c r="F795" s="34"/>
      <c r="G795" s="34"/>
      <c r="H795" s="34"/>
      <c r="I795" s="34"/>
    </row>
    <row r="796">
      <c r="E796" s="34"/>
      <c r="F796" s="34"/>
      <c r="G796" s="34"/>
      <c r="H796" s="34"/>
      <c r="I796" s="34"/>
    </row>
    <row r="797">
      <c r="E797" s="34"/>
      <c r="F797" s="34"/>
      <c r="G797" s="34"/>
      <c r="H797" s="34"/>
      <c r="I797" s="34"/>
    </row>
    <row r="798">
      <c r="E798" s="34"/>
      <c r="F798" s="34"/>
      <c r="G798" s="34"/>
      <c r="H798" s="34"/>
      <c r="I798" s="34"/>
    </row>
    <row r="799">
      <c r="E799" s="34"/>
      <c r="F799" s="34"/>
      <c r="G799" s="34"/>
      <c r="H799" s="34"/>
      <c r="I799" s="34"/>
    </row>
    <row r="800">
      <c r="E800" s="34"/>
      <c r="F800" s="34"/>
      <c r="G800" s="34"/>
      <c r="H800" s="34"/>
      <c r="I800" s="34"/>
    </row>
    <row r="801">
      <c r="E801" s="34"/>
      <c r="F801" s="34"/>
      <c r="G801" s="34"/>
      <c r="H801" s="34"/>
      <c r="I801" s="34"/>
    </row>
    <row r="802">
      <c r="E802" s="34"/>
      <c r="F802" s="34"/>
      <c r="G802" s="34"/>
      <c r="H802" s="34"/>
      <c r="I802" s="34"/>
    </row>
    <row r="803">
      <c r="E803" s="34"/>
      <c r="F803" s="34"/>
      <c r="G803" s="34"/>
      <c r="H803" s="34"/>
      <c r="I803" s="34"/>
    </row>
    <row r="804">
      <c r="E804" s="34"/>
      <c r="F804" s="34"/>
      <c r="G804" s="34"/>
      <c r="H804" s="34"/>
      <c r="I804" s="34"/>
    </row>
    <row r="805">
      <c r="E805" s="34"/>
      <c r="F805" s="34"/>
      <c r="G805" s="34"/>
      <c r="H805" s="34"/>
      <c r="I805" s="34"/>
    </row>
    <row r="806">
      <c r="E806" s="34"/>
      <c r="F806" s="34"/>
      <c r="G806" s="34"/>
      <c r="H806" s="34"/>
      <c r="I806" s="34"/>
    </row>
    <row r="807">
      <c r="E807" s="34"/>
      <c r="F807" s="34"/>
      <c r="G807" s="34"/>
      <c r="H807" s="34"/>
      <c r="I807" s="34"/>
    </row>
    <row r="808">
      <c r="E808" s="34"/>
      <c r="F808" s="34"/>
      <c r="G808" s="34"/>
      <c r="H808" s="34"/>
      <c r="I808" s="34"/>
    </row>
    <row r="809">
      <c r="E809" s="34"/>
      <c r="F809" s="34"/>
      <c r="G809" s="34"/>
      <c r="H809" s="34"/>
      <c r="I809" s="34"/>
    </row>
    <row r="810">
      <c r="E810" s="34"/>
      <c r="F810" s="34"/>
      <c r="G810" s="34"/>
      <c r="H810" s="34"/>
      <c r="I810" s="34"/>
    </row>
    <row r="811">
      <c r="E811" s="34"/>
      <c r="F811" s="34"/>
      <c r="G811" s="34"/>
      <c r="H811" s="34"/>
      <c r="I811" s="34"/>
    </row>
    <row r="812">
      <c r="E812" s="34"/>
      <c r="F812" s="34"/>
      <c r="G812" s="34"/>
      <c r="H812" s="34"/>
      <c r="I812" s="34"/>
    </row>
    <row r="813">
      <c r="E813" s="34"/>
      <c r="F813" s="34"/>
      <c r="G813" s="34"/>
      <c r="H813" s="34"/>
      <c r="I813" s="34"/>
    </row>
    <row r="814">
      <c r="E814" s="34"/>
      <c r="F814" s="34"/>
      <c r="G814" s="34"/>
      <c r="H814" s="34"/>
      <c r="I814" s="34"/>
    </row>
    <row r="815">
      <c r="E815" s="34"/>
      <c r="F815" s="34"/>
      <c r="G815" s="34"/>
      <c r="H815" s="34"/>
      <c r="I815" s="34"/>
    </row>
    <row r="816">
      <c r="E816" s="34"/>
      <c r="F816" s="34"/>
      <c r="G816" s="34"/>
      <c r="H816" s="34"/>
      <c r="I816" s="34"/>
    </row>
    <row r="817">
      <c r="E817" s="34"/>
      <c r="F817" s="34"/>
      <c r="G817" s="34"/>
      <c r="H817" s="34"/>
      <c r="I817" s="34"/>
    </row>
    <row r="818">
      <c r="E818" s="34"/>
      <c r="F818" s="34"/>
      <c r="G818" s="34"/>
      <c r="H818" s="34"/>
      <c r="I818" s="34"/>
    </row>
    <row r="819">
      <c r="E819" s="34"/>
      <c r="F819" s="34"/>
      <c r="G819" s="34"/>
      <c r="H819" s="34"/>
      <c r="I819" s="34"/>
    </row>
    <row r="820">
      <c r="E820" s="34"/>
      <c r="F820" s="34"/>
      <c r="G820" s="34"/>
      <c r="H820" s="34"/>
      <c r="I820" s="34"/>
    </row>
    <row r="821">
      <c r="E821" s="34"/>
      <c r="F821" s="34"/>
      <c r="G821" s="34"/>
      <c r="H821" s="34"/>
      <c r="I821" s="34"/>
    </row>
    <row r="822">
      <c r="E822" s="34"/>
      <c r="F822" s="34"/>
      <c r="G822" s="34"/>
      <c r="H822" s="34"/>
      <c r="I822" s="34"/>
    </row>
    <row r="823">
      <c r="E823" s="34"/>
      <c r="F823" s="34"/>
      <c r="G823" s="34"/>
      <c r="H823" s="34"/>
      <c r="I823" s="34"/>
    </row>
    <row r="824">
      <c r="E824" s="34"/>
      <c r="F824" s="34"/>
      <c r="G824" s="34"/>
      <c r="H824" s="34"/>
      <c r="I824" s="34"/>
    </row>
    <row r="825">
      <c r="E825" s="34"/>
      <c r="F825" s="34"/>
      <c r="G825" s="34"/>
      <c r="H825" s="34"/>
      <c r="I825" s="34"/>
    </row>
    <row r="826">
      <c r="E826" s="34"/>
      <c r="F826" s="34"/>
      <c r="G826" s="34"/>
      <c r="H826" s="34"/>
      <c r="I826" s="34"/>
    </row>
    <row r="827">
      <c r="E827" s="34"/>
      <c r="F827" s="34"/>
      <c r="G827" s="34"/>
      <c r="H827" s="34"/>
      <c r="I827" s="34"/>
    </row>
    <row r="828">
      <c r="E828" s="34"/>
      <c r="F828" s="34"/>
      <c r="G828" s="34"/>
      <c r="H828" s="34"/>
      <c r="I828" s="34"/>
    </row>
    <row r="829">
      <c r="E829" s="34"/>
      <c r="F829" s="34"/>
      <c r="G829" s="34"/>
      <c r="H829" s="34"/>
      <c r="I829" s="34"/>
    </row>
    <row r="830">
      <c r="E830" s="34"/>
      <c r="F830" s="34"/>
      <c r="G830" s="34"/>
      <c r="H830" s="34"/>
      <c r="I830" s="34"/>
    </row>
    <row r="831">
      <c r="E831" s="34"/>
      <c r="F831" s="34"/>
      <c r="G831" s="34"/>
      <c r="H831" s="34"/>
      <c r="I831" s="34"/>
    </row>
    <row r="832">
      <c r="E832" s="34"/>
      <c r="F832" s="34"/>
      <c r="G832" s="34"/>
      <c r="H832" s="34"/>
      <c r="I832" s="34"/>
    </row>
    <row r="833">
      <c r="E833" s="34"/>
      <c r="F833" s="34"/>
      <c r="G833" s="34"/>
      <c r="H833" s="34"/>
      <c r="I833" s="34"/>
    </row>
    <row r="834">
      <c r="E834" s="34"/>
      <c r="F834" s="34"/>
      <c r="G834" s="34"/>
      <c r="H834" s="34"/>
      <c r="I834" s="34"/>
    </row>
    <row r="835">
      <c r="E835" s="34"/>
      <c r="F835" s="34"/>
      <c r="G835" s="34"/>
      <c r="H835" s="34"/>
      <c r="I835" s="34"/>
    </row>
    <row r="836">
      <c r="E836" s="34"/>
      <c r="F836" s="34"/>
      <c r="G836" s="34"/>
      <c r="H836" s="34"/>
      <c r="I836" s="34"/>
    </row>
    <row r="837">
      <c r="E837" s="34"/>
      <c r="F837" s="34"/>
      <c r="G837" s="34"/>
      <c r="H837" s="34"/>
      <c r="I837" s="34"/>
    </row>
    <row r="838">
      <c r="E838" s="34"/>
      <c r="F838" s="34"/>
      <c r="G838" s="34"/>
      <c r="H838" s="34"/>
      <c r="I838" s="34"/>
    </row>
    <row r="839">
      <c r="E839" s="34"/>
      <c r="F839" s="34"/>
      <c r="G839" s="34"/>
      <c r="H839" s="34"/>
      <c r="I839" s="34"/>
    </row>
    <row r="840">
      <c r="E840" s="34"/>
      <c r="F840" s="34"/>
      <c r="G840" s="34"/>
      <c r="H840" s="34"/>
      <c r="I840" s="34"/>
    </row>
    <row r="841">
      <c r="E841" s="34"/>
      <c r="F841" s="34"/>
      <c r="G841" s="34"/>
      <c r="H841" s="34"/>
      <c r="I841" s="34"/>
    </row>
    <row r="842">
      <c r="E842" s="34"/>
      <c r="F842" s="34"/>
      <c r="G842" s="34"/>
      <c r="H842" s="34"/>
      <c r="I842" s="34"/>
    </row>
    <row r="843">
      <c r="E843" s="34"/>
      <c r="F843" s="34"/>
      <c r="G843" s="34"/>
      <c r="H843" s="34"/>
      <c r="I843" s="34"/>
    </row>
    <row r="844">
      <c r="E844" s="34"/>
      <c r="F844" s="34"/>
      <c r="G844" s="34"/>
      <c r="H844" s="34"/>
      <c r="I844" s="34"/>
    </row>
    <row r="845">
      <c r="E845" s="34"/>
      <c r="F845" s="34"/>
      <c r="G845" s="34"/>
      <c r="H845" s="34"/>
      <c r="I845" s="34"/>
    </row>
    <row r="846">
      <c r="E846" s="34"/>
      <c r="F846" s="34"/>
      <c r="G846" s="34"/>
      <c r="H846" s="34"/>
      <c r="I846" s="34"/>
    </row>
    <row r="847">
      <c r="E847" s="34"/>
      <c r="F847" s="34"/>
      <c r="G847" s="34"/>
      <c r="H847" s="34"/>
      <c r="I847" s="34"/>
    </row>
    <row r="848">
      <c r="E848" s="34"/>
      <c r="F848" s="34"/>
      <c r="G848" s="34"/>
      <c r="H848" s="34"/>
      <c r="I848" s="34"/>
    </row>
    <row r="849">
      <c r="E849" s="34"/>
      <c r="F849" s="34"/>
      <c r="G849" s="34"/>
      <c r="H849" s="34"/>
      <c r="I849" s="34"/>
    </row>
    <row r="850">
      <c r="E850" s="34"/>
      <c r="F850" s="34"/>
      <c r="G850" s="34"/>
      <c r="H850" s="34"/>
      <c r="I850" s="34"/>
    </row>
    <row r="851">
      <c r="E851" s="34"/>
      <c r="F851" s="34"/>
      <c r="G851" s="34"/>
      <c r="H851" s="34"/>
      <c r="I851" s="34"/>
    </row>
    <row r="852">
      <c r="E852" s="34"/>
      <c r="F852" s="34"/>
      <c r="G852" s="34"/>
      <c r="H852" s="34"/>
      <c r="I852" s="34"/>
    </row>
    <row r="853">
      <c r="E853" s="34"/>
      <c r="F853" s="34"/>
      <c r="G853" s="34"/>
      <c r="H853" s="34"/>
      <c r="I853" s="34"/>
    </row>
    <row r="854">
      <c r="E854" s="34"/>
      <c r="F854" s="34"/>
      <c r="G854" s="34"/>
      <c r="H854" s="34"/>
      <c r="I854" s="34"/>
    </row>
    <row r="855">
      <c r="E855" s="34"/>
      <c r="F855" s="34"/>
      <c r="G855" s="34"/>
      <c r="H855" s="34"/>
      <c r="I855" s="34"/>
    </row>
    <row r="856">
      <c r="E856" s="34"/>
      <c r="F856" s="34"/>
      <c r="G856" s="34"/>
      <c r="H856" s="34"/>
      <c r="I856" s="34"/>
    </row>
    <row r="857">
      <c r="E857" s="34"/>
      <c r="F857" s="34"/>
      <c r="G857" s="34"/>
      <c r="H857" s="34"/>
      <c r="I857" s="34"/>
    </row>
    <row r="858">
      <c r="E858" s="34"/>
      <c r="F858" s="34"/>
      <c r="G858" s="34"/>
      <c r="H858" s="34"/>
      <c r="I858" s="34"/>
    </row>
    <row r="859">
      <c r="E859" s="34"/>
      <c r="F859" s="34"/>
      <c r="G859" s="34"/>
      <c r="H859" s="34"/>
      <c r="I859" s="34"/>
    </row>
    <row r="860">
      <c r="E860" s="34"/>
      <c r="F860" s="34"/>
      <c r="G860" s="34"/>
      <c r="H860" s="34"/>
      <c r="I860" s="34"/>
    </row>
    <row r="861">
      <c r="E861" s="34"/>
      <c r="F861" s="34"/>
      <c r="G861" s="34"/>
      <c r="H861" s="34"/>
      <c r="I861" s="34"/>
    </row>
    <row r="862">
      <c r="E862" s="34"/>
      <c r="F862" s="34"/>
      <c r="G862" s="34"/>
      <c r="H862" s="34"/>
      <c r="I862" s="34"/>
    </row>
    <row r="863">
      <c r="E863" s="34"/>
      <c r="F863" s="34"/>
      <c r="G863" s="34"/>
      <c r="H863" s="34"/>
      <c r="I863" s="34"/>
    </row>
    <row r="864">
      <c r="E864" s="34"/>
      <c r="F864" s="34"/>
      <c r="G864" s="34"/>
      <c r="H864" s="34"/>
      <c r="I864" s="34"/>
    </row>
    <row r="865">
      <c r="E865" s="34"/>
      <c r="F865" s="34"/>
      <c r="G865" s="34"/>
      <c r="H865" s="34"/>
      <c r="I865" s="34"/>
    </row>
    <row r="866">
      <c r="E866" s="34"/>
      <c r="F866" s="34"/>
      <c r="G866" s="34"/>
      <c r="H866" s="34"/>
      <c r="I866" s="34"/>
    </row>
    <row r="867">
      <c r="E867" s="34"/>
      <c r="F867" s="34"/>
      <c r="G867" s="34"/>
      <c r="H867" s="34"/>
      <c r="I867" s="34"/>
    </row>
    <row r="868">
      <c r="E868" s="34"/>
      <c r="F868" s="34"/>
      <c r="G868" s="34"/>
      <c r="H868" s="34"/>
      <c r="I868" s="34"/>
    </row>
    <row r="869">
      <c r="E869" s="34"/>
      <c r="F869" s="34"/>
      <c r="G869" s="34"/>
      <c r="H869" s="34"/>
      <c r="I869" s="34"/>
    </row>
    <row r="870">
      <c r="E870" s="34"/>
      <c r="F870" s="34"/>
      <c r="G870" s="34"/>
      <c r="H870" s="34"/>
      <c r="I870" s="34"/>
    </row>
    <row r="871">
      <c r="E871" s="34"/>
      <c r="F871" s="34"/>
      <c r="G871" s="34"/>
      <c r="H871" s="34"/>
      <c r="I871" s="34"/>
    </row>
    <row r="872">
      <c r="E872" s="34"/>
      <c r="F872" s="34"/>
      <c r="G872" s="34"/>
      <c r="H872" s="34"/>
      <c r="I872" s="34"/>
    </row>
    <row r="873">
      <c r="E873" s="34"/>
      <c r="F873" s="34"/>
      <c r="G873" s="34"/>
      <c r="H873" s="34"/>
      <c r="I873" s="34"/>
    </row>
    <row r="874">
      <c r="E874" s="34"/>
      <c r="F874" s="34"/>
      <c r="G874" s="34"/>
      <c r="H874" s="34"/>
      <c r="I874" s="34"/>
    </row>
    <row r="875">
      <c r="E875" s="34"/>
      <c r="F875" s="34"/>
      <c r="G875" s="34"/>
      <c r="H875" s="34"/>
      <c r="I875" s="34"/>
    </row>
    <row r="876">
      <c r="E876" s="34"/>
      <c r="F876" s="34"/>
      <c r="G876" s="34"/>
      <c r="H876" s="34"/>
      <c r="I876" s="34"/>
    </row>
    <row r="877">
      <c r="E877" s="34"/>
      <c r="F877" s="34"/>
      <c r="G877" s="34"/>
      <c r="H877" s="34"/>
      <c r="I877" s="34"/>
    </row>
    <row r="878">
      <c r="E878" s="34"/>
      <c r="F878" s="34"/>
      <c r="G878" s="34"/>
      <c r="H878" s="34"/>
      <c r="I878" s="34"/>
    </row>
    <row r="879">
      <c r="E879" s="34"/>
      <c r="F879" s="34"/>
      <c r="G879" s="34"/>
      <c r="H879" s="34"/>
      <c r="I879" s="34"/>
    </row>
    <row r="880">
      <c r="E880" s="34"/>
      <c r="F880" s="34"/>
      <c r="G880" s="34"/>
      <c r="H880" s="34"/>
      <c r="I880" s="34"/>
    </row>
    <row r="881">
      <c r="E881" s="34"/>
      <c r="F881" s="34"/>
      <c r="G881" s="34"/>
      <c r="H881" s="34"/>
      <c r="I881" s="34"/>
    </row>
    <row r="882">
      <c r="E882" s="34"/>
      <c r="F882" s="34"/>
      <c r="G882" s="34"/>
      <c r="H882" s="34"/>
      <c r="I882" s="34"/>
    </row>
    <row r="883">
      <c r="E883" s="34"/>
      <c r="F883" s="34"/>
      <c r="G883" s="34"/>
      <c r="H883" s="34"/>
      <c r="I883" s="34"/>
    </row>
    <row r="884">
      <c r="E884" s="34"/>
      <c r="F884" s="34"/>
      <c r="G884" s="34"/>
      <c r="H884" s="34"/>
      <c r="I884" s="34"/>
    </row>
    <row r="885">
      <c r="E885" s="34"/>
      <c r="F885" s="34"/>
      <c r="G885" s="34"/>
      <c r="H885" s="34"/>
      <c r="I885" s="34"/>
    </row>
    <row r="886">
      <c r="E886" s="34"/>
      <c r="F886" s="34"/>
      <c r="G886" s="34"/>
      <c r="H886" s="34"/>
      <c r="I886" s="34"/>
    </row>
    <row r="887">
      <c r="E887" s="34"/>
      <c r="F887" s="34"/>
      <c r="G887" s="34"/>
      <c r="H887" s="34"/>
      <c r="I887" s="34"/>
    </row>
    <row r="888">
      <c r="E888" s="34"/>
      <c r="F888" s="34"/>
      <c r="G888" s="34"/>
      <c r="H888" s="34"/>
      <c r="I888" s="34"/>
    </row>
    <row r="889">
      <c r="E889" s="34"/>
      <c r="F889" s="34"/>
      <c r="G889" s="34"/>
      <c r="H889" s="34"/>
      <c r="I889" s="34"/>
    </row>
    <row r="890">
      <c r="E890" s="34"/>
      <c r="F890" s="34"/>
      <c r="G890" s="34"/>
      <c r="H890" s="34"/>
      <c r="I890" s="34"/>
    </row>
    <row r="891">
      <c r="E891" s="34"/>
      <c r="F891" s="34"/>
      <c r="G891" s="34"/>
      <c r="H891" s="34"/>
      <c r="I891" s="34"/>
    </row>
    <row r="892">
      <c r="E892" s="34"/>
      <c r="F892" s="34"/>
      <c r="G892" s="34"/>
      <c r="H892" s="34"/>
      <c r="I892" s="34"/>
    </row>
    <row r="893">
      <c r="E893" s="34"/>
      <c r="F893" s="34"/>
      <c r="G893" s="34"/>
      <c r="H893" s="34"/>
      <c r="I893" s="34"/>
    </row>
    <row r="894">
      <c r="E894" s="34"/>
      <c r="F894" s="34"/>
      <c r="G894" s="34"/>
      <c r="H894" s="34"/>
      <c r="I894" s="34"/>
    </row>
    <row r="895">
      <c r="E895" s="34"/>
      <c r="F895" s="34"/>
      <c r="G895" s="34"/>
      <c r="H895" s="34"/>
      <c r="I895" s="34"/>
    </row>
    <row r="896">
      <c r="E896" s="34"/>
      <c r="F896" s="34"/>
      <c r="G896" s="34"/>
      <c r="H896" s="34"/>
      <c r="I896" s="34"/>
    </row>
    <row r="897">
      <c r="E897" s="34"/>
      <c r="F897" s="34"/>
      <c r="G897" s="34"/>
      <c r="H897" s="34"/>
      <c r="I897" s="34"/>
    </row>
    <row r="898">
      <c r="E898" s="34"/>
      <c r="F898" s="34"/>
      <c r="G898" s="34"/>
      <c r="H898" s="34"/>
      <c r="I898" s="34"/>
    </row>
    <row r="899">
      <c r="E899" s="34"/>
      <c r="F899" s="34"/>
      <c r="G899" s="34"/>
      <c r="H899" s="34"/>
      <c r="I899" s="34"/>
    </row>
    <row r="900">
      <c r="E900" s="34"/>
      <c r="F900" s="34"/>
      <c r="G900" s="34"/>
      <c r="H900" s="34"/>
      <c r="I900" s="34"/>
    </row>
    <row r="901">
      <c r="E901" s="34"/>
      <c r="F901" s="34"/>
      <c r="G901" s="34"/>
      <c r="H901" s="34"/>
      <c r="I901" s="34"/>
    </row>
    <row r="902">
      <c r="E902" s="34"/>
      <c r="F902" s="34"/>
      <c r="G902" s="34"/>
      <c r="H902" s="34"/>
      <c r="I902" s="34"/>
    </row>
    <row r="903">
      <c r="E903" s="34"/>
      <c r="F903" s="34"/>
      <c r="G903" s="34"/>
      <c r="H903" s="34"/>
      <c r="I903" s="34"/>
    </row>
    <row r="904">
      <c r="E904" s="34"/>
      <c r="F904" s="34"/>
      <c r="G904" s="34"/>
      <c r="H904" s="34"/>
      <c r="I904" s="34"/>
    </row>
    <row r="905">
      <c r="E905" s="34"/>
      <c r="F905" s="34"/>
      <c r="G905" s="34"/>
      <c r="H905" s="34"/>
      <c r="I905" s="34"/>
    </row>
    <row r="906">
      <c r="E906" s="34"/>
      <c r="F906" s="34"/>
      <c r="G906" s="34"/>
      <c r="H906" s="34"/>
      <c r="I906" s="34"/>
    </row>
    <row r="907">
      <c r="E907" s="34"/>
      <c r="F907" s="34"/>
      <c r="G907" s="34"/>
      <c r="H907" s="34"/>
      <c r="I907" s="34"/>
    </row>
    <row r="908">
      <c r="E908" s="34"/>
      <c r="F908" s="34"/>
      <c r="G908" s="34"/>
      <c r="H908" s="34"/>
      <c r="I908" s="34"/>
    </row>
    <row r="909">
      <c r="E909" s="34"/>
      <c r="F909" s="34"/>
      <c r="G909" s="34"/>
      <c r="H909" s="34"/>
      <c r="I909" s="34"/>
    </row>
    <row r="910">
      <c r="E910" s="34"/>
      <c r="F910" s="34"/>
      <c r="G910" s="34"/>
      <c r="H910" s="34"/>
      <c r="I910" s="34"/>
    </row>
    <row r="911">
      <c r="E911" s="34"/>
      <c r="F911" s="34"/>
      <c r="G911" s="34"/>
      <c r="H911" s="34"/>
      <c r="I911" s="34"/>
    </row>
    <row r="912">
      <c r="E912" s="34"/>
      <c r="F912" s="34"/>
      <c r="G912" s="34"/>
      <c r="H912" s="34"/>
      <c r="I912" s="34"/>
    </row>
    <row r="913">
      <c r="E913" s="34"/>
      <c r="F913" s="34"/>
      <c r="G913" s="34"/>
      <c r="H913" s="34"/>
      <c r="I913" s="34"/>
    </row>
    <row r="914">
      <c r="E914" s="34"/>
      <c r="F914" s="34"/>
      <c r="G914" s="34"/>
      <c r="H914" s="34"/>
      <c r="I914" s="34"/>
    </row>
    <row r="915">
      <c r="E915" s="34"/>
      <c r="F915" s="34"/>
      <c r="G915" s="34"/>
      <c r="H915" s="34"/>
      <c r="I915" s="34"/>
    </row>
    <row r="916">
      <c r="E916" s="34"/>
      <c r="F916" s="34"/>
      <c r="G916" s="34"/>
      <c r="H916" s="34"/>
      <c r="I916" s="34"/>
    </row>
    <row r="917">
      <c r="E917" s="34"/>
      <c r="F917" s="34"/>
      <c r="G917" s="34"/>
      <c r="H917" s="34"/>
      <c r="I917" s="34"/>
    </row>
    <row r="918">
      <c r="E918" s="34"/>
      <c r="F918" s="34"/>
      <c r="G918" s="34"/>
      <c r="H918" s="34"/>
      <c r="I918" s="34"/>
    </row>
    <row r="919">
      <c r="E919" s="34"/>
      <c r="F919" s="34"/>
      <c r="G919" s="34"/>
      <c r="H919" s="34"/>
      <c r="I919" s="34"/>
    </row>
    <row r="920">
      <c r="E920" s="34"/>
      <c r="F920" s="34"/>
      <c r="G920" s="34"/>
      <c r="H920" s="34"/>
      <c r="I920" s="34"/>
    </row>
    <row r="921">
      <c r="E921" s="34"/>
      <c r="F921" s="34"/>
      <c r="G921" s="34"/>
      <c r="H921" s="34"/>
      <c r="I921" s="34"/>
    </row>
    <row r="922">
      <c r="E922" s="34"/>
      <c r="F922" s="34"/>
      <c r="G922" s="34"/>
      <c r="H922" s="34"/>
      <c r="I922" s="34"/>
    </row>
    <row r="923">
      <c r="E923" s="34"/>
      <c r="F923" s="34"/>
      <c r="G923" s="34"/>
      <c r="H923" s="34"/>
      <c r="I923" s="34"/>
    </row>
    <row r="924">
      <c r="E924" s="34"/>
      <c r="F924" s="34"/>
      <c r="G924" s="34"/>
      <c r="H924" s="34"/>
      <c r="I924" s="34"/>
    </row>
    <row r="925">
      <c r="E925" s="34"/>
      <c r="F925" s="34"/>
      <c r="G925" s="34"/>
      <c r="H925" s="34"/>
      <c r="I925" s="34"/>
    </row>
    <row r="926">
      <c r="E926" s="34"/>
      <c r="F926" s="34"/>
      <c r="G926" s="34"/>
      <c r="H926" s="34"/>
      <c r="I926" s="34"/>
    </row>
    <row r="927">
      <c r="E927" s="34"/>
      <c r="F927" s="34"/>
      <c r="G927" s="34"/>
      <c r="H927" s="34"/>
      <c r="I927" s="34"/>
    </row>
    <row r="928">
      <c r="E928" s="34"/>
      <c r="F928" s="34"/>
      <c r="G928" s="34"/>
      <c r="H928" s="34"/>
      <c r="I928" s="34"/>
    </row>
    <row r="929">
      <c r="E929" s="34"/>
      <c r="F929" s="34"/>
      <c r="G929" s="34"/>
      <c r="H929" s="34"/>
      <c r="I929" s="34"/>
    </row>
    <row r="930">
      <c r="E930" s="34"/>
      <c r="F930" s="34"/>
      <c r="G930" s="34"/>
      <c r="H930" s="34"/>
      <c r="I930" s="34"/>
    </row>
    <row r="931">
      <c r="E931" s="34"/>
      <c r="F931" s="34"/>
      <c r="G931" s="34"/>
      <c r="H931" s="34"/>
      <c r="I931" s="34"/>
    </row>
    <row r="932">
      <c r="E932" s="34"/>
      <c r="F932" s="34"/>
      <c r="G932" s="34"/>
      <c r="H932" s="34"/>
      <c r="I932" s="34"/>
    </row>
    <row r="933">
      <c r="E933" s="34"/>
      <c r="F933" s="34"/>
      <c r="G933" s="34"/>
      <c r="H933" s="34"/>
      <c r="I933" s="34"/>
    </row>
    <row r="934">
      <c r="E934" s="34"/>
      <c r="F934" s="34"/>
      <c r="G934" s="34"/>
      <c r="H934" s="34"/>
      <c r="I934" s="34"/>
    </row>
    <row r="935">
      <c r="E935" s="34"/>
      <c r="F935" s="34"/>
      <c r="G935" s="34"/>
      <c r="H935" s="34"/>
      <c r="I935" s="34"/>
    </row>
    <row r="936">
      <c r="E936" s="34"/>
      <c r="F936" s="34"/>
      <c r="G936" s="34"/>
      <c r="H936" s="34"/>
      <c r="I936" s="34"/>
    </row>
    <row r="937">
      <c r="E937" s="34"/>
      <c r="F937" s="34"/>
      <c r="G937" s="34"/>
      <c r="H937" s="34"/>
      <c r="I937" s="34"/>
    </row>
    <row r="938">
      <c r="E938" s="34"/>
      <c r="F938" s="34"/>
      <c r="G938" s="34"/>
      <c r="H938" s="34"/>
      <c r="I938" s="34"/>
    </row>
    <row r="939">
      <c r="E939" s="34"/>
      <c r="F939" s="34"/>
      <c r="G939" s="34"/>
      <c r="H939" s="34"/>
      <c r="I939" s="34"/>
    </row>
    <row r="940">
      <c r="E940" s="34"/>
      <c r="F940" s="34"/>
      <c r="G940" s="34"/>
      <c r="H940" s="34"/>
      <c r="I940" s="34"/>
    </row>
    <row r="941">
      <c r="E941" s="34"/>
      <c r="F941" s="34"/>
      <c r="G941" s="34"/>
      <c r="H941" s="34"/>
      <c r="I941" s="34"/>
    </row>
    <row r="942">
      <c r="E942" s="34"/>
      <c r="F942" s="34"/>
      <c r="G942" s="34"/>
      <c r="H942" s="34"/>
      <c r="I942" s="34"/>
    </row>
    <row r="943">
      <c r="E943" s="34"/>
      <c r="F943" s="34"/>
      <c r="G943" s="34"/>
      <c r="H943" s="34"/>
      <c r="I943" s="34"/>
    </row>
    <row r="944">
      <c r="E944" s="34"/>
      <c r="F944" s="34"/>
      <c r="G944" s="34"/>
      <c r="H944" s="34"/>
      <c r="I944" s="34"/>
    </row>
    <row r="945">
      <c r="E945" s="34"/>
      <c r="F945" s="34"/>
      <c r="G945" s="34"/>
      <c r="H945" s="34"/>
      <c r="I945" s="34"/>
    </row>
    <row r="946">
      <c r="E946" s="34"/>
      <c r="F946" s="34"/>
      <c r="G946" s="34"/>
      <c r="H946" s="34"/>
      <c r="I946" s="34"/>
    </row>
    <row r="947">
      <c r="E947" s="34"/>
      <c r="F947" s="34"/>
      <c r="G947" s="34"/>
      <c r="H947" s="34"/>
      <c r="I947" s="34"/>
    </row>
    <row r="948">
      <c r="E948" s="34"/>
      <c r="F948" s="34"/>
      <c r="G948" s="34"/>
      <c r="H948" s="34"/>
      <c r="I948" s="34"/>
    </row>
    <row r="949">
      <c r="E949" s="34"/>
      <c r="F949" s="34"/>
      <c r="G949" s="34"/>
      <c r="H949" s="34"/>
      <c r="I949" s="34"/>
    </row>
    <row r="950">
      <c r="E950" s="34"/>
      <c r="F950" s="34"/>
      <c r="G950" s="34"/>
      <c r="H950" s="34"/>
      <c r="I950" s="34"/>
    </row>
    <row r="951">
      <c r="E951" s="34"/>
      <c r="F951" s="34"/>
      <c r="G951" s="34"/>
      <c r="H951" s="34"/>
      <c r="I951" s="34"/>
    </row>
    <row r="952">
      <c r="E952" s="34"/>
      <c r="F952" s="34"/>
      <c r="G952" s="34"/>
      <c r="H952" s="34"/>
      <c r="I952" s="34"/>
    </row>
    <row r="953">
      <c r="E953" s="34"/>
      <c r="F953" s="34"/>
      <c r="G953" s="34"/>
      <c r="H953" s="34"/>
      <c r="I953" s="34"/>
    </row>
    <row r="954">
      <c r="E954" s="34"/>
      <c r="F954" s="34"/>
      <c r="G954" s="34"/>
      <c r="H954" s="34"/>
      <c r="I954" s="34"/>
    </row>
    <row r="955">
      <c r="E955" s="34"/>
      <c r="F955" s="34"/>
      <c r="G955" s="34"/>
      <c r="H955" s="34"/>
      <c r="I955" s="34"/>
    </row>
    <row r="956">
      <c r="E956" s="34"/>
      <c r="F956" s="34"/>
      <c r="G956" s="34"/>
      <c r="H956" s="34"/>
      <c r="I956" s="34"/>
    </row>
    <row r="957">
      <c r="E957" s="34"/>
      <c r="F957" s="34"/>
      <c r="G957" s="34"/>
      <c r="H957" s="34"/>
      <c r="I957" s="34"/>
    </row>
    <row r="958">
      <c r="E958" s="34"/>
      <c r="F958" s="34"/>
      <c r="G958" s="34"/>
      <c r="H958" s="34"/>
      <c r="I958" s="34"/>
    </row>
    <row r="959">
      <c r="E959" s="34"/>
      <c r="F959" s="34"/>
      <c r="G959" s="34"/>
      <c r="H959" s="34"/>
      <c r="I959" s="34"/>
    </row>
    <row r="960">
      <c r="E960" s="34"/>
      <c r="F960" s="34"/>
      <c r="G960" s="34"/>
      <c r="H960" s="34"/>
      <c r="I960" s="34"/>
    </row>
    <row r="961">
      <c r="E961" s="34"/>
      <c r="F961" s="34"/>
      <c r="G961" s="34"/>
      <c r="H961" s="34"/>
      <c r="I961" s="34"/>
    </row>
    <row r="962">
      <c r="E962" s="34"/>
      <c r="F962" s="34"/>
      <c r="G962" s="34"/>
      <c r="H962" s="34"/>
      <c r="I962" s="34"/>
    </row>
    <row r="963">
      <c r="E963" s="34"/>
      <c r="F963" s="34"/>
      <c r="G963" s="34"/>
      <c r="H963" s="34"/>
      <c r="I963" s="34"/>
    </row>
    <row r="964">
      <c r="E964" s="34"/>
      <c r="F964" s="34"/>
      <c r="G964" s="34"/>
      <c r="H964" s="34"/>
      <c r="I964" s="34"/>
    </row>
    <row r="965">
      <c r="E965" s="34"/>
      <c r="F965" s="34"/>
      <c r="G965" s="34"/>
      <c r="H965" s="34"/>
      <c r="I965" s="34"/>
    </row>
    <row r="966">
      <c r="E966" s="34"/>
      <c r="F966" s="34"/>
      <c r="G966" s="34"/>
      <c r="H966" s="34"/>
      <c r="I966" s="34"/>
    </row>
    <row r="967">
      <c r="E967" s="34"/>
      <c r="F967" s="34"/>
      <c r="G967" s="34"/>
      <c r="H967" s="34"/>
      <c r="I967" s="34"/>
    </row>
    <row r="968">
      <c r="E968" s="34"/>
      <c r="F968" s="34"/>
      <c r="G968" s="34"/>
      <c r="H968" s="34"/>
      <c r="I968" s="34"/>
    </row>
    <row r="969">
      <c r="E969" s="34"/>
      <c r="F969" s="34"/>
      <c r="G969" s="34"/>
      <c r="H969" s="34"/>
      <c r="I969" s="34"/>
    </row>
    <row r="970">
      <c r="E970" s="34"/>
      <c r="F970" s="34"/>
      <c r="G970" s="34"/>
      <c r="H970" s="34"/>
      <c r="I970" s="34"/>
    </row>
    <row r="971">
      <c r="E971" s="34"/>
      <c r="F971" s="34"/>
      <c r="G971" s="34"/>
      <c r="H971" s="34"/>
      <c r="I971" s="34"/>
    </row>
    <row r="972">
      <c r="E972" s="34"/>
      <c r="F972" s="34"/>
      <c r="G972" s="34"/>
      <c r="H972" s="34"/>
      <c r="I972" s="34"/>
    </row>
    <row r="973">
      <c r="E973" s="34"/>
      <c r="F973" s="34"/>
      <c r="G973" s="34"/>
      <c r="H973" s="34"/>
      <c r="I973" s="34"/>
    </row>
    <row r="974">
      <c r="E974" s="34"/>
      <c r="F974" s="34"/>
      <c r="G974" s="34"/>
      <c r="H974" s="34"/>
      <c r="I974" s="34"/>
    </row>
    <row r="975">
      <c r="E975" s="34"/>
      <c r="F975" s="34"/>
      <c r="G975" s="34"/>
      <c r="H975" s="34"/>
      <c r="I975" s="34"/>
    </row>
    <row r="976">
      <c r="E976" s="34"/>
      <c r="F976" s="34"/>
      <c r="G976" s="34"/>
      <c r="H976" s="34"/>
      <c r="I976" s="34"/>
    </row>
    <row r="977">
      <c r="E977" s="34"/>
      <c r="F977" s="34"/>
      <c r="G977" s="34"/>
      <c r="H977" s="34"/>
      <c r="I977" s="34"/>
    </row>
    <row r="978">
      <c r="E978" s="34"/>
      <c r="F978" s="34"/>
      <c r="G978" s="34"/>
      <c r="H978" s="34"/>
      <c r="I978" s="34"/>
    </row>
    <row r="979">
      <c r="E979" s="34"/>
      <c r="F979" s="34"/>
      <c r="G979" s="34"/>
      <c r="H979" s="34"/>
      <c r="I979" s="34"/>
    </row>
    <row r="980">
      <c r="E980" s="34"/>
      <c r="F980" s="34"/>
      <c r="G980" s="34"/>
      <c r="H980" s="34"/>
      <c r="I980" s="34"/>
    </row>
    <row r="981">
      <c r="E981" s="34"/>
      <c r="F981" s="34"/>
      <c r="G981" s="34"/>
      <c r="H981" s="34"/>
      <c r="I981" s="34"/>
    </row>
    <row r="982">
      <c r="E982" s="34"/>
      <c r="F982" s="34"/>
      <c r="G982" s="34"/>
      <c r="H982" s="34"/>
      <c r="I982" s="34"/>
    </row>
    <row r="983">
      <c r="E983" s="34"/>
      <c r="F983" s="34"/>
      <c r="G983" s="34"/>
      <c r="H983" s="34"/>
      <c r="I983" s="34"/>
    </row>
    <row r="984">
      <c r="E984" s="34"/>
      <c r="F984" s="34"/>
      <c r="G984" s="34"/>
      <c r="H984" s="34"/>
      <c r="I984" s="34"/>
    </row>
    <row r="985">
      <c r="E985" s="34"/>
      <c r="F985" s="34"/>
      <c r="G985" s="34"/>
      <c r="H985" s="34"/>
      <c r="I985" s="34"/>
    </row>
    <row r="986">
      <c r="E986" s="34"/>
      <c r="F986" s="34"/>
      <c r="G986" s="34"/>
      <c r="H986" s="34"/>
      <c r="I986" s="34"/>
    </row>
    <row r="987">
      <c r="E987" s="34"/>
      <c r="F987" s="34"/>
      <c r="G987" s="34"/>
      <c r="H987" s="34"/>
      <c r="I987" s="34"/>
    </row>
    <row r="988">
      <c r="E988" s="34"/>
      <c r="F988" s="34"/>
      <c r="G988" s="34"/>
      <c r="H988" s="34"/>
      <c r="I988" s="34"/>
    </row>
    <row r="989">
      <c r="E989" s="34"/>
      <c r="F989" s="34"/>
      <c r="G989" s="34"/>
      <c r="H989" s="34"/>
      <c r="I989" s="34"/>
    </row>
    <row r="990">
      <c r="E990" s="34"/>
      <c r="F990" s="34"/>
      <c r="G990" s="34"/>
      <c r="H990" s="34"/>
      <c r="I990" s="34"/>
    </row>
    <row r="991">
      <c r="E991" s="34"/>
      <c r="F991" s="34"/>
      <c r="G991" s="34"/>
      <c r="H991" s="34"/>
      <c r="I991" s="34"/>
    </row>
    <row r="992">
      <c r="E992" s="34"/>
      <c r="F992" s="34"/>
      <c r="G992" s="34"/>
      <c r="H992" s="34"/>
      <c r="I992" s="34"/>
    </row>
    <row r="993">
      <c r="E993" s="34"/>
      <c r="F993" s="34"/>
      <c r="G993" s="34"/>
      <c r="H993" s="34"/>
      <c r="I993" s="34"/>
    </row>
    <row r="994">
      <c r="E994" s="34"/>
      <c r="F994" s="34"/>
      <c r="G994" s="34"/>
      <c r="H994" s="34"/>
      <c r="I994" s="34"/>
    </row>
    <row r="995">
      <c r="E995" s="34"/>
      <c r="F995" s="34"/>
      <c r="G995" s="34"/>
      <c r="H995" s="34"/>
      <c r="I995" s="34"/>
    </row>
    <row r="996">
      <c r="E996" s="34"/>
      <c r="F996" s="34"/>
      <c r="G996" s="34"/>
      <c r="H996" s="34"/>
      <c r="I996" s="34"/>
    </row>
    <row r="997">
      <c r="E997" s="34"/>
      <c r="F997" s="34"/>
      <c r="G997" s="34"/>
      <c r="H997" s="34"/>
      <c r="I997" s="34"/>
    </row>
    <row r="998">
      <c r="E998" s="34"/>
      <c r="F998" s="34"/>
      <c r="G998" s="34"/>
      <c r="H998" s="34"/>
      <c r="I998" s="34"/>
    </row>
    <row r="999">
      <c r="A999" s="8" t="s">
        <v>53</v>
      </c>
      <c r="E999" s="34"/>
      <c r="F999" s="34"/>
      <c r="G999" s="34"/>
      <c r="H999" s="34"/>
      <c r="I999" s="34"/>
    </row>
  </sheetData>
  <conditionalFormatting sqref="A5:A999">
    <cfRule type="expression" dxfId="0" priority="1">
      <formula>REGEXMATCH(A5,"(?i)[\(\[\{\-][ ]*(feat|ft)| feat(ur|\.| )| ft|f\/|w\/")</formula>
    </cfRule>
  </conditionalFormatting>
  <conditionalFormatting sqref="I4">
    <cfRule type="cellIs" dxfId="1" priority="2" operator="equal">
      <formula>0</formula>
    </cfRule>
  </conditionalFormatting>
  <conditionalFormatting sqref="I4">
    <cfRule type="cellIs" dxfId="2" priority="3" operator="notEqual">
      <formula>0</formula>
    </cfRule>
  </conditionalFormatting>
  <conditionalFormatting sqref="D5:D999">
    <cfRule type="expression" dxfId="0" priority="4">
      <formula>and(D5&lt;&gt;"",D5&lt;&gt;"new",not(REGEXMATCH(D5,"(?i)spotify:artist:[[:alnum:]]{22}")))</formula>
    </cfRule>
  </conditionalFormatting>
  <conditionalFormatting sqref="A5:A999">
    <cfRule type="expression" dxfId="3" priority="5">
      <formula>countif(H:H,A5)&gt;0</formula>
    </cfRule>
  </conditionalFormatting>
  <conditionalFormatting sqref="C5:C999">
    <cfRule type="expression" dxfId="0" priority="6">
      <formula>and(C5&lt;&gt;"",C5&lt;&gt;"new",not(REGEXMATCH(C5,"^[[:digit:]]+$")))</formula>
    </cfRule>
  </conditionalFormatting>
  <conditionalFormatting sqref="E5:E999">
    <cfRule type="expression" dxfId="0" priority="7">
      <formula>and(E5&lt;&gt;"",E5&lt;&gt;"new",not(REGEXMATCH(E5,"^[[:digit:]]+$")))</formula>
    </cfRule>
  </conditionalFormatting>
  <conditionalFormatting sqref="F5:F999">
    <cfRule type="expression" dxfId="0" priority="8">
      <formula>and(F5&lt;&gt;"",F5&lt;&gt;"new",not(REGEXMATCH(F5,"^[[:alnum:]-]+$")))</formula>
    </cfRule>
  </conditionalFormatting>
  <conditionalFormatting sqref="H2">
    <cfRule type="cellIs" dxfId="4" priority="9" operator="notEqual">
      <formula>H1</formula>
    </cfRule>
  </conditionalFormatting>
  <conditionalFormatting sqref="A1">
    <cfRule type="notContainsBlanks" dxfId="1" priority="10">
      <formula>LEN(TRIM(A1))&gt;0</formula>
    </cfRule>
  </conditionalFormatting>
  <hyperlinks>
    <hyperlink r:id="rId2" ref="B5"/>
    <hyperlink r:id="rId3" ref="B6"/>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5"/>
    <col customWidth="1" min="2" max="2" width="20.88"/>
    <col customWidth="1" min="3" max="3" width="34.75"/>
    <col customWidth="1" min="4" max="4" width="10.5"/>
    <col customWidth="1" min="5" max="5" width="9.13"/>
    <col customWidth="1" min="6" max="6" width="21.75"/>
    <col customWidth="1" min="7" max="7" width="21.88"/>
    <col customWidth="1" min="8" max="8" width="8.38"/>
    <col customWidth="1" min="9" max="9" width="16.0"/>
    <col customWidth="1" min="10" max="10" width="12.13"/>
    <col customWidth="1" min="11" max="11" width="12.75"/>
    <col customWidth="1" min="12" max="12" width="9.75"/>
    <col customWidth="1" min="13" max="13" width="8.0"/>
    <col customWidth="1" min="14" max="14" width="9.5"/>
    <col customWidth="1" min="15" max="15" width="9.0"/>
    <col customWidth="1" min="16" max="16" width="12.5"/>
    <col customWidth="1" min="17" max="17" width="4.38"/>
    <col customWidth="1" min="18" max="18" width="8.38"/>
  </cols>
  <sheetData>
    <row r="1">
      <c r="A1" s="14" t="s">
        <v>54</v>
      </c>
      <c r="B1" s="13">
        <f>IFERROR(__xludf.DUMMYFUNCTION("COUNTUNIQUE(A5:A999)"),2.0)</f>
        <v>2</v>
      </c>
      <c r="F1" s="49"/>
      <c r="G1" s="49"/>
      <c r="H1" s="8"/>
      <c r="I1" s="8"/>
      <c r="J1" s="8"/>
      <c r="K1" s="8"/>
      <c r="L1" s="8"/>
      <c r="N1" s="8"/>
      <c r="O1" s="8"/>
      <c r="P1" s="8"/>
      <c r="Q1" s="8"/>
      <c r="R1" s="8"/>
    </row>
    <row r="2">
      <c r="A2" s="21" t="s">
        <v>27</v>
      </c>
      <c r="B2" s="16" t="s">
        <v>38</v>
      </c>
      <c r="F2" s="8"/>
      <c r="G2" s="8"/>
      <c r="H2" s="8"/>
      <c r="I2" s="8"/>
      <c r="J2" s="8"/>
      <c r="K2" s="8"/>
      <c r="L2" s="8"/>
      <c r="M2" s="8"/>
      <c r="N2" s="8"/>
      <c r="O2" s="8"/>
      <c r="P2" s="8"/>
      <c r="Q2" s="8"/>
      <c r="R2" s="8"/>
    </row>
    <row r="3">
      <c r="A3" s="50" t="s">
        <v>55</v>
      </c>
      <c r="B3" s="51">
        <f>IFERROR(__xludf.DUMMYFUNCTION("counta(A5:A999)-COUNTUNIQUE(A5:A999)"),0.0)</f>
        <v>0</v>
      </c>
    </row>
    <row r="4">
      <c r="A4" s="35" t="s">
        <v>39</v>
      </c>
      <c r="I4" s="20"/>
    </row>
    <row r="5">
      <c r="A5" s="8" t="s">
        <v>56</v>
      </c>
      <c r="C5" s="28"/>
      <c r="N5" s="8" t="s">
        <v>49</v>
      </c>
      <c r="O5" s="8" t="s">
        <v>49</v>
      </c>
      <c r="P5" s="8" t="s">
        <v>49</v>
      </c>
      <c r="Q5" s="8" t="s">
        <v>49</v>
      </c>
      <c r="R5" s="8"/>
    </row>
    <row r="6">
      <c r="A6" s="8" t="s">
        <v>57</v>
      </c>
      <c r="C6" s="28"/>
    </row>
  </sheetData>
  <conditionalFormatting sqref="B3">
    <cfRule type="cellIs" dxfId="1" priority="1" operator="equal">
      <formula>0</formula>
    </cfRule>
  </conditionalFormatting>
  <conditionalFormatting sqref="B3">
    <cfRule type="cellIs" dxfId="2" priority="2" operator="notEqual">
      <formula>0</formula>
    </cfRule>
  </conditionalFormatting>
  <conditionalFormatting sqref="A5:A999">
    <cfRule type="expression" dxfId="3" priority="3">
      <formula>countif(B:B,A5)&gt;0</formula>
    </cfRule>
  </conditionalFormatting>
  <conditionalFormatting sqref="A1">
    <cfRule type="notContainsBlanks" dxfId="1" priority="4">
      <formula>LEN(TRIM(A1))&gt;0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9.5"/>
    <col customWidth="1" min="2" max="2" width="25.5"/>
    <col customWidth="1" min="3" max="3" width="7.25"/>
    <col customWidth="1" min="4" max="4" width="16.38"/>
    <col customWidth="1" min="5" max="5" width="13.0"/>
    <col customWidth="1" min="6" max="6" width="27.75"/>
    <col customWidth="1" min="7" max="8" width="13.38"/>
    <col customWidth="1" min="9" max="9" width="15.0"/>
    <col customWidth="1" min="10" max="10" width="5.5"/>
    <col customWidth="1" min="11" max="11" width="17.0"/>
    <col customWidth="1" min="12" max="12" width="6.25"/>
    <col customWidth="1" min="13" max="13" width="16.5"/>
    <col customWidth="1" min="14" max="14" width="15.13"/>
    <col customWidth="1" min="15" max="16" width="16.0"/>
    <col customWidth="1" min="17" max="17" width="10.0"/>
    <col customWidth="1" min="18" max="18" width="9.5"/>
    <col customWidth="1" min="19" max="19" width="9.0"/>
    <col customWidth="1" min="20" max="20" width="12.5"/>
    <col customWidth="1" min="21" max="21" width="4.38"/>
    <col customWidth="1" min="22" max="22" width="8.38"/>
    <col customWidth="1" min="23" max="23" width="6.75"/>
    <col customWidth="1" min="27" max="27" width="11.0"/>
  </cols>
  <sheetData>
    <row r="1">
      <c r="A1" s="13">
        <f>IFERROR(__xludf.DUMMYFUNCTION("COUNTUNIQUE(A5:A1005)"),2.0)</f>
        <v>2</v>
      </c>
      <c r="B1" s="21" t="s">
        <v>27</v>
      </c>
      <c r="C1" s="13">
        <f>IFERROR(__xludf.DUMMYFUNCTION("COUNTUNIQUE(B5:B1005)"),2.0)</f>
        <v>2</v>
      </c>
      <c r="D1" s="13">
        <f>IFERROR(__xludf.DUMMYFUNCTION("COUNTUNIQUE(D5:D1005)"),2.0)</f>
        <v>2</v>
      </c>
      <c r="E1" s="13">
        <f>IFERROR(__xludf.DUMMYFUNCTION("COUNTUNIQUE(E5:E1005)"),0.0)</f>
        <v>0</v>
      </c>
      <c r="F1" s="52" t="s">
        <v>29</v>
      </c>
      <c r="G1" s="13">
        <f>COUNTA(F5:F1005)</f>
        <v>2</v>
      </c>
      <c r="H1" s="53" t="s">
        <v>58</v>
      </c>
      <c r="I1" s="54">
        <f>countif(I5:I1005,"Video")+countif(I5:I1005,"Ringtone")</f>
        <v>0</v>
      </c>
      <c r="J1" s="55"/>
      <c r="L1" s="56"/>
      <c r="M1" s="21" t="s">
        <v>27</v>
      </c>
      <c r="N1" s="57" t="s">
        <v>58</v>
      </c>
      <c r="O1" s="58"/>
      <c r="P1" s="58"/>
    </row>
    <row r="2">
      <c r="A2" s="59" t="s">
        <v>59</v>
      </c>
      <c r="B2" s="60"/>
      <c r="C2" s="60"/>
      <c r="D2" s="60"/>
      <c r="E2" s="61"/>
      <c r="F2" s="60"/>
      <c r="G2" s="60"/>
      <c r="H2" s="60"/>
      <c r="I2" s="62"/>
      <c r="J2" s="60"/>
      <c r="K2" s="60"/>
      <c r="L2" s="60"/>
      <c r="M2" s="60"/>
      <c r="N2" s="63"/>
      <c r="O2" s="62"/>
      <c r="P2" s="62"/>
    </row>
    <row r="3">
      <c r="A3" s="64" t="s">
        <v>60</v>
      </c>
      <c r="B3" s="65" t="s">
        <v>61</v>
      </c>
      <c r="C3" s="66" t="s">
        <v>62</v>
      </c>
      <c r="D3" s="67" t="s">
        <v>63</v>
      </c>
      <c r="E3" s="68" t="s">
        <v>64</v>
      </c>
      <c r="F3" s="69" t="s">
        <v>65</v>
      </c>
      <c r="G3" s="69" t="s">
        <v>66</v>
      </c>
      <c r="H3" s="70" t="s">
        <v>67</v>
      </c>
      <c r="I3" s="64" t="s">
        <v>68</v>
      </c>
      <c r="J3" s="71" t="s">
        <v>69</v>
      </c>
      <c r="K3" s="71"/>
      <c r="L3" s="71" t="s">
        <v>70</v>
      </c>
      <c r="M3" s="71"/>
      <c r="N3" s="72" t="s">
        <v>71</v>
      </c>
      <c r="O3" s="73" t="s">
        <v>72</v>
      </c>
      <c r="P3" s="74" t="s">
        <v>73</v>
      </c>
      <c r="S3" s="75"/>
    </row>
    <row r="4">
      <c r="A4" s="76" t="s">
        <v>74</v>
      </c>
      <c r="B4" s="77" t="s">
        <v>75</v>
      </c>
      <c r="C4" s="78" t="s">
        <v>76</v>
      </c>
      <c r="D4" s="77" t="s">
        <v>77</v>
      </c>
      <c r="E4" s="79" t="s">
        <v>78</v>
      </c>
      <c r="F4" s="80" t="s">
        <v>79</v>
      </c>
      <c r="G4" s="80" t="s">
        <v>80</v>
      </c>
      <c r="H4" s="81" t="s">
        <v>81</v>
      </c>
      <c r="I4" s="35" t="s">
        <v>82</v>
      </c>
      <c r="J4" s="35" t="s">
        <v>83</v>
      </c>
      <c r="K4" s="80" t="s">
        <v>84</v>
      </c>
      <c r="L4" s="35" t="s">
        <v>83</v>
      </c>
      <c r="M4" s="80" t="s">
        <v>84</v>
      </c>
      <c r="N4" s="36" t="s">
        <v>85</v>
      </c>
      <c r="O4" s="35" t="s">
        <v>82</v>
      </c>
      <c r="P4" s="36" t="s">
        <v>86</v>
      </c>
    </row>
    <row r="5">
      <c r="A5" s="28" t="s">
        <v>56</v>
      </c>
      <c r="B5" s="44" t="s">
        <v>46</v>
      </c>
      <c r="C5" s="82" t="s">
        <v>87</v>
      </c>
      <c r="D5" s="83">
        <v>7.89294845633E11</v>
      </c>
      <c r="E5" s="84"/>
      <c r="F5" s="84" t="s">
        <v>88</v>
      </c>
      <c r="G5" s="8" t="s">
        <v>89</v>
      </c>
      <c r="H5" s="8" t="s">
        <v>90</v>
      </c>
      <c r="I5" s="8" t="s">
        <v>91</v>
      </c>
      <c r="J5" s="8">
        <v>2022.0</v>
      </c>
      <c r="K5" s="8" t="s">
        <v>92</v>
      </c>
      <c r="L5" s="8">
        <v>2022.0</v>
      </c>
      <c r="M5" s="8" t="s">
        <v>93</v>
      </c>
      <c r="N5" s="85">
        <v>44886.0</v>
      </c>
      <c r="O5" s="86" t="s">
        <v>94</v>
      </c>
      <c r="P5" s="86" t="s">
        <v>95</v>
      </c>
      <c r="R5" s="87"/>
    </row>
    <row r="6">
      <c r="A6" s="28" t="s">
        <v>57</v>
      </c>
      <c r="B6" s="44" t="s">
        <v>51</v>
      </c>
      <c r="C6" s="8" t="s">
        <v>87</v>
      </c>
      <c r="D6" s="83">
        <v>7.89294962088E11</v>
      </c>
      <c r="E6" s="84"/>
      <c r="F6" s="84" t="s">
        <v>96</v>
      </c>
      <c r="G6" s="8" t="s">
        <v>89</v>
      </c>
      <c r="I6" s="8" t="s">
        <v>91</v>
      </c>
      <c r="J6" s="8">
        <v>2022.0</v>
      </c>
      <c r="K6" s="8" t="s">
        <v>97</v>
      </c>
      <c r="L6" s="8">
        <v>2022.0</v>
      </c>
      <c r="M6" s="8" t="s">
        <v>98</v>
      </c>
      <c r="N6" s="85">
        <v>44889.0</v>
      </c>
      <c r="O6" s="88" t="s">
        <v>94</v>
      </c>
      <c r="P6" s="88" t="s">
        <v>95</v>
      </c>
      <c r="Q6" s="75"/>
      <c r="S6" s="89"/>
    </row>
    <row r="7">
      <c r="A7" s="28"/>
      <c r="B7" s="28"/>
      <c r="C7" s="28"/>
      <c r="D7" s="90"/>
      <c r="E7" s="91"/>
      <c r="F7" s="91"/>
      <c r="G7" s="8"/>
      <c r="H7" s="28"/>
      <c r="I7" s="8"/>
      <c r="J7" s="92"/>
      <c r="K7" s="28"/>
      <c r="L7" s="92"/>
      <c r="M7" s="28"/>
      <c r="N7" s="93"/>
      <c r="O7" s="94"/>
      <c r="P7" s="94"/>
      <c r="Q7" s="28"/>
      <c r="R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row>
    <row r="8">
      <c r="A8" s="28"/>
      <c r="B8" s="28"/>
      <c r="C8" s="28"/>
      <c r="D8" s="90"/>
      <c r="E8" s="84"/>
      <c r="F8" s="91"/>
      <c r="G8" s="8"/>
      <c r="H8" s="28"/>
      <c r="I8" s="8"/>
      <c r="J8" s="92"/>
      <c r="K8" s="28"/>
      <c r="L8" s="92"/>
      <c r="M8" s="28"/>
      <c r="N8" s="93"/>
      <c r="O8" s="94"/>
      <c r="P8" s="94"/>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row>
    <row r="9">
      <c r="A9" s="28"/>
      <c r="B9" s="28"/>
      <c r="C9" s="28"/>
      <c r="D9" s="90"/>
      <c r="E9" s="91"/>
      <c r="F9" s="91"/>
      <c r="G9" s="8"/>
      <c r="H9" s="28"/>
      <c r="I9" s="8"/>
      <c r="J9" s="92"/>
      <c r="K9" s="28"/>
      <c r="L9" s="92"/>
      <c r="M9" s="28"/>
      <c r="N9" s="93"/>
      <c r="O9" s="94"/>
      <c r="P9" s="94"/>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row>
    <row r="10">
      <c r="A10" s="28"/>
      <c r="B10" s="28"/>
      <c r="C10" s="28"/>
      <c r="D10" s="90"/>
      <c r="E10" s="91"/>
      <c r="F10" s="84"/>
      <c r="G10" s="8"/>
      <c r="H10" s="28"/>
      <c r="I10" s="8"/>
      <c r="J10" s="92"/>
      <c r="K10" s="28"/>
      <c r="L10" s="92"/>
      <c r="M10" s="28"/>
      <c r="N10" s="93"/>
      <c r="O10" s="94"/>
      <c r="P10" s="94"/>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row>
    <row r="11">
      <c r="A11" s="28"/>
      <c r="B11" s="28"/>
      <c r="C11" s="28"/>
      <c r="D11" s="90"/>
      <c r="E11" s="91"/>
      <c r="F11" s="91"/>
      <c r="G11" s="8"/>
      <c r="H11" s="28"/>
      <c r="I11" s="8"/>
      <c r="J11" s="92"/>
      <c r="K11" s="28"/>
      <c r="L11" s="92"/>
      <c r="M11" s="28"/>
      <c r="N11" s="93"/>
      <c r="O11" s="94"/>
      <c r="P11" s="94"/>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row>
    <row r="12">
      <c r="A12" s="28"/>
      <c r="B12" s="28"/>
      <c r="C12" s="28"/>
      <c r="D12" s="90"/>
      <c r="E12" s="91"/>
      <c r="F12" s="91"/>
      <c r="G12" s="8"/>
      <c r="H12" s="28"/>
      <c r="I12" s="8"/>
      <c r="J12" s="92"/>
      <c r="K12" s="28"/>
      <c r="L12" s="92"/>
      <c r="M12" s="28"/>
      <c r="N12" s="93"/>
      <c r="O12" s="94"/>
      <c r="P12" s="94"/>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row>
    <row r="13">
      <c r="A13" s="28"/>
      <c r="B13" s="28"/>
      <c r="C13" s="28"/>
      <c r="D13" s="90"/>
      <c r="E13" s="91"/>
      <c r="F13" s="91"/>
      <c r="G13" s="8"/>
      <c r="H13" s="28"/>
      <c r="I13" s="8"/>
      <c r="J13" s="92"/>
      <c r="K13" s="28"/>
      <c r="L13" s="92"/>
      <c r="M13" s="28"/>
      <c r="N13" s="93"/>
      <c r="O13" s="94"/>
      <c r="P13" s="94"/>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row>
    <row r="14">
      <c r="A14" s="28"/>
      <c r="B14" s="28"/>
      <c r="C14" s="28"/>
      <c r="D14" s="90"/>
      <c r="E14" s="91"/>
      <c r="F14" s="91"/>
      <c r="G14" s="8"/>
      <c r="H14" s="28"/>
      <c r="I14" s="8"/>
      <c r="J14" s="92"/>
      <c r="K14" s="28"/>
      <c r="L14" s="92"/>
      <c r="M14" s="28"/>
      <c r="N14" s="93"/>
      <c r="O14" s="94"/>
      <c r="P14" s="94"/>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row>
    <row r="15">
      <c r="A15" s="28"/>
      <c r="B15" s="28"/>
      <c r="C15" s="28"/>
      <c r="D15" s="90"/>
      <c r="E15" s="91"/>
      <c r="F15" s="91"/>
      <c r="G15" s="8"/>
      <c r="H15" s="28"/>
      <c r="I15" s="28"/>
      <c r="J15" s="28"/>
      <c r="K15" s="28"/>
      <c r="L15" s="28"/>
      <c r="M15" s="28"/>
      <c r="N15" s="95"/>
      <c r="O15" s="28"/>
      <c r="P15" s="28"/>
      <c r="Q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row>
    <row r="16">
      <c r="A16" s="28"/>
      <c r="B16" s="28"/>
      <c r="C16" s="28"/>
      <c r="D16" s="90"/>
      <c r="E16" s="91"/>
      <c r="F16" s="91"/>
      <c r="G16" s="8"/>
      <c r="H16" s="28"/>
      <c r="I16" s="28"/>
      <c r="J16" s="28"/>
      <c r="K16" s="28"/>
      <c r="L16" s="28"/>
      <c r="M16" s="28"/>
      <c r="N16" s="95"/>
      <c r="O16" s="28"/>
      <c r="P16" s="28"/>
      <c r="Q16" s="28"/>
      <c r="R16" s="28"/>
      <c r="S16" s="28"/>
      <c r="T16" s="28"/>
      <c r="U16" s="28"/>
      <c r="V16" s="28"/>
      <c r="W16" s="43"/>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row>
    <row r="17">
      <c r="A17" s="28"/>
      <c r="C17" s="92"/>
      <c r="D17" s="90"/>
      <c r="E17" s="91"/>
      <c r="F17" s="91"/>
      <c r="G17" s="8"/>
      <c r="I17" s="58"/>
      <c r="J17" s="92"/>
      <c r="L17" s="92"/>
      <c r="N17" s="93"/>
      <c r="O17" s="58"/>
      <c r="P17" s="58"/>
    </row>
    <row r="18">
      <c r="A18" s="28"/>
      <c r="C18" s="92"/>
      <c r="D18" s="90"/>
      <c r="E18" s="91"/>
      <c r="F18" s="91"/>
      <c r="G18" s="8"/>
      <c r="I18" s="58"/>
      <c r="J18" s="92"/>
      <c r="L18" s="92"/>
      <c r="N18" s="93"/>
      <c r="O18" s="58"/>
      <c r="P18" s="58"/>
    </row>
    <row r="19">
      <c r="A19" s="28"/>
      <c r="C19" s="92"/>
      <c r="D19" s="90"/>
      <c r="E19" s="91"/>
      <c r="F19" s="91"/>
      <c r="G19" s="8"/>
      <c r="I19" s="58"/>
      <c r="J19" s="92"/>
      <c r="L19" s="92"/>
      <c r="N19" s="93"/>
      <c r="O19" s="58"/>
      <c r="P19" s="58"/>
    </row>
    <row r="20">
      <c r="A20" s="28"/>
      <c r="C20" s="92"/>
      <c r="D20" s="90"/>
      <c r="E20" s="91"/>
      <c r="F20" s="91"/>
      <c r="G20" s="8"/>
      <c r="I20" s="58"/>
      <c r="J20" s="92"/>
      <c r="L20" s="92"/>
      <c r="N20" s="93"/>
      <c r="O20" s="58"/>
      <c r="P20" s="58"/>
    </row>
    <row r="21">
      <c r="A21" s="28"/>
      <c r="C21" s="92"/>
      <c r="D21" s="90"/>
      <c r="E21" s="91"/>
      <c r="F21" s="91"/>
      <c r="G21" s="8"/>
      <c r="I21" s="58"/>
      <c r="J21" s="92"/>
      <c r="L21" s="92"/>
      <c r="N21" s="93"/>
      <c r="O21" s="58"/>
      <c r="P21" s="58"/>
    </row>
    <row r="22">
      <c r="A22" s="28"/>
      <c r="C22" s="92"/>
      <c r="D22" s="90"/>
      <c r="E22" s="91"/>
      <c r="F22" s="91"/>
      <c r="G22" s="8"/>
      <c r="I22" s="92"/>
      <c r="J22" s="92"/>
      <c r="L22" s="92"/>
      <c r="N22" s="93"/>
      <c r="O22" s="58"/>
      <c r="P22" s="58"/>
    </row>
    <row r="23">
      <c r="A23" s="28"/>
      <c r="C23" s="92"/>
      <c r="D23" s="90"/>
      <c r="E23" s="91"/>
      <c r="F23" s="91"/>
      <c r="G23" s="8"/>
      <c r="I23" s="92"/>
      <c r="J23" s="92"/>
      <c r="L23" s="92"/>
      <c r="N23" s="93"/>
      <c r="O23" s="58"/>
      <c r="P23" s="58"/>
    </row>
    <row r="24">
      <c r="A24" s="28"/>
      <c r="C24" s="92"/>
      <c r="D24" s="90"/>
      <c r="E24" s="91"/>
      <c r="F24" s="91"/>
      <c r="G24" s="8"/>
      <c r="I24" s="92"/>
      <c r="J24" s="92"/>
      <c r="L24" s="92"/>
      <c r="N24" s="93"/>
      <c r="O24" s="58"/>
      <c r="P24" s="58"/>
    </row>
    <row r="25">
      <c r="A25" s="28"/>
      <c r="C25" s="92"/>
      <c r="D25" s="90"/>
      <c r="E25" s="91"/>
      <c r="F25" s="91"/>
      <c r="G25" s="8"/>
      <c r="I25" s="92"/>
      <c r="J25" s="92"/>
      <c r="L25" s="92"/>
      <c r="N25" s="93"/>
      <c r="O25" s="58"/>
      <c r="P25" s="58"/>
    </row>
    <row r="26">
      <c r="A26" s="28"/>
      <c r="C26" s="92"/>
      <c r="D26" s="90"/>
      <c r="E26" s="91"/>
      <c r="F26" s="91"/>
      <c r="G26" s="8"/>
      <c r="I26" s="92"/>
      <c r="J26" s="92"/>
      <c r="L26" s="92"/>
      <c r="N26" s="93"/>
      <c r="O26" s="58"/>
      <c r="P26" s="58"/>
    </row>
    <row r="27">
      <c r="A27" s="28"/>
      <c r="C27" s="92"/>
      <c r="D27" s="90"/>
      <c r="E27" s="91"/>
      <c r="F27" s="91"/>
      <c r="G27" s="8"/>
      <c r="I27" s="92"/>
      <c r="J27" s="92"/>
      <c r="L27" s="92"/>
      <c r="N27" s="93"/>
      <c r="O27" s="58"/>
      <c r="P27" s="58"/>
    </row>
    <row r="28">
      <c r="A28" s="28"/>
      <c r="C28" s="92"/>
      <c r="D28" s="90"/>
      <c r="E28" s="91"/>
      <c r="F28" s="91"/>
      <c r="G28" s="8"/>
      <c r="I28" s="58"/>
      <c r="J28" s="92"/>
      <c r="L28" s="92"/>
      <c r="N28" s="93"/>
      <c r="O28" s="58"/>
      <c r="P28" s="58"/>
    </row>
    <row r="29">
      <c r="A29" s="28"/>
      <c r="C29" s="92"/>
      <c r="D29" s="90"/>
      <c r="E29" s="91"/>
      <c r="F29" s="91"/>
      <c r="G29" s="8"/>
      <c r="I29" s="58"/>
      <c r="J29" s="92"/>
      <c r="L29" s="92"/>
      <c r="N29" s="93"/>
      <c r="O29" s="58"/>
      <c r="P29" s="58"/>
    </row>
    <row r="30">
      <c r="A30" s="28"/>
      <c r="C30" s="92"/>
      <c r="D30" s="90"/>
      <c r="E30" s="91"/>
      <c r="F30" s="91"/>
      <c r="G30" s="8"/>
      <c r="I30" s="58"/>
      <c r="J30" s="92"/>
      <c r="L30" s="92"/>
      <c r="N30" s="93"/>
      <c r="O30" s="58"/>
      <c r="P30" s="58"/>
    </row>
    <row r="31">
      <c r="A31" s="28"/>
      <c r="C31" s="92"/>
      <c r="D31" s="90"/>
      <c r="E31" s="91"/>
      <c r="F31" s="91"/>
      <c r="G31" s="8"/>
      <c r="I31" s="58"/>
      <c r="J31" s="92"/>
      <c r="L31" s="92"/>
      <c r="N31" s="93"/>
      <c r="O31" s="58"/>
      <c r="P31" s="58"/>
    </row>
    <row r="32">
      <c r="A32" s="28"/>
      <c r="C32" s="92"/>
      <c r="D32" s="90"/>
      <c r="E32" s="91"/>
      <c r="F32" s="91"/>
      <c r="G32" s="8"/>
      <c r="I32" s="58"/>
      <c r="J32" s="92"/>
      <c r="L32" s="92"/>
      <c r="N32" s="93"/>
      <c r="O32" s="58"/>
      <c r="P32" s="58"/>
    </row>
    <row r="33">
      <c r="A33" s="28"/>
      <c r="C33" s="92"/>
      <c r="D33" s="90"/>
      <c r="E33" s="91"/>
      <c r="F33" s="91"/>
      <c r="G33" s="8"/>
      <c r="I33" s="58"/>
      <c r="J33" s="92"/>
      <c r="L33" s="92"/>
      <c r="N33" s="93"/>
      <c r="O33" s="58"/>
      <c r="P33" s="58"/>
    </row>
    <row r="34">
      <c r="A34" s="28"/>
      <c r="C34" s="92"/>
      <c r="D34" s="90"/>
      <c r="E34" s="91"/>
      <c r="F34" s="91"/>
      <c r="G34" s="8"/>
      <c r="I34" s="58"/>
      <c r="J34" s="92"/>
      <c r="L34" s="92"/>
      <c r="N34" s="93"/>
      <c r="O34" s="58"/>
      <c r="P34" s="58"/>
    </row>
    <row r="35">
      <c r="A35" s="28"/>
      <c r="C35" s="92"/>
      <c r="D35" s="90"/>
      <c r="E35" s="91"/>
      <c r="F35" s="91"/>
      <c r="G35" s="8"/>
      <c r="I35" s="58"/>
      <c r="J35" s="92"/>
      <c r="L35" s="92"/>
      <c r="N35" s="93"/>
      <c r="O35" s="58"/>
      <c r="P35" s="58"/>
    </row>
    <row r="36">
      <c r="A36" s="28"/>
      <c r="C36" s="92"/>
      <c r="D36" s="90"/>
      <c r="E36" s="91"/>
      <c r="F36" s="91"/>
      <c r="G36" s="8"/>
      <c r="I36" s="58"/>
      <c r="J36" s="92"/>
      <c r="L36" s="92"/>
      <c r="N36" s="93"/>
      <c r="O36" s="58"/>
      <c r="P36" s="58"/>
    </row>
    <row r="37">
      <c r="A37" s="28"/>
      <c r="C37" s="92"/>
      <c r="D37" s="90"/>
      <c r="E37" s="91"/>
      <c r="F37" s="91"/>
      <c r="G37" s="8"/>
      <c r="I37" s="58"/>
      <c r="J37" s="92"/>
      <c r="L37" s="92"/>
      <c r="N37" s="93"/>
      <c r="O37" s="58"/>
      <c r="P37" s="58"/>
    </row>
    <row r="38">
      <c r="A38" s="28"/>
      <c r="C38" s="92"/>
      <c r="D38" s="90"/>
      <c r="E38" s="91"/>
      <c r="F38" s="91"/>
      <c r="G38" s="8"/>
      <c r="I38" s="58"/>
      <c r="J38" s="92"/>
      <c r="L38" s="92"/>
      <c r="N38" s="93"/>
      <c r="O38" s="58"/>
      <c r="P38" s="58"/>
    </row>
    <row r="39">
      <c r="A39" s="28"/>
      <c r="C39" s="92"/>
      <c r="D39" s="90"/>
      <c r="E39" s="91"/>
      <c r="F39" s="91"/>
      <c r="G39" s="8"/>
      <c r="I39" s="58"/>
      <c r="J39" s="92"/>
      <c r="L39" s="92"/>
      <c r="N39" s="93"/>
      <c r="O39" s="58"/>
      <c r="P39" s="58"/>
    </row>
    <row r="40">
      <c r="A40" s="28"/>
      <c r="C40" s="92"/>
      <c r="D40" s="90"/>
      <c r="E40" s="91"/>
      <c r="F40" s="91"/>
      <c r="G40" s="8"/>
      <c r="I40" s="58"/>
      <c r="J40" s="92"/>
      <c r="L40" s="92"/>
      <c r="N40" s="93"/>
      <c r="O40" s="58"/>
      <c r="P40" s="58"/>
    </row>
    <row r="41">
      <c r="A41" s="28"/>
      <c r="C41" s="92"/>
      <c r="D41" s="90"/>
      <c r="E41" s="91"/>
      <c r="F41" s="91"/>
      <c r="G41" s="8"/>
      <c r="I41" s="58"/>
      <c r="J41" s="92"/>
      <c r="L41" s="92"/>
      <c r="N41" s="93"/>
      <c r="O41" s="58"/>
      <c r="P41" s="58"/>
    </row>
    <row r="42">
      <c r="A42" s="28"/>
      <c r="C42" s="92"/>
      <c r="D42" s="90"/>
      <c r="E42" s="91"/>
      <c r="F42" s="91"/>
      <c r="G42" s="8"/>
      <c r="I42" s="58"/>
      <c r="J42" s="92"/>
      <c r="L42" s="92"/>
      <c r="N42" s="93"/>
      <c r="O42" s="58"/>
      <c r="P42" s="58"/>
    </row>
    <row r="43">
      <c r="A43" s="28"/>
      <c r="C43" s="92"/>
      <c r="D43" s="90"/>
      <c r="E43" s="91"/>
      <c r="F43" s="91"/>
      <c r="G43" s="8"/>
      <c r="I43" s="58"/>
      <c r="J43" s="92"/>
      <c r="L43" s="92"/>
      <c r="N43" s="93"/>
      <c r="O43" s="58"/>
      <c r="P43" s="58"/>
    </row>
    <row r="44">
      <c r="A44" s="28"/>
      <c r="C44" s="92"/>
      <c r="D44" s="90"/>
      <c r="E44" s="91"/>
      <c r="F44" s="91"/>
      <c r="G44" s="8"/>
      <c r="I44" s="58"/>
      <c r="J44" s="92"/>
      <c r="L44" s="92"/>
      <c r="N44" s="93"/>
      <c r="O44" s="58"/>
      <c r="P44" s="58"/>
    </row>
    <row r="45">
      <c r="A45" s="28"/>
      <c r="C45" s="92"/>
      <c r="D45" s="90"/>
      <c r="E45" s="91"/>
      <c r="F45" s="91"/>
      <c r="G45" s="8"/>
      <c r="I45" s="58"/>
      <c r="J45" s="92"/>
      <c r="L45" s="92"/>
      <c r="N45" s="93"/>
      <c r="O45" s="58"/>
      <c r="P45" s="58"/>
    </row>
    <row r="46">
      <c r="A46" s="28"/>
      <c r="C46" s="92"/>
      <c r="D46" s="90"/>
      <c r="E46" s="91"/>
      <c r="F46" s="91"/>
      <c r="G46" s="8"/>
      <c r="I46" s="58"/>
      <c r="J46" s="92"/>
      <c r="L46" s="92"/>
      <c r="N46" s="93"/>
      <c r="O46" s="58"/>
      <c r="P46" s="58"/>
    </row>
    <row r="47">
      <c r="A47" s="28"/>
      <c r="C47" s="92"/>
      <c r="D47" s="90"/>
      <c r="E47" s="91"/>
      <c r="F47" s="91"/>
      <c r="G47" s="8"/>
      <c r="I47" s="58"/>
      <c r="J47" s="92"/>
      <c r="L47" s="92"/>
      <c r="N47" s="93"/>
      <c r="O47" s="58"/>
      <c r="P47" s="58"/>
    </row>
    <row r="48">
      <c r="A48" s="28"/>
      <c r="C48" s="92"/>
      <c r="D48" s="90"/>
      <c r="E48" s="91"/>
      <c r="F48" s="91"/>
      <c r="G48" s="8"/>
      <c r="I48" s="58"/>
      <c r="J48" s="92"/>
      <c r="L48" s="92"/>
      <c r="N48" s="93"/>
      <c r="O48" s="58"/>
      <c r="P48" s="58"/>
    </row>
    <row r="49">
      <c r="A49" s="28"/>
      <c r="C49" s="92"/>
      <c r="D49" s="90"/>
      <c r="E49" s="91"/>
      <c r="F49" s="91"/>
      <c r="G49" s="8"/>
      <c r="I49" s="58"/>
      <c r="J49" s="92"/>
      <c r="L49" s="92"/>
      <c r="N49" s="93"/>
      <c r="O49" s="58"/>
      <c r="P49" s="58"/>
    </row>
    <row r="50">
      <c r="A50" s="28"/>
      <c r="C50" s="92"/>
      <c r="D50" s="90"/>
      <c r="E50" s="91"/>
      <c r="F50" s="91"/>
      <c r="G50" s="8"/>
      <c r="I50" s="58"/>
      <c r="J50" s="92"/>
      <c r="L50" s="92"/>
      <c r="N50" s="93"/>
      <c r="O50" s="58"/>
      <c r="P50" s="58"/>
    </row>
    <row r="51">
      <c r="A51" s="28"/>
      <c r="C51" s="92"/>
      <c r="D51" s="90"/>
      <c r="E51" s="91"/>
      <c r="F51" s="91"/>
      <c r="G51" s="8"/>
      <c r="I51" s="58"/>
      <c r="J51" s="92"/>
      <c r="L51" s="92"/>
      <c r="N51" s="93"/>
      <c r="O51" s="58"/>
      <c r="P51" s="58"/>
    </row>
    <row r="52">
      <c r="A52" s="28"/>
      <c r="C52" s="92"/>
      <c r="D52" s="90"/>
      <c r="E52" s="91"/>
      <c r="F52" s="91"/>
      <c r="G52" s="8"/>
      <c r="I52" s="58"/>
      <c r="J52" s="92"/>
      <c r="L52" s="92"/>
      <c r="N52" s="93"/>
      <c r="O52" s="58"/>
      <c r="P52" s="58"/>
    </row>
    <row r="53">
      <c r="A53" s="28"/>
      <c r="C53" s="92"/>
      <c r="D53" s="90"/>
      <c r="E53" s="91"/>
      <c r="F53" s="91"/>
      <c r="G53" s="8"/>
      <c r="I53" s="58"/>
      <c r="J53" s="92"/>
      <c r="L53" s="92"/>
      <c r="N53" s="93"/>
      <c r="O53" s="58"/>
      <c r="P53" s="58"/>
    </row>
    <row r="54">
      <c r="A54" s="28"/>
      <c r="C54" s="92"/>
      <c r="D54" s="90"/>
      <c r="E54" s="91"/>
      <c r="F54" s="91"/>
      <c r="G54" s="8"/>
      <c r="I54" s="58"/>
      <c r="J54" s="92"/>
      <c r="L54" s="92"/>
      <c r="N54" s="93"/>
      <c r="O54" s="58"/>
      <c r="P54" s="58"/>
    </row>
    <row r="55">
      <c r="A55" s="28"/>
      <c r="C55" s="92"/>
      <c r="D55" s="90"/>
      <c r="E55" s="91"/>
      <c r="F55" s="91"/>
      <c r="G55" s="8"/>
      <c r="I55" s="58"/>
      <c r="J55" s="92"/>
      <c r="L55" s="92"/>
      <c r="N55" s="93"/>
      <c r="O55" s="58"/>
      <c r="P55" s="58"/>
    </row>
    <row r="56">
      <c r="A56" s="28"/>
      <c r="C56" s="92"/>
      <c r="D56" s="90"/>
      <c r="E56" s="91"/>
      <c r="F56" s="91"/>
      <c r="G56" s="8"/>
      <c r="I56" s="58"/>
      <c r="J56" s="92"/>
      <c r="L56" s="92"/>
      <c r="N56" s="93"/>
      <c r="O56" s="58"/>
      <c r="P56" s="58"/>
    </row>
    <row r="57">
      <c r="A57" s="28"/>
      <c r="C57" s="92"/>
      <c r="D57" s="90"/>
      <c r="E57" s="91"/>
      <c r="F57" s="91"/>
      <c r="G57" s="8"/>
      <c r="I57" s="58"/>
      <c r="J57" s="92"/>
      <c r="L57" s="92"/>
      <c r="N57" s="93"/>
      <c r="O57" s="58"/>
      <c r="P57" s="58"/>
    </row>
    <row r="58">
      <c r="A58" s="28"/>
      <c r="C58" s="92"/>
      <c r="D58" s="90"/>
      <c r="E58" s="91"/>
      <c r="F58" s="91"/>
      <c r="G58" s="8"/>
      <c r="I58" s="58"/>
      <c r="J58" s="92"/>
      <c r="L58" s="92"/>
      <c r="N58" s="93"/>
      <c r="O58" s="58"/>
      <c r="P58" s="58"/>
    </row>
    <row r="59">
      <c r="A59" s="28"/>
      <c r="C59" s="92"/>
      <c r="D59" s="90"/>
      <c r="E59" s="91"/>
      <c r="F59" s="91"/>
      <c r="G59" s="8"/>
      <c r="I59" s="58"/>
      <c r="J59" s="92"/>
      <c r="L59" s="92"/>
      <c r="N59" s="93"/>
      <c r="O59" s="58"/>
      <c r="P59" s="58"/>
    </row>
    <row r="60">
      <c r="A60" s="28"/>
      <c r="C60" s="92"/>
      <c r="D60" s="90"/>
      <c r="E60" s="91"/>
      <c r="F60" s="91"/>
      <c r="G60" s="8"/>
      <c r="I60" s="58"/>
      <c r="J60" s="92"/>
      <c r="L60" s="92"/>
      <c r="N60" s="93"/>
      <c r="O60" s="58"/>
      <c r="P60" s="58"/>
    </row>
    <row r="61">
      <c r="A61" s="28"/>
      <c r="C61" s="92"/>
      <c r="D61" s="90"/>
      <c r="E61" s="91"/>
      <c r="F61" s="91"/>
      <c r="G61" s="8"/>
      <c r="I61" s="58"/>
      <c r="J61" s="92"/>
      <c r="L61" s="92"/>
      <c r="N61" s="93"/>
      <c r="O61" s="58"/>
      <c r="P61" s="58"/>
    </row>
    <row r="62">
      <c r="A62" s="28"/>
      <c r="C62" s="92"/>
      <c r="D62" s="90"/>
      <c r="E62" s="91"/>
      <c r="F62" s="91"/>
      <c r="G62" s="8"/>
      <c r="I62" s="58"/>
      <c r="J62" s="92"/>
      <c r="L62" s="92"/>
      <c r="N62" s="93"/>
      <c r="O62" s="58"/>
      <c r="P62" s="58"/>
    </row>
    <row r="63">
      <c r="A63" s="28"/>
      <c r="C63" s="92"/>
      <c r="D63" s="90"/>
      <c r="E63" s="91"/>
      <c r="F63" s="91"/>
      <c r="G63" s="8"/>
      <c r="I63" s="58"/>
      <c r="J63" s="92"/>
      <c r="L63" s="92"/>
      <c r="N63" s="93"/>
      <c r="O63" s="58"/>
      <c r="P63" s="58"/>
    </row>
    <row r="64">
      <c r="A64" s="28"/>
      <c r="C64" s="92"/>
      <c r="D64" s="90"/>
      <c r="E64" s="91"/>
      <c r="F64" s="91"/>
      <c r="G64" s="8"/>
      <c r="I64" s="58"/>
      <c r="J64" s="92"/>
      <c r="L64" s="92"/>
      <c r="N64" s="93"/>
      <c r="O64" s="58"/>
      <c r="P64" s="58"/>
    </row>
    <row r="65">
      <c r="A65" s="28"/>
      <c r="C65" s="92"/>
      <c r="D65" s="90"/>
      <c r="E65" s="91"/>
      <c r="F65" s="91"/>
      <c r="G65" s="8"/>
      <c r="I65" s="58"/>
      <c r="J65" s="92"/>
      <c r="L65" s="92"/>
      <c r="N65" s="93"/>
      <c r="O65" s="58"/>
      <c r="P65" s="58"/>
    </row>
    <row r="66">
      <c r="A66" s="28"/>
      <c r="C66" s="92"/>
      <c r="D66" s="90"/>
      <c r="E66" s="91"/>
      <c r="F66" s="91"/>
      <c r="G66" s="8"/>
      <c r="I66" s="58"/>
      <c r="J66" s="92"/>
      <c r="L66" s="92"/>
      <c r="N66" s="93"/>
      <c r="O66" s="58"/>
      <c r="P66" s="58"/>
    </row>
    <row r="67">
      <c r="A67" s="28"/>
      <c r="C67" s="92"/>
      <c r="D67" s="90"/>
      <c r="E67" s="91"/>
      <c r="F67" s="91"/>
      <c r="G67" s="8"/>
      <c r="I67" s="58"/>
      <c r="J67" s="92"/>
      <c r="L67" s="92"/>
      <c r="N67" s="93"/>
      <c r="O67" s="58"/>
      <c r="P67" s="58"/>
    </row>
    <row r="68">
      <c r="A68" s="28"/>
      <c r="C68" s="92"/>
      <c r="D68" s="90"/>
      <c r="E68" s="91"/>
      <c r="F68" s="91"/>
      <c r="G68" s="8"/>
      <c r="I68" s="58"/>
      <c r="J68" s="92"/>
      <c r="L68" s="92"/>
      <c r="N68" s="93"/>
      <c r="O68" s="58"/>
      <c r="P68" s="58"/>
    </row>
    <row r="69">
      <c r="A69" s="28"/>
      <c r="C69" s="92"/>
      <c r="D69" s="90"/>
      <c r="E69" s="91"/>
      <c r="F69" s="91"/>
      <c r="G69" s="8"/>
      <c r="I69" s="58"/>
      <c r="J69" s="92"/>
      <c r="L69" s="92"/>
      <c r="N69" s="93"/>
      <c r="O69" s="58"/>
      <c r="P69" s="58"/>
    </row>
    <row r="70">
      <c r="A70" s="28"/>
      <c r="C70" s="92"/>
      <c r="D70" s="90"/>
      <c r="E70" s="91"/>
      <c r="F70" s="91"/>
      <c r="G70" s="8"/>
      <c r="I70" s="58"/>
      <c r="J70" s="92"/>
      <c r="L70" s="92"/>
      <c r="N70" s="93"/>
      <c r="O70" s="58"/>
      <c r="P70" s="58"/>
    </row>
    <row r="71">
      <c r="A71" s="28"/>
      <c r="C71" s="92"/>
      <c r="D71" s="90"/>
      <c r="E71" s="91"/>
      <c r="F71" s="91"/>
      <c r="G71" s="8"/>
      <c r="I71" s="58"/>
      <c r="J71" s="92"/>
      <c r="L71" s="92"/>
      <c r="N71" s="93"/>
      <c r="O71" s="58"/>
      <c r="P71" s="58"/>
    </row>
    <row r="72">
      <c r="A72" s="28"/>
      <c r="C72" s="92"/>
      <c r="D72" s="90"/>
      <c r="E72" s="91"/>
      <c r="F72" s="91"/>
      <c r="G72" s="8"/>
      <c r="I72" s="58"/>
      <c r="J72" s="92"/>
      <c r="L72" s="92"/>
      <c r="N72" s="93"/>
      <c r="O72" s="58"/>
      <c r="P72" s="58"/>
    </row>
    <row r="73">
      <c r="A73" s="28"/>
      <c r="C73" s="92"/>
      <c r="D73" s="90"/>
      <c r="E73" s="91"/>
      <c r="F73" s="91"/>
      <c r="G73" s="8"/>
      <c r="I73" s="58"/>
      <c r="J73" s="92"/>
      <c r="L73" s="92"/>
      <c r="N73" s="93"/>
      <c r="O73" s="58"/>
      <c r="P73" s="58"/>
    </row>
    <row r="74">
      <c r="A74" s="28"/>
      <c r="C74" s="92"/>
      <c r="D74" s="90"/>
      <c r="E74" s="91"/>
      <c r="F74" s="91"/>
      <c r="G74" s="8"/>
      <c r="I74" s="58"/>
      <c r="J74" s="92"/>
      <c r="L74" s="92"/>
      <c r="N74" s="93"/>
      <c r="O74" s="58"/>
      <c r="P74" s="58"/>
    </row>
    <row r="75">
      <c r="A75" s="28"/>
      <c r="C75" s="92"/>
      <c r="D75" s="90"/>
      <c r="E75" s="91"/>
      <c r="F75" s="91"/>
      <c r="G75" s="8"/>
      <c r="I75" s="58"/>
      <c r="J75" s="92"/>
      <c r="L75" s="92"/>
      <c r="N75" s="93"/>
      <c r="O75" s="58"/>
      <c r="P75" s="58"/>
    </row>
    <row r="76">
      <c r="A76" s="28"/>
      <c r="C76" s="92"/>
      <c r="D76" s="90"/>
      <c r="E76" s="91"/>
      <c r="F76" s="91"/>
      <c r="G76" s="8"/>
      <c r="I76" s="58"/>
      <c r="J76" s="92"/>
      <c r="L76" s="92"/>
      <c r="N76" s="93"/>
      <c r="O76" s="58"/>
      <c r="P76" s="58"/>
    </row>
    <row r="77">
      <c r="A77" s="28"/>
      <c r="C77" s="92"/>
      <c r="D77" s="90"/>
      <c r="E77" s="91"/>
      <c r="F77" s="91"/>
      <c r="G77" s="8"/>
      <c r="I77" s="58"/>
      <c r="J77" s="92"/>
      <c r="L77" s="92"/>
      <c r="N77" s="93"/>
      <c r="O77" s="58"/>
      <c r="P77" s="58"/>
    </row>
    <row r="78">
      <c r="A78" s="28"/>
      <c r="C78" s="92"/>
      <c r="D78" s="90"/>
      <c r="E78" s="91"/>
      <c r="F78" s="91"/>
      <c r="G78" s="8"/>
      <c r="I78" s="58"/>
      <c r="J78" s="92"/>
      <c r="L78" s="92"/>
      <c r="N78" s="93"/>
      <c r="O78" s="58"/>
      <c r="P78" s="58"/>
    </row>
    <row r="79">
      <c r="A79" s="28"/>
      <c r="C79" s="92"/>
      <c r="D79" s="90"/>
      <c r="E79" s="91"/>
      <c r="F79" s="91"/>
      <c r="G79" s="8"/>
      <c r="I79" s="58"/>
      <c r="J79" s="92"/>
      <c r="L79" s="92"/>
      <c r="N79" s="93"/>
      <c r="O79" s="58"/>
      <c r="P79" s="58"/>
    </row>
    <row r="80">
      <c r="A80" s="28"/>
      <c r="C80" s="92"/>
      <c r="D80" s="90"/>
      <c r="E80" s="91"/>
      <c r="F80" s="91"/>
      <c r="G80" s="8"/>
      <c r="I80" s="58"/>
      <c r="J80" s="92"/>
      <c r="L80" s="92"/>
      <c r="N80" s="93"/>
      <c r="O80" s="58"/>
      <c r="P80" s="58"/>
    </row>
    <row r="81">
      <c r="A81" s="28"/>
      <c r="C81" s="92"/>
      <c r="D81" s="90"/>
      <c r="E81" s="91"/>
      <c r="F81" s="91"/>
      <c r="G81" s="8"/>
      <c r="I81" s="58"/>
      <c r="J81" s="92"/>
      <c r="L81" s="92"/>
      <c r="N81" s="93"/>
      <c r="O81" s="58"/>
      <c r="P81" s="58"/>
    </row>
    <row r="82">
      <c r="A82" s="28"/>
      <c r="C82" s="92"/>
      <c r="D82" s="90"/>
      <c r="E82" s="91"/>
      <c r="F82" s="91"/>
      <c r="G82" s="8"/>
      <c r="I82" s="58"/>
      <c r="J82" s="92"/>
      <c r="L82" s="92"/>
      <c r="N82" s="93"/>
      <c r="O82" s="58"/>
      <c r="P82" s="58"/>
    </row>
    <row r="83">
      <c r="A83" s="28"/>
      <c r="C83" s="92"/>
      <c r="D83" s="90"/>
      <c r="E83" s="91"/>
      <c r="F83" s="91"/>
      <c r="G83" s="8"/>
      <c r="I83" s="58"/>
      <c r="J83" s="92"/>
      <c r="L83" s="92"/>
      <c r="N83" s="93"/>
      <c r="O83" s="58"/>
      <c r="P83" s="58"/>
    </row>
    <row r="84">
      <c r="A84" s="28"/>
      <c r="C84" s="92"/>
      <c r="D84" s="90"/>
      <c r="E84" s="91"/>
      <c r="F84" s="91"/>
      <c r="G84" s="8"/>
      <c r="I84" s="58"/>
      <c r="J84" s="92"/>
      <c r="L84" s="92"/>
      <c r="N84" s="93"/>
      <c r="O84" s="58"/>
      <c r="P84" s="58"/>
    </row>
    <row r="85">
      <c r="A85" s="28"/>
      <c r="C85" s="92"/>
      <c r="D85" s="90"/>
      <c r="E85" s="91"/>
      <c r="F85" s="91"/>
      <c r="G85" s="8"/>
      <c r="I85" s="58"/>
      <c r="J85" s="92"/>
      <c r="L85" s="92"/>
      <c r="N85" s="93"/>
      <c r="O85" s="58"/>
      <c r="P85" s="58"/>
    </row>
    <row r="86">
      <c r="A86" s="28"/>
      <c r="C86" s="92"/>
      <c r="D86" s="90"/>
      <c r="E86" s="91"/>
      <c r="F86" s="91"/>
      <c r="G86" s="8"/>
      <c r="I86" s="58"/>
      <c r="J86" s="92"/>
      <c r="L86" s="92"/>
      <c r="N86" s="93"/>
      <c r="O86" s="58"/>
      <c r="P86" s="58"/>
    </row>
    <row r="87">
      <c r="A87" s="28"/>
      <c r="C87" s="92"/>
      <c r="D87" s="90"/>
      <c r="E87" s="91"/>
      <c r="F87" s="91"/>
      <c r="G87" s="8"/>
      <c r="I87" s="58"/>
      <c r="J87" s="92"/>
      <c r="L87" s="92"/>
      <c r="N87" s="93"/>
      <c r="O87" s="58"/>
      <c r="P87" s="58"/>
    </row>
    <row r="88">
      <c r="A88" s="28"/>
      <c r="C88" s="92"/>
      <c r="D88" s="90"/>
      <c r="E88" s="91"/>
      <c r="F88" s="91"/>
      <c r="G88" s="8"/>
      <c r="I88" s="58"/>
      <c r="J88" s="92"/>
      <c r="L88" s="92"/>
      <c r="N88" s="93"/>
      <c r="O88" s="58"/>
      <c r="P88" s="58"/>
    </row>
    <row r="89">
      <c r="A89" s="28"/>
      <c r="C89" s="92"/>
      <c r="D89" s="90"/>
      <c r="E89" s="91"/>
      <c r="F89" s="91"/>
      <c r="G89" s="8"/>
      <c r="I89" s="58"/>
      <c r="J89" s="92"/>
      <c r="L89" s="92"/>
      <c r="N89" s="93"/>
      <c r="O89" s="58"/>
      <c r="P89" s="58"/>
    </row>
    <row r="90">
      <c r="A90" s="28"/>
      <c r="C90" s="92"/>
      <c r="D90" s="90"/>
      <c r="E90" s="91"/>
      <c r="F90" s="91"/>
      <c r="G90" s="8"/>
      <c r="I90" s="58"/>
      <c r="J90" s="92"/>
      <c r="L90" s="92"/>
      <c r="N90" s="93"/>
      <c r="O90" s="58"/>
      <c r="P90" s="58"/>
    </row>
    <row r="91">
      <c r="A91" s="28"/>
      <c r="C91" s="92"/>
      <c r="D91" s="90"/>
      <c r="E91" s="91"/>
      <c r="F91" s="91"/>
      <c r="G91" s="8"/>
      <c r="I91" s="58"/>
      <c r="J91" s="92"/>
      <c r="L91" s="92"/>
      <c r="N91" s="93"/>
      <c r="O91" s="58"/>
      <c r="P91" s="58"/>
    </row>
    <row r="92">
      <c r="A92" s="28"/>
      <c r="C92" s="92"/>
      <c r="D92" s="90"/>
      <c r="E92" s="91"/>
      <c r="F92" s="91"/>
      <c r="G92" s="8"/>
      <c r="I92" s="58"/>
      <c r="J92" s="92"/>
      <c r="L92" s="92"/>
      <c r="N92" s="93"/>
      <c r="O92" s="58"/>
      <c r="P92" s="58"/>
    </row>
    <row r="93">
      <c r="A93" s="28"/>
      <c r="C93" s="92"/>
      <c r="D93" s="90"/>
      <c r="E93" s="91"/>
      <c r="F93" s="91"/>
      <c r="G93" s="8"/>
      <c r="I93" s="58"/>
      <c r="J93" s="92"/>
      <c r="L93" s="92"/>
      <c r="N93" s="93"/>
      <c r="O93" s="58"/>
      <c r="P93" s="58"/>
    </row>
    <row r="94">
      <c r="A94" s="28"/>
      <c r="C94" s="92"/>
      <c r="D94" s="90"/>
      <c r="E94" s="91"/>
      <c r="F94" s="91"/>
      <c r="G94" s="8"/>
      <c r="I94" s="58"/>
      <c r="J94" s="92"/>
      <c r="L94" s="92"/>
      <c r="N94" s="93"/>
      <c r="O94" s="58"/>
      <c r="P94" s="58"/>
    </row>
    <row r="95">
      <c r="A95" s="28"/>
      <c r="C95" s="92"/>
      <c r="D95" s="90"/>
      <c r="E95" s="91"/>
      <c r="F95" s="91"/>
      <c r="G95" s="8"/>
      <c r="I95" s="58"/>
      <c r="J95" s="92"/>
      <c r="L95" s="92"/>
      <c r="N95" s="93"/>
      <c r="O95" s="58"/>
      <c r="P95" s="58"/>
    </row>
    <row r="96">
      <c r="A96" s="28"/>
      <c r="C96" s="92"/>
      <c r="D96" s="90"/>
      <c r="E96" s="91"/>
      <c r="F96" s="91"/>
      <c r="G96" s="8"/>
      <c r="I96" s="58"/>
      <c r="J96" s="92"/>
      <c r="L96" s="92"/>
      <c r="N96" s="93"/>
      <c r="O96" s="58"/>
      <c r="P96" s="58"/>
    </row>
    <row r="97">
      <c r="A97" s="28"/>
      <c r="C97" s="92"/>
      <c r="D97" s="90"/>
      <c r="E97" s="91"/>
      <c r="F97" s="91"/>
      <c r="G97" s="8"/>
      <c r="I97" s="58"/>
      <c r="J97" s="92"/>
      <c r="L97" s="92"/>
      <c r="N97" s="93"/>
      <c r="O97" s="58"/>
      <c r="P97" s="58"/>
    </row>
    <row r="98">
      <c r="A98" s="28"/>
      <c r="C98" s="92"/>
      <c r="D98" s="90"/>
      <c r="E98" s="91"/>
      <c r="F98" s="91"/>
      <c r="G98" s="8"/>
      <c r="I98" s="58"/>
      <c r="J98" s="92"/>
      <c r="L98" s="92"/>
      <c r="N98" s="93"/>
      <c r="O98" s="58"/>
      <c r="P98" s="58"/>
    </row>
    <row r="99">
      <c r="A99" s="28"/>
      <c r="C99" s="92"/>
      <c r="D99" s="90"/>
      <c r="E99" s="91"/>
      <c r="F99" s="91"/>
      <c r="G99" s="8"/>
      <c r="I99" s="58"/>
      <c r="J99" s="92"/>
      <c r="L99" s="92"/>
      <c r="N99" s="93"/>
      <c r="O99" s="58"/>
      <c r="P99" s="58"/>
    </row>
    <row r="100">
      <c r="A100" s="28"/>
      <c r="C100" s="92"/>
      <c r="D100" s="90"/>
      <c r="E100" s="91"/>
      <c r="F100" s="91"/>
      <c r="G100" s="8"/>
      <c r="I100" s="58"/>
      <c r="J100" s="92"/>
      <c r="L100" s="92"/>
      <c r="N100" s="93"/>
      <c r="O100" s="58"/>
      <c r="P100" s="58"/>
    </row>
    <row r="101">
      <c r="A101" s="28"/>
      <c r="C101" s="92"/>
      <c r="D101" s="90"/>
      <c r="E101" s="91"/>
      <c r="F101" s="91"/>
      <c r="G101" s="8"/>
      <c r="I101" s="58"/>
      <c r="J101" s="92"/>
      <c r="L101" s="92"/>
      <c r="N101" s="93"/>
      <c r="O101" s="58"/>
      <c r="P101" s="58"/>
    </row>
    <row r="102">
      <c r="A102" s="28"/>
      <c r="C102" s="92"/>
      <c r="D102" s="90"/>
      <c r="E102" s="91"/>
      <c r="F102" s="91"/>
      <c r="G102" s="8"/>
      <c r="I102" s="58"/>
      <c r="J102" s="92"/>
      <c r="L102" s="92"/>
      <c r="N102" s="93"/>
      <c r="O102" s="58"/>
      <c r="P102" s="58"/>
    </row>
    <row r="103">
      <c r="A103" s="28"/>
      <c r="C103" s="92"/>
      <c r="D103" s="90"/>
      <c r="E103" s="91"/>
      <c r="F103" s="91"/>
      <c r="G103" s="8"/>
      <c r="I103" s="58"/>
      <c r="J103" s="92"/>
      <c r="L103" s="92"/>
      <c r="N103" s="93"/>
      <c r="O103" s="58"/>
      <c r="P103" s="58"/>
    </row>
    <row r="104">
      <c r="A104" s="28"/>
      <c r="C104" s="92"/>
      <c r="D104" s="90"/>
      <c r="E104" s="91"/>
      <c r="F104" s="91"/>
      <c r="G104" s="8"/>
      <c r="I104" s="58"/>
      <c r="J104" s="92"/>
      <c r="L104" s="92"/>
      <c r="N104" s="93"/>
      <c r="O104" s="58"/>
      <c r="P104" s="58"/>
    </row>
    <row r="105">
      <c r="A105" s="28"/>
      <c r="C105" s="92"/>
      <c r="D105" s="90"/>
      <c r="E105" s="91"/>
      <c r="F105" s="91"/>
      <c r="G105" s="8"/>
      <c r="I105" s="58"/>
      <c r="J105" s="92"/>
      <c r="L105" s="92"/>
      <c r="N105" s="93"/>
      <c r="O105" s="58"/>
      <c r="P105" s="58"/>
    </row>
    <row r="106">
      <c r="A106" s="28"/>
      <c r="C106" s="92"/>
      <c r="D106" s="90"/>
      <c r="E106" s="91"/>
      <c r="F106" s="91"/>
      <c r="G106" s="8"/>
      <c r="I106" s="58"/>
      <c r="J106" s="92"/>
      <c r="L106" s="92"/>
      <c r="N106" s="93"/>
      <c r="O106" s="58"/>
      <c r="P106" s="58"/>
    </row>
    <row r="107">
      <c r="A107" s="28"/>
      <c r="C107" s="92"/>
      <c r="D107" s="90"/>
      <c r="E107" s="91"/>
      <c r="F107" s="91"/>
      <c r="G107" s="8"/>
      <c r="I107" s="58"/>
      <c r="J107" s="92"/>
      <c r="L107" s="92"/>
      <c r="N107" s="93"/>
      <c r="O107" s="58"/>
      <c r="P107" s="58"/>
    </row>
    <row r="108">
      <c r="A108" s="28"/>
      <c r="C108" s="92"/>
      <c r="D108" s="90"/>
      <c r="E108" s="91"/>
      <c r="F108" s="91"/>
      <c r="G108" s="8"/>
      <c r="I108" s="58"/>
      <c r="J108" s="92"/>
      <c r="L108" s="92"/>
      <c r="N108" s="93"/>
      <c r="O108" s="58"/>
      <c r="P108" s="58"/>
    </row>
    <row r="109">
      <c r="A109" s="28"/>
      <c r="C109" s="92"/>
      <c r="D109" s="90"/>
      <c r="E109" s="91"/>
      <c r="F109" s="91"/>
      <c r="G109" s="8"/>
      <c r="I109" s="58"/>
      <c r="J109" s="92"/>
      <c r="L109" s="92"/>
      <c r="N109" s="93"/>
      <c r="O109" s="58"/>
      <c r="P109" s="58"/>
    </row>
    <row r="110">
      <c r="A110" s="28"/>
      <c r="C110" s="92"/>
      <c r="D110" s="90"/>
      <c r="E110" s="91"/>
      <c r="F110" s="91"/>
      <c r="G110" s="8"/>
      <c r="I110" s="58"/>
      <c r="J110" s="92"/>
      <c r="L110" s="92"/>
      <c r="N110" s="93"/>
      <c r="O110" s="58"/>
      <c r="P110" s="58"/>
    </row>
    <row r="111">
      <c r="A111" s="28"/>
      <c r="C111" s="92"/>
      <c r="D111" s="90"/>
      <c r="E111" s="91"/>
      <c r="F111" s="91"/>
      <c r="G111" s="8"/>
      <c r="I111" s="58"/>
      <c r="J111" s="92"/>
      <c r="L111" s="92"/>
      <c r="N111" s="93"/>
      <c r="O111" s="58"/>
      <c r="P111" s="58"/>
    </row>
    <row r="112">
      <c r="A112" s="28"/>
      <c r="C112" s="92"/>
      <c r="D112" s="90"/>
      <c r="E112" s="91"/>
      <c r="F112" s="91"/>
      <c r="G112" s="8"/>
      <c r="I112" s="58"/>
      <c r="J112" s="92"/>
      <c r="L112" s="92"/>
      <c r="N112" s="93"/>
      <c r="O112" s="58"/>
      <c r="P112" s="58"/>
    </row>
    <row r="113">
      <c r="A113" s="28"/>
      <c r="C113" s="92"/>
      <c r="D113" s="90"/>
      <c r="E113" s="91"/>
      <c r="F113" s="91"/>
      <c r="G113" s="8"/>
      <c r="I113" s="58"/>
      <c r="J113" s="92"/>
      <c r="L113" s="92"/>
      <c r="N113" s="93"/>
      <c r="O113" s="58"/>
      <c r="P113" s="58"/>
    </row>
    <row r="114">
      <c r="A114" s="28"/>
      <c r="C114" s="92"/>
      <c r="D114" s="90"/>
      <c r="E114" s="91"/>
      <c r="F114" s="91"/>
      <c r="G114" s="8"/>
      <c r="I114" s="58"/>
      <c r="J114" s="92"/>
      <c r="L114" s="92"/>
      <c r="N114" s="93"/>
      <c r="O114" s="58"/>
      <c r="P114" s="58"/>
    </row>
    <row r="115">
      <c r="A115" s="28"/>
      <c r="C115" s="92"/>
      <c r="D115" s="90"/>
      <c r="E115" s="91"/>
      <c r="F115" s="91"/>
      <c r="G115" s="8"/>
      <c r="I115" s="58"/>
      <c r="J115" s="92"/>
      <c r="L115" s="92"/>
      <c r="N115" s="93"/>
      <c r="O115" s="58"/>
      <c r="P115" s="58"/>
    </row>
    <row r="116">
      <c r="A116" s="28"/>
      <c r="C116" s="92"/>
      <c r="D116" s="90"/>
      <c r="E116" s="91"/>
      <c r="F116" s="91"/>
      <c r="G116" s="8"/>
      <c r="I116" s="58"/>
      <c r="J116" s="92"/>
      <c r="L116" s="92"/>
      <c r="N116" s="93"/>
      <c r="O116" s="58"/>
      <c r="P116" s="58"/>
    </row>
    <row r="117">
      <c r="A117" s="28"/>
      <c r="C117" s="92"/>
      <c r="D117" s="90"/>
      <c r="E117" s="91"/>
      <c r="F117" s="91"/>
      <c r="G117" s="8"/>
      <c r="I117" s="58"/>
      <c r="J117" s="92"/>
      <c r="L117" s="92"/>
      <c r="N117" s="93"/>
      <c r="O117" s="58"/>
      <c r="P117" s="58"/>
    </row>
    <row r="118">
      <c r="A118" s="28"/>
      <c r="C118" s="92"/>
      <c r="D118" s="90"/>
      <c r="E118" s="91"/>
      <c r="F118" s="91"/>
      <c r="G118" s="8"/>
      <c r="I118" s="58"/>
      <c r="J118" s="92"/>
      <c r="L118" s="92"/>
      <c r="N118" s="93"/>
      <c r="O118" s="58"/>
      <c r="P118" s="58"/>
    </row>
    <row r="119">
      <c r="A119" s="28"/>
      <c r="C119" s="92"/>
      <c r="D119" s="90"/>
      <c r="E119" s="91"/>
      <c r="F119" s="91"/>
      <c r="G119" s="8"/>
      <c r="I119" s="58"/>
      <c r="J119" s="92"/>
      <c r="L119" s="92"/>
      <c r="N119" s="93"/>
      <c r="O119" s="58"/>
      <c r="P119" s="58"/>
    </row>
    <row r="120">
      <c r="A120" s="28"/>
      <c r="C120" s="92"/>
      <c r="D120" s="90"/>
      <c r="E120" s="91"/>
      <c r="F120" s="91"/>
      <c r="G120" s="8"/>
      <c r="I120" s="58"/>
      <c r="J120" s="92"/>
      <c r="L120" s="92"/>
      <c r="N120" s="93"/>
      <c r="O120" s="58"/>
      <c r="P120" s="58"/>
    </row>
    <row r="121">
      <c r="A121" s="28"/>
      <c r="C121" s="92"/>
      <c r="D121" s="90"/>
      <c r="E121" s="91"/>
      <c r="F121" s="91"/>
      <c r="G121" s="8"/>
      <c r="I121" s="58"/>
      <c r="J121" s="92"/>
      <c r="L121" s="92"/>
      <c r="N121" s="93"/>
      <c r="O121" s="58"/>
      <c r="P121" s="58"/>
    </row>
    <row r="122">
      <c r="A122" s="28"/>
      <c r="C122" s="92"/>
      <c r="D122" s="90"/>
      <c r="E122" s="91"/>
      <c r="F122" s="91"/>
      <c r="G122" s="8"/>
      <c r="I122" s="58"/>
      <c r="J122" s="92"/>
      <c r="L122" s="92"/>
      <c r="N122" s="93"/>
      <c r="O122" s="58"/>
      <c r="P122" s="58"/>
    </row>
    <row r="123">
      <c r="A123" s="28"/>
      <c r="C123" s="92"/>
      <c r="D123" s="90"/>
      <c r="E123" s="91"/>
      <c r="F123" s="91"/>
      <c r="G123" s="8"/>
      <c r="I123" s="58"/>
      <c r="J123" s="92"/>
      <c r="L123" s="92"/>
      <c r="N123" s="93"/>
      <c r="O123" s="58"/>
      <c r="P123" s="58"/>
    </row>
    <row r="124">
      <c r="A124" s="28"/>
      <c r="C124" s="92"/>
      <c r="D124" s="90"/>
      <c r="E124" s="91"/>
      <c r="F124" s="91"/>
      <c r="G124" s="8"/>
      <c r="I124" s="58"/>
      <c r="J124" s="92"/>
      <c r="L124" s="92"/>
      <c r="N124" s="93"/>
      <c r="O124" s="58"/>
      <c r="P124" s="58"/>
    </row>
    <row r="125">
      <c r="A125" s="28"/>
      <c r="C125" s="92"/>
      <c r="D125" s="90"/>
      <c r="E125" s="91"/>
      <c r="F125" s="91"/>
      <c r="G125" s="8"/>
      <c r="I125" s="58"/>
      <c r="J125" s="92"/>
      <c r="L125" s="92"/>
      <c r="N125" s="93"/>
      <c r="O125" s="58"/>
      <c r="P125" s="58"/>
    </row>
    <row r="126">
      <c r="A126" s="28"/>
      <c r="C126" s="92"/>
      <c r="D126" s="90"/>
      <c r="E126" s="91"/>
      <c r="F126" s="91"/>
      <c r="G126" s="8"/>
      <c r="I126" s="58"/>
      <c r="J126" s="92"/>
      <c r="L126" s="92"/>
      <c r="N126" s="93"/>
      <c r="O126" s="58"/>
      <c r="P126" s="58"/>
    </row>
    <row r="127">
      <c r="A127" s="28"/>
      <c r="C127" s="92"/>
      <c r="D127" s="90"/>
      <c r="E127" s="91"/>
      <c r="F127" s="91"/>
      <c r="G127" s="8"/>
      <c r="I127" s="58"/>
      <c r="J127" s="92"/>
      <c r="L127" s="92"/>
      <c r="N127" s="93"/>
      <c r="O127" s="58"/>
      <c r="P127" s="58"/>
    </row>
    <row r="128">
      <c r="A128" s="28"/>
      <c r="C128" s="92"/>
      <c r="D128" s="90"/>
      <c r="E128" s="91"/>
      <c r="F128" s="91"/>
      <c r="G128" s="8"/>
      <c r="I128" s="58"/>
      <c r="J128" s="92"/>
      <c r="L128" s="92"/>
      <c r="N128" s="93"/>
      <c r="O128" s="58"/>
      <c r="P128" s="58"/>
    </row>
    <row r="129">
      <c r="A129" s="28"/>
      <c r="C129" s="92"/>
      <c r="D129" s="90"/>
      <c r="E129" s="91"/>
      <c r="F129" s="91"/>
      <c r="G129" s="8"/>
      <c r="I129" s="58"/>
      <c r="J129" s="92"/>
      <c r="L129" s="92"/>
      <c r="N129" s="93"/>
      <c r="O129" s="58"/>
      <c r="P129" s="58"/>
    </row>
    <row r="130">
      <c r="A130" s="28"/>
      <c r="C130" s="92"/>
      <c r="D130" s="90"/>
      <c r="E130" s="91"/>
      <c r="F130" s="91"/>
      <c r="G130" s="8"/>
      <c r="I130" s="58"/>
      <c r="J130" s="92"/>
      <c r="L130" s="92"/>
      <c r="N130" s="93"/>
      <c r="O130" s="58"/>
      <c r="P130" s="58"/>
    </row>
    <row r="131">
      <c r="A131" s="28"/>
      <c r="C131" s="92"/>
      <c r="D131" s="90"/>
      <c r="E131" s="91"/>
      <c r="F131" s="91"/>
      <c r="G131" s="8"/>
      <c r="I131" s="58"/>
      <c r="J131" s="92"/>
      <c r="L131" s="92"/>
      <c r="N131" s="93"/>
      <c r="O131" s="58"/>
      <c r="P131" s="58"/>
    </row>
    <row r="132">
      <c r="A132" s="28"/>
      <c r="C132" s="92"/>
      <c r="D132" s="90"/>
      <c r="E132" s="91"/>
      <c r="F132" s="91"/>
      <c r="G132" s="8"/>
      <c r="I132" s="58"/>
      <c r="J132" s="92"/>
      <c r="L132" s="92"/>
      <c r="N132" s="93"/>
      <c r="O132" s="58"/>
      <c r="P132" s="58"/>
    </row>
    <row r="133">
      <c r="A133" s="28"/>
      <c r="C133" s="92"/>
      <c r="D133" s="90"/>
      <c r="E133" s="91"/>
      <c r="F133" s="91"/>
      <c r="G133" s="8"/>
      <c r="I133" s="58"/>
      <c r="J133" s="92"/>
      <c r="L133" s="92"/>
      <c r="N133" s="93"/>
      <c r="O133" s="58"/>
      <c r="P133" s="58"/>
    </row>
    <row r="134">
      <c r="A134" s="28"/>
      <c r="C134" s="92"/>
      <c r="D134" s="90"/>
      <c r="E134" s="91"/>
      <c r="F134" s="91"/>
      <c r="G134" s="8"/>
      <c r="I134" s="58"/>
      <c r="J134" s="92"/>
      <c r="L134" s="92"/>
      <c r="N134" s="93"/>
      <c r="O134" s="58"/>
      <c r="P134" s="58"/>
    </row>
    <row r="135">
      <c r="A135" s="28"/>
      <c r="C135" s="92"/>
      <c r="D135" s="90"/>
      <c r="E135" s="91"/>
      <c r="F135" s="91"/>
      <c r="G135" s="8"/>
      <c r="I135" s="58"/>
      <c r="J135" s="92"/>
      <c r="L135" s="92"/>
      <c r="N135" s="93"/>
      <c r="O135" s="58"/>
      <c r="P135" s="58"/>
    </row>
    <row r="136">
      <c r="A136" s="28"/>
      <c r="C136" s="92"/>
      <c r="D136" s="90"/>
      <c r="E136" s="91"/>
      <c r="F136" s="91"/>
      <c r="G136" s="8"/>
      <c r="I136" s="58"/>
      <c r="J136" s="92"/>
      <c r="L136" s="92"/>
      <c r="N136" s="93"/>
      <c r="O136" s="58"/>
      <c r="P136" s="58"/>
    </row>
    <row r="137">
      <c r="A137" s="28"/>
      <c r="C137" s="92"/>
      <c r="D137" s="90"/>
      <c r="E137" s="91"/>
      <c r="F137" s="91"/>
      <c r="G137" s="8"/>
      <c r="I137" s="58"/>
      <c r="J137" s="92"/>
      <c r="L137" s="92"/>
      <c r="N137" s="93"/>
      <c r="O137" s="58"/>
      <c r="P137" s="58"/>
    </row>
    <row r="138">
      <c r="A138" s="28"/>
      <c r="C138" s="92"/>
      <c r="D138" s="90"/>
      <c r="E138" s="91"/>
      <c r="F138" s="91"/>
      <c r="G138" s="8"/>
      <c r="I138" s="58"/>
      <c r="J138" s="92"/>
      <c r="L138" s="92"/>
      <c r="N138" s="93"/>
      <c r="O138" s="58"/>
      <c r="P138" s="58"/>
    </row>
    <row r="139">
      <c r="A139" s="28"/>
      <c r="C139" s="92"/>
      <c r="D139" s="90"/>
      <c r="E139" s="91"/>
      <c r="F139" s="91"/>
      <c r="G139" s="8"/>
      <c r="I139" s="58"/>
      <c r="J139" s="92"/>
      <c r="L139" s="92"/>
      <c r="N139" s="93"/>
      <c r="O139" s="58"/>
      <c r="P139" s="58"/>
    </row>
    <row r="140">
      <c r="A140" s="28"/>
      <c r="C140" s="92"/>
      <c r="D140" s="90"/>
      <c r="E140" s="91"/>
      <c r="F140" s="91"/>
      <c r="G140" s="8"/>
      <c r="I140" s="58"/>
      <c r="J140" s="92"/>
      <c r="L140" s="92"/>
      <c r="N140" s="93"/>
      <c r="O140" s="58"/>
      <c r="P140" s="58"/>
    </row>
    <row r="141">
      <c r="A141" s="28"/>
      <c r="C141" s="92"/>
      <c r="D141" s="90"/>
      <c r="E141" s="91"/>
      <c r="F141" s="91"/>
      <c r="G141" s="8"/>
      <c r="I141" s="58"/>
      <c r="J141" s="92"/>
      <c r="L141" s="92"/>
      <c r="N141" s="93"/>
      <c r="O141" s="58"/>
      <c r="P141" s="58"/>
    </row>
    <row r="142">
      <c r="A142" s="28"/>
      <c r="C142" s="92"/>
      <c r="D142" s="90"/>
      <c r="E142" s="91"/>
      <c r="F142" s="91"/>
      <c r="G142" s="8"/>
      <c r="I142" s="58"/>
      <c r="J142" s="92"/>
      <c r="L142" s="92"/>
      <c r="N142" s="93"/>
      <c r="O142" s="58"/>
      <c r="P142" s="58"/>
    </row>
    <row r="143">
      <c r="A143" s="28"/>
      <c r="C143" s="92"/>
      <c r="D143" s="90"/>
      <c r="E143" s="91"/>
      <c r="F143" s="91"/>
      <c r="G143" s="8"/>
      <c r="I143" s="58"/>
      <c r="J143" s="92"/>
      <c r="L143" s="92"/>
      <c r="N143" s="93"/>
      <c r="O143" s="58"/>
      <c r="P143" s="58"/>
    </row>
    <row r="144">
      <c r="A144" s="28"/>
      <c r="C144" s="92"/>
      <c r="D144" s="90"/>
      <c r="E144" s="91"/>
      <c r="F144" s="91"/>
      <c r="G144" s="8"/>
      <c r="I144" s="58"/>
      <c r="J144" s="92"/>
      <c r="L144" s="92"/>
      <c r="N144" s="93"/>
      <c r="O144" s="58"/>
      <c r="P144" s="58"/>
    </row>
    <row r="145">
      <c r="A145" s="28"/>
      <c r="C145" s="92"/>
      <c r="D145" s="90"/>
      <c r="E145" s="91"/>
      <c r="F145" s="91"/>
      <c r="G145" s="8"/>
      <c r="I145" s="58"/>
      <c r="J145" s="92"/>
      <c r="L145" s="92"/>
      <c r="N145" s="93"/>
      <c r="O145" s="58"/>
      <c r="P145" s="58"/>
    </row>
    <row r="146">
      <c r="A146" s="28"/>
      <c r="C146" s="92"/>
      <c r="D146" s="90"/>
      <c r="E146" s="91"/>
      <c r="F146" s="91"/>
      <c r="G146" s="8"/>
      <c r="I146" s="58"/>
      <c r="J146" s="92"/>
      <c r="L146" s="92"/>
      <c r="N146" s="93"/>
      <c r="O146" s="58"/>
      <c r="P146" s="58"/>
    </row>
    <row r="147">
      <c r="A147" s="28"/>
      <c r="C147" s="92"/>
      <c r="D147" s="90"/>
      <c r="E147" s="91"/>
      <c r="F147" s="91"/>
      <c r="G147" s="8"/>
      <c r="I147" s="58"/>
      <c r="J147" s="92"/>
      <c r="L147" s="92"/>
      <c r="N147" s="93"/>
      <c r="O147" s="58"/>
      <c r="P147" s="58"/>
    </row>
    <row r="148">
      <c r="A148" s="28"/>
      <c r="C148" s="92"/>
      <c r="D148" s="90"/>
      <c r="E148" s="91"/>
      <c r="F148" s="91"/>
      <c r="G148" s="8"/>
      <c r="I148" s="58"/>
      <c r="J148" s="92"/>
      <c r="L148" s="92"/>
      <c r="N148" s="93"/>
      <c r="O148" s="58"/>
      <c r="P148" s="58"/>
    </row>
    <row r="149">
      <c r="A149" s="28"/>
      <c r="C149" s="92"/>
      <c r="D149" s="90"/>
      <c r="E149" s="91"/>
      <c r="F149" s="91"/>
      <c r="G149" s="8"/>
      <c r="I149" s="58"/>
      <c r="J149" s="92"/>
      <c r="L149" s="92"/>
      <c r="N149" s="93"/>
      <c r="O149" s="58"/>
      <c r="P149" s="58"/>
    </row>
    <row r="150">
      <c r="A150" s="28"/>
      <c r="C150" s="92"/>
      <c r="D150" s="90"/>
      <c r="E150" s="91"/>
      <c r="F150" s="91"/>
      <c r="G150" s="8"/>
      <c r="I150" s="58"/>
      <c r="J150" s="92"/>
      <c r="L150" s="92"/>
      <c r="N150" s="93"/>
      <c r="O150" s="58"/>
      <c r="P150" s="58"/>
    </row>
    <row r="151">
      <c r="A151" s="28"/>
      <c r="C151" s="92"/>
      <c r="D151" s="90"/>
      <c r="E151" s="91"/>
      <c r="F151" s="91"/>
      <c r="G151" s="8"/>
      <c r="I151" s="58"/>
      <c r="J151" s="92"/>
      <c r="L151" s="92"/>
      <c r="N151" s="93"/>
      <c r="O151" s="58"/>
      <c r="P151" s="58"/>
    </row>
    <row r="152">
      <c r="A152" s="28"/>
      <c r="C152" s="92"/>
      <c r="D152" s="90"/>
      <c r="E152" s="91"/>
      <c r="F152" s="91"/>
      <c r="G152" s="8"/>
      <c r="I152" s="58"/>
      <c r="J152" s="92"/>
      <c r="L152" s="92"/>
      <c r="N152" s="93"/>
      <c r="O152" s="58"/>
      <c r="P152" s="58"/>
    </row>
    <row r="153">
      <c r="A153" s="92"/>
      <c r="C153" s="92"/>
      <c r="D153" s="90"/>
      <c r="E153" s="91"/>
      <c r="F153" s="91"/>
      <c r="G153" s="8"/>
      <c r="I153" s="58"/>
      <c r="J153" s="92"/>
      <c r="L153" s="92"/>
      <c r="N153" s="93"/>
      <c r="O153" s="58"/>
      <c r="P153" s="58"/>
    </row>
    <row r="154">
      <c r="A154" s="92"/>
      <c r="C154" s="92"/>
      <c r="D154" s="90"/>
      <c r="E154" s="91"/>
      <c r="F154" s="91"/>
      <c r="G154" s="8"/>
      <c r="I154" s="58"/>
      <c r="J154" s="92"/>
      <c r="L154" s="92"/>
      <c r="N154" s="93"/>
      <c r="O154" s="58"/>
      <c r="P154" s="58"/>
    </row>
    <row r="155">
      <c r="A155" s="92"/>
      <c r="C155" s="92"/>
      <c r="D155" s="90"/>
      <c r="E155" s="91"/>
      <c r="F155" s="91"/>
      <c r="G155" s="8"/>
      <c r="I155" s="58"/>
      <c r="J155" s="92"/>
      <c r="L155" s="92"/>
      <c r="N155" s="93"/>
      <c r="O155" s="58"/>
      <c r="P155" s="58"/>
    </row>
    <row r="156">
      <c r="A156" s="92"/>
      <c r="C156" s="92"/>
      <c r="D156" s="90"/>
      <c r="E156" s="91"/>
      <c r="F156" s="91"/>
      <c r="G156" s="8"/>
      <c r="I156" s="58"/>
      <c r="J156" s="92"/>
      <c r="L156" s="92"/>
      <c r="N156" s="93"/>
      <c r="O156" s="58"/>
      <c r="P156" s="58"/>
    </row>
    <row r="157">
      <c r="A157" s="92"/>
      <c r="C157" s="92"/>
      <c r="D157" s="90"/>
      <c r="E157" s="91"/>
      <c r="F157" s="91"/>
      <c r="G157" s="8"/>
      <c r="I157" s="58"/>
      <c r="J157" s="92"/>
      <c r="L157" s="92"/>
      <c r="N157" s="93"/>
      <c r="O157" s="58"/>
      <c r="P157" s="58"/>
    </row>
    <row r="158">
      <c r="A158" s="92"/>
      <c r="C158" s="92"/>
      <c r="D158" s="90"/>
      <c r="E158" s="91"/>
      <c r="F158" s="91"/>
      <c r="G158" s="8"/>
      <c r="I158" s="58"/>
      <c r="J158" s="92"/>
      <c r="L158" s="92"/>
      <c r="N158" s="93"/>
      <c r="O158" s="58"/>
      <c r="P158" s="58"/>
    </row>
    <row r="159">
      <c r="A159" s="92"/>
      <c r="C159" s="92"/>
      <c r="D159" s="90"/>
      <c r="E159" s="91"/>
      <c r="F159" s="91"/>
      <c r="G159" s="8"/>
      <c r="I159" s="58"/>
      <c r="J159" s="92"/>
      <c r="L159" s="92"/>
      <c r="N159" s="93"/>
      <c r="O159" s="58"/>
      <c r="P159" s="58"/>
    </row>
    <row r="160">
      <c r="A160" s="92"/>
      <c r="C160" s="92"/>
      <c r="D160" s="90"/>
      <c r="E160" s="91"/>
      <c r="F160" s="91"/>
      <c r="G160" s="8"/>
      <c r="I160" s="58"/>
      <c r="J160" s="92"/>
      <c r="L160" s="92"/>
      <c r="N160" s="93"/>
      <c r="O160" s="58"/>
      <c r="P160" s="58"/>
    </row>
    <row r="161">
      <c r="A161" s="92"/>
      <c r="C161" s="92"/>
      <c r="D161" s="90"/>
      <c r="E161" s="91"/>
      <c r="F161" s="91"/>
      <c r="G161" s="8"/>
      <c r="I161" s="58"/>
      <c r="J161" s="92"/>
      <c r="L161" s="92"/>
      <c r="N161" s="93"/>
      <c r="O161" s="58"/>
      <c r="P161" s="58"/>
    </row>
    <row r="162">
      <c r="A162" s="92"/>
      <c r="C162" s="92"/>
      <c r="D162" s="90"/>
      <c r="E162" s="91"/>
      <c r="F162" s="91"/>
      <c r="G162" s="8"/>
      <c r="I162" s="58"/>
      <c r="J162" s="92"/>
      <c r="L162" s="92"/>
      <c r="N162" s="93"/>
      <c r="O162" s="58"/>
      <c r="P162" s="58"/>
    </row>
    <row r="163">
      <c r="A163" s="92"/>
      <c r="C163" s="92"/>
      <c r="D163" s="90"/>
      <c r="E163" s="91"/>
      <c r="F163" s="91"/>
      <c r="G163" s="8"/>
      <c r="I163" s="58"/>
      <c r="J163" s="92"/>
      <c r="L163" s="92"/>
      <c r="N163" s="93"/>
      <c r="O163" s="58"/>
      <c r="P163" s="58"/>
    </row>
    <row r="164">
      <c r="A164" s="92"/>
      <c r="C164" s="92"/>
      <c r="D164" s="90"/>
      <c r="E164" s="91"/>
      <c r="F164" s="91"/>
      <c r="G164" s="8"/>
      <c r="I164" s="58"/>
      <c r="J164" s="92"/>
      <c r="L164" s="92"/>
      <c r="N164" s="93"/>
      <c r="O164" s="58"/>
      <c r="P164" s="58"/>
    </row>
    <row r="165">
      <c r="A165" s="92"/>
      <c r="C165" s="92"/>
      <c r="D165" s="90"/>
      <c r="E165" s="91"/>
      <c r="F165" s="91"/>
      <c r="G165" s="8"/>
      <c r="I165" s="58"/>
      <c r="J165" s="92"/>
      <c r="L165" s="92"/>
      <c r="N165" s="93"/>
      <c r="O165" s="58"/>
      <c r="P165" s="58"/>
    </row>
    <row r="166">
      <c r="A166" s="92"/>
      <c r="C166" s="92"/>
      <c r="D166" s="90"/>
      <c r="E166" s="91"/>
      <c r="F166" s="91"/>
      <c r="G166" s="8"/>
      <c r="I166" s="58"/>
      <c r="J166" s="92"/>
      <c r="L166" s="92"/>
      <c r="N166" s="93"/>
      <c r="O166" s="58"/>
      <c r="P166" s="58"/>
    </row>
    <row r="167">
      <c r="A167" s="92"/>
      <c r="C167" s="92"/>
      <c r="D167" s="90"/>
      <c r="E167" s="91"/>
      <c r="F167" s="91"/>
      <c r="G167" s="8"/>
      <c r="I167" s="58"/>
      <c r="J167" s="92"/>
      <c r="L167" s="92"/>
      <c r="N167" s="93"/>
      <c r="O167" s="58"/>
      <c r="P167" s="58"/>
    </row>
    <row r="168">
      <c r="A168" s="92"/>
      <c r="C168" s="92"/>
      <c r="D168" s="90"/>
      <c r="E168" s="91"/>
      <c r="F168" s="91"/>
      <c r="G168" s="8"/>
      <c r="I168" s="58"/>
      <c r="J168" s="92"/>
      <c r="L168" s="92"/>
      <c r="N168" s="93"/>
      <c r="O168" s="58"/>
      <c r="P168" s="58"/>
    </row>
    <row r="169">
      <c r="A169" s="92"/>
      <c r="C169" s="92"/>
      <c r="D169" s="90"/>
      <c r="E169" s="91"/>
      <c r="F169" s="91"/>
      <c r="G169" s="8"/>
      <c r="I169" s="58"/>
      <c r="J169" s="92"/>
      <c r="L169" s="92"/>
      <c r="N169" s="93"/>
      <c r="O169" s="58"/>
      <c r="P169" s="58"/>
    </row>
    <row r="170">
      <c r="A170" s="92"/>
      <c r="C170" s="92"/>
      <c r="D170" s="90"/>
      <c r="E170" s="91"/>
      <c r="F170" s="91"/>
      <c r="G170" s="8"/>
      <c r="I170" s="58"/>
      <c r="J170" s="92"/>
      <c r="L170" s="92"/>
      <c r="N170" s="93"/>
      <c r="O170" s="58"/>
      <c r="P170" s="58"/>
    </row>
    <row r="171">
      <c r="A171" s="92"/>
      <c r="C171" s="92"/>
      <c r="D171" s="90"/>
      <c r="E171" s="91"/>
      <c r="F171" s="91"/>
      <c r="G171" s="8"/>
      <c r="I171" s="58"/>
      <c r="J171" s="92"/>
      <c r="L171" s="92"/>
      <c r="N171" s="93"/>
      <c r="O171" s="58"/>
      <c r="P171" s="58"/>
    </row>
    <row r="172">
      <c r="A172" s="92"/>
      <c r="C172" s="92"/>
      <c r="D172" s="90"/>
      <c r="E172" s="91"/>
      <c r="F172" s="91"/>
      <c r="G172" s="8"/>
      <c r="I172" s="58"/>
      <c r="J172" s="92"/>
      <c r="L172" s="92"/>
      <c r="N172" s="93"/>
      <c r="O172" s="58"/>
      <c r="P172" s="58"/>
    </row>
    <row r="173">
      <c r="A173" s="92"/>
      <c r="C173" s="92"/>
      <c r="D173" s="90"/>
      <c r="E173" s="91"/>
      <c r="F173" s="91"/>
      <c r="G173" s="8"/>
      <c r="I173" s="58"/>
      <c r="J173" s="92"/>
      <c r="L173" s="92"/>
      <c r="N173" s="93"/>
      <c r="O173" s="58"/>
      <c r="P173" s="58"/>
    </row>
    <row r="174">
      <c r="A174" s="92"/>
      <c r="C174" s="92"/>
      <c r="D174" s="90"/>
      <c r="E174" s="91"/>
      <c r="F174" s="91"/>
      <c r="G174" s="8"/>
      <c r="I174" s="58"/>
      <c r="J174" s="92"/>
      <c r="L174" s="92"/>
      <c r="N174" s="93"/>
      <c r="O174" s="58"/>
      <c r="P174" s="58"/>
    </row>
    <row r="175">
      <c r="A175" s="92"/>
      <c r="C175" s="92"/>
      <c r="D175" s="90"/>
      <c r="E175" s="91"/>
      <c r="F175" s="91"/>
      <c r="G175" s="8"/>
      <c r="I175" s="58"/>
      <c r="J175" s="92"/>
      <c r="L175" s="92"/>
      <c r="N175" s="93"/>
      <c r="O175" s="58"/>
      <c r="P175" s="58"/>
    </row>
    <row r="176">
      <c r="A176" s="92"/>
      <c r="C176" s="92"/>
      <c r="D176" s="90"/>
      <c r="E176" s="91"/>
      <c r="F176" s="91"/>
      <c r="G176" s="8"/>
      <c r="I176" s="58"/>
      <c r="J176" s="92"/>
      <c r="L176" s="92"/>
      <c r="N176" s="93"/>
      <c r="O176" s="58"/>
      <c r="P176" s="58"/>
    </row>
    <row r="177">
      <c r="A177" s="92"/>
      <c r="C177" s="92"/>
      <c r="D177" s="90"/>
      <c r="E177" s="91"/>
      <c r="F177" s="91"/>
      <c r="G177" s="8"/>
      <c r="I177" s="58"/>
      <c r="J177" s="92"/>
      <c r="L177" s="92"/>
      <c r="N177" s="93"/>
      <c r="O177" s="58"/>
      <c r="P177" s="58"/>
    </row>
    <row r="178">
      <c r="A178" s="92"/>
      <c r="C178" s="92"/>
      <c r="D178" s="90"/>
      <c r="E178" s="91"/>
      <c r="F178" s="91"/>
      <c r="G178" s="8"/>
      <c r="I178" s="58"/>
      <c r="J178" s="92"/>
      <c r="L178" s="92"/>
      <c r="N178" s="93"/>
      <c r="O178" s="58"/>
      <c r="P178" s="58"/>
    </row>
    <row r="179">
      <c r="A179" s="92"/>
      <c r="C179" s="92"/>
      <c r="D179" s="90"/>
      <c r="E179" s="91"/>
      <c r="F179" s="91"/>
      <c r="G179" s="8"/>
      <c r="I179" s="58"/>
      <c r="J179" s="92"/>
      <c r="L179" s="92"/>
      <c r="N179" s="93"/>
      <c r="O179" s="58"/>
      <c r="P179" s="58"/>
    </row>
    <row r="180">
      <c r="A180" s="92"/>
      <c r="C180" s="92"/>
      <c r="D180" s="90"/>
      <c r="E180" s="91"/>
      <c r="F180" s="91"/>
      <c r="G180" s="8"/>
      <c r="I180" s="58"/>
      <c r="J180" s="92"/>
      <c r="L180" s="92"/>
      <c r="N180" s="93"/>
      <c r="O180" s="58"/>
      <c r="P180" s="58"/>
    </row>
    <row r="181">
      <c r="A181" s="92"/>
      <c r="C181" s="92"/>
      <c r="D181" s="90"/>
      <c r="E181" s="91"/>
      <c r="F181" s="91"/>
      <c r="G181" s="8"/>
      <c r="I181" s="58"/>
      <c r="J181" s="92"/>
      <c r="L181" s="92"/>
      <c r="N181" s="93"/>
      <c r="O181" s="58"/>
      <c r="P181" s="58"/>
    </row>
    <row r="182">
      <c r="A182" s="92"/>
      <c r="C182" s="92"/>
      <c r="D182" s="90"/>
      <c r="E182" s="91"/>
      <c r="F182" s="91"/>
      <c r="G182" s="8"/>
      <c r="I182" s="58"/>
      <c r="J182" s="92"/>
      <c r="L182" s="92"/>
      <c r="N182" s="93"/>
      <c r="O182" s="58"/>
      <c r="P182" s="58"/>
    </row>
    <row r="183">
      <c r="A183" s="92"/>
      <c r="C183" s="92"/>
      <c r="D183" s="90"/>
      <c r="E183" s="91"/>
      <c r="F183" s="91"/>
      <c r="G183" s="8"/>
      <c r="I183" s="58"/>
      <c r="J183" s="92"/>
      <c r="L183" s="92"/>
      <c r="N183" s="93"/>
      <c r="O183" s="58"/>
      <c r="P183" s="58"/>
    </row>
    <row r="184">
      <c r="A184" s="92"/>
      <c r="C184" s="92"/>
      <c r="D184" s="90"/>
      <c r="E184" s="91"/>
      <c r="F184" s="91"/>
      <c r="G184" s="8"/>
      <c r="I184" s="58"/>
      <c r="J184" s="92"/>
      <c r="L184" s="92"/>
      <c r="N184" s="93"/>
      <c r="O184" s="58"/>
      <c r="P184" s="58"/>
    </row>
    <row r="185">
      <c r="A185" s="92"/>
      <c r="C185" s="92"/>
      <c r="D185" s="90"/>
      <c r="E185" s="91"/>
      <c r="F185" s="91"/>
      <c r="G185" s="8"/>
      <c r="I185" s="58"/>
      <c r="J185" s="92"/>
      <c r="L185" s="92"/>
      <c r="N185" s="93"/>
      <c r="O185" s="58"/>
      <c r="P185" s="58"/>
    </row>
    <row r="186">
      <c r="A186" s="92"/>
      <c r="C186" s="92"/>
      <c r="D186" s="90"/>
      <c r="E186" s="91"/>
      <c r="F186" s="91"/>
      <c r="G186" s="8"/>
      <c r="I186" s="58"/>
      <c r="J186" s="92"/>
      <c r="L186" s="92"/>
      <c r="N186" s="93"/>
      <c r="O186" s="58"/>
      <c r="P186" s="58"/>
    </row>
    <row r="187">
      <c r="A187" s="92"/>
      <c r="C187" s="92"/>
      <c r="D187" s="90"/>
      <c r="E187" s="91"/>
      <c r="F187" s="91"/>
      <c r="G187" s="8"/>
      <c r="I187" s="58"/>
      <c r="J187" s="92"/>
      <c r="L187" s="92"/>
      <c r="N187" s="93"/>
      <c r="O187" s="58"/>
      <c r="P187" s="58"/>
    </row>
    <row r="188">
      <c r="A188" s="92"/>
      <c r="C188" s="92"/>
      <c r="D188" s="90"/>
      <c r="E188" s="91"/>
      <c r="F188" s="91"/>
      <c r="G188" s="8"/>
      <c r="I188" s="58"/>
      <c r="J188" s="92"/>
      <c r="L188" s="92"/>
      <c r="N188" s="93"/>
      <c r="O188" s="58"/>
      <c r="P188" s="58"/>
    </row>
    <row r="189">
      <c r="A189" s="92"/>
      <c r="C189" s="92"/>
      <c r="D189" s="90"/>
      <c r="E189" s="91"/>
      <c r="F189" s="91"/>
      <c r="G189" s="8"/>
      <c r="I189" s="58"/>
      <c r="J189" s="92"/>
      <c r="L189" s="92"/>
      <c r="N189" s="93"/>
      <c r="O189" s="58"/>
      <c r="P189" s="58"/>
    </row>
    <row r="190">
      <c r="A190" s="92"/>
      <c r="C190" s="92"/>
      <c r="D190" s="90"/>
      <c r="E190" s="91"/>
      <c r="F190" s="91"/>
      <c r="G190" s="8"/>
      <c r="I190" s="58"/>
      <c r="J190" s="92"/>
      <c r="L190" s="92"/>
      <c r="N190" s="93"/>
      <c r="O190" s="58"/>
      <c r="P190" s="58"/>
    </row>
    <row r="191">
      <c r="A191" s="92"/>
      <c r="C191" s="92"/>
      <c r="D191" s="90"/>
      <c r="E191" s="91"/>
      <c r="F191" s="91"/>
      <c r="G191" s="8"/>
      <c r="I191" s="58"/>
      <c r="J191" s="92"/>
      <c r="L191" s="92"/>
      <c r="N191" s="93"/>
      <c r="O191" s="58"/>
      <c r="P191" s="58"/>
    </row>
    <row r="192">
      <c r="A192" s="92"/>
      <c r="C192" s="92"/>
      <c r="D192" s="90"/>
      <c r="E192" s="91"/>
      <c r="F192" s="91"/>
      <c r="G192" s="8"/>
      <c r="I192" s="58"/>
      <c r="J192" s="92"/>
      <c r="L192" s="92"/>
      <c r="N192" s="93"/>
      <c r="O192" s="58"/>
      <c r="P192" s="58"/>
    </row>
    <row r="193">
      <c r="A193" s="92"/>
      <c r="C193" s="92"/>
      <c r="D193" s="90"/>
      <c r="E193" s="91"/>
      <c r="F193" s="91"/>
      <c r="G193" s="8"/>
      <c r="I193" s="58"/>
      <c r="J193" s="92"/>
      <c r="L193" s="92"/>
      <c r="N193" s="93"/>
      <c r="O193" s="58"/>
      <c r="P193" s="58"/>
    </row>
    <row r="194">
      <c r="A194" s="92"/>
      <c r="C194" s="92"/>
      <c r="D194" s="90"/>
      <c r="E194" s="91"/>
      <c r="F194" s="91"/>
      <c r="G194" s="8"/>
      <c r="I194" s="58"/>
      <c r="J194" s="92"/>
      <c r="L194" s="92"/>
      <c r="N194" s="93"/>
      <c r="O194" s="58"/>
      <c r="P194" s="58"/>
    </row>
    <row r="195">
      <c r="A195" s="92"/>
      <c r="C195" s="92"/>
      <c r="D195" s="90"/>
      <c r="E195" s="91"/>
      <c r="F195" s="91"/>
      <c r="G195" s="8"/>
      <c r="I195" s="58"/>
      <c r="J195" s="92"/>
      <c r="L195" s="92"/>
      <c r="N195" s="93"/>
      <c r="O195" s="58"/>
      <c r="P195" s="58"/>
    </row>
    <row r="196">
      <c r="A196" s="92"/>
      <c r="C196" s="92"/>
      <c r="D196" s="90"/>
      <c r="E196" s="91"/>
      <c r="F196" s="91"/>
      <c r="G196" s="8"/>
      <c r="I196" s="58"/>
      <c r="J196" s="92"/>
      <c r="L196" s="92"/>
      <c r="N196" s="93"/>
      <c r="O196" s="58"/>
      <c r="P196" s="58"/>
    </row>
    <row r="197">
      <c r="A197" s="92"/>
      <c r="C197" s="92"/>
      <c r="D197" s="90"/>
      <c r="E197" s="91"/>
      <c r="F197" s="91"/>
      <c r="G197" s="8"/>
      <c r="I197" s="58"/>
      <c r="J197" s="92"/>
      <c r="L197" s="92"/>
      <c r="N197" s="93"/>
      <c r="O197" s="58"/>
      <c r="P197" s="58"/>
    </row>
    <row r="198">
      <c r="A198" s="92"/>
      <c r="C198" s="92"/>
      <c r="D198" s="90"/>
      <c r="E198" s="91"/>
      <c r="F198" s="91"/>
      <c r="G198" s="8"/>
      <c r="I198" s="58"/>
      <c r="J198" s="92"/>
      <c r="L198" s="92"/>
      <c r="N198" s="93"/>
      <c r="O198" s="58"/>
      <c r="P198" s="58"/>
    </row>
    <row r="199">
      <c r="A199" s="92"/>
      <c r="C199" s="92"/>
      <c r="D199" s="90"/>
      <c r="E199" s="91"/>
      <c r="F199" s="91"/>
      <c r="G199" s="8"/>
      <c r="I199" s="58"/>
      <c r="J199" s="92"/>
      <c r="L199" s="92"/>
      <c r="N199" s="93"/>
      <c r="O199" s="58"/>
      <c r="P199" s="58"/>
    </row>
    <row r="200">
      <c r="A200" s="92"/>
      <c r="C200" s="92"/>
      <c r="D200" s="90"/>
      <c r="E200" s="91"/>
      <c r="F200" s="91"/>
      <c r="G200" s="8"/>
      <c r="I200" s="58"/>
      <c r="J200" s="92"/>
      <c r="L200" s="92"/>
      <c r="N200" s="93"/>
      <c r="O200" s="58"/>
      <c r="P200" s="58"/>
    </row>
    <row r="201">
      <c r="A201" s="92"/>
      <c r="C201" s="92"/>
      <c r="D201" s="90"/>
      <c r="E201" s="91"/>
      <c r="F201" s="91"/>
      <c r="G201" s="8"/>
      <c r="I201" s="58"/>
      <c r="J201" s="92"/>
      <c r="L201" s="92"/>
      <c r="N201" s="93"/>
      <c r="O201" s="58"/>
      <c r="P201" s="58"/>
    </row>
    <row r="202">
      <c r="A202" s="92"/>
      <c r="C202" s="92"/>
      <c r="D202" s="90"/>
      <c r="E202" s="91"/>
      <c r="F202" s="91"/>
      <c r="G202" s="8"/>
      <c r="I202" s="58"/>
      <c r="J202" s="92"/>
      <c r="L202" s="92"/>
      <c r="N202" s="93"/>
      <c r="O202" s="58"/>
      <c r="P202" s="58"/>
    </row>
    <row r="203">
      <c r="A203" s="92"/>
      <c r="C203" s="92"/>
      <c r="D203" s="90"/>
      <c r="E203" s="91"/>
      <c r="F203" s="91"/>
      <c r="G203" s="8"/>
      <c r="I203" s="58"/>
      <c r="J203" s="92"/>
      <c r="L203" s="92"/>
      <c r="N203" s="93"/>
      <c r="O203" s="58"/>
      <c r="P203" s="58"/>
    </row>
    <row r="204">
      <c r="A204" s="92"/>
      <c r="C204" s="92"/>
      <c r="D204" s="90"/>
      <c r="E204" s="91"/>
      <c r="F204" s="91"/>
      <c r="G204" s="8"/>
      <c r="I204" s="58"/>
      <c r="J204" s="92"/>
      <c r="L204" s="92"/>
      <c r="N204" s="93"/>
      <c r="O204" s="58"/>
      <c r="P204" s="58"/>
    </row>
    <row r="205">
      <c r="A205" s="92"/>
      <c r="C205" s="92"/>
      <c r="D205" s="90"/>
      <c r="E205" s="91"/>
      <c r="F205" s="91"/>
      <c r="G205" s="8"/>
      <c r="I205" s="58"/>
      <c r="J205" s="92"/>
      <c r="L205" s="92"/>
      <c r="N205" s="93"/>
      <c r="O205" s="58"/>
      <c r="P205" s="58"/>
    </row>
    <row r="206">
      <c r="A206" s="92"/>
      <c r="C206" s="92"/>
      <c r="D206" s="90"/>
      <c r="E206" s="91"/>
      <c r="F206" s="91"/>
      <c r="G206" s="8"/>
      <c r="I206" s="58"/>
      <c r="J206" s="92"/>
      <c r="L206" s="92"/>
      <c r="N206" s="93"/>
      <c r="O206" s="58"/>
      <c r="P206" s="58"/>
    </row>
    <row r="207">
      <c r="A207" s="92"/>
      <c r="C207" s="92"/>
      <c r="D207" s="90"/>
      <c r="E207" s="91"/>
      <c r="F207" s="91"/>
      <c r="G207" s="8"/>
      <c r="I207" s="58"/>
      <c r="J207" s="92"/>
      <c r="L207" s="92"/>
      <c r="N207" s="93"/>
      <c r="O207" s="58"/>
      <c r="P207" s="58"/>
    </row>
    <row r="208">
      <c r="A208" s="92"/>
      <c r="C208" s="92"/>
      <c r="D208" s="90"/>
      <c r="E208" s="91"/>
      <c r="F208" s="91"/>
      <c r="G208" s="8"/>
      <c r="I208" s="58"/>
      <c r="J208" s="92"/>
      <c r="L208" s="92"/>
      <c r="N208" s="93"/>
      <c r="O208" s="58"/>
      <c r="P208" s="58"/>
    </row>
    <row r="209">
      <c r="A209" s="92"/>
      <c r="C209" s="92"/>
      <c r="D209" s="90"/>
      <c r="E209" s="91"/>
      <c r="F209" s="91"/>
      <c r="G209" s="8"/>
      <c r="I209" s="58"/>
      <c r="J209" s="92"/>
      <c r="L209" s="92"/>
      <c r="N209" s="93"/>
      <c r="O209" s="58"/>
      <c r="P209" s="58"/>
    </row>
    <row r="210">
      <c r="A210" s="92"/>
      <c r="C210" s="92"/>
      <c r="D210" s="90"/>
      <c r="E210" s="91"/>
      <c r="F210" s="91"/>
      <c r="G210" s="8"/>
      <c r="I210" s="58"/>
      <c r="J210" s="92"/>
      <c r="L210" s="92"/>
      <c r="N210" s="93"/>
      <c r="O210" s="58"/>
      <c r="P210" s="58"/>
    </row>
    <row r="211">
      <c r="A211" s="92"/>
      <c r="C211" s="92"/>
      <c r="D211" s="90"/>
      <c r="E211" s="91"/>
      <c r="F211" s="91"/>
      <c r="G211" s="8"/>
      <c r="I211" s="58"/>
      <c r="J211" s="92"/>
      <c r="L211" s="92"/>
      <c r="N211" s="93"/>
      <c r="O211" s="58"/>
      <c r="P211" s="58"/>
    </row>
    <row r="212">
      <c r="A212" s="92"/>
      <c r="C212" s="92"/>
      <c r="D212" s="90"/>
      <c r="E212" s="91"/>
      <c r="F212" s="91"/>
      <c r="G212" s="8"/>
      <c r="I212" s="58"/>
      <c r="J212" s="92"/>
      <c r="L212" s="92"/>
      <c r="N212" s="93"/>
      <c r="O212" s="58"/>
      <c r="P212" s="58"/>
    </row>
    <row r="213">
      <c r="A213" s="92"/>
      <c r="C213" s="92"/>
      <c r="D213" s="90"/>
      <c r="E213" s="91"/>
      <c r="F213" s="91"/>
      <c r="G213" s="8"/>
      <c r="I213" s="58"/>
      <c r="J213" s="92"/>
      <c r="L213" s="92"/>
      <c r="N213" s="93"/>
      <c r="O213" s="58"/>
      <c r="P213" s="58"/>
    </row>
    <row r="214">
      <c r="A214" s="92"/>
      <c r="C214" s="92"/>
      <c r="D214" s="90"/>
      <c r="E214" s="91"/>
      <c r="F214" s="91"/>
      <c r="G214" s="8"/>
      <c r="I214" s="58"/>
      <c r="J214" s="92"/>
      <c r="L214" s="92"/>
      <c r="N214" s="93"/>
      <c r="O214" s="58"/>
      <c r="P214" s="58"/>
    </row>
    <row r="215">
      <c r="A215" s="92"/>
      <c r="C215" s="92"/>
      <c r="D215" s="90"/>
      <c r="E215" s="91"/>
      <c r="F215" s="91"/>
      <c r="G215" s="8"/>
      <c r="I215" s="58"/>
      <c r="J215" s="92"/>
      <c r="L215" s="92"/>
      <c r="N215" s="93"/>
      <c r="O215" s="58"/>
      <c r="P215" s="58"/>
    </row>
    <row r="216">
      <c r="A216" s="92"/>
      <c r="C216" s="92"/>
      <c r="D216" s="90"/>
      <c r="E216" s="91"/>
      <c r="F216" s="91"/>
      <c r="G216" s="8"/>
      <c r="I216" s="58"/>
      <c r="J216" s="92"/>
      <c r="L216" s="92"/>
      <c r="N216" s="93"/>
      <c r="O216" s="58"/>
      <c r="P216" s="58"/>
    </row>
    <row r="217">
      <c r="A217" s="92"/>
      <c r="C217" s="92"/>
      <c r="D217" s="90"/>
      <c r="E217" s="91"/>
      <c r="F217" s="91"/>
      <c r="G217" s="8"/>
      <c r="I217" s="58"/>
      <c r="J217" s="92"/>
      <c r="L217" s="92"/>
      <c r="N217" s="93"/>
      <c r="O217" s="58"/>
      <c r="P217" s="58"/>
    </row>
    <row r="218">
      <c r="A218" s="92"/>
      <c r="C218" s="92"/>
      <c r="D218" s="90"/>
      <c r="E218" s="91"/>
      <c r="F218" s="91"/>
      <c r="G218" s="8"/>
      <c r="I218" s="58"/>
      <c r="J218" s="92"/>
      <c r="L218" s="92"/>
      <c r="N218" s="93"/>
      <c r="O218" s="58"/>
      <c r="P218" s="58"/>
    </row>
    <row r="219">
      <c r="A219" s="92"/>
      <c r="C219" s="92"/>
      <c r="D219" s="90"/>
      <c r="E219" s="91"/>
      <c r="F219" s="91"/>
      <c r="G219" s="8"/>
      <c r="I219" s="58"/>
      <c r="J219" s="92"/>
      <c r="L219" s="92"/>
      <c r="N219" s="93"/>
      <c r="O219" s="58"/>
      <c r="P219" s="58"/>
    </row>
    <row r="220">
      <c r="A220" s="92"/>
      <c r="C220" s="92"/>
      <c r="D220" s="90"/>
      <c r="E220" s="91"/>
      <c r="F220" s="91"/>
      <c r="G220" s="8"/>
      <c r="I220" s="58"/>
      <c r="J220" s="92"/>
      <c r="L220" s="92"/>
      <c r="N220" s="93"/>
      <c r="O220" s="58"/>
      <c r="P220" s="58"/>
    </row>
    <row r="221">
      <c r="A221" s="92"/>
      <c r="C221" s="92"/>
      <c r="D221" s="90"/>
      <c r="E221" s="91"/>
      <c r="F221" s="91"/>
      <c r="G221" s="8"/>
      <c r="I221" s="58"/>
      <c r="J221" s="92"/>
      <c r="L221" s="92"/>
      <c r="N221" s="93"/>
      <c r="O221" s="58"/>
      <c r="P221" s="58"/>
    </row>
    <row r="222">
      <c r="A222" s="92"/>
      <c r="C222" s="92"/>
      <c r="D222" s="90"/>
      <c r="E222" s="91"/>
      <c r="F222" s="91"/>
      <c r="G222" s="8"/>
      <c r="I222" s="58"/>
      <c r="J222" s="92"/>
      <c r="L222" s="92"/>
      <c r="N222" s="93"/>
      <c r="O222" s="58"/>
      <c r="P222" s="58"/>
    </row>
    <row r="223">
      <c r="A223" s="92"/>
      <c r="C223" s="92"/>
      <c r="D223" s="90"/>
      <c r="E223" s="91"/>
      <c r="F223" s="91"/>
      <c r="G223" s="8"/>
      <c r="I223" s="58"/>
      <c r="J223" s="92"/>
      <c r="L223" s="92"/>
      <c r="N223" s="93"/>
      <c r="O223" s="58"/>
      <c r="P223" s="58"/>
    </row>
    <row r="224">
      <c r="A224" s="92"/>
      <c r="C224" s="92"/>
      <c r="D224" s="90"/>
      <c r="E224" s="91"/>
      <c r="F224" s="91"/>
      <c r="G224" s="8"/>
      <c r="I224" s="58"/>
      <c r="J224" s="92"/>
      <c r="L224" s="92"/>
      <c r="N224" s="93"/>
      <c r="O224" s="58"/>
      <c r="P224" s="58"/>
    </row>
    <row r="225">
      <c r="A225" s="92"/>
      <c r="C225" s="92"/>
      <c r="D225" s="90"/>
      <c r="E225" s="91"/>
      <c r="F225" s="91"/>
      <c r="G225" s="8"/>
      <c r="I225" s="58"/>
      <c r="J225" s="92"/>
      <c r="L225" s="92"/>
      <c r="N225" s="93"/>
      <c r="O225" s="58"/>
      <c r="P225" s="58"/>
    </row>
    <row r="226">
      <c r="A226" s="92"/>
      <c r="C226" s="92"/>
      <c r="D226" s="90"/>
      <c r="E226" s="91"/>
      <c r="F226" s="91"/>
      <c r="G226" s="8"/>
      <c r="I226" s="58"/>
      <c r="J226" s="92"/>
      <c r="L226" s="92"/>
      <c r="N226" s="93"/>
      <c r="O226" s="58"/>
      <c r="P226" s="58"/>
    </row>
    <row r="227">
      <c r="A227" s="92"/>
      <c r="C227" s="92"/>
      <c r="D227" s="90"/>
      <c r="E227" s="91"/>
      <c r="F227" s="91"/>
      <c r="G227" s="8"/>
      <c r="I227" s="58"/>
      <c r="J227" s="92"/>
      <c r="L227" s="92"/>
      <c r="N227" s="93"/>
      <c r="O227" s="58"/>
      <c r="P227" s="58"/>
    </row>
    <row r="228">
      <c r="A228" s="92"/>
      <c r="C228" s="92"/>
      <c r="D228" s="90"/>
      <c r="E228" s="91"/>
      <c r="F228" s="91"/>
      <c r="G228" s="8"/>
      <c r="I228" s="58"/>
      <c r="J228" s="92"/>
      <c r="L228" s="92"/>
      <c r="N228" s="93"/>
      <c r="O228" s="58"/>
      <c r="P228" s="58"/>
    </row>
    <row r="229">
      <c r="A229" s="92"/>
      <c r="C229" s="92"/>
      <c r="D229" s="90"/>
      <c r="E229" s="91"/>
      <c r="F229" s="91"/>
      <c r="G229" s="8"/>
      <c r="I229" s="58"/>
      <c r="J229" s="92"/>
      <c r="L229" s="92"/>
      <c r="N229" s="93"/>
      <c r="O229" s="58"/>
      <c r="P229" s="58"/>
    </row>
    <row r="230">
      <c r="A230" s="92"/>
      <c r="C230" s="92"/>
      <c r="D230" s="90"/>
      <c r="E230" s="91"/>
      <c r="F230" s="91"/>
      <c r="G230" s="8"/>
      <c r="I230" s="58"/>
      <c r="J230" s="92"/>
      <c r="L230" s="92"/>
      <c r="N230" s="93"/>
      <c r="O230" s="58"/>
      <c r="P230" s="58"/>
    </row>
    <row r="231">
      <c r="A231" s="92"/>
      <c r="C231" s="92"/>
      <c r="D231" s="90"/>
      <c r="E231" s="91"/>
      <c r="F231" s="91"/>
      <c r="G231" s="8"/>
      <c r="I231" s="58"/>
      <c r="J231" s="92"/>
      <c r="L231" s="92"/>
      <c r="N231" s="93"/>
      <c r="O231" s="58"/>
      <c r="P231" s="58"/>
    </row>
    <row r="232">
      <c r="A232" s="92"/>
      <c r="C232" s="92"/>
      <c r="D232" s="90"/>
      <c r="E232" s="91"/>
      <c r="F232" s="91"/>
      <c r="G232" s="8"/>
      <c r="I232" s="58"/>
      <c r="J232" s="92"/>
      <c r="L232" s="92"/>
      <c r="N232" s="93"/>
      <c r="O232" s="58"/>
      <c r="P232" s="58"/>
    </row>
    <row r="233">
      <c r="A233" s="92"/>
      <c r="C233" s="92"/>
      <c r="D233" s="90"/>
      <c r="E233" s="91"/>
      <c r="F233" s="91"/>
      <c r="G233" s="8"/>
      <c r="I233" s="58"/>
      <c r="J233" s="92"/>
      <c r="L233" s="92"/>
      <c r="N233" s="93"/>
      <c r="O233" s="58"/>
      <c r="P233" s="58"/>
    </row>
    <row r="234">
      <c r="A234" s="92"/>
      <c r="C234" s="92"/>
      <c r="D234" s="90"/>
      <c r="E234" s="91"/>
      <c r="F234" s="91"/>
      <c r="G234" s="8"/>
      <c r="I234" s="58"/>
      <c r="J234" s="92"/>
      <c r="L234" s="92"/>
      <c r="N234" s="93"/>
      <c r="O234" s="58"/>
      <c r="P234" s="58"/>
    </row>
    <row r="235">
      <c r="A235" s="92"/>
      <c r="C235" s="92"/>
      <c r="D235" s="90"/>
      <c r="E235" s="91"/>
      <c r="F235" s="91"/>
      <c r="G235" s="8"/>
      <c r="I235" s="58"/>
      <c r="J235" s="92"/>
      <c r="L235" s="92"/>
      <c r="N235" s="93"/>
      <c r="O235" s="58"/>
      <c r="P235" s="58"/>
    </row>
    <row r="236">
      <c r="A236" s="92"/>
      <c r="C236" s="92"/>
      <c r="D236" s="90"/>
      <c r="E236" s="91"/>
      <c r="F236" s="91"/>
      <c r="G236" s="8"/>
      <c r="I236" s="58"/>
      <c r="J236" s="92"/>
      <c r="L236" s="92"/>
      <c r="N236" s="93"/>
      <c r="O236" s="58"/>
      <c r="P236" s="58"/>
    </row>
    <row r="237">
      <c r="A237" s="92"/>
      <c r="C237" s="92"/>
      <c r="D237" s="90"/>
      <c r="E237" s="91"/>
      <c r="F237" s="91"/>
      <c r="G237" s="8"/>
      <c r="I237" s="58"/>
      <c r="J237" s="92"/>
      <c r="L237" s="92"/>
      <c r="N237" s="93"/>
      <c r="O237" s="58"/>
      <c r="P237" s="58"/>
    </row>
    <row r="238">
      <c r="A238" s="92"/>
      <c r="C238" s="92"/>
      <c r="D238" s="90"/>
      <c r="E238" s="91"/>
      <c r="F238" s="91"/>
      <c r="G238" s="8"/>
      <c r="I238" s="58"/>
      <c r="J238" s="92"/>
      <c r="L238" s="92"/>
      <c r="N238" s="93"/>
      <c r="O238" s="58"/>
      <c r="P238" s="58"/>
    </row>
    <row r="239">
      <c r="A239" s="92"/>
      <c r="C239" s="92"/>
      <c r="D239" s="90"/>
      <c r="E239" s="91"/>
      <c r="F239" s="91"/>
      <c r="G239" s="8"/>
      <c r="I239" s="58"/>
      <c r="J239" s="92"/>
      <c r="L239" s="92"/>
      <c r="N239" s="93"/>
      <c r="O239" s="58"/>
      <c r="P239" s="58"/>
    </row>
    <row r="240">
      <c r="A240" s="92"/>
      <c r="C240" s="92"/>
      <c r="D240" s="90"/>
      <c r="E240" s="91"/>
      <c r="F240" s="91"/>
      <c r="G240" s="8"/>
      <c r="I240" s="58"/>
      <c r="J240" s="92"/>
      <c r="L240" s="92"/>
      <c r="N240" s="93"/>
      <c r="O240" s="58"/>
      <c r="P240" s="58"/>
    </row>
    <row r="241">
      <c r="A241" s="92"/>
      <c r="C241" s="92"/>
      <c r="D241" s="90"/>
      <c r="E241" s="91"/>
      <c r="F241" s="91"/>
      <c r="G241" s="8"/>
      <c r="I241" s="58"/>
      <c r="J241" s="92"/>
      <c r="L241" s="92"/>
      <c r="N241" s="93"/>
      <c r="O241" s="58"/>
      <c r="P241" s="58"/>
    </row>
    <row r="242">
      <c r="A242" s="92"/>
      <c r="C242" s="92"/>
      <c r="D242" s="90"/>
      <c r="E242" s="91"/>
      <c r="F242" s="91"/>
      <c r="G242" s="8"/>
      <c r="I242" s="58"/>
      <c r="J242" s="92"/>
      <c r="L242" s="92"/>
      <c r="N242" s="93"/>
      <c r="O242" s="58"/>
      <c r="P242" s="58"/>
    </row>
    <row r="243">
      <c r="A243" s="92"/>
      <c r="C243" s="92"/>
      <c r="D243" s="90"/>
      <c r="E243" s="91"/>
      <c r="F243" s="91"/>
      <c r="G243" s="8"/>
      <c r="I243" s="58"/>
      <c r="J243" s="92"/>
      <c r="L243" s="92"/>
      <c r="N243" s="93"/>
      <c r="O243" s="58"/>
      <c r="P243" s="58"/>
    </row>
    <row r="244">
      <c r="A244" s="92"/>
      <c r="C244" s="92"/>
      <c r="D244" s="90"/>
      <c r="E244" s="91"/>
      <c r="F244" s="91"/>
      <c r="G244" s="8"/>
      <c r="I244" s="58"/>
      <c r="J244" s="92"/>
      <c r="L244" s="92"/>
      <c r="N244" s="93"/>
      <c r="O244" s="58"/>
      <c r="P244" s="58"/>
    </row>
    <row r="245">
      <c r="A245" s="92"/>
      <c r="C245" s="92"/>
      <c r="D245" s="90"/>
      <c r="E245" s="91"/>
      <c r="F245" s="91"/>
      <c r="G245" s="8"/>
      <c r="I245" s="58"/>
      <c r="J245" s="92"/>
      <c r="L245" s="92"/>
      <c r="N245" s="93"/>
      <c r="O245" s="58"/>
      <c r="P245" s="58"/>
    </row>
    <row r="246">
      <c r="A246" s="92"/>
      <c r="C246" s="92"/>
      <c r="D246" s="90"/>
      <c r="E246" s="91"/>
      <c r="F246" s="91"/>
      <c r="G246" s="8"/>
      <c r="I246" s="58"/>
      <c r="J246" s="92"/>
      <c r="L246" s="92"/>
      <c r="N246" s="93"/>
      <c r="O246" s="58"/>
      <c r="P246" s="58"/>
    </row>
    <row r="247">
      <c r="A247" s="92"/>
      <c r="C247" s="92"/>
      <c r="D247" s="90"/>
      <c r="E247" s="91"/>
      <c r="F247" s="91"/>
      <c r="G247" s="8"/>
      <c r="I247" s="58"/>
      <c r="J247" s="92"/>
      <c r="L247" s="92"/>
      <c r="N247" s="93"/>
      <c r="O247" s="58"/>
      <c r="P247" s="58"/>
    </row>
    <row r="248">
      <c r="A248" s="92"/>
      <c r="C248" s="92"/>
      <c r="D248" s="90"/>
      <c r="E248" s="91"/>
      <c r="F248" s="91"/>
      <c r="G248" s="8"/>
      <c r="I248" s="58"/>
      <c r="J248" s="92"/>
      <c r="L248" s="92"/>
      <c r="N248" s="93"/>
      <c r="O248" s="58"/>
      <c r="P248" s="58"/>
    </row>
    <row r="249">
      <c r="A249" s="92"/>
      <c r="C249" s="92"/>
      <c r="D249" s="90"/>
      <c r="E249" s="91"/>
      <c r="F249" s="91"/>
      <c r="G249" s="8"/>
      <c r="I249" s="58"/>
      <c r="J249" s="92"/>
      <c r="L249" s="92"/>
      <c r="N249" s="93"/>
      <c r="O249" s="58"/>
      <c r="P249" s="58"/>
    </row>
    <row r="250">
      <c r="A250" s="92"/>
      <c r="C250" s="92"/>
      <c r="D250" s="90"/>
      <c r="E250" s="91"/>
      <c r="F250" s="91"/>
      <c r="G250" s="8"/>
      <c r="I250" s="58"/>
      <c r="J250" s="92"/>
      <c r="L250" s="92"/>
      <c r="N250" s="93"/>
      <c r="O250" s="58"/>
      <c r="P250" s="58"/>
    </row>
    <row r="251">
      <c r="A251" s="92"/>
      <c r="C251" s="92"/>
      <c r="D251" s="90"/>
      <c r="E251" s="91"/>
      <c r="F251" s="91"/>
      <c r="G251" s="8"/>
      <c r="I251" s="58"/>
      <c r="J251" s="92"/>
      <c r="L251" s="92"/>
      <c r="N251" s="93"/>
      <c r="O251" s="58"/>
      <c r="P251" s="58"/>
    </row>
    <row r="252">
      <c r="A252" s="92"/>
      <c r="C252" s="92"/>
      <c r="D252" s="90"/>
      <c r="E252" s="91"/>
      <c r="F252" s="91"/>
      <c r="G252" s="8"/>
      <c r="I252" s="58"/>
      <c r="J252" s="92"/>
      <c r="L252" s="92"/>
      <c r="N252" s="93"/>
      <c r="O252" s="58"/>
      <c r="P252" s="58"/>
    </row>
    <row r="253">
      <c r="A253" s="92"/>
      <c r="C253" s="92"/>
      <c r="D253" s="90"/>
      <c r="E253" s="91"/>
      <c r="F253" s="91"/>
      <c r="G253" s="8"/>
      <c r="I253" s="58"/>
      <c r="J253" s="92"/>
      <c r="L253" s="92"/>
      <c r="N253" s="93"/>
      <c r="O253" s="58"/>
      <c r="P253" s="58"/>
    </row>
    <row r="254">
      <c r="A254" s="92"/>
      <c r="C254" s="92"/>
      <c r="D254" s="90"/>
      <c r="E254" s="91"/>
      <c r="F254" s="91"/>
      <c r="G254" s="8"/>
      <c r="I254" s="58"/>
      <c r="J254" s="92"/>
      <c r="L254" s="92"/>
      <c r="N254" s="93"/>
      <c r="O254" s="58"/>
      <c r="P254" s="58"/>
    </row>
    <row r="255">
      <c r="A255" s="92"/>
      <c r="C255" s="92"/>
      <c r="D255" s="90"/>
      <c r="E255" s="91"/>
      <c r="F255" s="91"/>
      <c r="G255" s="8"/>
      <c r="I255" s="58"/>
      <c r="J255" s="92"/>
      <c r="L255" s="92"/>
      <c r="N255" s="93"/>
      <c r="O255" s="58"/>
      <c r="P255" s="58"/>
    </row>
    <row r="256">
      <c r="A256" s="92"/>
      <c r="C256" s="92"/>
      <c r="D256" s="90"/>
      <c r="E256" s="91"/>
      <c r="F256" s="91"/>
      <c r="G256" s="8"/>
      <c r="I256" s="58"/>
      <c r="J256" s="92"/>
      <c r="L256" s="92"/>
      <c r="N256" s="93"/>
      <c r="O256" s="58"/>
      <c r="P256" s="58"/>
    </row>
    <row r="257">
      <c r="A257" s="92"/>
      <c r="C257" s="92"/>
      <c r="D257" s="90"/>
      <c r="E257" s="91"/>
      <c r="F257" s="91"/>
      <c r="G257" s="8"/>
      <c r="I257" s="58"/>
      <c r="J257" s="92"/>
      <c r="L257" s="92"/>
      <c r="N257" s="93"/>
      <c r="O257" s="58"/>
      <c r="P257" s="58"/>
    </row>
    <row r="258">
      <c r="A258" s="92"/>
      <c r="C258" s="92"/>
      <c r="D258" s="90"/>
      <c r="E258" s="91"/>
      <c r="F258" s="91"/>
      <c r="G258" s="8"/>
      <c r="I258" s="58"/>
      <c r="J258" s="92"/>
      <c r="L258" s="92"/>
      <c r="N258" s="93"/>
      <c r="O258" s="58"/>
      <c r="P258" s="58"/>
    </row>
    <row r="259">
      <c r="A259" s="92"/>
      <c r="C259" s="92"/>
      <c r="D259" s="90"/>
      <c r="E259" s="91"/>
      <c r="F259" s="91"/>
      <c r="G259" s="8"/>
      <c r="I259" s="58"/>
      <c r="J259" s="92"/>
      <c r="L259" s="92"/>
      <c r="N259" s="93"/>
      <c r="O259" s="58"/>
      <c r="P259" s="58"/>
    </row>
    <row r="260">
      <c r="A260" s="92"/>
      <c r="C260" s="92"/>
      <c r="D260" s="90"/>
      <c r="E260" s="91"/>
      <c r="F260" s="91"/>
      <c r="G260" s="8"/>
      <c r="I260" s="58"/>
      <c r="J260" s="92"/>
      <c r="L260" s="92"/>
      <c r="N260" s="93"/>
      <c r="O260" s="58"/>
      <c r="P260" s="58"/>
    </row>
    <row r="261">
      <c r="A261" s="92"/>
      <c r="C261" s="92"/>
      <c r="D261" s="90"/>
      <c r="E261" s="91"/>
      <c r="F261" s="91"/>
      <c r="G261" s="8"/>
      <c r="I261" s="58"/>
      <c r="J261" s="92"/>
      <c r="L261" s="92"/>
      <c r="N261" s="93"/>
      <c r="O261" s="58"/>
      <c r="P261" s="58"/>
    </row>
    <row r="262">
      <c r="A262" s="92"/>
      <c r="C262" s="92"/>
      <c r="D262" s="90"/>
      <c r="E262" s="91"/>
      <c r="F262" s="91"/>
      <c r="G262" s="8"/>
      <c r="I262" s="58"/>
      <c r="J262" s="92"/>
      <c r="L262" s="92"/>
      <c r="N262" s="93"/>
      <c r="O262" s="58"/>
      <c r="P262" s="58"/>
    </row>
    <row r="263">
      <c r="A263" s="92"/>
      <c r="C263" s="92"/>
      <c r="D263" s="90"/>
      <c r="E263" s="91"/>
      <c r="F263" s="91"/>
      <c r="G263" s="8"/>
      <c r="I263" s="58"/>
      <c r="J263" s="92"/>
      <c r="L263" s="92"/>
      <c r="N263" s="93"/>
      <c r="O263" s="58"/>
      <c r="P263" s="58"/>
    </row>
    <row r="264">
      <c r="A264" s="92"/>
      <c r="C264" s="92"/>
      <c r="D264" s="90"/>
      <c r="E264" s="91"/>
      <c r="F264" s="91"/>
      <c r="G264" s="8"/>
      <c r="I264" s="58"/>
      <c r="J264" s="92"/>
      <c r="L264" s="92"/>
      <c r="N264" s="93"/>
      <c r="O264" s="58"/>
      <c r="P264" s="58"/>
    </row>
    <row r="265">
      <c r="A265" s="92"/>
      <c r="C265" s="92"/>
      <c r="D265" s="90"/>
      <c r="E265" s="91"/>
      <c r="F265" s="91"/>
      <c r="G265" s="8"/>
      <c r="I265" s="58"/>
      <c r="J265" s="92"/>
      <c r="L265" s="92"/>
      <c r="N265" s="93"/>
      <c r="O265" s="58"/>
      <c r="P265" s="58"/>
    </row>
    <row r="266">
      <c r="A266" s="92"/>
      <c r="C266" s="92"/>
      <c r="D266" s="90"/>
      <c r="E266" s="91"/>
      <c r="F266" s="91"/>
      <c r="G266" s="8"/>
      <c r="I266" s="58"/>
      <c r="J266" s="92"/>
      <c r="L266" s="92"/>
      <c r="N266" s="93"/>
      <c r="O266" s="58"/>
      <c r="P266" s="58"/>
    </row>
    <row r="267">
      <c r="A267" s="92"/>
      <c r="C267" s="92"/>
      <c r="D267" s="90"/>
      <c r="E267" s="91"/>
      <c r="F267" s="91"/>
      <c r="G267" s="8"/>
      <c r="I267" s="58"/>
      <c r="J267" s="92"/>
      <c r="L267" s="92"/>
      <c r="N267" s="93"/>
      <c r="O267" s="58"/>
      <c r="P267" s="58"/>
    </row>
    <row r="268">
      <c r="A268" s="92"/>
      <c r="C268" s="92"/>
      <c r="D268" s="90"/>
      <c r="E268" s="91"/>
      <c r="F268" s="91"/>
      <c r="G268" s="8"/>
      <c r="I268" s="58"/>
      <c r="J268" s="92"/>
      <c r="L268" s="92"/>
      <c r="N268" s="93"/>
      <c r="O268" s="58"/>
      <c r="P268" s="58"/>
    </row>
    <row r="269">
      <c r="A269" s="92"/>
      <c r="C269" s="92"/>
      <c r="D269" s="90"/>
      <c r="E269" s="91"/>
      <c r="F269" s="91"/>
      <c r="G269" s="8"/>
      <c r="I269" s="58"/>
      <c r="J269" s="92"/>
      <c r="L269" s="92"/>
      <c r="N269" s="93"/>
      <c r="O269" s="58"/>
      <c r="P269" s="58"/>
    </row>
    <row r="270">
      <c r="A270" s="92"/>
      <c r="C270" s="92"/>
      <c r="D270" s="90"/>
      <c r="E270" s="91"/>
      <c r="F270" s="91"/>
      <c r="G270" s="8"/>
      <c r="I270" s="58"/>
      <c r="J270" s="92"/>
      <c r="L270" s="92"/>
      <c r="N270" s="93"/>
      <c r="O270" s="58"/>
      <c r="P270" s="58"/>
    </row>
    <row r="271">
      <c r="A271" s="92"/>
      <c r="C271" s="92"/>
      <c r="D271" s="90"/>
      <c r="E271" s="91"/>
      <c r="F271" s="91"/>
      <c r="G271" s="8"/>
      <c r="I271" s="58"/>
      <c r="J271" s="92"/>
      <c r="L271" s="92"/>
      <c r="N271" s="93"/>
      <c r="O271" s="58"/>
      <c r="P271" s="58"/>
    </row>
    <row r="272">
      <c r="A272" s="92"/>
      <c r="C272" s="92"/>
      <c r="D272" s="90"/>
      <c r="E272" s="91"/>
      <c r="F272" s="91"/>
      <c r="G272" s="8"/>
      <c r="I272" s="58"/>
      <c r="J272" s="92"/>
      <c r="L272" s="92"/>
      <c r="N272" s="93"/>
      <c r="O272" s="58"/>
      <c r="P272" s="58"/>
    </row>
    <row r="273">
      <c r="A273" s="92"/>
      <c r="C273" s="92"/>
      <c r="D273" s="90"/>
      <c r="E273" s="91"/>
      <c r="F273" s="91"/>
      <c r="G273" s="8"/>
      <c r="I273" s="58"/>
      <c r="J273" s="92"/>
      <c r="L273" s="92"/>
      <c r="N273" s="93"/>
      <c r="O273" s="58"/>
      <c r="P273" s="58"/>
    </row>
    <row r="274">
      <c r="A274" s="92"/>
      <c r="C274" s="92"/>
      <c r="D274" s="90"/>
      <c r="E274" s="91"/>
      <c r="F274" s="91"/>
      <c r="G274" s="8"/>
      <c r="I274" s="58"/>
      <c r="J274" s="92"/>
      <c r="L274" s="92"/>
      <c r="N274" s="93"/>
      <c r="O274" s="58"/>
      <c r="P274" s="58"/>
    </row>
    <row r="275">
      <c r="A275" s="92"/>
      <c r="C275" s="92"/>
      <c r="D275" s="90"/>
      <c r="E275" s="91"/>
      <c r="F275" s="91"/>
      <c r="G275" s="8"/>
      <c r="I275" s="58"/>
      <c r="J275" s="92"/>
      <c r="L275" s="92"/>
      <c r="N275" s="93"/>
      <c r="O275" s="58"/>
      <c r="P275" s="58"/>
    </row>
    <row r="276">
      <c r="A276" s="92"/>
      <c r="C276" s="92"/>
      <c r="D276" s="90"/>
      <c r="E276" s="91"/>
      <c r="F276" s="91"/>
      <c r="G276" s="8"/>
      <c r="I276" s="58"/>
      <c r="J276" s="92"/>
      <c r="L276" s="92"/>
      <c r="N276" s="93"/>
      <c r="O276" s="58"/>
      <c r="P276" s="58"/>
    </row>
    <row r="277">
      <c r="A277" s="92"/>
      <c r="C277" s="92"/>
      <c r="D277" s="90"/>
      <c r="E277" s="91"/>
      <c r="F277" s="91"/>
      <c r="G277" s="8"/>
      <c r="I277" s="58"/>
      <c r="J277" s="92"/>
      <c r="L277" s="92"/>
      <c r="N277" s="93"/>
      <c r="O277" s="58"/>
      <c r="P277" s="58"/>
    </row>
    <row r="278">
      <c r="A278" s="92"/>
      <c r="C278" s="92"/>
      <c r="D278" s="90"/>
      <c r="E278" s="91"/>
      <c r="F278" s="91"/>
      <c r="G278" s="8"/>
      <c r="I278" s="58"/>
      <c r="J278" s="92"/>
      <c r="L278" s="92"/>
      <c r="N278" s="93"/>
      <c r="O278" s="58"/>
      <c r="P278" s="58"/>
    </row>
    <row r="279">
      <c r="A279" s="92"/>
      <c r="C279" s="92"/>
      <c r="D279" s="90"/>
      <c r="E279" s="91"/>
      <c r="F279" s="91"/>
      <c r="G279" s="8"/>
      <c r="I279" s="58"/>
      <c r="J279" s="92"/>
      <c r="L279" s="92"/>
      <c r="N279" s="93"/>
      <c r="O279" s="58"/>
      <c r="P279" s="58"/>
    </row>
    <row r="280">
      <c r="A280" s="92"/>
      <c r="C280" s="92"/>
      <c r="D280" s="90"/>
      <c r="E280" s="91"/>
      <c r="F280" s="91"/>
      <c r="G280" s="8"/>
      <c r="I280" s="58"/>
      <c r="J280" s="92"/>
      <c r="L280" s="92"/>
      <c r="N280" s="93"/>
      <c r="O280" s="58"/>
      <c r="P280" s="58"/>
    </row>
    <row r="281">
      <c r="A281" s="92"/>
      <c r="C281" s="92"/>
      <c r="D281" s="90"/>
      <c r="E281" s="91"/>
      <c r="F281" s="91"/>
      <c r="G281" s="8"/>
      <c r="I281" s="58"/>
      <c r="J281" s="92"/>
      <c r="L281" s="92"/>
      <c r="N281" s="93"/>
      <c r="O281" s="58"/>
      <c r="P281" s="58"/>
    </row>
    <row r="282">
      <c r="A282" s="92"/>
      <c r="C282" s="92"/>
      <c r="D282" s="90"/>
      <c r="E282" s="91"/>
      <c r="F282" s="91"/>
      <c r="G282" s="8"/>
      <c r="I282" s="58"/>
      <c r="J282" s="92"/>
      <c r="L282" s="92"/>
      <c r="N282" s="93"/>
      <c r="O282" s="58"/>
      <c r="P282" s="58"/>
    </row>
    <row r="283">
      <c r="A283" s="92"/>
      <c r="C283" s="92"/>
      <c r="D283" s="90"/>
      <c r="E283" s="91"/>
      <c r="F283" s="91"/>
      <c r="G283" s="8"/>
      <c r="I283" s="58"/>
      <c r="J283" s="92"/>
      <c r="L283" s="92"/>
      <c r="N283" s="93"/>
      <c r="O283" s="58"/>
      <c r="P283" s="58"/>
    </row>
    <row r="284">
      <c r="A284" s="92"/>
      <c r="C284" s="92"/>
      <c r="D284" s="90"/>
      <c r="E284" s="91"/>
      <c r="F284" s="91"/>
      <c r="G284" s="8"/>
      <c r="I284" s="58"/>
      <c r="J284" s="92"/>
      <c r="L284" s="92"/>
      <c r="N284" s="93"/>
      <c r="O284" s="58"/>
      <c r="P284" s="58"/>
    </row>
    <row r="285">
      <c r="A285" s="92"/>
      <c r="C285" s="92"/>
      <c r="D285" s="90"/>
      <c r="E285" s="91"/>
      <c r="F285" s="91"/>
      <c r="G285" s="8"/>
      <c r="I285" s="58"/>
      <c r="J285" s="92"/>
      <c r="L285" s="92"/>
      <c r="N285" s="93"/>
      <c r="O285" s="58"/>
      <c r="P285" s="58"/>
    </row>
    <row r="286">
      <c r="A286" s="92"/>
      <c r="C286" s="92"/>
      <c r="D286" s="90"/>
      <c r="E286" s="91"/>
      <c r="F286" s="91"/>
      <c r="G286" s="8"/>
      <c r="I286" s="58"/>
      <c r="J286" s="92"/>
      <c r="L286" s="92"/>
      <c r="N286" s="93"/>
      <c r="O286" s="58"/>
      <c r="P286" s="58"/>
    </row>
    <row r="287">
      <c r="A287" s="92"/>
      <c r="C287" s="92"/>
      <c r="D287" s="90"/>
      <c r="E287" s="91"/>
      <c r="F287" s="91"/>
      <c r="G287" s="8"/>
      <c r="I287" s="58"/>
      <c r="J287" s="92"/>
      <c r="L287" s="92"/>
      <c r="N287" s="93"/>
      <c r="O287" s="58"/>
      <c r="P287" s="58"/>
    </row>
    <row r="288">
      <c r="A288" s="92"/>
      <c r="C288" s="92"/>
      <c r="D288" s="90"/>
      <c r="E288" s="91"/>
      <c r="F288" s="91"/>
      <c r="G288" s="8"/>
      <c r="I288" s="58"/>
      <c r="J288" s="92"/>
      <c r="L288" s="92"/>
      <c r="N288" s="93"/>
      <c r="O288" s="58"/>
      <c r="P288" s="58"/>
    </row>
    <row r="289">
      <c r="A289" s="92"/>
      <c r="C289" s="92"/>
      <c r="D289" s="90"/>
      <c r="E289" s="91"/>
      <c r="F289" s="91"/>
      <c r="G289" s="8"/>
      <c r="I289" s="58"/>
      <c r="J289" s="92"/>
      <c r="L289" s="92"/>
      <c r="N289" s="93"/>
      <c r="O289" s="58"/>
      <c r="P289" s="58"/>
    </row>
    <row r="290">
      <c r="A290" s="92"/>
      <c r="C290" s="92"/>
      <c r="D290" s="90"/>
      <c r="E290" s="91"/>
      <c r="F290" s="91"/>
      <c r="G290" s="8"/>
      <c r="I290" s="58"/>
      <c r="J290" s="92"/>
      <c r="L290" s="92"/>
      <c r="N290" s="93"/>
      <c r="O290" s="58"/>
      <c r="P290" s="58"/>
    </row>
    <row r="291">
      <c r="A291" s="92"/>
      <c r="C291" s="92"/>
      <c r="D291" s="90"/>
      <c r="E291" s="91"/>
      <c r="F291" s="91"/>
      <c r="G291" s="8"/>
      <c r="I291" s="58"/>
      <c r="J291" s="92"/>
      <c r="L291" s="92"/>
      <c r="N291" s="93"/>
      <c r="O291" s="58"/>
      <c r="P291" s="58"/>
    </row>
    <row r="292">
      <c r="A292" s="92"/>
      <c r="C292" s="92"/>
      <c r="D292" s="90"/>
      <c r="E292" s="91"/>
      <c r="F292" s="91"/>
      <c r="G292" s="8"/>
      <c r="I292" s="58"/>
      <c r="J292" s="92"/>
      <c r="L292" s="92"/>
      <c r="N292" s="93"/>
      <c r="O292" s="58"/>
      <c r="P292" s="58"/>
    </row>
    <row r="293">
      <c r="A293" s="92"/>
      <c r="C293" s="92"/>
      <c r="D293" s="90"/>
      <c r="E293" s="91"/>
      <c r="F293" s="91"/>
      <c r="G293" s="8"/>
      <c r="I293" s="58"/>
      <c r="J293" s="92"/>
      <c r="L293" s="92"/>
      <c r="N293" s="93"/>
      <c r="O293" s="58"/>
      <c r="P293" s="58"/>
    </row>
    <row r="294">
      <c r="A294" s="92"/>
      <c r="C294" s="92"/>
      <c r="D294" s="90"/>
      <c r="E294" s="91"/>
      <c r="F294" s="91"/>
      <c r="G294" s="8"/>
      <c r="I294" s="58"/>
      <c r="J294" s="92"/>
      <c r="L294" s="92"/>
      <c r="N294" s="93"/>
      <c r="O294" s="58"/>
      <c r="P294" s="58"/>
    </row>
    <row r="295">
      <c r="A295" s="92"/>
      <c r="C295" s="92"/>
      <c r="D295" s="90"/>
      <c r="E295" s="91"/>
      <c r="F295" s="91"/>
      <c r="G295" s="8"/>
      <c r="I295" s="58"/>
      <c r="J295" s="92"/>
      <c r="L295" s="92"/>
      <c r="N295" s="93"/>
      <c r="O295" s="58"/>
      <c r="P295" s="58"/>
    </row>
    <row r="296">
      <c r="A296" s="92"/>
      <c r="C296" s="92"/>
      <c r="D296" s="90"/>
      <c r="E296" s="91"/>
      <c r="F296" s="91"/>
      <c r="G296" s="8"/>
      <c r="I296" s="58"/>
      <c r="J296" s="92"/>
      <c r="L296" s="92"/>
      <c r="N296" s="93"/>
      <c r="O296" s="58"/>
      <c r="P296" s="58"/>
    </row>
    <row r="297">
      <c r="A297" s="92"/>
      <c r="C297" s="92"/>
      <c r="D297" s="90"/>
      <c r="E297" s="91"/>
      <c r="F297" s="91"/>
      <c r="G297" s="8"/>
      <c r="I297" s="58"/>
      <c r="J297" s="92"/>
      <c r="L297" s="92"/>
      <c r="N297" s="93"/>
      <c r="O297" s="58"/>
      <c r="P297" s="58"/>
    </row>
    <row r="298">
      <c r="A298" s="92"/>
      <c r="C298" s="92"/>
      <c r="D298" s="90"/>
      <c r="E298" s="91"/>
      <c r="F298" s="91"/>
      <c r="G298" s="8"/>
      <c r="I298" s="58"/>
      <c r="J298" s="92"/>
      <c r="L298" s="92"/>
      <c r="N298" s="93"/>
      <c r="O298" s="58"/>
      <c r="P298" s="58"/>
    </row>
    <row r="299">
      <c r="A299" s="92"/>
      <c r="C299" s="92"/>
      <c r="D299" s="90"/>
      <c r="E299" s="91"/>
      <c r="F299" s="91"/>
      <c r="G299" s="8"/>
      <c r="I299" s="58"/>
      <c r="J299" s="92"/>
      <c r="L299" s="92"/>
      <c r="N299" s="93"/>
      <c r="O299" s="58"/>
      <c r="P299" s="58"/>
    </row>
    <row r="300">
      <c r="A300" s="92"/>
      <c r="C300" s="92"/>
      <c r="D300" s="90"/>
      <c r="E300" s="91"/>
      <c r="F300" s="91"/>
      <c r="G300" s="8"/>
      <c r="I300" s="58"/>
      <c r="J300" s="92"/>
      <c r="L300" s="92"/>
      <c r="N300" s="93"/>
      <c r="O300" s="58"/>
      <c r="P300" s="58"/>
    </row>
    <row r="301">
      <c r="A301" s="92"/>
      <c r="C301" s="92"/>
      <c r="D301" s="90"/>
      <c r="E301" s="91"/>
      <c r="F301" s="91"/>
      <c r="G301" s="8"/>
      <c r="I301" s="58"/>
      <c r="J301" s="92"/>
      <c r="L301" s="92"/>
      <c r="N301" s="93"/>
      <c r="O301" s="58"/>
      <c r="P301" s="58"/>
    </row>
    <row r="302">
      <c r="A302" s="92"/>
      <c r="C302" s="92"/>
      <c r="D302" s="90"/>
      <c r="E302" s="91"/>
      <c r="F302" s="91"/>
      <c r="G302" s="8"/>
      <c r="I302" s="58"/>
      <c r="J302" s="92"/>
      <c r="L302" s="92"/>
      <c r="N302" s="93"/>
      <c r="O302" s="58"/>
      <c r="P302" s="58"/>
    </row>
    <row r="303">
      <c r="A303" s="92"/>
      <c r="C303" s="92"/>
      <c r="D303" s="90"/>
      <c r="E303" s="91"/>
      <c r="F303" s="91"/>
      <c r="G303" s="8"/>
      <c r="I303" s="58"/>
      <c r="J303" s="92"/>
      <c r="L303" s="92"/>
      <c r="N303" s="93"/>
      <c r="O303" s="58"/>
      <c r="P303" s="58"/>
    </row>
    <row r="304">
      <c r="A304" s="92"/>
      <c r="C304" s="92"/>
      <c r="D304" s="90"/>
      <c r="E304" s="91"/>
      <c r="F304" s="91"/>
      <c r="G304" s="8"/>
      <c r="I304" s="58"/>
      <c r="J304" s="92"/>
      <c r="L304" s="92"/>
      <c r="N304" s="93"/>
      <c r="O304" s="58"/>
      <c r="P304" s="58"/>
    </row>
    <row r="305">
      <c r="A305" s="92"/>
      <c r="C305" s="92"/>
      <c r="D305" s="90"/>
      <c r="E305" s="91"/>
      <c r="F305" s="91"/>
      <c r="G305" s="8"/>
      <c r="I305" s="58"/>
      <c r="J305" s="92"/>
      <c r="L305" s="92"/>
      <c r="N305" s="93"/>
      <c r="O305" s="58"/>
      <c r="P305" s="58"/>
    </row>
    <row r="306">
      <c r="A306" s="92"/>
      <c r="C306" s="92"/>
      <c r="D306" s="90"/>
      <c r="E306" s="91"/>
      <c r="F306" s="91"/>
      <c r="G306" s="8"/>
      <c r="I306" s="58"/>
      <c r="J306" s="92"/>
      <c r="L306" s="92"/>
      <c r="N306" s="93"/>
      <c r="O306" s="58"/>
      <c r="P306" s="58"/>
    </row>
    <row r="307">
      <c r="A307" s="92"/>
      <c r="C307" s="92"/>
      <c r="D307" s="90"/>
      <c r="E307" s="91"/>
      <c r="F307" s="91"/>
      <c r="G307" s="8"/>
      <c r="I307" s="58"/>
      <c r="J307" s="92"/>
      <c r="L307" s="92"/>
      <c r="N307" s="93"/>
      <c r="O307" s="58"/>
      <c r="P307" s="58"/>
    </row>
    <row r="308">
      <c r="A308" s="92"/>
      <c r="C308" s="92"/>
      <c r="D308" s="90"/>
      <c r="E308" s="91"/>
      <c r="F308" s="91"/>
      <c r="G308" s="8"/>
      <c r="I308" s="58"/>
      <c r="J308" s="92"/>
      <c r="L308" s="92"/>
      <c r="N308" s="93"/>
      <c r="O308" s="58"/>
      <c r="P308" s="58"/>
    </row>
    <row r="309">
      <c r="A309" s="92"/>
      <c r="C309" s="92"/>
      <c r="D309" s="90"/>
      <c r="E309" s="91"/>
      <c r="F309" s="91"/>
      <c r="G309" s="8"/>
      <c r="I309" s="58"/>
      <c r="J309" s="92"/>
      <c r="L309" s="92"/>
      <c r="N309" s="93"/>
      <c r="O309" s="58"/>
      <c r="P309" s="58"/>
    </row>
    <row r="310">
      <c r="A310" s="92"/>
      <c r="C310" s="92"/>
      <c r="D310" s="90"/>
      <c r="E310" s="91"/>
      <c r="F310" s="91"/>
      <c r="G310" s="8"/>
      <c r="I310" s="58"/>
      <c r="J310" s="92"/>
      <c r="L310" s="92"/>
      <c r="N310" s="93"/>
      <c r="O310" s="58"/>
      <c r="P310" s="58"/>
    </row>
    <row r="311">
      <c r="A311" s="92"/>
      <c r="C311" s="92"/>
      <c r="D311" s="90"/>
      <c r="E311" s="91"/>
      <c r="F311" s="91"/>
      <c r="G311" s="8"/>
      <c r="I311" s="58"/>
      <c r="J311" s="92"/>
      <c r="L311" s="92"/>
      <c r="N311" s="93"/>
      <c r="O311" s="58"/>
      <c r="P311" s="58"/>
    </row>
    <row r="312">
      <c r="A312" s="92"/>
      <c r="C312" s="92"/>
      <c r="D312" s="90"/>
      <c r="E312" s="91"/>
      <c r="F312" s="91"/>
      <c r="G312" s="8"/>
      <c r="I312" s="58"/>
      <c r="J312" s="92"/>
      <c r="L312" s="92"/>
      <c r="N312" s="93"/>
      <c r="O312" s="58"/>
      <c r="P312" s="58"/>
    </row>
    <row r="313">
      <c r="A313" s="92"/>
      <c r="C313" s="92"/>
      <c r="D313" s="90"/>
      <c r="E313" s="91"/>
      <c r="F313" s="91"/>
      <c r="G313" s="8"/>
      <c r="I313" s="58"/>
      <c r="J313" s="92"/>
      <c r="L313" s="92"/>
      <c r="N313" s="93"/>
      <c r="O313" s="58"/>
      <c r="P313" s="58"/>
    </row>
    <row r="314">
      <c r="A314" s="92"/>
      <c r="C314" s="92"/>
      <c r="D314" s="90"/>
      <c r="E314" s="91"/>
      <c r="F314" s="91"/>
      <c r="G314" s="8"/>
      <c r="I314" s="58"/>
      <c r="J314" s="92"/>
      <c r="L314" s="92"/>
      <c r="N314" s="93"/>
      <c r="O314" s="58"/>
      <c r="P314" s="58"/>
    </row>
    <row r="315">
      <c r="A315" s="92"/>
      <c r="C315" s="92"/>
      <c r="D315" s="90"/>
      <c r="E315" s="91"/>
      <c r="F315" s="91"/>
      <c r="G315" s="8"/>
      <c r="I315" s="58"/>
      <c r="J315" s="92"/>
      <c r="L315" s="92"/>
      <c r="N315" s="93"/>
      <c r="O315" s="58"/>
      <c r="P315" s="58"/>
    </row>
    <row r="316">
      <c r="A316" s="92"/>
      <c r="C316" s="92"/>
      <c r="D316" s="90"/>
      <c r="E316" s="91"/>
      <c r="F316" s="91"/>
      <c r="G316" s="8"/>
      <c r="I316" s="58"/>
      <c r="J316" s="92"/>
      <c r="L316" s="92"/>
      <c r="N316" s="93"/>
      <c r="O316" s="58"/>
      <c r="P316" s="58"/>
    </row>
    <row r="317">
      <c r="A317" s="92"/>
      <c r="C317" s="92"/>
      <c r="D317" s="90"/>
      <c r="E317" s="91"/>
      <c r="F317" s="91"/>
      <c r="G317" s="8"/>
      <c r="I317" s="58"/>
      <c r="J317" s="92"/>
      <c r="L317" s="92"/>
      <c r="N317" s="93"/>
      <c r="O317" s="58"/>
      <c r="P317" s="58"/>
    </row>
    <row r="318">
      <c r="A318" s="92"/>
      <c r="C318" s="92"/>
      <c r="D318" s="90"/>
      <c r="E318" s="91"/>
      <c r="F318" s="91"/>
      <c r="G318" s="8"/>
      <c r="I318" s="58"/>
      <c r="J318" s="92"/>
      <c r="L318" s="92"/>
      <c r="N318" s="93"/>
      <c r="O318" s="58"/>
      <c r="P318" s="58"/>
    </row>
    <row r="319">
      <c r="A319" s="92"/>
      <c r="C319" s="92"/>
      <c r="D319" s="90"/>
      <c r="E319" s="91"/>
      <c r="F319" s="91"/>
      <c r="G319" s="8"/>
      <c r="I319" s="58"/>
      <c r="J319" s="92"/>
      <c r="L319" s="92"/>
      <c r="N319" s="93"/>
      <c r="O319" s="58"/>
      <c r="P319" s="58"/>
    </row>
    <row r="320">
      <c r="A320" s="92"/>
      <c r="C320" s="92"/>
      <c r="D320" s="90"/>
      <c r="E320" s="91"/>
      <c r="F320" s="91"/>
      <c r="G320" s="8"/>
      <c r="I320" s="58"/>
      <c r="J320" s="92"/>
      <c r="L320" s="92"/>
      <c r="N320" s="93"/>
      <c r="O320" s="58"/>
      <c r="P320" s="58"/>
    </row>
    <row r="321">
      <c r="A321" s="92"/>
      <c r="C321" s="92"/>
      <c r="D321" s="90"/>
      <c r="E321" s="91"/>
      <c r="F321" s="91"/>
      <c r="G321" s="8"/>
      <c r="I321" s="58"/>
      <c r="J321" s="92"/>
      <c r="L321" s="92"/>
      <c r="N321" s="93"/>
      <c r="O321" s="58"/>
      <c r="P321" s="58"/>
    </row>
    <row r="322">
      <c r="A322" s="92"/>
      <c r="C322" s="92"/>
      <c r="D322" s="90"/>
      <c r="E322" s="91"/>
      <c r="F322" s="91"/>
      <c r="G322" s="8"/>
      <c r="I322" s="58"/>
      <c r="J322" s="92"/>
      <c r="L322" s="92"/>
      <c r="N322" s="93"/>
      <c r="O322" s="58"/>
      <c r="P322" s="58"/>
    </row>
    <row r="323">
      <c r="A323" s="92"/>
      <c r="C323" s="92"/>
      <c r="D323" s="90"/>
      <c r="E323" s="91"/>
      <c r="F323" s="91"/>
      <c r="G323" s="8"/>
      <c r="I323" s="58"/>
      <c r="J323" s="92"/>
      <c r="L323" s="92"/>
      <c r="N323" s="93"/>
      <c r="O323" s="58"/>
      <c r="P323" s="58"/>
    </row>
    <row r="324">
      <c r="A324" s="92"/>
      <c r="C324" s="92"/>
      <c r="D324" s="90"/>
      <c r="E324" s="91"/>
      <c r="F324" s="91"/>
      <c r="G324" s="8"/>
      <c r="I324" s="58"/>
      <c r="J324" s="92"/>
      <c r="L324" s="92"/>
      <c r="N324" s="93"/>
      <c r="O324" s="58"/>
      <c r="P324" s="58"/>
    </row>
    <row r="325">
      <c r="A325" s="92"/>
      <c r="C325" s="92"/>
      <c r="D325" s="90"/>
      <c r="E325" s="91"/>
      <c r="F325" s="91"/>
      <c r="G325" s="8"/>
      <c r="I325" s="58"/>
      <c r="J325" s="92"/>
      <c r="L325" s="92"/>
      <c r="N325" s="93"/>
      <c r="O325" s="58"/>
      <c r="P325" s="58"/>
    </row>
    <row r="326">
      <c r="A326" s="92"/>
      <c r="C326" s="92"/>
      <c r="D326" s="90"/>
      <c r="E326" s="91"/>
      <c r="F326" s="91"/>
      <c r="G326" s="8"/>
      <c r="I326" s="58"/>
      <c r="J326" s="92"/>
      <c r="L326" s="92"/>
      <c r="N326" s="93"/>
      <c r="O326" s="58"/>
      <c r="P326" s="58"/>
    </row>
    <row r="327">
      <c r="A327" s="92"/>
      <c r="C327" s="92"/>
      <c r="D327" s="90"/>
      <c r="E327" s="91"/>
      <c r="F327" s="91"/>
      <c r="G327" s="8"/>
      <c r="I327" s="58"/>
      <c r="J327" s="92"/>
      <c r="L327" s="92"/>
      <c r="N327" s="93"/>
      <c r="O327" s="58"/>
      <c r="P327" s="58"/>
    </row>
    <row r="328">
      <c r="A328" s="92"/>
      <c r="C328" s="92"/>
      <c r="D328" s="90"/>
      <c r="E328" s="91"/>
      <c r="F328" s="91"/>
      <c r="G328" s="8"/>
      <c r="I328" s="58"/>
      <c r="J328" s="92"/>
      <c r="L328" s="92"/>
      <c r="N328" s="93"/>
      <c r="O328" s="58"/>
      <c r="P328" s="58"/>
    </row>
    <row r="329">
      <c r="A329" s="92"/>
      <c r="C329" s="92"/>
      <c r="D329" s="90"/>
      <c r="E329" s="91"/>
      <c r="F329" s="91"/>
      <c r="G329" s="8"/>
      <c r="I329" s="58"/>
      <c r="J329" s="92"/>
      <c r="L329" s="92"/>
      <c r="N329" s="93"/>
      <c r="O329" s="58"/>
      <c r="P329" s="58"/>
    </row>
    <row r="330">
      <c r="A330" s="92"/>
      <c r="C330" s="92"/>
      <c r="D330" s="90"/>
      <c r="E330" s="91"/>
      <c r="F330" s="91"/>
      <c r="G330" s="8"/>
      <c r="I330" s="58"/>
      <c r="J330" s="92"/>
      <c r="L330" s="92"/>
      <c r="N330" s="93"/>
      <c r="O330" s="58"/>
      <c r="P330" s="58"/>
    </row>
    <row r="331">
      <c r="A331" s="92"/>
      <c r="C331" s="92"/>
      <c r="D331" s="90"/>
      <c r="E331" s="91"/>
      <c r="F331" s="91"/>
      <c r="G331" s="8"/>
      <c r="I331" s="58"/>
      <c r="J331" s="92"/>
      <c r="L331" s="92"/>
      <c r="N331" s="93"/>
      <c r="O331" s="58"/>
      <c r="P331" s="58"/>
    </row>
    <row r="332">
      <c r="A332" s="92"/>
      <c r="C332" s="92"/>
      <c r="D332" s="90"/>
      <c r="E332" s="91"/>
      <c r="F332" s="91"/>
      <c r="G332" s="8"/>
      <c r="I332" s="58"/>
      <c r="J332" s="92"/>
      <c r="L332" s="92"/>
      <c r="N332" s="93"/>
      <c r="O332" s="58"/>
      <c r="P332" s="58"/>
    </row>
    <row r="333">
      <c r="A333" s="92"/>
      <c r="C333" s="92"/>
      <c r="D333" s="90"/>
      <c r="E333" s="91"/>
      <c r="F333" s="91"/>
      <c r="G333" s="8"/>
      <c r="I333" s="58"/>
      <c r="J333" s="92"/>
      <c r="L333" s="92"/>
      <c r="N333" s="93"/>
      <c r="O333" s="58"/>
      <c r="P333" s="58"/>
    </row>
    <row r="334">
      <c r="A334" s="92"/>
      <c r="C334" s="92"/>
      <c r="D334" s="90"/>
      <c r="E334" s="91"/>
      <c r="F334" s="91"/>
      <c r="G334" s="8"/>
      <c r="I334" s="58"/>
      <c r="J334" s="92"/>
      <c r="L334" s="92"/>
      <c r="N334" s="93"/>
      <c r="O334" s="58"/>
      <c r="P334" s="58"/>
    </row>
    <row r="335">
      <c r="A335" s="92"/>
      <c r="C335" s="92"/>
      <c r="D335" s="90"/>
      <c r="E335" s="91"/>
      <c r="F335" s="91"/>
      <c r="G335" s="8"/>
      <c r="I335" s="58"/>
      <c r="J335" s="92"/>
      <c r="L335" s="92"/>
      <c r="N335" s="93"/>
      <c r="O335" s="58"/>
      <c r="P335" s="58"/>
    </row>
    <row r="336">
      <c r="A336" s="92"/>
      <c r="C336" s="92"/>
      <c r="D336" s="90"/>
      <c r="E336" s="91"/>
      <c r="F336" s="91"/>
      <c r="G336" s="8"/>
      <c r="I336" s="58"/>
      <c r="J336" s="92"/>
      <c r="L336" s="92"/>
      <c r="N336" s="93"/>
      <c r="O336" s="58"/>
      <c r="P336" s="58"/>
    </row>
    <row r="337">
      <c r="A337" s="92"/>
      <c r="C337" s="92"/>
      <c r="D337" s="90"/>
      <c r="E337" s="91"/>
      <c r="F337" s="91"/>
      <c r="G337" s="8"/>
      <c r="I337" s="58"/>
      <c r="J337" s="92"/>
      <c r="L337" s="92"/>
      <c r="N337" s="93"/>
      <c r="O337" s="58"/>
      <c r="P337" s="58"/>
    </row>
    <row r="338">
      <c r="A338" s="92"/>
      <c r="C338" s="92"/>
      <c r="D338" s="90"/>
      <c r="E338" s="91"/>
      <c r="F338" s="91"/>
      <c r="G338" s="8"/>
      <c r="I338" s="58"/>
      <c r="J338" s="92"/>
      <c r="L338" s="92"/>
      <c r="N338" s="93"/>
      <c r="O338" s="58"/>
      <c r="P338" s="58"/>
    </row>
    <row r="339">
      <c r="A339" s="92"/>
      <c r="C339" s="92"/>
      <c r="D339" s="90"/>
      <c r="E339" s="91"/>
      <c r="F339" s="91"/>
      <c r="G339" s="8"/>
      <c r="I339" s="58"/>
      <c r="J339" s="92"/>
      <c r="L339" s="92"/>
      <c r="N339" s="93"/>
      <c r="O339" s="58"/>
      <c r="P339" s="58"/>
    </row>
    <row r="340">
      <c r="A340" s="92"/>
      <c r="C340" s="92"/>
      <c r="D340" s="90"/>
      <c r="E340" s="91"/>
      <c r="F340" s="91"/>
      <c r="G340" s="8"/>
      <c r="I340" s="58"/>
      <c r="J340" s="92"/>
      <c r="L340" s="92"/>
      <c r="N340" s="93"/>
      <c r="O340" s="58"/>
      <c r="P340" s="58"/>
    </row>
    <row r="341">
      <c r="A341" s="92"/>
      <c r="C341" s="92"/>
      <c r="D341" s="90"/>
      <c r="E341" s="91"/>
      <c r="F341" s="91"/>
      <c r="G341" s="8"/>
      <c r="I341" s="58"/>
      <c r="J341" s="92"/>
      <c r="L341" s="92"/>
      <c r="N341" s="93"/>
      <c r="O341" s="58"/>
      <c r="P341" s="58"/>
    </row>
    <row r="342">
      <c r="A342" s="92"/>
      <c r="C342" s="92"/>
      <c r="D342" s="90"/>
      <c r="E342" s="91"/>
      <c r="F342" s="91"/>
      <c r="G342" s="8"/>
      <c r="I342" s="58"/>
      <c r="J342" s="92"/>
      <c r="L342" s="92"/>
      <c r="N342" s="93"/>
      <c r="O342" s="58"/>
      <c r="P342" s="58"/>
    </row>
    <row r="343">
      <c r="A343" s="92"/>
      <c r="C343" s="92"/>
      <c r="D343" s="90"/>
      <c r="E343" s="91"/>
      <c r="F343" s="91"/>
      <c r="G343" s="8"/>
      <c r="I343" s="58"/>
      <c r="J343" s="92"/>
      <c r="L343" s="92"/>
      <c r="N343" s="93"/>
      <c r="O343" s="58"/>
      <c r="P343" s="58"/>
    </row>
    <row r="344">
      <c r="A344" s="92"/>
      <c r="C344" s="92"/>
      <c r="D344" s="90"/>
      <c r="E344" s="91"/>
      <c r="F344" s="91"/>
      <c r="G344" s="8"/>
      <c r="I344" s="58"/>
      <c r="J344" s="92"/>
      <c r="L344" s="92"/>
      <c r="N344" s="93"/>
      <c r="O344" s="58"/>
      <c r="P344" s="58"/>
    </row>
    <row r="345">
      <c r="A345" s="92"/>
      <c r="C345" s="92"/>
      <c r="D345" s="90"/>
      <c r="E345" s="91"/>
      <c r="F345" s="91"/>
      <c r="G345" s="8"/>
      <c r="I345" s="58"/>
      <c r="J345" s="92"/>
      <c r="L345" s="92"/>
      <c r="N345" s="93"/>
      <c r="O345" s="58"/>
      <c r="P345" s="58"/>
    </row>
    <row r="346">
      <c r="A346" s="92"/>
      <c r="C346" s="92"/>
      <c r="D346" s="90"/>
      <c r="E346" s="91"/>
      <c r="F346" s="91"/>
      <c r="G346" s="8"/>
      <c r="I346" s="58"/>
      <c r="J346" s="92"/>
      <c r="L346" s="92"/>
      <c r="N346" s="93"/>
      <c r="O346" s="58"/>
      <c r="P346" s="58"/>
    </row>
    <row r="347">
      <c r="A347" s="92"/>
      <c r="C347" s="92"/>
      <c r="D347" s="90"/>
      <c r="E347" s="91"/>
      <c r="F347" s="91"/>
      <c r="G347" s="8"/>
      <c r="I347" s="58"/>
      <c r="J347" s="92"/>
      <c r="L347" s="92"/>
      <c r="N347" s="93"/>
      <c r="O347" s="58"/>
      <c r="P347" s="58"/>
    </row>
    <row r="348">
      <c r="A348" s="92"/>
      <c r="C348" s="92"/>
      <c r="D348" s="90"/>
      <c r="E348" s="91"/>
      <c r="F348" s="91"/>
      <c r="G348" s="8"/>
      <c r="I348" s="58"/>
      <c r="J348" s="92"/>
      <c r="L348" s="92"/>
      <c r="N348" s="93"/>
      <c r="O348" s="58"/>
      <c r="P348" s="58"/>
    </row>
    <row r="349">
      <c r="A349" s="92"/>
      <c r="C349" s="92"/>
      <c r="D349" s="90"/>
      <c r="E349" s="91"/>
      <c r="F349" s="91"/>
      <c r="G349" s="8"/>
      <c r="I349" s="58"/>
      <c r="J349" s="92"/>
      <c r="L349" s="92"/>
      <c r="N349" s="93"/>
      <c r="O349" s="58"/>
      <c r="P349" s="58"/>
    </row>
    <row r="350">
      <c r="A350" s="92"/>
      <c r="C350" s="92"/>
      <c r="D350" s="90"/>
      <c r="E350" s="91"/>
      <c r="F350" s="91"/>
      <c r="G350" s="8"/>
      <c r="I350" s="58"/>
      <c r="J350" s="92"/>
      <c r="L350" s="92"/>
      <c r="N350" s="93"/>
      <c r="O350" s="58"/>
      <c r="P350" s="58"/>
    </row>
    <row r="351">
      <c r="A351" s="92"/>
      <c r="C351" s="92"/>
      <c r="D351" s="90"/>
      <c r="E351" s="91"/>
      <c r="F351" s="91"/>
      <c r="G351" s="8"/>
      <c r="I351" s="58"/>
      <c r="J351" s="92"/>
      <c r="L351" s="92"/>
      <c r="N351" s="93"/>
      <c r="O351" s="58"/>
      <c r="P351" s="58"/>
    </row>
    <row r="352">
      <c r="A352" s="92"/>
      <c r="C352" s="92"/>
      <c r="D352" s="90"/>
      <c r="E352" s="91"/>
      <c r="F352" s="91"/>
      <c r="G352" s="8"/>
      <c r="I352" s="58"/>
      <c r="J352" s="92"/>
      <c r="L352" s="92"/>
      <c r="N352" s="93"/>
      <c r="O352" s="58"/>
      <c r="P352" s="58"/>
    </row>
    <row r="353">
      <c r="A353" s="92"/>
      <c r="C353" s="92"/>
      <c r="D353" s="90"/>
      <c r="E353" s="91"/>
      <c r="F353" s="91"/>
      <c r="G353" s="8"/>
      <c r="I353" s="58"/>
      <c r="J353" s="92"/>
      <c r="L353" s="92"/>
      <c r="N353" s="93"/>
      <c r="O353" s="58"/>
      <c r="P353" s="58"/>
    </row>
    <row r="354">
      <c r="A354" s="92"/>
      <c r="C354" s="92"/>
      <c r="D354" s="90"/>
      <c r="E354" s="91"/>
      <c r="F354" s="91"/>
      <c r="G354" s="8"/>
      <c r="I354" s="58"/>
      <c r="J354" s="92"/>
      <c r="L354" s="92"/>
      <c r="N354" s="93"/>
      <c r="O354" s="58"/>
      <c r="P354" s="58"/>
    </row>
    <row r="355">
      <c r="A355" s="92"/>
      <c r="C355" s="92"/>
      <c r="D355" s="90"/>
      <c r="E355" s="91"/>
      <c r="F355" s="91"/>
      <c r="G355" s="8"/>
      <c r="I355" s="58"/>
      <c r="J355" s="92"/>
      <c r="L355" s="92"/>
      <c r="N355" s="93"/>
      <c r="O355" s="58"/>
      <c r="P355" s="58"/>
    </row>
    <row r="356">
      <c r="A356" s="92"/>
      <c r="C356" s="92"/>
      <c r="D356" s="90"/>
      <c r="E356" s="91"/>
      <c r="F356" s="91"/>
      <c r="G356" s="8"/>
      <c r="I356" s="58"/>
      <c r="J356" s="92"/>
      <c r="L356" s="92"/>
      <c r="N356" s="93"/>
      <c r="O356" s="58"/>
      <c r="P356" s="58"/>
    </row>
    <row r="357">
      <c r="A357" s="92"/>
      <c r="C357" s="92"/>
      <c r="D357" s="90"/>
      <c r="E357" s="91"/>
      <c r="F357" s="91"/>
      <c r="G357" s="8"/>
      <c r="I357" s="58"/>
      <c r="J357" s="92"/>
      <c r="L357" s="92"/>
      <c r="N357" s="93"/>
      <c r="O357" s="58"/>
      <c r="P357" s="58"/>
    </row>
    <row r="358">
      <c r="A358" s="92"/>
      <c r="C358" s="92"/>
      <c r="D358" s="90"/>
      <c r="E358" s="91"/>
      <c r="F358" s="91"/>
      <c r="G358" s="8"/>
      <c r="I358" s="58"/>
      <c r="J358" s="92"/>
      <c r="L358" s="92"/>
      <c r="N358" s="93"/>
      <c r="O358" s="58"/>
      <c r="P358" s="58"/>
    </row>
    <row r="359">
      <c r="A359" s="92"/>
      <c r="C359" s="92"/>
      <c r="D359" s="90"/>
      <c r="E359" s="91"/>
      <c r="F359" s="91"/>
      <c r="G359" s="8"/>
      <c r="I359" s="58"/>
      <c r="J359" s="92"/>
      <c r="L359" s="92"/>
      <c r="N359" s="93"/>
      <c r="O359" s="58"/>
      <c r="P359" s="58"/>
    </row>
    <row r="360">
      <c r="A360" s="92"/>
      <c r="C360" s="92"/>
      <c r="D360" s="90"/>
      <c r="E360" s="91"/>
      <c r="F360" s="91"/>
      <c r="G360" s="8"/>
      <c r="I360" s="58"/>
      <c r="J360" s="92"/>
      <c r="L360" s="92"/>
      <c r="N360" s="93"/>
      <c r="O360" s="58"/>
      <c r="P360" s="58"/>
    </row>
    <row r="361">
      <c r="A361" s="92"/>
      <c r="C361" s="92"/>
      <c r="D361" s="90"/>
      <c r="E361" s="91"/>
      <c r="F361" s="91"/>
      <c r="G361" s="8"/>
      <c r="I361" s="58"/>
      <c r="J361" s="92"/>
      <c r="L361" s="92"/>
      <c r="N361" s="93"/>
      <c r="O361" s="58"/>
      <c r="P361" s="58"/>
    </row>
    <row r="362">
      <c r="A362" s="92"/>
      <c r="C362" s="92"/>
      <c r="D362" s="90"/>
      <c r="E362" s="91"/>
      <c r="F362" s="91"/>
      <c r="G362" s="8"/>
      <c r="I362" s="58"/>
      <c r="J362" s="92"/>
      <c r="L362" s="92"/>
      <c r="N362" s="93"/>
      <c r="O362" s="58"/>
      <c r="P362" s="58"/>
    </row>
    <row r="363">
      <c r="A363" s="92"/>
      <c r="C363" s="92"/>
      <c r="D363" s="90"/>
      <c r="E363" s="91"/>
      <c r="F363" s="91"/>
      <c r="G363" s="8"/>
      <c r="I363" s="58"/>
      <c r="J363" s="92"/>
      <c r="L363" s="92"/>
      <c r="N363" s="93"/>
      <c r="O363" s="58"/>
      <c r="P363" s="58"/>
    </row>
    <row r="364">
      <c r="A364" s="92"/>
      <c r="C364" s="92"/>
      <c r="D364" s="90"/>
      <c r="E364" s="91"/>
      <c r="F364" s="91"/>
      <c r="G364" s="8"/>
      <c r="I364" s="58"/>
      <c r="J364" s="92"/>
      <c r="L364" s="92"/>
      <c r="N364" s="93"/>
      <c r="O364" s="58"/>
      <c r="P364" s="58"/>
    </row>
    <row r="365">
      <c r="A365" s="92"/>
      <c r="C365" s="92"/>
      <c r="D365" s="90"/>
      <c r="E365" s="91"/>
      <c r="F365" s="91"/>
      <c r="G365" s="8"/>
      <c r="I365" s="58"/>
      <c r="J365" s="92"/>
      <c r="L365" s="92"/>
      <c r="N365" s="93"/>
      <c r="O365" s="58"/>
      <c r="P365" s="58"/>
    </row>
    <row r="366">
      <c r="A366" s="92"/>
      <c r="C366" s="92"/>
      <c r="D366" s="90"/>
      <c r="E366" s="91"/>
      <c r="F366" s="91"/>
      <c r="G366" s="8"/>
      <c r="I366" s="58"/>
      <c r="J366" s="92"/>
      <c r="L366" s="92"/>
      <c r="N366" s="93"/>
      <c r="O366" s="58"/>
      <c r="P366" s="58"/>
    </row>
    <row r="367">
      <c r="A367" s="92"/>
      <c r="C367" s="92"/>
      <c r="D367" s="90"/>
      <c r="E367" s="91"/>
      <c r="F367" s="91"/>
      <c r="G367" s="8"/>
      <c r="I367" s="58"/>
      <c r="J367" s="92"/>
      <c r="L367" s="92"/>
      <c r="N367" s="93"/>
      <c r="O367" s="58"/>
      <c r="P367" s="58"/>
    </row>
    <row r="368">
      <c r="A368" s="92"/>
      <c r="C368" s="92"/>
      <c r="D368" s="90"/>
      <c r="E368" s="91"/>
      <c r="F368" s="91"/>
      <c r="G368" s="8"/>
      <c r="I368" s="58"/>
      <c r="J368" s="92"/>
      <c r="L368" s="92"/>
      <c r="N368" s="93"/>
      <c r="O368" s="58"/>
      <c r="P368" s="58"/>
    </row>
    <row r="369">
      <c r="A369" s="92"/>
      <c r="C369" s="92"/>
      <c r="D369" s="90"/>
      <c r="E369" s="91"/>
      <c r="F369" s="91"/>
      <c r="G369" s="8"/>
      <c r="I369" s="58"/>
      <c r="J369" s="92"/>
      <c r="L369" s="92"/>
      <c r="N369" s="93"/>
      <c r="O369" s="58"/>
      <c r="P369" s="58"/>
    </row>
    <row r="370">
      <c r="A370" s="92"/>
      <c r="C370" s="92"/>
      <c r="D370" s="90"/>
      <c r="E370" s="91"/>
      <c r="F370" s="91"/>
      <c r="G370" s="8"/>
      <c r="I370" s="58"/>
      <c r="J370" s="92"/>
      <c r="L370" s="92"/>
      <c r="N370" s="93"/>
      <c r="O370" s="58"/>
      <c r="P370" s="58"/>
    </row>
    <row r="371">
      <c r="A371" s="92"/>
      <c r="C371" s="92"/>
      <c r="D371" s="90"/>
      <c r="E371" s="91"/>
      <c r="F371" s="91"/>
      <c r="G371" s="8"/>
      <c r="I371" s="58"/>
      <c r="J371" s="92"/>
      <c r="L371" s="92"/>
      <c r="N371" s="93"/>
      <c r="O371" s="58"/>
      <c r="P371" s="58"/>
    </row>
    <row r="372">
      <c r="A372" s="92"/>
      <c r="C372" s="92"/>
      <c r="D372" s="90"/>
      <c r="E372" s="91"/>
      <c r="F372" s="91"/>
      <c r="G372" s="8"/>
      <c r="I372" s="58"/>
      <c r="J372" s="92"/>
      <c r="L372" s="92"/>
      <c r="N372" s="93"/>
      <c r="O372" s="58"/>
      <c r="P372" s="58"/>
    </row>
    <row r="373">
      <c r="A373" s="92"/>
      <c r="C373" s="92"/>
      <c r="D373" s="90"/>
      <c r="E373" s="91"/>
      <c r="F373" s="91"/>
      <c r="G373" s="8"/>
      <c r="I373" s="58"/>
      <c r="J373" s="92"/>
      <c r="L373" s="92"/>
      <c r="N373" s="93"/>
      <c r="O373" s="58"/>
      <c r="P373" s="58"/>
    </row>
    <row r="374">
      <c r="A374" s="92"/>
      <c r="C374" s="92"/>
      <c r="D374" s="90"/>
      <c r="E374" s="91"/>
      <c r="F374" s="91"/>
      <c r="G374" s="8"/>
      <c r="I374" s="58"/>
      <c r="J374" s="92"/>
      <c r="L374" s="92"/>
      <c r="N374" s="93"/>
      <c r="O374" s="58"/>
      <c r="P374" s="58"/>
    </row>
    <row r="375">
      <c r="A375" s="92"/>
      <c r="C375" s="92"/>
      <c r="D375" s="90"/>
      <c r="E375" s="91"/>
      <c r="F375" s="91"/>
      <c r="G375" s="8"/>
      <c r="I375" s="58"/>
      <c r="J375" s="92"/>
      <c r="L375" s="92"/>
      <c r="N375" s="93"/>
      <c r="O375" s="58"/>
      <c r="P375" s="58"/>
    </row>
    <row r="376">
      <c r="A376" s="92"/>
      <c r="C376" s="92"/>
      <c r="D376" s="90"/>
      <c r="E376" s="91"/>
      <c r="F376" s="91"/>
      <c r="G376" s="8"/>
      <c r="I376" s="58"/>
      <c r="J376" s="92"/>
      <c r="L376" s="92"/>
      <c r="N376" s="93"/>
      <c r="O376" s="58"/>
      <c r="P376" s="58"/>
    </row>
    <row r="377">
      <c r="A377" s="92"/>
      <c r="C377" s="92"/>
      <c r="D377" s="90"/>
      <c r="E377" s="91"/>
      <c r="F377" s="91"/>
      <c r="G377" s="8"/>
      <c r="I377" s="58"/>
      <c r="J377" s="92"/>
      <c r="L377" s="92"/>
      <c r="N377" s="93"/>
      <c r="O377" s="58"/>
      <c r="P377" s="58"/>
    </row>
    <row r="378">
      <c r="A378" s="92"/>
      <c r="C378" s="92"/>
      <c r="D378" s="90"/>
      <c r="E378" s="91"/>
      <c r="F378" s="91"/>
      <c r="G378" s="8"/>
      <c r="I378" s="58"/>
      <c r="J378" s="92"/>
      <c r="L378" s="92"/>
      <c r="N378" s="93"/>
      <c r="O378" s="58"/>
      <c r="P378" s="58"/>
    </row>
    <row r="379">
      <c r="A379" s="92"/>
      <c r="C379" s="92"/>
      <c r="D379" s="90"/>
      <c r="E379" s="91"/>
      <c r="F379" s="91"/>
      <c r="G379" s="8"/>
      <c r="I379" s="58"/>
      <c r="J379" s="92"/>
      <c r="L379" s="92"/>
      <c r="N379" s="93"/>
      <c r="O379" s="58"/>
      <c r="P379" s="58"/>
    </row>
    <row r="380">
      <c r="A380" s="92"/>
      <c r="C380" s="92"/>
      <c r="D380" s="90"/>
      <c r="E380" s="91"/>
      <c r="F380" s="91"/>
      <c r="G380" s="8"/>
      <c r="I380" s="58"/>
      <c r="J380" s="92"/>
      <c r="L380" s="92"/>
      <c r="N380" s="93"/>
      <c r="O380" s="58"/>
      <c r="P380" s="58"/>
    </row>
    <row r="381">
      <c r="A381" s="92"/>
      <c r="C381" s="92"/>
      <c r="D381" s="90"/>
      <c r="E381" s="91"/>
      <c r="F381" s="91"/>
      <c r="G381" s="8"/>
      <c r="I381" s="58"/>
      <c r="J381" s="92"/>
      <c r="L381" s="92"/>
      <c r="N381" s="93"/>
      <c r="O381" s="58"/>
      <c r="P381" s="58"/>
    </row>
    <row r="382">
      <c r="A382" s="92"/>
      <c r="C382" s="92"/>
      <c r="D382" s="90"/>
      <c r="E382" s="91"/>
      <c r="F382" s="91"/>
      <c r="G382" s="8"/>
      <c r="I382" s="58"/>
      <c r="J382" s="92"/>
      <c r="L382" s="92"/>
      <c r="N382" s="93"/>
      <c r="O382" s="58"/>
      <c r="P382" s="58"/>
    </row>
    <row r="383">
      <c r="A383" s="92"/>
      <c r="C383" s="92"/>
      <c r="D383" s="90"/>
      <c r="E383" s="91"/>
      <c r="F383" s="91"/>
      <c r="G383" s="8"/>
      <c r="I383" s="58"/>
      <c r="J383" s="92"/>
      <c r="L383" s="92"/>
      <c r="N383" s="93"/>
      <c r="O383" s="58"/>
      <c r="P383" s="58"/>
    </row>
    <row r="384">
      <c r="A384" s="92"/>
      <c r="C384" s="92"/>
      <c r="D384" s="90"/>
      <c r="E384" s="91"/>
      <c r="F384" s="91"/>
      <c r="G384" s="8"/>
      <c r="I384" s="58"/>
      <c r="J384" s="92"/>
      <c r="L384" s="92"/>
      <c r="N384" s="93"/>
      <c r="O384" s="58"/>
      <c r="P384" s="58"/>
    </row>
    <row r="385">
      <c r="A385" s="92"/>
      <c r="C385" s="92"/>
      <c r="D385" s="90"/>
      <c r="E385" s="91"/>
      <c r="F385" s="91"/>
      <c r="G385" s="8"/>
      <c r="I385" s="58"/>
      <c r="J385" s="92"/>
      <c r="L385" s="92"/>
      <c r="N385" s="93"/>
      <c r="O385" s="58"/>
      <c r="P385" s="58"/>
    </row>
    <row r="386">
      <c r="A386" s="92"/>
      <c r="C386" s="92"/>
      <c r="D386" s="90"/>
      <c r="E386" s="91"/>
      <c r="F386" s="91"/>
      <c r="G386" s="8"/>
      <c r="I386" s="58"/>
      <c r="J386" s="92"/>
      <c r="L386" s="92"/>
      <c r="N386" s="93"/>
      <c r="O386" s="58"/>
      <c r="P386" s="58"/>
    </row>
    <row r="387">
      <c r="A387" s="92"/>
      <c r="C387" s="92"/>
      <c r="D387" s="90"/>
      <c r="E387" s="91"/>
      <c r="F387" s="91"/>
      <c r="G387" s="8"/>
      <c r="I387" s="58"/>
      <c r="J387" s="92"/>
      <c r="L387" s="92"/>
      <c r="N387" s="93"/>
      <c r="O387" s="58"/>
      <c r="P387" s="58"/>
    </row>
    <row r="388">
      <c r="A388" s="92"/>
      <c r="C388" s="92"/>
      <c r="D388" s="90"/>
      <c r="E388" s="91"/>
      <c r="F388" s="91"/>
      <c r="G388" s="8"/>
      <c r="I388" s="58"/>
      <c r="J388" s="92"/>
      <c r="L388" s="92"/>
      <c r="N388" s="93"/>
      <c r="O388" s="58"/>
      <c r="P388" s="58"/>
    </row>
    <row r="389">
      <c r="A389" s="92"/>
      <c r="C389" s="92"/>
      <c r="D389" s="90"/>
      <c r="E389" s="91"/>
      <c r="F389" s="91"/>
      <c r="G389" s="8"/>
      <c r="I389" s="58"/>
      <c r="J389" s="92"/>
      <c r="L389" s="92"/>
      <c r="N389" s="93"/>
      <c r="O389" s="58"/>
      <c r="P389" s="58"/>
    </row>
    <row r="390">
      <c r="A390" s="92"/>
      <c r="C390" s="92"/>
      <c r="D390" s="90"/>
      <c r="E390" s="91"/>
      <c r="F390" s="91"/>
      <c r="G390" s="8"/>
      <c r="I390" s="58"/>
      <c r="J390" s="92"/>
      <c r="L390" s="92"/>
      <c r="N390" s="93"/>
      <c r="O390" s="58"/>
      <c r="P390" s="58"/>
    </row>
    <row r="391">
      <c r="A391" s="92"/>
      <c r="C391" s="92"/>
      <c r="D391" s="90"/>
      <c r="E391" s="91"/>
      <c r="F391" s="91"/>
      <c r="G391" s="8"/>
      <c r="I391" s="58"/>
      <c r="J391" s="92"/>
      <c r="L391" s="92"/>
      <c r="N391" s="93"/>
      <c r="O391" s="58"/>
      <c r="P391" s="58"/>
    </row>
    <row r="392">
      <c r="A392" s="92"/>
      <c r="C392" s="92"/>
      <c r="D392" s="90"/>
      <c r="E392" s="91"/>
      <c r="F392" s="91"/>
      <c r="G392" s="8"/>
      <c r="I392" s="58"/>
      <c r="J392" s="92"/>
      <c r="L392" s="92"/>
      <c r="N392" s="93"/>
      <c r="O392" s="58"/>
      <c r="P392" s="58"/>
    </row>
    <row r="393">
      <c r="A393" s="92"/>
      <c r="C393" s="92"/>
      <c r="D393" s="90"/>
      <c r="E393" s="91"/>
      <c r="F393" s="91"/>
      <c r="G393" s="8"/>
      <c r="I393" s="58"/>
      <c r="J393" s="92"/>
      <c r="L393" s="92"/>
      <c r="N393" s="93"/>
      <c r="O393" s="58"/>
      <c r="P393" s="58"/>
    </row>
    <row r="394">
      <c r="A394" s="92"/>
      <c r="C394" s="92"/>
      <c r="D394" s="90"/>
      <c r="E394" s="91"/>
      <c r="F394" s="91"/>
      <c r="G394" s="8"/>
      <c r="I394" s="58"/>
      <c r="J394" s="92"/>
      <c r="L394" s="92"/>
      <c r="N394" s="93"/>
      <c r="O394" s="58"/>
      <c r="P394" s="58"/>
    </row>
    <row r="395">
      <c r="A395" s="92"/>
      <c r="C395" s="92"/>
      <c r="D395" s="90"/>
      <c r="E395" s="91"/>
      <c r="F395" s="91"/>
      <c r="G395" s="8"/>
      <c r="I395" s="58"/>
      <c r="J395" s="92"/>
      <c r="L395" s="92"/>
      <c r="N395" s="93"/>
      <c r="O395" s="58"/>
      <c r="P395" s="58"/>
    </row>
    <row r="396">
      <c r="A396" s="92"/>
      <c r="C396" s="92"/>
      <c r="D396" s="90"/>
      <c r="E396" s="91"/>
      <c r="F396" s="91"/>
      <c r="G396" s="8"/>
      <c r="I396" s="58"/>
      <c r="J396" s="92"/>
      <c r="L396" s="92"/>
      <c r="N396" s="93"/>
      <c r="O396" s="58"/>
      <c r="P396" s="58"/>
    </row>
    <row r="397">
      <c r="A397" s="92"/>
      <c r="C397" s="92"/>
      <c r="D397" s="90"/>
      <c r="E397" s="91"/>
      <c r="F397" s="91"/>
      <c r="G397" s="8"/>
      <c r="I397" s="58"/>
      <c r="J397" s="92"/>
      <c r="L397" s="92"/>
      <c r="N397" s="93"/>
      <c r="O397" s="58"/>
      <c r="P397" s="58"/>
    </row>
    <row r="398">
      <c r="A398" s="92"/>
      <c r="C398" s="92"/>
      <c r="D398" s="90"/>
      <c r="E398" s="91"/>
      <c r="F398" s="91"/>
      <c r="G398" s="8"/>
      <c r="I398" s="58"/>
      <c r="J398" s="92"/>
      <c r="L398" s="92"/>
      <c r="N398" s="93"/>
      <c r="O398" s="58"/>
      <c r="P398" s="58"/>
    </row>
    <row r="399">
      <c r="A399" s="92"/>
      <c r="C399" s="92"/>
      <c r="D399" s="90"/>
      <c r="E399" s="91"/>
      <c r="F399" s="91"/>
      <c r="G399" s="8"/>
      <c r="I399" s="58"/>
      <c r="J399" s="92"/>
      <c r="L399" s="92"/>
      <c r="N399" s="93"/>
      <c r="O399" s="58"/>
      <c r="P399" s="58"/>
    </row>
    <row r="400">
      <c r="A400" s="92"/>
      <c r="C400" s="92"/>
      <c r="D400" s="90"/>
      <c r="E400" s="91"/>
      <c r="F400" s="91"/>
      <c r="G400" s="8"/>
      <c r="I400" s="58"/>
      <c r="J400" s="92"/>
      <c r="L400" s="92"/>
      <c r="N400" s="93"/>
      <c r="O400" s="58"/>
      <c r="P400" s="58"/>
    </row>
    <row r="401">
      <c r="A401" s="92"/>
      <c r="C401" s="92"/>
      <c r="D401" s="90"/>
      <c r="E401" s="91"/>
      <c r="F401" s="91"/>
      <c r="G401" s="8"/>
      <c r="I401" s="58"/>
      <c r="J401" s="92"/>
      <c r="L401" s="92"/>
      <c r="N401" s="93"/>
      <c r="O401" s="58"/>
      <c r="P401" s="58"/>
    </row>
    <row r="402">
      <c r="A402" s="92"/>
      <c r="C402" s="92"/>
      <c r="D402" s="90"/>
      <c r="E402" s="91"/>
      <c r="F402" s="91"/>
      <c r="G402" s="8"/>
      <c r="I402" s="58"/>
      <c r="J402" s="92"/>
      <c r="L402" s="92"/>
      <c r="N402" s="93"/>
      <c r="O402" s="58"/>
      <c r="P402" s="58"/>
    </row>
    <row r="403">
      <c r="A403" s="92"/>
      <c r="C403" s="92"/>
      <c r="D403" s="90"/>
      <c r="E403" s="91"/>
      <c r="F403" s="91"/>
      <c r="G403" s="8"/>
      <c r="I403" s="58"/>
      <c r="J403" s="92"/>
      <c r="L403" s="92"/>
      <c r="N403" s="93"/>
      <c r="O403" s="58"/>
      <c r="P403" s="58"/>
    </row>
    <row r="404">
      <c r="A404" s="92"/>
      <c r="C404" s="92"/>
      <c r="D404" s="90"/>
      <c r="E404" s="91"/>
      <c r="F404" s="91"/>
      <c r="G404" s="8"/>
      <c r="I404" s="58"/>
      <c r="J404" s="92"/>
      <c r="L404" s="92"/>
      <c r="N404" s="93"/>
      <c r="O404" s="58"/>
      <c r="P404" s="58"/>
    </row>
    <row r="405">
      <c r="A405" s="92"/>
      <c r="C405" s="92"/>
      <c r="D405" s="90"/>
      <c r="E405" s="91"/>
      <c r="F405" s="91"/>
      <c r="G405" s="8"/>
      <c r="I405" s="58"/>
      <c r="J405" s="92"/>
      <c r="L405" s="92"/>
      <c r="N405" s="93"/>
      <c r="O405" s="58"/>
      <c r="P405" s="58"/>
    </row>
    <row r="406">
      <c r="A406" s="92"/>
      <c r="C406" s="92"/>
      <c r="D406" s="90"/>
      <c r="E406" s="91"/>
      <c r="F406" s="91"/>
      <c r="G406" s="8"/>
      <c r="I406" s="58"/>
      <c r="J406" s="92"/>
      <c r="L406" s="92"/>
      <c r="N406" s="93"/>
      <c r="O406" s="58"/>
      <c r="P406" s="58"/>
    </row>
    <row r="407">
      <c r="A407" s="92"/>
      <c r="C407" s="92"/>
      <c r="D407" s="90"/>
      <c r="E407" s="91"/>
      <c r="F407" s="91"/>
      <c r="G407" s="8"/>
      <c r="I407" s="58"/>
      <c r="J407" s="92"/>
      <c r="L407" s="92"/>
      <c r="N407" s="93"/>
      <c r="O407" s="58"/>
      <c r="P407" s="58"/>
    </row>
    <row r="408">
      <c r="A408" s="92"/>
      <c r="C408" s="92"/>
      <c r="D408" s="90"/>
      <c r="E408" s="91"/>
      <c r="F408" s="91"/>
      <c r="G408" s="8"/>
      <c r="I408" s="58"/>
      <c r="J408" s="92"/>
      <c r="L408" s="92"/>
      <c r="N408" s="93"/>
      <c r="O408" s="58"/>
      <c r="P408" s="58"/>
    </row>
    <row r="409">
      <c r="A409" s="92"/>
      <c r="C409" s="92"/>
      <c r="D409" s="90"/>
      <c r="E409" s="91"/>
      <c r="F409" s="91"/>
      <c r="G409" s="8"/>
      <c r="I409" s="58"/>
      <c r="J409" s="92"/>
      <c r="L409" s="92"/>
      <c r="N409" s="93"/>
      <c r="O409" s="58"/>
      <c r="P409" s="58"/>
    </row>
    <row r="410">
      <c r="A410" s="92"/>
      <c r="C410" s="92"/>
      <c r="D410" s="90"/>
      <c r="E410" s="91"/>
      <c r="F410" s="91"/>
      <c r="G410" s="8"/>
      <c r="I410" s="58"/>
      <c r="J410" s="92"/>
      <c r="L410" s="92"/>
      <c r="N410" s="93"/>
      <c r="O410" s="58"/>
      <c r="P410" s="58"/>
    </row>
    <row r="411">
      <c r="A411" s="92"/>
      <c r="C411" s="92"/>
      <c r="D411" s="90"/>
      <c r="E411" s="91"/>
      <c r="F411" s="91"/>
      <c r="G411" s="8"/>
      <c r="I411" s="58"/>
      <c r="J411" s="92"/>
      <c r="L411" s="92"/>
      <c r="N411" s="93"/>
      <c r="O411" s="58"/>
      <c r="P411" s="58"/>
    </row>
    <row r="412">
      <c r="A412" s="92"/>
      <c r="C412" s="92"/>
      <c r="D412" s="90"/>
      <c r="E412" s="91"/>
      <c r="F412" s="91"/>
      <c r="G412" s="8"/>
      <c r="I412" s="58"/>
      <c r="J412" s="92"/>
      <c r="L412" s="92"/>
      <c r="N412" s="93"/>
      <c r="O412" s="58"/>
      <c r="P412" s="58"/>
    </row>
    <row r="413">
      <c r="A413" s="92"/>
      <c r="C413" s="92"/>
      <c r="D413" s="90"/>
      <c r="E413" s="91"/>
      <c r="F413" s="91"/>
      <c r="G413" s="8"/>
      <c r="I413" s="58"/>
      <c r="J413" s="92"/>
      <c r="L413" s="92"/>
      <c r="N413" s="93"/>
      <c r="O413" s="58"/>
      <c r="P413" s="58"/>
    </row>
    <row r="414">
      <c r="A414" s="92"/>
      <c r="C414" s="92"/>
      <c r="D414" s="90"/>
      <c r="E414" s="91"/>
      <c r="F414" s="91"/>
      <c r="G414" s="8"/>
      <c r="I414" s="58"/>
      <c r="J414" s="92"/>
      <c r="L414" s="92"/>
      <c r="N414" s="93"/>
      <c r="O414" s="58"/>
      <c r="P414" s="58"/>
    </row>
    <row r="415">
      <c r="A415" s="92"/>
      <c r="C415" s="92"/>
      <c r="D415" s="90"/>
      <c r="E415" s="91"/>
      <c r="F415" s="91"/>
      <c r="G415" s="8"/>
      <c r="I415" s="58"/>
      <c r="J415" s="92"/>
      <c r="L415" s="92"/>
      <c r="N415" s="93"/>
      <c r="O415" s="58"/>
      <c r="P415" s="58"/>
    </row>
    <row r="416">
      <c r="A416" s="92"/>
      <c r="C416" s="92"/>
      <c r="D416" s="90"/>
      <c r="E416" s="91"/>
      <c r="F416" s="91"/>
      <c r="G416" s="8"/>
      <c r="I416" s="58"/>
      <c r="J416" s="92"/>
      <c r="L416" s="92"/>
      <c r="N416" s="93"/>
      <c r="O416" s="58"/>
      <c r="P416" s="58"/>
    </row>
    <row r="417">
      <c r="A417" s="92"/>
      <c r="C417" s="92"/>
      <c r="D417" s="90"/>
      <c r="E417" s="91"/>
      <c r="F417" s="91"/>
      <c r="G417" s="8"/>
      <c r="I417" s="58"/>
      <c r="J417" s="92"/>
      <c r="L417" s="92"/>
      <c r="N417" s="93"/>
      <c r="O417" s="58"/>
      <c r="P417" s="58"/>
    </row>
    <row r="418">
      <c r="A418" s="92"/>
      <c r="C418" s="92"/>
      <c r="D418" s="90"/>
      <c r="E418" s="91"/>
      <c r="F418" s="91"/>
      <c r="G418" s="8"/>
      <c r="I418" s="58"/>
      <c r="J418" s="92"/>
      <c r="L418" s="92"/>
      <c r="N418" s="93"/>
      <c r="O418" s="58"/>
      <c r="P418" s="58"/>
    </row>
    <row r="419">
      <c r="A419" s="92"/>
      <c r="C419" s="92"/>
      <c r="D419" s="90"/>
      <c r="E419" s="91"/>
      <c r="F419" s="91"/>
      <c r="G419" s="8"/>
      <c r="I419" s="58"/>
      <c r="J419" s="92"/>
      <c r="L419" s="92"/>
      <c r="N419" s="93"/>
      <c r="O419" s="58"/>
      <c r="P419" s="58"/>
    </row>
    <row r="420">
      <c r="A420" s="92"/>
      <c r="C420" s="92"/>
      <c r="D420" s="90"/>
      <c r="E420" s="91"/>
      <c r="F420" s="91"/>
      <c r="G420" s="8"/>
      <c r="I420" s="58"/>
      <c r="J420" s="92"/>
      <c r="L420" s="92"/>
      <c r="N420" s="93"/>
      <c r="O420" s="58"/>
      <c r="P420" s="58"/>
    </row>
    <row r="421">
      <c r="A421" s="92"/>
      <c r="C421" s="92"/>
      <c r="D421" s="90"/>
      <c r="E421" s="91"/>
      <c r="F421" s="91"/>
      <c r="G421" s="8"/>
      <c r="I421" s="58"/>
      <c r="J421" s="92"/>
      <c r="L421" s="92"/>
      <c r="N421" s="93"/>
      <c r="O421" s="58"/>
      <c r="P421" s="58"/>
    </row>
    <row r="422">
      <c r="A422" s="92"/>
      <c r="C422" s="92"/>
      <c r="D422" s="90"/>
      <c r="E422" s="91"/>
      <c r="F422" s="91"/>
      <c r="G422" s="8"/>
      <c r="I422" s="58"/>
      <c r="J422" s="92"/>
      <c r="L422" s="92"/>
      <c r="N422" s="93"/>
      <c r="O422" s="58"/>
      <c r="P422" s="58"/>
    </row>
    <row r="423">
      <c r="A423" s="92"/>
      <c r="C423" s="92"/>
      <c r="D423" s="90"/>
      <c r="E423" s="91"/>
      <c r="F423" s="91"/>
      <c r="G423" s="8"/>
      <c r="I423" s="58"/>
      <c r="J423" s="92"/>
      <c r="L423" s="92"/>
      <c r="N423" s="93"/>
      <c r="O423" s="58"/>
      <c r="P423" s="58"/>
    </row>
    <row r="424">
      <c r="A424" s="92"/>
      <c r="C424" s="92"/>
      <c r="D424" s="90"/>
      <c r="E424" s="91"/>
      <c r="F424" s="91"/>
      <c r="G424" s="8"/>
      <c r="I424" s="58"/>
      <c r="J424" s="92"/>
      <c r="L424" s="92"/>
      <c r="N424" s="93"/>
      <c r="O424" s="58"/>
      <c r="P424" s="58"/>
    </row>
    <row r="425">
      <c r="A425" s="92"/>
      <c r="C425" s="92"/>
      <c r="D425" s="90"/>
      <c r="E425" s="91"/>
      <c r="F425" s="91"/>
      <c r="G425" s="8"/>
      <c r="I425" s="58"/>
      <c r="J425" s="92"/>
      <c r="L425" s="92"/>
      <c r="N425" s="93"/>
      <c r="O425" s="58"/>
      <c r="P425" s="58"/>
    </row>
    <row r="426">
      <c r="A426" s="92"/>
      <c r="C426" s="92"/>
      <c r="D426" s="90"/>
      <c r="E426" s="91"/>
      <c r="F426" s="91"/>
      <c r="G426" s="8"/>
      <c r="I426" s="58"/>
      <c r="J426" s="92"/>
      <c r="L426" s="92"/>
      <c r="N426" s="93"/>
      <c r="O426" s="58"/>
      <c r="P426" s="58"/>
    </row>
    <row r="427">
      <c r="A427" s="92"/>
      <c r="C427" s="92"/>
      <c r="D427" s="90"/>
      <c r="E427" s="91"/>
      <c r="F427" s="91"/>
      <c r="G427" s="8"/>
      <c r="I427" s="58"/>
      <c r="J427" s="92"/>
      <c r="L427" s="92"/>
      <c r="N427" s="93"/>
      <c r="O427" s="58"/>
      <c r="P427" s="58"/>
    </row>
    <row r="428">
      <c r="A428" s="92"/>
      <c r="C428" s="92"/>
      <c r="D428" s="90"/>
      <c r="E428" s="91"/>
      <c r="F428" s="91"/>
      <c r="G428" s="8"/>
      <c r="I428" s="58"/>
      <c r="J428" s="92"/>
      <c r="L428" s="92"/>
      <c r="N428" s="93"/>
      <c r="O428" s="58"/>
      <c r="P428" s="58"/>
    </row>
    <row r="429">
      <c r="A429" s="92"/>
      <c r="C429" s="92"/>
      <c r="D429" s="90"/>
      <c r="E429" s="91"/>
      <c r="F429" s="91"/>
      <c r="G429" s="8"/>
      <c r="I429" s="58"/>
      <c r="J429" s="92"/>
      <c r="L429" s="92"/>
      <c r="N429" s="93"/>
      <c r="O429" s="58"/>
      <c r="P429" s="58"/>
    </row>
    <row r="430">
      <c r="A430" s="92"/>
      <c r="C430" s="92"/>
      <c r="D430" s="90"/>
      <c r="E430" s="91"/>
      <c r="F430" s="91"/>
      <c r="G430" s="8"/>
      <c r="I430" s="58"/>
      <c r="J430" s="92"/>
      <c r="L430" s="92"/>
      <c r="N430" s="93"/>
      <c r="O430" s="58"/>
      <c r="P430" s="58"/>
    </row>
    <row r="431">
      <c r="A431" s="92"/>
      <c r="C431" s="92"/>
      <c r="D431" s="90"/>
      <c r="E431" s="91"/>
      <c r="F431" s="91"/>
      <c r="G431" s="8"/>
      <c r="I431" s="58"/>
      <c r="J431" s="92"/>
      <c r="L431" s="92"/>
      <c r="N431" s="93"/>
      <c r="O431" s="58"/>
      <c r="P431" s="58"/>
    </row>
    <row r="432">
      <c r="A432" s="92"/>
      <c r="C432" s="92"/>
      <c r="D432" s="90"/>
      <c r="E432" s="91"/>
      <c r="F432" s="91"/>
      <c r="G432" s="8"/>
      <c r="I432" s="58"/>
      <c r="J432" s="92"/>
      <c r="L432" s="92"/>
      <c r="N432" s="93"/>
      <c r="O432" s="58"/>
      <c r="P432" s="58"/>
    </row>
    <row r="433">
      <c r="A433" s="92"/>
      <c r="C433" s="92"/>
      <c r="D433" s="90"/>
      <c r="E433" s="91"/>
      <c r="F433" s="91"/>
      <c r="G433" s="8"/>
      <c r="I433" s="58"/>
      <c r="J433" s="92"/>
      <c r="L433" s="92"/>
      <c r="N433" s="93"/>
      <c r="O433" s="58"/>
      <c r="P433" s="58"/>
    </row>
    <row r="434">
      <c r="A434" s="92"/>
      <c r="C434" s="92"/>
      <c r="D434" s="90"/>
      <c r="E434" s="91"/>
      <c r="F434" s="91"/>
      <c r="G434" s="8"/>
      <c r="I434" s="58"/>
      <c r="J434" s="92"/>
      <c r="L434" s="92"/>
      <c r="N434" s="93"/>
      <c r="O434" s="58"/>
      <c r="P434" s="58"/>
    </row>
    <row r="435">
      <c r="A435" s="92"/>
      <c r="C435" s="92"/>
      <c r="D435" s="90"/>
      <c r="E435" s="91"/>
      <c r="F435" s="91"/>
      <c r="G435" s="8"/>
      <c r="I435" s="58"/>
      <c r="J435" s="92"/>
      <c r="L435" s="92"/>
      <c r="N435" s="93"/>
      <c r="O435" s="58"/>
      <c r="P435" s="58"/>
    </row>
    <row r="436">
      <c r="A436" s="92"/>
      <c r="C436" s="92"/>
      <c r="D436" s="90"/>
      <c r="E436" s="91"/>
      <c r="F436" s="91"/>
      <c r="G436" s="8"/>
      <c r="I436" s="58"/>
      <c r="J436" s="92"/>
      <c r="L436" s="92"/>
      <c r="N436" s="93"/>
      <c r="O436" s="58"/>
      <c r="P436" s="58"/>
    </row>
    <row r="437">
      <c r="A437" s="92"/>
      <c r="C437" s="92"/>
      <c r="D437" s="90"/>
      <c r="E437" s="91"/>
      <c r="F437" s="91"/>
      <c r="G437" s="8"/>
      <c r="I437" s="58"/>
      <c r="J437" s="92"/>
      <c r="L437" s="92"/>
      <c r="N437" s="93"/>
      <c r="O437" s="58"/>
      <c r="P437" s="58"/>
    </row>
    <row r="438">
      <c r="A438" s="92"/>
      <c r="C438" s="92"/>
      <c r="D438" s="90"/>
      <c r="E438" s="91"/>
      <c r="F438" s="91"/>
      <c r="G438" s="8"/>
      <c r="I438" s="58"/>
      <c r="J438" s="92"/>
      <c r="L438" s="92"/>
      <c r="N438" s="93"/>
      <c r="O438" s="58"/>
      <c r="P438" s="58"/>
    </row>
    <row r="439">
      <c r="A439" s="92"/>
      <c r="C439" s="92"/>
      <c r="D439" s="90"/>
      <c r="E439" s="91"/>
      <c r="F439" s="91"/>
      <c r="G439" s="8"/>
      <c r="I439" s="58"/>
      <c r="J439" s="92"/>
      <c r="L439" s="92"/>
      <c r="N439" s="93"/>
      <c r="O439" s="58"/>
      <c r="P439" s="58"/>
    </row>
    <row r="440">
      <c r="A440" s="92"/>
      <c r="C440" s="92"/>
      <c r="D440" s="90"/>
      <c r="E440" s="91"/>
      <c r="F440" s="91"/>
      <c r="G440" s="8"/>
      <c r="I440" s="58"/>
      <c r="J440" s="92"/>
      <c r="L440" s="92"/>
      <c r="N440" s="93"/>
      <c r="O440" s="58"/>
      <c r="P440" s="58"/>
    </row>
    <row r="441">
      <c r="A441" s="92"/>
      <c r="C441" s="92"/>
      <c r="D441" s="90"/>
      <c r="E441" s="91"/>
      <c r="F441" s="91"/>
      <c r="G441" s="8"/>
      <c r="I441" s="58"/>
      <c r="J441" s="92"/>
      <c r="L441" s="92"/>
      <c r="N441" s="93"/>
      <c r="O441" s="58"/>
      <c r="P441" s="58"/>
    </row>
    <row r="442">
      <c r="A442" s="92"/>
      <c r="C442" s="92"/>
      <c r="D442" s="90"/>
      <c r="E442" s="91"/>
      <c r="F442" s="91"/>
      <c r="G442" s="8"/>
      <c r="I442" s="58"/>
      <c r="J442" s="92"/>
      <c r="L442" s="92"/>
      <c r="N442" s="93"/>
      <c r="O442" s="58"/>
      <c r="P442" s="58"/>
    </row>
    <row r="443">
      <c r="A443" s="92"/>
      <c r="C443" s="92"/>
      <c r="D443" s="90"/>
      <c r="E443" s="91"/>
      <c r="F443" s="91"/>
      <c r="G443" s="8"/>
      <c r="I443" s="58"/>
      <c r="J443" s="92"/>
      <c r="L443" s="92"/>
      <c r="N443" s="93"/>
      <c r="O443" s="58"/>
      <c r="P443" s="58"/>
    </row>
    <row r="444">
      <c r="A444" s="92"/>
      <c r="C444" s="92"/>
      <c r="D444" s="90"/>
      <c r="E444" s="91"/>
      <c r="F444" s="91"/>
      <c r="G444" s="8"/>
      <c r="I444" s="58"/>
      <c r="J444" s="92"/>
      <c r="L444" s="92"/>
      <c r="N444" s="93"/>
      <c r="O444" s="58"/>
      <c r="P444" s="58"/>
    </row>
    <row r="445">
      <c r="A445" s="92"/>
      <c r="C445" s="92"/>
      <c r="D445" s="90"/>
      <c r="E445" s="91"/>
      <c r="F445" s="91"/>
      <c r="G445" s="8"/>
      <c r="I445" s="58"/>
      <c r="J445" s="92"/>
      <c r="L445" s="92"/>
      <c r="N445" s="93"/>
      <c r="O445" s="58"/>
      <c r="P445" s="58"/>
    </row>
    <row r="446">
      <c r="A446" s="92"/>
      <c r="C446" s="92"/>
      <c r="D446" s="96"/>
      <c r="E446" s="97"/>
      <c r="F446" s="98"/>
      <c r="G446" s="8"/>
      <c r="I446" s="58"/>
      <c r="J446" s="92"/>
      <c r="L446" s="92"/>
      <c r="N446" s="93"/>
      <c r="O446" s="58"/>
      <c r="P446" s="58"/>
    </row>
    <row r="447">
      <c r="A447" s="92"/>
      <c r="C447" s="92"/>
      <c r="D447" s="96"/>
      <c r="E447" s="97"/>
      <c r="F447" s="98"/>
      <c r="G447" s="8"/>
      <c r="I447" s="58"/>
      <c r="J447" s="92"/>
      <c r="L447" s="92"/>
      <c r="N447" s="93"/>
      <c r="O447" s="58"/>
      <c r="P447" s="58"/>
    </row>
    <row r="448">
      <c r="A448" s="92"/>
      <c r="C448" s="92"/>
      <c r="D448" s="96"/>
      <c r="E448" s="97"/>
      <c r="F448" s="98"/>
      <c r="G448" s="8"/>
      <c r="I448" s="58"/>
      <c r="J448" s="92"/>
      <c r="L448" s="92"/>
      <c r="N448" s="93"/>
      <c r="O448" s="58"/>
      <c r="P448" s="58"/>
    </row>
    <row r="449">
      <c r="A449" s="92"/>
      <c r="C449" s="92"/>
      <c r="D449" s="96"/>
      <c r="E449" s="97"/>
      <c r="F449" s="98"/>
      <c r="G449" s="8"/>
      <c r="I449" s="58"/>
      <c r="J449" s="92"/>
      <c r="L449" s="92"/>
      <c r="N449" s="93"/>
      <c r="O449" s="58"/>
      <c r="P449" s="58"/>
    </row>
    <row r="450">
      <c r="A450" s="92"/>
      <c r="C450" s="92"/>
      <c r="D450" s="96"/>
      <c r="E450" s="97"/>
      <c r="F450" s="98"/>
      <c r="G450" s="8"/>
      <c r="I450" s="58"/>
      <c r="J450" s="92"/>
      <c r="L450" s="92"/>
      <c r="N450" s="93"/>
      <c r="O450" s="58"/>
      <c r="P450" s="58"/>
    </row>
    <row r="451">
      <c r="A451" s="92"/>
      <c r="C451" s="92"/>
      <c r="D451" s="96"/>
      <c r="E451" s="97"/>
      <c r="F451" s="98"/>
      <c r="G451" s="8"/>
      <c r="I451" s="58"/>
      <c r="J451" s="92"/>
      <c r="L451" s="92"/>
      <c r="N451" s="93"/>
      <c r="O451" s="58"/>
      <c r="P451" s="58"/>
    </row>
    <row r="452">
      <c r="A452" s="92"/>
      <c r="C452" s="92"/>
      <c r="D452" s="96"/>
      <c r="E452" s="97"/>
      <c r="F452" s="98"/>
      <c r="G452" s="8"/>
      <c r="I452" s="58"/>
      <c r="J452" s="92"/>
      <c r="L452" s="92"/>
      <c r="N452" s="93"/>
      <c r="O452" s="58"/>
      <c r="P452" s="58"/>
    </row>
    <row r="453">
      <c r="A453" s="92"/>
      <c r="C453" s="92"/>
      <c r="D453" s="96"/>
      <c r="E453" s="97"/>
      <c r="F453" s="98"/>
      <c r="G453" s="8"/>
      <c r="I453" s="58"/>
      <c r="J453" s="92"/>
      <c r="L453" s="92"/>
      <c r="N453" s="93"/>
      <c r="O453" s="58"/>
      <c r="P453" s="58"/>
    </row>
    <row r="454">
      <c r="A454" s="92"/>
      <c r="C454" s="92"/>
      <c r="D454" s="96"/>
      <c r="E454" s="97"/>
      <c r="F454" s="98"/>
      <c r="G454" s="8"/>
      <c r="I454" s="58"/>
      <c r="J454" s="92"/>
      <c r="L454" s="92"/>
      <c r="N454" s="93"/>
      <c r="O454" s="58"/>
      <c r="P454" s="58"/>
    </row>
    <row r="455">
      <c r="A455" s="92"/>
      <c r="C455" s="92"/>
      <c r="D455" s="96"/>
      <c r="E455" s="97"/>
      <c r="F455" s="98"/>
      <c r="G455" s="8"/>
      <c r="I455" s="58"/>
      <c r="J455" s="92"/>
      <c r="L455" s="92"/>
      <c r="N455" s="93"/>
      <c r="O455" s="58"/>
      <c r="P455" s="58"/>
    </row>
    <row r="456">
      <c r="A456" s="92"/>
      <c r="C456" s="92"/>
      <c r="D456" s="96"/>
      <c r="E456" s="97"/>
      <c r="F456" s="98"/>
      <c r="G456" s="8"/>
      <c r="I456" s="58"/>
      <c r="J456" s="92"/>
      <c r="L456" s="92"/>
      <c r="N456" s="93"/>
      <c r="O456" s="58"/>
      <c r="P456" s="58"/>
    </row>
    <row r="457">
      <c r="A457" s="92"/>
      <c r="C457" s="92"/>
      <c r="D457" s="96"/>
      <c r="E457" s="97"/>
      <c r="F457" s="98"/>
      <c r="G457" s="8"/>
      <c r="I457" s="58"/>
      <c r="J457" s="92"/>
      <c r="L457" s="92"/>
      <c r="N457" s="93"/>
      <c r="O457" s="58"/>
      <c r="P457" s="58"/>
    </row>
    <row r="458">
      <c r="A458" s="92"/>
      <c r="C458" s="92"/>
      <c r="D458" s="96"/>
      <c r="E458" s="97"/>
      <c r="F458" s="98"/>
      <c r="G458" s="8"/>
      <c r="I458" s="58"/>
      <c r="J458" s="92"/>
      <c r="L458" s="92"/>
      <c r="N458" s="93"/>
      <c r="O458" s="58"/>
      <c r="P458" s="58"/>
    </row>
    <row r="459">
      <c r="A459" s="92"/>
      <c r="C459" s="92"/>
      <c r="D459" s="96"/>
      <c r="E459" s="97"/>
      <c r="F459" s="98"/>
      <c r="G459" s="8"/>
      <c r="I459" s="58"/>
      <c r="J459" s="92"/>
      <c r="L459" s="92"/>
      <c r="N459" s="93"/>
      <c r="O459" s="58"/>
      <c r="P459" s="58"/>
    </row>
    <row r="460">
      <c r="A460" s="92"/>
      <c r="C460" s="92"/>
      <c r="D460" s="96"/>
      <c r="E460" s="97"/>
      <c r="F460" s="98"/>
      <c r="G460" s="8"/>
      <c r="I460" s="58"/>
      <c r="J460" s="92"/>
      <c r="L460" s="92"/>
      <c r="N460" s="93"/>
      <c r="O460" s="58"/>
      <c r="P460" s="58"/>
    </row>
    <row r="461">
      <c r="A461" s="92"/>
      <c r="C461" s="92"/>
      <c r="D461" s="96"/>
      <c r="E461" s="97"/>
      <c r="F461" s="98"/>
      <c r="G461" s="8"/>
      <c r="I461" s="58"/>
      <c r="J461" s="92"/>
      <c r="L461" s="92"/>
      <c r="N461" s="93"/>
      <c r="O461" s="58"/>
      <c r="P461" s="58"/>
    </row>
    <row r="462">
      <c r="A462" s="92"/>
      <c r="C462" s="92"/>
      <c r="D462" s="96"/>
      <c r="E462" s="97"/>
      <c r="F462" s="98"/>
      <c r="G462" s="8"/>
      <c r="I462" s="58"/>
      <c r="J462" s="92"/>
      <c r="L462" s="92"/>
      <c r="N462" s="93"/>
      <c r="O462" s="58"/>
      <c r="P462" s="58"/>
    </row>
    <row r="463">
      <c r="A463" s="92"/>
      <c r="C463" s="92"/>
      <c r="D463" s="96"/>
      <c r="E463" s="97"/>
      <c r="F463" s="98"/>
      <c r="G463" s="8"/>
      <c r="I463" s="58"/>
      <c r="J463" s="92"/>
      <c r="L463" s="92"/>
      <c r="N463" s="93"/>
      <c r="O463" s="58"/>
      <c r="P463" s="58"/>
    </row>
    <row r="464">
      <c r="A464" s="92"/>
      <c r="C464" s="92"/>
      <c r="D464" s="96"/>
      <c r="E464" s="97"/>
      <c r="F464" s="98"/>
      <c r="G464" s="8"/>
      <c r="I464" s="58"/>
      <c r="J464" s="92"/>
      <c r="L464" s="92"/>
      <c r="N464" s="93"/>
      <c r="O464" s="58"/>
      <c r="P464" s="58"/>
    </row>
    <row r="465">
      <c r="A465" s="92"/>
      <c r="C465" s="92"/>
      <c r="D465" s="96"/>
      <c r="E465" s="97"/>
      <c r="F465" s="98"/>
      <c r="G465" s="8"/>
      <c r="I465" s="58"/>
      <c r="J465" s="92"/>
      <c r="L465" s="92"/>
      <c r="N465" s="93"/>
      <c r="O465" s="58"/>
      <c r="P465" s="58"/>
    </row>
    <row r="466">
      <c r="A466" s="92"/>
      <c r="C466" s="92"/>
      <c r="D466" s="96"/>
      <c r="E466" s="97"/>
      <c r="F466" s="98"/>
      <c r="G466" s="8"/>
      <c r="I466" s="58"/>
      <c r="J466" s="92"/>
      <c r="L466" s="92"/>
      <c r="N466" s="93"/>
      <c r="O466" s="58"/>
      <c r="P466" s="58"/>
    </row>
    <row r="467">
      <c r="A467" s="92"/>
      <c r="C467" s="92"/>
      <c r="D467" s="96"/>
      <c r="E467" s="97"/>
      <c r="F467" s="98"/>
      <c r="G467" s="8"/>
      <c r="I467" s="58"/>
      <c r="J467" s="92"/>
      <c r="L467" s="92"/>
      <c r="N467" s="93"/>
      <c r="O467" s="58"/>
      <c r="P467" s="58"/>
    </row>
    <row r="468">
      <c r="A468" s="92"/>
      <c r="C468" s="92"/>
      <c r="D468" s="96"/>
      <c r="E468" s="97"/>
      <c r="F468" s="98"/>
      <c r="G468" s="8"/>
      <c r="I468" s="58"/>
      <c r="J468" s="92"/>
      <c r="L468" s="92"/>
      <c r="N468" s="93"/>
      <c r="O468" s="58"/>
      <c r="P468" s="58"/>
    </row>
    <row r="469">
      <c r="A469" s="92"/>
      <c r="C469" s="92"/>
      <c r="D469" s="96"/>
      <c r="E469" s="97"/>
      <c r="F469" s="98"/>
      <c r="G469" s="8"/>
      <c r="I469" s="58"/>
      <c r="J469" s="92"/>
      <c r="L469" s="92"/>
      <c r="N469" s="93"/>
      <c r="O469" s="58"/>
      <c r="P469" s="58"/>
    </row>
    <row r="470">
      <c r="A470" s="92"/>
      <c r="C470" s="92"/>
      <c r="D470" s="96"/>
      <c r="E470" s="97"/>
      <c r="F470" s="98"/>
      <c r="G470" s="8"/>
      <c r="I470" s="58"/>
      <c r="J470" s="92"/>
      <c r="L470" s="92"/>
      <c r="N470" s="93"/>
      <c r="O470" s="58"/>
      <c r="P470" s="58"/>
    </row>
    <row r="471">
      <c r="A471" s="92"/>
      <c r="C471" s="92"/>
      <c r="D471" s="96"/>
      <c r="E471" s="97"/>
      <c r="F471" s="98"/>
      <c r="G471" s="8"/>
      <c r="I471" s="58"/>
      <c r="J471" s="92"/>
      <c r="L471" s="92"/>
      <c r="N471" s="93"/>
      <c r="O471" s="58"/>
      <c r="P471" s="58"/>
    </row>
    <row r="472">
      <c r="A472" s="92"/>
      <c r="C472" s="92"/>
      <c r="D472" s="96"/>
      <c r="E472" s="97"/>
      <c r="F472" s="98"/>
      <c r="G472" s="8"/>
      <c r="I472" s="58"/>
      <c r="J472" s="92"/>
      <c r="L472" s="92"/>
      <c r="N472" s="93"/>
      <c r="O472" s="58"/>
      <c r="P472" s="58"/>
    </row>
    <row r="473">
      <c r="A473" s="92"/>
      <c r="C473" s="92"/>
      <c r="D473" s="96"/>
      <c r="E473" s="97"/>
      <c r="F473" s="98"/>
      <c r="G473" s="8"/>
      <c r="I473" s="58"/>
      <c r="J473" s="92"/>
      <c r="L473" s="92"/>
      <c r="N473" s="93"/>
      <c r="O473" s="58"/>
      <c r="P473" s="58"/>
    </row>
    <row r="474">
      <c r="A474" s="92"/>
      <c r="C474" s="92"/>
      <c r="D474" s="96"/>
      <c r="E474" s="97"/>
      <c r="F474" s="98"/>
      <c r="G474" s="8"/>
      <c r="I474" s="58"/>
      <c r="J474" s="92"/>
      <c r="L474" s="92"/>
      <c r="N474" s="93"/>
      <c r="O474" s="58"/>
      <c r="P474" s="58"/>
    </row>
    <row r="475">
      <c r="A475" s="92"/>
      <c r="C475" s="92"/>
      <c r="D475" s="96"/>
      <c r="E475" s="97"/>
      <c r="F475" s="98"/>
      <c r="G475" s="8"/>
      <c r="I475" s="58"/>
      <c r="J475" s="92"/>
      <c r="L475" s="92"/>
      <c r="N475" s="93"/>
      <c r="O475" s="58"/>
      <c r="P475" s="58"/>
    </row>
    <row r="476">
      <c r="A476" s="92"/>
      <c r="C476" s="92"/>
      <c r="D476" s="96"/>
      <c r="E476" s="97"/>
      <c r="F476" s="98"/>
      <c r="G476" s="8"/>
      <c r="I476" s="58"/>
      <c r="J476" s="92"/>
      <c r="L476" s="92"/>
      <c r="N476" s="93"/>
      <c r="O476" s="58"/>
      <c r="P476" s="58"/>
    </row>
    <row r="477">
      <c r="A477" s="92"/>
      <c r="C477" s="92"/>
      <c r="D477" s="96"/>
      <c r="E477" s="97"/>
      <c r="F477" s="98"/>
      <c r="G477" s="8"/>
      <c r="I477" s="58"/>
      <c r="J477" s="92"/>
      <c r="L477" s="92"/>
      <c r="N477" s="93"/>
      <c r="O477" s="58"/>
      <c r="P477" s="58"/>
    </row>
    <row r="478">
      <c r="A478" s="92"/>
      <c r="C478" s="92"/>
      <c r="D478" s="96"/>
      <c r="E478" s="97"/>
      <c r="F478" s="98"/>
      <c r="G478" s="8"/>
      <c r="I478" s="58"/>
      <c r="J478" s="92"/>
      <c r="L478" s="92"/>
      <c r="N478" s="93"/>
      <c r="O478" s="58"/>
      <c r="P478" s="58"/>
    </row>
    <row r="479">
      <c r="A479" s="92"/>
      <c r="C479" s="92"/>
      <c r="D479" s="96"/>
      <c r="E479" s="97"/>
      <c r="F479" s="98"/>
      <c r="G479" s="8"/>
      <c r="I479" s="58"/>
      <c r="J479" s="92"/>
      <c r="L479" s="92"/>
      <c r="N479" s="93"/>
      <c r="O479" s="58"/>
      <c r="P479" s="58"/>
    </row>
    <row r="480">
      <c r="A480" s="92"/>
      <c r="C480" s="92"/>
      <c r="D480" s="96"/>
      <c r="E480" s="97"/>
      <c r="F480" s="98"/>
      <c r="G480" s="8"/>
      <c r="I480" s="58"/>
      <c r="J480" s="92"/>
      <c r="L480" s="92"/>
      <c r="N480" s="93"/>
      <c r="O480" s="58"/>
      <c r="P480" s="58"/>
    </row>
    <row r="481">
      <c r="A481" s="92"/>
      <c r="C481" s="92"/>
      <c r="D481" s="96"/>
      <c r="E481" s="97"/>
      <c r="F481" s="98"/>
      <c r="G481" s="8"/>
      <c r="I481" s="58"/>
      <c r="J481" s="92"/>
      <c r="L481" s="92"/>
      <c r="N481" s="93"/>
      <c r="O481" s="58"/>
      <c r="P481" s="58"/>
    </row>
    <row r="482">
      <c r="A482" s="92"/>
      <c r="C482" s="92"/>
      <c r="D482" s="96"/>
      <c r="E482" s="97"/>
      <c r="F482" s="98"/>
      <c r="G482" s="8"/>
      <c r="I482" s="58"/>
      <c r="J482" s="92"/>
      <c r="L482" s="92"/>
      <c r="N482" s="93"/>
      <c r="O482" s="58"/>
      <c r="P482" s="58"/>
    </row>
    <row r="483">
      <c r="A483" s="92"/>
      <c r="C483" s="92"/>
      <c r="D483" s="96"/>
      <c r="E483" s="97"/>
      <c r="F483" s="98"/>
      <c r="G483" s="8"/>
      <c r="I483" s="58"/>
      <c r="J483" s="92"/>
      <c r="L483" s="92"/>
      <c r="N483" s="93"/>
      <c r="O483" s="58"/>
      <c r="P483" s="58"/>
    </row>
    <row r="484">
      <c r="A484" s="92"/>
      <c r="C484" s="92"/>
      <c r="D484" s="96"/>
      <c r="E484" s="97"/>
      <c r="F484" s="98"/>
      <c r="G484" s="8"/>
      <c r="I484" s="58"/>
      <c r="J484" s="92"/>
      <c r="L484" s="92"/>
      <c r="N484" s="93"/>
      <c r="O484" s="58"/>
      <c r="P484" s="58"/>
    </row>
    <row r="485">
      <c r="A485" s="92"/>
      <c r="C485" s="92"/>
      <c r="D485" s="96"/>
      <c r="E485" s="97"/>
      <c r="F485" s="98"/>
      <c r="G485" s="8"/>
      <c r="I485" s="58"/>
      <c r="J485" s="92"/>
      <c r="L485" s="92"/>
      <c r="N485" s="93"/>
      <c r="O485" s="58"/>
      <c r="P485" s="58"/>
    </row>
    <row r="486">
      <c r="A486" s="92"/>
      <c r="C486" s="92"/>
      <c r="D486" s="96"/>
      <c r="E486" s="97"/>
      <c r="F486" s="98"/>
      <c r="G486" s="8"/>
      <c r="I486" s="58"/>
      <c r="J486" s="92"/>
      <c r="L486" s="92"/>
      <c r="N486" s="93"/>
      <c r="O486" s="58"/>
      <c r="P486" s="58"/>
    </row>
    <row r="487">
      <c r="A487" s="92"/>
      <c r="C487" s="92"/>
      <c r="D487" s="96"/>
      <c r="E487" s="97"/>
      <c r="F487" s="98"/>
      <c r="G487" s="8"/>
      <c r="I487" s="58"/>
      <c r="J487" s="92"/>
      <c r="L487" s="92"/>
      <c r="N487" s="93"/>
      <c r="O487" s="58"/>
      <c r="P487" s="58"/>
    </row>
    <row r="488">
      <c r="A488" s="92"/>
      <c r="C488" s="92"/>
      <c r="D488" s="96"/>
      <c r="E488" s="97"/>
      <c r="F488" s="98"/>
      <c r="G488" s="8"/>
      <c r="I488" s="58"/>
      <c r="J488" s="92"/>
      <c r="L488" s="92"/>
      <c r="N488" s="93"/>
      <c r="O488" s="58"/>
      <c r="P488" s="58"/>
    </row>
    <row r="489">
      <c r="A489" s="92"/>
      <c r="C489" s="92"/>
      <c r="D489" s="96"/>
      <c r="E489" s="97"/>
      <c r="F489" s="98"/>
      <c r="G489" s="8"/>
      <c r="I489" s="58"/>
      <c r="J489" s="92"/>
      <c r="L489" s="92"/>
      <c r="N489" s="93"/>
      <c r="O489" s="58"/>
      <c r="P489" s="58"/>
    </row>
    <row r="490">
      <c r="A490" s="92"/>
      <c r="C490" s="92"/>
      <c r="D490" s="96"/>
      <c r="E490" s="97"/>
      <c r="F490" s="98"/>
      <c r="G490" s="8"/>
      <c r="I490" s="58"/>
      <c r="J490" s="92"/>
      <c r="L490" s="92"/>
      <c r="N490" s="93"/>
      <c r="O490" s="58"/>
      <c r="P490" s="58"/>
    </row>
    <row r="491">
      <c r="A491" s="92"/>
      <c r="C491" s="92"/>
      <c r="D491" s="96"/>
      <c r="E491" s="97"/>
      <c r="F491" s="98"/>
      <c r="G491" s="8"/>
      <c r="I491" s="58"/>
      <c r="J491" s="92"/>
      <c r="L491" s="92"/>
      <c r="N491" s="93"/>
      <c r="O491" s="58"/>
      <c r="P491" s="58"/>
    </row>
    <row r="492">
      <c r="A492" s="92"/>
      <c r="C492" s="92"/>
      <c r="D492" s="96"/>
      <c r="E492" s="97"/>
      <c r="F492" s="98"/>
      <c r="G492" s="8"/>
      <c r="I492" s="58"/>
      <c r="J492" s="92"/>
      <c r="L492" s="92"/>
      <c r="N492" s="93"/>
      <c r="O492" s="58"/>
      <c r="P492" s="58"/>
    </row>
    <row r="493">
      <c r="A493" s="92"/>
      <c r="C493" s="92"/>
      <c r="D493" s="96"/>
      <c r="E493" s="97"/>
      <c r="F493" s="98"/>
      <c r="G493" s="8"/>
      <c r="I493" s="58"/>
      <c r="J493" s="92"/>
      <c r="L493" s="92"/>
      <c r="N493" s="93"/>
      <c r="O493" s="58"/>
      <c r="P493" s="58"/>
    </row>
    <row r="494">
      <c r="A494" s="92"/>
      <c r="C494" s="92"/>
      <c r="D494" s="96"/>
      <c r="E494" s="97"/>
      <c r="F494" s="98"/>
      <c r="G494" s="8"/>
      <c r="I494" s="58"/>
      <c r="J494" s="92"/>
      <c r="L494" s="92"/>
      <c r="N494" s="93"/>
      <c r="O494" s="58"/>
      <c r="P494" s="58"/>
    </row>
    <row r="495">
      <c r="A495" s="92"/>
      <c r="C495" s="92"/>
      <c r="D495" s="96"/>
      <c r="E495" s="97"/>
      <c r="F495" s="98"/>
      <c r="G495" s="8"/>
      <c r="I495" s="58"/>
      <c r="J495" s="92"/>
      <c r="L495" s="92"/>
      <c r="N495" s="93"/>
      <c r="O495" s="58"/>
      <c r="P495" s="58"/>
    </row>
    <row r="496">
      <c r="A496" s="92"/>
      <c r="C496" s="92"/>
      <c r="D496" s="96"/>
      <c r="E496" s="97"/>
      <c r="F496" s="98"/>
      <c r="G496" s="8"/>
      <c r="I496" s="58"/>
      <c r="J496" s="92"/>
      <c r="L496" s="92"/>
      <c r="N496" s="93"/>
      <c r="O496" s="58"/>
      <c r="P496" s="58"/>
    </row>
    <row r="497">
      <c r="A497" s="92"/>
      <c r="C497" s="92"/>
      <c r="D497" s="96"/>
      <c r="E497" s="97"/>
      <c r="F497" s="98"/>
      <c r="G497" s="8"/>
      <c r="I497" s="58"/>
      <c r="J497" s="92"/>
      <c r="L497" s="92"/>
      <c r="N497" s="93"/>
      <c r="O497" s="58"/>
      <c r="P497" s="58"/>
    </row>
    <row r="498">
      <c r="A498" s="92"/>
      <c r="C498" s="92"/>
      <c r="D498" s="96"/>
      <c r="E498" s="97"/>
      <c r="F498" s="98"/>
      <c r="G498" s="8"/>
      <c r="I498" s="58"/>
      <c r="J498" s="92"/>
      <c r="L498" s="92"/>
      <c r="N498" s="93"/>
      <c r="O498" s="58"/>
      <c r="P498" s="58"/>
    </row>
    <row r="499">
      <c r="A499" s="92"/>
      <c r="C499" s="92"/>
      <c r="D499" s="96"/>
      <c r="E499" s="97"/>
      <c r="F499" s="98"/>
      <c r="G499" s="8"/>
      <c r="I499" s="58"/>
      <c r="J499" s="92"/>
      <c r="L499" s="92"/>
      <c r="N499" s="93"/>
      <c r="O499" s="58"/>
      <c r="P499" s="58"/>
    </row>
    <row r="500">
      <c r="A500" s="92"/>
      <c r="C500" s="92"/>
      <c r="D500" s="96"/>
      <c r="E500" s="97"/>
      <c r="F500" s="98"/>
      <c r="G500" s="8"/>
      <c r="I500" s="58"/>
      <c r="J500" s="92"/>
      <c r="L500" s="92"/>
      <c r="N500" s="93"/>
      <c r="O500" s="58"/>
      <c r="P500" s="58"/>
    </row>
    <row r="501">
      <c r="A501" s="92"/>
      <c r="C501" s="92"/>
      <c r="D501" s="96"/>
      <c r="E501" s="97"/>
      <c r="F501" s="98"/>
      <c r="G501" s="8"/>
      <c r="I501" s="58"/>
      <c r="J501" s="92"/>
      <c r="L501" s="92"/>
      <c r="N501" s="93"/>
      <c r="O501" s="58"/>
      <c r="P501" s="58"/>
    </row>
    <row r="502">
      <c r="A502" s="92"/>
      <c r="C502" s="92"/>
      <c r="D502" s="96"/>
      <c r="E502" s="97"/>
      <c r="F502" s="98"/>
      <c r="G502" s="8"/>
      <c r="I502" s="58"/>
      <c r="J502" s="92"/>
      <c r="L502" s="92"/>
      <c r="N502" s="93"/>
      <c r="O502" s="58"/>
      <c r="P502" s="58"/>
    </row>
    <row r="503">
      <c r="A503" s="92"/>
      <c r="C503" s="92"/>
      <c r="D503" s="96"/>
      <c r="E503" s="97"/>
      <c r="F503" s="98"/>
      <c r="G503" s="8"/>
      <c r="I503" s="58"/>
      <c r="J503" s="92"/>
      <c r="L503" s="92"/>
      <c r="N503" s="93"/>
      <c r="O503" s="58"/>
      <c r="P503" s="58"/>
    </row>
    <row r="504">
      <c r="A504" s="92"/>
      <c r="C504" s="92"/>
      <c r="D504" s="96"/>
      <c r="E504" s="97"/>
      <c r="F504" s="98"/>
      <c r="G504" s="8"/>
      <c r="I504" s="58"/>
      <c r="J504" s="92"/>
      <c r="L504" s="92"/>
      <c r="N504" s="93"/>
      <c r="O504" s="58"/>
      <c r="P504" s="58"/>
    </row>
    <row r="505">
      <c r="A505" s="92"/>
      <c r="C505" s="92"/>
      <c r="D505" s="96"/>
      <c r="E505" s="97"/>
      <c r="F505" s="98"/>
      <c r="G505" s="8"/>
      <c r="I505" s="58"/>
      <c r="J505" s="92"/>
      <c r="L505" s="92"/>
      <c r="N505" s="93"/>
      <c r="O505" s="58"/>
      <c r="P505" s="58"/>
    </row>
    <row r="506">
      <c r="A506" s="92"/>
      <c r="C506" s="92"/>
      <c r="D506" s="96"/>
      <c r="E506" s="97"/>
      <c r="F506" s="98"/>
      <c r="G506" s="8"/>
      <c r="I506" s="58"/>
      <c r="J506" s="92"/>
      <c r="L506" s="92"/>
      <c r="N506" s="93"/>
      <c r="O506" s="58"/>
      <c r="P506" s="58"/>
    </row>
    <row r="507">
      <c r="A507" s="92"/>
      <c r="C507" s="92"/>
      <c r="D507" s="96"/>
      <c r="E507" s="97"/>
      <c r="F507" s="98"/>
      <c r="G507" s="8"/>
      <c r="I507" s="58"/>
      <c r="J507" s="92"/>
      <c r="L507" s="92"/>
      <c r="N507" s="93"/>
      <c r="O507" s="58"/>
      <c r="P507" s="58"/>
    </row>
    <row r="508">
      <c r="A508" s="92"/>
      <c r="C508" s="92"/>
      <c r="D508" s="96"/>
      <c r="E508" s="97"/>
      <c r="F508" s="98"/>
      <c r="G508" s="8"/>
      <c r="I508" s="58"/>
      <c r="J508" s="92"/>
      <c r="L508" s="92"/>
      <c r="N508" s="93"/>
      <c r="O508" s="58"/>
      <c r="P508" s="58"/>
    </row>
    <row r="509">
      <c r="A509" s="92"/>
      <c r="C509" s="92"/>
      <c r="D509" s="96"/>
      <c r="E509" s="97"/>
      <c r="F509" s="98"/>
      <c r="G509" s="8"/>
      <c r="I509" s="58"/>
      <c r="J509" s="92"/>
      <c r="L509" s="92"/>
      <c r="N509" s="93"/>
      <c r="O509" s="58"/>
      <c r="P509" s="58"/>
    </row>
    <row r="510">
      <c r="A510" s="92"/>
      <c r="C510" s="92"/>
      <c r="D510" s="96"/>
      <c r="E510" s="97"/>
      <c r="F510" s="98"/>
      <c r="G510" s="8"/>
      <c r="I510" s="58"/>
      <c r="J510" s="92"/>
      <c r="L510" s="92"/>
      <c r="N510" s="93"/>
      <c r="O510" s="58"/>
      <c r="P510" s="58"/>
    </row>
    <row r="511">
      <c r="A511" s="92"/>
      <c r="C511" s="92"/>
      <c r="D511" s="96"/>
      <c r="E511" s="97"/>
      <c r="F511" s="98"/>
      <c r="G511" s="8"/>
      <c r="I511" s="58"/>
      <c r="J511" s="92"/>
      <c r="L511" s="92"/>
      <c r="N511" s="93"/>
      <c r="O511" s="58"/>
      <c r="P511" s="58"/>
    </row>
    <row r="512">
      <c r="A512" s="92"/>
      <c r="C512" s="92"/>
      <c r="D512" s="96"/>
      <c r="E512" s="97"/>
      <c r="F512" s="98"/>
      <c r="G512" s="8"/>
      <c r="I512" s="58"/>
      <c r="J512" s="92"/>
      <c r="L512" s="92"/>
      <c r="N512" s="93"/>
      <c r="O512" s="58"/>
      <c r="P512" s="58"/>
    </row>
    <row r="513">
      <c r="A513" s="92"/>
      <c r="C513" s="92"/>
      <c r="D513" s="96"/>
      <c r="E513" s="97"/>
      <c r="F513" s="98"/>
      <c r="G513" s="8"/>
      <c r="I513" s="58"/>
      <c r="J513" s="92"/>
      <c r="L513" s="92"/>
      <c r="N513" s="93"/>
      <c r="O513" s="58"/>
      <c r="P513" s="58"/>
    </row>
    <row r="514">
      <c r="A514" s="92"/>
      <c r="C514" s="92"/>
      <c r="D514" s="96"/>
      <c r="E514" s="97"/>
      <c r="F514" s="98"/>
      <c r="G514" s="8"/>
      <c r="I514" s="58"/>
      <c r="J514" s="92"/>
      <c r="L514" s="92"/>
      <c r="N514" s="93"/>
      <c r="O514" s="58"/>
      <c r="P514" s="58"/>
    </row>
    <row r="515">
      <c r="A515" s="92"/>
      <c r="C515" s="92"/>
      <c r="D515" s="96"/>
      <c r="E515" s="97"/>
      <c r="F515" s="98"/>
      <c r="G515" s="8"/>
      <c r="I515" s="58"/>
      <c r="J515" s="92"/>
      <c r="L515" s="92"/>
      <c r="N515" s="93"/>
      <c r="O515" s="58"/>
      <c r="P515" s="58"/>
    </row>
    <row r="516">
      <c r="A516" s="92"/>
      <c r="C516" s="92"/>
      <c r="D516" s="96"/>
      <c r="E516" s="97"/>
      <c r="F516" s="98"/>
      <c r="G516" s="8"/>
      <c r="I516" s="58"/>
      <c r="J516" s="92"/>
      <c r="L516" s="92"/>
      <c r="N516" s="93"/>
      <c r="O516" s="58"/>
      <c r="P516" s="58"/>
    </row>
    <row r="517">
      <c r="A517" s="92"/>
      <c r="C517" s="92"/>
      <c r="D517" s="96"/>
      <c r="E517" s="97"/>
      <c r="F517" s="98"/>
      <c r="G517" s="8"/>
      <c r="I517" s="58"/>
      <c r="J517" s="92"/>
      <c r="L517" s="92"/>
      <c r="N517" s="93"/>
      <c r="O517" s="58"/>
      <c r="P517" s="58"/>
    </row>
    <row r="518">
      <c r="A518" s="92"/>
      <c r="C518" s="92"/>
      <c r="D518" s="96"/>
      <c r="E518" s="97"/>
      <c r="F518" s="98"/>
      <c r="G518" s="8"/>
      <c r="I518" s="58"/>
      <c r="J518" s="92"/>
      <c r="L518" s="92"/>
      <c r="N518" s="93"/>
      <c r="O518" s="58"/>
      <c r="P518" s="58"/>
    </row>
    <row r="519">
      <c r="A519" s="92"/>
      <c r="C519" s="92"/>
      <c r="D519" s="96"/>
      <c r="E519" s="97"/>
      <c r="F519" s="98"/>
      <c r="G519" s="8"/>
      <c r="I519" s="58"/>
      <c r="J519" s="92"/>
      <c r="L519" s="92"/>
      <c r="N519" s="93"/>
      <c r="O519" s="58"/>
      <c r="P519" s="58"/>
    </row>
    <row r="520">
      <c r="A520" s="92"/>
      <c r="C520" s="92"/>
      <c r="D520" s="96"/>
      <c r="E520" s="97"/>
      <c r="F520" s="98"/>
      <c r="G520" s="8"/>
      <c r="I520" s="58"/>
      <c r="J520" s="92"/>
      <c r="L520" s="92"/>
      <c r="N520" s="93"/>
      <c r="O520" s="58"/>
      <c r="P520" s="58"/>
    </row>
    <row r="521">
      <c r="A521" s="92"/>
      <c r="C521" s="92"/>
      <c r="D521" s="96"/>
      <c r="E521" s="97"/>
      <c r="F521" s="98"/>
      <c r="G521" s="8"/>
      <c r="I521" s="58"/>
      <c r="J521" s="92"/>
      <c r="L521" s="92"/>
      <c r="N521" s="93"/>
      <c r="O521" s="58"/>
      <c r="P521" s="58"/>
    </row>
    <row r="522">
      <c r="A522" s="92"/>
      <c r="C522" s="92"/>
      <c r="D522" s="96"/>
      <c r="E522" s="97"/>
      <c r="F522" s="98"/>
      <c r="G522" s="8"/>
      <c r="I522" s="58"/>
      <c r="J522" s="92"/>
      <c r="L522" s="92"/>
      <c r="N522" s="93"/>
      <c r="O522" s="58"/>
      <c r="P522" s="58"/>
    </row>
    <row r="523">
      <c r="A523" s="92"/>
      <c r="C523" s="92"/>
      <c r="D523" s="96"/>
      <c r="E523" s="97"/>
      <c r="F523" s="98"/>
      <c r="G523" s="8"/>
      <c r="I523" s="58"/>
      <c r="J523" s="92"/>
      <c r="L523" s="92"/>
      <c r="N523" s="93"/>
      <c r="O523" s="58"/>
      <c r="P523" s="58"/>
    </row>
    <row r="524">
      <c r="A524" s="92"/>
      <c r="C524" s="92"/>
      <c r="D524" s="96"/>
      <c r="E524" s="97"/>
      <c r="F524" s="98"/>
      <c r="G524" s="8"/>
      <c r="I524" s="58"/>
      <c r="J524" s="92"/>
      <c r="L524" s="92"/>
      <c r="N524" s="93"/>
      <c r="O524" s="58"/>
      <c r="P524" s="58"/>
    </row>
    <row r="525">
      <c r="A525" s="92"/>
      <c r="C525" s="92"/>
      <c r="D525" s="96"/>
      <c r="E525" s="97"/>
      <c r="F525" s="98"/>
      <c r="G525" s="8"/>
      <c r="I525" s="58"/>
      <c r="J525" s="92"/>
      <c r="L525" s="92"/>
      <c r="N525" s="93"/>
      <c r="O525" s="58"/>
      <c r="P525" s="58"/>
    </row>
    <row r="526">
      <c r="A526" s="92"/>
      <c r="C526" s="92"/>
      <c r="D526" s="96"/>
      <c r="E526" s="97"/>
      <c r="F526" s="98"/>
      <c r="G526" s="8"/>
      <c r="I526" s="58"/>
      <c r="J526" s="92"/>
      <c r="L526" s="92"/>
      <c r="N526" s="93"/>
      <c r="O526" s="58"/>
      <c r="P526" s="58"/>
    </row>
    <row r="527">
      <c r="A527" s="92"/>
      <c r="C527" s="92"/>
      <c r="D527" s="96"/>
      <c r="E527" s="97"/>
      <c r="F527" s="98"/>
      <c r="G527" s="8"/>
      <c r="I527" s="58"/>
      <c r="J527" s="92"/>
      <c r="L527" s="92"/>
      <c r="N527" s="93"/>
      <c r="O527" s="58"/>
      <c r="P527" s="58"/>
    </row>
    <row r="528">
      <c r="A528" s="92"/>
      <c r="C528" s="92"/>
      <c r="D528" s="96"/>
      <c r="E528" s="97"/>
      <c r="F528" s="98"/>
      <c r="G528" s="8"/>
      <c r="I528" s="58"/>
      <c r="J528" s="92"/>
      <c r="L528" s="92"/>
      <c r="N528" s="93"/>
      <c r="O528" s="58"/>
      <c r="P528" s="58"/>
    </row>
    <row r="529">
      <c r="A529" s="92"/>
      <c r="C529" s="92"/>
      <c r="D529" s="96"/>
      <c r="E529" s="97"/>
      <c r="F529" s="98"/>
      <c r="G529" s="8"/>
      <c r="I529" s="58"/>
      <c r="J529" s="92"/>
      <c r="L529" s="92"/>
      <c r="N529" s="93"/>
      <c r="O529" s="58"/>
      <c r="P529" s="58"/>
    </row>
    <row r="530">
      <c r="A530" s="92"/>
      <c r="C530" s="92"/>
      <c r="D530" s="96"/>
      <c r="E530" s="97"/>
      <c r="F530" s="98"/>
      <c r="G530" s="8"/>
      <c r="I530" s="58"/>
      <c r="J530" s="92"/>
      <c r="L530" s="92"/>
      <c r="N530" s="93"/>
      <c r="O530" s="58"/>
      <c r="P530" s="58"/>
    </row>
    <row r="531">
      <c r="A531" s="92"/>
      <c r="C531" s="92"/>
      <c r="D531" s="96"/>
      <c r="E531" s="97"/>
      <c r="F531" s="98"/>
      <c r="G531" s="8"/>
      <c r="I531" s="58"/>
      <c r="J531" s="92"/>
      <c r="L531" s="92"/>
      <c r="N531" s="93"/>
      <c r="O531" s="58"/>
      <c r="P531" s="58"/>
    </row>
    <row r="532">
      <c r="A532" s="92"/>
      <c r="C532" s="92"/>
      <c r="D532" s="96"/>
      <c r="E532" s="97"/>
      <c r="F532" s="98"/>
      <c r="G532" s="8"/>
      <c r="I532" s="58"/>
      <c r="J532" s="92"/>
      <c r="L532" s="92"/>
      <c r="N532" s="93"/>
      <c r="O532" s="58"/>
      <c r="P532" s="58"/>
    </row>
    <row r="533">
      <c r="A533" s="92"/>
      <c r="C533" s="92"/>
      <c r="D533" s="96"/>
      <c r="E533" s="97"/>
      <c r="F533" s="98"/>
      <c r="G533" s="8"/>
      <c r="I533" s="58"/>
      <c r="J533" s="92"/>
      <c r="L533" s="92"/>
      <c r="N533" s="93"/>
      <c r="O533" s="58"/>
      <c r="P533" s="58"/>
    </row>
    <row r="534">
      <c r="A534" s="92"/>
      <c r="C534" s="92"/>
      <c r="D534" s="96"/>
      <c r="E534" s="97"/>
      <c r="F534" s="98"/>
      <c r="G534" s="8"/>
      <c r="I534" s="58"/>
      <c r="J534" s="92"/>
      <c r="L534" s="92"/>
      <c r="N534" s="93"/>
      <c r="O534" s="58"/>
      <c r="P534" s="58"/>
    </row>
    <row r="535">
      <c r="A535" s="92"/>
      <c r="C535" s="92"/>
      <c r="D535" s="96"/>
      <c r="E535" s="97"/>
      <c r="F535" s="98"/>
      <c r="G535" s="8"/>
      <c r="I535" s="58"/>
      <c r="J535" s="92"/>
      <c r="L535" s="92"/>
      <c r="N535" s="93"/>
      <c r="O535" s="58"/>
      <c r="P535" s="58"/>
    </row>
    <row r="536">
      <c r="A536" s="92"/>
      <c r="C536" s="92"/>
      <c r="D536" s="96"/>
      <c r="E536" s="97"/>
      <c r="F536" s="98"/>
      <c r="G536" s="8"/>
      <c r="I536" s="58"/>
      <c r="J536" s="92"/>
      <c r="L536" s="92"/>
      <c r="N536" s="93"/>
      <c r="O536" s="58"/>
      <c r="P536" s="58"/>
    </row>
    <row r="537">
      <c r="A537" s="92"/>
      <c r="C537" s="92"/>
      <c r="D537" s="96"/>
      <c r="E537" s="97"/>
      <c r="F537" s="98"/>
      <c r="G537" s="8"/>
      <c r="I537" s="58"/>
      <c r="J537" s="92"/>
      <c r="L537" s="92"/>
      <c r="N537" s="93"/>
      <c r="O537" s="58"/>
      <c r="P537" s="58"/>
    </row>
    <row r="538">
      <c r="A538" s="92"/>
      <c r="C538" s="92"/>
      <c r="D538" s="96"/>
      <c r="E538" s="97"/>
      <c r="F538" s="98"/>
      <c r="G538" s="8"/>
      <c r="I538" s="58"/>
      <c r="J538" s="92"/>
      <c r="L538" s="92"/>
      <c r="N538" s="93"/>
      <c r="O538" s="58"/>
      <c r="P538" s="58"/>
    </row>
    <row r="539">
      <c r="A539" s="92"/>
      <c r="C539" s="92"/>
      <c r="D539" s="96"/>
      <c r="E539" s="97"/>
      <c r="F539" s="98"/>
      <c r="G539" s="8"/>
      <c r="I539" s="58"/>
      <c r="J539" s="92"/>
      <c r="L539" s="92"/>
      <c r="N539" s="93"/>
      <c r="O539" s="58"/>
      <c r="P539" s="58"/>
    </row>
    <row r="540">
      <c r="A540" s="92"/>
      <c r="C540" s="92"/>
      <c r="D540" s="96"/>
      <c r="E540" s="97"/>
      <c r="F540" s="98"/>
      <c r="G540" s="8"/>
      <c r="I540" s="58"/>
      <c r="J540" s="92"/>
      <c r="L540" s="92"/>
      <c r="N540" s="93"/>
      <c r="O540" s="58"/>
      <c r="P540" s="58"/>
    </row>
    <row r="541">
      <c r="A541" s="92"/>
      <c r="C541" s="92"/>
      <c r="D541" s="96"/>
      <c r="E541" s="97"/>
      <c r="F541" s="98"/>
      <c r="G541" s="8"/>
      <c r="I541" s="58"/>
      <c r="J541" s="92"/>
      <c r="L541" s="92"/>
      <c r="N541" s="93"/>
      <c r="O541" s="58"/>
      <c r="P541" s="58"/>
    </row>
    <row r="542">
      <c r="A542" s="92"/>
      <c r="C542" s="92"/>
      <c r="D542" s="96"/>
      <c r="E542" s="97"/>
      <c r="F542" s="98"/>
      <c r="G542" s="8"/>
      <c r="I542" s="58"/>
      <c r="J542" s="92"/>
      <c r="L542" s="92"/>
      <c r="N542" s="93"/>
      <c r="O542" s="58"/>
      <c r="P542" s="58"/>
    </row>
    <row r="543">
      <c r="A543" s="92"/>
      <c r="C543" s="92"/>
      <c r="D543" s="96"/>
      <c r="E543" s="97"/>
      <c r="F543" s="98"/>
      <c r="G543" s="8"/>
      <c r="I543" s="58"/>
      <c r="J543" s="92"/>
      <c r="L543" s="92"/>
      <c r="N543" s="93"/>
      <c r="O543" s="58"/>
      <c r="P543" s="58"/>
    </row>
    <row r="544">
      <c r="A544" s="92"/>
      <c r="C544" s="92"/>
      <c r="D544" s="96"/>
      <c r="E544" s="97"/>
      <c r="F544" s="98"/>
      <c r="G544" s="8"/>
      <c r="I544" s="58"/>
      <c r="J544" s="92"/>
      <c r="L544" s="92"/>
      <c r="N544" s="93"/>
      <c r="O544" s="58"/>
      <c r="P544" s="58"/>
    </row>
    <row r="545">
      <c r="A545" s="92"/>
      <c r="C545" s="92"/>
      <c r="D545" s="96"/>
      <c r="E545" s="97"/>
      <c r="F545" s="98"/>
      <c r="G545" s="8"/>
      <c r="I545" s="58"/>
      <c r="J545" s="92"/>
      <c r="L545" s="92"/>
      <c r="N545" s="93"/>
      <c r="O545" s="58"/>
      <c r="P545" s="58"/>
    </row>
    <row r="546">
      <c r="A546" s="92"/>
      <c r="C546" s="92"/>
      <c r="D546" s="96"/>
      <c r="E546" s="97"/>
      <c r="F546" s="98"/>
      <c r="G546" s="8"/>
      <c r="I546" s="58"/>
      <c r="J546" s="92"/>
      <c r="L546" s="92"/>
      <c r="N546" s="93"/>
      <c r="O546" s="58"/>
      <c r="P546" s="58"/>
    </row>
    <row r="547">
      <c r="A547" s="92"/>
      <c r="C547" s="92"/>
      <c r="D547" s="96"/>
      <c r="E547" s="97"/>
      <c r="F547" s="98"/>
      <c r="G547" s="8"/>
      <c r="I547" s="58"/>
      <c r="J547" s="92"/>
      <c r="L547" s="92"/>
      <c r="N547" s="93"/>
      <c r="O547" s="58"/>
      <c r="P547" s="58"/>
    </row>
    <row r="548">
      <c r="A548" s="92"/>
      <c r="C548" s="92"/>
      <c r="D548" s="96"/>
      <c r="E548" s="97"/>
      <c r="F548" s="98"/>
      <c r="G548" s="8"/>
      <c r="I548" s="58"/>
      <c r="J548" s="92"/>
      <c r="L548" s="92"/>
      <c r="N548" s="93"/>
      <c r="O548" s="58"/>
      <c r="P548" s="58"/>
    </row>
    <row r="549">
      <c r="A549" s="92"/>
      <c r="C549" s="92"/>
      <c r="D549" s="96"/>
      <c r="E549" s="97"/>
      <c r="F549" s="98"/>
      <c r="G549" s="8"/>
      <c r="I549" s="58"/>
      <c r="J549" s="92"/>
      <c r="L549" s="92"/>
      <c r="N549" s="93"/>
      <c r="O549" s="58"/>
      <c r="P549" s="58"/>
    </row>
    <row r="550">
      <c r="A550" s="92"/>
      <c r="C550" s="92"/>
      <c r="D550" s="96"/>
      <c r="E550" s="97"/>
      <c r="F550" s="98"/>
      <c r="G550" s="8"/>
      <c r="I550" s="58"/>
      <c r="J550" s="92"/>
      <c r="L550" s="92"/>
      <c r="N550" s="93"/>
      <c r="O550" s="58"/>
      <c r="P550" s="58"/>
    </row>
    <row r="551">
      <c r="A551" s="92"/>
      <c r="C551" s="92"/>
      <c r="D551" s="96"/>
      <c r="E551" s="97"/>
      <c r="F551" s="98"/>
      <c r="G551" s="8"/>
      <c r="I551" s="58"/>
      <c r="J551" s="92"/>
      <c r="L551" s="92"/>
      <c r="N551" s="93"/>
      <c r="O551" s="58"/>
      <c r="P551" s="58"/>
    </row>
    <row r="552">
      <c r="A552" s="92"/>
      <c r="C552" s="92"/>
      <c r="D552" s="96"/>
      <c r="E552" s="97"/>
      <c r="F552" s="98"/>
      <c r="G552" s="8"/>
      <c r="I552" s="58"/>
      <c r="J552" s="92"/>
      <c r="L552" s="92"/>
      <c r="N552" s="93"/>
      <c r="O552" s="58"/>
      <c r="P552" s="58"/>
    </row>
    <row r="553">
      <c r="A553" s="92"/>
      <c r="C553" s="92"/>
      <c r="D553" s="96"/>
      <c r="E553" s="97"/>
      <c r="F553" s="98"/>
      <c r="G553" s="8"/>
      <c r="I553" s="58"/>
      <c r="J553" s="92"/>
      <c r="L553" s="92"/>
      <c r="N553" s="93"/>
      <c r="O553" s="58"/>
      <c r="P553" s="58"/>
    </row>
    <row r="554">
      <c r="A554" s="92"/>
      <c r="C554" s="92"/>
      <c r="D554" s="96"/>
      <c r="E554" s="97"/>
      <c r="F554" s="98"/>
      <c r="G554" s="8"/>
      <c r="I554" s="58"/>
      <c r="J554" s="92"/>
      <c r="L554" s="92"/>
      <c r="N554" s="93"/>
      <c r="O554" s="58"/>
      <c r="P554" s="58"/>
    </row>
    <row r="555">
      <c r="A555" s="92"/>
      <c r="C555" s="92"/>
      <c r="D555" s="96"/>
      <c r="E555" s="97"/>
      <c r="F555" s="98"/>
      <c r="G555" s="8"/>
      <c r="I555" s="58"/>
      <c r="J555" s="92"/>
      <c r="L555" s="92"/>
      <c r="N555" s="93"/>
      <c r="O555" s="58"/>
      <c r="P555" s="58"/>
    </row>
    <row r="556">
      <c r="A556" s="92"/>
      <c r="C556" s="92"/>
      <c r="D556" s="96"/>
      <c r="E556" s="97"/>
      <c r="F556" s="98"/>
      <c r="G556" s="8"/>
      <c r="I556" s="58"/>
      <c r="J556" s="92"/>
      <c r="L556" s="92"/>
      <c r="N556" s="93"/>
      <c r="O556" s="58"/>
      <c r="P556" s="58"/>
    </row>
    <row r="557">
      <c r="A557" s="92"/>
      <c r="C557" s="92"/>
      <c r="D557" s="96"/>
      <c r="E557" s="97"/>
      <c r="F557" s="98"/>
      <c r="G557" s="8"/>
      <c r="I557" s="58"/>
      <c r="J557" s="92"/>
      <c r="L557" s="92"/>
      <c r="N557" s="93"/>
      <c r="O557" s="58"/>
      <c r="P557" s="58"/>
    </row>
    <row r="558">
      <c r="A558" s="92"/>
      <c r="C558" s="92"/>
      <c r="D558" s="96"/>
      <c r="E558" s="97"/>
      <c r="F558" s="98"/>
      <c r="G558" s="8"/>
      <c r="I558" s="58"/>
      <c r="J558" s="92"/>
      <c r="L558" s="92"/>
      <c r="N558" s="93"/>
      <c r="O558" s="58"/>
      <c r="P558" s="58"/>
    </row>
    <row r="559">
      <c r="A559" s="92"/>
      <c r="C559" s="92"/>
      <c r="D559" s="96"/>
      <c r="E559" s="97"/>
      <c r="F559" s="98"/>
      <c r="G559" s="8"/>
      <c r="I559" s="58"/>
      <c r="J559" s="92"/>
      <c r="L559" s="92"/>
      <c r="N559" s="93"/>
      <c r="O559" s="58"/>
      <c r="P559" s="58"/>
    </row>
    <row r="560">
      <c r="A560" s="92"/>
      <c r="C560" s="92"/>
      <c r="D560" s="96"/>
      <c r="E560" s="97"/>
      <c r="F560" s="98"/>
      <c r="G560" s="8"/>
      <c r="I560" s="58"/>
      <c r="J560" s="92"/>
      <c r="L560" s="92"/>
      <c r="N560" s="93"/>
      <c r="O560" s="58"/>
      <c r="P560" s="58"/>
    </row>
    <row r="561">
      <c r="A561" s="92"/>
      <c r="C561" s="92"/>
      <c r="D561" s="96"/>
      <c r="E561" s="97"/>
      <c r="F561" s="98"/>
      <c r="G561" s="8"/>
      <c r="I561" s="58"/>
      <c r="J561" s="92"/>
      <c r="L561" s="92"/>
      <c r="N561" s="93"/>
      <c r="O561" s="58"/>
      <c r="P561" s="58"/>
    </row>
    <row r="562">
      <c r="A562" s="92"/>
      <c r="C562" s="92"/>
      <c r="D562" s="96"/>
      <c r="E562" s="97"/>
      <c r="F562" s="98"/>
      <c r="G562" s="8"/>
      <c r="I562" s="58"/>
      <c r="J562" s="92"/>
      <c r="L562" s="92"/>
      <c r="N562" s="93"/>
      <c r="O562" s="58"/>
      <c r="P562" s="58"/>
    </row>
    <row r="563">
      <c r="A563" s="92"/>
      <c r="C563" s="92"/>
      <c r="D563" s="96"/>
      <c r="E563" s="97"/>
      <c r="F563" s="98"/>
      <c r="G563" s="8"/>
      <c r="I563" s="58"/>
      <c r="J563" s="92"/>
      <c r="L563" s="92"/>
      <c r="N563" s="93"/>
      <c r="O563" s="58"/>
      <c r="P563" s="58"/>
    </row>
    <row r="564">
      <c r="A564" s="92"/>
      <c r="C564" s="92"/>
      <c r="D564" s="96"/>
      <c r="E564" s="97"/>
      <c r="F564" s="98"/>
      <c r="G564" s="8"/>
      <c r="I564" s="58"/>
      <c r="J564" s="92"/>
      <c r="L564" s="92"/>
      <c r="N564" s="93"/>
      <c r="O564" s="58"/>
      <c r="P564" s="58"/>
    </row>
    <row r="565">
      <c r="A565" s="92"/>
      <c r="C565" s="92"/>
      <c r="D565" s="96"/>
      <c r="E565" s="97"/>
      <c r="F565" s="98"/>
      <c r="G565" s="8"/>
      <c r="I565" s="58"/>
      <c r="J565" s="92"/>
      <c r="L565" s="92"/>
      <c r="N565" s="93"/>
      <c r="O565" s="58"/>
      <c r="P565" s="58"/>
    </row>
    <row r="566">
      <c r="A566" s="92"/>
      <c r="C566" s="92"/>
      <c r="D566" s="96"/>
      <c r="E566" s="97"/>
      <c r="F566" s="98"/>
      <c r="G566" s="8"/>
      <c r="I566" s="58"/>
      <c r="J566" s="92"/>
      <c r="L566" s="92"/>
      <c r="N566" s="93"/>
      <c r="O566" s="58"/>
      <c r="P566" s="58"/>
    </row>
    <row r="567">
      <c r="A567" s="92"/>
      <c r="C567" s="92"/>
      <c r="D567" s="96"/>
      <c r="E567" s="97"/>
      <c r="F567" s="98"/>
      <c r="G567" s="8"/>
      <c r="I567" s="58"/>
      <c r="J567" s="92"/>
      <c r="L567" s="92"/>
      <c r="N567" s="93"/>
      <c r="O567" s="58"/>
      <c r="P567" s="58"/>
    </row>
    <row r="568">
      <c r="A568" s="92"/>
      <c r="C568" s="92"/>
      <c r="D568" s="96"/>
      <c r="E568" s="97"/>
      <c r="F568" s="98"/>
      <c r="G568" s="8"/>
      <c r="I568" s="58"/>
      <c r="J568" s="92"/>
      <c r="L568" s="92"/>
      <c r="N568" s="93"/>
      <c r="O568" s="58"/>
      <c r="P568" s="58"/>
    </row>
    <row r="569">
      <c r="A569" s="92"/>
      <c r="C569" s="92"/>
      <c r="D569" s="96"/>
      <c r="E569" s="97"/>
      <c r="F569" s="98"/>
      <c r="G569" s="8"/>
      <c r="I569" s="58"/>
      <c r="J569" s="92"/>
      <c r="L569" s="92"/>
      <c r="N569" s="93"/>
      <c r="O569" s="58"/>
      <c r="P569" s="58"/>
    </row>
    <row r="570">
      <c r="A570" s="92"/>
      <c r="C570" s="92"/>
      <c r="D570" s="96"/>
      <c r="E570" s="97"/>
      <c r="F570" s="98"/>
      <c r="G570" s="8"/>
      <c r="I570" s="58"/>
      <c r="J570" s="92"/>
      <c r="L570" s="92"/>
      <c r="N570" s="93"/>
      <c r="O570" s="58"/>
      <c r="P570" s="58"/>
    </row>
    <row r="571">
      <c r="A571" s="92"/>
      <c r="C571" s="92"/>
      <c r="D571" s="96"/>
      <c r="E571" s="97"/>
      <c r="F571" s="98"/>
      <c r="G571" s="8"/>
      <c r="I571" s="58"/>
      <c r="J571" s="92"/>
      <c r="L571" s="92"/>
      <c r="N571" s="93"/>
      <c r="O571" s="58"/>
      <c r="P571" s="58"/>
    </row>
    <row r="572">
      <c r="A572" s="92"/>
      <c r="C572" s="92"/>
      <c r="D572" s="96"/>
      <c r="E572" s="97"/>
      <c r="F572" s="98"/>
      <c r="G572" s="8"/>
      <c r="I572" s="58"/>
      <c r="J572" s="92"/>
      <c r="L572" s="92"/>
      <c r="N572" s="93"/>
      <c r="O572" s="58"/>
      <c r="P572" s="58"/>
    </row>
    <row r="573">
      <c r="A573" s="92"/>
      <c r="C573" s="92"/>
      <c r="D573" s="96"/>
      <c r="E573" s="97"/>
      <c r="F573" s="98"/>
      <c r="G573" s="8"/>
      <c r="I573" s="58"/>
      <c r="J573" s="92"/>
      <c r="L573" s="92"/>
      <c r="N573" s="93"/>
      <c r="O573" s="58"/>
      <c r="P573" s="58"/>
    </row>
    <row r="574">
      <c r="A574" s="92"/>
      <c r="C574" s="92"/>
      <c r="D574" s="96"/>
      <c r="E574" s="97"/>
      <c r="F574" s="98"/>
      <c r="G574" s="8"/>
      <c r="I574" s="58"/>
      <c r="J574" s="92"/>
      <c r="L574" s="92"/>
      <c r="N574" s="93"/>
      <c r="O574" s="58"/>
      <c r="P574" s="58"/>
    </row>
    <row r="575">
      <c r="A575" s="92"/>
      <c r="C575" s="92"/>
      <c r="D575" s="96"/>
      <c r="E575" s="97"/>
      <c r="F575" s="98"/>
      <c r="G575" s="8"/>
      <c r="I575" s="58"/>
      <c r="J575" s="92"/>
      <c r="L575" s="92"/>
      <c r="N575" s="93"/>
      <c r="O575" s="58"/>
      <c r="P575" s="58"/>
    </row>
    <row r="576">
      <c r="A576" s="92"/>
      <c r="C576" s="92"/>
      <c r="D576" s="96"/>
      <c r="E576" s="97"/>
      <c r="F576" s="98"/>
      <c r="G576" s="8"/>
      <c r="I576" s="58"/>
      <c r="J576" s="92"/>
      <c r="L576" s="92"/>
      <c r="N576" s="93"/>
      <c r="O576" s="58"/>
      <c r="P576" s="58"/>
    </row>
    <row r="577">
      <c r="A577" s="92"/>
      <c r="C577" s="92"/>
      <c r="D577" s="96"/>
      <c r="E577" s="97"/>
      <c r="F577" s="98"/>
      <c r="G577" s="8"/>
      <c r="I577" s="58"/>
      <c r="J577" s="92"/>
      <c r="L577" s="92"/>
      <c r="N577" s="93"/>
      <c r="O577" s="58"/>
      <c r="P577" s="58"/>
    </row>
    <row r="578">
      <c r="A578" s="92"/>
      <c r="C578" s="92"/>
      <c r="D578" s="96"/>
      <c r="E578" s="97"/>
      <c r="F578" s="98"/>
      <c r="G578" s="8"/>
      <c r="I578" s="58"/>
      <c r="J578" s="92"/>
      <c r="L578" s="92"/>
      <c r="N578" s="93"/>
      <c r="O578" s="58"/>
      <c r="P578" s="58"/>
    </row>
    <row r="579">
      <c r="A579" s="92"/>
      <c r="C579" s="92"/>
      <c r="D579" s="96"/>
      <c r="E579" s="97"/>
      <c r="F579" s="98"/>
      <c r="G579" s="8"/>
      <c r="I579" s="58"/>
      <c r="J579" s="92"/>
      <c r="L579" s="92"/>
      <c r="N579" s="93"/>
      <c r="O579" s="58"/>
      <c r="P579" s="58"/>
    </row>
    <row r="580">
      <c r="A580" s="92"/>
      <c r="C580" s="92"/>
      <c r="D580" s="96"/>
      <c r="E580" s="97"/>
      <c r="F580" s="98"/>
      <c r="G580" s="8"/>
      <c r="I580" s="58"/>
      <c r="J580" s="92"/>
      <c r="L580" s="92"/>
      <c r="N580" s="93"/>
      <c r="O580" s="58"/>
      <c r="P580" s="58"/>
    </row>
    <row r="581">
      <c r="A581" s="92"/>
      <c r="C581" s="92"/>
      <c r="D581" s="96"/>
      <c r="E581" s="97"/>
      <c r="F581" s="98"/>
      <c r="G581" s="8"/>
      <c r="I581" s="58"/>
      <c r="J581" s="92"/>
      <c r="L581" s="92"/>
      <c r="N581" s="93"/>
      <c r="O581" s="58"/>
      <c r="P581" s="58"/>
    </row>
    <row r="582">
      <c r="A582" s="92"/>
      <c r="C582" s="92"/>
      <c r="D582" s="96"/>
      <c r="E582" s="97"/>
      <c r="F582" s="98"/>
      <c r="G582" s="8"/>
      <c r="I582" s="58"/>
      <c r="J582" s="92"/>
      <c r="L582" s="92"/>
      <c r="N582" s="93"/>
      <c r="O582" s="58"/>
      <c r="P582" s="58"/>
    </row>
    <row r="583">
      <c r="A583" s="92"/>
      <c r="C583" s="92"/>
      <c r="D583" s="96"/>
      <c r="E583" s="97"/>
      <c r="F583" s="98"/>
      <c r="G583" s="8"/>
      <c r="I583" s="58"/>
      <c r="J583" s="92"/>
      <c r="L583" s="92"/>
      <c r="N583" s="93"/>
      <c r="O583" s="58"/>
      <c r="P583" s="58"/>
    </row>
    <row r="584">
      <c r="A584" s="92"/>
      <c r="C584" s="92"/>
      <c r="D584" s="96"/>
      <c r="E584" s="97"/>
      <c r="F584" s="98"/>
      <c r="G584" s="8"/>
      <c r="I584" s="58"/>
      <c r="J584" s="92"/>
      <c r="L584" s="92"/>
      <c r="N584" s="93"/>
      <c r="O584" s="58"/>
      <c r="P584" s="58"/>
    </row>
    <row r="585">
      <c r="A585" s="92"/>
      <c r="C585" s="92"/>
      <c r="D585" s="96"/>
      <c r="E585" s="97"/>
      <c r="F585" s="98"/>
      <c r="G585" s="8"/>
      <c r="I585" s="58"/>
      <c r="J585" s="92"/>
      <c r="L585" s="92"/>
      <c r="N585" s="93"/>
      <c r="O585" s="58"/>
      <c r="P585" s="58"/>
    </row>
    <row r="586">
      <c r="A586" s="92"/>
      <c r="C586" s="92"/>
      <c r="D586" s="96"/>
      <c r="E586" s="97"/>
      <c r="F586" s="98"/>
      <c r="G586" s="8"/>
      <c r="I586" s="58"/>
      <c r="J586" s="92"/>
      <c r="L586" s="92"/>
      <c r="N586" s="93"/>
      <c r="O586" s="58"/>
      <c r="P586" s="58"/>
    </row>
    <row r="587">
      <c r="A587" s="92"/>
      <c r="C587" s="92"/>
      <c r="D587" s="96"/>
      <c r="E587" s="97"/>
      <c r="F587" s="98"/>
      <c r="G587" s="8"/>
      <c r="I587" s="58"/>
      <c r="J587" s="92"/>
      <c r="L587" s="92"/>
      <c r="N587" s="93"/>
      <c r="O587" s="58"/>
      <c r="P587" s="58"/>
    </row>
    <row r="588">
      <c r="A588" s="92"/>
      <c r="C588" s="92"/>
      <c r="D588" s="96"/>
      <c r="E588" s="97"/>
      <c r="F588" s="98"/>
      <c r="G588" s="8"/>
      <c r="I588" s="58"/>
      <c r="J588" s="92"/>
      <c r="L588" s="92"/>
      <c r="N588" s="93"/>
      <c r="O588" s="58"/>
      <c r="P588" s="58"/>
    </row>
    <row r="589">
      <c r="A589" s="92"/>
      <c r="C589" s="92"/>
      <c r="D589" s="96"/>
      <c r="E589" s="97"/>
      <c r="F589" s="98"/>
      <c r="G589" s="8"/>
      <c r="I589" s="58"/>
      <c r="J589" s="92"/>
      <c r="L589" s="92"/>
      <c r="N589" s="93"/>
      <c r="O589" s="58"/>
      <c r="P589" s="58"/>
    </row>
    <row r="590">
      <c r="A590" s="92"/>
      <c r="C590" s="92"/>
      <c r="D590" s="96"/>
      <c r="E590" s="97"/>
      <c r="F590" s="98"/>
      <c r="G590" s="8"/>
      <c r="I590" s="58"/>
      <c r="J590" s="92"/>
      <c r="L590" s="92"/>
      <c r="N590" s="93"/>
      <c r="O590" s="58"/>
      <c r="P590" s="58"/>
    </row>
    <row r="591">
      <c r="A591" s="92"/>
      <c r="C591" s="92"/>
      <c r="D591" s="96"/>
      <c r="E591" s="97"/>
      <c r="F591" s="98"/>
      <c r="G591" s="8"/>
      <c r="I591" s="58"/>
      <c r="J591" s="92"/>
      <c r="L591" s="92"/>
      <c r="N591" s="93"/>
      <c r="O591" s="58"/>
      <c r="P591" s="58"/>
    </row>
    <row r="592">
      <c r="A592" s="92"/>
      <c r="C592" s="92"/>
      <c r="D592" s="96"/>
      <c r="E592" s="97"/>
      <c r="F592" s="98"/>
      <c r="G592" s="8"/>
      <c r="I592" s="58"/>
      <c r="J592" s="92"/>
      <c r="L592" s="92"/>
      <c r="N592" s="93"/>
      <c r="O592" s="58"/>
      <c r="P592" s="58"/>
    </row>
    <row r="593">
      <c r="A593" s="92"/>
      <c r="C593" s="92"/>
      <c r="D593" s="96"/>
      <c r="E593" s="97"/>
      <c r="F593" s="98"/>
      <c r="G593" s="8"/>
      <c r="I593" s="58"/>
      <c r="J593" s="92"/>
      <c r="L593" s="92"/>
      <c r="N593" s="93"/>
      <c r="O593" s="58"/>
      <c r="P593" s="58"/>
    </row>
    <row r="594">
      <c r="A594" s="92"/>
      <c r="C594" s="92"/>
      <c r="D594" s="96"/>
      <c r="E594" s="97"/>
      <c r="F594" s="98"/>
      <c r="G594" s="8"/>
      <c r="I594" s="58"/>
      <c r="J594" s="92"/>
      <c r="L594" s="92"/>
      <c r="N594" s="93"/>
      <c r="O594" s="58"/>
      <c r="P594" s="58"/>
    </row>
    <row r="595">
      <c r="A595" s="92"/>
      <c r="C595" s="92"/>
      <c r="D595" s="96"/>
      <c r="E595" s="97"/>
      <c r="F595" s="98"/>
      <c r="G595" s="8"/>
      <c r="I595" s="58"/>
      <c r="J595" s="92"/>
      <c r="L595" s="92"/>
      <c r="N595" s="93"/>
      <c r="O595" s="58"/>
      <c r="P595" s="58"/>
    </row>
    <row r="596">
      <c r="A596" s="92"/>
      <c r="C596" s="92"/>
      <c r="D596" s="96"/>
      <c r="E596" s="97"/>
      <c r="F596" s="98"/>
      <c r="G596" s="8"/>
      <c r="I596" s="58"/>
      <c r="J596" s="92"/>
      <c r="L596" s="92"/>
      <c r="N596" s="93"/>
      <c r="O596" s="58"/>
      <c r="P596" s="58"/>
    </row>
    <row r="597">
      <c r="A597" s="92"/>
      <c r="C597" s="92"/>
      <c r="D597" s="96"/>
      <c r="E597" s="97"/>
      <c r="F597" s="98"/>
      <c r="G597" s="8"/>
      <c r="I597" s="58"/>
      <c r="J597" s="92"/>
      <c r="L597" s="92"/>
      <c r="N597" s="93"/>
      <c r="O597" s="58"/>
      <c r="P597" s="58"/>
    </row>
    <row r="598">
      <c r="A598" s="92"/>
      <c r="C598" s="92"/>
      <c r="D598" s="96"/>
      <c r="E598" s="97"/>
      <c r="F598" s="98"/>
      <c r="G598" s="8"/>
      <c r="I598" s="58"/>
      <c r="J598" s="92"/>
      <c r="L598" s="92"/>
      <c r="N598" s="93"/>
      <c r="O598" s="58"/>
      <c r="P598" s="58"/>
    </row>
    <row r="599">
      <c r="A599" s="92"/>
      <c r="C599" s="92"/>
      <c r="D599" s="96"/>
      <c r="E599" s="97"/>
      <c r="F599" s="98"/>
      <c r="G599" s="8"/>
      <c r="I599" s="58"/>
      <c r="J599" s="92"/>
      <c r="L599" s="92"/>
      <c r="N599" s="93"/>
      <c r="O599" s="58"/>
      <c r="P599" s="58"/>
    </row>
    <row r="600">
      <c r="A600" s="92"/>
      <c r="C600" s="92"/>
      <c r="D600" s="96"/>
      <c r="E600" s="97"/>
      <c r="F600" s="98"/>
      <c r="G600" s="8"/>
      <c r="I600" s="58"/>
      <c r="J600" s="92"/>
      <c r="L600" s="92"/>
      <c r="N600" s="93"/>
      <c r="O600" s="58"/>
      <c r="P600" s="58"/>
    </row>
    <row r="601">
      <c r="A601" s="92"/>
      <c r="C601" s="92"/>
      <c r="D601" s="96"/>
      <c r="E601" s="97"/>
      <c r="F601" s="98"/>
      <c r="G601" s="8"/>
      <c r="I601" s="58"/>
      <c r="J601" s="92"/>
      <c r="L601" s="92"/>
      <c r="N601" s="93"/>
      <c r="O601" s="58"/>
      <c r="P601" s="58"/>
    </row>
    <row r="602">
      <c r="A602" s="92"/>
      <c r="C602" s="92"/>
      <c r="D602" s="96"/>
      <c r="E602" s="97"/>
      <c r="F602" s="98"/>
      <c r="G602" s="8"/>
      <c r="I602" s="58"/>
      <c r="J602" s="92"/>
      <c r="L602" s="92"/>
      <c r="N602" s="93"/>
      <c r="O602" s="58"/>
      <c r="P602" s="58"/>
    </row>
    <row r="603">
      <c r="A603" s="92"/>
      <c r="C603" s="92"/>
      <c r="D603" s="96"/>
      <c r="E603" s="97"/>
      <c r="F603" s="98"/>
      <c r="G603" s="8"/>
      <c r="I603" s="58"/>
      <c r="J603" s="92"/>
      <c r="L603" s="92"/>
      <c r="N603" s="93"/>
      <c r="O603" s="58"/>
      <c r="P603" s="58"/>
    </row>
    <row r="604">
      <c r="A604" s="92"/>
      <c r="C604" s="92"/>
      <c r="D604" s="96"/>
      <c r="E604" s="97"/>
      <c r="F604" s="98"/>
      <c r="G604" s="8"/>
      <c r="I604" s="58"/>
      <c r="J604" s="92"/>
      <c r="L604" s="92"/>
      <c r="N604" s="93"/>
      <c r="O604" s="58"/>
      <c r="P604" s="58"/>
    </row>
    <row r="605">
      <c r="A605" s="92"/>
      <c r="C605" s="92"/>
      <c r="D605" s="96"/>
      <c r="E605" s="97"/>
      <c r="F605" s="98"/>
      <c r="G605" s="8"/>
      <c r="I605" s="58"/>
      <c r="J605" s="92"/>
      <c r="L605" s="92"/>
      <c r="N605" s="93"/>
      <c r="O605" s="58"/>
      <c r="P605" s="58"/>
    </row>
    <row r="606">
      <c r="A606" s="92"/>
      <c r="C606" s="92"/>
      <c r="D606" s="96"/>
      <c r="E606" s="97"/>
      <c r="F606" s="98"/>
      <c r="G606" s="8"/>
      <c r="I606" s="58"/>
      <c r="J606" s="92"/>
      <c r="L606" s="92"/>
      <c r="N606" s="93"/>
      <c r="O606" s="58"/>
      <c r="P606" s="58"/>
    </row>
    <row r="607">
      <c r="A607" s="92"/>
      <c r="C607" s="92"/>
      <c r="D607" s="96"/>
      <c r="E607" s="97"/>
      <c r="F607" s="98"/>
      <c r="G607" s="8"/>
      <c r="I607" s="58"/>
      <c r="J607" s="92"/>
      <c r="L607" s="92"/>
      <c r="N607" s="93"/>
      <c r="O607" s="58"/>
      <c r="P607" s="58"/>
    </row>
    <row r="608">
      <c r="A608" s="92"/>
      <c r="C608" s="92"/>
      <c r="D608" s="96"/>
      <c r="E608" s="97"/>
      <c r="F608" s="98"/>
      <c r="G608" s="8"/>
      <c r="I608" s="58"/>
      <c r="J608" s="92"/>
      <c r="L608" s="92"/>
      <c r="N608" s="93"/>
      <c r="O608" s="58"/>
      <c r="P608" s="58"/>
    </row>
    <row r="609">
      <c r="A609" s="92"/>
      <c r="C609" s="92"/>
      <c r="D609" s="96"/>
      <c r="E609" s="97"/>
      <c r="F609" s="98"/>
      <c r="G609" s="8"/>
      <c r="I609" s="58"/>
      <c r="J609" s="92"/>
      <c r="L609" s="92"/>
      <c r="N609" s="93"/>
      <c r="O609" s="58"/>
      <c r="P609" s="58"/>
    </row>
    <row r="610">
      <c r="A610" s="92"/>
      <c r="C610" s="92"/>
      <c r="D610" s="96"/>
      <c r="E610" s="97"/>
      <c r="F610" s="98"/>
      <c r="G610" s="8"/>
      <c r="I610" s="58"/>
      <c r="J610" s="92"/>
      <c r="L610" s="92"/>
      <c r="N610" s="93"/>
      <c r="O610" s="58"/>
      <c r="P610" s="58"/>
    </row>
    <row r="611">
      <c r="A611" s="92"/>
      <c r="C611" s="92"/>
      <c r="D611" s="96"/>
      <c r="E611" s="97"/>
      <c r="F611" s="98"/>
      <c r="G611" s="8"/>
      <c r="I611" s="58"/>
      <c r="J611" s="92"/>
      <c r="L611" s="92"/>
      <c r="N611" s="93"/>
      <c r="O611" s="58"/>
      <c r="P611" s="58"/>
    </row>
    <row r="612">
      <c r="A612" s="92"/>
      <c r="C612" s="92"/>
      <c r="D612" s="96"/>
      <c r="E612" s="97"/>
      <c r="F612" s="98"/>
      <c r="G612" s="8"/>
      <c r="I612" s="58"/>
      <c r="J612" s="92"/>
      <c r="L612" s="92"/>
      <c r="N612" s="93"/>
      <c r="O612" s="58"/>
      <c r="P612" s="58"/>
    </row>
    <row r="613">
      <c r="A613" s="92"/>
      <c r="C613" s="92"/>
      <c r="D613" s="96"/>
      <c r="E613" s="97"/>
      <c r="F613" s="98"/>
      <c r="G613" s="8"/>
      <c r="I613" s="58"/>
      <c r="J613" s="92"/>
      <c r="L613" s="92"/>
      <c r="N613" s="93"/>
      <c r="O613" s="58"/>
      <c r="P613" s="58"/>
    </row>
    <row r="614">
      <c r="A614" s="92"/>
      <c r="C614" s="92"/>
      <c r="D614" s="96"/>
      <c r="E614" s="97"/>
      <c r="F614" s="98"/>
      <c r="G614" s="8"/>
      <c r="I614" s="58"/>
      <c r="J614" s="92"/>
      <c r="L614" s="92"/>
      <c r="N614" s="93"/>
      <c r="O614" s="58"/>
      <c r="P614" s="58"/>
    </row>
    <row r="615">
      <c r="A615" s="92"/>
      <c r="C615" s="92"/>
      <c r="D615" s="96"/>
      <c r="E615" s="97"/>
      <c r="F615" s="98"/>
      <c r="G615" s="8"/>
      <c r="I615" s="58"/>
      <c r="J615" s="92"/>
      <c r="L615" s="92"/>
      <c r="N615" s="93"/>
      <c r="O615" s="58"/>
      <c r="P615" s="58"/>
    </row>
    <row r="616">
      <c r="A616" s="92"/>
      <c r="C616" s="92"/>
      <c r="D616" s="96"/>
      <c r="E616" s="97"/>
      <c r="F616" s="98"/>
      <c r="G616" s="8"/>
      <c r="I616" s="58"/>
      <c r="J616" s="92"/>
      <c r="L616" s="92"/>
      <c r="N616" s="93"/>
      <c r="O616" s="58"/>
      <c r="P616" s="58"/>
    </row>
    <row r="617">
      <c r="A617" s="92"/>
      <c r="C617" s="92"/>
      <c r="D617" s="96"/>
      <c r="E617" s="97"/>
      <c r="F617" s="98"/>
      <c r="G617" s="8"/>
      <c r="I617" s="58"/>
      <c r="J617" s="92"/>
      <c r="L617" s="92"/>
      <c r="N617" s="93"/>
      <c r="O617" s="58"/>
      <c r="P617" s="58"/>
    </row>
    <row r="618">
      <c r="A618" s="92"/>
      <c r="C618" s="92"/>
      <c r="D618" s="96"/>
      <c r="E618" s="97"/>
      <c r="F618" s="98"/>
      <c r="G618" s="8"/>
      <c r="I618" s="58"/>
      <c r="J618" s="92"/>
      <c r="L618" s="92"/>
      <c r="N618" s="93"/>
      <c r="O618" s="58"/>
      <c r="P618" s="58"/>
    </row>
    <row r="619">
      <c r="A619" s="92"/>
      <c r="C619" s="92"/>
      <c r="D619" s="96"/>
      <c r="E619" s="97"/>
      <c r="F619" s="98"/>
      <c r="G619" s="8"/>
      <c r="I619" s="58"/>
      <c r="J619" s="92"/>
      <c r="L619" s="92"/>
      <c r="N619" s="93"/>
      <c r="O619" s="58"/>
      <c r="P619" s="58"/>
    </row>
    <row r="620">
      <c r="A620" s="92"/>
      <c r="C620" s="92"/>
      <c r="D620" s="96"/>
      <c r="E620" s="97"/>
      <c r="F620" s="98"/>
      <c r="G620" s="8"/>
      <c r="I620" s="58"/>
      <c r="J620" s="92"/>
      <c r="L620" s="92"/>
      <c r="N620" s="93"/>
      <c r="O620" s="58"/>
      <c r="P620" s="58"/>
    </row>
    <row r="621">
      <c r="A621" s="92"/>
      <c r="C621" s="92"/>
      <c r="D621" s="96"/>
      <c r="E621" s="97"/>
      <c r="F621" s="98"/>
      <c r="G621" s="8"/>
      <c r="I621" s="58"/>
      <c r="J621" s="92"/>
      <c r="L621" s="92"/>
      <c r="N621" s="93"/>
      <c r="O621" s="58"/>
      <c r="P621" s="58"/>
    </row>
    <row r="622">
      <c r="A622" s="92"/>
      <c r="C622" s="92"/>
      <c r="D622" s="96"/>
      <c r="E622" s="97"/>
      <c r="F622" s="98"/>
      <c r="G622" s="8"/>
      <c r="I622" s="58"/>
      <c r="J622" s="92"/>
      <c r="L622" s="92"/>
      <c r="N622" s="93"/>
      <c r="O622" s="58"/>
      <c r="P622" s="58"/>
    </row>
    <row r="623">
      <c r="A623" s="92"/>
      <c r="C623" s="92"/>
      <c r="D623" s="96"/>
      <c r="E623" s="97"/>
      <c r="F623" s="98"/>
      <c r="G623" s="8"/>
      <c r="I623" s="58"/>
      <c r="J623" s="92"/>
      <c r="L623" s="92"/>
      <c r="N623" s="93"/>
      <c r="O623" s="58"/>
      <c r="P623" s="58"/>
    </row>
    <row r="624">
      <c r="A624" s="92"/>
      <c r="C624" s="92"/>
      <c r="D624" s="96"/>
      <c r="E624" s="97"/>
      <c r="F624" s="98"/>
      <c r="G624" s="8"/>
      <c r="I624" s="58"/>
      <c r="J624" s="92"/>
      <c r="L624" s="92"/>
      <c r="N624" s="93"/>
      <c r="O624" s="58"/>
      <c r="P624" s="58"/>
    </row>
    <row r="625">
      <c r="A625" s="92"/>
      <c r="C625" s="92"/>
      <c r="D625" s="96"/>
      <c r="E625" s="97"/>
      <c r="F625" s="98"/>
      <c r="G625" s="8"/>
      <c r="I625" s="58"/>
      <c r="J625" s="92"/>
      <c r="L625" s="92"/>
      <c r="N625" s="93"/>
      <c r="O625" s="58"/>
      <c r="P625" s="58"/>
    </row>
    <row r="626">
      <c r="A626" s="92"/>
      <c r="C626" s="92"/>
      <c r="D626" s="96"/>
      <c r="E626" s="97"/>
      <c r="F626" s="98"/>
      <c r="G626" s="8"/>
      <c r="I626" s="58"/>
      <c r="J626" s="92"/>
      <c r="L626" s="92"/>
      <c r="N626" s="93"/>
      <c r="O626" s="58"/>
      <c r="P626" s="58"/>
    </row>
    <row r="627">
      <c r="A627" s="92"/>
      <c r="C627" s="92"/>
      <c r="D627" s="96"/>
      <c r="E627" s="97"/>
      <c r="F627" s="98"/>
      <c r="G627" s="8"/>
      <c r="I627" s="58"/>
      <c r="J627" s="92"/>
      <c r="L627" s="92"/>
      <c r="N627" s="93"/>
      <c r="O627" s="58"/>
      <c r="P627" s="58"/>
    </row>
    <row r="628">
      <c r="A628" s="92"/>
      <c r="C628" s="92"/>
      <c r="D628" s="96"/>
      <c r="E628" s="97"/>
      <c r="F628" s="98"/>
      <c r="G628" s="8"/>
      <c r="I628" s="58"/>
      <c r="J628" s="92"/>
      <c r="L628" s="92"/>
      <c r="N628" s="93"/>
      <c r="O628" s="58"/>
      <c r="P628" s="58"/>
    </row>
    <row r="629">
      <c r="A629" s="92"/>
      <c r="C629" s="92"/>
      <c r="D629" s="96"/>
      <c r="E629" s="97"/>
      <c r="F629" s="98"/>
      <c r="G629" s="8"/>
      <c r="I629" s="58"/>
      <c r="J629" s="92"/>
      <c r="L629" s="92"/>
      <c r="N629" s="93"/>
      <c r="O629" s="58"/>
      <c r="P629" s="58"/>
    </row>
    <row r="630">
      <c r="A630" s="92"/>
      <c r="C630" s="92"/>
      <c r="D630" s="96"/>
      <c r="E630" s="97"/>
      <c r="F630" s="98"/>
      <c r="G630" s="8"/>
      <c r="I630" s="58"/>
      <c r="J630" s="92"/>
      <c r="L630" s="92"/>
      <c r="N630" s="93"/>
      <c r="O630" s="58"/>
      <c r="P630" s="58"/>
    </row>
    <row r="631">
      <c r="A631" s="92"/>
      <c r="C631" s="92"/>
      <c r="D631" s="96"/>
      <c r="E631" s="97"/>
      <c r="F631" s="98"/>
      <c r="G631" s="8"/>
      <c r="I631" s="58"/>
      <c r="J631" s="92"/>
      <c r="L631" s="92"/>
      <c r="N631" s="93"/>
      <c r="O631" s="58"/>
      <c r="P631" s="58"/>
    </row>
    <row r="632">
      <c r="A632" s="92"/>
      <c r="C632" s="92"/>
      <c r="D632" s="96"/>
      <c r="E632" s="97"/>
      <c r="F632" s="98"/>
      <c r="G632" s="8"/>
      <c r="I632" s="58"/>
      <c r="J632" s="92"/>
      <c r="L632" s="92"/>
      <c r="N632" s="93"/>
      <c r="O632" s="58"/>
      <c r="P632" s="58"/>
    </row>
    <row r="633">
      <c r="A633" s="92"/>
      <c r="C633" s="92"/>
      <c r="D633" s="96"/>
      <c r="E633" s="97"/>
      <c r="F633" s="98"/>
      <c r="G633" s="8"/>
      <c r="I633" s="58"/>
      <c r="J633" s="92"/>
      <c r="L633" s="92"/>
      <c r="N633" s="93"/>
      <c r="O633" s="58"/>
      <c r="P633" s="58"/>
    </row>
    <row r="634">
      <c r="A634" s="92"/>
      <c r="C634" s="92"/>
      <c r="D634" s="96"/>
      <c r="E634" s="97"/>
      <c r="F634" s="98"/>
      <c r="G634" s="8"/>
      <c r="I634" s="58"/>
      <c r="J634" s="92"/>
      <c r="L634" s="92"/>
      <c r="N634" s="93"/>
      <c r="O634" s="58"/>
      <c r="P634" s="58"/>
    </row>
    <row r="635">
      <c r="A635" s="92"/>
      <c r="C635" s="92"/>
      <c r="D635" s="96"/>
      <c r="E635" s="97"/>
      <c r="F635" s="98"/>
      <c r="G635" s="8"/>
      <c r="I635" s="58"/>
      <c r="J635" s="92"/>
      <c r="L635" s="92"/>
      <c r="N635" s="93"/>
      <c r="O635" s="58"/>
      <c r="P635" s="58"/>
    </row>
    <row r="636">
      <c r="A636" s="92"/>
      <c r="C636" s="92"/>
      <c r="D636" s="96"/>
      <c r="E636" s="97"/>
      <c r="F636" s="98"/>
      <c r="G636" s="8"/>
      <c r="I636" s="58"/>
      <c r="J636" s="92"/>
      <c r="L636" s="92"/>
      <c r="N636" s="93"/>
      <c r="O636" s="58"/>
      <c r="P636" s="58"/>
    </row>
    <row r="637">
      <c r="A637" s="92"/>
      <c r="C637" s="92"/>
      <c r="D637" s="96"/>
      <c r="E637" s="97"/>
      <c r="F637" s="98"/>
      <c r="G637" s="8"/>
      <c r="I637" s="58"/>
      <c r="J637" s="92"/>
      <c r="L637" s="92"/>
      <c r="N637" s="93"/>
      <c r="O637" s="58"/>
      <c r="P637" s="58"/>
    </row>
    <row r="638">
      <c r="A638" s="92"/>
      <c r="C638" s="92"/>
      <c r="D638" s="96"/>
      <c r="E638" s="97"/>
      <c r="F638" s="98"/>
      <c r="G638" s="8"/>
      <c r="I638" s="58"/>
      <c r="J638" s="92"/>
      <c r="L638" s="92"/>
      <c r="N638" s="93"/>
      <c r="O638" s="58"/>
      <c r="P638" s="58"/>
    </row>
    <row r="639">
      <c r="A639" s="92"/>
      <c r="C639" s="92"/>
      <c r="D639" s="96"/>
      <c r="E639" s="97"/>
      <c r="F639" s="98"/>
      <c r="G639" s="8"/>
      <c r="I639" s="58"/>
      <c r="J639" s="92"/>
      <c r="L639" s="92"/>
      <c r="N639" s="93"/>
      <c r="O639" s="58"/>
      <c r="P639" s="58"/>
    </row>
    <row r="640">
      <c r="A640" s="92"/>
      <c r="C640" s="92"/>
      <c r="D640" s="96"/>
      <c r="E640" s="97"/>
      <c r="F640" s="98"/>
      <c r="G640" s="8"/>
      <c r="I640" s="58"/>
      <c r="J640" s="92"/>
      <c r="L640" s="92"/>
      <c r="N640" s="93"/>
      <c r="O640" s="58"/>
      <c r="P640" s="58"/>
    </row>
    <row r="641">
      <c r="A641" s="92"/>
      <c r="C641" s="92"/>
      <c r="D641" s="96"/>
      <c r="E641" s="97"/>
      <c r="F641" s="98"/>
      <c r="G641" s="8"/>
      <c r="I641" s="58"/>
      <c r="J641" s="92"/>
      <c r="L641" s="92"/>
      <c r="N641" s="93"/>
      <c r="O641" s="58"/>
      <c r="P641" s="58"/>
    </row>
    <row r="642">
      <c r="A642" s="92"/>
      <c r="C642" s="92"/>
      <c r="D642" s="96"/>
      <c r="E642" s="97"/>
      <c r="F642" s="98"/>
      <c r="G642" s="8"/>
      <c r="I642" s="58"/>
      <c r="J642" s="92"/>
      <c r="L642" s="92"/>
      <c r="N642" s="93"/>
      <c r="O642" s="58"/>
      <c r="P642" s="58"/>
    </row>
    <row r="643">
      <c r="A643" s="92"/>
      <c r="C643" s="92"/>
      <c r="D643" s="96"/>
      <c r="E643" s="97"/>
      <c r="F643" s="98"/>
      <c r="G643" s="8"/>
      <c r="I643" s="58"/>
      <c r="J643" s="92"/>
      <c r="L643" s="92"/>
      <c r="N643" s="93"/>
      <c r="O643" s="58"/>
      <c r="P643" s="58"/>
    </row>
    <row r="644">
      <c r="A644" s="92"/>
      <c r="C644" s="92"/>
      <c r="D644" s="96"/>
      <c r="E644" s="97"/>
      <c r="F644" s="98"/>
      <c r="G644" s="8"/>
      <c r="I644" s="58"/>
      <c r="J644" s="92"/>
      <c r="L644" s="92"/>
      <c r="N644" s="93"/>
      <c r="O644" s="58"/>
      <c r="P644" s="58"/>
    </row>
    <row r="645">
      <c r="A645" s="92"/>
      <c r="C645" s="92"/>
      <c r="D645" s="96"/>
      <c r="E645" s="97"/>
      <c r="F645" s="98"/>
      <c r="G645" s="8"/>
      <c r="I645" s="58"/>
      <c r="J645" s="92"/>
      <c r="L645" s="92"/>
      <c r="N645" s="93"/>
      <c r="O645" s="58"/>
      <c r="P645" s="58"/>
    </row>
    <row r="646">
      <c r="A646" s="92"/>
      <c r="C646" s="92"/>
      <c r="D646" s="96"/>
      <c r="E646" s="97"/>
      <c r="F646" s="98"/>
      <c r="G646" s="8"/>
      <c r="I646" s="58"/>
      <c r="J646" s="92"/>
      <c r="L646" s="92"/>
      <c r="N646" s="93"/>
      <c r="O646" s="58"/>
      <c r="P646" s="58"/>
    </row>
    <row r="647">
      <c r="A647" s="92"/>
      <c r="C647" s="92"/>
      <c r="D647" s="96"/>
      <c r="E647" s="97"/>
      <c r="F647" s="98"/>
      <c r="G647" s="8"/>
      <c r="I647" s="58"/>
      <c r="J647" s="92"/>
      <c r="L647" s="92"/>
      <c r="N647" s="93"/>
      <c r="O647" s="58"/>
      <c r="P647" s="58"/>
    </row>
    <row r="648">
      <c r="A648" s="92"/>
      <c r="C648" s="92"/>
      <c r="D648" s="96"/>
      <c r="E648" s="97"/>
      <c r="F648" s="98"/>
      <c r="G648" s="8"/>
      <c r="I648" s="58"/>
      <c r="J648" s="92"/>
      <c r="L648" s="92"/>
      <c r="N648" s="93"/>
      <c r="O648" s="58"/>
      <c r="P648" s="58"/>
    </row>
    <row r="649">
      <c r="A649" s="92"/>
      <c r="C649" s="92"/>
      <c r="D649" s="96"/>
      <c r="E649" s="97"/>
      <c r="F649" s="98"/>
      <c r="G649" s="8"/>
      <c r="I649" s="58"/>
      <c r="J649" s="92"/>
      <c r="L649" s="92"/>
      <c r="N649" s="93"/>
      <c r="O649" s="58"/>
      <c r="P649" s="58"/>
    </row>
    <row r="650">
      <c r="A650" s="92"/>
      <c r="C650" s="92"/>
      <c r="D650" s="96"/>
      <c r="E650" s="97"/>
      <c r="F650" s="98"/>
      <c r="G650" s="8"/>
      <c r="I650" s="58"/>
      <c r="J650" s="92"/>
      <c r="L650" s="92"/>
      <c r="N650" s="93"/>
      <c r="O650" s="58"/>
      <c r="P650" s="58"/>
    </row>
    <row r="651">
      <c r="A651" s="92"/>
      <c r="C651" s="92"/>
      <c r="D651" s="96"/>
      <c r="E651" s="97"/>
      <c r="F651" s="98"/>
      <c r="G651" s="8"/>
      <c r="I651" s="58"/>
      <c r="J651" s="92"/>
      <c r="L651" s="92"/>
      <c r="N651" s="93"/>
      <c r="O651" s="58"/>
      <c r="P651" s="58"/>
    </row>
    <row r="652">
      <c r="A652" s="92"/>
      <c r="C652" s="92"/>
      <c r="D652" s="96"/>
      <c r="E652" s="97"/>
      <c r="F652" s="98"/>
      <c r="G652" s="8"/>
      <c r="I652" s="58"/>
      <c r="J652" s="92"/>
      <c r="L652" s="92"/>
      <c r="N652" s="93"/>
      <c r="O652" s="58"/>
      <c r="P652" s="58"/>
    </row>
    <row r="653">
      <c r="A653" s="92"/>
      <c r="C653" s="92"/>
      <c r="D653" s="96"/>
      <c r="E653" s="97"/>
      <c r="F653" s="98"/>
      <c r="G653" s="8"/>
      <c r="I653" s="58"/>
      <c r="J653" s="92"/>
      <c r="L653" s="92"/>
      <c r="N653" s="93"/>
      <c r="O653" s="58"/>
      <c r="P653" s="58"/>
    </row>
    <row r="654">
      <c r="A654" s="92"/>
      <c r="C654" s="92"/>
      <c r="D654" s="96"/>
      <c r="E654" s="97"/>
      <c r="F654" s="98"/>
      <c r="G654" s="8"/>
      <c r="I654" s="58"/>
      <c r="J654" s="92"/>
      <c r="L654" s="92"/>
      <c r="N654" s="93"/>
      <c r="O654" s="58"/>
      <c r="P654" s="58"/>
    </row>
    <row r="655">
      <c r="A655" s="92"/>
      <c r="C655" s="92"/>
      <c r="D655" s="96"/>
      <c r="E655" s="97"/>
      <c r="F655" s="98"/>
      <c r="G655" s="8"/>
      <c r="I655" s="58"/>
      <c r="J655" s="92"/>
      <c r="L655" s="92"/>
      <c r="N655" s="93"/>
      <c r="O655" s="58"/>
      <c r="P655" s="58"/>
    </row>
    <row r="656">
      <c r="A656" s="92"/>
      <c r="C656" s="92"/>
      <c r="D656" s="96"/>
      <c r="E656" s="97"/>
      <c r="F656" s="98"/>
      <c r="G656" s="8"/>
      <c r="I656" s="58"/>
      <c r="J656" s="92"/>
      <c r="L656" s="92"/>
      <c r="N656" s="93"/>
      <c r="O656" s="58"/>
      <c r="P656" s="58"/>
    </row>
    <row r="657">
      <c r="A657" s="92"/>
      <c r="C657" s="92"/>
      <c r="D657" s="96"/>
      <c r="E657" s="97"/>
      <c r="F657" s="98"/>
      <c r="G657" s="8"/>
      <c r="I657" s="58"/>
      <c r="J657" s="92"/>
      <c r="L657" s="92"/>
      <c r="N657" s="93"/>
      <c r="O657" s="58"/>
      <c r="P657" s="58"/>
    </row>
    <row r="658">
      <c r="A658" s="92"/>
      <c r="C658" s="92"/>
      <c r="D658" s="96"/>
      <c r="E658" s="97"/>
      <c r="F658" s="98"/>
      <c r="G658" s="8"/>
      <c r="I658" s="58"/>
      <c r="J658" s="92"/>
      <c r="L658" s="92"/>
      <c r="N658" s="93"/>
      <c r="O658" s="58"/>
      <c r="P658" s="58"/>
    </row>
    <row r="659">
      <c r="A659" s="92"/>
      <c r="C659" s="92"/>
      <c r="D659" s="96"/>
      <c r="E659" s="97"/>
      <c r="F659" s="98"/>
      <c r="G659" s="8"/>
      <c r="I659" s="58"/>
      <c r="J659" s="92"/>
      <c r="L659" s="92"/>
      <c r="N659" s="93"/>
      <c r="O659" s="58"/>
      <c r="P659" s="58"/>
    </row>
    <row r="660">
      <c r="A660" s="92"/>
      <c r="C660" s="92"/>
      <c r="D660" s="96"/>
      <c r="E660" s="97"/>
      <c r="F660" s="98"/>
      <c r="G660" s="8"/>
      <c r="I660" s="58"/>
      <c r="J660" s="92"/>
      <c r="L660" s="92"/>
      <c r="N660" s="93"/>
      <c r="O660" s="58"/>
      <c r="P660" s="58"/>
    </row>
    <row r="661">
      <c r="A661" s="92"/>
      <c r="C661" s="92"/>
      <c r="D661" s="96"/>
      <c r="E661" s="97"/>
      <c r="F661" s="98"/>
      <c r="G661" s="8"/>
      <c r="I661" s="58"/>
      <c r="J661" s="92"/>
      <c r="L661" s="92"/>
      <c r="N661" s="93"/>
      <c r="O661" s="58"/>
      <c r="P661" s="58"/>
    </row>
    <row r="662">
      <c r="A662" s="92"/>
      <c r="C662" s="92"/>
      <c r="D662" s="96"/>
      <c r="E662" s="97"/>
      <c r="F662" s="98"/>
      <c r="G662" s="8"/>
      <c r="I662" s="58"/>
      <c r="J662" s="92"/>
      <c r="L662" s="92"/>
      <c r="N662" s="93"/>
      <c r="O662" s="58"/>
      <c r="P662" s="58"/>
    </row>
    <row r="663">
      <c r="A663" s="92"/>
      <c r="C663" s="92"/>
      <c r="D663" s="96"/>
      <c r="E663" s="97"/>
      <c r="F663" s="98"/>
      <c r="G663" s="8"/>
      <c r="I663" s="58"/>
      <c r="J663" s="92"/>
      <c r="L663" s="92"/>
      <c r="N663" s="93"/>
      <c r="O663" s="58"/>
      <c r="P663" s="58"/>
    </row>
    <row r="664">
      <c r="A664" s="92"/>
      <c r="C664" s="92"/>
      <c r="D664" s="96"/>
      <c r="E664" s="97"/>
      <c r="F664" s="98"/>
      <c r="G664" s="8"/>
      <c r="I664" s="58"/>
      <c r="J664" s="92"/>
      <c r="L664" s="92"/>
      <c r="N664" s="93"/>
      <c r="O664" s="58"/>
      <c r="P664" s="58"/>
    </row>
    <row r="665">
      <c r="A665" s="92"/>
      <c r="C665" s="92"/>
      <c r="D665" s="96"/>
      <c r="E665" s="97"/>
      <c r="F665" s="98"/>
      <c r="G665" s="8"/>
      <c r="I665" s="58"/>
      <c r="J665" s="92"/>
      <c r="L665" s="92"/>
      <c r="N665" s="93"/>
      <c r="O665" s="58"/>
      <c r="P665" s="58"/>
    </row>
    <row r="666">
      <c r="A666" s="92"/>
      <c r="C666" s="92"/>
      <c r="D666" s="96"/>
      <c r="E666" s="97"/>
      <c r="F666" s="98"/>
      <c r="G666" s="8"/>
      <c r="I666" s="58"/>
      <c r="J666" s="92"/>
      <c r="L666" s="92"/>
      <c r="N666" s="93"/>
      <c r="O666" s="58"/>
      <c r="P666" s="58"/>
    </row>
    <row r="667">
      <c r="A667" s="92"/>
      <c r="C667" s="92"/>
      <c r="D667" s="96"/>
      <c r="E667" s="97"/>
      <c r="F667" s="98"/>
      <c r="G667" s="8"/>
      <c r="I667" s="58"/>
      <c r="J667" s="92"/>
      <c r="L667" s="92"/>
      <c r="N667" s="93"/>
      <c r="O667" s="58"/>
      <c r="P667" s="58"/>
    </row>
    <row r="668">
      <c r="A668" s="92"/>
      <c r="C668" s="92"/>
      <c r="D668" s="96"/>
      <c r="E668" s="97"/>
      <c r="F668" s="98"/>
      <c r="G668" s="8"/>
      <c r="I668" s="58"/>
      <c r="J668" s="92"/>
      <c r="L668" s="92"/>
      <c r="N668" s="93"/>
      <c r="O668" s="58"/>
      <c r="P668" s="58"/>
    </row>
    <row r="669">
      <c r="A669" s="92"/>
      <c r="C669" s="92"/>
      <c r="D669" s="96"/>
      <c r="E669" s="97"/>
      <c r="F669" s="98"/>
      <c r="G669" s="8"/>
      <c r="I669" s="58"/>
      <c r="J669" s="92"/>
      <c r="L669" s="92"/>
      <c r="N669" s="93"/>
      <c r="O669" s="58"/>
      <c r="P669" s="58"/>
    </row>
    <row r="670">
      <c r="A670" s="92"/>
      <c r="C670" s="92"/>
      <c r="D670" s="96"/>
      <c r="E670" s="97"/>
      <c r="F670" s="98"/>
      <c r="G670" s="8"/>
      <c r="I670" s="58"/>
      <c r="J670" s="92"/>
      <c r="L670" s="92"/>
      <c r="N670" s="93"/>
      <c r="O670" s="58"/>
      <c r="P670" s="58"/>
    </row>
    <row r="671">
      <c r="A671" s="92"/>
      <c r="C671" s="92"/>
      <c r="D671" s="96"/>
      <c r="E671" s="97"/>
      <c r="F671" s="98"/>
      <c r="G671" s="8"/>
      <c r="I671" s="58"/>
      <c r="J671" s="92"/>
      <c r="L671" s="92"/>
      <c r="N671" s="93"/>
      <c r="O671" s="58"/>
      <c r="P671" s="58"/>
    </row>
    <row r="672">
      <c r="A672" s="92"/>
      <c r="C672" s="92"/>
      <c r="D672" s="96"/>
      <c r="E672" s="97"/>
      <c r="F672" s="98"/>
      <c r="G672" s="8"/>
      <c r="I672" s="58"/>
      <c r="J672" s="92"/>
      <c r="L672" s="92"/>
      <c r="N672" s="93"/>
      <c r="O672" s="58"/>
      <c r="P672" s="58"/>
    </row>
    <row r="673">
      <c r="A673" s="92"/>
      <c r="C673" s="92"/>
      <c r="D673" s="96"/>
      <c r="E673" s="97"/>
      <c r="F673" s="98"/>
      <c r="G673" s="8"/>
      <c r="I673" s="58"/>
      <c r="J673" s="92"/>
      <c r="L673" s="92"/>
      <c r="N673" s="93"/>
      <c r="O673" s="58"/>
      <c r="P673" s="58"/>
    </row>
    <row r="674">
      <c r="A674" s="92"/>
      <c r="C674" s="92"/>
      <c r="D674" s="96"/>
      <c r="E674" s="97"/>
      <c r="F674" s="98"/>
      <c r="G674" s="8"/>
      <c r="I674" s="58"/>
      <c r="J674" s="92"/>
      <c r="L674" s="92"/>
      <c r="N674" s="93"/>
      <c r="O674" s="58"/>
      <c r="P674" s="58"/>
    </row>
    <row r="675">
      <c r="A675" s="92"/>
      <c r="C675" s="92"/>
      <c r="D675" s="96"/>
      <c r="E675" s="97"/>
      <c r="F675" s="98"/>
      <c r="G675" s="8"/>
      <c r="I675" s="58"/>
      <c r="J675" s="92"/>
      <c r="L675" s="92"/>
      <c r="N675" s="93"/>
      <c r="O675" s="58"/>
      <c r="P675" s="58"/>
    </row>
    <row r="676">
      <c r="A676" s="92"/>
      <c r="C676" s="92"/>
      <c r="D676" s="96"/>
      <c r="E676" s="97"/>
      <c r="F676" s="98"/>
      <c r="G676" s="8"/>
      <c r="I676" s="58"/>
      <c r="J676" s="92"/>
      <c r="L676" s="92"/>
      <c r="N676" s="93"/>
      <c r="O676" s="58"/>
      <c r="P676" s="58"/>
    </row>
    <row r="677">
      <c r="A677" s="92"/>
      <c r="C677" s="92"/>
      <c r="D677" s="96"/>
      <c r="E677" s="97"/>
      <c r="F677" s="98"/>
      <c r="G677" s="8"/>
      <c r="I677" s="58"/>
      <c r="J677" s="92"/>
      <c r="L677" s="92"/>
      <c r="N677" s="93"/>
      <c r="O677" s="58"/>
      <c r="P677" s="58"/>
    </row>
    <row r="678">
      <c r="A678" s="92"/>
      <c r="C678" s="92"/>
      <c r="D678" s="96"/>
      <c r="E678" s="97"/>
      <c r="F678" s="98"/>
      <c r="G678" s="8"/>
      <c r="I678" s="58"/>
      <c r="J678" s="92"/>
      <c r="L678" s="92"/>
      <c r="N678" s="93"/>
      <c r="O678" s="58"/>
      <c r="P678" s="58"/>
    </row>
    <row r="679">
      <c r="A679" s="92"/>
      <c r="C679" s="92"/>
      <c r="D679" s="96"/>
      <c r="E679" s="97"/>
      <c r="F679" s="98"/>
      <c r="G679" s="8"/>
      <c r="I679" s="58"/>
      <c r="J679" s="92"/>
      <c r="L679" s="92"/>
      <c r="N679" s="93"/>
      <c r="O679" s="58"/>
      <c r="P679" s="58"/>
    </row>
    <row r="680">
      <c r="A680" s="92"/>
      <c r="C680" s="92"/>
      <c r="D680" s="96"/>
      <c r="E680" s="97"/>
      <c r="F680" s="98"/>
      <c r="G680" s="8"/>
      <c r="I680" s="58"/>
      <c r="J680" s="92"/>
      <c r="L680" s="92"/>
      <c r="N680" s="93"/>
      <c r="O680" s="58"/>
      <c r="P680" s="58"/>
    </row>
    <row r="681">
      <c r="A681" s="92"/>
      <c r="C681" s="92"/>
      <c r="D681" s="96"/>
      <c r="E681" s="97"/>
      <c r="F681" s="98"/>
      <c r="G681" s="8"/>
      <c r="I681" s="58"/>
      <c r="J681" s="92"/>
      <c r="L681" s="92"/>
      <c r="N681" s="93"/>
      <c r="O681" s="58"/>
      <c r="P681" s="58"/>
    </row>
    <row r="682">
      <c r="A682" s="92"/>
      <c r="C682" s="92"/>
      <c r="D682" s="96"/>
      <c r="E682" s="97"/>
      <c r="F682" s="98"/>
      <c r="G682" s="8"/>
      <c r="I682" s="58"/>
      <c r="J682" s="92"/>
      <c r="L682" s="92"/>
      <c r="N682" s="93"/>
      <c r="O682" s="58"/>
      <c r="P682" s="58"/>
    </row>
    <row r="683">
      <c r="A683" s="92"/>
      <c r="C683" s="92"/>
      <c r="D683" s="96"/>
      <c r="E683" s="97"/>
      <c r="F683" s="98"/>
      <c r="G683" s="8"/>
      <c r="I683" s="58"/>
      <c r="J683" s="92"/>
      <c r="L683" s="92"/>
      <c r="N683" s="93"/>
      <c r="O683" s="58"/>
      <c r="P683" s="58"/>
    </row>
    <row r="684">
      <c r="A684" s="92"/>
      <c r="C684" s="92"/>
      <c r="D684" s="96"/>
      <c r="E684" s="97"/>
      <c r="F684" s="98"/>
      <c r="G684" s="8"/>
      <c r="I684" s="58"/>
      <c r="J684" s="92"/>
      <c r="L684" s="92"/>
      <c r="N684" s="93"/>
      <c r="O684" s="58"/>
      <c r="P684" s="58"/>
    </row>
    <row r="685">
      <c r="A685" s="92"/>
      <c r="C685" s="92"/>
      <c r="D685" s="96"/>
      <c r="E685" s="97"/>
      <c r="F685" s="98"/>
      <c r="G685" s="8"/>
      <c r="I685" s="58"/>
      <c r="J685" s="92"/>
      <c r="L685" s="92"/>
      <c r="N685" s="93"/>
      <c r="O685" s="58"/>
      <c r="P685" s="58"/>
    </row>
    <row r="686">
      <c r="A686" s="92"/>
      <c r="C686" s="92"/>
      <c r="D686" s="96"/>
      <c r="E686" s="97"/>
      <c r="F686" s="98"/>
      <c r="G686" s="8"/>
      <c r="I686" s="58"/>
      <c r="J686" s="92"/>
      <c r="L686" s="92"/>
      <c r="N686" s="93"/>
      <c r="O686" s="58"/>
      <c r="P686" s="58"/>
    </row>
    <row r="687">
      <c r="A687" s="92"/>
      <c r="C687" s="92"/>
      <c r="D687" s="96"/>
      <c r="E687" s="97"/>
      <c r="F687" s="98"/>
      <c r="G687" s="8"/>
      <c r="I687" s="58"/>
      <c r="J687" s="92"/>
      <c r="L687" s="92"/>
      <c r="N687" s="93"/>
      <c r="O687" s="58"/>
      <c r="P687" s="58"/>
    </row>
    <row r="688">
      <c r="A688" s="92"/>
      <c r="C688" s="92"/>
      <c r="D688" s="96"/>
      <c r="E688" s="97"/>
      <c r="F688" s="98"/>
      <c r="G688" s="8"/>
      <c r="I688" s="58"/>
      <c r="J688" s="92"/>
      <c r="L688" s="92"/>
      <c r="N688" s="93"/>
      <c r="O688" s="58"/>
      <c r="P688" s="58"/>
    </row>
    <row r="689">
      <c r="A689" s="92"/>
      <c r="C689" s="92"/>
      <c r="D689" s="96"/>
      <c r="E689" s="97"/>
      <c r="F689" s="98"/>
      <c r="G689" s="8"/>
      <c r="I689" s="58"/>
      <c r="J689" s="92"/>
      <c r="L689" s="92"/>
      <c r="N689" s="93"/>
      <c r="O689" s="58"/>
      <c r="P689" s="58"/>
    </row>
    <row r="690">
      <c r="A690" s="92"/>
      <c r="C690" s="92"/>
      <c r="D690" s="96"/>
      <c r="E690" s="97"/>
      <c r="F690" s="98"/>
      <c r="G690" s="8"/>
      <c r="I690" s="58"/>
      <c r="J690" s="92"/>
      <c r="L690" s="92"/>
      <c r="N690" s="93"/>
      <c r="O690" s="58"/>
      <c r="P690" s="58"/>
    </row>
    <row r="691">
      <c r="A691" s="92"/>
      <c r="C691" s="92"/>
      <c r="D691" s="96"/>
      <c r="E691" s="97"/>
      <c r="F691" s="98"/>
      <c r="G691" s="8"/>
      <c r="I691" s="58"/>
      <c r="J691" s="92"/>
      <c r="L691" s="92"/>
      <c r="N691" s="93"/>
      <c r="O691" s="58"/>
      <c r="P691" s="58"/>
    </row>
    <row r="692">
      <c r="A692" s="92"/>
      <c r="C692" s="92"/>
      <c r="D692" s="96"/>
      <c r="E692" s="97"/>
      <c r="F692" s="98"/>
      <c r="G692" s="8"/>
      <c r="I692" s="58"/>
      <c r="J692" s="92"/>
      <c r="L692" s="92"/>
      <c r="N692" s="93"/>
      <c r="O692" s="58"/>
      <c r="P692" s="58"/>
    </row>
    <row r="693">
      <c r="A693" s="92"/>
      <c r="C693" s="92"/>
      <c r="D693" s="96"/>
      <c r="E693" s="97"/>
      <c r="F693" s="98"/>
      <c r="G693" s="8"/>
      <c r="I693" s="58"/>
      <c r="J693" s="92"/>
      <c r="L693" s="92"/>
      <c r="N693" s="93"/>
      <c r="O693" s="58"/>
      <c r="P693" s="58"/>
    </row>
    <row r="694">
      <c r="A694" s="92"/>
      <c r="C694" s="92"/>
      <c r="D694" s="96"/>
      <c r="E694" s="97"/>
      <c r="F694" s="98"/>
      <c r="G694" s="8"/>
      <c r="I694" s="58"/>
      <c r="J694" s="92"/>
      <c r="L694" s="92"/>
      <c r="N694" s="93"/>
      <c r="O694" s="58"/>
      <c r="P694" s="58"/>
    </row>
    <row r="695">
      <c r="A695" s="92"/>
      <c r="C695" s="92"/>
      <c r="D695" s="96"/>
      <c r="E695" s="97"/>
      <c r="F695" s="98"/>
      <c r="G695" s="8"/>
      <c r="I695" s="58"/>
      <c r="J695" s="92"/>
      <c r="L695" s="92"/>
      <c r="N695" s="93"/>
      <c r="O695" s="58"/>
      <c r="P695" s="58"/>
    </row>
    <row r="696">
      <c r="A696" s="92"/>
      <c r="C696" s="92"/>
      <c r="D696" s="96"/>
      <c r="E696" s="97"/>
      <c r="F696" s="98"/>
      <c r="G696" s="8"/>
      <c r="I696" s="58"/>
      <c r="J696" s="92"/>
      <c r="L696" s="92"/>
      <c r="N696" s="93"/>
      <c r="O696" s="58"/>
      <c r="P696" s="58"/>
    </row>
    <row r="697">
      <c r="A697" s="92"/>
      <c r="C697" s="92"/>
      <c r="D697" s="96"/>
      <c r="E697" s="97"/>
      <c r="F697" s="98"/>
      <c r="G697" s="8"/>
      <c r="I697" s="58"/>
      <c r="J697" s="92"/>
      <c r="L697" s="92"/>
      <c r="N697" s="93"/>
      <c r="O697" s="58"/>
      <c r="P697" s="58"/>
    </row>
    <row r="698">
      <c r="A698" s="92"/>
      <c r="C698" s="92"/>
      <c r="D698" s="96"/>
      <c r="E698" s="97"/>
      <c r="F698" s="98"/>
      <c r="G698" s="8"/>
      <c r="I698" s="58"/>
      <c r="J698" s="92"/>
      <c r="L698" s="92"/>
      <c r="N698" s="93"/>
      <c r="O698" s="58"/>
      <c r="P698" s="58"/>
    </row>
    <row r="699">
      <c r="A699" s="92"/>
      <c r="C699" s="92"/>
      <c r="D699" s="96"/>
      <c r="E699" s="97"/>
      <c r="F699" s="98"/>
      <c r="G699" s="8"/>
      <c r="I699" s="58"/>
      <c r="J699" s="92"/>
      <c r="L699" s="92"/>
      <c r="N699" s="93"/>
      <c r="O699" s="58"/>
      <c r="P699" s="58"/>
    </row>
    <row r="700">
      <c r="A700" s="92"/>
      <c r="C700" s="92"/>
      <c r="D700" s="96"/>
      <c r="E700" s="97"/>
      <c r="F700" s="98"/>
      <c r="G700" s="8"/>
      <c r="I700" s="58"/>
      <c r="J700" s="92"/>
      <c r="L700" s="92"/>
      <c r="N700" s="93"/>
      <c r="O700" s="58"/>
      <c r="P700" s="58"/>
    </row>
    <row r="701">
      <c r="A701" s="92"/>
      <c r="C701" s="92"/>
      <c r="D701" s="96"/>
      <c r="E701" s="97"/>
      <c r="F701" s="98"/>
      <c r="G701" s="8"/>
      <c r="I701" s="58"/>
      <c r="J701" s="92"/>
      <c r="L701" s="92"/>
      <c r="N701" s="93"/>
      <c r="O701" s="58"/>
      <c r="P701" s="58"/>
    </row>
    <row r="702">
      <c r="A702" s="92"/>
      <c r="C702" s="92"/>
      <c r="D702" s="96"/>
      <c r="E702" s="97"/>
      <c r="F702" s="98"/>
      <c r="G702" s="8"/>
      <c r="I702" s="58"/>
      <c r="J702" s="92"/>
      <c r="L702" s="92"/>
      <c r="N702" s="93"/>
      <c r="O702" s="58"/>
      <c r="P702" s="58"/>
    </row>
    <row r="703">
      <c r="A703" s="92"/>
      <c r="C703" s="92"/>
      <c r="D703" s="96"/>
      <c r="E703" s="97"/>
      <c r="F703" s="98"/>
      <c r="G703" s="8"/>
      <c r="I703" s="58"/>
      <c r="J703" s="92"/>
      <c r="L703" s="92"/>
      <c r="N703" s="93"/>
      <c r="O703" s="58"/>
      <c r="P703" s="58"/>
    </row>
    <row r="704">
      <c r="A704" s="92"/>
      <c r="C704" s="92"/>
      <c r="D704" s="96"/>
      <c r="E704" s="97"/>
      <c r="F704" s="98"/>
      <c r="G704" s="8"/>
      <c r="I704" s="58"/>
      <c r="J704" s="92"/>
      <c r="L704" s="92"/>
      <c r="N704" s="93"/>
      <c r="O704" s="58"/>
      <c r="P704" s="58"/>
    </row>
    <row r="705">
      <c r="A705" s="92"/>
      <c r="C705" s="92"/>
      <c r="D705" s="96"/>
      <c r="E705" s="97"/>
      <c r="F705" s="98"/>
      <c r="G705" s="8"/>
      <c r="I705" s="58"/>
      <c r="J705" s="92"/>
      <c r="L705" s="92"/>
      <c r="N705" s="93"/>
      <c r="O705" s="58"/>
      <c r="P705" s="58"/>
    </row>
    <row r="706">
      <c r="A706" s="92"/>
      <c r="C706" s="92"/>
      <c r="D706" s="96"/>
      <c r="E706" s="97"/>
      <c r="F706" s="98"/>
      <c r="G706" s="8"/>
      <c r="I706" s="58"/>
      <c r="J706" s="92"/>
      <c r="L706" s="92"/>
      <c r="N706" s="93"/>
      <c r="O706" s="58"/>
      <c r="P706" s="58"/>
    </row>
    <row r="707">
      <c r="A707" s="92"/>
      <c r="C707" s="92"/>
      <c r="D707" s="96"/>
      <c r="E707" s="97"/>
      <c r="F707" s="98"/>
      <c r="G707" s="8"/>
      <c r="I707" s="58"/>
      <c r="J707" s="92"/>
      <c r="L707" s="92"/>
      <c r="N707" s="93"/>
      <c r="O707" s="58"/>
      <c r="P707" s="58"/>
    </row>
    <row r="708">
      <c r="A708" s="92"/>
      <c r="C708" s="92"/>
      <c r="D708" s="96"/>
      <c r="E708" s="97"/>
      <c r="F708" s="98"/>
      <c r="G708" s="8"/>
      <c r="I708" s="58"/>
      <c r="J708" s="92"/>
      <c r="L708" s="92"/>
      <c r="N708" s="93"/>
      <c r="O708" s="58"/>
      <c r="P708" s="58"/>
    </row>
    <row r="709">
      <c r="A709" s="92"/>
      <c r="C709" s="92"/>
      <c r="D709" s="96"/>
      <c r="E709" s="97"/>
      <c r="F709" s="98"/>
      <c r="G709" s="8"/>
      <c r="I709" s="58"/>
      <c r="J709" s="92"/>
      <c r="L709" s="92"/>
      <c r="N709" s="93"/>
      <c r="O709" s="58"/>
      <c r="P709" s="58"/>
    </row>
    <row r="710">
      <c r="A710" s="92"/>
      <c r="C710" s="92"/>
      <c r="D710" s="96"/>
      <c r="E710" s="97"/>
      <c r="F710" s="98"/>
      <c r="G710" s="8"/>
      <c r="I710" s="58"/>
      <c r="J710" s="92"/>
      <c r="L710" s="92"/>
      <c r="N710" s="93"/>
      <c r="O710" s="58"/>
      <c r="P710" s="58"/>
    </row>
    <row r="711">
      <c r="A711" s="92"/>
      <c r="C711" s="92"/>
      <c r="D711" s="96"/>
      <c r="E711" s="97"/>
      <c r="F711" s="98"/>
      <c r="G711" s="8"/>
      <c r="I711" s="58"/>
      <c r="J711" s="92"/>
      <c r="L711" s="92"/>
      <c r="N711" s="93"/>
      <c r="O711" s="58"/>
      <c r="P711" s="58"/>
    </row>
    <row r="712">
      <c r="A712" s="92"/>
      <c r="C712" s="92"/>
      <c r="D712" s="96"/>
      <c r="E712" s="97"/>
      <c r="F712" s="98"/>
      <c r="G712" s="8"/>
      <c r="I712" s="58"/>
      <c r="J712" s="92"/>
      <c r="L712" s="92"/>
      <c r="N712" s="93"/>
      <c r="O712" s="58"/>
      <c r="P712" s="58"/>
    </row>
    <row r="713">
      <c r="A713" s="92"/>
      <c r="C713" s="92"/>
      <c r="D713" s="96"/>
      <c r="E713" s="97"/>
      <c r="F713" s="98"/>
      <c r="G713" s="8"/>
      <c r="I713" s="58"/>
      <c r="J713" s="92"/>
      <c r="L713" s="92"/>
      <c r="N713" s="93"/>
      <c r="O713" s="58"/>
      <c r="P713" s="58"/>
    </row>
    <row r="714">
      <c r="A714" s="92"/>
      <c r="C714" s="92"/>
      <c r="D714" s="96"/>
      <c r="E714" s="97"/>
      <c r="F714" s="98"/>
      <c r="G714" s="8"/>
      <c r="I714" s="58"/>
      <c r="J714" s="92"/>
      <c r="L714" s="92"/>
      <c r="N714" s="93"/>
      <c r="O714" s="58"/>
      <c r="P714" s="58"/>
    </row>
    <row r="715">
      <c r="A715" s="92"/>
      <c r="C715" s="92"/>
      <c r="D715" s="96"/>
      <c r="E715" s="97"/>
      <c r="F715" s="98"/>
      <c r="G715" s="8"/>
      <c r="I715" s="58"/>
      <c r="J715" s="92"/>
      <c r="L715" s="92"/>
      <c r="N715" s="93"/>
      <c r="O715" s="58"/>
      <c r="P715" s="58"/>
    </row>
    <row r="716">
      <c r="A716" s="92"/>
      <c r="C716" s="92"/>
      <c r="D716" s="96"/>
      <c r="E716" s="97"/>
      <c r="F716" s="98"/>
      <c r="G716" s="8"/>
      <c r="I716" s="58"/>
      <c r="J716" s="92"/>
      <c r="L716" s="92"/>
      <c r="N716" s="93"/>
      <c r="O716" s="58"/>
      <c r="P716" s="58"/>
    </row>
    <row r="717">
      <c r="A717" s="92"/>
      <c r="C717" s="92"/>
      <c r="D717" s="96"/>
      <c r="E717" s="97"/>
      <c r="F717" s="98"/>
      <c r="G717" s="8"/>
      <c r="I717" s="58"/>
      <c r="J717" s="92"/>
      <c r="L717" s="92"/>
      <c r="N717" s="93"/>
      <c r="O717" s="58"/>
      <c r="P717" s="58"/>
    </row>
    <row r="718">
      <c r="A718" s="92"/>
      <c r="C718" s="92"/>
      <c r="D718" s="96"/>
      <c r="E718" s="97"/>
      <c r="F718" s="98"/>
      <c r="G718" s="8"/>
      <c r="I718" s="58"/>
      <c r="J718" s="92"/>
      <c r="L718" s="92"/>
      <c r="N718" s="93"/>
      <c r="O718" s="58"/>
      <c r="P718" s="58"/>
    </row>
    <row r="719">
      <c r="A719" s="92"/>
      <c r="C719" s="92"/>
      <c r="D719" s="96"/>
      <c r="E719" s="97"/>
      <c r="F719" s="98"/>
      <c r="G719" s="8"/>
      <c r="I719" s="58"/>
      <c r="J719" s="92"/>
      <c r="L719" s="92"/>
      <c r="N719" s="93"/>
      <c r="O719" s="58"/>
      <c r="P719" s="58"/>
    </row>
    <row r="720">
      <c r="A720" s="92"/>
      <c r="C720" s="92"/>
      <c r="D720" s="96"/>
      <c r="E720" s="97"/>
      <c r="F720" s="98"/>
      <c r="G720" s="8"/>
      <c r="I720" s="58"/>
      <c r="J720" s="92"/>
      <c r="L720" s="92"/>
      <c r="N720" s="93"/>
      <c r="O720" s="58"/>
      <c r="P720" s="58"/>
    </row>
    <row r="721">
      <c r="A721" s="92"/>
      <c r="C721" s="92"/>
      <c r="D721" s="96"/>
      <c r="E721" s="97"/>
      <c r="F721" s="98"/>
      <c r="G721" s="8"/>
      <c r="I721" s="58"/>
      <c r="J721" s="92"/>
      <c r="L721" s="92"/>
      <c r="N721" s="93"/>
      <c r="O721" s="58"/>
      <c r="P721" s="58"/>
    </row>
    <row r="722">
      <c r="A722" s="92"/>
      <c r="C722" s="92"/>
      <c r="D722" s="96"/>
      <c r="E722" s="97"/>
      <c r="F722" s="98"/>
      <c r="G722" s="8"/>
      <c r="I722" s="58"/>
      <c r="J722" s="92"/>
      <c r="L722" s="92"/>
      <c r="N722" s="93"/>
      <c r="O722" s="58"/>
      <c r="P722" s="58"/>
    </row>
    <row r="723">
      <c r="A723" s="92"/>
      <c r="C723" s="92"/>
      <c r="D723" s="96"/>
      <c r="E723" s="97"/>
      <c r="F723" s="98"/>
      <c r="G723" s="8"/>
      <c r="I723" s="58"/>
      <c r="J723" s="92"/>
      <c r="L723" s="92"/>
      <c r="N723" s="93"/>
      <c r="O723" s="58"/>
      <c r="P723" s="58"/>
    </row>
    <row r="724">
      <c r="A724" s="92"/>
      <c r="C724" s="92"/>
      <c r="D724" s="96"/>
      <c r="E724" s="97"/>
      <c r="F724" s="98"/>
      <c r="G724" s="8"/>
      <c r="I724" s="58"/>
      <c r="J724" s="92"/>
      <c r="L724" s="92"/>
      <c r="N724" s="93"/>
      <c r="O724" s="58"/>
      <c r="P724" s="58"/>
    </row>
    <row r="725">
      <c r="A725" s="92"/>
      <c r="C725" s="92"/>
      <c r="D725" s="96"/>
      <c r="E725" s="97"/>
      <c r="F725" s="98"/>
      <c r="G725" s="8"/>
      <c r="I725" s="58"/>
      <c r="J725" s="92"/>
      <c r="L725" s="92"/>
      <c r="N725" s="93"/>
      <c r="O725" s="58"/>
      <c r="P725" s="58"/>
    </row>
    <row r="726">
      <c r="A726" s="92"/>
      <c r="C726" s="92"/>
      <c r="D726" s="96"/>
      <c r="E726" s="97"/>
      <c r="F726" s="98"/>
      <c r="G726" s="8"/>
      <c r="I726" s="58"/>
      <c r="J726" s="92"/>
      <c r="L726" s="92"/>
      <c r="N726" s="93"/>
      <c r="O726" s="58"/>
      <c r="P726" s="58"/>
    </row>
    <row r="727">
      <c r="A727" s="92"/>
      <c r="C727" s="92"/>
      <c r="D727" s="96"/>
      <c r="E727" s="97"/>
      <c r="F727" s="98"/>
      <c r="G727" s="8"/>
      <c r="I727" s="58"/>
      <c r="J727" s="92"/>
      <c r="L727" s="92"/>
      <c r="N727" s="93"/>
      <c r="O727" s="58"/>
      <c r="P727" s="58"/>
    </row>
    <row r="728">
      <c r="A728" s="92"/>
      <c r="C728" s="92"/>
      <c r="D728" s="96"/>
      <c r="E728" s="97"/>
      <c r="F728" s="98"/>
      <c r="G728" s="8"/>
      <c r="I728" s="58"/>
      <c r="J728" s="92"/>
      <c r="L728" s="92"/>
      <c r="N728" s="93"/>
      <c r="O728" s="58"/>
      <c r="P728" s="58"/>
    </row>
    <row r="729">
      <c r="A729" s="92"/>
      <c r="C729" s="92"/>
      <c r="D729" s="96"/>
      <c r="E729" s="97"/>
      <c r="F729" s="98"/>
      <c r="G729" s="8"/>
      <c r="I729" s="58"/>
      <c r="J729" s="92"/>
      <c r="L729" s="92"/>
      <c r="N729" s="93"/>
      <c r="O729" s="58"/>
      <c r="P729" s="58"/>
    </row>
    <row r="730">
      <c r="A730" s="92"/>
      <c r="C730" s="92"/>
      <c r="D730" s="96"/>
      <c r="E730" s="97"/>
      <c r="F730" s="98"/>
      <c r="G730" s="8"/>
      <c r="I730" s="58"/>
      <c r="J730" s="92"/>
      <c r="L730" s="92"/>
      <c r="N730" s="93"/>
      <c r="O730" s="58"/>
      <c r="P730" s="58"/>
    </row>
    <row r="731">
      <c r="A731" s="92"/>
      <c r="C731" s="92"/>
      <c r="D731" s="96"/>
      <c r="E731" s="97"/>
      <c r="F731" s="98"/>
      <c r="G731" s="8"/>
      <c r="I731" s="58"/>
      <c r="J731" s="92"/>
      <c r="L731" s="92"/>
      <c r="N731" s="93"/>
      <c r="O731" s="58"/>
      <c r="P731" s="58"/>
    </row>
    <row r="732">
      <c r="A732" s="92"/>
      <c r="C732" s="92"/>
      <c r="D732" s="96"/>
      <c r="E732" s="97"/>
      <c r="F732" s="98"/>
      <c r="G732" s="8"/>
      <c r="I732" s="58"/>
      <c r="J732" s="92"/>
      <c r="L732" s="92"/>
      <c r="N732" s="93"/>
      <c r="O732" s="58"/>
      <c r="P732" s="58"/>
    </row>
    <row r="733">
      <c r="A733" s="92"/>
      <c r="C733" s="92"/>
      <c r="D733" s="96"/>
      <c r="E733" s="97"/>
      <c r="F733" s="98"/>
      <c r="G733" s="8"/>
      <c r="I733" s="58"/>
      <c r="J733" s="92"/>
      <c r="L733" s="92"/>
      <c r="N733" s="93"/>
      <c r="O733" s="58"/>
      <c r="P733" s="58"/>
    </row>
    <row r="734">
      <c r="A734" s="92"/>
      <c r="C734" s="92"/>
      <c r="D734" s="96"/>
      <c r="E734" s="97"/>
      <c r="F734" s="98"/>
      <c r="G734" s="8"/>
      <c r="I734" s="58"/>
      <c r="J734" s="92"/>
      <c r="L734" s="92"/>
      <c r="N734" s="93"/>
      <c r="O734" s="58"/>
      <c r="P734" s="58"/>
    </row>
    <row r="735">
      <c r="A735" s="92"/>
      <c r="C735" s="92"/>
      <c r="D735" s="96"/>
      <c r="E735" s="97"/>
      <c r="F735" s="98"/>
      <c r="G735" s="8"/>
      <c r="I735" s="58"/>
      <c r="J735" s="92"/>
      <c r="L735" s="92"/>
      <c r="N735" s="93"/>
      <c r="O735" s="58"/>
      <c r="P735" s="58"/>
    </row>
    <row r="736">
      <c r="A736" s="92"/>
      <c r="C736" s="92"/>
      <c r="D736" s="96"/>
      <c r="E736" s="97"/>
      <c r="F736" s="98"/>
      <c r="G736" s="8"/>
      <c r="I736" s="58"/>
      <c r="J736" s="92"/>
      <c r="L736" s="92"/>
      <c r="N736" s="93"/>
      <c r="O736" s="58"/>
      <c r="P736" s="58"/>
    </row>
    <row r="737">
      <c r="A737" s="92"/>
      <c r="C737" s="92"/>
      <c r="D737" s="96"/>
      <c r="E737" s="97"/>
      <c r="F737" s="98"/>
      <c r="G737" s="8"/>
      <c r="I737" s="58"/>
      <c r="J737" s="92"/>
      <c r="L737" s="92"/>
      <c r="N737" s="93"/>
      <c r="O737" s="58"/>
      <c r="P737" s="58"/>
    </row>
    <row r="738">
      <c r="A738" s="92"/>
      <c r="C738" s="92"/>
      <c r="D738" s="96"/>
      <c r="E738" s="97"/>
      <c r="F738" s="98"/>
      <c r="G738" s="8"/>
      <c r="I738" s="58"/>
      <c r="J738" s="92"/>
      <c r="L738" s="92"/>
      <c r="N738" s="93"/>
      <c r="O738" s="58"/>
      <c r="P738" s="58"/>
    </row>
    <row r="739">
      <c r="A739" s="92"/>
      <c r="C739" s="92"/>
      <c r="D739" s="96"/>
      <c r="E739" s="97"/>
      <c r="F739" s="98"/>
      <c r="G739" s="8"/>
      <c r="I739" s="58"/>
      <c r="J739" s="92"/>
      <c r="L739" s="92"/>
      <c r="N739" s="93"/>
      <c r="O739" s="58"/>
      <c r="P739" s="58"/>
    </row>
    <row r="740">
      <c r="A740" s="92"/>
      <c r="C740" s="92"/>
      <c r="D740" s="96"/>
      <c r="E740" s="97"/>
      <c r="F740" s="98"/>
      <c r="G740" s="8"/>
      <c r="I740" s="58"/>
      <c r="J740" s="92"/>
      <c r="L740" s="92"/>
      <c r="N740" s="93"/>
      <c r="O740" s="58"/>
      <c r="P740" s="58"/>
    </row>
    <row r="741">
      <c r="A741" s="92"/>
      <c r="C741" s="92"/>
      <c r="D741" s="96"/>
      <c r="E741" s="97"/>
      <c r="F741" s="98"/>
      <c r="G741" s="8"/>
      <c r="I741" s="58"/>
      <c r="J741" s="92"/>
      <c r="L741" s="92"/>
      <c r="N741" s="93"/>
      <c r="O741" s="58"/>
      <c r="P741" s="58"/>
    </row>
    <row r="742">
      <c r="A742" s="92"/>
      <c r="C742" s="92"/>
      <c r="D742" s="96"/>
      <c r="E742" s="97"/>
      <c r="F742" s="98"/>
      <c r="G742" s="8"/>
      <c r="I742" s="58"/>
      <c r="J742" s="92"/>
      <c r="L742" s="92"/>
      <c r="N742" s="93"/>
      <c r="O742" s="58"/>
      <c r="P742" s="58"/>
    </row>
    <row r="743">
      <c r="A743" s="92"/>
      <c r="C743" s="92"/>
      <c r="D743" s="96"/>
      <c r="E743" s="97"/>
      <c r="F743" s="98"/>
      <c r="G743" s="8"/>
      <c r="I743" s="58"/>
      <c r="J743" s="92"/>
      <c r="L743" s="92"/>
      <c r="N743" s="93"/>
      <c r="O743" s="58"/>
      <c r="P743" s="58"/>
    </row>
    <row r="744">
      <c r="A744" s="92"/>
      <c r="C744" s="92"/>
      <c r="D744" s="96"/>
      <c r="E744" s="97"/>
      <c r="F744" s="98"/>
      <c r="G744" s="8"/>
      <c r="I744" s="58"/>
      <c r="J744" s="92"/>
      <c r="L744" s="92"/>
      <c r="N744" s="93"/>
      <c r="O744" s="58"/>
      <c r="P744" s="58"/>
    </row>
    <row r="745">
      <c r="A745" s="92"/>
      <c r="C745" s="92"/>
      <c r="D745" s="96"/>
      <c r="E745" s="97"/>
      <c r="F745" s="98"/>
      <c r="G745" s="8"/>
      <c r="I745" s="58"/>
      <c r="J745" s="92"/>
      <c r="L745" s="92"/>
      <c r="N745" s="93"/>
      <c r="O745" s="58"/>
      <c r="P745" s="58"/>
    </row>
    <row r="746">
      <c r="A746" s="92"/>
      <c r="C746" s="92"/>
      <c r="D746" s="96"/>
      <c r="E746" s="97"/>
      <c r="F746" s="98"/>
      <c r="G746" s="8"/>
      <c r="I746" s="58"/>
      <c r="J746" s="92"/>
      <c r="L746" s="92"/>
      <c r="N746" s="93"/>
      <c r="O746" s="58"/>
      <c r="P746" s="58"/>
    </row>
    <row r="747">
      <c r="A747" s="92"/>
      <c r="C747" s="92"/>
      <c r="D747" s="96"/>
      <c r="E747" s="97"/>
      <c r="F747" s="98"/>
      <c r="G747" s="8"/>
      <c r="I747" s="58"/>
      <c r="J747" s="92"/>
      <c r="L747" s="92"/>
      <c r="N747" s="93"/>
      <c r="O747" s="58"/>
      <c r="P747" s="58"/>
    </row>
    <row r="748">
      <c r="A748" s="92"/>
      <c r="C748" s="92"/>
      <c r="D748" s="96"/>
      <c r="E748" s="97"/>
      <c r="F748" s="98"/>
      <c r="G748" s="8"/>
      <c r="I748" s="58"/>
      <c r="J748" s="92"/>
      <c r="L748" s="92"/>
      <c r="N748" s="93"/>
      <c r="O748" s="58"/>
      <c r="P748" s="58"/>
    </row>
    <row r="749">
      <c r="A749" s="92"/>
      <c r="C749" s="92"/>
      <c r="D749" s="96"/>
      <c r="E749" s="97"/>
      <c r="F749" s="98"/>
      <c r="G749" s="8"/>
      <c r="I749" s="58"/>
      <c r="J749" s="92"/>
      <c r="L749" s="92"/>
      <c r="N749" s="93"/>
      <c r="O749" s="58"/>
      <c r="P749" s="58"/>
    </row>
    <row r="750">
      <c r="A750" s="92"/>
      <c r="C750" s="92"/>
      <c r="D750" s="96"/>
      <c r="E750" s="97"/>
      <c r="F750" s="98"/>
      <c r="G750" s="8"/>
      <c r="I750" s="58"/>
      <c r="J750" s="92"/>
      <c r="L750" s="92"/>
      <c r="N750" s="93"/>
      <c r="O750" s="58"/>
      <c r="P750" s="58"/>
    </row>
    <row r="751">
      <c r="A751" s="92"/>
      <c r="C751" s="92"/>
      <c r="D751" s="96"/>
      <c r="E751" s="97"/>
      <c r="F751" s="98"/>
      <c r="G751" s="8"/>
      <c r="I751" s="58"/>
      <c r="J751" s="92"/>
      <c r="L751" s="92"/>
      <c r="N751" s="93"/>
      <c r="O751" s="58"/>
      <c r="P751" s="58"/>
    </row>
    <row r="752">
      <c r="A752" s="92"/>
      <c r="C752" s="92"/>
      <c r="D752" s="96"/>
      <c r="E752" s="97"/>
      <c r="F752" s="98"/>
      <c r="G752" s="8"/>
      <c r="I752" s="58"/>
      <c r="J752" s="92"/>
      <c r="L752" s="92"/>
      <c r="N752" s="93"/>
      <c r="O752" s="58"/>
      <c r="P752" s="58"/>
    </row>
    <row r="753">
      <c r="A753" s="92"/>
      <c r="C753" s="92"/>
      <c r="D753" s="96"/>
      <c r="E753" s="97"/>
      <c r="F753" s="98"/>
      <c r="G753" s="8"/>
      <c r="I753" s="58"/>
      <c r="J753" s="92"/>
      <c r="L753" s="92"/>
      <c r="N753" s="93"/>
      <c r="O753" s="58"/>
      <c r="P753" s="58"/>
    </row>
    <row r="754">
      <c r="A754" s="92"/>
      <c r="C754" s="92"/>
      <c r="D754" s="96"/>
      <c r="E754" s="97"/>
      <c r="F754" s="98"/>
      <c r="G754" s="8"/>
      <c r="I754" s="58"/>
      <c r="J754" s="92"/>
      <c r="L754" s="92"/>
      <c r="N754" s="93"/>
      <c r="O754" s="58"/>
      <c r="P754" s="58"/>
    </row>
    <row r="755">
      <c r="A755" s="92"/>
      <c r="C755" s="92"/>
      <c r="D755" s="96"/>
      <c r="E755" s="97"/>
      <c r="F755" s="98"/>
      <c r="G755" s="8"/>
      <c r="I755" s="58"/>
      <c r="J755" s="92"/>
      <c r="L755" s="92"/>
      <c r="N755" s="93"/>
      <c r="O755" s="58"/>
      <c r="P755" s="58"/>
    </row>
    <row r="756">
      <c r="A756" s="92"/>
      <c r="C756" s="92"/>
      <c r="D756" s="96"/>
      <c r="E756" s="97"/>
      <c r="F756" s="98"/>
      <c r="G756" s="8"/>
      <c r="I756" s="58"/>
      <c r="J756" s="92"/>
      <c r="L756" s="92"/>
      <c r="N756" s="93"/>
      <c r="O756" s="58"/>
      <c r="P756" s="58"/>
    </row>
    <row r="757">
      <c r="A757" s="92"/>
      <c r="C757" s="92"/>
      <c r="D757" s="96"/>
      <c r="E757" s="97"/>
      <c r="F757" s="98"/>
      <c r="G757" s="8"/>
      <c r="I757" s="58"/>
      <c r="J757" s="92"/>
      <c r="L757" s="92"/>
      <c r="N757" s="93"/>
      <c r="O757" s="58"/>
      <c r="P757" s="58"/>
    </row>
    <row r="758">
      <c r="A758" s="92"/>
      <c r="C758" s="92"/>
      <c r="D758" s="96"/>
      <c r="E758" s="97"/>
      <c r="F758" s="98"/>
      <c r="G758" s="8"/>
      <c r="I758" s="58"/>
      <c r="J758" s="92"/>
      <c r="L758" s="92"/>
      <c r="N758" s="93"/>
      <c r="O758" s="58"/>
      <c r="P758" s="58"/>
    </row>
    <row r="759">
      <c r="A759" s="92"/>
      <c r="C759" s="92"/>
      <c r="D759" s="96"/>
      <c r="E759" s="97"/>
      <c r="F759" s="98"/>
      <c r="G759" s="8"/>
      <c r="I759" s="58"/>
      <c r="J759" s="92"/>
      <c r="L759" s="92"/>
      <c r="N759" s="93"/>
      <c r="O759" s="58"/>
      <c r="P759" s="58"/>
    </row>
    <row r="760">
      <c r="A760" s="92"/>
      <c r="C760" s="92"/>
      <c r="D760" s="96"/>
      <c r="E760" s="97"/>
      <c r="F760" s="98"/>
      <c r="G760" s="8"/>
      <c r="I760" s="58"/>
      <c r="J760" s="92"/>
      <c r="L760" s="92"/>
      <c r="N760" s="93"/>
      <c r="O760" s="58"/>
      <c r="P760" s="58"/>
    </row>
    <row r="761">
      <c r="A761" s="92"/>
      <c r="C761" s="92"/>
      <c r="D761" s="96"/>
      <c r="E761" s="97"/>
      <c r="F761" s="98"/>
      <c r="G761" s="8"/>
      <c r="I761" s="58"/>
      <c r="J761" s="92"/>
      <c r="L761" s="92"/>
      <c r="N761" s="93"/>
      <c r="O761" s="58"/>
      <c r="P761" s="58"/>
    </row>
    <row r="762">
      <c r="A762" s="92"/>
      <c r="C762" s="92"/>
      <c r="D762" s="96"/>
      <c r="E762" s="97"/>
      <c r="F762" s="98"/>
      <c r="G762" s="8"/>
      <c r="I762" s="58"/>
      <c r="J762" s="92"/>
      <c r="L762" s="92"/>
      <c r="N762" s="93"/>
      <c r="O762" s="58"/>
      <c r="P762" s="58"/>
    </row>
    <row r="763">
      <c r="A763" s="92"/>
      <c r="C763" s="92"/>
      <c r="D763" s="96"/>
      <c r="E763" s="97"/>
      <c r="F763" s="98"/>
      <c r="G763" s="8"/>
      <c r="I763" s="58"/>
      <c r="J763" s="92"/>
      <c r="L763" s="92"/>
      <c r="N763" s="93"/>
      <c r="O763" s="58"/>
      <c r="P763" s="58"/>
    </row>
    <row r="764">
      <c r="A764" s="92"/>
      <c r="C764" s="92"/>
      <c r="D764" s="96"/>
      <c r="E764" s="97"/>
      <c r="F764" s="98"/>
      <c r="G764" s="8"/>
      <c r="I764" s="58"/>
      <c r="J764" s="92"/>
      <c r="L764" s="92"/>
      <c r="N764" s="93"/>
      <c r="O764" s="58"/>
      <c r="P764" s="58"/>
    </row>
    <row r="765">
      <c r="A765" s="92"/>
      <c r="C765" s="92"/>
      <c r="D765" s="96"/>
      <c r="E765" s="97"/>
      <c r="F765" s="98"/>
      <c r="G765" s="8"/>
      <c r="I765" s="58"/>
      <c r="J765" s="92"/>
      <c r="L765" s="92"/>
      <c r="N765" s="93"/>
      <c r="O765" s="58"/>
      <c r="P765" s="58"/>
    </row>
    <row r="766">
      <c r="A766" s="92"/>
      <c r="C766" s="92"/>
      <c r="D766" s="96"/>
      <c r="E766" s="97"/>
      <c r="F766" s="98"/>
      <c r="G766" s="8"/>
      <c r="I766" s="58"/>
      <c r="J766" s="92"/>
      <c r="L766" s="92"/>
      <c r="N766" s="93"/>
      <c r="O766" s="58"/>
      <c r="P766" s="58"/>
    </row>
    <row r="767">
      <c r="A767" s="92"/>
      <c r="C767" s="92"/>
      <c r="D767" s="96"/>
      <c r="E767" s="97"/>
      <c r="F767" s="98"/>
      <c r="G767" s="8"/>
      <c r="I767" s="58"/>
      <c r="J767" s="92"/>
      <c r="L767" s="92"/>
      <c r="N767" s="93"/>
      <c r="O767" s="58"/>
      <c r="P767" s="58"/>
    </row>
    <row r="768">
      <c r="A768" s="92"/>
      <c r="C768" s="92"/>
      <c r="D768" s="96"/>
      <c r="E768" s="97"/>
      <c r="F768" s="98"/>
      <c r="G768" s="8"/>
      <c r="I768" s="58"/>
      <c r="J768" s="92"/>
      <c r="L768" s="92"/>
      <c r="N768" s="93"/>
      <c r="O768" s="58"/>
      <c r="P768" s="58"/>
    </row>
    <row r="769">
      <c r="A769" s="92"/>
      <c r="C769" s="92"/>
      <c r="D769" s="96"/>
      <c r="E769" s="97"/>
      <c r="F769" s="98"/>
      <c r="G769" s="8"/>
      <c r="I769" s="58"/>
      <c r="J769" s="92"/>
      <c r="L769" s="92"/>
      <c r="N769" s="93"/>
      <c r="O769" s="58"/>
      <c r="P769" s="58"/>
    </row>
    <row r="770">
      <c r="A770" s="92"/>
      <c r="C770" s="92"/>
      <c r="D770" s="96"/>
      <c r="E770" s="97"/>
      <c r="F770" s="98"/>
      <c r="G770" s="8"/>
      <c r="I770" s="58"/>
      <c r="J770" s="92"/>
      <c r="L770" s="92"/>
      <c r="N770" s="93"/>
      <c r="O770" s="58"/>
      <c r="P770" s="58"/>
    </row>
    <row r="771">
      <c r="A771" s="92"/>
      <c r="C771" s="92"/>
      <c r="D771" s="96"/>
      <c r="E771" s="97"/>
      <c r="F771" s="98"/>
      <c r="G771" s="8"/>
      <c r="I771" s="58"/>
      <c r="J771" s="92"/>
      <c r="L771" s="92"/>
      <c r="N771" s="93"/>
      <c r="O771" s="58"/>
      <c r="P771" s="58"/>
    </row>
    <row r="772">
      <c r="A772" s="92"/>
      <c r="C772" s="92"/>
      <c r="D772" s="96"/>
      <c r="E772" s="97"/>
      <c r="F772" s="98"/>
      <c r="G772" s="8"/>
      <c r="I772" s="58"/>
      <c r="J772" s="92"/>
      <c r="L772" s="92"/>
      <c r="N772" s="93"/>
      <c r="O772" s="58"/>
      <c r="P772" s="58"/>
    </row>
    <row r="773">
      <c r="A773" s="92"/>
      <c r="C773" s="92"/>
      <c r="D773" s="96"/>
      <c r="E773" s="97"/>
      <c r="F773" s="98"/>
      <c r="G773" s="8"/>
      <c r="I773" s="58"/>
      <c r="J773" s="92"/>
      <c r="L773" s="92"/>
      <c r="N773" s="93"/>
      <c r="O773" s="58"/>
      <c r="P773" s="58"/>
    </row>
    <row r="774">
      <c r="A774" s="92"/>
      <c r="C774" s="92"/>
      <c r="D774" s="96"/>
      <c r="E774" s="97"/>
      <c r="F774" s="98"/>
      <c r="G774" s="8"/>
      <c r="I774" s="58"/>
      <c r="J774" s="92"/>
      <c r="L774" s="92"/>
      <c r="N774" s="93"/>
      <c r="O774" s="58"/>
      <c r="P774" s="58"/>
    </row>
    <row r="775">
      <c r="A775" s="92"/>
      <c r="C775" s="92"/>
      <c r="D775" s="96"/>
      <c r="E775" s="97"/>
      <c r="F775" s="98"/>
      <c r="G775" s="8"/>
      <c r="I775" s="58"/>
      <c r="J775" s="92"/>
      <c r="L775" s="92"/>
      <c r="N775" s="93"/>
      <c r="O775" s="58"/>
      <c r="P775" s="58"/>
    </row>
    <row r="776">
      <c r="A776" s="92"/>
      <c r="C776" s="92"/>
      <c r="D776" s="96"/>
      <c r="E776" s="97"/>
      <c r="F776" s="98"/>
      <c r="G776" s="8"/>
      <c r="I776" s="58"/>
      <c r="J776" s="92"/>
      <c r="L776" s="92"/>
      <c r="N776" s="93"/>
      <c r="O776" s="58"/>
      <c r="P776" s="58"/>
    </row>
    <row r="777">
      <c r="A777" s="92"/>
      <c r="C777" s="92"/>
      <c r="D777" s="96"/>
      <c r="E777" s="97"/>
      <c r="F777" s="98"/>
      <c r="G777" s="8"/>
      <c r="I777" s="58"/>
      <c r="J777" s="92"/>
      <c r="L777" s="92"/>
      <c r="N777" s="93"/>
      <c r="O777" s="58"/>
      <c r="P777" s="58"/>
    </row>
    <row r="778">
      <c r="A778" s="92"/>
      <c r="C778" s="92"/>
      <c r="D778" s="96"/>
      <c r="E778" s="97"/>
      <c r="F778" s="98"/>
      <c r="G778" s="8"/>
      <c r="I778" s="58"/>
      <c r="J778" s="92"/>
      <c r="L778" s="92"/>
      <c r="N778" s="93"/>
      <c r="O778" s="58"/>
      <c r="P778" s="58"/>
    </row>
    <row r="779">
      <c r="A779" s="92"/>
      <c r="C779" s="92"/>
      <c r="D779" s="96"/>
      <c r="E779" s="97"/>
      <c r="F779" s="98"/>
      <c r="G779" s="8"/>
      <c r="I779" s="58"/>
      <c r="J779" s="92"/>
      <c r="L779" s="92"/>
      <c r="N779" s="93"/>
      <c r="O779" s="58"/>
      <c r="P779" s="58"/>
    </row>
    <row r="780">
      <c r="A780" s="92"/>
      <c r="C780" s="92"/>
      <c r="D780" s="96"/>
      <c r="E780" s="97"/>
      <c r="F780" s="98"/>
      <c r="G780" s="8"/>
      <c r="I780" s="58"/>
      <c r="J780" s="92"/>
      <c r="L780" s="92"/>
      <c r="N780" s="93"/>
      <c r="O780" s="58"/>
      <c r="P780" s="58"/>
    </row>
    <row r="781">
      <c r="A781" s="92"/>
      <c r="C781" s="92"/>
      <c r="D781" s="96"/>
      <c r="E781" s="97"/>
      <c r="F781" s="98"/>
      <c r="G781" s="8"/>
      <c r="I781" s="58"/>
      <c r="J781" s="92"/>
      <c r="L781" s="92"/>
      <c r="N781" s="93"/>
      <c r="O781" s="58"/>
      <c r="P781" s="58"/>
    </row>
    <row r="782">
      <c r="A782" s="92"/>
      <c r="C782" s="92"/>
      <c r="D782" s="96"/>
      <c r="E782" s="97"/>
      <c r="F782" s="98"/>
      <c r="G782" s="8"/>
      <c r="I782" s="58"/>
      <c r="J782" s="92"/>
      <c r="L782" s="92"/>
      <c r="N782" s="93"/>
      <c r="O782" s="58"/>
      <c r="P782" s="58"/>
    </row>
    <row r="783">
      <c r="A783" s="92"/>
      <c r="C783" s="92"/>
      <c r="D783" s="96"/>
      <c r="E783" s="97"/>
      <c r="F783" s="98"/>
      <c r="G783" s="8"/>
      <c r="I783" s="58"/>
      <c r="J783" s="92"/>
      <c r="L783" s="92"/>
      <c r="N783" s="93"/>
      <c r="O783" s="58"/>
      <c r="P783" s="58"/>
    </row>
    <row r="784">
      <c r="A784" s="92"/>
      <c r="C784" s="92"/>
      <c r="D784" s="96"/>
      <c r="E784" s="97"/>
      <c r="F784" s="98"/>
      <c r="G784" s="8"/>
      <c r="I784" s="58"/>
      <c r="J784" s="92"/>
      <c r="L784" s="92"/>
      <c r="N784" s="93"/>
      <c r="O784" s="58"/>
      <c r="P784" s="58"/>
    </row>
    <row r="785">
      <c r="A785" s="92"/>
      <c r="C785" s="92"/>
      <c r="D785" s="96"/>
      <c r="E785" s="97"/>
      <c r="F785" s="98"/>
      <c r="G785" s="8"/>
      <c r="I785" s="58"/>
      <c r="J785" s="92"/>
      <c r="L785" s="92"/>
      <c r="N785" s="93"/>
      <c r="O785" s="58"/>
      <c r="P785" s="58"/>
    </row>
    <row r="786">
      <c r="A786" s="92"/>
      <c r="C786" s="92"/>
      <c r="D786" s="96"/>
      <c r="E786" s="97"/>
      <c r="F786" s="98"/>
      <c r="G786" s="8"/>
      <c r="I786" s="58"/>
      <c r="J786" s="92"/>
      <c r="L786" s="92"/>
      <c r="N786" s="93"/>
      <c r="O786" s="58"/>
      <c r="P786" s="58"/>
    </row>
    <row r="787">
      <c r="A787" s="92"/>
      <c r="C787" s="92"/>
      <c r="D787" s="96"/>
      <c r="E787" s="97"/>
      <c r="F787" s="98"/>
      <c r="G787" s="8"/>
      <c r="I787" s="58"/>
      <c r="J787" s="92"/>
      <c r="L787" s="92"/>
      <c r="N787" s="93"/>
      <c r="O787" s="58"/>
      <c r="P787" s="58"/>
    </row>
    <row r="788">
      <c r="A788" s="92"/>
      <c r="C788" s="92"/>
      <c r="D788" s="96"/>
      <c r="E788" s="97"/>
      <c r="F788" s="98"/>
      <c r="G788" s="8"/>
      <c r="I788" s="58"/>
      <c r="J788" s="92"/>
      <c r="L788" s="92"/>
      <c r="N788" s="93"/>
      <c r="O788" s="58"/>
      <c r="P788" s="58"/>
    </row>
    <row r="789">
      <c r="A789" s="92"/>
      <c r="C789" s="92"/>
      <c r="D789" s="96"/>
      <c r="E789" s="97"/>
      <c r="F789" s="98"/>
      <c r="G789" s="8"/>
      <c r="I789" s="58"/>
      <c r="J789" s="92"/>
      <c r="L789" s="92"/>
      <c r="N789" s="93"/>
      <c r="O789" s="58"/>
      <c r="P789" s="58"/>
    </row>
    <row r="790">
      <c r="A790" s="92"/>
      <c r="C790" s="92"/>
      <c r="D790" s="96"/>
      <c r="E790" s="97"/>
      <c r="F790" s="98"/>
      <c r="G790" s="8"/>
      <c r="I790" s="58"/>
      <c r="J790" s="92"/>
      <c r="L790" s="92"/>
      <c r="N790" s="93"/>
      <c r="O790" s="58"/>
      <c r="P790" s="58"/>
    </row>
    <row r="791">
      <c r="A791" s="92"/>
      <c r="C791" s="92"/>
      <c r="D791" s="96"/>
      <c r="E791" s="97"/>
      <c r="F791" s="98"/>
      <c r="G791" s="8"/>
      <c r="I791" s="58"/>
      <c r="J791" s="92"/>
      <c r="L791" s="92"/>
      <c r="N791" s="93"/>
      <c r="O791" s="58"/>
      <c r="P791" s="58"/>
    </row>
    <row r="792">
      <c r="A792" s="92"/>
      <c r="C792" s="92"/>
      <c r="D792" s="96"/>
      <c r="E792" s="97"/>
      <c r="F792" s="98"/>
      <c r="G792" s="8"/>
      <c r="I792" s="58"/>
      <c r="J792" s="92"/>
      <c r="L792" s="92"/>
      <c r="N792" s="93"/>
      <c r="O792" s="58"/>
      <c r="P792" s="58"/>
    </row>
    <row r="793">
      <c r="A793" s="92"/>
      <c r="C793" s="92"/>
      <c r="D793" s="96"/>
      <c r="E793" s="97"/>
      <c r="F793" s="98"/>
      <c r="G793" s="8"/>
      <c r="I793" s="58"/>
      <c r="J793" s="92"/>
      <c r="L793" s="92"/>
      <c r="N793" s="93"/>
      <c r="O793" s="58"/>
      <c r="P793" s="58"/>
    </row>
    <row r="794">
      <c r="A794" s="92"/>
      <c r="C794" s="92"/>
      <c r="D794" s="96"/>
      <c r="E794" s="97"/>
      <c r="F794" s="98"/>
      <c r="G794" s="8"/>
      <c r="I794" s="58"/>
      <c r="J794" s="92"/>
      <c r="L794" s="92"/>
      <c r="N794" s="93"/>
      <c r="O794" s="58"/>
      <c r="P794" s="58"/>
    </row>
    <row r="795">
      <c r="A795" s="92"/>
      <c r="C795" s="92"/>
      <c r="D795" s="96"/>
      <c r="E795" s="97"/>
      <c r="F795" s="98"/>
      <c r="G795" s="8"/>
      <c r="I795" s="58"/>
      <c r="J795" s="92"/>
      <c r="L795" s="92"/>
      <c r="N795" s="93"/>
      <c r="O795" s="58"/>
      <c r="P795" s="58"/>
    </row>
    <row r="796">
      <c r="A796" s="92"/>
      <c r="C796" s="92"/>
      <c r="D796" s="96"/>
      <c r="E796" s="97"/>
      <c r="F796" s="98"/>
      <c r="G796" s="8"/>
      <c r="I796" s="58"/>
      <c r="J796" s="92"/>
      <c r="L796" s="92"/>
      <c r="N796" s="93"/>
      <c r="O796" s="58"/>
      <c r="P796" s="58"/>
    </row>
    <row r="797">
      <c r="A797" s="92"/>
      <c r="C797" s="92"/>
      <c r="D797" s="96"/>
      <c r="E797" s="97"/>
      <c r="F797" s="98"/>
      <c r="G797" s="8"/>
      <c r="I797" s="58"/>
      <c r="J797" s="92"/>
      <c r="L797" s="92"/>
      <c r="N797" s="93"/>
      <c r="O797" s="58"/>
      <c r="P797" s="58"/>
    </row>
    <row r="798">
      <c r="A798" s="92"/>
      <c r="C798" s="92"/>
      <c r="D798" s="96"/>
      <c r="E798" s="97"/>
      <c r="F798" s="98"/>
      <c r="G798" s="8"/>
      <c r="I798" s="58"/>
      <c r="J798" s="92"/>
      <c r="L798" s="92"/>
      <c r="N798" s="93"/>
      <c r="O798" s="58"/>
      <c r="P798" s="58"/>
    </row>
    <row r="799">
      <c r="A799" s="92"/>
      <c r="C799" s="92"/>
      <c r="D799" s="96"/>
      <c r="E799" s="97"/>
      <c r="F799" s="98"/>
      <c r="G799" s="8"/>
      <c r="I799" s="58"/>
      <c r="J799" s="92"/>
      <c r="L799" s="92"/>
      <c r="N799" s="93"/>
      <c r="O799" s="58"/>
      <c r="P799" s="58"/>
    </row>
    <row r="800">
      <c r="A800" s="92"/>
      <c r="C800" s="92"/>
      <c r="D800" s="96"/>
      <c r="E800" s="97"/>
      <c r="F800" s="98"/>
      <c r="G800" s="8"/>
      <c r="I800" s="58"/>
      <c r="J800" s="92"/>
      <c r="L800" s="92"/>
      <c r="N800" s="93"/>
      <c r="O800" s="58"/>
      <c r="P800" s="58"/>
    </row>
    <row r="801">
      <c r="A801" s="92"/>
      <c r="C801" s="92"/>
      <c r="D801" s="96"/>
      <c r="E801" s="97"/>
      <c r="F801" s="98"/>
      <c r="G801" s="8"/>
      <c r="I801" s="58"/>
      <c r="J801" s="92"/>
      <c r="L801" s="92"/>
      <c r="N801" s="93"/>
      <c r="O801" s="58"/>
      <c r="P801" s="58"/>
    </row>
    <row r="802">
      <c r="A802" s="92"/>
      <c r="C802" s="92"/>
      <c r="D802" s="96"/>
      <c r="E802" s="97"/>
      <c r="F802" s="98"/>
      <c r="G802" s="8"/>
      <c r="I802" s="58"/>
      <c r="J802" s="92"/>
      <c r="L802" s="92"/>
      <c r="N802" s="93"/>
      <c r="O802" s="58"/>
      <c r="P802" s="58"/>
    </row>
    <row r="803">
      <c r="A803" s="92"/>
      <c r="C803" s="92"/>
      <c r="D803" s="96"/>
      <c r="E803" s="97"/>
      <c r="F803" s="98"/>
      <c r="G803" s="8"/>
      <c r="I803" s="58"/>
      <c r="J803" s="92"/>
      <c r="L803" s="92"/>
      <c r="N803" s="93"/>
      <c r="O803" s="58"/>
      <c r="P803" s="58"/>
    </row>
    <row r="804">
      <c r="A804" s="92"/>
      <c r="C804" s="92"/>
      <c r="D804" s="96"/>
      <c r="E804" s="97"/>
      <c r="F804" s="98"/>
      <c r="G804" s="8"/>
      <c r="I804" s="58"/>
      <c r="J804" s="92"/>
      <c r="L804" s="92"/>
      <c r="N804" s="93"/>
      <c r="O804" s="58"/>
      <c r="P804" s="58"/>
    </row>
    <row r="805">
      <c r="A805" s="92"/>
      <c r="C805" s="92"/>
      <c r="D805" s="96"/>
      <c r="E805" s="97"/>
      <c r="F805" s="98"/>
      <c r="G805" s="8"/>
      <c r="I805" s="58"/>
      <c r="J805" s="92"/>
      <c r="L805" s="92"/>
      <c r="N805" s="93"/>
      <c r="O805" s="58"/>
      <c r="P805" s="58"/>
    </row>
    <row r="806">
      <c r="A806" s="92"/>
      <c r="C806" s="92"/>
      <c r="D806" s="96"/>
      <c r="E806" s="97"/>
      <c r="F806" s="98"/>
      <c r="G806" s="8"/>
      <c r="I806" s="58"/>
      <c r="J806" s="92"/>
      <c r="L806" s="92"/>
      <c r="N806" s="93"/>
      <c r="O806" s="58"/>
      <c r="P806" s="58"/>
    </row>
    <row r="807">
      <c r="A807" s="92"/>
      <c r="C807" s="92"/>
      <c r="D807" s="96"/>
      <c r="E807" s="97"/>
      <c r="F807" s="98"/>
      <c r="G807" s="8"/>
      <c r="I807" s="58"/>
      <c r="J807" s="92"/>
      <c r="L807" s="92"/>
      <c r="N807" s="93"/>
      <c r="O807" s="58"/>
      <c r="P807" s="58"/>
    </row>
    <row r="808">
      <c r="A808" s="92"/>
      <c r="C808" s="92"/>
      <c r="D808" s="96"/>
      <c r="E808" s="97"/>
      <c r="F808" s="98"/>
      <c r="G808" s="8"/>
      <c r="I808" s="58"/>
      <c r="J808" s="92"/>
      <c r="L808" s="92"/>
      <c r="N808" s="93"/>
      <c r="O808" s="58"/>
      <c r="P808" s="58"/>
    </row>
    <row r="809">
      <c r="A809" s="92"/>
      <c r="C809" s="92"/>
      <c r="D809" s="96"/>
      <c r="E809" s="97"/>
      <c r="F809" s="98"/>
      <c r="G809" s="8"/>
      <c r="I809" s="58"/>
      <c r="J809" s="92"/>
      <c r="L809" s="92"/>
      <c r="N809" s="93"/>
      <c r="O809" s="58"/>
      <c r="P809" s="58"/>
    </row>
    <row r="810">
      <c r="A810" s="92"/>
      <c r="C810" s="92"/>
      <c r="D810" s="96"/>
      <c r="E810" s="97"/>
      <c r="F810" s="98"/>
      <c r="G810" s="8"/>
      <c r="I810" s="58"/>
      <c r="J810" s="92"/>
      <c r="L810" s="92"/>
      <c r="N810" s="93"/>
      <c r="O810" s="58"/>
      <c r="P810" s="58"/>
    </row>
    <row r="811">
      <c r="A811" s="92"/>
      <c r="C811" s="92"/>
      <c r="D811" s="96"/>
      <c r="E811" s="97"/>
      <c r="F811" s="98"/>
      <c r="G811" s="8"/>
      <c r="I811" s="58"/>
      <c r="J811" s="92"/>
      <c r="L811" s="92"/>
      <c r="N811" s="93"/>
      <c r="O811" s="58"/>
      <c r="P811" s="58"/>
    </row>
    <row r="812">
      <c r="A812" s="92"/>
      <c r="C812" s="92"/>
      <c r="D812" s="96"/>
      <c r="E812" s="97"/>
      <c r="F812" s="98"/>
      <c r="G812" s="8"/>
      <c r="I812" s="58"/>
      <c r="J812" s="92"/>
      <c r="L812" s="92"/>
      <c r="N812" s="93"/>
      <c r="O812" s="58"/>
      <c r="P812" s="58"/>
    </row>
    <row r="813">
      <c r="A813" s="92"/>
      <c r="C813" s="92"/>
      <c r="D813" s="96"/>
      <c r="E813" s="97"/>
      <c r="F813" s="98"/>
      <c r="G813" s="8"/>
      <c r="I813" s="58"/>
      <c r="J813" s="92"/>
      <c r="L813" s="92"/>
      <c r="N813" s="93"/>
      <c r="O813" s="58"/>
      <c r="P813" s="58"/>
    </row>
    <row r="814">
      <c r="A814" s="92"/>
      <c r="C814" s="92"/>
      <c r="D814" s="96"/>
      <c r="E814" s="97"/>
      <c r="F814" s="98"/>
      <c r="G814" s="8"/>
      <c r="I814" s="58"/>
      <c r="J814" s="92"/>
      <c r="L814" s="92"/>
      <c r="N814" s="93"/>
      <c r="O814" s="58"/>
      <c r="P814" s="58"/>
    </row>
    <row r="815">
      <c r="A815" s="92"/>
      <c r="C815" s="92"/>
      <c r="D815" s="96"/>
      <c r="E815" s="97"/>
      <c r="F815" s="98"/>
      <c r="G815" s="8"/>
      <c r="I815" s="58"/>
      <c r="J815" s="92"/>
      <c r="L815" s="92"/>
      <c r="N815" s="93"/>
      <c r="O815" s="58"/>
      <c r="P815" s="58"/>
    </row>
    <row r="816">
      <c r="A816" s="92"/>
      <c r="C816" s="92"/>
      <c r="D816" s="96"/>
      <c r="E816" s="97"/>
      <c r="F816" s="98"/>
      <c r="G816" s="8"/>
      <c r="I816" s="58"/>
      <c r="J816" s="92"/>
      <c r="L816" s="92"/>
      <c r="N816" s="93"/>
      <c r="O816" s="58"/>
      <c r="P816" s="58"/>
    </row>
    <row r="817">
      <c r="A817" s="92"/>
      <c r="C817" s="92"/>
      <c r="D817" s="96"/>
      <c r="E817" s="97"/>
      <c r="F817" s="98"/>
      <c r="G817" s="8"/>
      <c r="I817" s="58"/>
      <c r="J817" s="92"/>
      <c r="L817" s="92"/>
      <c r="N817" s="93"/>
      <c r="O817" s="58"/>
      <c r="P817" s="58"/>
    </row>
    <row r="818">
      <c r="A818" s="92"/>
      <c r="C818" s="92"/>
      <c r="D818" s="96"/>
      <c r="E818" s="97"/>
      <c r="F818" s="98"/>
      <c r="G818" s="8"/>
      <c r="I818" s="58"/>
      <c r="J818" s="92"/>
      <c r="L818" s="92"/>
      <c r="N818" s="93"/>
      <c r="O818" s="58"/>
      <c r="P818" s="58"/>
    </row>
    <row r="819">
      <c r="A819" s="92"/>
      <c r="C819" s="92"/>
      <c r="D819" s="96"/>
      <c r="E819" s="97"/>
      <c r="F819" s="98"/>
      <c r="G819" s="8"/>
      <c r="I819" s="58"/>
      <c r="J819" s="92"/>
      <c r="L819" s="92"/>
      <c r="N819" s="93"/>
      <c r="O819" s="58"/>
      <c r="P819" s="58"/>
    </row>
    <row r="820">
      <c r="A820" s="92"/>
      <c r="C820" s="92"/>
      <c r="D820" s="96"/>
      <c r="E820" s="97"/>
      <c r="F820" s="98"/>
      <c r="G820" s="8"/>
      <c r="I820" s="58"/>
      <c r="J820" s="92"/>
      <c r="L820" s="92"/>
      <c r="N820" s="93"/>
      <c r="O820" s="58"/>
      <c r="P820" s="58"/>
    </row>
    <row r="821">
      <c r="A821" s="92"/>
      <c r="C821" s="92"/>
      <c r="D821" s="96"/>
      <c r="E821" s="97"/>
      <c r="F821" s="98"/>
      <c r="G821" s="8"/>
      <c r="I821" s="58"/>
      <c r="J821" s="92"/>
      <c r="L821" s="92"/>
      <c r="N821" s="93"/>
      <c r="O821" s="58"/>
      <c r="P821" s="58"/>
    </row>
    <row r="822">
      <c r="A822" s="92"/>
      <c r="C822" s="92"/>
      <c r="D822" s="96"/>
      <c r="E822" s="97"/>
      <c r="F822" s="98"/>
      <c r="G822" s="8"/>
      <c r="I822" s="58"/>
      <c r="J822" s="92"/>
      <c r="L822" s="92"/>
      <c r="N822" s="93"/>
      <c r="O822" s="58"/>
      <c r="P822" s="58"/>
    </row>
    <row r="823">
      <c r="A823" s="92"/>
      <c r="C823" s="92"/>
      <c r="D823" s="96"/>
      <c r="E823" s="97"/>
      <c r="F823" s="98"/>
      <c r="G823" s="8"/>
      <c r="I823" s="58"/>
      <c r="J823" s="92"/>
      <c r="L823" s="92"/>
      <c r="N823" s="93"/>
      <c r="O823" s="58"/>
      <c r="P823" s="58"/>
    </row>
    <row r="824">
      <c r="A824" s="92"/>
      <c r="C824" s="92"/>
      <c r="D824" s="96"/>
      <c r="E824" s="97"/>
      <c r="F824" s="98"/>
      <c r="G824" s="8"/>
      <c r="I824" s="58"/>
      <c r="J824" s="92"/>
      <c r="L824" s="92"/>
      <c r="N824" s="93"/>
      <c r="O824" s="58"/>
      <c r="P824" s="58"/>
    </row>
    <row r="825">
      <c r="A825" s="92"/>
      <c r="C825" s="92"/>
      <c r="D825" s="96"/>
      <c r="E825" s="97"/>
      <c r="F825" s="98"/>
      <c r="G825" s="8"/>
      <c r="I825" s="58"/>
      <c r="J825" s="92"/>
      <c r="L825" s="92"/>
      <c r="N825" s="93"/>
      <c r="O825" s="58"/>
      <c r="P825" s="58"/>
    </row>
    <row r="826">
      <c r="A826" s="92"/>
      <c r="C826" s="92"/>
      <c r="D826" s="96"/>
      <c r="E826" s="97"/>
      <c r="F826" s="98"/>
      <c r="G826" s="8"/>
      <c r="I826" s="58"/>
      <c r="J826" s="92"/>
      <c r="L826" s="92"/>
      <c r="N826" s="93"/>
      <c r="O826" s="58"/>
      <c r="P826" s="58"/>
    </row>
    <row r="827">
      <c r="A827" s="92"/>
      <c r="C827" s="92"/>
      <c r="D827" s="96"/>
      <c r="E827" s="97"/>
      <c r="F827" s="98"/>
      <c r="G827" s="8"/>
      <c r="I827" s="58"/>
      <c r="J827" s="92"/>
      <c r="L827" s="92"/>
      <c r="N827" s="93"/>
      <c r="O827" s="58"/>
      <c r="P827" s="58"/>
    </row>
    <row r="828">
      <c r="A828" s="92"/>
      <c r="C828" s="92"/>
      <c r="D828" s="96"/>
      <c r="E828" s="97"/>
      <c r="F828" s="98"/>
      <c r="G828" s="8"/>
      <c r="I828" s="58"/>
      <c r="J828" s="92"/>
      <c r="L828" s="92"/>
      <c r="N828" s="93"/>
      <c r="O828" s="58"/>
      <c r="P828" s="58"/>
    </row>
    <row r="829">
      <c r="A829" s="92"/>
      <c r="C829" s="92"/>
      <c r="D829" s="96"/>
      <c r="E829" s="97"/>
      <c r="F829" s="98"/>
      <c r="G829" s="8"/>
      <c r="I829" s="58"/>
      <c r="J829" s="92"/>
      <c r="L829" s="92"/>
      <c r="N829" s="93"/>
      <c r="O829" s="58"/>
      <c r="P829" s="58"/>
    </row>
    <row r="830">
      <c r="A830" s="92"/>
      <c r="C830" s="92"/>
      <c r="D830" s="96"/>
      <c r="E830" s="97"/>
      <c r="F830" s="98"/>
      <c r="G830" s="8"/>
      <c r="I830" s="58"/>
      <c r="J830" s="92"/>
      <c r="L830" s="92"/>
      <c r="N830" s="93"/>
      <c r="O830" s="58"/>
      <c r="P830" s="58"/>
    </row>
    <row r="831">
      <c r="A831" s="92"/>
      <c r="C831" s="92"/>
      <c r="D831" s="96"/>
      <c r="E831" s="97"/>
      <c r="F831" s="98"/>
      <c r="G831" s="8"/>
      <c r="I831" s="58"/>
      <c r="J831" s="92"/>
      <c r="L831" s="92"/>
      <c r="N831" s="93"/>
      <c r="O831" s="58"/>
      <c r="P831" s="58"/>
    </row>
    <row r="832">
      <c r="A832" s="92"/>
      <c r="C832" s="92"/>
      <c r="D832" s="96"/>
      <c r="E832" s="97"/>
      <c r="F832" s="98"/>
      <c r="G832" s="8"/>
      <c r="I832" s="58"/>
      <c r="J832" s="92"/>
      <c r="L832" s="92"/>
      <c r="N832" s="93"/>
      <c r="O832" s="58"/>
      <c r="P832" s="58"/>
    </row>
    <row r="833">
      <c r="A833" s="92"/>
      <c r="C833" s="92"/>
      <c r="D833" s="96"/>
      <c r="E833" s="97"/>
      <c r="F833" s="98"/>
      <c r="G833" s="8"/>
      <c r="I833" s="58"/>
      <c r="J833" s="92"/>
      <c r="L833" s="92"/>
      <c r="N833" s="93"/>
      <c r="O833" s="58"/>
      <c r="P833" s="58"/>
    </row>
    <row r="834">
      <c r="A834" s="92"/>
      <c r="C834" s="92"/>
      <c r="D834" s="96"/>
      <c r="E834" s="97"/>
      <c r="F834" s="98"/>
      <c r="G834" s="8"/>
      <c r="I834" s="58"/>
      <c r="J834" s="92"/>
      <c r="L834" s="92"/>
      <c r="N834" s="93"/>
      <c r="O834" s="58"/>
      <c r="P834" s="58"/>
    </row>
    <row r="835">
      <c r="A835" s="92"/>
      <c r="C835" s="92"/>
      <c r="D835" s="96"/>
      <c r="E835" s="97"/>
      <c r="F835" s="98"/>
      <c r="G835" s="8"/>
      <c r="I835" s="58"/>
      <c r="J835" s="92"/>
      <c r="L835" s="92"/>
      <c r="N835" s="93"/>
      <c r="O835" s="58"/>
      <c r="P835" s="58"/>
    </row>
    <row r="836">
      <c r="A836" s="92"/>
      <c r="C836" s="92"/>
      <c r="D836" s="96"/>
      <c r="E836" s="97"/>
      <c r="F836" s="98"/>
      <c r="G836" s="8"/>
      <c r="I836" s="58"/>
      <c r="J836" s="92"/>
      <c r="L836" s="92"/>
      <c r="N836" s="93"/>
      <c r="O836" s="58"/>
      <c r="P836" s="58"/>
    </row>
    <row r="837">
      <c r="A837" s="92"/>
      <c r="C837" s="92"/>
      <c r="D837" s="96"/>
      <c r="E837" s="97"/>
      <c r="F837" s="98"/>
      <c r="G837" s="8"/>
      <c r="I837" s="58"/>
      <c r="J837" s="92"/>
      <c r="L837" s="92"/>
      <c r="N837" s="93"/>
      <c r="O837" s="58"/>
      <c r="P837" s="58"/>
    </row>
    <row r="838">
      <c r="A838" s="92"/>
      <c r="C838" s="92"/>
      <c r="D838" s="96"/>
      <c r="E838" s="97"/>
      <c r="F838" s="98"/>
      <c r="G838" s="8"/>
      <c r="I838" s="58"/>
      <c r="J838" s="92"/>
      <c r="L838" s="92"/>
      <c r="N838" s="93"/>
      <c r="O838" s="58"/>
      <c r="P838" s="58"/>
    </row>
    <row r="839">
      <c r="A839" s="92"/>
      <c r="C839" s="92"/>
      <c r="D839" s="96"/>
      <c r="E839" s="97"/>
      <c r="F839" s="98"/>
      <c r="G839" s="8"/>
      <c r="I839" s="58"/>
      <c r="J839" s="92"/>
      <c r="L839" s="92"/>
      <c r="N839" s="93"/>
      <c r="O839" s="58"/>
      <c r="P839" s="58"/>
    </row>
    <row r="840">
      <c r="A840" s="92"/>
      <c r="C840" s="92"/>
      <c r="D840" s="96"/>
      <c r="E840" s="97"/>
      <c r="F840" s="98"/>
      <c r="G840" s="8"/>
      <c r="I840" s="58"/>
      <c r="J840" s="92"/>
      <c r="L840" s="92"/>
      <c r="N840" s="93"/>
      <c r="O840" s="58"/>
      <c r="P840" s="58"/>
    </row>
    <row r="841">
      <c r="A841" s="92"/>
      <c r="C841" s="92"/>
      <c r="D841" s="96"/>
      <c r="E841" s="97"/>
      <c r="F841" s="98"/>
      <c r="G841" s="8"/>
      <c r="I841" s="58"/>
      <c r="J841" s="92"/>
      <c r="L841" s="92"/>
      <c r="N841" s="93"/>
      <c r="O841" s="58"/>
      <c r="P841" s="58"/>
    </row>
    <row r="842">
      <c r="A842" s="92"/>
      <c r="C842" s="92"/>
      <c r="D842" s="96"/>
      <c r="E842" s="97"/>
      <c r="F842" s="98"/>
      <c r="G842" s="8"/>
      <c r="I842" s="58"/>
      <c r="J842" s="92"/>
      <c r="L842" s="92"/>
      <c r="N842" s="93"/>
      <c r="O842" s="58"/>
      <c r="P842" s="58"/>
    </row>
    <row r="843">
      <c r="A843" s="92"/>
      <c r="C843" s="92"/>
      <c r="D843" s="96"/>
      <c r="E843" s="97"/>
      <c r="F843" s="98"/>
      <c r="G843" s="8"/>
      <c r="I843" s="58"/>
      <c r="J843" s="92"/>
      <c r="L843" s="92"/>
      <c r="N843" s="93"/>
      <c r="O843" s="58"/>
      <c r="P843" s="58"/>
    </row>
    <row r="844">
      <c r="A844" s="92"/>
      <c r="C844" s="92"/>
      <c r="D844" s="96"/>
      <c r="E844" s="97"/>
      <c r="F844" s="98"/>
      <c r="G844" s="8"/>
      <c r="I844" s="58"/>
      <c r="J844" s="92"/>
      <c r="L844" s="92"/>
      <c r="N844" s="93"/>
      <c r="O844" s="58"/>
      <c r="P844" s="58"/>
    </row>
    <row r="845">
      <c r="A845" s="92"/>
      <c r="C845" s="92"/>
      <c r="D845" s="96"/>
      <c r="E845" s="97"/>
      <c r="F845" s="98"/>
      <c r="G845" s="8"/>
      <c r="I845" s="58"/>
      <c r="J845" s="92"/>
      <c r="L845" s="92"/>
      <c r="N845" s="93"/>
      <c r="O845" s="58"/>
      <c r="P845" s="58"/>
    </row>
    <row r="846">
      <c r="A846" s="92"/>
      <c r="C846" s="92"/>
      <c r="D846" s="96"/>
      <c r="E846" s="97"/>
      <c r="F846" s="98"/>
      <c r="G846" s="8"/>
      <c r="I846" s="58"/>
      <c r="J846" s="92"/>
      <c r="L846" s="92"/>
      <c r="N846" s="93"/>
      <c r="O846" s="58"/>
      <c r="P846" s="58"/>
    </row>
    <row r="847">
      <c r="A847" s="92"/>
      <c r="C847" s="92"/>
      <c r="D847" s="96"/>
      <c r="E847" s="97"/>
      <c r="F847" s="98"/>
      <c r="G847" s="8"/>
      <c r="I847" s="58"/>
      <c r="J847" s="92"/>
      <c r="L847" s="92"/>
      <c r="N847" s="93"/>
      <c r="O847" s="58"/>
      <c r="P847" s="58"/>
    </row>
    <row r="848">
      <c r="A848" s="92"/>
      <c r="C848" s="92"/>
      <c r="D848" s="96"/>
      <c r="E848" s="97"/>
      <c r="F848" s="98"/>
      <c r="G848" s="8"/>
      <c r="I848" s="58"/>
      <c r="J848" s="92"/>
      <c r="L848" s="92"/>
      <c r="N848" s="93"/>
      <c r="O848" s="58"/>
      <c r="P848" s="58"/>
    </row>
    <row r="849">
      <c r="A849" s="92"/>
      <c r="C849" s="92"/>
      <c r="D849" s="96"/>
      <c r="E849" s="97"/>
      <c r="F849" s="98"/>
      <c r="G849" s="8"/>
      <c r="I849" s="58"/>
      <c r="J849" s="92"/>
      <c r="L849" s="92"/>
      <c r="N849" s="93"/>
      <c r="O849" s="58"/>
      <c r="P849" s="58"/>
    </row>
    <row r="850">
      <c r="A850" s="92"/>
      <c r="C850" s="92"/>
      <c r="D850" s="96"/>
      <c r="E850" s="97"/>
      <c r="F850" s="98"/>
      <c r="G850" s="8"/>
      <c r="I850" s="58"/>
      <c r="J850" s="92"/>
      <c r="L850" s="92"/>
      <c r="N850" s="93"/>
      <c r="O850" s="58"/>
      <c r="P850" s="58"/>
    </row>
    <row r="851">
      <c r="A851" s="92"/>
      <c r="C851" s="92"/>
      <c r="D851" s="96"/>
      <c r="E851" s="97"/>
      <c r="F851" s="98"/>
      <c r="G851" s="8"/>
      <c r="I851" s="58"/>
      <c r="J851" s="92"/>
      <c r="L851" s="92"/>
      <c r="N851" s="93"/>
      <c r="O851" s="58"/>
      <c r="P851" s="58"/>
    </row>
    <row r="852">
      <c r="A852" s="92"/>
      <c r="C852" s="92"/>
      <c r="D852" s="96"/>
      <c r="E852" s="97"/>
      <c r="F852" s="98"/>
      <c r="G852" s="8"/>
      <c r="I852" s="58"/>
      <c r="J852" s="92"/>
      <c r="L852" s="92"/>
      <c r="N852" s="93"/>
      <c r="O852" s="58"/>
      <c r="P852" s="58"/>
    </row>
    <row r="853">
      <c r="A853" s="92"/>
      <c r="C853" s="92"/>
      <c r="D853" s="96"/>
      <c r="E853" s="97"/>
      <c r="F853" s="98"/>
      <c r="G853" s="8"/>
      <c r="I853" s="58"/>
      <c r="J853" s="92"/>
      <c r="L853" s="92"/>
      <c r="N853" s="93"/>
      <c r="O853" s="58"/>
      <c r="P853" s="58"/>
    </row>
    <row r="854">
      <c r="A854" s="92"/>
      <c r="C854" s="92"/>
      <c r="D854" s="96"/>
      <c r="E854" s="97"/>
      <c r="F854" s="98"/>
      <c r="G854" s="8"/>
      <c r="I854" s="58"/>
      <c r="J854" s="92"/>
      <c r="L854" s="92"/>
      <c r="N854" s="93"/>
      <c r="O854" s="58"/>
      <c r="P854" s="58"/>
    </row>
    <row r="855">
      <c r="A855" s="92"/>
      <c r="C855" s="92"/>
      <c r="D855" s="96"/>
      <c r="E855" s="97"/>
      <c r="F855" s="98"/>
      <c r="G855" s="8"/>
      <c r="I855" s="58"/>
      <c r="J855" s="92"/>
      <c r="L855" s="92"/>
      <c r="N855" s="93"/>
      <c r="O855" s="58"/>
      <c r="P855" s="58"/>
    </row>
    <row r="856">
      <c r="A856" s="92"/>
      <c r="C856" s="92"/>
      <c r="D856" s="96"/>
      <c r="E856" s="97"/>
      <c r="F856" s="98"/>
      <c r="G856" s="8"/>
      <c r="I856" s="58"/>
      <c r="J856" s="92"/>
      <c r="L856" s="92"/>
      <c r="N856" s="93"/>
      <c r="O856" s="58"/>
      <c r="P856" s="58"/>
    </row>
    <row r="857">
      <c r="A857" s="92"/>
      <c r="C857" s="92"/>
      <c r="D857" s="96"/>
      <c r="E857" s="97"/>
      <c r="F857" s="98"/>
      <c r="G857" s="8"/>
      <c r="I857" s="58"/>
      <c r="J857" s="92"/>
      <c r="L857" s="92"/>
      <c r="N857" s="93"/>
      <c r="O857" s="58"/>
      <c r="P857" s="58"/>
    </row>
    <row r="858">
      <c r="A858" s="92"/>
      <c r="C858" s="92"/>
      <c r="D858" s="96"/>
      <c r="E858" s="97"/>
      <c r="F858" s="98"/>
      <c r="G858" s="8"/>
      <c r="I858" s="58"/>
      <c r="J858" s="92"/>
      <c r="L858" s="92"/>
      <c r="N858" s="93"/>
      <c r="O858" s="58"/>
      <c r="P858" s="58"/>
    </row>
    <row r="859">
      <c r="A859" s="92"/>
      <c r="C859" s="92"/>
      <c r="D859" s="96"/>
      <c r="E859" s="97"/>
      <c r="F859" s="98"/>
      <c r="G859" s="8"/>
      <c r="I859" s="58"/>
      <c r="J859" s="92"/>
      <c r="L859" s="92"/>
      <c r="N859" s="93"/>
      <c r="O859" s="58"/>
      <c r="P859" s="58"/>
    </row>
    <row r="860">
      <c r="A860" s="92"/>
      <c r="C860" s="92"/>
      <c r="D860" s="96"/>
      <c r="E860" s="97"/>
      <c r="F860" s="98"/>
      <c r="G860" s="8"/>
      <c r="I860" s="58"/>
      <c r="J860" s="92"/>
      <c r="L860" s="92"/>
      <c r="N860" s="93"/>
      <c r="O860" s="58"/>
      <c r="P860" s="58"/>
    </row>
    <row r="861">
      <c r="A861" s="92"/>
      <c r="C861" s="92"/>
      <c r="D861" s="96"/>
      <c r="E861" s="97"/>
      <c r="F861" s="98"/>
      <c r="G861" s="8"/>
      <c r="I861" s="58"/>
      <c r="J861" s="92"/>
      <c r="L861" s="92"/>
      <c r="N861" s="93"/>
      <c r="O861" s="58"/>
      <c r="P861" s="58"/>
    </row>
    <row r="862">
      <c r="A862" s="92"/>
      <c r="C862" s="92"/>
      <c r="D862" s="96"/>
      <c r="E862" s="97"/>
      <c r="F862" s="98"/>
      <c r="G862" s="8"/>
      <c r="I862" s="58"/>
      <c r="J862" s="92"/>
      <c r="L862" s="92"/>
      <c r="N862" s="93"/>
      <c r="O862" s="58"/>
      <c r="P862" s="58"/>
    </row>
    <row r="863">
      <c r="A863" s="92"/>
      <c r="C863" s="92"/>
      <c r="D863" s="96"/>
      <c r="E863" s="97"/>
      <c r="F863" s="98"/>
      <c r="G863" s="8"/>
      <c r="I863" s="58"/>
      <c r="J863" s="92"/>
      <c r="L863" s="92"/>
      <c r="N863" s="93"/>
      <c r="O863" s="58"/>
      <c r="P863" s="58"/>
    </row>
    <row r="864">
      <c r="A864" s="92"/>
      <c r="C864" s="92"/>
      <c r="D864" s="96"/>
      <c r="E864" s="97"/>
      <c r="F864" s="98"/>
      <c r="G864" s="8"/>
      <c r="I864" s="58"/>
      <c r="J864" s="92"/>
      <c r="L864" s="92"/>
      <c r="N864" s="93"/>
      <c r="O864" s="58"/>
      <c r="P864" s="58"/>
    </row>
    <row r="865">
      <c r="A865" s="92"/>
      <c r="C865" s="92"/>
      <c r="D865" s="96"/>
      <c r="E865" s="97"/>
      <c r="F865" s="98"/>
      <c r="G865" s="8"/>
      <c r="I865" s="58"/>
      <c r="J865" s="92"/>
      <c r="L865" s="92"/>
      <c r="N865" s="93"/>
      <c r="O865" s="58"/>
      <c r="P865" s="58"/>
    </row>
    <row r="866">
      <c r="A866" s="92"/>
      <c r="C866" s="92"/>
      <c r="D866" s="96"/>
      <c r="E866" s="97"/>
      <c r="F866" s="98"/>
      <c r="G866" s="8"/>
      <c r="I866" s="58"/>
      <c r="J866" s="92"/>
      <c r="L866" s="92"/>
      <c r="N866" s="93"/>
      <c r="O866" s="58"/>
      <c r="P866" s="58"/>
    </row>
    <row r="867">
      <c r="A867" s="92"/>
      <c r="C867" s="92"/>
      <c r="D867" s="96"/>
      <c r="E867" s="97"/>
      <c r="F867" s="98"/>
      <c r="G867" s="8"/>
      <c r="I867" s="58"/>
      <c r="J867" s="92"/>
      <c r="L867" s="92"/>
      <c r="N867" s="93"/>
      <c r="O867" s="58"/>
      <c r="P867" s="58"/>
    </row>
    <row r="868">
      <c r="A868" s="92"/>
      <c r="C868" s="92"/>
      <c r="D868" s="96"/>
      <c r="E868" s="97"/>
      <c r="F868" s="98"/>
      <c r="G868" s="8"/>
      <c r="I868" s="58"/>
      <c r="J868" s="92"/>
      <c r="L868" s="92"/>
      <c r="N868" s="93"/>
      <c r="O868" s="58"/>
      <c r="P868" s="58"/>
    </row>
    <row r="869">
      <c r="A869" s="92"/>
      <c r="C869" s="92"/>
      <c r="D869" s="96"/>
      <c r="E869" s="97"/>
      <c r="F869" s="98"/>
      <c r="G869" s="8"/>
      <c r="I869" s="58"/>
      <c r="J869" s="92"/>
      <c r="L869" s="92"/>
      <c r="N869" s="93"/>
      <c r="O869" s="58"/>
      <c r="P869" s="58"/>
    </row>
    <row r="870">
      <c r="A870" s="92"/>
      <c r="C870" s="92"/>
      <c r="D870" s="96"/>
      <c r="E870" s="97"/>
      <c r="F870" s="98"/>
      <c r="G870" s="8"/>
      <c r="I870" s="58"/>
      <c r="J870" s="92"/>
      <c r="L870" s="92"/>
      <c r="N870" s="93"/>
      <c r="O870" s="58"/>
      <c r="P870" s="58"/>
    </row>
    <row r="871">
      <c r="A871" s="92"/>
      <c r="C871" s="92"/>
      <c r="D871" s="96"/>
      <c r="E871" s="97"/>
      <c r="F871" s="98"/>
      <c r="G871" s="8"/>
      <c r="I871" s="58"/>
      <c r="J871" s="92"/>
      <c r="L871" s="92"/>
      <c r="N871" s="93"/>
      <c r="O871" s="58"/>
      <c r="P871" s="58"/>
    </row>
    <row r="872">
      <c r="A872" s="92"/>
      <c r="C872" s="92"/>
      <c r="D872" s="96"/>
      <c r="E872" s="97"/>
      <c r="F872" s="98"/>
      <c r="G872" s="8"/>
      <c r="I872" s="58"/>
      <c r="J872" s="92"/>
      <c r="L872" s="92"/>
      <c r="N872" s="93"/>
      <c r="O872" s="58"/>
      <c r="P872" s="58"/>
    </row>
    <row r="873">
      <c r="A873" s="92"/>
      <c r="C873" s="92"/>
      <c r="D873" s="96"/>
      <c r="E873" s="97"/>
      <c r="F873" s="98"/>
      <c r="G873" s="8"/>
      <c r="I873" s="58"/>
      <c r="J873" s="92"/>
      <c r="L873" s="92"/>
      <c r="N873" s="93"/>
      <c r="O873" s="58"/>
      <c r="P873" s="58"/>
    </row>
    <row r="874">
      <c r="A874" s="92"/>
      <c r="C874" s="92"/>
      <c r="D874" s="96"/>
      <c r="E874" s="97"/>
      <c r="F874" s="98"/>
      <c r="G874" s="8"/>
      <c r="I874" s="58"/>
      <c r="J874" s="92"/>
      <c r="L874" s="92"/>
      <c r="N874" s="93"/>
      <c r="O874" s="58"/>
      <c r="P874" s="58"/>
    </row>
    <row r="875">
      <c r="A875" s="92"/>
      <c r="C875" s="92"/>
      <c r="D875" s="96"/>
      <c r="E875" s="97"/>
      <c r="F875" s="98"/>
      <c r="G875" s="8"/>
      <c r="I875" s="58"/>
      <c r="J875" s="92"/>
      <c r="L875" s="92"/>
      <c r="N875" s="93"/>
      <c r="O875" s="58"/>
      <c r="P875" s="58"/>
    </row>
    <row r="876">
      <c r="A876" s="92"/>
      <c r="C876" s="92"/>
      <c r="D876" s="96"/>
      <c r="E876" s="97"/>
      <c r="F876" s="98"/>
      <c r="G876" s="8"/>
      <c r="I876" s="58"/>
      <c r="J876" s="92"/>
      <c r="L876" s="92"/>
      <c r="N876" s="93"/>
      <c r="O876" s="58"/>
      <c r="P876" s="58"/>
    </row>
    <row r="877">
      <c r="A877" s="92"/>
      <c r="C877" s="92"/>
      <c r="D877" s="96"/>
      <c r="E877" s="97"/>
      <c r="F877" s="98"/>
      <c r="G877" s="8"/>
      <c r="I877" s="58"/>
      <c r="J877" s="92"/>
      <c r="L877" s="92"/>
      <c r="N877" s="93"/>
      <c r="O877" s="58"/>
      <c r="P877" s="58"/>
    </row>
    <row r="878">
      <c r="A878" s="92"/>
      <c r="C878" s="92"/>
      <c r="D878" s="96"/>
      <c r="E878" s="97"/>
      <c r="F878" s="98"/>
      <c r="G878" s="8"/>
      <c r="I878" s="58"/>
      <c r="J878" s="92"/>
      <c r="L878" s="92"/>
      <c r="N878" s="93"/>
      <c r="O878" s="58"/>
      <c r="P878" s="58"/>
    </row>
    <row r="879">
      <c r="A879" s="92"/>
      <c r="C879" s="92"/>
      <c r="D879" s="96"/>
      <c r="E879" s="97"/>
      <c r="F879" s="98"/>
      <c r="G879" s="8"/>
      <c r="I879" s="58"/>
      <c r="J879" s="92"/>
      <c r="L879" s="92"/>
      <c r="N879" s="93"/>
      <c r="O879" s="58"/>
      <c r="P879" s="58"/>
    </row>
    <row r="880">
      <c r="A880" s="92"/>
      <c r="C880" s="92"/>
      <c r="D880" s="96"/>
      <c r="E880" s="97"/>
      <c r="F880" s="98"/>
      <c r="G880" s="8"/>
      <c r="I880" s="58"/>
      <c r="J880" s="92"/>
      <c r="L880" s="92"/>
      <c r="N880" s="93"/>
      <c r="O880" s="58"/>
      <c r="P880" s="58"/>
    </row>
    <row r="881">
      <c r="A881" s="92"/>
      <c r="C881" s="92"/>
      <c r="D881" s="96"/>
      <c r="E881" s="97"/>
      <c r="F881" s="98"/>
      <c r="G881" s="8"/>
      <c r="I881" s="58"/>
      <c r="J881" s="92"/>
      <c r="L881" s="92"/>
      <c r="N881" s="93"/>
      <c r="O881" s="58"/>
      <c r="P881" s="58"/>
    </row>
    <row r="882">
      <c r="A882" s="92"/>
      <c r="C882" s="92"/>
      <c r="D882" s="96"/>
      <c r="E882" s="97"/>
      <c r="F882" s="98"/>
      <c r="G882" s="8"/>
      <c r="I882" s="58"/>
      <c r="J882" s="92"/>
      <c r="L882" s="92"/>
      <c r="N882" s="93"/>
      <c r="O882" s="58"/>
      <c r="P882" s="58"/>
    </row>
    <row r="883">
      <c r="A883" s="92"/>
      <c r="C883" s="92"/>
      <c r="D883" s="96"/>
      <c r="E883" s="97"/>
      <c r="F883" s="98"/>
      <c r="G883" s="8"/>
      <c r="I883" s="58"/>
      <c r="J883" s="92"/>
      <c r="L883" s="92"/>
      <c r="N883" s="93"/>
      <c r="O883" s="58"/>
      <c r="P883" s="58"/>
    </row>
    <row r="884">
      <c r="A884" s="92"/>
      <c r="C884" s="92"/>
      <c r="D884" s="96"/>
      <c r="E884" s="97"/>
      <c r="F884" s="98"/>
      <c r="G884" s="8"/>
      <c r="I884" s="58"/>
      <c r="J884" s="92"/>
      <c r="L884" s="92"/>
      <c r="N884" s="93"/>
      <c r="O884" s="58"/>
      <c r="P884" s="58"/>
    </row>
    <row r="885">
      <c r="A885" s="92"/>
      <c r="C885" s="92"/>
      <c r="D885" s="96"/>
      <c r="E885" s="97"/>
      <c r="F885" s="98"/>
      <c r="G885" s="8"/>
      <c r="I885" s="58"/>
      <c r="J885" s="92"/>
      <c r="L885" s="92"/>
      <c r="N885" s="93"/>
      <c r="O885" s="58"/>
      <c r="P885" s="58"/>
    </row>
    <row r="886">
      <c r="A886" s="92"/>
      <c r="C886" s="92"/>
      <c r="D886" s="96"/>
      <c r="E886" s="97"/>
      <c r="F886" s="98"/>
      <c r="G886" s="8"/>
      <c r="I886" s="58"/>
      <c r="J886" s="92"/>
      <c r="L886" s="92"/>
      <c r="N886" s="93"/>
      <c r="O886" s="58"/>
      <c r="P886" s="58"/>
    </row>
    <row r="887">
      <c r="A887" s="92"/>
      <c r="C887" s="92"/>
      <c r="D887" s="96"/>
      <c r="E887" s="97"/>
      <c r="F887" s="98"/>
      <c r="G887" s="8"/>
      <c r="I887" s="58"/>
      <c r="J887" s="92"/>
      <c r="L887" s="92"/>
      <c r="N887" s="93"/>
      <c r="O887" s="58"/>
      <c r="P887" s="58"/>
    </row>
    <row r="888">
      <c r="A888" s="92"/>
      <c r="C888" s="92"/>
      <c r="D888" s="96"/>
      <c r="E888" s="97"/>
      <c r="F888" s="98"/>
      <c r="G888" s="8"/>
      <c r="I888" s="58"/>
      <c r="J888" s="92"/>
      <c r="L888" s="92"/>
      <c r="N888" s="93"/>
      <c r="O888" s="58"/>
      <c r="P888" s="58"/>
    </row>
    <row r="889">
      <c r="A889" s="92"/>
      <c r="C889" s="92"/>
      <c r="D889" s="96"/>
      <c r="E889" s="97"/>
      <c r="F889" s="98"/>
      <c r="G889" s="8"/>
      <c r="I889" s="58"/>
      <c r="J889" s="92"/>
      <c r="L889" s="92"/>
      <c r="N889" s="93"/>
      <c r="O889" s="58"/>
      <c r="P889" s="58"/>
    </row>
    <row r="890">
      <c r="A890" s="92"/>
      <c r="C890" s="92"/>
      <c r="D890" s="96"/>
      <c r="E890" s="97"/>
      <c r="F890" s="98"/>
      <c r="G890" s="8"/>
      <c r="I890" s="58"/>
      <c r="J890" s="92"/>
      <c r="L890" s="92"/>
      <c r="N890" s="93"/>
      <c r="O890" s="58"/>
      <c r="P890" s="58"/>
    </row>
    <row r="891">
      <c r="A891" s="92"/>
      <c r="C891" s="92"/>
      <c r="D891" s="96"/>
      <c r="E891" s="97"/>
      <c r="F891" s="98"/>
      <c r="G891" s="8"/>
      <c r="I891" s="58"/>
      <c r="J891" s="92"/>
      <c r="L891" s="92"/>
      <c r="N891" s="93"/>
      <c r="O891" s="58"/>
      <c r="P891" s="58"/>
    </row>
    <row r="892">
      <c r="A892" s="92"/>
      <c r="C892" s="92"/>
      <c r="D892" s="96"/>
      <c r="E892" s="97"/>
      <c r="F892" s="98"/>
      <c r="G892" s="8"/>
      <c r="I892" s="58"/>
      <c r="J892" s="92"/>
      <c r="L892" s="92"/>
      <c r="N892" s="93"/>
      <c r="O892" s="58"/>
      <c r="P892" s="58"/>
    </row>
    <row r="893">
      <c r="A893" s="92"/>
      <c r="C893" s="92"/>
      <c r="D893" s="96"/>
      <c r="E893" s="97"/>
      <c r="F893" s="98"/>
      <c r="G893" s="8"/>
      <c r="I893" s="58"/>
      <c r="J893" s="92"/>
      <c r="L893" s="92"/>
      <c r="N893" s="93"/>
      <c r="O893" s="58"/>
      <c r="P893" s="58"/>
    </row>
    <row r="894">
      <c r="A894" s="92"/>
      <c r="C894" s="92"/>
      <c r="D894" s="96"/>
      <c r="E894" s="97"/>
      <c r="F894" s="98"/>
      <c r="G894" s="8"/>
      <c r="I894" s="58"/>
      <c r="J894" s="92"/>
      <c r="L894" s="92"/>
      <c r="N894" s="93"/>
      <c r="O894" s="58"/>
      <c r="P894" s="58"/>
    </row>
    <row r="895">
      <c r="A895" s="92"/>
      <c r="C895" s="92"/>
      <c r="D895" s="96"/>
      <c r="E895" s="97"/>
      <c r="F895" s="98"/>
      <c r="G895" s="8"/>
      <c r="I895" s="58"/>
      <c r="J895" s="92"/>
      <c r="L895" s="92"/>
      <c r="N895" s="93"/>
      <c r="O895" s="58"/>
      <c r="P895" s="58"/>
    </row>
    <row r="896">
      <c r="A896" s="92"/>
      <c r="C896" s="92"/>
      <c r="D896" s="96"/>
      <c r="E896" s="97"/>
      <c r="F896" s="98"/>
      <c r="G896" s="8"/>
      <c r="I896" s="58"/>
      <c r="J896" s="92"/>
      <c r="L896" s="92"/>
      <c r="N896" s="93"/>
      <c r="O896" s="58"/>
      <c r="P896" s="58"/>
    </row>
    <row r="897">
      <c r="A897" s="92"/>
      <c r="C897" s="92"/>
      <c r="D897" s="96"/>
      <c r="E897" s="97"/>
      <c r="F897" s="98"/>
      <c r="G897" s="8"/>
      <c r="I897" s="58"/>
      <c r="J897" s="92"/>
      <c r="L897" s="92"/>
      <c r="N897" s="93"/>
      <c r="O897" s="58"/>
      <c r="P897" s="58"/>
    </row>
    <row r="898">
      <c r="A898" s="92"/>
      <c r="C898" s="92"/>
      <c r="D898" s="96"/>
      <c r="E898" s="97"/>
      <c r="F898" s="98"/>
      <c r="G898" s="8"/>
      <c r="I898" s="58"/>
      <c r="J898" s="92"/>
      <c r="L898" s="92"/>
      <c r="N898" s="93"/>
      <c r="O898" s="58"/>
      <c r="P898" s="58"/>
    </row>
    <row r="899">
      <c r="A899" s="92"/>
      <c r="C899" s="92"/>
      <c r="D899" s="96"/>
      <c r="E899" s="97"/>
      <c r="F899" s="98"/>
      <c r="G899" s="8"/>
      <c r="I899" s="58"/>
      <c r="J899" s="92"/>
      <c r="L899" s="92"/>
      <c r="N899" s="93"/>
      <c r="O899" s="58"/>
      <c r="P899" s="58"/>
    </row>
    <row r="900">
      <c r="A900" s="92"/>
      <c r="C900" s="92"/>
      <c r="D900" s="96"/>
      <c r="E900" s="97"/>
      <c r="F900" s="98"/>
      <c r="G900" s="8"/>
      <c r="I900" s="58"/>
      <c r="J900" s="92"/>
      <c r="L900" s="92"/>
      <c r="N900" s="93"/>
      <c r="O900" s="58"/>
      <c r="P900" s="58"/>
    </row>
    <row r="901">
      <c r="A901" s="92"/>
      <c r="C901" s="92"/>
      <c r="D901" s="96"/>
      <c r="E901" s="97"/>
      <c r="F901" s="98"/>
      <c r="G901" s="8"/>
      <c r="I901" s="58"/>
      <c r="J901" s="92"/>
      <c r="L901" s="92"/>
      <c r="N901" s="93"/>
      <c r="O901" s="58"/>
      <c r="P901" s="58"/>
    </row>
    <row r="902">
      <c r="A902" s="92"/>
      <c r="C902" s="92"/>
      <c r="D902" s="96"/>
      <c r="E902" s="97"/>
      <c r="F902" s="98"/>
      <c r="G902" s="8"/>
      <c r="I902" s="58"/>
      <c r="J902" s="92"/>
      <c r="L902" s="92"/>
      <c r="N902" s="93"/>
      <c r="O902" s="58"/>
      <c r="P902" s="58"/>
    </row>
    <row r="903">
      <c r="A903" s="92"/>
      <c r="C903" s="92"/>
      <c r="D903" s="96"/>
      <c r="E903" s="97"/>
      <c r="F903" s="98"/>
      <c r="G903" s="8"/>
      <c r="I903" s="58"/>
      <c r="J903" s="92"/>
      <c r="L903" s="92"/>
      <c r="N903" s="93"/>
      <c r="O903" s="58"/>
      <c r="P903" s="58"/>
    </row>
    <row r="904">
      <c r="A904" s="92"/>
      <c r="C904" s="92"/>
      <c r="D904" s="96"/>
      <c r="E904" s="97"/>
      <c r="F904" s="98"/>
      <c r="G904" s="8"/>
      <c r="I904" s="58"/>
      <c r="J904" s="92"/>
      <c r="L904" s="92"/>
      <c r="N904" s="93"/>
      <c r="O904" s="58"/>
      <c r="P904" s="58"/>
    </row>
    <row r="905">
      <c r="A905" s="92"/>
      <c r="C905" s="92"/>
      <c r="D905" s="96"/>
      <c r="E905" s="97"/>
      <c r="F905" s="98"/>
      <c r="G905" s="8"/>
      <c r="I905" s="58"/>
      <c r="J905" s="92"/>
      <c r="L905" s="92"/>
      <c r="N905" s="93"/>
      <c r="O905" s="58"/>
      <c r="P905" s="58"/>
    </row>
    <row r="906">
      <c r="A906" s="92"/>
      <c r="C906" s="92"/>
      <c r="D906" s="96"/>
      <c r="E906" s="97"/>
      <c r="F906" s="98"/>
      <c r="G906" s="8"/>
      <c r="I906" s="58"/>
      <c r="J906" s="92"/>
      <c r="L906" s="92"/>
      <c r="N906" s="93"/>
      <c r="O906" s="58"/>
      <c r="P906" s="58"/>
    </row>
    <row r="907">
      <c r="A907" s="92"/>
      <c r="C907" s="92"/>
      <c r="D907" s="96"/>
      <c r="E907" s="97"/>
      <c r="F907" s="98"/>
      <c r="G907" s="8"/>
      <c r="I907" s="58"/>
      <c r="J907" s="92"/>
      <c r="L907" s="92"/>
      <c r="N907" s="93"/>
      <c r="O907" s="58"/>
      <c r="P907" s="58"/>
    </row>
    <row r="908">
      <c r="A908" s="92"/>
      <c r="C908" s="92"/>
      <c r="D908" s="96"/>
      <c r="E908" s="97"/>
      <c r="F908" s="98"/>
      <c r="G908" s="8"/>
      <c r="I908" s="58"/>
      <c r="J908" s="92"/>
      <c r="L908" s="92"/>
      <c r="N908" s="93"/>
      <c r="O908" s="58"/>
      <c r="P908" s="58"/>
    </row>
    <row r="909">
      <c r="A909" s="92"/>
      <c r="C909" s="92"/>
      <c r="D909" s="96"/>
      <c r="E909" s="97"/>
      <c r="F909" s="98"/>
      <c r="G909" s="8"/>
      <c r="I909" s="58"/>
      <c r="J909" s="92"/>
      <c r="L909" s="92"/>
      <c r="N909" s="93"/>
      <c r="O909" s="58"/>
      <c r="P909" s="58"/>
    </row>
    <row r="910">
      <c r="A910" s="92"/>
      <c r="C910" s="92"/>
      <c r="D910" s="96"/>
      <c r="E910" s="97"/>
      <c r="F910" s="98"/>
      <c r="G910" s="8"/>
      <c r="I910" s="58"/>
      <c r="J910" s="92"/>
      <c r="L910" s="92"/>
      <c r="N910" s="93"/>
      <c r="O910" s="58"/>
      <c r="P910" s="58"/>
    </row>
    <row r="911">
      <c r="A911" s="92"/>
      <c r="C911" s="92"/>
      <c r="D911" s="96"/>
      <c r="E911" s="97"/>
      <c r="F911" s="98"/>
      <c r="G911" s="8"/>
      <c r="I911" s="58"/>
      <c r="J911" s="92"/>
      <c r="L911" s="92"/>
      <c r="N911" s="93"/>
      <c r="O911" s="58"/>
      <c r="P911" s="58"/>
    </row>
    <row r="912">
      <c r="A912" s="92"/>
      <c r="C912" s="92"/>
      <c r="D912" s="96"/>
      <c r="E912" s="97"/>
      <c r="F912" s="98"/>
      <c r="G912" s="8"/>
      <c r="I912" s="58"/>
      <c r="J912" s="92"/>
      <c r="L912" s="92"/>
      <c r="N912" s="93"/>
      <c r="O912" s="58"/>
      <c r="P912" s="58"/>
    </row>
    <row r="913">
      <c r="A913" s="92"/>
      <c r="C913" s="92"/>
      <c r="D913" s="96"/>
      <c r="E913" s="97"/>
      <c r="F913" s="98"/>
      <c r="G913" s="8"/>
      <c r="I913" s="58"/>
      <c r="J913" s="92"/>
      <c r="L913" s="92"/>
      <c r="N913" s="93"/>
      <c r="O913" s="58"/>
      <c r="P913" s="58"/>
    </row>
    <row r="914">
      <c r="A914" s="92"/>
      <c r="C914" s="92"/>
      <c r="D914" s="96"/>
      <c r="E914" s="97"/>
      <c r="F914" s="98"/>
      <c r="G914" s="8"/>
      <c r="I914" s="58"/>
      <c r="J914" s="92"/>
      <c r="L914" s="92"/>
      <c r="N914" s="93"/>
      <c r="O914" s="58"/>
      <c r="P914" s="58"/>
    </row>
    <row r="915">
      <c r="A915" s="92"/>
      <c r="C915" s="92"/>
      <c r="D915" s="96"/>
      <c r="E915" s="97"/>
      <c r="F915" s="98"/>
      <c r="G915" s="8"/>
      <c r="I915" s="58"/>
      <c r="J915" s="92"/>
      <c r="L915" s="92"/>
      <c r="N915" s="93"/>
      <c r="O915" s="58"/>
      <c r="P915" s="58"/>
    </row>
    <row r="916">
      <c r="A916" s="92"/>
      <c r="C916" s="92"/>
      <c r="D916" s="96"/>
      <c r="E916" s="97"/>
      <c r="F916" s="98"/>
      <c r="G916" s="8"/>
      <c r="I916" s="58"/>
      <c r="J916" s="92"/>
      <c r="L916" s="92"/>
      <c r="N916" s="93"/>
      <c r="O916" s="58"/>
      <c r="P916" s="58"/>
    </row>
    <row r="917">
      <c r="A917" s="92"/>
      <c r="C917" s="92"/>
      <c r="D917" s="96"/>
      <c r="E917" s="97"/>
      <c r="F917" s="98"/>
      <c r="G917" s="8"/>
      <c r="I917" s="58"/>
      <c r="J917" s="92"/>
      <c r="L917" s="92"/>
      <c r="N917" s="93"/>
      <c r="O917" s="58"/>
      <c r="P917" s="58"/>
    </row>
    <row r="918">
      <c r="A918" s="92"/>
      <c r="C918" s="92"/>
      <c r="D918" s="96"/>
      <c r="E918" s="97"/>
      <c r="F918" s="98"/>
      <c r="G918" s="8"/>
      <c r="I918" s="58"/>
      <c r="J918" s="92"/>
      <c r="L918" s="92"/>
      <c r="N918" s="93"/>
      <c r="O918" s="58"/>
      <c r="P918" s="58"/>
    </row>
    <row r="919">
      <c r="A919" s="92"/>
      <c r="C919" s="92"/>
      <c r="D919" s="96"/>
      <c r="E919" s="97"/>
      <c r="F919" s="98"/>
      <c r="G919" s="8"/>
      <c r="I919" s="58"/>
      <c r="J919" s="92"/>
      <c r="L919" s="92"/>
      <c r="N919" s="93"/>
      <c r="O919" s="58"/>
      <c r="P919" s="58"/>
    </row>
    <row r="920">
      <c r="A920" s="92"/>
      <c r="C920" s="92"/>
      <c r="D920" s="96"/>
      <c r="E920" s="97"/>
      <c r="F920" s="98"/>
      <c r="G920" s="8"/>
      <c r="I920" s="58"/>
      <c r="J920" s="92"/>
      <c r="L920" s="92"/>
      <c r="N920" s="93"/>
      <c r="O920" s="58"/>
      <c r="P920" s="58"/>
    </row>
    <row r="921">
      <c r="A921" s="92"/>
      <c r="C921" s="92"/>
      <c r="D921" s="96"/>
      <c r="E921" s="97"/>
      <c r="F921" s="98"/>
      <c r="G921" s="8"/>
      <c r="I921" s="58"/>
      <c r="J921" s="92"/>
      <c r="L921" s="92"/>
      <c r="N921" s="93"/>
      <c r="O921" s="58"/>
      <c r="P921" s="58"/>
    </row>
    <row r="922">
      <c r="A922" s="92"/>
      <c r="C922" s="92"/>
      <c r="D922" s="96"/>
      <c r="E922" s="97"/>
      <c r="F922" s="98"/>
      <c r="G922" s="8"/>
      <c r="I922" s="58"/>
      <c r="J922" s="92"/>
      <c r="L922" s="92"/>
      <c r="N922" s="93"/>
      <c r="O922" s="58"/>
      <c r="P922" s="58"/>
    </row>
    <row r="923">
      <c r="A923" s="92"/>
      <c r="C923" s="92"/>
      <c r="D923" s="96"/>
      <c r="E923" s="97"/>
      <c r="F923" s="98"/>
      <c r="G923" s="8"/>
      <c r="I923" s="58"/>
      <c r="J923" s="92"/>
      <c r="L923" s="92"/>
      <c r="N923" s="93"/>
      <c r="O923" s="58"/>
      <c r="P923" s="58"/>
    </row>
    <row r="924">
      <c r="A924" s="92"/>
      <c r="C924" s="92"/>
      <c r="D924" s="96"/>
      <c r="E924" s="97"/>
      <c r="F924" s="98"/>
      <c r="G924" s="8"/>
      <c r="I924" s="58"/>
      <c r="J924" s="92"/>
      <c r="L924" s="92"/>
      <c r="N924" s="93"/>
      <c r="O924" s="58"/>
      <c r="P924" s="58"/>
    </row>
    <row r="925">
      <c r="A925" s="92"/>
      <c r="C925" s="92"/>
      <c r="D925" s="96"/>
      <c r="E925" s="97"/>
      <c r="F925" s="98"/>
      <c r="G925" s="8"/>
      <c r="I925" s="58"/>
      <c r="J925" s="92"/>
      <c r="L925" s="92"/>
      <c r="N925" s="93"/>
      <c r="O925" s="58"/>
      <c r="P925" s="58"/>
    </row>
    <row r="926">
      <c r="A926" s="92"/>
      <c r="C926" s="92"/>
      <c r="D926" s="96"/>
      <c r="E926" s="97"/>
      <c r="F926" s="98"/>
      <c r="G926" s="8"/>
      <c r="I926" s="58"/>
      <c r="J926" s="92"/>
      <c r="L926" s="92"/>
      <c r="N926" s="93"/>
      <c r="O926" s="58"/>
      <c r="P926" s="58"/>
    </row>
    <row r="927">
      <c r="A927" s="92"/>
      <c r="C927" s="92"/>
      <c r="D927" s="96"/>
      <c r="E927" s="97"/>
      <c r="F927" s="98"/>
      <c r="G927" s="8"/>
      <c r="I927" s="58"/>
      <c r="J927" s="92"/>
      <c r="L927" s="92"/>
      <c r="N927" s="93"/>
      <c r="O927" s="58"/>
      <c r="P927" s="58"/>
    </row>
    <row r="928">
      <c r="A928" s="92"/>
      <c r="C928" s="92"/>
      <c r="D928" s="96"/>
      <c r="E928" s="97"/>
      <c r="F928" s="98"/>
      <c r="G928" s="8"/>
      <c r="I928" s="58"/>
      <c r="J928" s="92"/>
      <c r="L928" s="92"/>
      <c r="N928" s="93"/>
      <c r="O928" s="58"/>
      <c r="P928" s="58"/>
    </row>
    <row r="929">
      <c r="A929" s="92"/>
      <c r="C929" s="92"/>
      <c r="D929" s="96"/>
      <c r="E929" s="97"/>
      <c r="F929" s="98"/>
      <c r="G929" s="8"/>
      <c r="I929" s="58"/>
      <c r="J929" s="92"/>
      <c r="L929" s="92"/>
      <c r="N929" s="93"/>
      <c r="O929" s="58"/>
      <c r="P929" s="58"/>
    </row>
    <row r="930">
      <c r="A930" s="92"/>
      <c r="C930" s="92"/>
      <c r="D930" s="96"/>
      <c r="E930" s="97"/>
      <c r="F930" s="98"/>
      <c r="G930" s="8"/>
      <c r="I930" s="58"/>
      <c r="J930" s="92"/>
      <c r="L930" s="92"/>
      <c r="N930" s="93"/>
      <c r="O930" s="58"/>
      <c r="P930" s="58"/>
    </row>
    <row r="931">
      <c r="A931" s="92"/>
      <c r="C931" s="92"/>
      <c r="D931" s="96"/>
      <c r="E931" s="97"/>
      <c r="F931" s="98"/>
      <c r="G931" s="8"/>
      <c r="I931" s="58"/>
      <c r="J931" s="92"/>
      <c r="L931" s="92"/>
      <c r="N931" s="93"/>
      <c r="O931" s="58"/>
      <c r="P931" s="58"/>
    </row>
    <row r="932">
      <c r="A932" s="92"/>
      <c r="C932" s="92"/>
      <c r="D932" s="96"/>
      <c r="E932" s="97"/>
      <c r="F932" s="98"/>
      <c r="G932" s="8"/>
      <c r="I932" s="58"/>
      <c r="J932" s="92"/>
      <c r="L932" s="92"/>
      <c r="N932" s="93"/>
      <c r="O932" s="58"/>
      <c r="P932" s="58"/>
    </row>
    <row r="933">
      <c r="A933" s="92"/>
      <c r="C933" s="92"/>
      <c r="D933" s="96"/>
      <c r="E933" s="97"/>
      <c r="F933" s="98"/>
      <c r="G933" s="8"/>
      <c r="I933" s="58"/>
      <c r="J933" s="92"/>
      <c r="L933" s="92"/>
      <c r="N933" s="93"/>
      <c r="O933" s="58"/>
      <c r="P933" s="58"/>
    </row>
    <row r="934">
      <c r="A934" s="92"/>
      <c r="C934" s="92"/>
      <c r="D934" s="96"/>
      <c r="E934" s="97"/>
      <c r="F934" s="98"/>
      <c r="G934" s="8"/>
      <c r="I934" s="58"/>
      <c r="J934" s="92"/>
      <c r="L934" s="92"/>
      <c r="N934" s="93"/>
      <c r="O934" s="58"/>
      <c r="P934" s="58"/>
    </row>
    <row r="935">
      <c r="A935" s="92"/>
      <c r="C935" s="92"/>
      <c r="D935" s="96"/>
      <c r="E935" s="97"/>
      <c r="F935" s="98"/>
      <c r="G935" s="8"/>
      <c r="I935" s="58"/>
      <c r="J935" s="92"/>
      <c r="L935" s="92"/>
      <c r="N935" s="93"/>
      <c r="O935" s="58"/>
      <c r="P935" s="58"/>
    </row>
    <row r="936">
      <c r="A936" s="92"/>
      <c r="C936" s="92"/>
      <c r="D936" s="96"/>
      <c r="E936" s="97"/>
      <c r="F936" s="98"/>
      <c r="G936" s="8"/>
      <c r="I936" s="58"/>
      <c r="J936" s="92"/>
      <c r="L936" s="92"/>
      <c r="N936" s="93"/>
      <c r="O936" s="58"/>
      <c r="P936" s="58"/>
    </row>
    <row r="937">
      <c r="A937" s="92"/>
      <c r="C937" s="92"/>
      <c r="D937" s="96"/>
      <c r="E937" s="97"/>
      <c r="F937" s="98"/>
      <c r="G937" s="8"/>
      <c r="I937" s="58"/>
      <c r="J937" s="92"/>
      <c r="L937" s="92"/>
      <c r="N937" s="93"/>
      <c r="O937" s="58"/>
      <c r="P937" s="58"/>
    </row>
    <row r="938">
      <c r="A938" s="92"/>
      <c r="C938" s="92"/>
      <c r="D938" s="96"/>
      <c r="E938" s="97"/>
      <c r="F938" s="98"/>
      <c r="G938" s="8"/>
      <c r="I938" s="58"/>
      <c r="J938" s="92"/>
      <c r="L938" s="92"/>
      <c r="N938" s="93"/>
      <c r="O938" s="58"/>
      <c r="P938" s="58"/>
    </row>
    <row r="939">
      <c r="A939" s="92"/>
      <c r="C939" s="92"/>
      <c r="D939" s="96"/>
      <c r="E939" s="97"/>
      <c r="F939" s="98"/>
      <c r="G939" s="8"/>
      <c r="I939" s="58"/>
      <c r="J939" s="92"/>
      <c r="L939" s="92"/>
      <c r="N939" s="93"/>
      <c r="O939" s="58"/>
      <c r="P939" s="58"/>
    </row>
    <row r="940">
      <c r="A940" s="92"/>
      <c r="C940" s="92"/>
      <c r="D940" s="96"/>
      <c r="E940" s="97"/>
      <c r="F940" s="98"/>
      <c r="G940" s="8"/>
      <c r="I940" s="58"/>
      <c r="J940" s="92"/>
      <c r="L940" s="92"/>
      <c r="N940" s="93"/>
      <c r="O940" s="58"/>
      <c r="P940" s="58"/>
    </row>
    <row r="941">
      <c r="A941" s="92"/>
      <c r="C941" s="92"/>
      <c r="D941" s="96"/>
      <c r="E941" s="97"/>
      <c r="F941" s="98"/>
      <c r="G941" s="8"/>
      <c r="I941" s="58"/>
      <c r="J941" s="92"/>
      <c r="L941" s="92"/>
      <c r="N941" s="93"/>
      <c r="O941" s="58"/>
      <c r="P941" s="58"/>
    </row>
    <row r="942">
      <c r="A942" s="92"/>
      <c r="C942" s="92"/>
      <c r="D942" s="96"/>
      <c r="E942" s="97"/>
      <c r="F942" s="98"/>
      <c r="G942" s="8"/>
      <c r="I942" s="58"/>
      <c r="J942" s="92"/>
      <c r="L942" s="92"/>
      <c r="N942" s="93"/>
      <c r="O942" s="58"/>
      <c r="P942" s="58"/>
    </row>
    <row r="943">
      <c r="A943" s="92"/>
      <c r="C943" s="92"/>
      <c r="D943" s="96"/>
      <c r="E943" s="97"/>
      <c r="F943" s="98"/>
      <c r="G943" s="8"/>
      <c r="I943" s="58"/>
      <c r="J943" s="92"/>
      <c r="L943" s="92"/>
      <c r="N943" s="93"/>
      <c r="O943" s="58"/>
      <c r="P943" s="58"/>
    </row>
    <row r="944">
      <c r="A944" s="92"/>
      <c r="C944" s="92"/>
      <c r="D944" s="96"/>
      <c r="E944" s="97"/>
      <c r="F944" s="98"/>
      <c r="G944" s="8"/>
      <c r="I944" s="58"/>
      <c r="J944" s="92"/>
      <c r="L944" s="92"/>
      <c r="N944" s="93"/>
      <c r="O944" s="58"/>
      <c r="P944" s="58"/>
    </row>
    <row r="945">
      <c r="A945" s="92"/>
      <c r="C945" s="92"/>
      <c r="D945" s="96"/>
      <c r="E945" s="97"/>
      <c r="F945" s="98"/>
      <c r="G945" s="8"/>
      <c r="I945" s="58"/>
      <c r="J945" s="92"/>
      <c r="L945" s="92"/>
      <c r="N945" s="93"/>
      <c r="O945" s="58"/>
      <c r="P945" s="58"/>
    </row>
    <row r="946">
      <c r="A946" s="92"/>
      <c r="C946" s="92"/>
      <c r="D946" s="96"/>
      <c r="E946" s="97"/>
      <c r="F946" s="98"/>
      <c r="G946" s="8"/>
      <c r="I946" s="58"/>
      <c r="J946" s="92"/>
      <c r="L946" s="92"/>
      <c r="N946" s="93"/>
      <c r="O946" s="58"/>
      <c r="P946" s="58"/>
    </row>
    <row r="947">
      <c r="A947" s="92"/>
      <c r="C947" s="92"/>
      <c r="D947" s="96"/>
      <c r="E947" s="97"/>
      <c r="F947" s="98"/>
      <c r="G947" s="8"/>
      <c r="I947" s="58"/>
      <c r="J947" s="92"/>
      <c r="L947" s="92"/>
      <c r="N947" s="93"/>
      <c r="O947" s="58"/>
      <c r="P947" s="58"/>
    </row>
    <row r="948">
      <c r="A948" s="92"/>
      <c r="C948" s="92"/>
      <c r="D948" s="96"/>
      <c r="E948" s="97"/>
      <c r="F948" s="98"/>
      <c r="G948" s="8"/>
      <c r="I948" s="58"/>
      <c r="J948" s="92"/>
      <c r="L948" s="92"/>
      <c r="N948" s="93"/>
      <c r="O948" s="58"/>
      <c r="P948" s="58"/>
    </row>
    <row r="949">
      <c r="A949" s="92"/>
      <c r="C949" s="92"/>
      <c r="D949" s="96"/>
      <c r="E949" s="97"/>
      <c r="F949" s="98"/>
      <c r="G949" s="8"/>
      <c r="I949" s="58"/>
      <c r="J949" s="92"/>
      <c r="L949" s="92"/>
      <c r="N949" s="93"/>
      <c r="O949" s="58"/>
      <c r="P949" s="58"/>
    </row>
    <row r="950">
      <c r="A950" s="92"/>
      <c r="C950" s="92"/>
      <c r="D950" s="96"/>
      <c r="E950" s="97"/>
      <c r="F950" s="98"/>
      <c r="G950" s="8"/>
      <c r="I950" s="58"/>
      <c r="J950" s="92"/>
      <c r="L950" s="92"/>
      <c r="N950" s="93"/>
      <c r="O950" s="58"/>
      <c r="P950" s="58"/>
    </row>
    <row r="951">
      <c r="A951" s="92"/>
      <c r="C951" s="92"/>
      <c r="D951" s="96"/>
      <c r="E951" s="97"/>
      <c r="F951" s="98"/>
      <c r="G951" s="8"/>
      <c r="I951" s="58"/>
      <c r="J951" s="92"/>
      <c r="L951" s="92"/>
      <c r="N951" s="93"/>
      <c r="O951" s="58"/>
      <c r="P951" s="58"/>
    </row>
    <row r="952">
      <c r="A952" s="92"/>
      <c r="C952" s="92"/>
      <c r="D952" s="96"/>
      <c r="E952" s="97"/>
      <c r="F952" s="98"/>
      <c r="G952" s="8"/>
      <c r="I952" s="58"/>
      <c r="J952" s="92"/>
      <c r="L952" s="92"/>
      <c r="N952" s="93"/>
      <c r="O952" s="58"/>
      <c r="P952" s="58"/>
    </row>
    <row r="953">
      <c r="A953" s="92"/>
      <c r="C953" s="92"/>
      <c r="D953" s="96"/>
      <c r="E953" s="97"/>
      <c r="F953" s="98"/>
      <c r="G953" s="8"/>
      <c r="I953" s="58"/>
      <c r="J953" s="92"/>
      <c r="L953" s="92"/>
      <c r="N953" s="93"/>
      <c r="O953" s="58"/>
      <c r="P953" s="58"/>
    </row>
    <row r="954">
      <c r="A954" s="92"/>
      <c r="C954" s="92"/>
      <c r="D954" s="96"/>
      <c r="E954" s="97"/>
      <c r="F954" s="98"/>
      <c r="G954" s="8"/>
      <c r="I954" s="58"/>
      <c r="J954" s="92"/>
      <c r="L954" s="92"/>
      <c r="N954" s="93"/>
      <c r="O954" s="58"/>
      <c r="P954" s="58"/>
    </row>
    <row r="955">
      <c r="A955" s="92"/>
      <c r="C955" s="92"/>
      <c r="D955" s="96"/>
      <c r="E955" s="97"/>
      <c r="F955" s="98"/>
      <c r="G955" s="8"/>
      <c r="I955" s="58"/>
      <c r="J955" s="92"/>
      <c r="L955" s="92"/>
      <c r="N955" s="93"/>
      <c r="O955" s="58"/>
      <c r="P955" s="58"/>
    </row>
    <row r="956">
      <c r="A956" s="92"/>
      <c r="C956" s="92"/>
      <c r="D956" s="96"/>
      <c r="E956" s="97"/>
      <c r="F956" s="98"/>
      <c r="G956" s="8"/>
      <c r="I956" s="58"/>
      <c r="J956" s="92"/>
      <c r="L956" s="92"/>
      <c r="N956" s="93"/>
      <c r="O956" s="58"/>
      <c r="P956" s="58"/>
    </row>
    <row r="957">
      <c r="A957" s="92"/>
      <c r="C957" s="92"/>
      <c r="D957" s="96"/>
      <c r="E957" s="97"/>
      <c r="F957" s="98"/>
      <c r="G957" s="8"/>
      <c r="I957" s="58"/>
      <c r="J957" s="92"/>
      <c r="L957" s="92"/>
      <c r="N957" s="93"/>
      <c r="O957" s="58"/>
      <c r="P957" s="58"/>
    </row>
    <row r="958">
      <c r="A958" s="92"/>
      <c r="C958" s="92"/>
      <c r="D958" s="96"/>
      <c r="E958" s="97"/>
      <c r="F958" s="98"/>
      <c r="G958" s="8"/>
      <c r="I958" s="58"/>
      <c r="J958" s="92"/>
      <c r="L958" s="92"/>
      <c r="N958" s="93"/>
      <c r="O958" s="58"/>
      <c r="P958" s="58"/>
    </row>
    <row r="959">
      <c r="A959" s="92"/>
      <c r="C959" s="92"/>
      <c r="D959" s="96"/>
      <c r="E959" s="97"/>
      <c r="F959" s="98"/>
      <c r="G959" s="8"/>
      <c r="I959" s="58"/>
      <c r="J959" s="92"/>
      <c r="L959" s="92"/>
      <c r="N959" s="93"/>
      <c r="O959" s="58"/>
      <c r="P959" s="58"/>
    </row>
    <row r="960">
      <c r="A960" s="92"/>
      <c r="C960" s="92"/>
      <c r="D960" s="96"/>
      <c r="E960" s="97"/>
      <c r="F960" s="98"/>
      <c r="G960" s="8"/>
      <c r="I960" s="58"/>
      <c r="J960" s="92"/>
      <c r="L960" s="92"/>
      <c r="N960" s="93"/>
      <c r="O960" s="58"/>
      <c r="P960" s="58"/>
    </row>
    <row r="961">
      <c r="A961" s="92"/>
      <c r="C961" s="92"/>
      <c r="D961" s="96"/>
      <c r="E961" s="97"/>
      <c r="F961" s="98"/>
      <c r="G961" s="8"/>
      <c r="I961" s="58"/>
      <c r="J961" s="92"/>
      <c r="L961" s="92"/>
      <c r="N961" s="93"/>
      <c r="O961" s="58"/>
      <c r="P961" s="58"/>
    </row>
    <row r="962">
      <c r="A962" s="92"/>
      <c r="C962" s="92"/>
      <c r="D962" s="96"/>
      <c r="E962" s="97"/>
      <c r="F962" s="98"/>
      <c r="G962" s="8"/>
      <c r="I962" s="58"/>
      <c r="J962" s="92"/>
      <c r="L962" s="92"/>
      <c r="N962" s="93"/>
      <c r="O962" s="58"/>
      <c r="P962" s="58"/>
    </row>
    <row r="963">
      <c r="A963" s="92"/>
      <c r="C963" s="92"/>
      <c r="D963" s="96"/>
      <c r="E963" s="97"/>
      <c r="F963" s="98"/>
      <c r="G963" s="8"/>
      <c r="I963" s="58"/>
      <c r="J963" s="92"/>
      <c r="L963" s="92"/>
      <c r="N963" s="93"/>
      <c r="O963" s="58"/>
      <c r="P963" s="58"/>
    </row>
    <row r="964">
      <c r="A964" s="92"/>
      <c r="C964" s="92"/>
      <c r="D964" s="96"/>
      <c r="E964" s="97"/>
      <c r="F964" s="98"/>
      <c r="G964" s="8"/>
      <c r="I964" s="58"/>
      <c r="J964" s="92"/>
      <c r="L964" s="92"/>
      <c r="N964" s="93"/>
      <c r="O964" s="58"/>
      <c r="P964" s="58"/>
    </row>
    <row r="965">
      <c r="A965" s="92"/>
      <c r="C965" s="92"/>
      <c r="D965" s="96"/>
      <c r="E965" s="97"/>
      <c r="F965" s="98"/>
      <c r="G965" s="8"/>
      <c r="I965" s="58"/>
      <c r="J965" s="92"/>
      <c r="L965" s="92"/>
      <c r="N965" s="93"/>
      <c r="O965" s="58"/>
      <c r="P965" s="58"/>
    </row>
    <row r="966">
      <c r="A966" s="92"/>
      <c r="C966" s="92"/>
      <c r="D966" s="96"/>
      <c r="E966" s="97"/>
      <c r="F966" s="98"/>
      <c r="G966" s="8"/>
      <c r="I966" s="58"/>
      <c r="J966" s="92"/>
      <c r="L966" s="92"/>
      <c r="N966" s="93"/>
      <c r="O966" s="58"/>
      <c r="P966" s="58"/>
    </row>
    <row r="967">
      <c r="A967" s="92"/>
      <c r="C967" s="92"/>
      <c r="D967" s="96"/>
      <c r="E967" s="97"/>
      <c r="F967" s="98"/>
      <c r="G967" s="8"/>
      <c r="I967" s="58"/>
      <c r="J967" s="92"/>
      <c r="L967" s="92"/>
      <c r="N967" s="93"/>
      <c r="O967" s="58"/>
      <c r="P967" s="58"/>
    </row>
    <row r="968">
      <c r="A968" s="92"/>
      <c r="C968" s="92"/>
      <c r="D968" s="96"/>
      <c r="E968" s="97"/>
      <c r="F968" s="98"/>
      <c r="G968" s="8"/>
      <c r="I968" s="58"/>
      <c r="J968" s="92"/>
      <c r="L968" s="92"/>
      <c r="N968" s="93"/>
      <c r="O968" s="58"/>
      <c r="P968" s="58"/>
    </row>
    <row r="969">
      <c r="A969" s="92"/>
      <c r="C969" s="92"/>
      <c r="D969" s="96"/>
      <c r="E969" s="97"/>
      <c r="F969" s="98"/>
      <c r="G969" s="8"/>
      <c r="I969" s="58"/>
      <c r="J969" s="92"/>
      <c r="L969" s="92"/>
      <c r="N969" s="93"/>
      <c r="O969" s="58"/>
      <c r="P969" s="58"/>
    </row>
    <row r="970">
      <c r="A970" s="92"/>
      <c r="C970" s="92"/>
      <c r="D970" s="96"/>
      <c r="E970" s="97"/>
      <c r="F970" s="98"/>
      <c r="G970" s="8"/>
      <c r="I970" s="58"/>
      <c r="J970" s="92"/>
      <c r="L970" s="92"/>
      <c r="N970" s="93"/>
      <c r="O970" s="58"/>
      <c r="P970" s="58"/>
    </row>
    <row r="971">
      <c r="A971" s="92"/>
      <c r="C971" s="92"/>
      <c r="D971" s="96"/>
      <c r="E971" s="97"/>
      <c r="F971" s="98"/>
      <c r="G971" s="8"/>
      <c r="I971" s="58"/>
      <c r="J971" s="92"/>
      <c r="L971" s="92"/>
      <c r="N971" s="93"/>
      <c r="O971" s="58"/>
      <c r="P971" s="58"/>
    </row>
    <row r="972">
      <c r="A972" s="92"/>
      <c r="C972" s="92"/>
      <c r="D972" s="96"/>
      <c r="E972" s="97"/>
      <c r="F972" s="98"/>
      <c r="G972" s="8"/>
      <c r="I972" s="58"/>
      <c r="J972" s="92"/>
      <c r="L972" s="92"/>
      <c r="N972" s="93"/>
      <c r="O972" s="58"/>
      <c r="P972" s="58"/>
    </row>
    <row r="973">
      <c r="A973" s="92"/>
      <c r="C973" s="92"/>
      <c r="D973" s="96"/>
      <c r="E973" s="97"/>
      <c r="F973" s="98"/>
      <c r="G973" s="8"/>
      <c r="I973" s="58"/>
      <c r="J973" s="92"/>
      <c r="L973" s="92"/>
      <c r="N973" s="93"/>
      <c r="O973" s="58"/>
      <c r="P973" s="58"/>
    </row>
    <row r="974">
      <c r="A974" s="92"/>
      <c r="C974" s="92"/>
      <c r="D974" s="96"/>
      <c r="E974" s="97"/>
      <c r="F974" s="98"/>
      <c r="G974" s="8"/>
      <c r="I974" s="58"/>
      <c r="J974" s="92"/>
      <c r="L974" s="92"/>
      <c r="N974" s="93"/>
      <c r="O974" s="58"/>
      <c r="P974" s="58"/>
    </row>
    <row r="975">
      <c r="A975" s="92"/>
      <c r="C975" s="92"/>
      <c r="D975" s="96"/>
      <c r="E975" s="97"/>
      <c r="F975" s="98"/>
      <c r="G975" s="8"/>
      <c r="I975" s="58"/>
      <c r="J975" s="92"/>
      <c r="L975" s="92"/>
      <c r="N975" s="93"/>
      <c r="O975" s="58"/>
      <c r="P975" s="58"/>
    </row>
    <row r="976">
      <c r="A976" s="92"/>
      <c r="C976" s="92"/>
      <c r="D976" s="96"/>
      <c r="E976" s="97"/>
      <c r="F976" s="98"/>
      <c r="G976" s="8"/>
      <c r="I976" s="58"/>
      <c r="J976" s="92"/>
      <c r="L976" s="92"/>
      <c r="N976" s="93"/>
      <c r="O976" s="58"/>
      <c r="P976" s="58"/>
    </row>
    <row r="977">
      <c r="A977" s="92"/>
      <c r="C977" s="92"/>
      <c r="D977" s="96"/>
      <c r="E977" s="97"/>
      <c r="F977" s="98"/>
      <c r="G977" s="8"/>
      <c r="I977" s="58"/>
      <c r="J977" s="92"/>
      <c r="L977" s="92"/>
      <c r="N977" s="93"/>
      <c r="O977" s="58"/>
      <c r="P977" s="58"/>
    </row>
    <row r="978">
      <c r="A978" s="92"/>
      <c r="C978" s="92"/>
      <c r="D978" s="96"/>
      <c r="E978" s="97"/>
      <c r="F978" s="98"/>
      <c r="G978" s="8"/>
      <c r="I978" s="58"/>
      <c r="J978" s="92"/>
      <c r="L978" s="92"/>
      <c r="N978" s="93"/>
      <c r="O978" s="58"/>
      <c r="P978" s="58"/>
    </row>
    <row r="979">
      <c r="A979" s="92"/>
      <c r="C979" s="92"/>
      <c r="D979" s="96"/>
      <c r="E979" s="97"/>
      <c r="F979" s="98"/>
      <c r="G979" s="8"/>
      <c r="I979" s="58"/>
      <c r="J979" s="92"/>
      <c r="L979" s="92"/>
      <c r="N979" s="93"/>
      <c r="O979" s="58"/>
      <c r="P979" s="58"/>
    </row>
    <row r="980">
      <c r="A980" s="92"/>
      <c r="C980" s="92"/>
      <c r="D980" s="96"/>
      <c r="E980" s="97"/>
      <c r="F980" s="98"/>
      <c r="G980" s="8"/>
      <c r="I980" s="58"/>
      <c r="J980" s="92"/>
      <c r="L980" s="92"/>
      <c r="N980" s="93"/>
      <c r="O980" s="58"/>
      <c r="P980" s="58"/>
    </row>
    <row r="981">
      <c r="A981" s="92"/>
      <c r="C981" s="92"/>
      <c r="D981" s="96"/>
      <c r="E981" s="97"/>
      <c r="F981" s="98"/>
      <c r="G981" s="8"/>
      <c r="I981" s="58"/>
      <c r="J981" s="92"/>
      <c r="L981" s="92"/>
      <c r="N981" s="93"/>
      <c r="O981" s="58"/>
      <c r="P981" s="58"/>
    </row>
    <row r="982">
      <c r="A982" s="92"/>
      <c r="C982" s="92"/>
      <c r="D982" s="96"/>
      <c r="E982" s="97"/>
      <c r="F982" s="98"/>
      <c r="G982" s="8"/>
      <c r="I982" s="58"/>
      <c r="J982" s="92"/>
      <c r="L982" s="92"/>
      <c r="N982" s="93"/>
      <c r="O982" s="58"/>
      <c r="P982" s="58"/>
    </row>
    <row r="983">
      <c r="A983" s="92"/>
      <c r="C983" s="92"/>
      <c r="D983" s="96"/>
      <c r="E983" s="97"/>
      <c r="F983" s="98"/>
      <c r="G983" s="8"/>
      <c r="I983" s="58"/>
      <c r="J983" s="92"/>
      <c r="L983" s="92"/>
      <c r="N983" s="93"/>
      <c r="O983" s="58"/>
      <c r="P983" s="58"/>
    </row>
    <row r="984">
      <c r="A984" s="92"/>
      <c r="C984" s="92"/>
      <c r="D984" s="96"/>
      <c r="E984" s="97"/>
      <c r="F984" s="98"/>
      <c r="G984" s="8"/>
      <c r="I984" s="58"/>
      <c r="J984" s="92"/>
      <c r="L984" s="92"/>
      <c r="N984" s="93"/>
      <c r="O984" s="58"/>
      <c r="P984" s="58"/>
    </row>
    <row r="985">
      <c r="A985" s="92"/>
      <c r="C985" s="92"/>
      <c r="D985" s="96"/>
      <c r="E985" s="97"/>
      <c r="F985" s="98"/>
      <c r="G985" s="8"/>
      <c r="I985" s="58"/>
      <c r="J985" s="92"/>
      <c r="L985" s="92"/>
      <c r="N985" s="93"/>
      <c r="O985" s="58"/>
      <c r="P985" s="58"/>
    </row>
    <row r="986">
      <c r="A986" s="92"/>
      <c r="C986" s="92"/>
      <c r="D986" s="96"/>
      <c r="E986" s="97"/>
      <c r="F986" s="98"/>
      <c r="G986" s="8"/>
      <c r="I986" s="58"/>
      <c r="J986" s="92"/>
      <c r="L986" s="92"/>
      <c r="N986" s="93"/>
      <c r="O986" s="58"/>
      <c r="P986" s="58"/>
    </row>
    <row r="987">
      <c r="A987" s="92"/>
      <c r="C987" s="92"/>
      <c r="D987" s="96"/>
      <c r="E987" s="97"/>
      <c r="F987" s="98"/>
      <c r="G987" s="8"/>
      <c r="I987" s="58"/>
      <c r="J987" s="92"/>
      <c r="L987" s="92"/>
      <c r="N987" s="93"/>
      <c r="O987" s="58"/>
      <c r="P987" s="58"/>
    </row>
    <row r="988">
      <c r="A988" s="92"/>
      <c r="C988" s="92"/>
      <c r="D988" s="96"/>
      <c r="E988" s="97"/>
      <c r="F988" s="98"/>
      <c r="G988" s="8"/>
      <c r="I988" s="58"/>
      <c r="J988" s="92"/>
      <c r="L988" s="92"/>
      <c r="N988" s="93"/>
      <c r="O988" s="58"/>
      <c r="P988" s="58"/>
    </row>
    <row r="989">
      <c r="A989" s="92"/>
      <c r="C989" s="92"/>
      <c r="D989" s="96"/>
      <c r="E989" s="97"/>
      <c r="F989" s="98"/>
      <c r="G989" s="8"/>
      <c r="I989" s="58"/>
      <c r="J989" s="92"/>
      <c r="L989" s="92"/>
      <c r="N989" s="93"/>
      <c r="O989" s="58"/>
      <c r="P989" s="58"/>
    </row>
    <row r="990">
      <c r="A990" s="92"/>
      <c r="C990" s="92"/>
      <c r="D990" s="96"/>
      <c r="E990" s="97"/>
      <c r="F990" s="98"/>
      <c r="G990" s="8"/>
      <c r="I990" s="58"/>
      <c r="J990" s="92"/>
      <c r="L990" s="92"/>
      <c r="N990" s="93"/>
      <c r="O990" s="58"/>
      <c r="P990" s="58"/>
    </row>
    <row r="991">
      <c r="A991" s="92"/>
      <c r="C991" s="92"/>
      <c r="D991" s="96"/>
      <c r="E991" s="97"/>
      <c r="F991" s="98"/>
      <c r="G991" s="8"/>
      <c r="I991" s="58"/>
      <c r="J991" s="92"/>
      <c r="L991" s="92"/>
      <c r="N991" s="93"/>
      <c r="O991" s="58"/>
      <c r="P991" s="58"/>
    </row>
    <row r="992">
      <c r="A992" s="92"/>
      <c r="C992" s="92"/>
      <c r="D992" s="96"/>
      <c r="E992" s="97"/>
      <c r="F992" s="98"/>
      <c r="G992" s="8"/>
      <c r="I992" s="58"/>
      <c r="J992" s="92"/>
      <c r="L992" s="92"/>
      <c r="N992" s="93"/>
      <c r="O992" s="58"/>
      <c r="P992" s="58"/>
    </row>
    <row r="993">
      <c r="A993" s="92"/>
      <c r="C993" s="92"/>
      <c r="D993" s="96"/>
      <c r="E993" s="97"/>
      <c r="F993" s="98"/>
      <c r="G993" s="8"/>
      <c r="I993" s="58"/>
      <c r="J993" s="92"/>
      <c r="L993" s="92"/>
      <c r="N993" s="93"/>
      <c r="O993" s="58"/>
      <c r="P993" s="58"/>
    </row>
    <row r="994">
      <c r="A994" s="92"/>
      <c r="C994" s="92"/>
      <c r="D994" s="96"/>
      <c r="E994" s="97"/>
      <c r="F994" s="98"/>
      <c r="G994" s="8"/>
      <c r="I994" s="58"/>
      <c r="J994" s="92"/>
      <c r="L994" s="92"/>
      <c r="N994" s="93"/>
      <c r="O994" s="58"/>
      <c r="P994" s="58"/>
    </row>
    <row r="995">
      <c r="A995" s="92"/>
      <c r="C995" s="92"/>
      <c r="D995" s="96"/>
      <c r="E995" s="97"/>
      <c r="F995" s="98"/>
      <c r="G995" s="8"/>
      <c r="I995" s="58"/>
      <c r="J995" s="92"/>
      <c r="L995" s="92"/>
      <c r="N995" s="93"/>
      <c r="O995" s="58"/>
      <c r="P995" s="58"/>
    </row>
    <row r="996">
      <c r="A996" s="92"/>
      <c r="C996" s="92"/>
      <c r="D996" s="96"/>
      <c r="E996" s="97"/>
      <c r="F996" s="98"/>
      <c r="G996" s="8"/>
      <c r="I996" s="58"/>
      <c r="J996" s="92"/>
      <c r="L996" s="92"/>
      <c r="N996" s="93"/>
      <c r="O996" s="58"/>
      <c r="P996" s="58"/>
    </row>
    <row r="997">
      <c r="A997" s="92"/>
      <c r="C997" s="92"/>
      <c r="D997" s="96"/>
      <c r="E997" s="97"/>
      <c r="F997" s="98"/>
      <c r="G997" s="8"/>
      <c r="I997" s="58"/>
      <c r="J997" s="92"/>
      <c r="L997" s="92"/>
      <c r="N997" s="93"/>
      <c r="O997" s="58"/>
      <c r="P997" s="58"/>
    </row>
    <row r="998">
      <c r="A998" s="92"/>
      <c r="C998" s="92"/>
      <c r="D998" s="96"/>
      <c r="E998" s="97"/>
      <c r="F998" s="98"/>
      <c r="G998" s="8"/>
      <c r="I998" s="58"/>
      <c r="J998" s="92"/>
      <c r="L998" s="92"/>
      <c r="N998" s="93"/>
      <c r="O998" s="58"/>
      <c r="P998" s="58"/>
    </row>
    <row r="999">
      <c r="A999" s="92"/>
      <c r="C999" s="92"/>
      <c r="D999" s="96"/>
      <c r="E999" s="97"/>
      <c r="F999" s="98"/>
      <c r="G999" s="8"/>
      <c r="I999" s="58"/>
      <c r="J999" s="92"/>
      <c r="L999" s="92"/>
      <c r="N999" s="93"/>
      <c r="O999" s="58"/>
      <c r="P999" s="58"/>
    </row>
    <row r="1000">
      <c r="A1000" s="92"/>
      <c r="C1000" s="92"/>
      <c r="D1000" s="96"/>
      <c r="E1000" s="97"/>
      <c r="F1000" s="98"/>
      <c r="G1000" s="8"/>
      <c r="I1000" s="58"/>
      <c r="J1000" s="92"/>
      <c r="L1000" s="92"/>
      <c r="N1000" s="93"/>
      <c r="O1000" s="58"/>
      <c r="P1000" s="58"/>
    </row>
    <row r="1001">
      <c r="A1001" s="92"/>
      <c r="C1001" s="92"/>
      <c r="D1001" s="96"/>
      <c r="E1001" s="97"/>
      <c r="F1001" s="98"/>
      <c r="G1001" s="8"/>
      <c r="I1001" s="58"/>
      <c r="J1001" s="92"/>
      <c r="L1001" s="92"/>
      <c r="N1001" s="93"/>
      <c r="O1001" s="58"/>
      <c r="P1001" s="58"/>
    </row>
    <row r="1002">
      <c r="A1002" s="92"/>
      <c r="C1002" s="92"/>
      <c r="D1002" s="96"/>
      <c r="E1002" s="97"/>
      <c r="F1002" s="98"/>
      <c r="G1002" s="8"/>
      <c r="I1002" s="58"/>
      <c r="J1002" s="92"/>
      <c r="L1002" s="92"/>
      <c r="N1002" s="93"/>
      <c r="O1002" s="58"/>
      <c r="P1002" s="58"/>
    </row>
    <row r="1003">
      <c r="A1003" s="92"/>
      <c r="C1003" s="92"/>
      <c r="D1003" s="96"/>
      <c r="E1003" s="97"/>
      <c r="F1003" s="98"/>
      <c r="G1003" s="8"/>
      <c r="I1003" s="58"/>
      <c r="J1003" s="92"/>
      <c r="L1003" s="92"/>
      <c r="N1003" s="93"/>
      <c r="O1003" s="58"/>
      <c r="P1003" s="58"/>
    </row>
    <row r="1004">
      <c r="A1004" s="92"/>
      <c r="C1004" s="92"/>
      <c r="D1004" s="96"/>
      <c r="E1004" s="97"/>
      <c r="F1004" s="98"/>
      <c r="G1004" s="8"/>
      <c r="I1004" s="58"/>
      <c r="J1004" s="92"/>
      <c r="L1004" s="92"/>
      <c r="N1004" s="93"/>
      <c r="O1004" s="58"/>
      <c r="P1004" s="58"/>
    </row>
    <row r="1005">
      <c r="A1005" s="92"/>
      <c r="C1005" s="92"/>
      <c r="D1005" s="96"/>
      <c r="E1005" s="97"/>
      <c r="F1005" s="98"/>
      <c r="G1005" s="8"/>
      <c r="I1005" s="58"/>
      <c r="J1005" s="92"/>
      <c r="L1005" s="92"/>
      <c r="N1005" s="93"/>
      <c r="O1005" s="58"/>
      <c r="P1005" s="58"/>
    </row>
  </sheetData>
  <conditionalFormatting sqref="F5:F1005">
    <cfRule type="expression" dxfId="0" priority="1">
      <formula>and(REGEXMATCH(F5,"(?i)[\(\[\{\-][ ]*(feat|ft|explic|dirt|single|ep|video|acoustic)| feat(ur|\.| )| ft|f\/|w\/"),I5&lt;&gt;"Video")</formula>
    </cfRule>
  </conditionalFormatting>
  <conditionalFormatting sqref="N5:N1005">
    <cfRule type="expression" dxfId="0" priority="2">
      <formula>and(not(N5&lt;today()),not(isblank(N5)))</formula>
    </cfRule>
  </conditionalFormatting>
  <conditionalFormatting sqref="O5:O1005">
    <cfRule type="expression" dxfId="0" priority="3">
      <formula>and(not(isblank(O5)),iserror(match(O5,indirect("'Reference info'!H:H"),0)))</formula>
    </cfRule>
  </conditionalFormatting>
  <conditionalFormatting sqref="P5:P1005">
    <cfRule type="expression" dxfId="0" priority="4">
      <formula>and(not(isblank(P5)), iserror(match(P5,indirect("'Reference info'!H:H"),0)))</formula>
    </cfRule>
  </conditionalFormatting>
  <conditionalFormatting sqref="A5:A1005">
    <cfRule type="expression" dxfId="0" priority="5">
      <formula>or(and(not(isblank(F5)),isblank(A5)),and(not(isblank(A5)),iserror(match(A5,indirect("'2) Labels list'!a:a"),0))))</formula>
    </cfRule>
  </conditionalFormatting>
  <conditionalFormatting sqref="C5:C1005">
    <cfRule type="expression" dxfId="0" priority="6">
      <formula>and(not(isblank(B5)),C5&lt;&gt;"jpeg",C5&lt;&gt;"jpg")</formula>
    </cfRule>
  </conditionalFormatting>
  <conditionalFormatting sqref="G5:G1005">
    <cfRule type="expression" dxfId="0" priority="7">
      <formula>and(not(isblank(G5)),iserror(match(G5,indirect("'Reference info'!k:k"),0)))</formula>
    </cfRule>
  </conditionalFormatting>
  <conditionalFormatting sqref="I5:I1005">
    <cfRule type="expression" dxfId="0" priority="8">
      <formula>and(not(isblank(I5)),iserror(match(I5,indirect("'Reference info'!g:g"),0)))</formula>
    </cfRule>
  </conditionalFormatting>
  <conditionalFormatting sqref="J5:J1005">
    <cfRule type="expression" dxfId="0" priority="9">
      <formula>or(and(isblank(J5),not(isblank(F5))),type(J5)&lt;&gt;1,and(not(isblank(J5)),J5&lt;1900),J5&gt;Year(Now())+1)</formula>
    </cfRule>
  </conditionalFormatting>
  <conditionalFormatting sqref="L5:L1005">
    <cfRule type="expression" dxfId="0" priority="10">
      <formula>or(and(isblank(L5),not(isblank(F5))),type(L5)&lt;&gt;1,and(not(isblank(L5)),L5&lt;1900),L5&gt;Year(Now())+1)</formula>
    </cfRule>
  </conditionalFormatting>
  <conditionalFormatting sqref="D5:D1005">
    <cfRule type="expression" dxfId="3" priority="11">
      <formula>countif(D:D,D5)&gt;1</formula>
    </cfRule>
  </conditionalFormatting>
  <conditionalFormatting sqref="E5:E1005">
    <cfRule type="expression" dxfId="3" priority="12">
      <formula>countif(E:E,E5)&gt;1</formula>
    </cfRule>
  </conditionalFormatting>
  <conditionalFormatting sqref="P5:P1005">
    <cfRule type="expression" dxfId="3" priority="13">
      <formula>and(not(isblank(P5)),P5=O5)</formula>
    </cfRule>
  </conditionalFormatting>
  <conditionalFormatting sqref="D5:D1005">
    <cfRule type="expression" dxfId="3" priority="14">
      <formula>countif(Q:Q,D5)&gt;0</formula>
    </cfRule>
  </conditionalFormatting>
  <conditionalFormatting sqref="E5:E1005">
    <cfRule type="expression" dxfId="3" priority="15">
      <formula>countif(Q:Q,E5)&gt;0</formula>
    </cfRule>
  </conditionalFormatting>
  <conditionalFormatting sqref="A1">
    <cfRule type="notContainsBlanks" dxfId="1" priority="16">
      <formula>LEN(TRIM(A1))&gt;0</formula>
    </cfRule>
  </conditionalFormatting>
  <dataValidations>
    <dataValidation type="list" allowBlank="1" showInputMessage="1" showErrorMessage="1" prompt="select from list, start typing or drag" sqref="O5:P1005">
      <formula1>Genre</formula1>
    </dataValidation>
    <dataValidation type="list" allowBlank="1" showInputMessage="1" showErrorMessage="1" prompt="select from Labels list, start typing or drag" sqref="A5:A1005">
      <formula1>Label</formula1>
    </dataValidation>
    <dataValidation type="custom" allowBlank="1" showDropDown="1" showInputMessage="1" showErrorMessage="1" prompt="Enter a Valid Year from after 1899" sqref="J5:J1005 L5:L1005">
      <formula1>and(INT(J5)=J5,J5&gt;=1900,J5&lt;=Year(Now())+1)</formula1>
    </dataValidation>
    <dataValidation type="custom" allowBlank="1" showDropDown="1" showInputMessage="1" showErrorMessage="1" prompt="must contain 2 letters, 3 character minimum, 20 character maximum, alphanumeric ONLY (letter or number; no dashes, spaces, punctuation marks, etc.)" sqref="E5:E1005">
      <formula1>and(regexmatch(E5,"^[a-zA-Z0-9]*$"), len(E5)&gt;=3, len(E5)&lt;=20)</formula1>
    </dataValidation>
    <dataValidation type="custom" allowBlank="1" showDropDown="1" showInputMessage="1" showErrorMessage="1" prompt="Enter a valid UPC/EAN/JAN" sqref="D5:D1005">
      <formula1>and(INT(D5)=D5,D5&gt;9999999999)</formula1>
    </dataValidation>
    <dataValidation type="list" allowBlank="1" showInputMessage="1" showErrorMessage="1" prompt="Click and enter a value from range" sqref="G5:G1005">
      <formula1>Language</formula1>
    </dataValidation>
    <dataValidation type="list" allowBlank="1" showInputMessage="1" showErrorMessage="1" prompt="select from list, start typing or drag" sqref="I5:I1005">
      <formula1>ReleaseType</formula1>
    </dataValidation>
    <dataValidation type="custom" allowBlank="1" showDropDown="1" showInputMessage="1" showErrorMessage="1" prompt="Enter a valid date." sqref="N5:N1005">
      <formula1>OR(NOT(ISERROR(DATEVALUE(N5))), AND(ISNUMBER(N5), LEFT(CELL("format", N5))="D"))</formula1>
    </dataValidation>
    <dataValidation type="list" allowBlank="1" showInputMessage="1" showErrorMessage="1" prompt="select from list, start typing or drag" sqref="C5:C1005">
      <formula1>"jpeg,jpg"</formula1>
    </dataValidation>
  </dataValidations>
  <hyperlinks>
    <hyperlink r:id="rId2" ref="B5"/>
    <hyperlink r:id="rId3" ref="B6"/>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3.25"/>
    <col customWidth="1" min="2" max="2" width="13.0"/>
    <col customWidth="1" min="3" max="3" width="31.13"/>
    <col customWidth="1" min="4" max="4" width="16.5"/>
    <col customWidth="1" min="5" max="5" width="31.75"/>
    <col customWidth="1" min="6" max="6" width="19.63"/>
    <col customWidth="1" min="7" max="8" width="26.63"/>
    <col customWidth="1" min="9" max="9" width="21.88"/>
    <col customWidth="1" min="10" max="10" width="8.38"/>
    <col customWidth="1" min="11" max="11" width="16.0"/>
    <col customWidth="1" min="12" max="12" width="12.13"/>
    <col customWidth="1" min="13" max="13" width="12.75"/>
    <col customWidth="1" min="14" max="14" width="9.75"/>
    <col customWidth="1" min="15" max="15" width="8.0"/>
    <col customWidth="1" min="16" max="16" width="9.5"/>
    <col customWidth="1" min="17" max="17" width="9.0"/>
    <col customWidth="1" min="18" max="18" width="12.5"/>
    <col customWidth="1" min="19" max="19" width="4.38"/>
    <col customWidth="1" min="20" max="20" width="8.38"/>
    <col customWidth="1" min="21" max="21" width="6.75"/>
    <col customWidth="1" min="25" max="25" width="11.0"/>
  </cols>
  <sheetData>
    <row r="1">
      <c r="A1" s="13">
        <f>IFERROR(__xludf.DUMMYFUNCTION("COUNTUNIQUE(A5:A1006)-'3) Release_Label'!D1"),0.0)</f>
        <v>0</v>
      </c>
      <c r="B1" s="13">
        <f>IFERROR(__xludf.DUMMYFUNCTION("COUNTUNIQUE(B5:B1006)-'3) Release_Label'!E1"),0.0)</f>
        <v>0</v>
      </c>
      <c r="C1" s="99" t="s">
        <v>99</v>
      </c>
      <c r="D1" s="100"/>
      <c r="E1" s="13">
        <f>IFERROR(__xludf.DUMMYFUNCTION("COUNTUNIQUE(E5:E1006)"),2.0)</f>
        <v>2</v>
      </c>
      <c r="F1" s="21" t="s">
        <v>27</v>
      </c>
      <c r="G1" s="18">
        <f>countif(F:F,"Main Primary Artist")-'3) Release_Label'!G1</f>
        <v>0</v>
      </c>
      <c r="H1" s="101" t="s">
        <v>29</v>
      </c>
      <c r="I1" s="102"/>
    </row>
    <row r="2">
      <c r="A2" s="103" t="s">
        <v>100</v>
      </c>
      <c r="B2" s="104"/>
      <c r="C2" s="105"/>
      <c r="D2" s="106"/>
      <c r="E2" s="106"/>
      <c r="F2" s="106"/>
      <c r="G2" s="107"/>
      <c r="H2" s="106"/>
      <c r="I2" s="102"/>
    </row>
    <row r="3">
      <c r="A3" s="65" t="s">
        <v>63</v>
      </c>
      <c r="B3" s="68" t="s">
        <v>64</v>
      </c>
      <c r="C3" s="108" t="s">
        <v>65</v>
      </c>
      <c r="D3" s="108" t="s">
        <v>67</v>
      </c>
      <c r="E3" s="109" t="s">
        <v>101</v>
      </c>
      <c r="F3" s="109" t="s">
        <v>102</v>
      </c>
      <c r="G3" s="110" t="s">
        <v>103</v>
      </c>
      <c r="H3" s="13">
        <f>IFERROR(__xludf.DUMMYFUNCTION("if(iserror(filter(A:B,G:G=""Producer &amp; Engineer"")),0, countunique(filter(A:B,G:G=""Producer &amp; Engineer"")))-'3) Release_Label'!G1"),0.0)</f>
        <v>0</v>
      </c>
      <c r="I3" s="102"/>
    </row>
    <row r="4">
      <c r="A4" s="77" t="s">
        <v>104</v>
      </c>
      <c r="B4" s="79" t="s">
        <v>104</v>
      </c>
      <c r="C4" s="111" t="s">
        <v>105</v>
      </c>
      <c r="E4" s="112" t="s">
        <v>106</v>
      </c>
      <c r="F4" s="35" t="s">
        <v>82</v>
      </c>
      <c r="G4" s="113" t="s">
        <v>107</v>
      </c>
      <c r="H4" s="13">
        <f>IFERROR(__xludf.DUMMYFUNCTION("if(iserror(filter(A:B,G:G=""Performer"")),0, countunique(filter(A:B,G:G=""Performer"")))-'3) Release_Label'!G1"),-2.0)</f>
        <v>-2</v>
      </c>
    </row>
    <row r="5">
      <c r="A5" s="114">
        <v>7.89294845633E11</v>
      </c>
      <c r="B5" s="115"/>
      <c r="C5" s="116" t="str">
        <f t="array" ref="C5">ifs(and(isblank($A5),isblank($B5)),"", not(iserror(vlookup($A5&amp;$B5,'3) Release_Label'!$D:$D&amp;'3) Release_Label'!$E:$E,1,0))),vlookup($A5&amp;$B5,{'3) Release_Label'!$D:$D&amp;'3) Release_Label'!$E:$E,'3) Release_Label'!$F:$F},2,0), or(and(not(isblank($B5)),$B5=$B4,$A5&lt;&gt;$A4),and(not(isblank($A5)),$A5=$A4,$B5&lt;&gt;$B4)),"ID LISTS UNALIGNED",and($A5&lt;&gt;"",countif('3) Release_Label'!$D:$D,$A5)=0),"NO UPC MATCH in Release_Label",and($B5&lt;&gt;"",countif('3) Release_Label'!$E:$E,$B5)=0),"NO CATALOG ID MATCH in Release_Label",iserror(vlookup($A5&amp;$B5,'3) Release_Label'!$D:$D&amp;'3) Release_Label'!$E:$E,1,0)),"NO UPC-CATALOG ID pair MATCH in Release_Label" )</f>
        <v>Receba</v>
      </c>
      <c r="D5" s="116" t="str">
        <f t="array" ref="D5">ifs(and(isblank($A5),isblank($B5)),"", not(iserror(vlookup($A5&amp;$B5,'3) Release_Label'!$D:$D&amp;'3) Release_Label'!$E:$E,1,0))),vlookup($A5&amp;$B5,{'3) Release_Label'!$D:$D&amp;'3) Release_Label'!$E:$E,'3) Release_Label'!$H:$H},2,0), or(and(not(isblank($B5)),$B5=$B4,$A5&lt;&gt;$A4),and(not(isblank($A5)),$A5=$A4,$B5&lt;&gt;$B4)),"ID LISTS UNALIGNED",and($A5&lt;&gt;"",countif('3) Release_Label'!$D:$D,$A5)=0),"NO UPC MATCH in Release_Label",and($B5&lt;&gt;"",countif('3) Release_Label'!$E:$E,$B5)=0),"NO CATALOG ID MATCH in Release_Label",iserror(vlookup($A5&amp;$B5,'3) Release_Label'!$D:$D&amp;'3) Release_Label'!$E:$E,1,0)),"NO UPC-CATALOG ID pair MATCH in Release_Label" )</f>
        <v>Extended</v>
      </c>
      <c r="E5" s="117" t="s">
        <v>45</v>
      </c>
      <c r="F5" s="118" t="s">
        <v>108</v>
      </c>
      <c r="G5" s="119" t="str">
        <f t="array" ref="G5">ifs(or($F5="",$F5="Main Primary Artist"),$F5,not(iserror(vlookup($F5,'Reference info'!$J$5:$J$8,1,0))),"Key Artist",not(iserror(vlookup($F5,'Reference info'!$J$38:$J$405,1,0))),"Performer",not(iserror(vlookup($F5,'Reference info'!$J$10:$J$36,1,0))),"Producer &amp; Engineer")</f>
        <v>Main Primary Artist</v>
      </c>
    </row>
    <row r="6">
      <c r="A6" s="114">
        <v>7.89294845633E11</v>
      </c>
      <c r="B6" s="115"/>
      <c r="C6" s="116" t="str">
        <f t="array" ref="C6">ifs(and(isblank($A6),isblank($B6)),"", not(iserror(vlookup($A6&amp;$B6,'3) Release_Label'!$D:$D&amp;'3) Release_Label'!$E:$E,1,0))),vlookup($A6&amp;$B6,{'3) Release_Label'!$D:$D&amp;'3) Release_Label'!$E:$E,'3) Release_Label'!$F:$F},2,0),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Receba</v>
      </c>
      <c r="D6" s="116" t="str">
        <f t="array" ref="D6">ifs(and(isblank($A6),isblank($B6)),"", not(iserror(vlookup($A6&amp;$B6,'3) Release_Label'!$D:$D&amp;'3) Release_Label'!$E:$E,1,0))),vlookup($A6&amp;$B6,{'3) Release_Label'!$D:$D&amp;'3) Release_Label'!$E:$E,'3) Release_Label'!$H:$H},2,0),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Extended</v>
      </c>
      <c r="E6" s="117" t="s">
        <v>45</v>
      </c>
      <c r="F6" s="118" t="s">
        <v>109</v>
      </c>
      <c r="G6" s="119" t="str">
        <f t="array" ref="G6">ifs(or($F6="",$F6="Main Primary Artist"),$F6,not(iserror(vlookup($F6,'Reference info'!$J$5:$J$8,1,0))),"Key Artist",not(iserror(vlookup($F6,'Reference info'!$J$38:$J$405,1,0))),"Performer",not(iserror(vlookup($F6,'Reference info'!$J$10:$J$36,1,0))),"Producer &amp; Engineer")</f>
        <v>Producer &amp; Engineer</v>
      </c>
      <c r="I6" s="28"/>
    </row>
    <row r="7">
      <c r="A7" s="114">
        <v>7.89294845633E11</v>
      </c>
      <c r="B7" s="115"/>
      <c r="C7" s="116" t="str">
        <f t="array" ref="C7">ifs(and(isblank($A7),isblank($B7)),"", not(iserror(vlookup($A7&amp;$B7,'3) Release_Label'!$D:$D&amp;'3) Release_Label'!$E:$E,1,0))),vlookup($A7&amp;$B7,{'3) Release_Label'!$D:$D&amp;'3) Release_Label'!$E:$E,'3) Release_Label'!$F:$F},2,0),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Receba</v>
      </c>
      <c r="D7" s="116" t="str">
        <f t="array" ref="D7">ifs(and(isblank($A7),isblank($B7)),"", not(iserror(vlookup($A7&amp;$B7,'3) Release_Label'!$D:$D&amp;'3) Release_Label'!$E:$E,1,0))),vlookup($A7&amp;$B7,{'3) Release_Label'!$D:$D&amp;'3) Release_Label'!$E:$E,'3) Release_Label'!$H:$H},2,0),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Extended</v>
      </c>
      <c r="E7" s="117" t="s">
        <v>45</v>
      </c>
      <c r="F7" s="118" t="s">
        <v>110</v>
      </c>
      <c r="G7" s="119" t="str">
        <f t="array" ref="G7">ifs(or($F7="",$F7="Main Primary Artist"),$F7,not(iserror(vlookup($F7,'Reference info'!$J$5:$J$8,1,0))),"Key Artist",not(iserror(vlookup($F7,'Reference info'!$J$38:$J$405,1,0))),"Performer",not(iserror(vlookup($F7,'Reference info'!$J$10:$J$36,1,0))),"Producer &amp; Engineer")</f>
        <v>Producer &amp; Engineer</v>
      </c>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row>
    <row r="8">
      <c r="A8" s="114">
        <v>7.89294962088E11</v>
      </c>
      <c r="B8" s="115"/>
      <c r="C8" s="116" t="str">
        <f t="array" ref="C8">ifs(and(isblank($A8),isblank($B8)),"", not(iserror(vlookup($A8&amp;$B8,'3) Release_Label'!$D:$D&amp;'3) Release_Label'!$E:$E,1,0))),vlookup($A8&amp;$B8,{'3) Release_Label'!$D:$D&amp;'3) Release_Label'!$E:$E,'3) Release_Label'!$F:$F},2,0),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A Cláusula do Contrato</v>
      </c>
      <c r="D8" s="116" t="str">
        <f t="array" ref="D8">ifs(and(isblank($A8),isblank($B8)),"", not(iserror(vlookup($A8&amp;$B8,'3) Release_Label'!$D:$D&amp;'3) Release_Label'!$E:$E,1,0))),vlookup($A8&amp;$B8,{'3) Release_Label'!$D:$D&amp;'3) Release_Label'!$E:$E,'3) Release_Label'!$H:$H},2,0),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
      </c>
      <c r="E8" s="117" t="s">
        <v>50</v>
      </c>
      <c r="F8" s="118" t="s">
        <v>108</v>
      </c>
      <c r="G8" s="119" t="str">
        <f t="array" ref="G8">ifs(or($F8="",$F8="Main Primary Artist"),$F8,not(iserror(vlookup($F8,'Reference info'!$J$5:$J$8,1,0))),"Key Artist",not(iserror(vlookup($F8,'Reference info'!$J$38:$J$405,1,0))),"Performer",not(iserror(vlookup($F8,'Reference info'!$J$10:$J$36,1,0))),"Producer &amp; Engineer")</f>
        <v>Main Primary Artist</v>
      </c>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row>
    <row r="9">
      <c r="A9" s="114">
        <v>7.89294962088E11</v>
      </c>
      <c r="B9" s="115"/>
      <c r="C9" s="116" t="str">
        <f t="array" ref="C9">ifs(and(isblank($A9),isblank($B9)),"", not(iserror(vlookup($A9&amp;$B9,'3) Release_Label'!$D:$D&amp;'3) Release_Label'!$E:$E,1,0))),vlookup($A9&amp;$B9,{'3) Release_Label'!$D:$D&amp;'3) Release_Label'!$E:$E,'3) Release_Label'!$F:$F},2,0),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A Cláusula do Contrato</v>
      </c>
      <c r="D9" s="116" t="str">
        <f t="array" ref="D9">ifs(and(isblank($A9),isblank($B9)),"", not(iserror(vlookup($A9&amp;$B9,'3) Release_Label'!$D:$D&amp;'3) Release_Label'!$E:$E,1,0))),vlookup($A9&amp;$B9,{'3) Release_Label'!$D:$D&amp;'3) Release_Label'!$E:$E,'3) Release_Label'!$H:$H},2,0),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
      </c>
      <c r="E9" s="117" t="s">
        <v>50</v>
      </c>
      <c r="F9" s="118" t="s">
        <v>109</v>
      </c>
      <c r="G9" s="119" t="str">
        <f t="array" ref="G9">ifs(or($F9="",$F9="Main Primary Artist"),$F9,not(iserror(vlookup($F9,'Reference info'!$J$5:$J$8,1,0))),"Key Artist",not(iserror(vlookup($F9,'Reference info'!$J$38:$J$405,1,0))),"Performer",not(iserror(vlookup($F9,'Reference info'!$J$10:$J$36,1,0))),"Producer &amp; Engineer")</f>
        <v>Producer &amp; Engineer</v>
      </c>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row>
    <row r="10">
      <c r="A10" s="114">
        <v>7.89294962088E11</v>
      </c>
      <c r="B10" s="115"/>
      <c r="C10" s="116" t="str">
        <f t="array" ref="C10">ifs(and(isblank($A10),isblank($B10)),"", not(iserror(vlookup($A10&amp;$B10,'3) Release_Label'!$D:$D&amp;'3) Release_Label'!$E:$E,1,0))),vlookup($A10&amp;$B10,{'3) Release_Label'!$D:$D&amp;'3) Release_Label'!$E:$E,'3) Release_Label'!$F:$F},2,0),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A Cláusula do Contrato</v>
      </c>
      <c r="D10" s="116" t="str">
        <f t="array" ref="D10">ifs(and(isblank($A10),isblank($B10)),"", not(iserror(vlookup($A10&amp;$B10,'3) Release_Label'!$D:$D&amp;'3) Release_Label'!$E:$E,1,0))),vlookup($A10&amp;$B10,{'3) Release_Label'!$D:$D&amp;'3) Release_Label'!$E:$E,'3) Release_Label'!$H:$H},2,0),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
      </c>
      <c r="E10" s="117" t="s">
        <v>50</v>
      </c>
      <c r="F10" s="118" t="s">
        <v>110</v>
      </c>
      <c r="G10" s="119" t="str">
        <f t="array" ref="G10">ifs(or($F10="",$F10="Main Primary Artist"),$F10,not(iserror(vlookup($F10,'Reference info'!$J$5:$J$8,1,0))),"Key Artist",not(iserror(vlookup($F10,'Reference info'!$J$38:$J$405,1,0))),"Performer",not(iserror(vlookup($F10,'Reference info'!$J$10:$J$36,1,0))),"Producer &amp; Engineer")</f>
        <v>Producer &amp; Engineer</v>
      </c>
      <c r="H10" s="28"/>
      <c r="I10" s="28"/>
      <c r="J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row>
    <row r="11">
      <c r="A11" s="28"/>
      <c r="B11" s="120"/>
      <c r="C11" s="121"/>
      <c r="D11" s="121"/>
      <c r="E11" s="28"/>
      <c r="F11" s="88"/>
      <c r="G11" s="122"/>
      <c r="H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row>
    <row r="12">
      <c r="A12" s="28"/>
      <c r="B12" s="120"/>
      <c r="C12" s="121" t="str">
        <f t="array" ref="C12">ifs(and(isblank($A12),isblank($B12)),"", not(iserror(vlookup($A12&amp;$B12,'3) Release_Label'!$D:$D&amp;'3) Release_Label'!$E:$E,1,0))),vlookup($A12&amp;$B12,{'3) Release_Label'!$D:$D&amp;'3) Release_Label'!$E:$E,'3) Release_Label'!$F:$F},2,0),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
      </c>
      <c r="D12" s="121" t="str">
        <f t="array" ref="D12">ifs(and(isblank($A12),isblank($B12)),"", not(iserror(vlookup($A12&amp;$B12,'3) Release_Label'!$D:$D&amp;'3) Release_Label'!$E:$E,1,0))),vlookup($A12&amp;$B12,{'3) Release_Label'!$D:$D&amp;'3) Release_Label'!$E:$E,'3) Release_Label'!$H:$H},2,0),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
      </c>
      <c r="E12" s="28"/>
      <c r="F12" s="88"/>
      <c r="G12" s="119" t="str">
        <f t="array" ref="G12">ifs(or($F12="",$F12="Main Primary Artist"),$F12,not(iserror(vlookup($F12,'Reference info'!$J$5:$J$8,1,0))),"Key Artist",not(iserror(vlookup($F12,'Reference info'!$J$38:$J$405,1,0))),"Performer",not(iserror(vlookup($F12,'Reference info'!$J$10:$J$36,1,0))),"Producer &amp; Engineer")</f>
        <v/>
      </c>
      <c r="H12" s="8" t="s">
        <v>111</v>
      </c>
      <c r="I12" s="123"/>
      <c r="J12" s="28"/>
      <c r="K12" s="124"/>
      <c r="L12" s="124"/>
      <c r="M12" s="124"/>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row>
    <row r="13">
      <c r="A13" s="28"/>
      <c r="B13" s="120"/>
      <c r="C13" s="121" t="str">
        <f t="array" ref="C13">ifs(and(isblank($A13),isblank($B13)),"", not(iserror(vlookup($A13&amp;$B13,'3) Release_Label'!$D:$D&amp;'3) Release_Label'!$E:$E,1,0))),vlookup($A13&amp;$B13,{'3) Release_Label'!$D:$D&amp;'3) Release_Label'!$E:$E,'3) Release_Label'!$F:$F},2,0),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
      </c>
      <c r="D13" s="121" t="str">
        <f t="array" ref="D13">ifs(and(isblank($A13),isblank($B13)),"", not(iserror(vlookup($A13&amp;$B13,'3) Release_Label'!$D:$D&amp;'3) Release_Label'!$E:$E,1,0))),vlookup($A13&amp;$B13,{'3) Release_Label'!$D:$D&amp;'3) Release_Label'!$E:$E,'3) Release_Label'!$H:$H},2,0),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
      </c>
      <c r="E13" s="28"/>
      <c r="F13" s="88"/>
      <c r="G13" s="119" t="str">
        <f t="array" ref="G13">ifs(or($F13="",$F13="Main Primary Artist"),$F13,not(iserror(vlookup($F13,'Reference info'!$J$5:$J$8,1,0))),"Key Artist",not(iserror(vlookup($F13,'Reference info'!$J$38:$J$405,1,0))),"Performer",not(iserror(vlookup($F13,'Reference info'!$J$10:$J$36,1,0))),"Producer &amp; Engineer")</f>
        <v/>
      </c>
      <c r="H13" s="8" t="s">
        <v>112</v>
      </c>
      <c r="I13" s="123"/>
      <c r="J13" s="28"/>
      <c r="K13" s="124"/>
      <c r="L13" s="96"/>
      <c r="M13" s="124"/>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row>
    <row r="14">
      <c r="A14" s="28"/>
      <c r="B14" s="120"/>
      <c r="C14" s="121" t="str">
        <f t="array" ref="C14">ifs(and(isblank($A14),isblank($B14)),"", not(iserror(vlookup($A14&amp;$B14,'3) Release_Label'!$D:$D&amp;'3) Release_Label'!$E:$E,1,0))),vlookup($A14&amp;$B14,{'3) Release_Label'!$D:$D&amp;'3) Release_Label'!$E:$E,'3) Release_Label'!$F:$F},2,0),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
      </c>
      <c r="D14" s="121" t="str">
        <f t="array" ref="D14">ifs(and(isblank($A14),isblank($B14)),"", not(iserror(vlookup($A14&amp;$B14,'3) Release_Label'!$D:$D&amp;'3) Release_Label'!$E:$E,1,0))),vlookup($A14&amp;$B14,{'3) Release_Label'!$D:$D&amp;'3) Release_Label'!$E:$E,'3) Release_Label'!$H:$H},2,0),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
      </c>
      <c r="E14" s="28"/>
      <c r="F14" s="88"/>
      <c r="G14" s="119" t="str">
        <f t="array" ref="G14">ifs(or($F14="",$F14="Main Primary Artist"),$F14,not(iserror(vlookup($F14,'Reference info'!$J$5:$J$8,1,0))),"Key Artist",not(iserror(vlookup($F14,'Reference info'!$J$38:$J$405,1,0))),"Performer",not(iserror(vlookup($F14,'Reference info'!$J$10:$J$36,1,0))),"Producer &amp; Engineer")</f>
        <v/>
      </c>
      <c r="H14" s="48" t="s">
        <v>113</v>
      </c>
      <c r="I14" s="123"/>
      <c r="J14" s="28"/>
      <c r="K14" s="124"/>
      <c r="L14" s="96"/>
      <c r="M14" s="124"/>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row>
    <row r="15">
      <c r="A15" s="28"/>
      <c r="B15" s="120"/>
      <c r="C15" s="121" t="str">
        <f t="array" ref="C15">ifs(and(isblank($A15),isblank($B15)),"", not(iserror(vlookup($A15&amp;$B15,'3) Release_Label'!$D:$D&amp;'3) Release_Label'!$E:$E,1,0))),vlookup($A15&amp;$B15,{'3) Release_Label'!$D:$D&amp;'3) Release_Label'!$E:$E,'3) Release_Label'!$F:$F},2,0),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
      </c>
      <c r="D15" s="121" t="str">
        <f t="array" ref="D15">ifs(and(isblank($A15),isblank($B15)),"", not(iserror(vlookup($A15&amp;$B15,'3) Release_Label'!$D:$D&amp;'3) Release_Label'!$E:$E,1,0))),vlookup($A15&amp;$B15,{'3) Release_Label'!$D:$D&amp;'3) Release_Label'!$E:$E,'3) Release_Label'!$H:$H},2,0),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
      </c>
      <c r="E15" s="28"/>
      <c r="F15" s="88"/>
      <c r="G15" s="119" t="str">
        <f t="array" ref="G15">ifs(or($F15="",$F15="Main Primary Artist"),$F15,not(iserror(vlookup($F15,'Reference info'!$J$5:$J$8,1,0))),"Key Artist",not(iserror(vlookup($F15,'Reference info'!$J$38:$J$405,1,0))),"Performer",not(iserror(vlookup($F15,'Reference info'!$J$10:$J$36,1,0))),"Producer &amp; Engineer")</f>
        <v/>
      </c>
      <c r="H15" s="48" t="s">
        <v>114</v>
      </c>
      <c r="I15" s="96"/>
      <c r="J15" s="28"/>
      <c r="K15" s="124"/>
      <c r="L15" s="96"/>
      <c r="M15" s="124"/>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row>
    <row r="16">
      <c r="A16" s="28"/>
      <c r="B16" s="120"/>
      <c r="C16" s="121" t="str">
        <f t="array" ref="C16">ifs(and(isblank($A16),isblank($B16)),"", not(iserror(vlookup($A16&amp;$B16,'3) Release_Label'!$D:$D&amp;'3) Release_Label'!$E:$E,1,0))),vlookup($A16&amp;$B16,{'3) Release_Label'!$D:$D&amp;'3) Release_Label'!$E:$E,'3) Release_Label'!$F:$F},2,0), or(and(not(isblank($B16)),$B16=$B15,$A16&lt;&gt;$A15),and(not(isblank($A16)),$A16=$A15,$B16&lt;&gt;$B15)),"ID LISTS UNALIGNED",and($A16&lt;&gt;"",countif('3) Release_Label'!$D:$D,$A16)=0),"NO UPC MATCH in Release_Label",and($B16&lt;&gt;"",countif('3) Release_Label'!$E:$E,$B16)=0),"NO CATALOG ID MATCH in Release_Label",iserror(vlookup($A16&amp;$B16,'3) Release_Label'!$D:$D&amp;'3) Release_Label'!$E:$E,1,0)),"NO UPC-CATALOG ID pair MATCH in Release_Label" )</f>
        <v/>
      </c>
      <c r="D16" s="121" t="str">
        <f t="array" ref="D16">ifs(and(isblank($A16),isblank($B16)),"", not(iserror(vlookup($A16&amp;$B16,'3) Release_Label'!$D:$D&amp;'3) Release_Label'!$E:$E,1,0))),vlookup($A16&amp;$B16,{'3) Release_Label'!$D:$D&amp;'3) Release_Label'!$E:$E,'3) Release_Label'!$H:$H},2,0), or(and(not(isblank($B16)),$B16=$B15,$A16&lt;&gt;$A15),and(not(isblank($A16)),$A16=$A15,$B16&lt;&gt;$B15)),"ID LISTS UNALIGNED",and($A16&lt;&gt;"",countif('3) Release_Label'!$D:$D,$A16)=0),"NO UPC MATCH in Release_Label",and($B16&lt;&gt;"",countif('3) Release_Label'!$E:$E,$B16)=0),"NO CATALOG ID MATCH in Release_Label",iserror(vlookup($A16&amp;$B16,'3) Release_Label'!$D:$D&amp;'3) Release_Label'!$E:$E,1,0)),"NO UPC-CATALOG ID pair MATCH in Release_Label" )</f>
        <v/>
      </c>
      <c r="E16" s="28"/>
      <c r="F16" s="28"/>
      <c r="G16" s="119" t="str">
        <f t="array" ref="G16">ifs(or($F16="",$F16="Main Primary Artist"),$F16,not(iserror(vlookup($F16,'Reference info'!$J$5:$J$8,1,0))),"Key Artist",not(iserror(vlookup($F16,'Reference info'!$J$38:$J$405,1,0))),"Performer",not(iserror(vlookup($F16,'Reference info'!$J$10:$J$36,1,0))),"Producer &amp; Engineer")</f>
        <v/>
      </c>
      <c r="H16" s="28"/>
      <c r="I16" s="96"/>
      <c r="J16" s="28"/>
      <c r="K16" s="124"/>
      <c r="L16" s="96"/>
      <c r="M16" s="124"/>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row>
    <row r="17">
      <c r="A17" s="28"/>
      <c r="B17" s="120"/>
      <c r="C17" s="121" t="str">
        <f t="array" ref="C17">ifs(and(isblank($A17),isblank($B17)),"", not(iserror(vlookup($A17&amp;$B17,'3) Release_Label'!$D:$D&amp;'3) Release_Label'!$E:$E,1,0))),vlookup($A17&amp;$B17,{'3) Release_Label'!$D:$D&amp;'3) Release_Label'!$E:$E,'3) Release_Label'!$F:$F},2,0),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
      </c>
      <c r="D17" s="121" t="str">
        <f t="array" ref="D17">ifs(and(isblank($A17),isblank($B17)),"", not(iserror(vlookup($A17&amp;$B17,'3) Release_Label'!$D:$D&amp;'3) Release_Label'!$E:$E,1,0))),vlookup($A17&amp;$B17,{'3) Release_Label'!$D:$D&amp;'3) Release_Label'!$E:$E,'3) Release_Label'!$H:$H},2,0),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
      </c>
      <c r="E17" s="28"/>
      <c r="F17" s="28"/>
      <c r="G17" s="119" t="str">
        <f t="array" ref="G17">ifs(or($F17="",$F17="Main Primary Artist"),$F17,not(iserror(vlookup($F17,'Reference info'!$J$5:$J$8,1,0))),"Key Artist",not(iserror(vlookup($F17,'Reference info'!$J$38:$J$405,1,0))),"Performer",not(iserror(vlookup($F17,'Reference info'!$J$10:$J$36,1,0))),"Producer &amp; Engineer")</f>
        <v/>
      </c>
      <c r="H17" s="28"/>
      <c r="I17" s="96"/>
      <c r="J17" s="28"/>
      <c r="K17" s="124"/>
      <c r="L17" s="96"/>
      <c r="M17" s="124"/>
      <c r="N17" s="28"/>
      <c r="O17" s="28"/>
      <c r="P17" s="28"/>
      <c r="Q17" s="28"/>
      <c r="R17" s="28"/>
      <c r="S17" s="28"/>
      <c r="T17" s="28"/>
      <c r="U17" s="43"/>
      <c r="V17" s="28"/>
      <c r="W17" s="28"/>
      <c r="X17" s="28"/>
      <c r="Y17" s="28"/>
      <c r="Z17" s="28"/>
      <c r="AA17" s="28"/>
      <c r="AB17" s="28"/>
      <c r="AC17" s="28"/>
      <c r="AD17" s="28"/>
      <c r="AE17" s="28"/>
      <c r="AF17" s="28"/>
      <c r="AG17" s="28"/>
      <c r="AH17" s="28"/>
      <c r="AI17" s="28"/>
      <c r="AJ17" s="28"/>
      <c r="AK17" s="28"/>
      <c r="AL17" s="28"/>
      <c r="AM17" s="28"/>
      <c r="AN17" s="28"/>
      <c r="AO17" s="28"/>
      <c r="AP17" s="28"/>
      <c r="AQ17" s="28"/>
      <c r="AR17" s="28"/>
    </row>
    <row r="18">
      <c r="A18" s="28"/>
      <c r="B18" s="97"/>
      <c r="C18" s="121" t="str">
        <f t="array" ref="C18">ifs(and(isblank($A18),isblank($B18)),"", not(iserror(vlookup($A18&amp;$B18,'3) Release_Label'!$D:$D&amp;'3) Release_Label'!$E:$E,1,0))),vlookup($A18&amp;$B18,{'3) Release_Label'!$D:$D&amp;'3) Release_Label'!$E:$E,'3) Release_Label'!$F:$F},2,0),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
      </c>
      <c r="D18" s="121" t="str">
        <f t="array" ref="D18">ifs(and(isblank($A18),isblank($B18)),"", not(iserror(vlookup($A18&amp;$B18,'3) Release_Label'!$D:$D&amp;'3) Release_Label'!$E:$E,1,0))),vlookup($A18&amp;$B18,{'3) Release_Label'!$D:$D&amp;'3) Release_Label'!$E:$E,'3) Release_Label'!$H:$H},2,0),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
      </c>
      <c r="E18" s="92"/>
      <c r="F18" s="92"/>
      <c r="G18" s="125" t="str">
        <f t="array" ref="G18">ifs(or($F18="",$F18="Main Primary Artist"),$F18,not(iserror(vlookup($F18,'Reference info'!$J$5:$J$8,1,0))),"Key Artist",not(iserror(vlookup($F18,'Reference info'!$J$38:$J$405,1,0))),"Performer",not(iserror(vlookup($F18,'Reference info'!$J$10:$J$36,1,0))),"Producer &amp; Engineer")</f>
        <v/>
      </c>
      <c r="L18" s="96"/>
    </row>
    <row r="19">
      <c r="A19" s="28"/>
      <c r="B19" s="97"/>
      <c r="C19" s="121" t="str">
        <f t="array" ref="C19">ifs(and(isblank($A19),isblank($B19)),"", not(iserror(vlookup($A19&amp;$B19,'3) Release_Label'!$D:$D&amp;'3) Release_Label'!$E:$E,1,0))),vlookup($A19&amp;$B19,{'3) Release_Label'!$D:$D&amp;'3) Release_Label'!$E:$E,'3) Release_Label'!$F:$F},2,0),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
      </c>
      <c r="D19" s="121" t="str">
        <f t="array" ref="D19">ifs(and(isblank($A19),isblank($B19)),"", not(iserror(vlookup($A19&amp;$B19,'3) Release_Label'!$D:$D&amp;'3) Release_Label'!$E:$E,1,0))),vlookup($A19&amp;$B19,{'3) Release_Label'!$D:$D&amp;'3) Release_Label'!$E:$E,'3) Release_Label'!$H:$H},2,0),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
      </c>
      <c r="E19" s="92"/>
      <c r="F19" s="92"/>
      <c r="G19" s="125" t="str">
        <f t="array" ref="G19">ifs(or($F19="",$F19="Main Primary Artist"),$F19,not(iserror(vlookup($F19,'Reference info'!$J$5:$J$8,1,0))),"Key Artist",not(iserror(vlookup($F19,'Reference info'!$J$38:$J$405,1,0))),"Performer",not(iserror(vlookup($F19,'Reference info'!$J$10:$J$36,1,0))),"Producer &amp; Engineer")</f>
        <v/>
      </c>
      <c r="L19" s="96"/>
    </row>
    <row r="20">
      <c r="A20" s="28"/>
      <c r="B20" s="97"/>
      <c r="C20" s="121" t="str">
        <f t="array" ref="C20">ifs(and(isblank($A20),isblank($B20)),"", not(iserror(vlookup($A20&amp;$B20,'3) Release_Label'!$D:$D&amp;'3) Release_Label'!$E:$E,1,0))),vlookup($A20&amp;$B20,{'3) Release_Label'!$D:$D&amp;'3) Release_Label'!$E:$E,'3) Release_Label'!$F:$F},2,0),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
      </c>
      <c r="D20" s="121" t="str">
        <f t="array" ref="D20">ifs(and(isblank($A20),isblank($B20)),"", not(iserror(vlookup($A20&amp;$B20,'3) Release_Label'!$D:$D&amp;'3) Release_Label'!$E:$E,1,0))),vlookup($A20&amp;$B20,{'3) Release_Label'!$D:$D&amp;'3) Release_Label'!$E:$E,'3) Release_Label'!$H:$H},2,0),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
      </c>
      <c r="E20" s="92"/>
      <c r="F20" s="92"/>
      <c r="G20" s="125" t="str">
        <f t="array" ref="G20">ifs(or($F20="",$F20="Main Primary Artist"),$F20,not(iserror(vlookup($F20,'Reference info'!$J$5:$J$8,1,0))),"Key Artist",not(iserror(vlookup($F20,'Reference info'!$J$38:$J$405,1,0))),"Performer",not(iserror(vlookup($F20,'Reference info'!$J$10:$J$36,1,0))),"Producer &amp; Engineer")</f>
        <v/>
      </c>
      <c r="L20" s="96"/>
    </row>
    <row r="21">
      <c r="A21" s="28"/>
      <c r="B21" s="97"/>
      <c r="C21" s="121" t="str">
        <f t="array" ref="C21">ifs(and(isblank($A21),isblank($B21)),"", not(iserror(vlookup($A21&amp;$B21,'3) Release_Label'!$D:$D&amp;'3) Release_Label'!$E:$E,1,0))),vlookup($A21&amp;$B21,{'3) Release_Label'!$D:$D&amp;'3) Release_Label'!$E:$E,'3) Release_Label'!$F:$F},2,0),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
      </c>
      <c r="D21" s="121" t="str">
        <f t="array" ref="D21">ifs(and(isblank($A21),isblank($B21)),"", not(iserror(vlookup($A21&amp;$B21,'3) Release_Label'!$D:$D&amp;'3) Release_Label'!$E:$E,1,0))),vlookup($A21&amp;$B21,{'3) Release_Label'!$D:$D&amp;'3) Release_Label'!$E:$E,'3) Release_Label'!$H:$H},2,0),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
      </c>
      <c r="E21" s="92"/>
      <c r="F21" s="92"/>
      <c r="G21" s="125" t="str">
        <f t="array" ref="G21">ifs(or($F21="",$F21="Main Primary Artist"),$F21,not(iserror(vlookup($F21,'Reference info'!$J$5:$J$8,1,0))),"Key Artist",not(iserror(vlookup($F21,'Reference info'!$J$38:$J$405,1,0))),"Performer",not(iserror(vlookup($F21,'Reference info'!$J$10:$J$36,1,0))),"Producer &amp; Engineer")</f>
        <v/>
      </c>
    </row>
    <row r="22">
      <c r="A22" s="28"/>
      <c r="B22" s="97"/>
      <c r="C22" s="121" t="str">
        <f t="array" ref="C22">ifs(and(isblank($A22),isblank($B22)),"", not(iserror(vlookup($A22&amp;$B22,'3) Release_Label'!$D:$D&amp;'3) Release_Label'!$E:$E,1,0))),vlookup($A22&amp;$B22,{'3) Release_Label'!$D:$D&amp;'3) Release_Label'!$E:$E,'3) Release_Label'!$F:$F},2,0),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
      </c>
      <c r="D22" s="121" t="str">
        <f t="array" ref="D22">ifs(and(isblank($A22),isblank($B22)),"", not(iserror(vlookup($A22&amp;$B22,'3) Release_Label'!$D:$D&amp;'3) Release_Label'!$E:$E,1,0))),vlookup($A22&amp;$B22,{'3) Release_Label'!$D:$D&amp;'3) Release_Label'!$E:$E,'3) Release_Label'!$H:$H},2,0),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
      </c>
      <c r="E22" s="92"/>
      <c r="F22" s="92"/>
      <c r="G22" s="125" t="str">
        <f t="array" ref="G22">ifs(or($F22="",$F22="Main Primary Artist"),$F22,not(iserror(vlookup($F22,'Reference info'!$J$5:$J$8,1,0))),"Key Artist",not(iserror(vlookup($F22,'Reference info'!$J$38:$J$405,1,0))),"Performer",not(iserror(vlookup($F22,'Reference info'!$J$10:$J$36,1,0))),"Producer &amp; Engineer")</f>
        <v/>
      </c>
    </row>
    <row r="23">
      <c r="A23" s="28"/>
      <c r="B23" s="97"/>
      <c r="C23" s="121" t="str">
        <f t="array" ref="C23">ifs(and(isblank($A23),isblank($B23)),"", not(iserror(vlookup($A23&amp;$B23,'3) Release_Label'!$D:$D&amp;'3) Release_Label'!$E:$E,1,0))),vlookup($A23&amp;$B23,{'3) Release_Label'!$D:$D&amp;'3) Release_Label'!$E:$E,'3) Release_Label'!$F:$F},2,0), or(and(not(isblank($B23)),$B23=$B22,$A23&lt;&gt;$A22),and(not(isblank($A23)),$A23=$A22,$B23&lt;&gt;$B22)),"ID LISTS UNALIGNED",and($A23&lt;&gt;"",countif('3) Release_Label'!$D:$D,$A23)=0),"NO UPC MATCH in Release_Label",and($B23&lt;&gt;"",countif('3) Release_Label'!$E:$E,$B23)=0),"NO CATALOG ID MATCH in Release_Label",iserror(vlookup($A23&amp;$B23,'3) Release_Label'!$D:$D&amp;'3) Release_Label'!$E:$E,1,0)),"NO UPC-CATALOG ID pair MATCH in Release_Label" )</f>
        <v/>
      </c>
      <c r="D23" s="121" t="str">
        <f t="array" ref="D23">ifs(and(isblank($A23),isblank($B23)),"", not(iserror(vlookup($A23&amp;$B23,'3) Release_Label'!$D:$D&amp;'3) Release_Label'!$E:$E,1,0))),vlookup($A23&amp;$B23,{'3) Release_Label'!$D:$D&amp;'3) Release_Label'!$E:$E,'3) Release_Label'!$H:$H},2,0), or(and(not(isblank($B23)),$B23=$B22,$A23&lt;&gt;$A22),and(not(isblank($A23)),$A23=$A22,$B23&lt;&gt;$B22)),"ID LISTS UNALIGNED",and($A23&lt;&gt;"",countif('3) Release_Label'!$D:$D,$A23)=0),"NO UPC MATCH in Release_Label",and($B23&lt;&gt;"",countif('3) Release_Label'!$E:$E,$B23)=0),"NO CATALOG ID MATCH in Release_Label",iserror(vlookup($A23&amp;$B23,'3) Release_Label'!$D:$D&amp;'3) Release_Label'!$E:$E,1,0)),"NO UPC-CATALOG ID pair MATCH in Release_Label" )</f>
        <v/>
      </c>
      <c r="E23" s="92"/>
      <c r="F23" s="92"/>
      <c r="G23" s="125" t="str">
        <f t="array" ref="G23">ifs(or($F23="",$F23="Main Primary Artist"),$F23,not(iserror(vlookup($F23,'Reference info'!$J$5:$J$8,1,0))),"Key Artist",not(iserror(vlookup($F23,'Reference info'!$J$38:$J$405,1,0))),"Performer",not(iserror(vlookup($F23,'Reference info'!$J$10:$J$36,1,0))),"Producer &amp; Engineer")</f>
        <v/>
      </c>
    </row>
    <row r="24">
      <c r="A24" s="28"/>
      <c r="B24" s="97"/>
      <c r="C24" s="121" t="str">
        <f t="array" ref="C24">ifs(and(isblank($A24),isblank($B24)),"", not(iserror(vlookup($A24&amp;$B24,'3) Release_Label'!$D:$D&amp;'3) Release_Label'!$E:$E,1,0))),vlookup($A24&amp;$B24,{'3) Release_Label'!$D:$D&amp;'3) Release_Label'!$E:$E,'3) Release_Label'!$F:$F},2,0),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
      </c>
      <c r="D24" s="121" t="str">
        <f t="array" ref="D24">ifs(and(isblank($A24),isblank($B24)),"", not(iserror(vlookup($A24&amp;$B24,'3) Release_Label'!$D:$D&amp;'3) Release_Label'!$E:$E,1,0))),vlookup($A24&amp;$B24,{'3) Release_Label'!$D:$D&amp;'3) Release_Label'!$E:$E,'3) Release_Label'!$H:$H},2,0),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
      </c>
      <c r="E24" s="92"/>
      <c r="F24" s="92"/>
      <c r="G24" s="125" t="str">
        <f t="array" ref="G24">ifs(or($F24="",$F24="Main Primary Artist"),$F24,not(iserror(vlookup($F24,'Reference info'!$J$5:$J$8,1,0))),"Key Artist",not(iserror(vlookup($F24,'Reference info'!$J$38:$J$405,1,0))),"Performer",not(iserror(vlookup($F24,'Reference info'!$J$10:$J$36,1,0))),"Producer &amp; Engineer")</f>
        <v/>
      </c>
    </row>
    <row r="25">
      <c r="A25" s="28"/>
      <c r="B25" s="97"/>
      <c r="C25" s="121" t="str">
        <f t="array" ref="C25">ifs(and(isblank($A25),isblank($B25)),"", not(iserror(vlookup($A25&amp;$B25,'3) Release_Label'!$D:$D&amp;'3) Release_Label'!$E:$E,1,0))),vlookup($A25&amp;$B25,{'3) Release_Label'!$D:$D&amp;'3) Release_Label'!$E:$E,'3) Release_Label'!$F:$F},2,0),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
      </c>
      <c r="D25" s="121" t="str">
        <f t="array" ref="D25">ifs(and(isblank($A25),isblank($B25)),"", not(iserror(vlookup($A25&amp;$B25,'3) Release_Label'!$D:$D&amp;'3) Release_Label'!$E:$E,1,0))),vlookup($A25&amp;$B25,{'3) Release_Label'!$D:$D&amp;'3) Release_Label'!$E:$E,'3) Release_Label'!$H:$H},2,0),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
      </c>
      <c r="E25" s="92"/>
      <c r="F25" s="92"/>
      <c r="G25" s="125" t="str">
        <f t="array" ref="G25">ifs(or($F25="",$F25="Main Primary Artist"),$F25,not(iserror(vlookup($F25,'Reference info'!$J$5:$J$8,1,0))),"Key Artist",not(iserror(vlookup($F25,'Reference info'!$J$38:$J$405,1,0))),"Performer",not(iserror(vlookup($F25,'Reference info'!$J$10:$J$36,1,0))),"Producer &amp; Engineer")</f>
        <v/>
      </c>
    </row>
    <row r="26">
      <c r="A26" s="28"/>
      <c r="B26" s="97"/>
      <c r="C26" s="121" t="str">
        <f t="array" ref="C26">ifs(and(isblank($A26),isblank($B26)),"", not(iserror(vlookup($A26&amp;$B26,'3) Release_Label'!$D:$D&amp;'3) Release_Label'!$E:$E,1,0))),vlookup($A26&amp;$B26,{'3) Release_Label'!$D:$D&amp;'3) Release_Label'!$E:$E,'3) Release_Label'!$F:$F},2,0), or(and(not(isblank($B26)),$B26=$B25,$A26&lt;&gt;$A25),and(not(isblank($A26)),$A26=$A25,$B26&lt;&gt;$B25)),"ID LISTS UNALIGNED",and($A26&lt;&gt;"",countif('3) Release_Label'!$D:$D,$A26)=0),"NO UPC MATCH in Release_Label",and($B26&lt;&gt;"",countif('3) Release_Label'!$E:$E,$B26)=0),"NO CATALOG ID MATCH in Release_Label",iserror(vlookup($A26&amp;$B26,'3) Release_Label'!$D:$D&amp;'3) Release_Label'!$E:$E,1,0)),"NO UPC-CATALOG ID pair MATCH in Release_Label" )</f>
        <v/>
      </c>
      <c r="D26" s="121" t="str">
        <f t="array" ref="D26">ifs(and(isblank($A26),isblank($B26)),"", not(iserror(vlookup($A26&amp;$B26,'3) Release_Label'!$D:$D&amp;'3) Release_Label'!$E:$E,1,0))),vlookup($A26&amp;$B26,{'3) Release_Label'!$D:$D&amp;'3) Release_Label'!$E:$E,'3) Release_Label'!$H:$H},2,0), or(and(not(isblank($B26)),$B26=$B25,$A26&lt;&gt;$A25),and(not(isblank($A26)),$A26=$A25,$B26&lt;&gt;$B25)),"ID LISTS UNALIGNED",and($A26&lt;&gt;"",countif('3) Release_Label'!$D:$D,$A26)=0),"NO UPC MATCH in Release_Label",and($B26&lt;&gt;"",countif('3) Release_Label'!$E:$E,$B26)=0),"NO CATALOG ID MATCH in Release_Label",iserror(vlookup($A26&amp;$B26,'3) Release_Label'!$D:$D&amp;'3) Release_Label'!$E:$E,1,0)),"NO UPC-CATALOG ID pair MATCH in Release_Label" )</f>
        <v/>
      </c>
      <c r="E26" s="92"/>
      <c r="F26" s="92"/>
      <c r="G26" s="125" t="str">
        <f t="array" ref="G26">ifs(or($F26="",$F26="Main Primary Artist"),$F26,not(iserror(vlookup($F26,'Reference info'!$J$5:$J$8,1,0))),"Key Artist",not(iserror(vlookup($F26,'Reference info'!$J$38:$J$405,1,0))),"Performer",not(iserror(vlookup($F26,'Reference info'!$J$10:$J$36,1,0))),"Producer &amp; Engineer")</f>
        <v/>
      </c>
    </row>
    <row r="27">
      <c r="A27" s="28"/>
      <c r="B27" s="97"/>
      <c r="C27" s="121" t="str">
        <f t="array" ref="C27">ifs(and(isblank($A27),isblank($B27)),"", not(iserror(vlookup($A27&amp;$B27,'3) Release_Label'!$D:$D&amp;'3) Release_Label'!$E:$E,1,0))),vlookup($A27&amp;$B27,{'3) Release_Label'!$D:$D&amp;'3) Release_Label'!$E:$E,'3) Release_Label'!$F:$F},2,0),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
      </c>
      <c r="D27" s="121" t="str">
        <f t="array" ref="D27">ifs(and(isblank($A27),isblank($B27)),"", not(iserror(vlookup($A27&amp;$B27,'3) Release_Label'!$D:$D&amp;'3) Release_Label'!$E:$E,1,0))),vlookup($A27&amp;$B27,{'3) Release_Label'!$D:$D&amp;'3) Release_Label'!$E:$E,'3) Release_Label'!$H:$H},2,0),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
      </c>
      <c r="E27" s="92"/>
      <c r="F27" s="92"/>
      <c r="G27" s="125" t="str">
        <f t="array" ref="G27">ifs(or($F27="",$F27="Main Primary Artist"),$F27,not(iserror(vlookup($F27,'Reference info'!$J$5:$J$8,1,0))),"Key Artist",not(iserror(vlookup($F27,'Reference info'!$J$38:$J$405,1,0))),"Performer",not(iserror(vlookup($F27,'Reference info'!$J$10:$J$36,1,0))),"Producer &amp; Engineer")</f>
        <v/>
      </c>
    </row>
    <row r="28">
      <c r="A28" s="28"/>
      <c r="B28" s="97"/>
      <c r="C28" s="121" t="str">
        <f t="array" ref="C28">ifs(and(isblank($A28),isblank($B28)),"", not(iserror(vlookup($A28&amp;$B28,'3) Release_Label'!$D:$D&amp;'3) Release_Label'!$E:$E,1,0))),vlookup($A28&amp;$B28,{'3) Release_Label'!$D:$D&amp;'3) Release_Label'!$E:$E,'3) Release_Label'!$F:$F},2,0), or(and(not(isblank($B28)),$B28=$B27,$A28&lt;&gt;$A27),and(not(isblank($A28)),$A28=$A27,$B28&lt;&gt;$B27)),"ID LISTS UNALIGNED",and($A28&lt;&gt;"",countif('3) Release_Label'!$D:$D,$A28)=0),"NO UPC MATCH in Release_Label",and($B28&lt;&gt;"",countif('3) Release_Label'!$E:$E,$B28)=0),"NO CATALOG ID MATCH in Release_Label",iserror(vlookup($A28&amp;$B28,'3) Release_Label'!$D:$D&amp;'3) Release_Label'!$E:$E,1,0)),"NO UPC-CATALOG ID pair MATCH in Release_Label" )</f>
        <v/>
      </c>
      <c r="D28" s="121" t="str">
        <f t="array" ref="D28">ifs(and(isblank($A28),isblank($B28)),"", not(iserror(vlookup($A28&amp;$B28,'3) Release_Label'!$D:$D&amp;'3) Release_Label'!$E:$E,1,0))),vlookup($A28&amp;$B28,{'3) Release_Label'!$D:$D&amp;'3) Release_Label'!$E:$E,'3) Release_Label'!$H:$H},2,0), or(and(not(isblank($B28)),$B28=$B27,$A28&lt;&gt;$A27),and(not(isblank($A28)),$A28=$A27,$B28&lt;&gt;$B27)),"ID LISTS UNALIGNED",and($A28&lt;&gt;"",countif('3) Release_Label'!$D:$D,$A28)=0),"NO UPC MATCH in Release_Label",and($B28&lt;&gt;"",countif('3) Release_Label'!$E:$E,$B28)=0),"NO CATALOG ID MATCH in Release_Label",iserror(vlookup($A28&amp;$B28,'3) Release_Label'!$D:$D&amp;'3) Release_Label'!$E:$E,1,0)),"NO UPC-CATALOG ID pair MATCH in Release_Label" )</f>
        <v/>
      </c>
      <c r="E28" s="92"/>
      <c r="F28" s="92"/>
      <c r="G28" s="125" t="str">
        <f t="array" ref="G28">ifs(or($F28="",$F28="Main Primary Artist"),$F28,not(iserror(vlookup($F28,'Reference info'!$J$5:$J$8,1,0))),"Key Artist",not(iserror(vlookup($F28,'Reference info'!$J$38:$J$405,1,0))),"Performer",not(iserror(vlookup($F28,'Reference info'!$J$10:$J$36,1,0))),"Producer &amp; Engineer")</f>
        <v/>
      </c>
    </row>
    <row r="29">
      <c r="A29" s="28"/>
      <c r="B29" s="97"/>
      <c r="C29" s="121" t="str">
        <f t="array" ref="C29">ifs(and(isblank($A29),isblank($B29)),"", not(iserror(vlookup($A29&amp;$B29,'3) Release_Label'!$D:$D&amp;'3) Release_Label'!$E:$E,1,0))),vlookup($A29&amp;$B29,{'3) Release_Label'!$D:$D&amp;'3) Release_Label'!$E:$E,'3) Release_Label'!$F:$F},2,0),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
      </c>
      <c r="D29" s="121" t="str">
        <f t="array" ref="D29">ifs(and(isblank($A29),isblank($B29)),"", not(iserror(vlookup($A29&amp;$B29,'3) Release_Label'!$D:$D&amp;'3) Release_Label'!$E:$E,1,0))),vlookup($A29&amp;$B29,{'3) Release_Label'!$D:$D&amp;'3) Release_Label'!$E:$E,'3) Release_Label'!$H:$H},2,0),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
      </c>
      <c r="E29" s="92"/>
      <c r="F29" s="92"/>
      <c r="G29" s="125" t="str">
        <f t="array" ref="G29">ifs(or($F29="",$F29="Main Primary Artist"),$F29,not(iserror(vlookup($F29,'Reference info'!$J$5:$J$8,1,0))),"Key Artist",not(iserror(vlookup($F29,'Reference info'!$J$38:$J$405,1,0))),"Performer",not(iserror(vlookup($F29,'Reference info'!$J$10:$J$36,1,0))),"Producer &amp; Engineer")</f>
        <v/>
      </c>
    </row>
    <row r="30">
      <c r="A30" s="28"/>
      <c r="B30" s="97"/>
      <c r="C30" s="121" t="str">
        <f t="array" ref="C30">ifs(and(isblank($A30),isblank($B30)),"", not(iserror(vlookup($A30&amp;$B30,'3) Release_Label'!$D:$D&amp;'3) Release_Label'!$E:$E,1,0))),vlookup($A30&amp;$B30,{'3) Release_Label'!$D:$D&amp;'3) Release_Label'!$E:$E,'3) Release_Label'!$F:$F},2,0),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
      </c>
      <c r="D30" s="121" t="str">
        <f t="array" ref="D30">ifs(and(isblank($A30),isblank($B30)),"", not(iserror(vlookup($A30&amp;$B30,'3) Release_Label'!$D:$D&amp;'3) Release_Label'!$E:$E,1,0))),vlookup($A30&amp;$B30,{'3) Release_Label'!$D:$D&amp;'3) Release_Label'!$E:$E,'3) Release_Label'!$H:$H},2,0),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
      </c>
      <c r="E30" s="92"/>
      <c r="F30" s="92"/>
      <c r="G30" s="125" t="str">
        <f t="array" ref="G30">ifs(or($F30="",$F30="Main Primary Artist"),$F30,not(iserror(vlookup($F30,'Reference info'!$J$5:$J$8,1,0))),"Key Artist",not(iserror(vlookup($F30,'Reference info'!$J$38:$J$405,1,0))),"Performer",not(iserror(vlookup($F30,'Reference info'!$J$10:$J$36,1,0))),"Producer &amp; Engineer")</f>
        <v/>
      </c>
    </row>
    <row r="31">
      <c r="A31" s="28"/>
      <c r="B31" s="97"/>
      <c r="C31" s="121" t="str">
        <f t="array" ref="C31">ifs(and(isblank($A31),isblank($B31)),"", not(iserror(vlookup($A31&amp;$B31,'3) Release_Label'!$D:$D&amp;'3) Release_Label'!$E:$E,1,0))),vlookup($A31&amp;$B31,{'3) Release_Label'!$D:$D&amp;'3) Release_Label'!$E:$E,'3) Release_Label'!$F:$F},2,0), or(and(not(isblank($B31)),$B31=$B30,$A31&lt;&gt;$A30),and(not(isblank($A31)),$A31=$A30,$B31&lt;&gt;$B30)),"ID LISTS UNALIGNED",and($A31&lt;&gt;"",countif('3) Release_Label'!$D:$D,$A31)=0),"NO UPC MATCH in Release_Label",and($B31&lt;&gt;"",countif('3) Release_Label'!$E:$E,$B31)=0),"NO CATALOG ID MATCH in Release_Label",iserror(vlookup($A31&amp;$B31,'3) Release_Label'!$D:$D&amp;'3) Release_Label'!$E:$E,1,0)),"NO UPC-CATALOG ID pair MATCH in Release_Label" )</f>
        <v/>
      </c>
      <c r="D31" s="121" t="str">
        <f t="array" ref="D31">ifs(and(isblank($A31),isblank($B31)),"", not(iserror(vlookup($A31&amp;$B31,'3) Release_Label'!$D:$D&amp;'3) Release_Label'!$E:$E,1,0))),vlookup($A31&amp;$B31,{'3) Release_Label'!$D:$D&amp;'3) Release_Label'!$E:$E,'3) Release_Label'!$H:$H},2,0), or(and(not(isblank($B31)),$B31=$B30,$A31&lt;&gt;$A30),and(not(isblank($A31)),$A31=$A30,$B31&lt;&gt;$B30)),"ID LISTS UNALIGNED",and($A31&lt;&gt;"",countif('3) Release_Label'!$D:$D,$A31)=0),"NO UPC MATCH in Release_Label",and($B31&lt;&gt;"",countif('3) Release_Label'!$E:$E,$B31)=0),"NO CATALOG ID MATCH in Release_Label",iserror(vlookup($A31&amp;$B31,'3) Release_Label'!$D:$D&amp;'3) Release_Label'!$E:$E,1,0)),"NO UPC-CATALOG ID pair MATCH in Release_Label" )</f>
        <v/>
      </c>
      <c r="E31" s="92"/>
      <c r="F31" s="92"/>
      <c r="G31" s="125" t="str">
        <f t="array" ref="G31">ifs(or($F31="",$F31="Main Primary Artist"),$F31,not(iserror(vlookup($F31,'Reference info'!$J$5:$J$8,1,0))),"Key Artist",not(iserror(vlookup($F31,'Reference info'!$J$38:$J$405,1,0))),"Performer",not(iserror(vlookup($F31,'Reference info'!$J$10:$J$36,1,0))),"Producer &amp; Engineer")</f>
        <v/>
      </c>
    </row>
    <row r="32">
      <c r="A32" s="28"/>
      <c r="B32" s="97"/>
      <c r="C32" s="121" t="str">
        <f t="array" ref="C32">ifs(and(isblank($A32),isblank($B32)),"", not(iserror(vlookup($A32&amp;$B32,'3) Release_Label'!$D:$D&amp;'3) Release_Label'!$E:$E,1,0))),vlookup($A32&amp;$B32,{'3) Release_Label'!$D:$D&amp;'3) Release_Label'!$E:$E,'3) Release_Label'!$F:$F},2,0),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
      </c>
      <c r="D32" s="121" t="str">
        <f t="array" ref="D32">ifs(and(isblank($A32),isblank($B32)),"", not(iserror(vlookup($A32&amp;$B32,'3) Release_Label'!$D:$D&amp;'3) Release_Label'!$E:$E,1,0))),vlookup($A32&amp;$B32,{'3) Release_Label'!$D:$D&amp;'3) Release_Label'!$E:$E,'3) Release_Label'!$H:$H},2,0),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
      </c>
      <c r="E32" s="92"/>
      <c r="F32" s="92"/>
      <c r="G32" s="125" t="str">
        <f t="array" ref="G32">ifs(or($F32="",$F32="Main Primary Artist"),$F32,not(iserror(vlookup($F32,'Reference info'!$J$5:$J$8,1,0))),"Key Artist",not(iserror(vlookup($F32,'Reference info'!$J$38:$J$405,1,0))),"Performer",not(iserror(vlookup($F32,'Reference info'!$J$10:$J$36,1,0))),"Producer &amp; Engineer")</f>
        <v/>
      </c>
    </row>
    <row r="33">
      <c r="A33" s="28"/>
      <c r="B33" s="97"/>
      <c r="C33" s="121" t="str">
        <f t="array" ref="C33">ifs(and(isblank($A33),isblank($B33)),"", not(iserror(vlookup($A33&amp;$B33,'3) Release_Label'!$D:$D&amp;'3) Release_Label'!$E:$E,1,0))),vlookup($A33&amp;$B33,{'3) Release_Label'!$D:$D&amp;'3) Release_Label'!$E:$E,'3) Release_Label'!$F:$F},2,0),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
      </c>
      <c r="D33" s="121" t="str">
        <f t="array" ref="D33">ifs(and(isblank($A33),isblank($B33)),"", not(iserror(vlookup($A33&amp;$B33,'3) Release_Label'!$D:$D&amp;'3) Release_Label'!$E:$E,1,0))),vlookup($A33&amp;$B33,{'3) Release_Label'!$D:$D&amp;'3) Release_Label'!$E:$E,'3) Release_Label'!$H:$H},2,0),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
      </c>
      <c r="E33" s="92"/>
      <c r="F33" s="92"/>
      <c r="G33" s="125" t="str">
        <f t="array" ref="G33">ifs(or($F33="",$F33="Main Primary Artist"),$F33,not(iserror(vlookup($F33,'Reference info'!$J$5:$J$8,1,0))),"Key Artist",not(iserror(vlookup($F33,'Reference info'!$J$38:$J$405,1,0))),"Performer",not(iserror(vlookup($F33,'Reference info'!$J$10:$J$36,1,0))),"Producer &amp; Engineer")</f>
        <v/>
      </c>
    </row>
    <row r="34">
      <c r="A34" s="28"/>
      <c r="B34" s="46"/>
      <c r="C34" s="121" t="str">
        <f t="array" ref="C34">ifs(and(isblank($A34),isblank($B34)),"", not(iserror(vlookup($A34&amp;$B34,'3) Release_Label'!$D:$D&amp;'3) Release_Label'!$E:$E,1,0))),vlookup($A34&amp;$B34,{'3) Release_Label'!$D:$D&amp;'3) Release_Label'!$E:$E,'3) Release_Label'!$F:$F},2,0),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
      </c>
      <c r="D34" s="121" t="str">
        <f t="array" ref="D34">ifs(and(isblank($A34),isblank($B34)),"", not(iserror(vlookup($A34&amp;$B34,'3) Release_Label'!$D:$D&amp;'3) Release_Label'!$E:$E,1,0))),vlookup($A34&amp;$B34,{'3) Release_Label'!$D:$D&amp;'3) Release_Label'!$E:$E,'3) Release_Label'!$H:$H},2,0),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
      </c>
      <c r="E34" s="92"/>
      <c r="F34" s="92"/>
      <c r="G34" s="125" t="str">
        <f t="array" ref="G34">ifs(or($F34="",$F34="Main Primary Artist"),$F34,not(iserror(vlookup($F34,'Reference info'!$J$5:$J$8,1,0))),"Key Artist",not(iserror(vlookup($F34,'Reference info'!$J$38:$J$405,1,0))),"Performer",not(iserror(vlookup($F34,'Reference info'!$J$10:$J$36,1,0))),"Producer &amp; Engineer")</f>
        <v/>
      </c>
    </row>
    <row r="35">
      <c r="A35" s="28"/>
      <c r="B35" s="97"/>
      <c r="C35" s="121" t="str">
        <f t="array" ref="C35">ifs(and(isblank($A35),isblank($B35)),"", not(iserror(vlookup($A35&amp;$B35,'3) Release_Label'!$D:$D&amp;'3) Release_Label'!$E:$E,1,0))),vlookup($A35&amp;$B35,{'3) Release_Label'!$D:$D&amp;'3) Release_Label'!$E:$E,'3) Release_Label'!$F:$F},2,0),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
      </c>
      <c r="D35" s="121" t="str">
        <f t="array" ref="D35">ifs(and(isblank($A35),isblank($B35)),"", not(iserror(vlookup($A35&amp;$B35,'3) Release_Label'!$D:$D&amp;'3) Release_Label'!$E:$E,1,0))),vlookup($A35&amp;$B35,{'3) Release_Label'!$D:$D&amp;'3) Release_Label'!$E:$E,'3) Release_Label'!$H:$H},2,0),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
      </c>
      <c r="E35" s="92"/>
      <c r="F35" s="92"/>
      <c r="G35" s="125" t="str">
        <f t="array" ref="G35">ifs(or($F35="",$F35="Main Primary Artist"),$F35,not(iserror(vlookup($F35,'Reference info'!$J$5:$J$8,1,0))),"Key Artist",not(iserror(vlookup($F35,'Reference info'!$J$38:$J$405,1,0))),"Performer",not(iserror(vlookup($F35,'Reference info'!$J$10:$J$36,1,0))),"Producer &amp; Engineer")</f>
        <v/>
      </c>
    </row>
    <row r="36">
      <c r="A36" s="28"/>
      <c r="B36" s="97"/>
      <c r="C36" s="121" t="str">
        <f t="array" ref="C36">ifs(and(isblank($A36),isblank($B36)),"", not(iserror(vlookup($A36&amp;$B36,'3) Release_Label'!$D:$D&amp;'3) Release_Label'!$E:$E,1,0))),vlookup($A36&amp;$B36,{'3) Release_Label'!$D:$D&amp;'3) Release_Label'!$E:$E,'3) Release_Label'!$F:$F},2,0),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
      </c>
      <c r="D36" s="121" t="str">
        <f t="array" ref="D36">ifs(and(isblank($A36),isblank($B36)),"", not(iserror(vlookup($A36&amp;$B36,'3) Release_Label'!$D:$D&amp;'3) Release_Label'!$E:$E,1,0))),vlookup($A36&amp;$B36,{'3) Release_Label'!$D:$D&amp;'3) Release_Label'!$E:$E,'3) Release_Label'!$H:$H},2,0),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
      </c>
      <c r="E36" s="92"/>
      <c r="F36" s="92"/>
      <c r="G36" s="125" t="str">
        <f t="array" ref="G36">ifs(or($F36="",$F36="Main Primary Artist"),$F36,not(iserror(vlookup($F36,'Reference info'!$J$5:$J$8,1,0))),"Key Artist",not(iserror(vlookup($F36,'Reference info'!$J$38:$J$405,1,0))),"Performer",not(iserror(vlookup($F36,'Reference info'!$J$10:$J$36,1,0))),"Producer &amp; Engineer")</f>
        <v/>
      </c>
    </row>
    <row r="37">
      <c r="A37" s="28"/>
      <c r="B37" s="97"/>
      <c r="C37" s="121" t="str">
        <f t="array" ref="C37">ifs(and(isblank($A37),isblank($B37)),"", not(iserror(vlookup($A37&amp;$B37,'3) Release_Label'!$D:$D&amp;'3) Release_Label'!$E:$E,1,0))),vlookup($A37&amp;$B37,{'3) Release_Label'!$D:$D&amp;'3) Release_Label'!$E:$E,'3) Release_Label'!$F:$F},2,0), or(and(not(isblank($B37)),$B37=$B36,$A37&lt;&gt;$A36),and(not(isblank($A37)),$A37=$A36,$B37&lt;&gt;$B36)),"ID LISTS UNALIGNED",and($A37&lt;&gt;"",countif('3) Release_Label'!$D:$D,$A37)=0),"NO UPC MATCH in Release_Label",and($B37&lt;&gt;"",countif('3) Release_Label'!$E:$E,$B37)=0),"NO CATALOG ID MATCH in Release_Label",iserror(vlookup($A37&amp;$B37,'3) Release_Label'!$D:$D&amp;'3) Release_Label'!$E:$E,1,0)),"NO UPC-CATALOG ID pair MATCH in Release_Label" )</f>
        <v/>
      </c>
      <c r="D37" s="121" t="str">
        <f t="array" ref="D37">ifs(and(isblank($A37),isblank($B37)),"", not(iserror(vlookup($A37&amp;$B37,'3) Release_Label'!$D:$D&amp;'3) Release_Label'!$E:$E,1,0))),vlookup($A37&amp;$B37,{'3) Release_Label'!$D:$D&amp;'3) Release_Label'!$E:$E,'3) Release_Label'!$H:$H},2,0), or(and(not(isblank($B37)),$B37=$B36,$A37&lt;&gt;$A36),and(not(isblank($A37)),$A37=$A36,$B37&lt;&gt;$B36)),"ID LISTS UNALIGNED",and($A37&lt;&gt;"",countif('3) Release_Label'!$D:$D,$A37)=0),"NO UPC MATCH in Release_Label",and($B37&lt;&gt;"",countif('3) Release_Label'!$E:$E,$B37)=0),"NO CATALOG ID MATCH in Release_Label",iserror(vlookup($A37&amp;$B37,'3) Release_Label'!$D:$D&amp;'3) Release_Label'!$E:$E,1,0)),"NO UPC-CATALOG ID pair MATCH in Release_Label" )</f>
        <v/>
      </c>
      <c r="E37" s="92"/>
      <c r="F37" s="92"/>
      <c r="G37" s="125" t="str">
        <f t="array" ref="G37">ifs(or($F37="",$F37="Main Primary Artist"),$F37,not(iserror(vlookup($F37,'Reference info'!$J$5:$J$8,1,0))),"Key Artist",not(iserror(vlookup($F37,'Reference info'!$J$38:$J$405,1,0))),"Performer",not(iserror(vlookup($F37,'Reference info'!$J$10:$J$36,1,0))),"Producer &amp; Engineer")</f>
        <v/>
      </c>
    </row>
    <row r="38">
      <c r="A38" s="28"/>
      <c r="B38" s="97"/>
      <c r="C38" s="121" t="str">
        <f t="array" ref="C38">ifs(and(isblank($A38),isblank($B38)),"", not(iserror(vlookup($A38&amp;$B38,'3) Release_Label'!$D:$D&amp;'3) Release_Label'!$E:$E,1,0))),vlookup($A38&amp;$B38,{'3) Release_Label'!$D:$D&amp;'3) Release_Label'!$E:$E,'3) Release_Label'!$F:$F},2,0),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
      </c>
      <c r="D38" s="121" t="str">
        <f t="array" ref="D38">ifs(and(isblank($A38),isblank($B38)),"", not(iserror(vlookup($A38&amp;$B38,'3) Release_Label'!$D:$D&amp;'3) Release_Label'!$E:$E,1,0))),vlookup($A38&amp;$B38,{'3) Release_Label'!$D:$D&amp;'3) Release_Label'!$E:$E,'3) Release_Label'!$H:$H},2,0),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
      </c>
      <c r="E38" s="92"/>
      <c r="F38" s="92"/>
      <c r="G38" s="125" t="str">
        <f t="array" ref="G38">ifs(or($F38="",$F38="Main Primary Artist"),$F38,not(iserror(vlookup($F38,'Reference info'!$J$5:$J$8,1,0))),"Key Artist",not(iserror(vlookup($F38,'Reference info'!$J$38:$J$405,1,0))),"Performer",not(iserror(vlookup($F38,'Reference info'!$J$10:$J$36,1,0))),"Producer &amp; Engineer")</f>
        <v/>
      </c>
    </row>
    <row r="39">
      <c r="A39" s="28"/>
      <c r="B39" s="97"/>
      <c r="C39" s="121" t="str">
        <f t="array" ref="C39">ifs(and(isblank($A39),isblank($B39)),"", not(iserror(vlookup($A39&amp;$B39,'3) Release_Label'!$D:$D&amp;'3) Release_Label'!$E:$E,1,0))),vlookup($A39&amp;$B39,{'3) Release_Label'!$D:$D&amp;'3) Release_Label'!$E:$E,'3) Release_Label'!$F:$F},2,0),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
      </c>
      <c r="D39" s="121" t="str">
        <f t="array" ref="D39">ifs(and(isblank($A39),isblank($B39)),"", not(iserror(vlookup($A39&amp;$B39,'3) Release_Label'!$D:$D&amp;'3) Release_Label'!$E:$E,1,0))),vlookup($A39&amp;$B39,{'3) Release_Label'!$D:$D&amp;'3) Release_Label'!$E:$E,'3) Release_Label'!$H:$H},2,0),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
      </c>
      <c r="E39" s="92"/>
      <c r="F39" s="92"/>
      <c r="G39" s="125" t="str">
        <f t="array" ref="G39">ifs(or($F39="",$F39="Main Primary Artist"),$F39,not(iserror(vlookup($F39,'Reference info'!$J$5:$J$8,1,0))),"Key Artist",not(iserror(vlookup($F39,'Reference info'!$J$38:$J$405,1,0))),"Performer",not(iserror(vlookup($F39,'Reference info'!$J$10:$J$36,1,0))),"Producer &amp; Engineer")</f>
        <v/>
      </c>
    </row>
    <row r="40">
      <c r="A40" s="28"/>
      <c r="B40" s="97"/>
      <c r="C40" s="121" t="str">
        <f t="array" ref="C40">ifs(and(isblank($A40),isblank($B40)),"", not(iserror(vlookup($A40&amp;$B40,'3) Release_Label'!$D:$D&amp;'3) Release_Label'!$E:$E,1,0))),vlookup($A40&amp;$B40,{'3) Release_Label'!$D:$D&amp;'3) Release_Label'!$E:$E,'3) Release_Label'!$F:$F},2,0),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
      </c>
      <c r="D40" s="121" t="str">
        <f t="array" ref="D40">ifs(and(isblank($A40),isblank($B40)),"", not(iserror(vlookup($A40&amp;$B40,'3) Release_Label'!$D:$D&amp;'3) Release_Label'!$E:$E,1,0))),vlookup($A40&amp;$B40,{'3) Release_Label'!$D:$D&amp;'3) Release_Label'!$E:$E,'3) Release_Label'!$H:$H},2,0),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
      </c>
      <c r="E40" s="92"/>
      <c r="F40" s="92"/>
      <c r="G40" s="125" t="str">
        <f t="array" ref="G40">ifs(or($F40="",$F40="Main Primary Artist"),$F40,not(iserror(vlookup($F40,'Reference info'!$J$5:$J$8,1,0))),"Key Artist",not(iserror(vlookup($F40,'Reference info'!$J$38:$J$405,1,0))),"Performer",not(iserror(vlookup($F40,'Reference info'!$J$10:$J$36,1,0))),"Producer &amp; Engineer")</f>
        <v/>
      </c>
    </row>
    <row r="41">
      <c r="A41" s="28"/>
      <c r="B41" s="97"/>
      <c r="C41" s="121" t="str">
        <f t="array" ref="C41">ifs(and(isblank($A41),isblank($B41)),"", not(iserror(vlookup($A41&amp;$B41,'3) Release_Label'!$D:$D&amp;'3) Release_Label'!$E:$E,1,0))),vlookup($A41&amp;$B41,{'3) Release_Label'!$D:$D&amp;'3) Release_Label'!$E:$E,'3) Release_Label'!$F:$F},2,0),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
      </c>
      <c r="D41" s="121" t="str">
        <f t="array" ref="D41">ifs(and(isblank($A41),isblank($B41)),"", not(iserror(vlookup($A41&amp;$B41,'3) Release_Label'!$D:$D&amp;'3) Release_Label'!$E:$E,1,0))),vlookup($A41&amp;$B41,{'3) Release_Label'!$D:$D&amp;'3) Release_Label'!$E:$E,'3) Release_Label'!$H:$H},2,0),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
      </c>
      <c r="E41" s="92"/>
      <c r="F41" s="92"/>
      <c r="G41" s="125" t="str">
        <f t="array" ref="G41">ifs(or($F41="",$F41="Main Primary Artist"),$F41,not(iserror(vlookup($F41,'Reference info'!$J$5:$J$8,1,0))),"Key Artist",not(iserror(vlookup($F41,'Reference info'!$J$38:$J$405,1,0))),"Performer",not(iserror(vlookup($F41,'Reference info'!$J$10:$J$36,1,0))),"Producer &amp; Engineer")</f>
        <v/>
      </c>
    </row>
    <row r="42">
      <c r="A42" s="28"/>
      <c r="B42" s="97"/>
      <c r="C42" s="121" t="str">
        <f t="array" ref="C42">ifs(and(isblank($A42),isblank($B42)),"", not(iserror(vlookup($A42&amp;$B42,'3) Release_Label'!$D:$D&amp;'3) Release_Label'!$E:$E,1,0))),vlookup($A42&amp;$B42,{'3) Release_Label'!$D:$D&amp;'3) Release_Label'!$E:$E,'3) Release_Label'!$F:$F},2,0), or(and(not(isblank($B42)),$B42=$B41,$A42&lt;&gt;$A41),and(not(isblank($A42)),$A42=$A41,$B42&lt;&gt;$B41)),"ID LISTS UNALIGNED",and($A42&lt;&gt;"",countif('3) Release_Label'!$D:$D,$A42)=0),"NO UPC MATCH in Release_Label",and($B42&lt;&gt;"",countif('3) Release_Label'!$E:$E,$B42)=0),"NO CATALOG ID MATCH in Release_Label",iserror(vlookup($A42&amp;$B42,'3) Release_Label'!$D:$D&amp;'3) Release_Label'!$E:$E,1,0)),"NO UPC-CATALOG ID pair MATCH in Release_Label" )</f>
        <v/>
      </c>
      <c r="D42" s="121" t="str">
        <f t="array" ref="D42">ifs(and(isblank($A42),isblank($B42)),"", not(iserror(vlookup($A42&amp;$B42,'3) Release_Label'!$D:$D&amp;'3) Release_Label'!$E:$E,1,0))),vlookup($A42&amp;$B42,{'3) Release_Label'!$D:$D&amp;'3) Release_Label'!$E:$E,'3) Release_Label'!$H:$H},2,0), or(and(not(isblank($B42)),$B42=$B41,$A42&lt;&gt;$A41),and(not(isblank($A42)),$A42=$A41,$B42&lt;&gt;$B41)),"ID LISTS UNALIGNED",and($A42&lt;&gt;"",countif('3) Release_Label'!$D:$D,$A42)=0),"NO UPC MATCH in Release_Label",and($B42&lt;&gt;"",countif('3) Release_Label'!$E:$E,$B42)=0),"NO CATALOG ID MATCH in Release_Label",iserror(vlookup($A42&amp;$B42,'3) Release_Label'!$D:$D&amp;'3) Release_Label'!$E:$E,1,0)),"NO UPC-CATALOG ID pair MATCH in Release_Label" )</f>
        <v/>
      </c>
      <c r="E42" s="92"/>
      <c r="F42" s="92"/>
      <c r="G42" s="125" t="str">
        <f t="array" ref="G42">ifs(or($F42="",$F42="Main Primary Artist"),$F42,not(iserror(vlookup($F42,'Reference info'!$J$5:$J$8,1,0))),"Key Artist",not(iserror(vlookup($F42,'Reference info'!$J$38:$J$405,1,0))),"Performer",not(iserror(vlookup($F42,'Reference info'!$J$10:$J$36,1,0))),"Producer &amp; Engineer")</f>
        <v/>
      </c>
    </row>
    <row r="43">
      <c r="A43" s="28"/>
      <c r="B43" s="97"/>
      <c r="C43" s="121" t="str">
        <f t="array" ref="C43">ifs(and(isblank($A43),isblank($B43)),"", not(iserror(vlookup($A43&amp;$B43,'3) Release_Label'!$D:$D&amp;'3) Release_Label'!$E:$E,1,0))),vlookup($A43&amp;$B43,{'3) Release_Label'!$D:$D&amp;'3) Release_Label'!$E:$E,'3) Release_Label'!$F:$F},2,0),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
      </c>
      <c r="D43" s="121" t="str">
        <f t="array" ref="D43">ifs(and(isblank($A43),isblank($B43)),"", not(iserror(vlookup($A43&amp;$B43,'3) Release_Label'!$D:$D&amp;'3) Release_Label'!$E:$E,1,0))),vlookup($A43&amp;$B43,{'3) Release_Label'!$D:$D&amp;'3) Release_Label'!$E:$E,'3) Release_Label'!$H:$H},2,0),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
      </c>
      <c r="E43" s="92"/>
      <c r="F43" s="92"/>
      <c r="G43" s="125" t="str">
        <f t="array" ref="G43">ifs(or($F43="",$F43="Main Primary Artist"),$F43,not(iserror(vlookup($F43,'Reference info'!$J$5:$J$8,1,0))),"Key Artist",not(iserror(vlookup($F43,'Reference info'!$J$38:$J$405,1,0))),"Performer",not(iserror(vlookup($F43,'Reference info'!$J$10:$J$36,1,0))),"Producer &amp; Engineer")</f>
        <v/>
      </c>
    </row>
    <row r="44">
      <c r="A44" s="28"/>
      <c r="B44" s="97"/>
      <c r="C44" s="121" t="str">
        <f t="array" ref="C44">ifs(and(isblank($A44),isblank($B44)),"", not(iserror(vlookup($A44&amp;$B44,'3) Release_Label'!$D:$D&amp;'3) Release_Label'!$E:$E,1,0))),vlookup($A44&amp;$B44,{'3) Release_Label'!$D:$D&amp;'3) Release_Label'!$E:$E,'3) Release_Label'!$F:$F},2,0),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
      </c>
      <c r="D44" s="121" t="str">
        <f t="array" ref="D44">ifs(and(isblank($A44),isblank($B44)),"", not(iserror(vlookup($A44&amp;$B44,'3) Release_Label'!$D:$D&amp;'3) Release_Label'!$E:$E,1,0))),vlookup($A44&amp;$B44,{'3) Release_Label'!$D:$D&amp;'3) Release_Label'!$E:$E,'3) Release_Label'!$H:$H},2,0),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
      </c>
      <c r="E44" s="92"/>
      <c r="F44" s="92"/>
      <c r="G44" s="125" t="str">
        <f t="array" ref="G44">ifs(or($F44="",$F44="Main Primary Artist"),$F44,not(iserror(vlookup($F44,'Reference info'!$J$5:$J$8,1,0))),"Key Artist",not(iserror(vlookup($F44,'Reference info'!$J$38:$J$405,1,0))),"Performer",not(iserror(vlookup($F44,'Reference info'!$J$10:$J$36,1,0))),"Producer &amp; Engineer")</f>
        <v/>
      </c>
    </row>
    <row r="45">
      <c r="A45" s="28"/>
      <c r="B45" s="97"/>
      <c r="C45" s="121" t="str">
        <f t="array" ref="C45">ifs(and(isblank($A45),isblank($B45)),"", not(iserror(vlookup($A45&amp;$B45,'3) Release_Label'!$D:$D&amp;'3) Release_Label'!$E:$E,1,0))),vlookup($A45&amp;$B45,{'3) Release_Label'!$D:$D&amp;'3) Release_Label'!$E:$E,'3) Release_Label'!$F:$F},2,0),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
      </c>
      <c r="D45" s="121" t="str">
        <f t="array" ref="D45">ifs(and(isblank($A45),isblank($B45)),"", not(iserror(vlookup($A45&amp;$B45,'3) Release_Label'!$D:$D&amp;'3) Release_Label'!$E:$E,1,0))),vlookup($A45&amp;$B45,{'3) Release_Label'!$D:$D&amp;'3) Release_Label'!$E:$E,'3) Release_Label'!$H:$H},2,0),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
      </c>
      <c r="E45" s="92"/>
      <c r="F45" s="92"/>
      <c r="G45" s="125" t="str">
        <f t="array" ref="G45">ifs(or($F45="",$F45="Main Primary Artist"),$F45,not(iserror(vlookup($F45,'Reference info'!$J$5:$J$8,1,0))),"Key Artist",not(iserror(vlookup($F45,'Reference info'!$J$38:$J$405,1,0))),"Performer",not(iserror(vlookup($F45,'Reference info'!$J$10:$J$36,1,0))),"Producer &amp; Engineer")</f>
        <v/>
      </c>
    </row>
    <row r="46">
      <c r="A46" s="28"/>
      <c r="B46" s="97"/>
      <c r="C46" s="121" t="str">
        <f t="array" ref="C46">ifs(and(isblank($A46),isblank($B46)),"", not(iserror(vlookup($A46&amp;$B46,'3) Release_Label'!$D:$D&amp;'3) Release_Label'!$E:$E,1,0))),vlookup($A46&amp;$B46,{'3) Release_Label'!$D:$D&amp;'3) Release_Label'!$E:$E,'3) Release_Label'!$F:$F},2,0), or(and(not(isblank($B46)),$B46=$B45,$A46&lt;&gt;$A45),and(not(isblank($A46)),$A46=$A45,$B46&lt;&gt;$B45)),"ID LISTS UNALIGNED",and($A46&lt;&gt;"",countif('3) Release_Label'!$D:$D,$A46)=0),"NO UPC MATCH in Release_Label",and($B46&lt;&gt;"",countif('3) Release_Label'!$E:$E,$B46)=0),"NO CATALOG ID MATCH in Release_Label",iserror(vlookup($A46&amp;$B46,'3) Release_Label'!$D:$D&amp;'3) Release_Label'!$E:$E,1,0)),"NO UPC-CATALOG ID pair MATCH in Release_Label" )</f>
        <v/>
      </c>
      <c r="D46" s="121" t="str">
        <f t="array" ref="D46">ifs(and(isblank($A46),isblank($B46)),"", not(iserror(vlookup($A46&amp;$B46,'3) Release_Label'!$D:$D&amp;'3) Release_Label'!$E:$E,1,0))),vlookup($A46&amp;$B46,{'3) Release_Label'!$D:$D&amp;'3) Release_Label'!$E:$E,'3) Release_Label'!$H:$H},2,0), or(and(not(isblank($B46)),$B46=$B45,$A46&lt;&gt;$A45),and(not(isblank($A46)),$A46=$A45,$B46&lt;&gt;$B45)),"ID LISTS UNALIGNED",and($A46&lt;&gt;"",countif('3) Release_Label'!$D:$D,$A46)=0),"NO UPC MATCH in Release_Label",and($B46&lt;&gt;"",countif('3) Release_Label'!$E:$E,$B46)=0),"NO CATALOG ID MATCH in Release_Label",iserror(vlookup($A46&amp;$B46,'3) Release_Label'!$D:$D&amp;'3) Release_Label'!$E:$E,1,0)),"NO UPC-CATALOG ID pair MATCH in Release_Label" )</f>
        <v/>
      </c>
      <c r="E46" s="92"/>
      <c r="F46" s="92"/>
      <c r="G46" s="125" t="str">
        <f t="array" ref="G46">ifs(or($F46="",$F46="Main Primary Artist"),$F46,not(iserror(vlookup($F46,'Reference info'!$J$5:$J$8,1,0))),"Key Artist",not(iserror(vlookup($F46,'Reference info'!$J$38:$J$405,1,0))),"Performer",not(iserror(vlookup($F46,'Reference info'!$J$10:$J$36,1,0))),"Producer &amp; Engineer")</f>
        <v/>
      </c>
    </row>
    <row r="47">
      <c r="A47" s="28"/>
      <c r="B47" s="97"/>
      <c r="C47" s="121" t="str">
        <f t="array" ref="C47">ifs(and(isblank($A47),isblank($B47)),"", not(iserror(vlookup($A47&amp;$B47,'3) Release_Label'!$D:$D&amp;'3) Release_Label'!$E:$E,1,0))),vlookup($A47&amp;$B47,{'3) Release_Label'!$D:$D&amp;'3) Release_Label'!$E:$E,'3) Release_Label'!$F:$F},2,0),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
      </c>
      <c r="D47" s="121" t="str">
        <f t="array" ref="D47">ifs(and(isblank($A47),isblank($B47)),"", not(iserror(vlookup($A47&amp;$B47,'3) Release_Label'!$D:$D&amp;'3) Release_Label'!$E:$E,1,0))),vlookup($A47&amp;$B47,{'3) Release_Label'!$D:$D&amp;'3) Release_Label'!$E:$E,'3) Release_Label'!$H:$H},2,0),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
      </c>
      <c r="E47" s="92"/>
      <c r="F47" s="92"/>
      <c r="G47" s="125" t="str">
        <f t="array" ref="G47">ifs(or($F47="",$F47="Main Primary Artist"),$F47,not(iserror(vlookup($F47,'Reference info'!$J$5:$J$8,1,0))),"Key Artist",not(iserror(vlookup($F47,'Reference info'!$J$38:$J$405,1,0))),"Performer",not(iserror(vlookup($F47,'Reference info'!$J$10:$J$36,1,0))),"Producer &amp; Engineer")</f>
        <v/>
      </c>
    </row>
    <row r="48">
      <c r="A48" s="28"/>
      <c r="B48" s="97"/>
      <c r="C48" s="121" t="str">
        <f t="array" ref="C48">ifs(and(isblank($A48),isblank($B48)),"", not(iserror(vlookup($A48&amp;$B48,'3) Release_Label'!$D:$D&amp;'3) Release_Label'!$E:$E,1,0))),vlookup($A48&amp;$B48,{'3) Release_Label'!$D:$D&amp;'3) Release_Label'!$E:$E,'3) Release_Label'!$F:$F},2,0), or(and(not(isblank($B48)),$B48=$B47,$A48&lt;&gt;$A47),and(not(isblank($A48)),$A48=$A47,$B48&lt;&gt;$B47)),"ID LISTS UNALIGNED",and($A48&lt;&gt;"",countif('3) Release_Label'!$D:$D,$A48)=0),"NO UPC MATCH in Release_Label",and($B48&lt;&gt;"",countif('3) Release_Label'!$E:$E,$B48)=0),"NO CATALOG ID MATCH in Release_Label",iserror(vlookup($A48&amp;$B48,'3) Release_Label'!$D:$D&amp;'3) Release_Label'!$E:$E,1,0)),"NO UPC-CATALOG ID pair MATCH in Release_Label" )</f>
        <v/>
      </c>
      <c r="D48" s="121" t="str">
        <f t="array" ref="D48">ifs(and(isblank($A48),isblank($B48)),"", not(iserror(vlookup($A48&amp;$B48,'3) Release_Label'!$D:$D&amp;'3) Release_Label'!$E:$E,1,0))),vlookup($A48&amp;$B48,{'3) Release_Label'!$D:$D&amp;'3) Release_Label'!$E:$E,'3) Release_Label'!$H:$H},2,0), or(and(not(isblank($B48)),$B48=$B47,$A48&lt;&gt;$A47),and(not(isblank($A48)),$A48=$A47,$B48&lt;&gt;$B47)),"ID LISTS UNALIGNED",and($A48&lt;&gt;"",countif('3) Release_Label'!$D:$D,$A48)=0),"NO UPC MATCH in Release_Label",and($B48&lt;&gt;"",countif('3) Release_Label'!$E:$E,$B48)=0),"NO CATALOG ID MATCH in Release_Label",iserror(vlookup($A48&amp;$B48,'3) Release_Label'!$D:$D&amp;'3) Release_Label'!$E:$E,1,0)),"NO UPC-CATALOG ID pair MATCH in Release_Label" )</f>
        <v/>
      </c>
      <c r="E48" s="92"/>
      <c r="F48" s="92"/>
      <c r="G48" s="125" t="str">
        <f t="array" ref="G48">ifs(or($F48="",$F48="Main Primary Artist"),$F48,not(iserror(vlookup($F48,'Reference info'!$J$5:$J$8,1,0))),"Key Artist",not(iserror(vlookup($F48,'Reference info'!$J$38:$J$405,1,0))),"Performer",not(iserror(vlookup($F48,'Reference info'!$J$10:$J$36,1,0))),"Producer &amp; Engineer")</f>
        <v/>
      </c>
    </row>
    <row r="49">
      <c r="A49" s="28"/>
      <c r="B49" s="97"/>
      <c r="C49" s="121" t="str">
        <f t="array" ref="C49">ifs(and(isblank($A49),isblank($B49)),"", not(iserror(vlookup($A49&amp;$B49,'3) Release_Label'!$D:$D&amp;'3) Release_Label'!$E:$E,1,0))),vlookup($A49&amp;$B49,{'3) Release_Label'!$D:$D&amp;'3) Release_Label'!$E:$E,'3) Release_Label'!$F:$F},2,0),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
      </c>
      <c r="D49" s="121" t="str">
        <f t="array" ref="D49">ifs(and(isblank($A49),isblank($B49)),"", not(iserror(vlookup($A49&amp;$B49,'3) Release_Label'!$D:$D&amp;'3) Release_Label'!$E:$E,1,0))),vlookup($A49&amp;$B49,{'3) Release_Label'!$D:$D&amp;'3) Release_Label'!$E:$E,'3) Release_Label'!$H:$H},2,0),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
      </c>
      <c r="E49" s="92"/>
      <c r="F49" s="92"/>
      <c r="G49" s="125" t="str">
        <f t="array" ref="G49">ifs(or($F49="",$F49="Main Primary Artist"),$F49,not(iserror(vlookup($F49,'Reference info'!$J$5:$J$8,1,0))),"Key Artist",not(iserror(vlookup($F49,'Reference info'!$J$38:$J$405,1,0))),"Performer",not(iserror(vlookup($F49,'Reference info'!$J$10:$J$36,1,0))),"Producer &amp; Engineer")</f>
        <v/>
      </c>
    </row>
    <row r="50">
      <c r="A50" s="28"/>
      <c r="B50" s="97"/>
      <c r="C50" s="121" t="str">
        <f t="array" ref="C50">ifs(and(isblank($A50),isblank($B50)),"", not(iserror(vlookup($A50&amp;$B50,'3) Release_Label'!$D:$D&amp;'3) Release_Label'!$E:$E,1,0))),vlookup($A50&amp;$B50,{'3) Release_Label'!$D:$D&amp;'3) Release_Label'!$E:$E,'3) Release_Label'!$F:$F},2,0),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
      </c>
      <c r="D50" s="121" t="str">
        <f t="array" ref="D50">ifs(and(isblank($A50),isblank($B50)),"", not(iserror(vlookup($A50&amp;$B50,'3) Release_Label'!$D:$D&amp;'3) Release_Label'!$E:$E,1,0))),vlookup($A50&amp;$B50,{'3) Release_Label'!$D:$D&amp;'3) Release_Label'!$E:$E,'3) Release_Label'!$H:$H},2,0),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
      </c>
      <c r="E50" s="92"/>
      <c r="F50" s="92"/>
      <c r="G50" s="125" t="str">
        <f t="array" ref="G50">ifs(or($F50="",$F50="Main Primary Artist"),$F50,not(iserror(vlookup($F50,'Reference info'!$J$5:$J$8,1,0))),"Key Artist",not(iserror(vlookup($F50,'Reference info'!$J$38:$J$405,1,0))),"Performer",not(iserror(vlookup($F50,'Reference info'!$J$10:$J$36,1,0))),"Producer &amp; Engineer")</f>
        <v/>
      </c>
    </row>
    <row r="51">
      <c r="A51" s="28"/>
      <c r="B51" s="97"/>
      <c r="C51" s="121" t="str">
        <f t="array" ref="C51">ifs(and(isblank($A51),isblank($B51)),"", not(iserror(vlookup($A51&amp;$B51,'3) Release_Label'!$D:$D&amp;'3) Release_Label'!$E:$E,1,0))),vlookup($A51&amp;$B51,{'3) Release_Label'!$D:$D&amp;'3) Release_Label'!$E:$E,'3) Release_Label'!$F:$F},2,0), or(and(not(isblank($B51)),$B51=$B50,$A51&lt;&gt;$A50),and(not(isblank($A51)),$A51=$A50,$B51&lt;&gt;$B50)),"ID LISTS UNALIGNED",and($A51&lt;&gt;"",countif('3) Release_Label'!$D:$D,$A51)=0),"NO UPC MATCH in Release_Label",and($B51&lt;&gt;"",countif('3) Release_Label'!$E:$E,$B51)=0),"NO CATALOG ID MATCH in Release_Label",iserror(vlookup($A51&amp;$B51,'3) Release_Label'!$D:$D&amp;'3) Release_Label'!$E:$E,1,0)),"NO UPC-CATALOG ID pair MATCH in Release_Label" )</f>
        <v/>
      </c>
      <c r="D51" s="121" t="str">
        <f t="array" ref="D51">ifs(and(isblank($A51),isblank($B51)),"", not(iserror(vlookup($A51&amp;$B51,'3) Release_Label'!$D:$D&amp;'3) Release_Label'!$E:$E,1,0))),vlookup($A51&amp;$B51,{'3) Release_Label'!$D:$D&amp;'3) Release_Label'!$E:$E,'3) Release_Label'!$H:$H},2,0), or(and(not(isblank($B51)),$B51=$B50,$A51&lt;&gt;$A50),and(not(isblank($A51)),$A51=$A50,$B51&lt;&gt;$B50)),"ID LISTS UNALIGNED",and($A51&lt;&gt;"",countif('3) Release_Label'!$D:$D,$A51)=0),"NO UPC MATCH in Release_Label",and($B51&lt;&gt;"",countif('3) Release_Label'!$E:$E,$B51)=0),"NO CATALOG ID MATCH in Release_Label",iserror(vlookup($A51&amp;$B51,'3) Release_Label'!$D:$D&amp;'3) Release_Label'!$E:$E,1,0)),"NO UPC-CATALOG ID pair MATCH in Release_Label" )</f>
        <v/>
      </c>
      <c r="E51" s="92"/>
      <c r="F51" s="92"/>
      <c r="G51" s="125" t="str">
        <f t="array" ref="G51">ifs(or($F51="",$F51="Main Primary Artist"),$F51,not(iserror(vlookup($F51,'Reference info'!$J$5:$J$8,1,0))),"Key Artist",not(iserror(vlookup($F51,'Reference info'!$J$38:$J$405,1,0))),"Performer",not(iserror(vlookup($F51,'Reference info'!$J$10:$J$36,1,0))),"Producer &amp; Engineer")</f>
        <v/>
      </c>
    </row>
    <row r="52">
      <c r="A52" s="28"/>
      <c r="B52" s="97"/>
      <c r="C52" s="121" t="str">
        <f t="array" ref="C52">ifs(and(isblank($A52),isblank($B52)),"", not(iserror(vlookup($A52&amp;$B52,'3) Release_Label'!$D:$D&amp;'3) Release_Label'!$E:$E,1,0))),vlookup($A52&amp;$B52,{'3) Release_Label'!$D:$D&amp;'3) Release_Label'!$E:$E,'3) Release_Label'!$F:$F},2,0),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
      </c>
      <c r="D52" s="121" t="str">
        <f t="array" ref="D52">ifs(and(isblank($A52),isblank($B52)),"", not(iserror(vlookup($A52&amp;$B52,'3) Release_Label'!$D:$D&amp;'3) Release_Label'!$E:$E,1,0))),vlookup($A52&amp;$B52,{'3) Release_Label'!$D:$D&amp;'3) Release_Label'!$E:$E,'3) Release_Label'!$H:$H},2,0),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
      </c>
      <c r="E52" s="92"/>
      <c r="F52" s="92"/>
      <c r="G52" s="125" t="str">
        <f t="array" ref="G52">ifs(or($F52="",$F52="Main Primary Artist"),$F52,not(iserror(vlookup($F52,'Reference info'!$J$5:$J$8,1,0))),"Key Artist",not(iserror(vlookup($F52,'Reference info'!$J$38:$J$405,1,0))),"Performer",not(iserror(vlookup($F52,'Reference info'!$J$10:$J$36,1,0))),"Producer &amp; Engineer")</f>
        <v/>
      </c>
    </row>
    <row r="53">
      <c r="A53" s="28"/>
      <c r="B53" s="97"/>
      <c r="C53" s="121" t="str">
        <f t="array" ref="C53">ifs(and(isblank($A53),isblank($B53)),"", not(iserror(vlookup($A53&amp;$B53,'3) Release_Label'!$D:$D&amp;'3) Release_Label'!$E:$E,1,0))),vlookup($A53&amp;$B53,{'3) Release_Label'!$D:$D&amp;'3) Release_Label'!$E:$E,'3) Release_Label'!$F:$F},2,0),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
      </c>
      <c r="D53" s="121" t="str">
        <f t="array" ref="D53">ifs(and(isblank($A53),isblank($B53)),"", not(iserror(vlookup($A53&amp;$B53,'3) Release_Label'!$D:$D&amp;'3) Release_Label'!$E:$E,1,0))),vlookup($A53&amp;$B53,{'3) Release_Label'!$D:$D&amp;'3) Release_Label'!$E:$E,'3) Release_Label'!$H:$H},2,0),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
      </c>
      <c r="E53" s="92"/>
      <c r="F53" s="92"/>
      <c r="G53" s="125" t="str">
        <f t="array" ref="G53">ifs(or($F53="",$F53="Main Primary Artist"),$F53,not(iserror(vlookup($F53,'Reference info'!$J$5:$J$8,1,0))),"Key Artist",not(iserror(vlookup($F53,'Reference info'!$J$38:$J$405,1,0))),"Performer",not(iserror(vlookup($F53,'Reference info'!$J$10:$J$36,1,0))),"Producer &amp; Engineer")</f>
        <v/>
      </c>
    </row>
    <row r="54">
      <c r="A54" s="28"/>
      <c r="B54" s="97"/>
      <c r="C54" s="121" t="str">
        <f t="array" ref="C54">ifs(and(isblank($A54),isblank($B54)),"", not(iserror(vlookup($A54&amp;$B54,'3) Release_Label'!$D:$D&amp;'3) Release_Label'!$E:$E,1,0))),vlookup($A54&amp;$B54,{'3) Release_Label'!$D:$D&amp;'3) Release_Label'!$E:$E,'3) Release_Label'!$F:$F},2,0),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
      </c>
      <c r="D54" s="121" t="str">
        <f t="array" ref="D54">ifs(and(isblank($A54),isblank($B54)),"", not(iserror(vlookup($A54&amp;$B54,'3) Release_Label'!$D:$D&amp;'3) Release_Label'!$E:$E,1,0))),vlookup($A54&amp;$B54,{'3) Release_Label'!$D:$D&amp;'3) Release_Label'!$E:$E,'3) Release_Label'!$H:$H},2,0),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
      </c>
      <c r="E54" s="92"/>
      <c r="F54" s="92"/>
      <c r="G54" s="125" t="str">
        <f t="array" ref="G54">ifs(or($F54="",$F54="Main Primary Artist"),$F54,not(iserror(vlookup($F54,'Reference info'!$J$5:$J$8,1,0))),"Key Artist",not(iserror(vlookup($F54,'Reference info'!$J$38:$J$405,1,0))),"Performer",not(iserror(vlookup($F54,'Reference info'!$J$10:$J$36,1,0))),"Producer &amp; Engineer")</f>
        <v/>
      </c>
    </row>
    <row r="55">
      <c r="A55" s="28"/>
      <c r="B55" s="97"/>
      <c r="C55" s="121" t="str">
        <f t="array" ref="C55">ifs(and(isblank($A55),isblank($B55)),"", not(iserror(vlookup($A55&amp;$B55,'3) Release_Label'!$D:$D&amp;'3) Release_Label'!$E:$E,1,0))),vlookup($A55&amp;$B55,{'3) Release_Label'!$D:$D&amp;'3) Release_Label'!$E:$E,'3) Release_Label'!$F:$F},2,0),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
      </c>
      <c r="D55" s="121" t="str">
        <f t="array" ref="D55">ifs(and(isblank($A55),isblank($B55)),"", not(iserror(vlookup($A55&amp;$B55,'3) Release_Label'!$D:$D&amp;'3) Release_Label'!$E:$E,1,0))),vlookup($A55&amp;$B55,{'3) Release_Label'!$D:$D&amp;'3) Release_Label'!$E:$E,'3) Release_Label'!$H:$H},2,0),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
      </c>
      <c r="E55" s="92"/>
      <c r="F55" s="92"/>
      <c r="G55" s="125" t="str">
        <f t="array" ref="G55">ifs(or($F55="",$F55="Main Primary Artist"),$F55,not(iserror(vlookup($F55,'Reference info'!$J$5:$J$8,1,0))),"Key Artist",not(iserror(vlookup($F55,'Reference info'!$J$38:$J$405,1,0))),"Performer",not(iserror(vlookup($F55,'Reference info'!$J$10:$J$36,1,0))),"Producer &amp; Engineer")</f>
        <v/>
      </c>
    </row>
    <row r="56">
      <c r="A56" s="28"/>
      <c r="B56" s="97"/>
      <c r="C56" s="121" t="str">
        <f t="array" ref="C56">ifs(and(isblank($A56),isblank($B56)),"", not(iserror(vlookup($A56&amp;$B56,'3) Release_Label'!$D:$D&amp;'3) Release_Label'!$E:$E,1,0))),vlookup($A56&amp;$B56,{'3) Release_Label'!$D:$D&amp;'3) Release_Label'!$E:$E,'3) Release_Label'!$F:$F},2,0),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
      </c>
      <c r="D56" s="121" t="str">
        <f t="array" ref="D56">ifs(and(isblank($A56),isblank($B56)),"", not(iserror(vlookup($A56&amp;$B56,'3) Release_Label'!$D:$D&amp;'3) Release_Label'!$E:$E,1,0))),vlookup($A56&amp;$B56,{'3) Release_Label'!$D:$D&amp;'3) Release_Label'!$E:$E,'3) Release_Label'!$H:$H},2,0),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
      </c>
      <c r="E56" s="92"/>
      <c r="F56" s="92"/>
      <c r="G56" s="125" t="str">
        <f t="array" ref="G56">ifs(or($F56="",$F56="Main Primary Artist"),$F56,not(iserror(vlookup($F56,'Reference info'!$J$5:$J$8,1,0))),"Key Artist",not(iserror(vlookup($F56,'Reference info'!$J$38:$J$405,1,0))),"Performer",not(iserror(vlookup($F56,'Reference info'!$J$10:$J$36,1,0))),"Producer &amp; Engineer")</f>
        <v/>
      </c>
    </row>
    <row r="57">
      <c r="A57" s="28"/>
      <c r="B57" s="97"/>
      <c r="C57" s="121" t="str">
        <f t="array" ref="C57">ifs(and(isblank($A57),isblank($B57)),"", not(iserror(vlookup($A57&amp;$B57,'3) Release_Label'!$D:$D&amp;'3) Release_Label'!$E:$E,1,0))),vlookup($A57&amp;$B57,{'3) Release_Label'!$D:$D&amp;'3) Release_Label'!$E:$E,'3) Release_Label'!$F:$F},2,0), or(and(not(isblank($B57)),$B57=$B56,$A57&lt;&gt;$A56),and(not(isblank($A57)),$A57=$A56,$B57&lt;&gt;$B56)),"ID LISTS UNALIGNED",and($A57&lt;&gt;"",countif('3) Release_Label'!$D:$D,$A57)=0),"NO UPC MATCH in Release_Label",and($B57&lt;&gt;"",countif('3) Release_Label'!$E:$E,$B57)=0),"NO CATALOG ID MATCH in Release_Label",iserror(vlookup($A57&amp;$B57,'3) Release_Label'!$D:$D&amp;'3) Release_Label'!$E:$E,1,0)),"NO UPC-CATALOG ID pair MATCH in Release_Label" )</f>
        <v/>
      </c>
      <c r="D57" s="121" t="str">
        <f t="array" ref="D57">ifs(and(isblank($A57),isblank($B57)),"", not(iserror(vlookup($A57&amp;$B57,'3) Release_Label'!$D:$D&amp;'3) Release_Label'!$E:$E,1,0))),vlookup($A57&amp;$B57,{'3) Release_Label'!$D:$D&amp;'3) Release_Label'!$E:$E,'3) Release_Label'!$H:$H},2,0), or(and(not(isblank($B57)),$B57=$B56,$A57&lt;&gt;$A56),and(not(isblank($A57)),$A57=$A56,$B57&lt;&gt;$B56)),"ID LISTS UNALIGNED",and($A57&lt;&gt;"",countif('3) Release_Label'!$D:$D,$A57)=0),"NO UPC MATCH in Release_Label",and($B57&lt;&gt;"",countif('3) Release_Label'!$E:$E,$B57)=0),"NO CATALOG ID MATCH in Release_Label",iserror(vlookup($A57&amp;$B57,'3) Release_Label'!$D:$D&amp;'3) Release_Label'!$E:$E,1,0)),"NO UPC-CATALOG ID pair MATCH in Release_Label" )</f>
        <v/>
      </c>
      <c r="E57" s="92"/>
      <c r="F57" s="92"/>
      <c r="G57" s="125" t="str">
        <f t="array" ref="G57">ifs(or($F57="",$F57="Main Primary Artist"),$F57,not(iserror(vlookup($F57,'Reference info'!$J$5:$J$8,1,0))),"Key Artist",not(iserror(vlookup($F57,'Reference info'!$J$38:$J$405,1,0))),"Performer",not(iserror(vlookup($F57,'Reference info'!$J$10:$J$36,1,0))),"Producer &amp; Engineer")</f>
        <v/>
      </c>
    </row>
    <row r="58">
      <c r="A58" s="28"/>
      <c r="B58" s="97"/>
      <c r="C58" s="121" t="str">
        <f t="array" ref="C58">ifs(and(isblank($A58),isblank($B58)),"", not(iserror(vlookup($A58&amp;$B58,'3) Release_Label'!$D:$D&amp;'3) Release_Label'!$E:$E,1,0))),vlookup($A58&amp;$B58,{'3) Release_Label'!$D:$D&amp;'3) Release_Label'!$E:$E,'3) Release_Label'!$F:$F},2,0),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
      </c>
      <c r="D58" s="121" t="str">
        <f t="array" ref="D58">ifs(and(isblank($A58),isblank($B58)),"", not(iserror(vlookup($A58&amp;$B58,'3) Release_Label'!$D:$D&amp;'3) Release_Label'!$E:$E,1,0))),vlookup($A58&amp;$B58,{'3) Release_Label'!$D:$D&amp;'3) Release_Label'!$E:$E,'3) Release_Label'!$H:$H},2,0),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
      </c>
      <c r="E58" s="92"/>
      <c r="F58" s="92"/>
      <c r="G58" s="125" t="str">
        <f t="array" ref="G58">ifs(or($F58="",$F58="Main Primary Artist"),$F58,not(iserror(vlookup($F58,'Reference info'!$J$5:$J$8,1,0))),"Key Artist",not(iserror(vlookup($F58,'Reference info'!$J$38:$J$405,1,0))),"Performer",not(iserror(vlookup($F58,'Reference info'!$J$10:$J$36,1,0))),"Producer &amp; Engineer")</f>
        <v/>
      </c>
    </row>
    <row r="59">
      <c r="A59" s="28"/>
      <c r="B59" s="97"/>
      <c r="C59" s="121" t="str">
        <f t="array" ref="C59">ifs(and(isblank($A59),isblank($B59)),"", not(iserror(vlookup($A59&amp;$B59,'3) Release_Label'!$D:$D&amp;'3) Release_Label'!$E:$E,1,0))),vlookup($A59&amp;$B59,{'3) Release_Label'!$D:$D&amp;'3) Release_Label'!$E:$E,'3) Release_Label'!$F:$F},2,0),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
      </c>
      <c r="D59" s="121" t="str">
        <f t="array" ref="D59">ifs(and(isblank($A59),isblank($B59)),"", not(iserror(vlookup($A59&amp;$B59,'3) Release_Label'!$D:$D&amp;'3) Release_Label'!$E:$E,1,0))),vlookup($A59&amp;$B59,{'3) Release_Label'!$D:$D&amp;'3) Release_Label'!$E:$E,'3) Release_Label'!$H:$H},2,0),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
      </c>
      <c r="E59" s="92"/>
      <c r="F59" s="92"/>
      <c r="G59" s="125" t="str">
        <f t="array" ref="G59">ifs(or($F59="",$F59="Main Primary Artist"),$F59,not(iserror(vlookup($F59,'Reference info'!$J$5:$J$8,1,0))),"Key Artist",not(iserror(vlookup($F59,'Reference info'!$J$38:$J$405,1,0))),"Performer",not(iserror(vlookup($F59,'Reference info'!$J$10:$J$36,1,0))),"Producer &amp; Engineer")</f>
        <v/>
      </c>
    </row>
    <row r="60">
      <c r="A60" s="28"/>
      <c r="B60" s="97"/>
      <c r="C60" s="121" t="str">
        <f t="array" ref="C60">ifs(and(isblank($A60),isblank($B60)),"", not(iserror(vlookup($A60&amp;$B60,'3) Release_Label'!$D:$D&amp;'3) Release_Label'!$E:$E,1,0))),vlookup($A60&amp;$B60,{'3) Release_Label'!$D:$D&amp;'3) Release_Label'!$E:$E,'3) Release_Label'!$F:$F},2,0), or(and(not(isblank($B60)),$B60=$B59,$A60&lt;&gt;$A59),and(not(isblank($A60)),$A60=$A59,$B60&lt;&gt;$B59)),"ID LISTS UNALIGNED",and($A60&lt;&gt;"",countif('3) Release_Label'!$D:$D,$A60)=0),"NO UPC MATCH in Release_Label",and($B60&lt;&gt;"",countif('3) Release_Label'!$E:$E,$B60)=0),"NO CATALOG ID MATCH in Release_Label",iserror(vlookup($A60&amp;$B60,'3) Release_Label'!$D:$D&amp;'3) Release_Label'!$E:$E,1,0)),"NO UPC-CATALOG ID pair MATCH in Release_Label" )</f>
        <v/>
      </c>
      <c r="D60" s="121" t="str">
        <f t="array" ref="D60">ifs(and(isblank($A60),isblank($B60)),"", not(iserror(vlookup($A60&amp;$B60,'3) Release_Label'!$D:$D&amp;'3) Release_Label'!$E:$E,1,0))),vlookup($A60&amp;$B60,{'3) Release_Label'!$D:$D&amp;'3) Release_Label'!$E:$E,'3) Release_Label'!$H:$H},2,0), or(and(not(isblank($B60)),$B60=$B59,$A60&lt;&gt;$A59),and(not(isblank($A60)),$A60=$A59,$B60&lt;&gt;$B59)),"ID LISTS UNALIGNED",and($A60&lt;&gt;"",countif('3) Release_Label'!$D:$D,$A60)=0),"NO UPC MATCH in Release_Label",and($B60&lt;&gt;"",countif('3) Release_Label'!$E:$E,$B60)=0),"NO CATALOG ID MATCH in Release_Label",iserror(vlookup($A60&amp;$B60,'3) Release_Label'!$D:$D&amp;'3) Release_Label'!$E:$E,1,0)),"NO UPC-CATALOG ID pair MATCH in Release_Label" )</f>
        <v/>
      </c>
      <c r="E60" s="92"/>
      <c r="F60" s="92"/>
      <c r="G60" s="125" t="str">
        <f t="array" ref="G60">ifs(or($F60="",$F60="Main Primary Artist"),$F60,not(iserror(vlookup($F60,'Reference info'!$J$5:$J$8,1,0))),"Key Artist",not(iserror(vlookup($F60,'Reference info'!$J$38:$J$405,1,0))),"Performer",not(iserror(vlookup($F60,'Reference info'!$J$10:$J$36,1,0))),"Producer &amp; Engineer")</f>
        <v/>
      </c>
    </row>
    <row r="61">
      <c r="A61" s="28"/>
      <c r="B61" s="97"/>
      <c r="C61" s="121" t="str">
        <f t="array" ref="C61">ifs(and(isblank($A61),isblank($B61)),"", not(iserror(vlookup($A61&amp;$B61,'3) Release_Label'!$D:$D&amp;'3) Release_Label'!$E:$E,1,0))),vlookup($A61&amp;$B61,{'3) Release_Label'!$D:$D&amp;'3) Release_Label'!$E:$E,'3) Release_Label'!$F:$F},2,0),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
      </c>
      <c r="D61" s="121" t="str">
        <f t="array" ref="D61">ifs(and(isblank($A61),isblank($B61)),"", not(iserror(vlookup($A61&amp;$B61,'3) Release_Label'!$D:$D&amp;'3) Release_Label'!$E:$E,1,0))),vlookup($A61&amp;$B61,{'3) Release_Label'!$D:$D&amp;'3) Release_Label'!$E:$E,'3) Release_Label'!$H:$H},2,0),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
      </c>
      <c r="E61" s="92"/>
      <c r="F61" s="92"/>
      <c r="G61" s="125" t="str">
        <f t="array" ref="G61">ifs(or($F61="",$F61="Main Primary Artist"),$F61,not(iserror(vlookup($F61,'Reference info'!$J$5:$J$8,1,0))),"Key Artist",not(iserror(vlookup($F61,'Reference info'!$J$38:$J$405,1,0))),"Performer",not(iserror(vlookup($F61,'Reference info'!$J$10:$J$36,1,0))),"Producer &amp; Engineer")</f>
        <v/>
      </c>
    </row>
    <row r="62">
      <c r="A62" s="28"/>
      <c r="B62" s="97"/>
      <c r="C62" s="121" t="str">
        <f t="array" ref="C62">ifs(and(isblank($A62),isblank($B62)),"", not(iserror(vlookup($A62&amp;$B62,'3) Release_Label'!$D:$D&amp;'3) Release_Label'!$E:$E,1,0))),vlookup($A62&amp;$B62,{'3) Release_Label'!$D:$D&amp;'3) Release_Label'!$E:$E,'3) Release_Label'!$F:$F},2,0),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
      </c>
      <c r="D62" s="121" t="str">
        <f t="array" ref="D62">ifs(and(isblank($A62),isblank($B62)),"", not(iserror(vlookup($A62&amp;$B62,'3) Release_Label'!$D:$D&amp;'3) Release_Label'!$E:$E,1,0))),vlookup($A62&amp;$B62,{'3) Release_Label'!$D:$D&amp;'3) Release_Label'!$E:$E,'3) Release_Label'!$H:$H},2,0),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
      </c>
      <c r="E62" s="92"/>
      <c r="F62" s="92"/>
      <c r="G62" s="125" t="str">
        <f t="array" ref="G62">ifs(or($F62="",$F62="Main Primary Artist"),$F62,not(iserror(vlookup($F62,'Reference info'!$J$5:$J$8,1,0))),"Key Artist",not(iserror(vlookup($F62,'Reference info'!$J$38:$J$405,1,0))),"Performer",not(iserror(vlookup($F62,'Reference info'!$J$10:$J$36,1,0))),"Producer &amp; Engineer")</f>
        <v/>
      </c>
    </row>
    <row r="63">
      <c r="A63" s="28"/>
      <c r="B63" s="97"/>
      <c r="C63" s="121" t="str">
        <f t="array" ref="C63">ifs(and(isblank($A63),isblank($B63)),"", not(iserror(vlookup($A63&amp;$B63,'3) Release_Label'!$D:$D&amp;'3) Release_Label'!$E:$E,1,0))),vlookup($A63&amp;$B63,{'3) Release_Label'!$D:$D&amp;'3) Release_Label'!$E:$E,'3) Release_Label'!$F:$F},2,0),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
      </c>
      <c r="D63" s="121" t="str">
        <f t="array" ref="D63">ifs(and(isblank($A63),isblank($B63)),"", not(iserror(vlookup($A63&amp;$B63,'3) Release_Label'!$D:$D&amp;'3) Release_Label'!$E:$E,1,0))),vlookup($A63&amp;$B63,{'3) Release_Label'!$D:$D&amp;'3) Release_Label'!$E:$E,'3) Release_Label'!$H:$H},2,0),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
      </c>
      <c r="E63" s="92"/>
      <c r="F63" s="92"/>
      <c r="G63" s="125" t="str">
        <f t="array" ref="G63">ifs(or($F63="",$F63="Main Primary Artist"),$F63,not(iserror(vlookup($F63,'Reference info'!$J$5:$J$8,1,0))),"Key Artist",not(iserror(vlookup($F63,'Reference info'!$J$38:$J$405,1,0))),"Performer",not(iserror(vlookup($F63,'Reference info'!$J$10:$J$36,1,0))),"Producer &amp; Engineer")</f>
        <v/>
      </c>
    </row>
    <row r="64">
      <c r="A64" s="28"/>
      <c r="B64" s="97"/>
      <c r="C64" s="121" t="str">
        <f t="array" ref="C64">ifs(and(isblank($A64),isblank($B64)),"", not(iserror(vlookup($A64&amp;$B64,'3) Release_Label'!$D:$D&amp;'3) Release_Label'!$E:$E,1,0))),vlookup($A64&amp;$B64,{'3) Release_Label'!$D:$D&amp;'3) Release_Label'!$E:$E,'3) Release_Label'!$F:$F},2,0),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
      </c>
      <c r="D64" s="121" t="str">
        <f t="array" ref="D64">ifs(and(isblank($A64),isblank($B64)),"", not(iserror(vlookup($A64&amp;$B64,'3) Release_Label'!$D:$D&amp;'3) Release_Label'!$E:$E,1,0))),vlookup($A64&amp;$B64,{'3) Release_Label'!$D:$D&amp;'3) Release_Label'!$E:$E,'3) Release_Label'!$H:$H},2,0),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
      </c>
      <c r="E64" s="92"/>
      <c r="F64" s="92"/>
      <c r="G64" s="125" t="str">
        <f t="array" ref="G64">ifs(or($F64="",$F64="Main Primary Artist"),$F64,not(iserror(vlookup($F64,'Reference info'!$J$5:$J$8,1,0))),"Key Artist",not(iserror(vlookup($F64,'Reference info'!$J$38:$J$405,1,0))),"Performer",not(iserror(vlookup($F64,'Reference info'!$J$10:$J$36,1,0))),"Producer &amp; Engineer")</f>
        <v/>
      </c>
    </row>
    <row r="65">
      <c r="A65" s="28"/>
      <c r="B65" s="97"/>
      <c r="C65" s="121" t="str">
        <f t="array" ref="C65">ifs(and(isblank($A65),isblank($B65)),"", not(iserror(vlookup($A65&amp;$B65,'3) Release_Label'!$D:$D&amp;'3) Release_Label'!$E:$E,1,0))),vlookup($A65&amp;$B65,{'3) Release_Label'!$D:$D&amp;'3) Release_Label'!$E:$E,'3) Release_Label'!$F:$F},2,0),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
      </c>
      <c r="D65" s="121" t="str">
        <f t="array" ref="D65">ifs(and(isblank($A65),isblank($B65)),"", not(iserror(vlookup($A65&amp;$B65,'3) Release_Label'!$D:$D&amp;'3) Release_Label'!$E:$E,1,0))),vlookup($A65&amp;$B65,{'3) Release_Label'!$D:$D&amp;'3) Release_Label'!$E:$E,'3) Release_Label'!$H:$H},2,0),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
      </c>
      <c r="E65" s="92"/>
      <c r="F65" s="92"/>
      <c r="G65" s="125" t="str">
        <f t="array" ref="G65">ifs(or($F65="",$F65="Main Primary Artist"),$F65,not(iserror(vlookup($F65,'Reference info'!$J$5:$J$8,1,0))),"Key Artist",not(iserror(vlookup($F65,'Reference info'!$J$38:$J$405,1,0))),"Performer",not(iserror(vlookup($F65,'Reference info'!$J$10:$J$36,1,0))),"Producer &amp; Engineer")</f>
        <v/>
      </c>
    </row>
    <row r="66">
      <c r="A66" s="28"/>
      <c r="B66" s="97"/>
      <c r="C66" s="121" t="str">
        <f t="array" ref="C66">ifs(and(isblank($A66),isblank($B66)),"", not(iserror(vlookup($A66&amp;$B66,'3) Release_Label'!$D:$D&amp;'3) Release_Label'!$E:$E,1,0))),vlookup($A66&amp;$B66,{'3) Release_Label'!$D:$D&amp;'3) Release_Label'!$E:$E,'3) Release_Label'!$F:$F},2,0),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
      </c>
      <c r="D66" s="121" t="str">
        <f t="array" ref="D66">ifs(and(isblank($A66),isblank($B66)),"", not(iserror(vlookup($A66&amp;$B66,'3) Release_Label'!$D:$D&amp;'3) Release_Label'!$E:$E,1,0))),vlookup($A66&amp;$B66,{'3) Release_Label'!$D:$D&amp;'3) Release_Label'!$E:$E,'3) Release_Label'!$H:$H},2,0),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
      </c>
      <c r="E66" s="92"/>
      <c r="F66" s="92"/>
      <c r="G66" s="125" t="str">
        <f t="array" ref="G66">ifs(or($F66="",$F66="Main Primary Artist"),$F66,not(iserror(vlookup($F66,'Reference info'!$J$5:$J$8,1,0))),"Key Artist",not(iserror(vlookup($F66,'Reference info'!$J$38:$J$405,1,0))),"Performer",not(iserror(vlookup($F66,'Reference info'!$J$10:$J$36,1,0))),"Producer &amp; Engineer")</f>
        <v/>
      </c>
    </row>
    <row r="67">
      <c r="A67" s="28"/>
      <c r="B67" s="97"/>
      <c r="C67" s="121" t="str">
        <f t="array" ref="C67">ifs(and(isblank($A67),isblank($B67)),"", not(iserror(vlookup($A67&amp;$B67,'3) Release_Label'!$D:$D&amp;'3) Release_Label'!$E:$E,1,0))),vlookup($A67&amp;$B67,{'3) Release_Label'!$D:$D&amp;'3) Release_Label'!$E:$E,'3) Release_Label'!$F:$F},2,0),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
      </c>
      <c r="D67" s="121" t="str">
        <f t="array" ref="D67">ifs(and(isblank($A67),isblank($B67)),"", not(iserror(vlookup($A67&amp;$B67,'3) Release_Label'!$D:$D&amp;'3) Release_Label'!$E:$E,1,0))),vlookup($A67&amp;$B67,{'3) Release_Label'!$D:$D&amp;'3) Release_Label'!$E:$E,'3) Release_Label'!$H:$H},2,0),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
      </c>
      <c r="E67" s="92"/>
      <c r="F67" s="92"/>
      <c r="G67" s="125" t="str">
        <f t="array" ref="G67">ifs(or($F67="",$F67="Main Primary Artist"),$F67,not(iserror(vlookup($F67,'Reference info'!$J$5:$J$8,1,0))),"Key Artist",not(iserror(vlookup($F67,'Reference info'!$J$38:$J$405,1,0))),"Performer",not(iserror(vlookup($F67,'Reference info'!$J$10:$J$36,1,0))),"Producer &amp; Engineer")</f>
        <v/>
      </c>
    </row>
    <row r="68">
      <c r="A68" s="28"/>
      <c r="B68" s="97"/>
      <c r="C68" s="121" t="str">
        <f t="array" ref="C68">ifs(and(isblank($A68),isblank($B68)),"", not(iserror(vlookup($A68&amp;$B68,'3) Release_Label'!$D:$D&amp;'3) Release_Label'!$E:$E,1,0))),vlookup($A68&amp;$B68,{'3) Release_Label'!$D:$D&amp;'3) Release_Label'!$E:$E,'3) Release_Label'!$F:$F},2,0),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
      </c>
      <c r="D68" s="121" t="str">
        <f t="array" ref="D68">ifs(and(isblank($A68),isblank($B68)),"", not(iserror(vlookup($A68&amp;$B68,'3) Release_Label'!$D:$D&amp;'3) Release_Label'!$E:$E,1,0))),vlookup($A68&amp;$B68,{'3) Release_Label'!$D:$D&amp;'3) Release_Label'!$E:$E,'3) Release_Label'!$H:$H},2,0),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
      </c>
      <c r="E68" s="92"/>
      <c r="F68" s="92"/>
      <c r="G68" s="125" t="str">
        <f t="array" ref="G68">ifs(or($F68="",$F68="Main Primary Artist"),$F68,not(iserror(vlookup($F68,'Reference info'!$J$5:$J$8,1,0))),"Key Artist",not(iserror(vlookup($F68,'Reference info'!$J$38:$J$405,1,0))),"Performer",not(iserror(vlookup($F68,'Reference info'!$J$10:$J$36,1,0))),"Producer &amp; Engineer")</f>
        <v/>
      </c>
    </row>
    <row r="69">
      <c r="A69" s="28"/>
      <c r="B69" s="97"/>
      <c r="C69" s="121" t="str">
        <f t="array" ref="C69">ifs(and(isblank($A69),isblank($B69)),"", not(iserror(vlookup($A69&amp;$B69,'3) Release_Label'!$D:$D&amp;'3) Release_Label'!$E:$E,1,0))),vlookup($A69&amp;$B69,{'3) Release_Label'!$D:$D&amp;'3) Release_Label'!$E:$E,'3) Release_Label'!$F:$F},2,0),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
      </c>
      <c r="D69" s="121" t="str">
        <f t="array" ref="D69">ifs(and(isblank($A69),isblank($B69)),"", not(iserror(vlookup($A69&amp;$B69,'3) Release_Label'!$D:$D&amp;'3) Release_Label'!$E:$E,1,0))),vlookup($A69&amp;$B69,{'3) Release_Label'!$D:$D&amp;'3) Release_Label'!$E:$E,'3) Release_Label'!$H:$H},2,0),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
      </c>
      <c r="E69" s="92"/>
      <c r="F69" s="92"/>
      <c r="G69" s="125" t="str">
        <f t="array" ref="G69">ifs(or($F69="",$F69="Main Primary Artist"),$F69,not(iserror(vlookup($F69,'Reference info'!$J$5:$J$8,1,0))),"Key Artist",not(iserror(vlookup($F69,'Reference info'!$J$38:$J$405,1,0))),"Performer",not(iserror(vlookup($F69,'Reference info'!$J$10:$J$36,1,0))),"Producer &amp; Engineer")</f>
        <v/>
      </c>
    </row>
    <row r="70">
      <c r="A70" s="28"/>
      <c r="B70" s="97"/>
      <c r="C70" s="121" t="str">
        <f t="array" ref="C70">ifs(and(isblank($A70),isblank($B70)),"", not(iserror(vlookup($A70&amp;$B70,'3) Release_Label'!$D:$D&amp;'3) Release_Label'!$E:$E,1,0))),vlookup($A70&amp;$B70,{'3) Release_Label'!$D:$D&amp;'3) Release_Label'!$E:$E,'3) Release_Label'!$F:$F},2,0),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
      </c>
      <c r="D70" s="121" t="str">
        <f t="array" ref="D70">ifs(and(isblank($A70),isblank($B70)),"", not(iserror(vlookup($A70&amp;$B70,'3) Release_Label'!$D:$D&amp;'3) Release_Label'!$E:$E,1,0))),vlookup($A70&amp;$B70,{'3) Release_Label'!$D:$D&amp;'3) Release_Label'!$E:$E,'3) Release_Label'!$H:$H},2,0),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
      </c>
      <c r="E70" s="92"/>
      <c r="F70" s="92"/>
      <c r="G70" s="125" t="str">
        <f t="array" ref="G70">ifs(or($F70="",$F70="Main Primary Artist"),$F70,not(iserror(vlookup($F70,'Reference info'!$J$5:$J$8,1,0))),"Key Artist",not(iserror(vlookup($F70,'Reference info'!$J$38:$J$405,1,0))),"Performer",not(iserror(vlookup($F70,'Reference info'!$J$10:$J$36,1,0))),"Producer &amp; Engineer")</f>
        <v/>
      </c>
    </row>
    <row r="71">
      <c r="A71" s="28"/>
      <c r="B71" s="97"/>
      <c r="C71" s="121" t="str">
        <f t="array" ref="C71">ifs(and(isblank($A71),isblank($B71)),"", not(iserror(vlookup($A71&amp;$B71,'3) Release_Label'!$D:$D&amp;'3) Release_Label'!$E:$E,1,0))),vlookup($A71&amp;$B71,{'3) Release_Label'!$D:$D&amp;'3) Release_Label'!$E:$E,'3) Release_Label'!$F:$F},2,0),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
      </c>
      <c r="D71" s="121" t="str">
        <f t="array" ref="D71">ifs(and(isblank($A71),isblank($B71)),"", not(iserror(vlookup($A71&amp;$B71,'3) Release_Label'!$D:$D&amp;'3) Release_Label'!$E:$E,1,0))),vlookup($A71&amp;$B71,{'3) Release_Label'!$D:$D&amp;'3) Release_Label'!$E:$E,'3) Release_Label'!$H:$H},2,0),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
      </c>
      <c r="E71" s="92"/>
      <c r="F71" s="92"/>
      <c r="G71" s="125" t="str">
        <f t="array" ref="G71">ifs(or($F71="",$F71="Main Primary Artist"),$F71,not(iserror(vlookup($F71,'Reference info'!$J$5:$J$8,1,0))),"Key Artist",not(iserror(vlookup($F71,'Reference info'!$J$38:$J$405,1,0))),"Performer",not(iserror(vlookup($F71,'Reference info'!$J$10:$J$36,1,0))),"Producer &amp; Engineer")</f>
        <v/>
      </c>
    </row>
    <row r="72">
      <c r="A72" s="28"/>
      <c r="B72" s="97"/>
      <c r="C72" s="121" t="str">
        <f t="array" ref="C72">ifs(and(isblank($A72),isblank($B72)),"", not(iserror(vlookup($A72&amp;$B72,'3) Release_Label'!$D:$D&amp;'3) Release_Label'!$E:$E,1,0))),vlookup($A72&amp;$B72,{'3) Release_Label'!$D:$D&amp;'3) Release_Label'!$E:$E,'3) Release_Label'!$F:$F},2,0),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
      </c>
      <c r="D72" s="121" t="str">
        <f t="array" ref="D72">ifs(and(isblank($A72),isblank($B72)),"", not(iserror(vlookup($A72&amp;$B72,'3) Release_Label'!$D:$D&amp;'3) Release_Label'!$E:$E,1,0))),vlookup($A72&amp;$B72,{'3) Release_Label'!$D:$D&amp;'3) Release_Label'!$E:$E,'3) Release_Label'!$H:$H},2,0),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
      </c>
      <c r="E72" s="92"/>
      <c r="F72" s="92"/>
      <c r="G72" s="125" t="str">
        <f t="array" ref="G72">ifs(or($F72="",$F72="Main Primary Artist"),$F72,not(iserror(vlookup($F72,'Reference info'!$J$5:$J$8,1,0))),"Key Artist",not(iserror(vlookup($F72,'Reference info'!$J$38:$J$405,1,0))),"Performer",not(iserror(vlookup($F72,'Reference info'!$J$10:$J$36,1,0))),"Producer &amp; Engineer")</f>
        <v/>
      </c>
    </row>
    <row r="73">
      <c r="A73" s="28"/>
      <c r="B73" s="97"/>
      <c r="C73" s="121" t="str">
        <f t="array" ref="C73">ifs(and(isblank($A73),isblank($B73)),"", not(iserror(vlookup($A73&amp;$B73,'3) Release_Label'!$D:$D&amp;'3) Release_Label'!$E:$E,1,0))),vlookup($A73&amp;$B73,{'3) Release_Label'!$D:$D&amp;'3) Release_Label'!$E:$E,'3) Release_Label'!$F:$F},2,0),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
      </c>
      <c r="D73" s="121" t="str">
        <f t="array" ref="D73">ifs(and(isblank($A73),isblank($B73)),"", not(iserror(vlookup($A73&amp;$B73,'3) Release_Label'!$D:$D&amp;'3) Release_Label'!$E:$E,1,0))),vlookup($A73&amp;$B73,{'3) Release_Label'!$D:$D&amp;'3) Release_Label'!$E:$E,'3) Release_Label'!$H:$H},2,0),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
      </c>
      <c r="E73" s="92"/>
      <c r="F73" s="92"/>
      <c r="G73" s="125" t="str">
        <f t="array" ref="G73">ifs(or($F73="",$F73="Main Primary Artist"),$F73,not(iserror(vlookup($F73,'Reference info'!$J$5:$J$8,1,0))),"Key Artist",not(iserror(vlookup($F73,'Reference info'!$J$38:$J$405,1,0))),"Performer",not(iserror(vlookup($F73,'Reference info'!$J$10:$J$36,1,0))),"Producer &amp; Engineer")</f>
        <v/>
      </c>
    </row>
    <row r="74">
      <c r="A74" s="28"/>
      <c r="B74" s="97"/>
      <c r="C74" s="121" t="str">
        <f t="array" ref="C74">ifs(and(isblank($A74),isblank($B74)),"", not(iserror(vlookup($A74&amp;$B74,'3) Release_Label'!$D:$D&amp;'3) Release_Label'!$E:$E,1,0))),vlookup($A74&amp;$B74,{'3) Release_Label'!$D:$D&amp;'3) Release_Label'!$E:$E,'3) Release_Label'!$F:$F},2,0),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
      </c>
      <c r="D74" s="121" t="str">
        <f t="array" ref="D74">ifs(and(isblank($A74),isblank($B74)),"", not(iserror(vlookup($A74&amp;$B74,'3) Release_Label'!$D:$D&amp;'3) Release_Label'!$E:$E,1,0))),vlookup($A74&amp;$B74,{'3) Release_Label'!$D:$D&amp;'3) Release_Label'!$E:$E,'3) Release_Label'!$H:$H},2,0),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
      </c>
      <c r="E74" s="92"/>
      <c r="F74" s="92"/>
      <c r="G74" s="125" t="str">
        <f t="array" ref="G74">ifs(or($F74="",$F74="Main Primary Artist"),$F74,not(iserror(vlookup($F74,'Reference info'!$J$5:$J$8,1,0))),"Key Artist",not(iserror(vlookup($F74,'Reference info'!$J$38:$J$405,1,0))),"Performer",not(iserror(vlookup($F74,'Reference info'!$J$10:$J$36,1,0))),"Producer &amp; Engineer")</f>
        <v/>
      </c>
    </row>
    <row r="75">
      <c r="A75" s="28"/>
      <c r="B75" s="97"/>
      <c r="C75" s="121" t="str">
        <f t="array" ref="C75">ifs(and(isblank($A75),isblank($B75)),"", not(iserror(vlookup($A75&amp;$B75,'3) Release_Label'!$D:$D&amp;'3) Release_Label'!$E:$E,1,0))),vlookup($A75&amp;$B75,{'3) Release_Label'!$D:$D&amp;'3) Release_Label'!$E:$E,'3) Release_Label'!$F:$F},2,0),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
      </c>
      <c r="D75" s="121" t="str">
        <f t="array" ref="D75">ifs(and(isblank($A75),isblank($B75)),"", not(iserror(vlookup($A75&amp;$B75,'3) Release_Label'!$D:$D&amp;'3) Release_Label'!$E:$E,1,0))),vlookup($A75&amp;$B75,{'3) Release_Label'!$D:$D&amp;'3) Release_Label'!$E:$E,'3) Release_Label'!$H:$H},2,0),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
      </c>
      <c r="E75" s="92"/>
      <c r="F75" s="92"/>
      <c r="G75" s="125" t="str">
        <f t="array" ref="G75">ifs(or($F75="",$F75="Main Primary Artist"),$F75,not(iserror(vlookup($F75,'Reference info'!$J$5:$J$8,1,0))),"Key Artist",not(iserror(vlookup($F75,'Reference info'!$J$38:$J$405,1,0))),"Performer",not(iserror(vlookup($F75,'Reference info'!$J$10:$J$36,1,0))),"Producer &amp; Engineer")</f>
        <v/>
      </c>
    </row>
    <row r="76">
      <c r="A76" s="28"/>
      <c r="B76" s="97"/>
      <c r="C76" s="121" t="str">
        <f t="array" ref="C76">ifs(and(isblank($A76),isblank($B76)),"", not(iserror(vlookup($A76&amp;$B76,'3) Release_Label'!$D:$D&amp;'3) Release_Label'!$E:$E,1,0))),vlookup($A76&amp;$B76,{'3) Release_Label'!$D:$D&amp;'3) Release_Label'!$E:$E,'3) Release_Label'!$F:$F},2,0),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
      </c>
      <c r="D76" s="121" t="str">
        <f t="array" ref="D76">ifs(and(isblank($A76),isblank($B76)),"", not(iserror(vlookup($A76&amp;$B76,'3) Release_Label'!$D:$D&amp;'3) Release_Label'!$E:$E,1,0))),vlookup($A76&amp;$B76,{'3) Release_Label'!$D:$D&amp;'3) Release_Label'!$E:$E,'3) Release_Label'!$H:$H},2,0),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
      </c>
      <c r="E76" s="92"/>
      <c r="F76" s="92"/>
      <c r="G76" s="125" t="str">
        <f t="array" ref="G76">ifs(or($F76="",$F76="Main Primary Artist"),$F76,not(iserror(vlookup($F76,'Reference info'!$J$5:$J$8,1,0))),"Key Artist",not(iserror(vlookup($F76,'Reference info'!$J$38:$J$405,1,0))),"Performer",not(iserror(vlookup($F76,'Reference info'!$J$10:$J$36,1,0))),"Producer &amp; Engineer")</f>
        <v/>
      </c>
    </row>
    <row r="77">
      <c r="A77" s="28"/>
      <c r="B77" s="97"/>
      <c r="C77" s="121" t="str">
        <f t="array" ref="C77">ifs(and(isblank($A77),isblank($B77)),"", not(iserror(vlookup($A77&amp;$B77,'3) Release_Label'!$D:$D&amp;'3) Release_Label'!$E:$E,1,0))),vlookup($A77&amp;$B77,{'3) Release_Label'!$D:$D&amp;'3) Release_Label'!$E:$E,'3) Release_Label'!$F:$F},2,0),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
      </c>
      <c r="D77" s="121" t="str">
        <f t="array" ref="D77">ifs(and(isblank($A77),isblank($B77)),"", not(iserror(vlookup($A77&amp;$B77,'3) Release_Label'!$D:$D&amp;'3) Release_Label'!$E:$E,1,0))),vlookup($A77&amp;$B77,{'3) Release_Label'!$D:$D&amp;'3) Release_Label'!$E:$E,'3) Release_Label'!$H:$H},2,0),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
      </c>
      <c r="E77" s="92"/>
      <c r="F77" s="92"/>
      <c r="G77" s="125" t="str">
        <f t="array" ref="G77">ifs(or($F77="",$F77="Main Primary Artist"),$F77,not(iserror(vlookup($F77,'Reference info'!$J$5:$J$8,1,0))),"Key Artist",not(iserror(vlookup($F77,'Reference info'!$J$38:$J$405,1,0))),"Performer",not(iserror(vlookup($F77,'Reference info'!$J$10:$J$36,1,0))),"Producer &amp; Engineer")</f>
        <v/>
      </c>
    </row>
    <row r="78">
      <c r="A78" s="28"/>
      <c r="B78" s="97"/>
      <c r="C78" s="121" t="str">
        <f t="array" ref="C78">ifs(and(isblank($A78),isblank($B78)),"", not(iserror(vlookup($A78&amp;$B78,'3) Release_Label'!$D:$D&amp;'3) Release_Label'!$E:$E,1,0))),vlookup($A78&amp;$B78,{'3) Release_Label'!$D:$D&amp;'3) Release_Label'!$E:$E,'3) Release_Label'!$F:$F},2,0),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
      </c>
      <c r="D78" s="121" t="str">
        <f t="array" ref="D78">ifs(and(isblank($A78),isblank($B78)),"", not(iserror(vlookup($A78&amp;$B78,'3) Release_Label'!$D:$D&amp;'3) Release_Label'!$E:$E,1,0))),vlookup($A78&amp;$B78,{'3) Release_Label'!$D:$D&amp;'3) Release_Label'!$E:$E,'3) Release_Label'!$H:$H},2,0),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
      </c>
      <c r="E78" s="92"/>
      <c r="F78" s="92"/>
      <c r="G78" s="125" t="str">
        <f t="array" ref="G78">ifs(or($F78="",$F78="Main Primary Artist"),$F78,not(iserror(vlookup($F78,'Reference info'!$J$5:$J$8,1,0))),"Key Artist",not(iserror(vlookup($F78,'Reference info'!$J$38:$J$405,1,0))),"Performer",not(iserror(vlookup($F78,'Reference info'!$J$10:$J$36,1,0))),"Producer &amp; Engineer")</f>
        <v/>
      </c>
    </row>
    <row r="79">
      <c r="A79" s="28"/>
      <c r="B79" s="97"/>
      <c r="C79" s="121" t="str">
        <f t="array" ref="C79">ifs(and(isblank($A79),isblank($B79)),"", not(iserror(vlookup($A79&amp;$B79,'3) Release_Label'!$D:$D&amp;'3) Release_Label'!$E:$E,1,0))),vlookup($A79&amp;$B79,{'3) Release_Label'!$D:$D&amp;'3) Release_Label'!$E:$E,'3) Release_Label'!$F:$F},2,0), or(and(not(isblank($B79)),$B79=$B78,$A79&lt;&gt;$A78),and(not(isblank($A79)),$A79=$A78,$B79&lt;&gt;$B78)),"ID LISTS UNALIGNED",and($A79&lt;&gt;"",countif('3) Release_Label'!$D:$D,$A79)=0),"NO UPC MATCH in Release_Label",and($B79&lt;&gt;"",countif('3) Release_Label'!$E:$E,$B79)=0),"NO CATALOG ID MATCH in Release_Label",iserror(vlookup($A79&amp;$B79,'3) Release_Label'!$D:$D&amp;'3) Release_Label'!$E:$E,1,0)),"NO UPC-CATALOG ID pair MATCH in Release_Label" )</f>
        <v/>
      </c>
      <c r="D79" s="121" t="str">
        <f t="array" ref="D79">ifs(and(isblank($A79),isblank($B79)),"", not(iserror(vlookup($A79&amp;$B79,'3) Release_Label'!$D:$D&amp;'3) Release_Label'!$E:$E,1,0))),vlookup($A79&amp;$B79,{'3) Release_Label'!$D:$D&amp;'3) Release_Label'!$E:$E,'3) Release_Label'!$H:$H},2,0), or(and(not(isblank($B79)),$B79=$B78,$A79&lt;&gt;$A78),and(not(isblank($A79)),$A79=$A78,$B79&lt;&gt;$B78)),"ID LISTS UNALIGNED",and($A79&lt;&gt;"",countif('3) Release_Label'!$D:$D,$A79)=0),"NO UPC MATCH in Release_Label",and($B79&lt;&gt;"",countif('3) Release_Label'!$E:$E,$B79)=0),"NO CATALOG ID MATCH in Release_Label",iserror(vlookup($A79&amp;$B79,'3) Release_Label'!$D:$D&amp;'3) Release_Label'!$E:$E,1,0)),"NO UPC-CATALOG ID pair MATCH in Release_Label" )</f>
        <v/>
      </c>
      <c r="E79" s="92"/>
      <c r="F79" s="92"/>
      <c r="G79" s="125" t="str">
        <f t="array" ref="G79">ifs(or($F79="",$F79="Main Primary Artist"),$F79,not(iserror(vlookup($F79,'Reference info'!$J$5:$J$8,1,0))),"Key Artist",not(iserror(vlookup($F79,'Reference info'!$J$38:$J$405,1,0))),"Performer",not(iserror(vlookup($F79,'Reference info'!$J$10:$J$36,1,0))),"Producer &amp; Engineer")</f>
        <v/>
      </c>
    </row>
    <row r="80">
      <c r="A80" s="28"/>
      <c r="B80" s="97"/>
      <c r="C80" s="121" t="str">
        <f t="array" ref="C80">ifs(and(isblank($A80),isblank($B80)),"", not(iserror(vlookup($A80&amp;$B80,'3) Release_Label'!$D:$D&amp;'3) Release_Label'!$E:$E,1,0))),vlookup($A80&amp;$B80,{'3) Release_Label'!$D:$D&amp;'3) Release_Label'!$E:$E,'3) Release_Label'!$F:$F},2,0),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
      </c>
      <c r="D80" s="121" t="str">
        <f t="array" ref="D80">ifs(and(isblank($A80),isblank($B80)),"", not(iserror(vlookup($A80&amp;$B80,'3) Release_Label'!$D:$D&amp;'3) Release_Label'!$E:$E,1,0))),vlookup($A80&amp;$B80,{'3) Release_Label'!$D:$D&amp;'3) Release_Label'!$E:$E,'3) Release_Label'!$H:$H},2,0),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
      </c>
      <c r="E80" s="92"/>
      <c r="F80" s="92"/>
      <c r="G80" s="125" t="str">
        <f t="array" ref="G80">ifs(or($F80="",$F80="Main Primary Artist"),$F80,not(iserror(vlookup($F80,'Reference info'!$J$5:$J$8,1,0))),"Key Artist",not(iserror(vlookup($F80,'Reference info'!$J$38:$J$405,1,0))),"Performer",not(iserror(vlookup($F80,'Reference info'!$J$10:$J$36,1,0))),"Producer &amp; Engineer")</f>
        <v/>
      </c>
    </row>
    <row r="81">
      <c r="A81" s="28"/>
      <c r="B81" s="97"/>
      <c r="C81" s="121" t="str">
        <f t="array" ref="C81">ifs(and(isblank($A81),isblank($B81)),"", not(iserror(vlookup($A81&amp;$B81,'3) Release_Label'!$D:$D&amp;'3) Release_Label'!$E:$E,1,0))),vlookup($A81&amp;$B81,{'3) Release_Label'!$D:$D&amp;'3) Release_Label'!$E:$E,'3) Release_Label'!$F:$F},2,0),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
      </c>
      <c r="D81" s="121" t="str">
        <f t="array" ref="D81">ifs(and(isblank($A81),isblank($B81)),"", not(iserror(vlookup($A81&amp;$B81,'3) Release_Label'!$D:$D&amp;'3) Release_Label'!$E:$E,1,0))),vlookup($A81&amp;$B81,{'3) Release_Label'!$D:$D&amp;'3) Release_Label'!$E:$E,'3) Release_Label'!$H:$H},2,0),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
      </c>
      <c r="E81" s="92"/>
      <c r="F81" s="92"/>
      <c r="G81" s="125" t="str">
        <f t="array" ref="G81">ifs(or($F81="",$F81="Main Primary Artist"),$F81,not(iserror(vlookup($F81,'Reference info'!$J$5:$J$8,1,0))),"Key Artist",not(iserror(vlookup($F81,'Reference info'!$J$38:$J$405,1,0))),"Performer",not(iserror(vlookup($F81,'Reference info'!$J$10:$J$36,1,0))),"Producer &amp; Engineer")</f>
        <v/>
      </c>
    </row>
    <row r="82">
      <c r="A82" s="28"/>
      <c r="B82" s="97"/>
      <c r="C82" s="121" t="str">
        <f t="array" ref="C82">ifs(and(isblank($A82),isblank($B82)),"", not(iserror(vlookup($A82&amp;$B82,'3) Release_Label'!$D:$D&amp;'3) Release_Label'!$E:$E,1,0))),vlookup($A82&amp;$B82,{'3) Release_Label'!$D:$D&amp;'3) Release_Label'!$E:$E,'3) Release_Label'!$F:$F},2,0),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
      </c>
      <c r="D82" s="121" t="str">
        <f t="array" ref="D82">ifs(and(isblank($A82),isblank($B82)),"", not(iserror(vlookup($A82&amp;$B82,'3) Release_Label'!$D:$D&amp;'3) Release_Label'!$E:$E,1,0))),vlookup($A82&amp;$B82,{'3) Release_Label'!$D:$D&amp;'3) Release_Label'!$E:$E,'3) Release_Label'!$H:$H},2,0),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
      </c>
      <c r="E82" s="92"/>
      <c r="F82" s="92"/>
      <c r="G82" s="125" t="str">
        <f t="array" ref="G82">ifs(or($F82="",$F82="Main Primary Artist"),$F82,not(iserror(vlookup($F82,'Reference info'!$J$5:$J$8,1,0))),"Key Artist",not(iserror(vlookup($F82,'Reference info'!$J$38:$J$405,1,0))),"Performer",not(iserror(vlookup($F82,'Reference info'!$J$10:$J$36,1,0))),"Producer &amp; Engineer")</f>
        <v/>
      </c>
    </row>
    <row r="83">
      <c r="A83" s="28"/>
      <c r="B83" s="97"/>
      <c r="C83" s="121" t="str">
        <f t="array" ref="C83">ifs(and(isblank($A83),isblank($B83)),"", not(iserror(vlookup($A83&amp;$B83,'3) Release_Label'!$D:$D&amp;'3) Release_Label'!$E:$E,1,0))),vlookup($A83&amp;$B83,{'3) Release_Label'!$D:$D&amp;'3) Release_Label'!$E:$E,'3) Release_Label'!$F:$F},2,0),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
      </c>
      <c r="D83" s="121" t="str">
        <f t="array" ref="D83">ifs(and(isblank($A83),isblank($B83)),"", not(iserror(vlookup($A83&amp;$B83,'3) Release_Label'!$D:$D&amp;'3) Release_Label'!$E:$E,1,0))),vlookup($A83&amp;$B83,{'3) Release_Label'!$D:$D&amp;'3) Release_Label'!$E:$E,'3) Release_Label'!$H:$H},2,0),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
      </c>
      <c r="E83" s="92"/>
      <c r="F83" s="92"/>
      <c r="G83" s="125" t="str">
        <f t="array" ref="G83">ifs(or($F83="",$F83="Main Primary Artist"),$F83,not(iserror(vlookup($F83,'Reference info'!$J$5:$J$8,1,0))),"Key Artist",not(iserror(vlookup($F83,'Reference info'!$J$38:$J$405,1,0))),"Performer",not(iserror(vlookup($F83,'Reference info'!$J$10:$J$36,1,0))),"Producer &amp; Engineer")</f>
        <v/>
      </c>
    </row>
    <row r="84">
      <c r="A84" s="28"/>
      <c r="B84" s="97"/>
      <c r="C84" s="121" t="str">
        <f t="array" ref="C84">ifs(and(isblank($A84),isblank($B84)),"", not(iserror(vlookup($A84&amp;$B84,'3) Release_Label'!$D:$D&amp;'3) Release_Label'!$E:$E,1,0))),vlookup($A84&amp;$B84,{'3) Release_Label'!$D:$D&amp;'3) Release_Label'!$E:$E,'3) Release_Label'!$F:$F},2,0),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
      </c>
      <c r="D84" s="121" t="str">
        <f t="array" ref="D84">ifs(and(isblank($A84),isblank($B84)),"", not(iserror(vlookup($A84&amp;$B84,'3) Release_Label'!$D:$D&amp;'3) Release_Label'!$E:$E,1,0))),vlookup($A84&amp;$B84,{'3) Release_Label'!$D:$D&amp;'3) Release_Label'!$E:$E,'3) Release_Label'!$H:$H},2,0),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
      </c>
      <c r="E84" s="92"/>
      <c r="F84" s="92"/>
      <c r="G84" s="125" t="str">
        <f t="array" ref="G84">ifs(or($F84="",$F84="Main Primary Artist"),$F84,not(iserror(vlookup($F84,'Reference info'!$J$5:$J$8,1,0))),"Key Artist",not(iserror(vlookup($F84,'Reference info'!$J$38:$J$405,1,0))),"Performer",not(iserror(vlookup($F84,'Reference info'!$J$10:$J$36,1,0))),"Producer &amp; Engineer")</f>
        <v/>
      </c>
    </row>
    <row r="85">
      <c r="A85" s="28"/>
      <c r="B85" s="97"/>
      <c r="C85" s="121" t="str">
        <f t="array" ref="C85">ifs(and(isblank($A85),isblank($B85)),"", not(iserror(vlookup($A85&amp;$B85,'3) Release_Label'!$D:$D&amp;'3) Release_Label'!$E:$E,1,0))),vlookup($A85&amp;$B85,{'3) Release_Label'!$D:$D&amp;'3) Release_Label'!$E:$E,'3) Release_Label'!$F:$F},2,0), or(and(not(isblank($B85)),$B85=$B84,$A85&lt;&gt;$A84),and(not(isblank($A85)),$A85=$A84,$B85&lt;&gt;$B84)),"ID LISTS UNALIGNED",and($A85&lt;&gt;"",countif('3) Release_Label'!$D:$D,$A85)=0),"NO UPC MATCH in Release_Label",and($B85&lt;&gt;"",countif('3) Release_Label'!$E:$E,$B85)=0),"NO CATALOG ID MATCH in Release_Label",iserror(vlookup($A85&amp;$B85,'3) Release_Label'!$D:$D&amp;'3) Release_Label'!$E:$E,1,0)),"NO UPC-CATALOG ID pair MATCH in Release_Label" )</f>
        <v/>
      </c>
      <c r="D85" s="121" t="str">
        <f t="array" ref="D85">ifs(and(isblank($A85),isblank($B85)),"", not(iserror(vlookup($A85&amp;$B85,'3) Release_Label'!$D:$D&amp;'3) Release_Label'!$E:$E,1,0))),vlookup($A85&amp;$B85,{'3) Release_Label'!$D:$D&amp;'3) Release_Label'!$E:$E,'3) Release_Label'!$H:$H},2,0), or(and(not(isblank($B85)),$B85=$B84,$A85&lt;&gt;$A84),and(not(isblank($A85)),$A85=$A84,$B85&lt;&gt;$B84)),"ID LISTS UNALIGNED",and($A85&lt;&gt;"",countif('3) Release_Label'!$D:$D,$A85)=0),"NO UPC MATCH in Release_Label",and($B85&lt;&gt;"",countif('3) Release_Label'!$E:$E,$B85)=0),"NO CATALOG ID MATCH in Release_Label",iserror(vlookup($A85&amp;$B85,'3) Release_Label'!$D:$D&amp;'3) Release_Label'!$E:$E,1,0)),"NO UPC-CATALOG ID pair MATCH in Release_Label" )</f>
        <v/>
      </c>
      <c r="E85" s="92"/>
      <c r="F85" s="92"/>
      <c r="G85" s="125" t="str">
        <f t="array" ref="G85">ifs(or($F85="",$F85="Main Primary Artist"),$F85,not(iserror(vlookup($F85,'Reference info'!$J$5:$J$8,1,0))),"Key Artist",not(iserror(vlookup($F85,'Reference info'!$J$38:$J$405,1,0))),"Performer",not(iserror(vlookup($F85,'Reference info'!$J$10:$J$36,1,0))),"Producer &amp; Engineer")</f>
        <v/>
      </c>
    </row>
    <row r="86">
      <c r="A86" s="28"/>
      <c r="B86" s="97"/>
      <c r="C86" s="121" t="str">
        <f t="array" ref="C86">ifs(and(isblank($A86),isblank($B86)),"", not(iserror(vlookup($A86&amp;$B86,'3) Release_Label'!$D:$D&amp;'3) Release_Label'!$E:$E,1,0))),vlookup($A86&amp;$B86,{'3) Release_Label'!$D:$D&amp;'3) Release_Label'!$E:$E,'3) Release_Label'!$F:$F},2,0),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
      </c>
      <c r="D86" s="121" t="str">
        <f t="array" ref="D86">ifs(and(isblank($A86),isblank($B86)),"", not(iserror(vlookup($A86&amp;$B86,'3) Release_Label'!$D:$D&amp;'3) Release_Label'!$E:$E,1,0))),vlookup($A86&amp;$B86,{'3) Release_Label'!$D:$D&amp;'3) Release_Label'!$E:$E,'3) Release_Label'!$H:$H},2,0),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
      </c>
      <c r="E86" s="92"/>
      <c r="F86" s="92"/>
      <c r="G86" s="125" t="str">
        <f t="array" ref="G86">ifs(or($F86="",$F86="Main Primary Artist"),$F86,not(iserror(vlookup($F86,'Reference info'!$J$5:$J$8,1,0))),"Key Artist",not(iserror(vlookup($F86,'Reference info'!$J$38:$J$405,1,0))),"Performer",not(iserror(vlookup($F86,'Reference info'!$J$10:$J$36,1,0))),"Producer &amp; Engineer")</f>
        <v/>
      </c>
    </row>
    <row r="87">
      <c r="A87" s="28"/>
      <c r="B87" s="97"/>
      <c r="C87" s="121" t="str">
        <f t="array" ref="C87">ifs(and(isblank($A87),isblank($B87)),"", not(iserror(vlookup($A87&amp;$B87,'3) Release_Label'!$D:$D&amp;'3) Release_Label'!$E:$E,1,0))),vlookup($A87&amp;$B87,{'3) Release_Label'!$D:$D&amp;'3) Release_Label'!$E:$E,'3) Release_Label'!$F:$F},2,0),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
      </c>
      <c r="D87" s="121" t="str">
        <f t="array" ref="D87">ifs(and(isblank($A87),isblank($B87)),"", not(iserror(vlookup($A87&amp;$B87,'3) Release_Label'!$D:$D&amp;'3) Release_Label'!$E:$E,1,0))),vlookup($A87&amp;$B87,{'3) Release_Label'!$D:$D&amp;'3) Release_Label'!$E:$E,'3) Release_Label'!$H:$H},2,0),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
      </c>
      <c r="E87" s="92"/>
      <c r="F87" s="92"/>
      <c r="G87" s="125" t="str">
        <f t="array" ref="G87">ifs(or($F87="",$F87="Main Primary Artist"),$F87,not(iserror(vlookup($F87,'Reference info'!$J$5:$J$8,1,0))),"Key Artist",not(iserror(vlookup($F87,'Reference info'!$J$38:$J$405,1,0))),"Performer",not(iserror(vlookup($F87,'Reference info'!$J$10:$J$36,1,0))),"Producer &amp; Engineer")</f>
        <v/>
      </c>
    </row>
    <row r="88">
      <c r="A88" s="28"/>
      <c r="B88" s="97"/>
      <c r="C88" s="121" t="str">
        <f t="array" ref="C88">ifs(and(isblank($A88),isblank($B88)),"", not(iserror(vlookup($A88&amp;$B88,'3) Release_Label'!$D:$D&amp;'3) Release_Label'!$E:$E,1,0))),vlookup($A88&amp;$B88,{'3) Release_Label'!$D:$D&amp;'3) Release_Label'!$E:$E,'3) Release_Label'!$F:$F},2,0),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
      </c>
      <c r="D88" s="121" t="str">
        <f t="array" ref="D88">ifs(and(isblank($A88),isblank($B88)),"", not(iserror(vlookup($A88&amp;$B88,'3) Release_Label'!$D:$D&amp;'3) Release_Label'!$E:$E,1,0))),vlookup($A88&amp;$B88,{'3) Release_Label'!$D:$D&amp;'3) Release_Label'!$E:$E,'3) Release_Label'!$H:$H},2,0),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
      </c>
      <c r="E88" s="92"/>
      <c r="F88" s="92"/>
      <c r="G88" s="125" t="str">
        <f t="array" ref="G88">ifs(or($F88="",$F88="Main Primary Artist"),$F88,not(iserror(vlookup($F88,'Reference info'!$J$5:$J$8,1,0))),"Key Artist",not(iserror(vlookup($F88,'Reference info'!$J$38:$J$405,1,0))),"Performer",not(iserror(vlookup($F88,'Reference info'!$J$10:$J$36,1,0))),"Producer &amp; Engineer")</f>
        <v/>
      </c>
    </row>
    <row r="89">
      <c r="A89" s="28"/>
      <c r="B89" s="97"/>
      <c r="C89" s="121" t="str">
        <f t="array" ref="C89">ifs(and(isblank($A89),isblank($B89)),"", not(iserror(vlookup($A89&amp;$B89,'3) Release_Label'!$D:$D&amp;'3) Release_Label'!$E:$E,1,0))),vlookup($A89&amp;$B89,{'3) Release_Label'!$D:$D&amp;'3) Release_Label'!$E:$E,'3) Release_Label'!$F:$F},2,0),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
      </c>
      <c r="D89" s="121" t="str">
        <f t="array" ref="D89">ifs(and(isblank($A89),isblank($B89)),"", not(iserror(vlookup($A89&amp;$B89,'3) Release_Label'!$D:$D&amp;'3) Release_Label'!$E:$E,1,0))),vlookup($A89&amp;$B89,{'3) Release_Label'!$D:$D&amp;'3) Release_Label'!$E:$E,'3) Release_Label'!$H:$H},2,0),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
      </c>
      <c r="E89" s="92"/>
      <c r="F89" s="92"/>
      <c r="G89" s="125" t="str">
        <f t="array" ref="G89">ifs(or($F89="",$F89="Main Primary Artist"),$F89,not(iserror(vlookup($F89,'Reference info'!$J$5:$J$8,1,0))),"Key Artist",not(iserror(vlookup($F89,'Reference info'!$J$38:$J$405,1,0))),"Performer",not(iserror(vlookup($F89,'Reference info'!$J$10:$J$36,1,0))),"Producer &amp; Engineer")</f>
        <v/>
      </c>
    </row>
    <row r="90">
      <c r="A90" s="28"/>
      <c r="B90" s="97"/>
      <c r="C90" s="121" t="str">
        <f t="array" ref="C90">ifs(and(isblank($A90),isblank($B90)),"", not(iserror(vlookup($A90&amp;$B90,'3) Release_Label'!$D:$D&amp;'3) Release_Label'!$E:$E,1,0))),vlookup($A90&amp;$B90,{'3) Release_Label'!$D:$D&amp;'3) Release_Label'!$E:$E,'3) Release_Label'!$F:$F},2,0), or(and(not(isblank($B90)),$B90=$B89,$A90&lt;&gt;$A89),and(not(isblank($A90)),$A90=$A89,$B90&lt;&gt;$B89)),"ID LISTS UNALIGNED",and($A90&lt;&gt;"",countif('3) Release_Label'!$D:$D,$A90)=0),"NO UPC MATCH in Release_Label",and($B90&lt;&gt;"",countif('3) Release_Label'!$E:$E,$B90)=0),"NO CATALOG ID MATCH in Release_Label",iserror(vlookup($A90&amp;$B90,'3) Release_Label'!$D:$D&amp;'3) Release_Label'!$E:$E,1,0)),"NO UPC-CATALOG ID pair MATCH in Release_Label" )</f>
        <v/>
      </c>
      <c r="D90" s="121" t="str">
        <f t="array" ref="D90">ifs(and(isblank($A90),isblank($B90)),"", not(iserror(vlookup($A90&amp;$B90,'3) Release_Label'!$D:$D&amp;'3) Release_Label'!$E:$E,1,0))),vlookup($A90&amp;$B90,{'3) Release_Label'!$D:$D&amp;'3) Release_Label'!$E:$E,'3) Release_Label'!$H:$H},2,0), or(and(not(isblank($B90)),$B90=$B89,$A90&lt;&gt;$A89),and(not(isblank($A90)),$A90=$A89,$B90&lt;&gt;$B89)),"ID LISTS UNALIGNED",and($A90&lt;&gt;"",countif('3) Release_Label'!$D:$D,$A90)=0),"NO UPC MATCH in Release_Label",and($B90&lt;&gt;"",countif('3) Release_Label'!$E:$E,$B90)=0),"NO CATALOG ID MATCH in Release_Label",iserror(vlookup($A90&amp;$B90,'3) Release_Label'!$D:$D&amp;'3) Release_Label'!$E:$E,1,0)),"NO UPC-CATALOG ID pair MATCH in Release_Label" )</f>
        <v/>
      </c>
      <c r="E90" s="92"/>
      <c r="F90" s="92"/>
      <c r="G90" s="125" t="str">
        <f t="array" ref="G90">ifs(or($F90="",$F90="Main Primary Artist"),$F90,not(iserror(vlookup($F90,'Reference info'!$J$5:$J$8,1,0))),"Key Artist",not(iserror(vlookup($F90,'Reference info'!$J$38:$J$405,1,0))),"Performer",not(iserror(vlookup($F90,'Reference info'!$J$10:$J$36,1,0))),"Producer &amp; Engineer")</f>
        <v/>
      </c>
    </row>
    <row r="91">
      <c r="A91" s="28"/>
      <c r="B91" s="97"/>
      <c r="C91" s="121" t="str">
        <f t="array" ref="C91">ifs(and(isblank($A91),isblank($B91)),"", not(iserror(vlookup($A91&amp;$B91,'3) Release_Label'!$D:$D&amp;'3) Release_Label'!$E:$E,1,0))),vlookup($A91&amp;$B91,{'3) Release_Label'!$D:$D&amp;'3) Release_Label'!$E:$E,'3) Release_Label'!$F:$F},2,0),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
      </c>
      <c r="D91" s="121" t="str">
        <f t="array" ref="D91">ifs(and(isblank($A91),isblank($B91)),"", not(iserror(vlookup($A91&amp;$B91,'3) Release_Label'!$D:$D&amp;'3) Release_Label'!$E:$E,1,0))),vlookup($A91&amp;$B91,{'3) Release_Label'!$D:$D&amp;'3) Release_Label'!$E:$E,'3) Release_Label'!$H:$H},2,0),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
      </c>
      <c r="E91" s="92"/>
      <c r="F91" s="92"/>
      <c r="G91" s="125" t="str">
        <f t="array" ref="G91">ifs(or($F91="",$F91="Main Primary Artist"),$F91,not(iserror(vlookup($F91,'Reference info'!$J$5:$J$8,1,0))),"Key Artist",not(iserror(vlookup($F91,'Reference info'!$J$38:$J$405,1,0))),"Performer",not(iserror(vlookup($F91,'Reference info'!$J$10:$J$36,1,0))),"Producer &amp; Engineer")</f>
        <v/>
      </c>
    </row>
    <row r="92">
      <c r="A92" s="28"/>
      <c r="B92" s="97"/>
      <c r="C92" s="121" t="str">
        <f t="array" ref="C92">ifs(and(isblank($A92),isblank($B92)),"", not(iserror(vlookup($A92&amp;$B92,'3) Release_Label'!$D:$D&amp;'3) Release_Label'!$E:$E,1,0))),vlookup($A92&amp;$B92,{'3) Release_Label'!$D:$D&amp;'3) Release_Label'!$E:$E,'3) Release_Label'!$F:$F},2,0),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
      </c>
      <c r="D92" s="121" t="str">
        <f t="array" ref="D92">ifs(and(isblank($A92),isblank($B92)),"", not(iserror(vlookup($A92&amp;$B92,'3) Release_Label'!$D:$D&amp;'3) Release_Label'!$E:$E,1,0))),vlookup($A92&amp;$B92,{'3) Release_Label'!$D:$D&amp;'3) Release_Label'!$E:$E,'3) Release_Label'!$H:$H},2,0),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
      </c>
      <c r="E92" s="92"/>
      <c r="F92" s="92"/>
      <c r="G92" s="125" t="str">
        <f t="array" ref="G92">ifs(or($F92="",$F92="Main Primary Artist"),$F92,not(iserror(vlookup($F92,'Reference info'!$J$5:$J$8,1,0))),"Key Artist",not(iserror(vlookup($F92,'Reference info'!$J$38:$J$405,1,0))),"Performer",not(iserror(vlookup($F92,'Reference info'!$J$10:$J$36,1,0))),"Producer &amp; Engineer")</f>
        <v/>
      </c>
    </row>
    <row r="93">
      <c r="A93" s="28"/>
      <c r="B93" s="97"/>
      <c r="C93" s="121" t="str">
        <f t="array" ref="C93">ifs(and(isblank($A93),isblank($B93)),"", not(iserror(vlookup($A93&amp;$B93,'3) Release_Label'!$D:$D&amp;'3) Release_Label'!$E:$E,1,0))),vlookup($A93&amp;$B93,{'3) Release_Label'!$D:$D&amp;'3) Release_Label'!$E:$E,'3) Release_Label'!$F:$F},2,0),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
      </c>
      <c r="D93" s="121" t="str">
        <f t="array" ref="D93">ifs(and(isblank($A93),isblank($B93)),"", not(iserror(vlookup($A93&amp;$B93,'3) Release_Label'!$D:$D&amp;'3) Release_Label'!$E:$E,1,0))),vlookup($A93&amp;$B93,{'3) Release_Label'!$D:$D&amp;'3) Release_Label'!$E:$E,'3) Release_Label'!$H:$H},2,0),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
      </c>
      <c r="E93" s="92"/>
      <c r="F93" s="92"/>
      <c r="G93" s="125" t="str">
        <f t="array" ref="G93">ifs(or($F93="",$F93="Main Primary Artist"),$F93,not(iserror(vlookup($F93,'Reference info'!$J$5:$J$8,1,0))),"Key Artist",not(iserror(vlookup($F93,'Reference info'!$J$38:$J$405,1,0))),"Performer",not(iserror(vlookup($F93,'Reference info'!$J$10:$J$36,1,0))),"Producer &amp; Engineer")</f>
        <v/>
      </c>
    </row>
    <row r="94">
      <c r="A94" s="28"/>
      <c r="B94" s="97"/>
      <c r="C94" s="121" t="str">
        <f t="array" ref="C94">ifs(and(isblank($A94),isblank($B94)),"", not(iserror(vlookup($A94&amp;$B94,'3) Release_Label'!$D:$D&amp;'3) Release_Label'!$E:$E,1,0))),vlookup($A94&amp;$B94,{'3) Release_Label'!$D:$D&amp;'3) Release_Label'!$E:$E,'3) Release_Label'!$F:$F},2,0),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
      </c>
      <c r="D94" s="121" t="str">
        <f t="array" ref="D94">ifs(and(isblank($A94),isblank($B94)),"", not(iserror(vlookup($A94&amp;$B94,'3) Release_Label'!$D:$D&amp;'3) Release_Label'!$E:$E,1,0))),vlookup($A94&amp;$B94,{'3) Release_Label'!$D:$D&amp;'3) Release_Label'!$E:$E,'3) Release_Label'!$H:$H},2,0),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
      </c>
      <c r="E94" s="92"/>
      <c r="F94" s="92"/>
      <c r="G94" s="125" t="str">
        <f t="array" ref="G94">ifs(or($F94="",$F94="Main Primary Artist"),$F94,not(iserror(vlookup($F94,'Reference info'!$J$5:$J$8,1,0))),"Key Artist",not(iserror(vlookup($F94,'Reference info'!$J$38:$J$405,1,0))),"Performer",not(iserror(vlookup($F94,'Reference info'!$J$10:$J$36,1,0))),"Producer &amp; Engineer")</f>
        <v/>
      </c>
    </row>
    <row r="95">
      <c r="A95" s="28"/>
      <c r="B95" s="97"/>
      <c r="C95" s="121" t="str">
        <f t="array" ref="C95">ifs(and(isblank($A95),isblank($B95)),"", not(iserror(vlookup($A95&amp;$B95,'3) Release_Label'!$D:$D&amp;'3) Release_Label'!$E:$E,1,0))),vlookup($A95&amp;$B95,{'3) Release_Label'!$D:$D&amp;'3) Release_Label'!$E:$E,'3) Release_Label'!$F:$F},2,0),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
      </c>
      <c r="D95" s="121" t="str">
        <f t="array" ref="D95">ifs(and(isblank($A95),isblank($B95)),"", not(iserror(vlookup($A95&amp;$B95,'3) Release_Label'!$D:$D&amp;'3) Release_Label'!$E:$E,1,0))),vlookup($A95&amp;$B95,{'3) Release_Label'!$D:$D&amp;'3) Release_Label'!$E:$E,'3) Release_Label'!$H:$H},2,0),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
      </c>
      <c r="E95" s="92"/>
      <c r="F95" s="92"/>
      <c r="G95" s="125" t="str">
        <f t="array" ref="G95">ifs(or($F95="",$F95="Main Primary Artist"),$F95,not(iserror(vlookup($F95,'Reference info'!$J$5:$J$8,1,0))),"Key Artist",not(iserror(vlookup($F95,'Reference info'!$J$38:$J$405,1,0))),"Performer",not(iserror(vlookup($F95,'Reference info'!$J$10:$J$36,1,0))),"Producer &amp; Engineer")</f>
        <v/>
      </c>
    </row>
    <row r="96">
      <c r="A96" s="28"/>
      <c r="B96" s="97"/>
      <c r="C96" s="121" t="str">
        <f t="array" ref="C96">ifs(and(isblank($A96),isblank($B96)),"", not(iserror(vlookup($A96&amp;$B96,'3) Release_Label'!$D:$D&amp;'3) Release_Label'!$E:$E,1,0))),vlookup($A96&amp;$B96,{'3) Release_Label'!$D:$D&amp;'3) Release_Label'!$E:$E,'3) Release_Label'!$F:$F},2,0),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
      </c>
      <c r="D96" s="121" t="str">
        <f t="array" ref="D96">ifs(and(isblank($A96),isblank($B96)),"", not(iserror(vlookup($A96&amp;$B96,'3) Release_Label'!$D:$D&amp;'3) Release_Label'!$E:$E,1,0))),vlookup($A96&amp;$B96,{'3) Release_Label'!$D:$D&amp;'3) Release_Label'!$E:$E,'3) Release_Label'!$H:$H},2,0),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
      </c>
      <c r="E96" s="92"/>
      <c r="F96" s="92"/>
      <c r="G96" s="125" t="str">
        <f t="array" ref="G96">ifs(or($F96="",$F96="Main Primary Artist"),$F96,not(iserror(vlookup($F96,'Reference info'!$J$5:$J$8,1,0))),"Key Artist",not(iserror(vlookup($F96,'Reference info'!$J$38:$J$405,1,0))),"Performer",not(iserror(vlookup($F96,'Reference info'!$J$10:$J$36,1,0))),"Producer &amp; Engineer")</f>
        <v/>
      </c>
    </row>
    <row r="97">
      <c r="A97" s="28"/>
      <c r="B97" s="97"/>
      <c r="C97" s="121" t="str">
        <f t="array" ref="C97">ifs(and(isblank($A97),isblank($B97)),"", not(iserror(vlookup($A97&amp;$B97,'3) Release_Label'!$D:$D&amp;'3) Release_Label'!$E:$E,1,0))),vlookup($A97&amp;$B97,{'3) Release_Label'!$D:$D&amp;'3) Release_Label'!$E:$E,'3) Release_Label'!$F:$F},2,0),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
      </c>
      <c r="D97" s="121" t="str">
        <f t="array" ref="D97">ifs(and(isblank($A97),isblank($B97)),"", not(iserror(vlookup($A97&amp;$B97,'3) Release_Label'!$D:$D&amp;'3) Release_Label'!$E:$E,1,0))),vlookup($A97&amp;$B97,{'3) Release_Label'!$D:$D&amp;'3) Release_Label'!$E:$E,'3) Release_Label'!$H:$H},2,0),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
      </c>
      <c r="E97" s="92"/>
      <c r="F97" s="92"/>
      <c r="G97" s="125" t="str">
        <f t="array" ref="G97">ifs(or($F97="",$F97="Main Primary Artist"),$F97,not(iserror(vlookup($F97,'Reference info'!$J$5:$J$8,1,0))),"Key Artist",not(iserror(vlookup($F97,'Reference info'!$J$38:$J$405,1,0))),"Performer",not(iserror(vlookup($F97,'Reference info'!$J$10:$J$36,1,0))),"Producer &amp; Engineer")</f>
        <v/>
      </c>
    </row>
    <row r="98">
      <c r="A98" s="28"/>
      <c r="B98" s="97"/>
      <c r="C98" s="121" t="str">
        <f t="array" ref="C98">ifs(and(isblank($A98),isblank($B98)),"", not(iserror(vlookup($A98&amp;$B98,'3) Release_Label'!$D:$D&amp;'3) Release_Label'!$E:$E,1,0))),vlookup($A98&amp;$B98,{'3) Release_Label'!$D:$D&amp;'3) Release_Label'!$E:$E,'3) Release_Label'!$F:$F},2,0),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
      </c>
      <c r="D98" s="121" t="str">
        <f t="array" ref="D98">ifs(and(isblank($A98),isblank($B98)),"", not(iserror(vlookup($A98&amp;$B98,'3) Release_Label'!$D:$D&amp;'3) Release_Label'!$E:$E,1,0))),vlookup($A98&amp;$B98,{'3) Release_Label'!$D:$D&amp;'3) Release_Label'!$E:$E,'3) Release_Label'!$H:$H},2,0),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
      </c>
      <c r="E98" s="92"/>
      <c r="F98" s="92"/>
      <c r="G98" s="125" t="str">
        <f t="array" ref="G98">ifs(or($F98="",$F98="Main Primary Artist"),$F98,not(iserror(vlookup($F98,'Reference info'!$J$5:$J$8,1,0))),"Key Artist",not(iserror(vlookup($F98,'Reference info'!$J$38:$J$405,1,0))),"Performer",not(iserror(vlookup($F98,'Reference info'!$J$10:$J$36,1,0))),"Producer &amp; Engineer")</f>
        <v/>
      </c>
    </row>
    <row r="99">
      <c r="A99" s="28"/>
      <c r="B99" s="97"/>
      <c r="C99" s="121" t="str">
        <f t="array" ref="C99">ifs(and(isblank($A99),isblank($B99)),"", not(iserror(vlookup($A99&amp;$B99,'3) Release_Label'!$D:$D&amp;'3) Release_Label'!$E:$E,1,0))),vlookup($A99&amp;$B99,{'3) Release_Label'!$D:$D&amp;'3) Release_Label'!$E:$E,'3) Release_Label'!$F:$F},2,0),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
      </c>
      <c r="D99" s="121" t="str">
        <f t="array" ref="D99">ifs(and(isblank($A99),isblank($B99)),"", not(iserror(vlookup($A99&amp;$B99,'3) Release_Label'!$D:$D&amp;'3) Release_Label'!$E:$E,1,0))),vlookup($A99&amp;$B99,{'3) Release_Label'!$D:$D&amp;'3) Release_Label'!$E:$E,'3) Release_Label'!$H:$H},2,0),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
      </c>
      <c r="E99" s="92"/>
      <c r="F99" s="92"/>
      <c r="G99" s="125" t="str">
        <f t="array" ref="G99">ifs(or($F99="",$F99="Main Primary Artist"),$F99,not(iserror(vlookup($F99,'Reference info'!$J$5:$J$8,1,0))),"Key Artist",not(iserror(vlookup($F99,'Reference info'!$J$38:$J$405,1,0))),"Performer",not(iserror(vlookup($F99,'Reference info'!$J$10:$J$36,1,0))),"Producer &amp; Engineer")</f>
        <v/>
      </c>
    </row>
    <row r="100">
      <c r="A100" s="28"/>
      <c r="B100" s="97"/>
      <c r="C100" s="121" t="str">
        <f t="array" ref="C100">ifs(and(isblank($A100),isblank($B100)),"", not(iserror(vlookup($A100&amp;$B100,'3) Release_Label'!$D:$D&amp;'3) Release_Label'!$E:$E,1,0))),vlookup($A100&amp;$B100,{'3) Release_Label'!$D:$D&amp;'3) Release_Label'!$E:$E,'3) Release_Label'!$F:$F},2,0),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
      </c>
      <c r="D100" s="121" t="str">
        <f t="array" ref="D100">ifs(and(isblank($A100),isblank($B100)),"", not(iserror(vlookup($A100&amp;$B100,'3) Release_Label'!$D:$D&amp;'3) Release_Label'!$E:$E,1,0))),vlookup($A100&amp;$B100,{'3) Release_Label'!$D:$D&amp;'3) Release_Label'!$E:$E,'3) Release_Label'!$H:$H},2,0),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
      </c>
      <c r="E100" s="92"/>
      <c r="F100" s="92"/>
      <c r="G100" s="125" t="str">
        <f t="array" ref="G100">ifs(or($F100="",$F100="Main Primary Artist"),$F100,not(iserror(vlookup($F100,'Reference info'!$J$5:$J$8,1,0))),"Key Artist",not(iserror(vlookup($F100,'Reference info'!$J$38:$J$405,1,0))),"Performer",not(iserror(vlookup($F100,'Reference info'!$J$10:$J$36,1,0))),"Producer &amp; Engineer")</f>
        <v/>
      </c>
    </row>
    <row r="101">
      <c r="A101" s="28"/>
      <c r="B101" s="97"/>
      <c r="C101" s="121" t="str">
        <f t="array" ref="C101">ifs(and(isblank($A101),isblank($B101)),"", not(iserror(vlookup($A101&amp;$B101,'3) Release_Label'!$D:$D&amp;'3) Release_Label'!$E:$E,1,0))),vlookup($A101&amp;$B101,{'3) Release_Label'!$D:$D&amp;'3) Release_Label'!$E:$E,'3) Release_Label'!$F:$F},2,0),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
      </c>
      <c r="D101" s="121" t="str">
        <f t="array" ref="D101">ifs(and(isblank($A101),isblank($B101)),"", not(iserror(vlookup($A101&amp;$B101,'3) Release_Label'!$D:$D&amp;'3) Release_Label'!$E:$E,1,0))),vlookup($A101&amp;$B101,{'3) Release_Label'!$D:$D&amp;'3) Release_Label'!$E:$E,'3) Release_Label'!$H:$H},2,0),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
      </c>
      <c r="E101" s="92"/>
      <c r="F101" s="92"/>
      <c r="G101" s="125" t="str">
        <f t="array" ref="G101">ifs(or($F101="",$F101="Main Primary Artist"),$F101,not(iserror(vlookup($F101,'Reference info'!$J$5:$J$8,1,0))),"Key Artist",not(iserror(vlookup($F101,'Reference info'!$J$38:$J$405,1,0))),"Performer",not(iserror(vlookup($F101,'Reference info'!$J$10:$J$36,1,0))),"Producer &amp; Engineer")</f>
        <v/>
      </c>
    </row>
    <row r="102">
      <c r="A102" s="28"/>
      <c r="B102" s="97"/>
      <c r="C102" s="121" t="str">
        <f t="array" ref="C102">ifs(and(isblank($A102),isblank($B102)),"", not(iserror(vlookup($A102&amp;$B102,'3) Release_Label'!$D:$D&amp;'3) Release_Label'!$E:$E,1,0))),vlookup($A102&amp;$B102,{'3) Release_Label'!$D:$D&amp;'3) Release_Label'!$E:$E,'3) Release_Label'!$F:$F},2,0),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
      </c>
      <c r="D102" s="121" t="str">
        <f t="array" ref="D102">ifs(and(isblank($A102),isblank($B102)),"", not(iserror(vlookup($A102&amp;$B102,'3) Release_Label'!$D:$D&amp;'3) Release_Label'!$E:$E,1,0))),vlookup($A102&amp;$B102,{'3) Release_Label'!$D:$D&amp;'3) Release_Label'!$E:$E,'3) Release_Label'!$H:$H},2,0),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
      </c>
      <c r="E102" s="92"/>
      <c r="F102" s="92"/>
      <c r="G102" s="125" t="str">
        <f t="array" ref="G102">ifs(or($F102="",$F102="Main Primary Artist"),$F102,not(iserror(vlookup($F102,'Reference info'!$J$5:$J$8,1,0))),"Key Artist",not(iserror(vlookup($F102,'Reference info'!$J$38:$J$405,1,0))),"Performer",not(iserror(vlookup($F102,'Reference info'!$J$10:$J$36,1,0))),"Producer &amp; Engineer")</f>
        <v/>
      </c>
    </row>
    <row r="103">
      <c r="A103" s="28"/>
      <c r="B103" s="97"/>
      <c r="C103" s="121" t="str">
        <f t="array" ref="C103">ifs(and(isblank($A103),isblank($B103)),"", not(iserror(vlookup($A103&amp;$B103,'3) Release_Label'!$D:$D&amp;'3) Release_Label'!$E:$E,1,0))),vlookup($A103&amp;$B103,{'3) Release_Label'!$D:$D&amp;'3) Release_Label'!$E:$E,'3) Release_Label'!$F:$F},2,0),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
      </c>
      <c r="D103" s="121" t="str">
        <f t="array" ref="D103">ifs(and(isblank($A103),isblank($B103)),"", not(iserror(vlookup($A103&amp;$B103,'3) Release_Label'!$D:$D&amp;'3) Release_Label'!$E:$E,1,0))),vlookup($A103&amp;$B103,{'3) Release_Label'!$D:$D&amp;'3) Release_Label'!$E:$E,'3) Release_Label'!$H:$H},2,0),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
      </c>
      <c r="E103" s="92"/>
      <c r="F103" s="92"/>
      <c r="G103" s="125" t="str">
        <f t="array" ref="G103">ifs(or($F103="",$F103="Main Primary Artist"),$F103,not(iserror(vlookup($F103,'Reference info'!$J$5:$J$8,1,0))),"Key Artist",not(iserror(vlookup($F103,'Reference info'!$J$38:$J$405,1,0))),"Performer",not(iserror(vlookup($F103,'Reference info'!$J$10:$J$36,1,0))),"Producer &amp; Engineer")</f>
        <v/>
      </c>
    </row>
    <row r="104">
      <c r="A104" s="28"/>
      <c r="B104" s="97"/>
      <c r="C104" s="121" t="str">
        <f t="array" ref="C104">ifs(and(isblank($A104),isblank($B104)),"", not(iserror(vlookup($A104&amp;$B104,'3) Release_Label'!$D:$D&amp;'3) Release_Label'!$E:$E,1,0))),vlookup($A104&amp;$B104,{'3) Release_Label'!$D:$D&amp;'3) Release_Label'!$E:$E,'3) Release_Label'!$F:$F},2,0),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
      </c>
      <c r="D104" s="121" t="str">
        <f t="array" ref="D104">ifs(and(isblank($A104),isblank($B104)),"", not(iserror(vlookup($A104&amp;$B104,'3) Release_Label'!$D:$D&amp;'3) Release_Label'!$E:$E,1,0))),vlookup($A104&amp;$B104,{'3) Release_Label'!$D:$D&amp;'3) Release_Label'!$E:$E,'3) Release_Label'!$H:$H},2,0),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
      </c>
      <c r="E104" s="92"/>
      <c r="F104" s="92"/>
      <c r="G104" s="125" t="str">
        <f t="array" ref="G104">ifs(or($F104="",$F104="Main Primary Artist"),$F104,not(iserror(vlookup($F104,'Reference info'!$J$5:$J$8,1,0))),"Key Artist",not(iserror(vlookup($F104,'Reference info'!$J$38:$J$405,1,0))),"Performer",not(iserror(vlookup($F104,'Reference info'!$J$10:$J$36,1,0))),"Producer &amp; Engineer")</f>
        <v/>
      </c>
    </row>
    <row r="105">
      <c r="A105" s="28"/>
      <c r="B105" s="97"/>
      <c r="C105" s="121" t="str">
        <f t="array" ref="C105">ifs(and(isblank($A105),isblank($B105)),"", not(iserror(vlookup($A105&amp;$B105,'3) Release_Label'!$D:$D&amp;'3) Release_Label'!$E:$E,1,0))),vlookup($A105&amp;$B105,{'3) Release_Label'!$D:$D&amp;'3) Release_Label'!$E:$E,'3) Release_Label'!$F:$F},2,0),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
      </c>
      <c r="D105" s="121" t="str">
        <f t="array" ref="D105">ifs(and(isblank($A105),isblank($B105)),"", not(iserror(vlookup($A105&amp;$B105,'3) Release_Label'!$D:$D&amp;'3) Release_Label'!$E:$E,1,0))),vlookup($A105&amp;$B105,{'3) Release_Label'!$D:$D&amp;'3) Release_Label'!$E:$E,'3) Release_Label'!$H:$H},2,0),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
      </c>
      <c r="E105" s="92"/>
      <c r="F105" s="92"/>
      <c r="G105" s="125" t="str">
        <f t="array" ref="G105">ifs(or($F105="",$F105="Main Primary Artist"),$F105,not(iserror(vlookup($F105,'Reference info'!$J$5:$J$8,1,0))),"Key Artist",not(iserror(vlookup($F105,'Reference info'!$J$38:$J$405,1,0))),"Performer",not(iserror(vlookup($F105,'Reference info'!$J$10:$J$36,1,0))),"Producer &amp; Engineer")</f>
        <v/>
      </c>
    </row>
    <row r="106">
      <c r="A106" s="28"/>
      <c r="B106" s="97"/>
      <c r="C106" s="121" t="str">
        <f t="array" ref="C106">ifs(and(isblank($A106),isblank($B106)),"", not(iserror(vlookup($A106&amp;$B106,'3) Release_Label'!$D:$D&amp;'3) Release_Label'!$E:$E,1,0))),vlookup($A106&amp;$B106,{'3) Release_Label'!$D:$D&amp;'3) Release_Label'!$E:$E,'3) Release_Label'!$F:$F},2,0),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
      </c>
      <c r="D106" s="121" t="str">
        <f t="array" ref="D106">ifs(and(isblank($A106),isblank($B106)),"", not(iserror(vlookup($A106&amp;$B106,'3) Release_Label'!$D:$D&amp;'3) Release_Label'!$E:$E,1,0))),vlookup($A106&amp;$B106,{'3) Release_Label'!$D:$D&amp;'3) Release_Label'!$E:$E,'3) Release_Label'!$H:$H},2,0),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
      </c>
      <c r="E106" s="92"/>
      <c r="F106" s="92"/>
      <c r="G106" s="125" t="str">
        <f t="array" ref="G106">ifs(or($F106="",$F106="Main Primary Artist"),$F106,not(iserror(vlookup($F106,'Reference info'!$J$5:$J$8,1,0))),"Key Artist",not(iserror(vlookup($F106,'Reference info'!$J$38:$J$405,1,0))),"Performer",not(iserror(vlookup($F106,'Reference info'!$J$10:$J$36,1,0))),"Producer &amp; Engineer")</f>
        <v/>
      </c>
    </row>
    <row r="107">
      <c r="A107" s="28"/>
      <c r="B107" s="97"/>
      <c r="C107" s="121" t="str">
        <f t="array" ref="C107">ifs(and(isblank($A107),isblank($B107)),"", not(iserror(vlookup($A107&amp;$B107,'3) Release_Label'!$D:$D&amp;'3) Release_Label'!$E:$E,1,0))),vlookup($A107&amp;$B107,{'3) Release_Label'!$D:$D&amp;'3) Release_Label'!$E:$E,'3) Release_Label'!$F:$F},2,0),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
      </c>
      <c r="D107" s="121" t="str">
        <f t="array" ref="D107">ifs(and(isblank($A107),isblank($B107)),"", not(iserror(vlookup($A107&amp;$B107,'3) Release_Label'!$D:$D&amp;'3) Release_Label'!$E:$E,1,0))),vlookup($A107&amp;$B107,{'3) Release_Label'!$D:$D&amp;'3) Release_Label'!$E:$E,'3) Release_Label'!$H:$H},2,0),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
      </c>
      <c r="E107" s="92"/>
      <c r="F107" s="92"/>
      <c r="G107" s="125" t="str">
        <f t="array" ref="G107">ifs(or($F107="",$F107="Main Primary Artist"),$F107,not(iserror(vlookup($F107,'Reference info'!$J$5:$J$8,1,0))),"Key Artist",not(iserror(vlookup($F107,'Reference info'!$J$38:$J$405,1,0))),"Performer",not(iserror(vlookup($F107,'Reference info'!$J$10:$J$36,1,0))),"Producer &amp; Engineer")</f>
        <v/>
      </c>
    </row>
    <row r="108">
      <c r="A108" s="28"/>
      <c r="B108" s="97"/>
      <c r="C108" s="121" t="str">
        <f t="array" ref="C108">ifs(and(isblank($A108),isblank($B108)),"", not(iserror(vlookup($A108&amp;$B108,'3) Release_Label'!$D:$D&amp;'3) Release_Label'!$E:$E,1,0))),vlookup($A108&amp;$B108,{'3) Release_Label'!$D:$D&amp;'3) Release_Label'!$E:$E,'3) Release_Label'!$F:$F},2,0),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
      </c>
      <c r="D108" s="121" t="str">
        <f t="array" ref="D108">ifs(and(isblank($A108),isblank($B108)),"", not(iserror(vlookup($A108&amp;$B108,'3) Release_Label'!$D:$D&amp;'3) Release_Label'!$E:$E,1,0))),vlookup($A108&amp;$B108,{'3) Release_Label'!$D:$D&amp;'3) Release_Label'!$E:$E,'3) Release_Label'!$H:$H},2,0),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
      </c>
      <c r="E108" s="92"/>
      <c r="F108" s="92"/>
      <c r="G108" s="125" t="str">
        <f t="array" ref="G108">ifs(or($F108="",$F108="Main Primary Artist"),$F108,not(iserror(vlookup($F108,'Reference info'!$J$5:$J$8,1,0))),"Key Artist",not(iserror(vlookup($F108,'Reference info'!$J$38:$J$405,1,0))),"Performer",not(iserror(vlookup($F108,'Reference info'!$J$10:$J$36,1,0))),"Producer &amp; Engineer")</f>
        <v/>
      </c>
    </row>
    <row r="109">
      <c r="A109" s="28"/>
      <c r="B109" s="97"/>
      <c r="C109" s="121" t="str">
        <f t="array" ref="C109">ifs(and(isblank($A109),isblank($B109)),"", not(iserror(vlookup($A109&amp;$B109,'3) Release_Label'!$D:$D&amp;'3) Release_Label'!$E:$E,1,0))),vlookup($A109&amp;$B109,{'3) Release_Label'!$D:$D&amp;'3) Release_Label'!$E:$E,'3) Release_Label'!$F:$F},2,0),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
      </c>
      <c r="D109" s="121" t="str">
        <f t="array" ref="D109">ifs(and(isblank($A109),isblank($B109)),"", not(iserror(vlookup($A109&amp;$B109,'3) Release_Label'!$D:$D&amp;'3) Release_Label'!$E:$E,1,0))),vlookup($A109&amp;$B109,{'3) Release_Label'!$D:$D&amp;'3) Release_Label'!$E:$E,'3) Release_Label'!$H:$H},2,0),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
      </c>
      <c r="E109" s="92"/>
      <c r="F109" s="92"/>
      <c r="G109" s="125" t="str">
        <f t="array" ref="G109">ifs(or($F109="",$F109="Main Primary Artist"),$F109,not(iserror(vlookup($F109,'Reference info'!$J$5:$J$8,1,0))),"Key Artist",not(iserror(vlookup($F109,'Reference info'!$J$38:$J$405,1,0))),"Performer",not(iserror(vlookup($F109,'Reference info'!$J$10:$J$36,1,0))),"Producer &amp; Engineer")</f>
        <v/>
      </c>
    </row>
    <row r="110">
      <c r="A110" s="28"/>
      <c r="B110" s="97"/>
      <c r="C110" s="121" t="str">
        <f t="array" ref="C110">ifs(and(isblank($A110),isblank($B110)),"", not(iserror(vlookup($A110&amp;$B110,'3) Release_Label'!$D:$D&amp;'3) Release_Label'!$E:$E,1,0))),vlookup($A110&amp;$B110,{'3) Release_Label'!$D:$D&amp;'3) Release_Label'!$E:$E,'3) Release_Label'!$F:$F},2,0),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
      </c>
      <c r="D110" s="121" t="str">
        <f t="array" ref="D110">ifs(and(isblank($A110),isblank($B110)),"", not(iserror(vlookup($A110&amp;$B110,'3) Release_Label'!$D:$D&amp;'3) Release_Label'!$E:$E,1,0))),vlookup($A110&amp;$B110,{'3) Release_Label'!$D:$D&amp;'3) Release_Label'!$E:$E,'3) Release_Label'!$H:$H},2,0),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
      </c>
      <c r="E110" s="92"/>
      <c r="F110" s="92"/>
      <c r="G110" s="125" t="str">
        <f t="array" ref="G110">ifs(or($F110="",$F110="Main Primary Artist"),$F110,not(iserror(vlookup($F110,'Reference info'!$J$5:$J$8,1,0))),"Key Artist",not(iserror(vlookup($F110,'Reference info'!$J$38:$J$405,1,0))),"Performer",not(iserror(vlookup($F110,'Reference info'!$J$10:$J$36,1,0))),"Producer &amp; Engineer")</f>
        <v/>
      </c>
    </row>
    <row r="111">
      <c r="A111" s="28"/>
      <c r="B111" s="97"/>
      <c r="C111" s="121" t="str">
        <f t="array" ref="C111">ifs(and(isblank($A111),isblank($B111)),"", not(iserror(vlookup($A111&amp;$B111,'3) Release_Label'!$D:$D&amp;'3) Release_Label'!$E:$E,1,0))),vlookup($A111&amp;$B111,{'3) Release_Label'!$D:$D&amp;'3) Release_Label'!$E:$E,'3) Release_Label'!$F:$F},2,0),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
      </c>
      <c r="D111" s="121" t="str">
        <f t="array" ref="D111">ifs(and(isblank($A111),isblank($B111)),"", not(iserror(vlookup($A111&amp;$B111,'3) Release_Label'!$D:$D&amp;'3) Release_Label'!$E:$E,1,0))),vlookup($A111&amp;$B111,{'3) Release_Label'!$D:$D&amp;'3) Release_Label'!$E:$E,'3) Release_Label'!$H:$H},2,0),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
      </c>
      <c r="E111" s="92"/>
      <c r="F111" s="92"/>
      <c r="G111" s="125" t="str">
        <f t="array" ref="G111">ifs(or($F111="",$F111="Main Primary Artist"),$F111,not(iserror(vlookup($F111,'Reference info'!$J$5:$J$8,1,0))),"Key Artist",not(iserror(vlookup($F111,'Reference info'!$J$38:$J$405,1,0))),"Performer",not(iserror(vlookup($F111,'Reference info'!$J$10:$J$36,1,0))),"Producer &amp; Engineer")</f>
        <v/>
      </c>
    </row>
    <row r="112">
      <c r="A112" s="28"/>
      <c r="B112" s="97"/>
      <c r="C112" s="121" t="str">
        <f t="array" ref="C112">ifs(and(isblank($A112),isblank($B112)),"", not(iserror(vlookup($A112&amp;$B112,'3) Release_Label'!$D:$D&amp;'3) Release_Label'!$E:$E,1,0))),vlookup($A112&amp;$B112,{'3) Release_Label'!$D:$D&amp;'3) Release_Label'!$E:$E,'3) Release_Label'!$F:$F},2,0),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
      </c>
      <c r="D112" s="121" t="str">
        <f t="array" ref="D112">ifs(and(isblank($A112),isblank($B112)),"", not(iserror(vlookup($A112&amp;$B112,'3) Release_Label'!$D:$D&amp;'3) Release_Label'!$E:$E,1,0))),vlookup($A112&amp;$B112,{'3) Release_Label'!$D:$D&amp;'3) Release_Label'!$E:$E,'3) Release_Label'!$H:$H},2,0),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
      </c>
      <c r="E112" s="92"/>
      <c r="F112" s="92"/>
      <c r="G112" s="125" t="str">
        <f t="array" ref="G112">ifs(or($F112="",$F112="Main Primary Artist"),$F112,not(iserror(vlookup($F112,'Reference info'!$J$5:$J$8,1,0))),"Key Artist",not(iserror(vlookup($F112,'Reference info'!$J$38:$J$405,1,0))),"Performer",not(iserror(vlookup($F112,'Reference info'!$J$10:$J$36,1,0))),"Producer &amp; Engineer")</f>
        <v/>
      </c>
    </row>
    <row r="113">
      <c r="A113" s="28"/>
      <c r="B113" s="97"/>
      <c r="C113" s="121" t="str">
        <f t="array" ref="C113">ifs(and(isblank($A113),isblank($B113)),"", not(iserror(vlookup($A113&amp;$B113,'3) Release_Label'!$D:$D&amp;'3) Release_Label'!$E:$E,1,0))),vlookup($A113&amp;$B113,{'3) Release_Label'!$D:$D&amp;'3) Release_Label'!$E:$E,'3) Release_Label'!$F:$F},2,0),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
      </c>
      <c r="D113" s="121" t="str">
        <f t="array" ref="D113">ifs(and(isblank($A113),isblank($B113)),"", not(iserror(vlookup($A113&amp;$B113,'3) Release_Label'!$D:$D&amp;'3) Release_Label'!$E:$E,1,0))),vlookup($A113&amp;$B113,{'3) Release_Label'!$D:$D&amp;'3) Release_Label'!$E:$E,'3) Release_Label'!$H:$H},2,0),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
      </c>
      <c r="E113" s="92"/>
      <c r="F113" s="92"/>
      <c r="G113" s="125" t="str">
        <f t="array" ref="G113">ifs(or($F113="",$F113="Main Primary Artist"),$F113,not(iserror(vlookup($F113,'Reference info'!$J$5:$J$8,1,0))),"Key Artist",not(iserror(vlookup($F113,'Reference info'!$J$38:$J$405,1,0))),"Performer",not(iserror(vlookup($F113,'Reference info'!$J$10:$J$36,1,0))),"Producer &amp; Engineer")</f>
        <v/>
      </c>
    </row>
    <row r="114">
      <c r="A114" s="28"/>
      <c r="B114" s="97"/>
      <c r="C114" s="121" t="str">
        <f t="array" ref="C114">ifs(and(isblank($A114),isblank($B114)),"", not(iserror(vlookup($A114&amp;$B114,'3) Release_Label'!$D:$D&amp;'3) Release_Label'!$E:$E,1,0))),vlookup($A114&amp;$B114,{'3) Release_Label'!$D:$D&amp;'3) Release_Label'!$E:$E,'3) Release_Label'!$F:$F},2,0),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
      </c>
      <c r="D114" s="121" t="str">
        <f t="array" ref="D114">ifs(and(isblank($A114),isblank($B114)),"", not(iserror(vlookup($A114&amp;$B114,'3) Release_Label'!$D:$D&amp;'3) Release_Label'!$E:$E,1,0))),vlookup($A114&amp;$B114,{'3) Release_Label'!$D:$D&amp;'3) Release_Label'!$E:$E,'3) Release_Label'!$H:$H},2,0),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
      </c>
      <c r="E114" s="92"/>
      <c r="F114" s="92"/>
      <c r="G114" s="125" t="str">
        <f t="array" ref="G114">ifs(or($F114="",$F114="Main Primary Artist"),$F114,not(iserror(vlookup($F114,'Reference info'!$J$5:$J$8,1,0))),"Key Artist",not(iserror(vlookup($F114,'Reference info'!$J$38:$J$405,1,0))),"Performer",not(iserror(vlookup($F114,'Reference info'!$J$10:$J$36,1,0))),"Producer &amp; Engineer")</f>
        <v/>
      </c>
    </row>
    <row r="115">
      <c r="A115" s="28"/>
      <c r="B115" s="97"/>
      <c r="C115" s="121" t="str">
        <f t="array" ref="C115">ifs(and(isblank($A115),isblank($B115)),"", not(iserror(vlookup($A115&amp;$B115,'3) Release_Label'!$D:$D&amp;'3) Release_Label'!$E:$E,1,0))),vlookup($A115&amp;$B115,{'3) Release_Label'!$D:$D&amp;'3) Release_Label'!$E:$E,'3) Release_Label'!$F:$F},2,0),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
      </c>
      <c r="D115" s="121" t="str">
        <f t="array" ref="D115">ifs(and(isblank($A115),isblank($B115)),"", not(iserror(vlookup($A115&amp;$B115,'3) Release_Label'!$D:$D&amp;'3) Release_Label'!$E:$E,1,0))),vlookup($A115&amp;$B115,{'3) Release_Label'!$D:$D&amp;'3) Release_Label'!$E:$E,'3) Release_Label'!$H:$H},2,0),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
      </c>
      <c r="E115" s="92"/>
      <c r="F115" s="92"/>
      <c r="G115" s="125" t="str">
        <f t="array" ref="G115">ifs(or($F115="",$F115="Main Primary Artist"),$F115,not(iserror(vlookup($F115,'Reference info'!$J$5:$J$8,1,0))),"Key Artist",not(iserror(vlookup($F115,'Reference info'!$J$38:$J$405,1,0))),"Performer",not(iserror(vlookup($F115,'Reference info'!$J$10:$J$36,1,0))),"Producer &amp; Engineer")</f>
        <v/>
      </c>
    </row>
    <row r="116">
      <c r="A116" s="28"/>
      <c r="B116" s="97"/>
      <c r="C116" s="121" t="str">
        <f t="array" ref="C116">ifs(and(isblank($A116),isblank($B116)),"", not(iserror(vlookup($A116&amp;$B116,'3) Release_Label'!$D:$D&amp;'3) Release_Label'!$E:$E,1,0))),vlookup($A116&amp;$B116,{'3) Release_Label'!$D:$D&amp;'3) Release_Label'!$E:$E,'3) Release_Label'!$F:$F},2,0),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
      </c>
      <c r="D116" s="121" t="str">
        <f t="array" ref="D116">ifs(and(isblank($A116),isblank($B116)),"", not(iserror(vlookup($A116&amp;$B116,'3) Release_Label'!$D:$D&amp;'3) Release_Label'!$E:$E,1,0))),vlookup($A116&amp;$B116,{'3) Release_Label'!$D:$D&amp;'3) Release_Label'!$E:$E,'3) Release_Label'!$H:$H},2,0),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
      </c>
      <c r="E116" s="92"/>
      <c r="F116" s="92"/>
      <c r="G116" s="125" t="str">
        <f t="array" ref="G116">ifs(or($F116="",$F116="Main Primary Artist"),$F116,not(iserror(vlookup($F116,'Reference info'!$J$5:$J$8,1,0))),"Key Artist",not(iserror(vlookup($F116,'Reference info'!$J$38:$J$405,1,0))),"Performer",not(iserror(vlookup($F116,'Reference info'!$J$10:$J$36,1,0))),"Producer &amp; Engineer")</f>
        <v/>
      </c>
    </row>
    <row r="117">
      <c r="A117" s="28"/>
      <c r="B117" s="97"/>
      <c r="C117" s="121" t="str">
        <f t="array" ref="C117">ifs(and(isblank($A117),isblank($B117)),"", not(iserror(vlookup($A117&amp;$B117,'3) Release_Label'!$D:$D&amp;'3) Release_Label'!$E:$E,1,0))),vlookup($A117&amp;$B117,{'3) Release_Label'!$D:$D&amp;'3) Release_Label'!$E:$E,'3) Release_Label'!$F:$F},2,0),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
      </c>
      <c r="D117" s="121" t="str">
        <f t="array" ref="D117">ifs(and(isblank($A117),isblank($B117)),"", not(iserror(vlookup($A117&amp;$B117,'3) Release_Label'!$D:$D&amp;'3) Release_Label'!$E:$E,1,0))),vlookup($A117&amp;$B117,{'3) Release_Label'!$D:$D&amp;'3) Release_Label'!$E:$E,'3) Release_Label'!$H:$H},2,0),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
      </c>
      <c r="E117" s="92"/>
      <c r="F117" s="92"/>
      <c r="G117" s="125" t="str">
        <f t="array" ref="G117">ifs(or($F117="",$F117="Main Primary Artist"),$F117,not(iserror(vlookup($F117,'Reference info'!$J$5:$J$8,1,0))),"Key Artist",not(iserror(vlookup($F117,'Reference info'!$J$38:$J$405,1,0))),"Performer",not(iserror(vlookup($F117,'Reference info'!$J$10:$J$36,1,0))),"Producer &amp; Engineer")</f>
        <v/>
      </c>
    </row>
    <row r="118">
      <c r="A118" s="28"/>
      <c r="B118" s="97"/>
      <c r="C118" s="121" t="str">
        <f t="array" ref="C118">ifs(and(isblank($A118),isblank($B118)),"", not(iserror(vlookup($A118&amp;$B118,'3) Release_Label'!$D:$D&amp;'3) Release_Label'!$E:$E,1,0))),vlookup($A118&amp;$B118,{'3) Release_Label'!$D:$D&amp;'3) Release_Label'!$E:$E,'3) Release_Label'!$F:$F},2,0),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
      </c>
      <c r="D118" s="121" t="str">
        <f t="array" ref="D118">ifs(and(isblank($A118),isblank($B118)),"", not(iserror(vlookup($A118&amp;$B118,'3) Release_Label'!$D:$D&amp;'3) Release_Label'!$E:$E,1,0))),vlookup($A118&amp;$B118,{'3) Release_Label'!$D:$D&amp;'3) Release_Label'!$E:$E,'3) Release_Label'!$H:$H},2,0),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
      </c>
      <c r="E118" s="92"/>
      <c r="F118" s="92"/>
      <c r="G118" s="125" t="str">
        <f t="array" ref="G118">ifs(or($F118="",$F118="Main Primary Artist"),$F118,not(iserror(vlookup($F118,'Reference info'!$J$5:$J$8,1,0))),"Key Artist",not(iserror(vlookup($F118,'Reference info'!$J$38:$J$405,1,0))),"Performer",not(iserror(vlookup($F118,'Reference info'!$J$10:$J$36,1,0))),"Producer &amp; Engineer")</f>
        <v/>
      </c>
    </row>
    <row r="119">
      <c r="A119" s="28"/>
      <c r="B119" s="97"/>
      <c r="C119" s="121" t="str">
        <f t="array" ref="C119">ifs(and(isblank($A119),isblank($B119)),"", not(iserror(vlookup($A119&amp;$B119,'3) Release_Label'!$D:$D&amp;'3) Release_Label'!$E:$E,1,0))),vlookup($A119&amp;$B119,{'3) Release_Label'!$D:$D&amp;'3) Release_Label'!$E:$E,'3) Release_Label'!$F:$F},2,0),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
      </c>
      <c r="D119" s="121" t="str">
        <f t="array" ref="D119">ifs(and(isblank($A119),isblank($B119)),"", not(iserror(vlookup($A119&amp;$B119,'3) Release_Label'!$D:$D&amp;'3) Release_Label'!$E:$E,1,0))),vlookup($A119&amp;$B119,{'3) Release_Label'!$D:$D&amp;'3) Release_Label'!$E:$E,'3) Release_Label'!$H:$H},2,0),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
      </c>
      <c r="E119" s="92"/>
      <c r="F119" s="92"/>
      <c r="G119" s="125" t="str">
        <f t="array" ref="G119">ifs(or($F119="",$F119="Main Primary Artist"),$F119,not(iserror(vlookup($F119,'Reference info'!$J$5:$J$8,1,0))),"Key Artist",not(iserror(vlookup($F119,'Reference info'!$J$38:$J$405,1,0))),"Performer",not(iserror(vlookup($F119,'Reference info'!$J$10:$J$36,1,0))),"Producer &amp; Engineer")</f>
        <v/>
      </c>
    </row>
    <row r="120">
      <c r="A120" s="28"/>
      <c r="B120" s="97"/>
      <c r="C120" s="121" t="str">
        <f t="array" ref="C120">ifs(and(isblank($A120),isblank($B120)),"", not(iserror(vlookup($A120&amp;$B120,'3) Release_Label'!$D:$D&amp;'3) Release_Label'!$E:$E,1,0))),vlookup($A120&amp;$B120,{'3) Release_Label'!$D:$D&amp;'3) Release_Label'!$E:$E,'3) Release_Label'!$F:$F},2,0),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
      </c>
      <c r="D120" s="121" t="str">
        <f t="array" ref="D120">ifs(and(isblank($A120),isblank($B120)),"", not(iserror(vlookup($A120&amp;$B120,'3) Release_Label'!$D:$D&amp;'3) Release_Label'!$E:$E,1,0))),vlookup($A120&amp;$B120,{'3) Release_Label'!$D:$D&amp;'3) Release_Label'!$E:$E,'3) Release_Label'!$H:$H},2,0),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
      </c>
      <c r="E120" s="92"/>
      <c r="F120" s="92"/>
      <c r="G120" s="125" t="str">
        <f t="array" ref="G120">ifs(or($F120="",$F120="Main Primary Artist"),$F120,not(iserror(vlookup($F120,'Reference info'!$J$5:$J$8,1,0))),"Key Artist",not(iserror(vlookup($F120,'Reference info'!$J$38:$J$405,1,0))),"Performer",not(iserror(vlookup($F120,'Reference info'!$J$10:$J$36,1,0))),"Producer &amp; Engineer")</f>
        <v/>
      </c>
    </row>
    <row r="121">
      <c r="A121" s="28"/>
      <c r="B121" s="97"/>
      <c r="C121" s="121" t="str">
        <f t="array" ref="C121">ifs(and(isblank($A121),isblank($B121)),"", not(iserror(vlookup($A121&amp;$B121,'3) Release_Label'!$D:$D&amp;'3) Release_Label'!$E:$E,1,0))),vlookup($A121&amp;$B121,{'3) Release_Label'!$D:$D&amp;'3) Release_Label'!$E:$E,'3) Release_Label'!$F:$F},2,0),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
      </c>
      <c r="D121" s="121" t="str">
        <f t="array" ref="D121">ifs(and(isblank($A121),isblank($B121)),"", not(iserror(vlookup($A121&amp;$B121,'3) Release_Label'!$D:$D&amp;'3) Release_Label'!$E:$E,1,0))),vlookup($A121&amp;$B121,{'3) Release_Label'!$D:$D&amp;'3) Release_Label'!$E:$E,'3) Release_Label'!$H:$H},2,0),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
      </c>
      <c r="E121" s="92"/>
      <c r="F121" s="92"/>
      <c r="G121" s="125" t="str">
        <f t="array" ref="G121">ifs(or($F121="",$F121="Main Primary Artist"),$F121,not(iserror(vlookup($F121,'Reference info'!$J$5:$J$8,1,0))),"Key Artist",not(iserror(vlookup($F121,'Reference info'!$J$38:$J$405,1,0))),"Performer",not(iserror(vlookup($F121,'Reference info'!$J$10:$J$36,1,0))),"Producer &amp; Engineer")</f>
        <v/>
      </c>
    </row>
    <row r="122">
      <c r="A122" s="28"/>
      <c r="B122" s="97"/>
      <c r="C122" s="121" t="str">
        <f t="array" ref="C122">ifs(and(isblank($A122),isblank($B122)),"", not(iserror(vlookup($A122&amp;$B122,'3) Release_Label'!$D:$D&amp;'3) Release_Label'!$E:$E,1,0))),vlookup($A122&amp;$B122,{'3) Release_Label'!$D:$D&amp;'3) Release_Label'!$E:$E,'3) Release_Label'!$F:$F},2,0),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
      </c>
      <c r="D122" s="121" t="str">
        <f t="array" ref="D122">ifs(and(isblank($A122),isblank($B122)),"", not(iserror(vlookup($A122&amp;$B122,'3) Release_Label'!$D:$D&amp;'3) Release_Label'!$E:$E,1,0))),vlookup($A122&amp;$B122,{'3) Release_Label'!$D:$D&amp;'3) Release_Label'!$E:$E,'3) Release_Label'!$H:$H},2,0),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
      </c>
      <c r="E122" s="92"/>
      <c r="F122" s="92"/>
      <c r="G122" s="125" t="str">
        <f t="array" ref="G122">ifs(or($F122="",$F122="Main Primary Artist"),$F122,not(iserror(vlookup($F122,'Reference info'!$J$5:$J$8,1,0))),"Key Artist",not(iserror(vlookup($F122,'Reference info'!$J$38:$J$405,1,0))),"Performer",not(iserror(vlookup($F122,'Reference info'!$J$10:$J$36,1,0))),"Producer &amp; Engineer")</f>
        <v/>
      </c>
    </row>
    <row r="123">
      <c r="A123" s="28"/>
      <c r="B123" s="97"/>
      <c r="C123" s="121" t="str">
        <f t="array" ref="C123">ifs(and(isblank($A123),isblank($B123)),"", not(iserror(vlookup($A123&amp;$B123,'3) Release_Label'!$D:$D&amp;'3) Release_Label'!$E:$E,1,0))),vlookup($A123&amp;$B123,{'3) Release_Label'!$D:$D&amp;'3) Release_Label'!$E:$E,'3) Release_Label'!$F:$F},2,0),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
      </c>
      <c r="D123" s="121" t="str">
        <f t="array" ref="D123">ifs(and(isblank($A123),isblank($B123)),"", not(iserror(vlookup($A123&amp;$B123,'3) Release_Label'!$D:$D&amp;'3) Release_Label'!$E:$E,1,0))),vlookup($A123&amp;$B123,{'3) Release_Label'!$D:$D&amp;'3) Release_Label'!$E:$E,'3) Release_Label'!$H:$H},2,0),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
      </c>
      <c r="E123" s="92"/>
      <c r="F123" s="92"/>
      <c r="G123" s="125" t="str">
        <f t="array" ref="G123">ifs(or($F123="",$F123="Main Primary Artist"),$F123,not(iserror(vlookup($F123,'Reference info'!$J$5:$J$8,1,0))),"Key Artist",not(iserror(vlookup($F123,'Reference info'!$J$38:$J$405,1,0))),"Performer",not(iserror(vlookup($F123,'Reference info'!$J$10:$J$36,1,0))),"Producer &amp; Engineer")</f>
        <v/>
      </c>
    </row>
    <row r="124">
      <c r="A124" s="28"/>
      <c r="B124" s="97"/>
      <c r="C124" s="121" t="str">
        <f t="array" ref="C124">ifs(and(isblank($A124),isblank($B124)),"", not(iserror(vlookup($A124&amp;$B124,'3) Release_Label'!$D:$D&amp;'3) Release_Label'!$E:$E,1,0))),vlookup($A124&amp;$B124,{'3) Release_Label'!$D:$D&amp;'3) Release_Label'!$E:$E,'3) Release_Label'!$F:$F},2,0),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
      </c>
      <c r="D124" s="121" t="str">
        <f t="array" ref="D124">ifs(and(isblank($A124),isblank($B124)),"", not(iserror(vlookup($A124&amp;$B124,'3) Release_Label'!$D:$D&amp;'3) Release_Label'!$E:$E,1,0))),vlookup($A124&amp;$B124,{'3) Release_Label'!$D:$D&amp;'3) Release_Label'!$E:$E,'3) Release_Label'!$H:$H},2,0),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
      </c>
      <c r="E124" s="92"/>
      <c r="F124" s="92"/>
      <c r="G124" s="125" t="str">
        <f t="array" ref="G124">ifs(or($F124="",$F124="Main Primary Artist"),$F124,not(iserror(vlookup($F124,'Reference info'!$J$5:$J$8,1,0))),"Key Artist",not(iserror(vlookup($F124,'Reference info'!$J$38:$J$405,1,0))),"Performer",not(iserror(vlookup($F124,'Reference info'!$J$10:$J$36,1,0))),"Producer &amp; Engineer")</f>
        <v/>
      </c>
    </row>
    <row r="125">
      <c r="A125" s="28"/>
      <c r="B125" s="97"/>
      <c r="C125" s="121" t="str">
        <f t="array" ref="C125">ifs(and(isblank($A125),isblank($B125)),"", not(iserror(vlookup($A125&amp;$B125,'3) Release_Label'!$D:$D&amp;'3) Release_Label'!$E:$E,1,0))),vlookup($A125&amp;$B125,{'3) Release_Label'!$D:$D&amp;'3) Release_Label'!$E:$E,'3) Release_Label'!$F:$F},2,0),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
      </c>
      <c r="D125" s="121" t="str">
        <f t="array" ref="D125">ifs(and(isblank($A125),isblank($B125)),"", not(iserror(vlookup($A125&amp;$B125,'3) Release_Label'!$D:$D&amp;'3) Release_Label'!$E:$E,1,0))),vlookup($A125&amp;$B125,{'3) Release_Label'!$D:$D&amp;'3) Release_Label'!$E:$E,'3) Release_Label'!$H:$H},2,0),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
      </c>
      <c r="E125" s="92"/>
      <c r="F125" s="92"/>
      <c r="G125" s="125" t="str">
        <f t="array" ref="G125">ifs(or($F125="",$F125="Main Primary Artist"),$F125,not(iserror(vlookup($F125,'Reference info'!$J$5:$J$8,1,0))),"Key Artist",not(iserror(vlookup($F125,'Reference info'!$J$38:$J$405,1,0))),"Performer",not(iserror(vlookup($F125,'Reference info'!$J$10:$J$36,1,0))),"Producer &amp; Engineer")</f>
        <v/>
      </c>
    </row>
    <row r="126">
      <c r="A126" s="28"/>
      <c r="B126" s="97"/>
      <c r="C126" s="121" t="str">
        <f t="array" ref="C126">ifs(and(isblank($A126),isblank($B126)),"", not(iserror(vlookup($A126&amp;$B126,'3) Release_Label'!$D:$D&amp;'3) Release_Label'!$E:$E,1,0))),vlookup($A126&amp;$B126,{'3) Release_Label'!$D:$D&amp;'3) Release_Label'!$E:$E,'3) Release_Label'!$F:$F},2,0),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
      </c>
      <c r="D126" s="121" t="str">
        <f t="array" ref="D126">ifs(and(isblank($A126),isblank($B126)),"", not(iserror(vlookup($A126&amp;$B126,'3) Release_Label'!$D:$D&amp;'3) Release_Label'!$E:$E,1,0))),vlookup($A126&amp;$B126,{'3) Release_Label'!$D:$D&amp;'3) Release_Label'!$E:$E,'3) Release_Label'!$H:$H},2,0),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
      </c>
      <c r="E126" s="92"/>
      <c r="F126" s="92"/>
      <c r="G126" s="125" t="str">
        <f t="array" ref="G126">ifs(or($F126="",$F126="Main Primary Artist"),$F126,not(iserror(vlookup($F126,'Reference info'!$J$5:$J$8,1,0))),"Key Artist",not(iserror(vlookup($F126,'Reference info'!$J$38:$J$405,1,0))),"Performer",not(iserror(vlookup($F126,'Reference info'!$J$10:$J$36,1,0))),"Producer &amp; Engineer")</f>
        <v/>
      </c>
    </row>
    <row r="127">
      <c r="A127" s="28"/>
      <c r="B127" s="97"/>
      <c r="C127" s="121" t="str">
        <f t="array" ref="C127">ifs(and(isblank($A127),isblank($B127)),"", not(iserror(vlookup($A127&amp;$B127,'3) Release_Label'!$D:$D&amp;'3) Release_Label'!$E:$E,1,0))),vlookup($A127&amp;$B127,{'3) Release_Label'!$D:$D&amp;'3) Release_Label'!$E:$E,'3) Release_Label'!$F:$F},2,0),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
      </c>
      <c r="D127" s="121" t="str">
        <f t="array" ref="D127">ifs(and(isblank($A127),isblank($B127)),"", not(iserror(vlookup($A127&amp;$B127,'3) Release_Label'!$D:$D&amp;'3) Release_Label'!$E:$E,1,0))),vlookup($A127&amp;$B127,{'3) Release_Label'!$D:$D&amp;'3) Release_Label'!$E:$E,'3) Release_Label'!$H:$H},2,0),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
      </c>
      <c r="E127" s="92"/>
      <c r="F127" s="92"/>
      <c r="G127" s="125" t="str">
        <f t="array" ref="G127">ifs(or($F127="",$F127="Main Primary Artist"),$F127,not(iserror(vlookup($F127,'Reference info'!$J$5:$J$8,1,0))),"Key Artist",not(iserror(vlookup($F127,'Reference info'!$J$38:$J$405,1,0))),"Performer",not(iserror(vlookup($F127,'Reference info'!$J$10:$J$36,1,0))),"Producer &amp; Engineer")</f>
        <v/>
      </c>
    </row>
    <row r="128">
      <c r="A128" s="28"/>
      <c r="B128" s="97"/>
      <c r="C128" s="121" t="str">
        <f t="array" ref="C128">ifs(and(isblank($A128),isblank($B128)),"", not(iserror(vlookup($A128&amp;$B128,'3) Release_Label'!$D:$D&amp;'3) Release_Label'!$E:$E,1,0))),vlookup($A128&amp;$B128,{'3) Release_Label'!$D:$D&amp;'3) Release_Label'!$E:$E,'3) Release_Label'!$F:$F},2,0),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
      </c>
      <c r="D128" s="121" t="str">
        <f t="array" ref="D128">ifs(and(isblank($A128),isblank($B128)),"", not(iserror(vlookup($A128&amp;$B128,'3) Release_Label'!$D:$D&amp;'3) Release_Label'!$E:$E,1,0))),vlookup($A128&amp;$B128,{'3) Release_Label'!$D:$D&amp;'3) Release_Label'!$E:$E,'3) Release_Label'!$H:$H},2,0),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
      </c>
      <c r="E128" s="92"/>
      <c r="F128" s="92"/>
      <c r="G128" s="125" t="str">
        <f t="array" ref="G128">ifs(or($F128="",$F128="Main Primary Artist"),$F128,not(iserror(vlookup($F128,'Reference info'!$J$5:$J$8,1,0))),"Key Artist",not(iserror(vlookup($F128,'Reference info'!$J$38:$J$405,1,0))),"Performer",not(iserror(vlookup($F128,'Reference info'!$J$10:$J$36,1,0))),"Producer &amp; Engineer")</f>
        <v/>
      </c>
    </row>
    <row r="129">
      <c r="A129" s="28"/>
      <c r="B129" s="97"/>
      <c r="C129" s="121" t="str">
        <f t="array" ref="C129">ifs(and(isblank($A129),isblank($B129)),"", not(iserror(vlookup($A129&amp;$B129,'3) Release_Label'!$D:$D&amp;'3) Release_Label'!$E:$E,1,0))),vlookup($A129&amp;$B129,{'3) Release_Label'!$D:$D&amp;'3) Release_Label'!$E:$E,'3) Release_Label'!$F:$F},2,0),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
      </c>
      <c r="D129" s="121" t="str">
        <f t="array" ref="D129">ifs(and(isblank($A129),isblank($B129)),"", not(iserror(vlookup($A129&amp;$B129,'3) Release_Label'!$D:$D&amp;'3) Release_Label'!$E:$E,1,0))),vlookup($A129&amp;$B129,{'3) Release_Label'!$D:$D&amp;'3) Release_Label'!$E:$E,'3) Release_Label'!$H:$H},2,0),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
      </c>
      <c r="E129" s="92"/>
      <c r="F129" s="92"/>
      <c r="G129" s="125" t="str">
        <f t="array" ref="G129">ifs(or($F129="",$F129="Main Primary Artist"),$F129,not(iserror(vlookup($F129,'Reference info'!$J$5:$J$8,1,0))),"Key Artist",not(iserror(vlookup($F129,'Reference info'!$J$38:$J$405,1,0))),"Performer",not(iserror(vlookup($F129,'Reference info'!$J$10:$J$36,1,0))),"Producer &amp; Engineer")</f>
        <v/>
      </c>
    </row>
    <row r="130">
      <c r="A130" s="28"/>
      <c r="B130" s="97"/>
      <c r="C130" s="121" t="str">
        <f t="array" ref="C130">ifs(and(isblank($A130),isblank($B130)),"", not(iserror(vlookup($A130&amp;$B130,'3) Release_Label'!$D:$D&amp;'3) Release_Label'!$E:$E,1,0))),vlookup($A130&amp;$B130,{'3) Release_Label'!$D:$D&amp;'3) Release_Label'!$E:$E,'3) Release_Label'!$F:$F},2,0), or(and(not(isblank($B130)),$B130=$B129,$A130&lt;&gt;$A129),and(not(isblank($A130)),$A130=$A129,$B130&lt;&gt;$B129)),"ID LISTS UNALIGNED",and($A130&lt;&gt;"",countif('3) Release_Label'!$D:$D,$A130)=0),"NO UPC MATCH in Release_Label",and($B130&lt;&gt;"",countif('3) Release_Label'!$E:$E,$B130)=0),"NO CATALOG ID MATCH in Release_Label",iserror(vlookup($A130&amp;$B130,'3) Release_Label'!$D:$D&amp;'3) Release_Label'!$E:$E,1,0)),"NO UPC-CATALOG ID pair MATCH in Release_Label" )</f>
        <v/>
      </c>
      <c r="D130" s="121" t="str">
        <f t="array" ref="D130">ifs(and(isblank($A130),isblank($B130)),"", not(iserror(vlookup($A130&amp;$B130,'3) Release_Label'!$D:$D&amp;'3) Release_Label'!$E:$E,1,0))),vlookup($A130&amp;$B130,{'3) Release_Label'!$D:$D&amp;'3) Release_Label'!$E:$E,'3) Release_Label'!$H:$H},2,0), or(and(not(isblank($B130)),$B130=$B129,$A130&lt;&gt;$A129),and(not(isblank($A130)),$A130=$A129,$B130&lt;&gt;$B129)),"ID LISTS UNALIGNED",and($A130&lt;&gt;"",countif('3) Release_Label'!$D:$D,$A130)=0),"NO UPC MATCH in Release_Label",and($B130&lt;&gt;"",countif('3) Release_Label'!$E:$E,$B130)=0),"NO CATALOG ID MATCH in Release_Label",iserror(vlookup($A130&amp;$B130,'3) Release_Label'!$D:$D&amp;'3) Release_Label'!$E:$E,1,0)),"NO UPC-CATALOG ID pair MATCH in Release_Label" )</f>
        <v/>
      </c>
      <c r="E130" s="92"/>
      <c r="F130" s="92"/>
      <c r="G130" s="125" t="str">
        <f t="array" ref="G130">ifs(or($F130="",$F130="Main Primary Artist"),$F130,not(iserror(vlookup($F130,'Reference info'!$J$5:$J$8,1,0))),"Key Artist",not(iserror(vlookup($F130,'Reference info'!$J$38:$J$405,1,0))),"Performer",not(iserror(vlookup($F130,'Reference info'!$J$10:$J$36,1,0))),"Producer &amp; Engineer")</f>
        <v/>
      </c>
    </row>
    <row r="131">
      <c r="A131" s="28"/>
      <c r="B131" s="97"/>
      <c r="C131" s="121" t="str">
        <f t="array" ref="C131">ifs(and(isblank($A131),isblank($B131)),"", not(iserror(vlookup($A131&amp;$B131,'3) Release_Label'!$D:$D&amp;'3) Release_Label'!$E:$E,1,0))),vlookup($A131&amp;$B131,{'3) Release_Label'!$D:$D&amp;'3) Release_Label'!$E:$E,'3) Release_Label'!$F:$F},2,0),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
      </c>
      <c r="D131" s="121" t="str">
        <f t="array" ref="D131">ifs(and(isblank($A131),isblank($B131)),"", not(iserror(vlookup($A131&amp;$B131,'3) Release_Label'!$D:$D&amp;'3) Release_Label'!$E:$E,1,0))),vlookup($A131&amp;$B131,{'3) Release_Label'!$D:$D&amp;'3) Release_Label'!$E:$E,'3) Release_Label'!$H:$H},2,0),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
      </c>
      <c r="E131" s="92"/>
      <c r="F131" s="92"/>
      <c r="G131" s="125" t="str">
        <f t="array" ref="G131">ifs(or($F131="",$F131="Main Primary Artist"),$F131,not(iserror(vlookup($F131,'Reference info'!$J$5:$J$8,1,0))),"Key Artist",not(iserror(vlookup($F131,'Reference info'!$J$38:$J$405,1,0))),"Performer",not(iserror(vlookup($F131,'Reference info'!$J$10:$J$36,1,0))),"Producer &amp; Engineer")</f>
        <v/>
      </c>
    </row>
    <row r="132">
      <c r="A132" s="28"/>
      <c r="B132" s="97"/>
      <c r="C132" s="121" t="str">
        <f t="array" ref="C132">ifs(and(isblank($A132),isblank($B132)),"", not(iserror(vlookup($A132&amp;$B132,'3) Release_Label'!$D:$D&amp;'3) Release_Label'!$E:$E,1,0))),vlookup($A132&amp;$B132,{'3) Release_Label'!$D:$D&amp;'3) Release_Label'!$E:$E,'3) Release_Label'!$F:$F},2,0),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
      </c>
      <c r="D132" s="121" t="str">
        <f t="array" ref="D132">ifs(and(isblank($A132),isblank($B132)),"", not(iserror(vlookup($A132&amp;$B132,'3) Release_Label'!$D:$D&amp;'3) Release_Label'!$E:$E,1,0))),vlookup($A132&amp;$B132,{'3) Release_Label'!$D:$D&amp;'3) Release_Label'!$E:$E,'3) Release_Label'!$H:$H},2,0),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
      </c>
      <c r="E132" s="92"/>
      <c r="F132" s="92"/>
      <c r="G132" s="125" t="str">
        <f t="array" ref="G132">ifs(or($F132="",$F132="Main Primary Artist"),$F132,not(iserror(vlookup($F132,'Reference info'!$J$5:$J$8,1,0))),"Key Artist",not(iserror(vlookup($F132,'Reference info'!$J$38:$J$405,1,0))),"Performer",not(iserror(vlookup($F132,'Reference info'!$J$10:$J$36,1,0))),"Producer &amp; Engineer")</f>
        <v/>
      </c>
    </row>
    <row r="133">
      <c r="A133" s="28"/>
      <c r="B133" s="97"/>
      <c r="C133" s="121" t="str">
        <f t="array" ref="C133">ifs(and(isblank($A133),isblank($B133)),"", not(iserror(vlookup($A133&amp;$B133,'3) Release_Label'!$D:$D&amp;'3) Release_Label'!$E:$E,1,0))),vlookup($A133&amp;$B133,{'3) Release_Label'!$D:$D&amp;'3) Release_Label'!$E:$E,'3) Release_Label'!$F:$F},2,0),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
      </c>
      <c r="D133" s="121" t="str">
        <f t="array" ref="D133">ifs(and(isblank($A133),isblank($B133)),"", not(iserror(vlookup($A133&amp;$B133,'3) Release_Label'!$D:$D&amp;'3) Release_Label'!$E:$E,1,0))),vlookup($A133&amp;$B133,{'3) Release_Label'!$D:$D&amp;'3) Release_Label'!$E:$E,'3) Release_Label'!$H:$H},2,0),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
      </c>
      <c r="E133" s="92"/>
      <c r="F133" s="92"/>
      <c r="G133" s="125" t="str">
        <f t="array" ref="G133">ifs(or($F133="",$F133="Main Primary Artist"),$F133,not(iserror(vlookup($F133,'Reference info'!$J$5:$J$8,1,0))),"Key Artist",not(iserror(vlookup($F133,'Reference info'!$J$38:$J$405,1,0))),"Performer",not(iserror(vlookup($F133,'Reference info'!$J$10:$J$36,1,0))),"Producer &amp; Engineer")</f>
        <v/>
      </c>
    </row>
    <row r="134">
      <c r="A134" s="28"/>
      <c r="B134" s="97"/>
      <c r="C134" s="121" t="str">
        <f t="array" ref="C134">ifs(and(isblank($A134),isblank($B134)),"", not(iserror(vlookup($A134&amp;$B134,'3) Release_Label'!$D:$D&amp;'3) Release_Label'!$E:$E,1,0))),vlookup($A134&amp;$B134,{'3) Release_Label'!$D:$D&amp;'3) Release_Label'!$E:$E,'3) Release_Label'!$F:$F},2,0),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
      </c>
      <c r="D134" s="121" t="str">
        <f t="array" ref="D134">ifs(and(isblank($A134),isblank($B134)),"", not(iserror(vlookup($A134&amp;$B134,'3) Release_Label'!$D:$D&amp;'3) Release_Label'!$E:$E,1,0))),vlookup($A134&amp;$B134,{'3) Release_Label'!$D:$D&amp;'3) Release_Label'!$E:$E,'3) Release_Label'!$H:$H},2,0),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
      </c>
      <c r="E134" s="92"/>
      <c r="F134" s="92"/>
      <c r="G134" s="125" t="str">
        <f t="array" ref="G134">ifs(or($F134="",$F134="Main Primary Artist"),$F134,not(iserror(vlookup($F134,'Reference info'!$J$5:$J$8,1,0))),"Key Artist",not(iserror(vlookup($F134,'Reference info'!$J$38:$J$405,1,0))),"Performer",not(iserror(vlookup($F134,'Reference info'!$J$10:$J$36,1,0))),"Producer &amp; Engineer")</f>
        <v/>
      </c>
    </row>
    <row r="135">
      <c r="A135" s="28"/>
      <c r="B135" s="97"/>
      <c r="C135" s="121" t="str">
        <f t="array" ref="C135">ifs(and(isblank($A135),isblank($B135)),"", not(iserror(vlookup($A135&amp;$B135,'3) Release_Label'!$D:$D&amp;'3) Release_Label'!$E:$E,1,0))),vlookup($A135&amp;$B135,{'3) Release_Label'!$D:$D&amp;'3) Release_Label'!$E:$E,'3) Release_Label'!$F:$F},2,0),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
      </c>
      <c r="D135" s="121" t="str">
        <f t="array" ref="D135">ifs(and(isblank($A135),isblank($B135)),"", not(iserror(vlookup($A135&amp;$B135,'3) Release_Label'!$D:$D&amp;'3) Release_Label'!$E:$E,1,0))),vlookup($A135&amp;$B135,{'3) Release_Label'!$D:$D&amp;'3) Release_Label'!$E:$E,'3) Release_Label'!$H:$H},2,0),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
      </c>
      <c r="E135" s="92"/>
      <c r="F135" s="92"/>
      <c r="G135" s="125" t="str">
        <f t="array" ref="G135">ifs(or($F135="",$F135="Main Primary Artist"),$F135,not(iserror(vlookup($F135,'Reference info'!$J$5:$J$8,1,0))),"Key Artist",not(iserror(vlookup($F135,'Reference info'!$J$38:$J$405,1,0))),"Performer",not(iserror(vlookup($F135,'Reference info'!$J$10:$J$36,1,0))),"Producer &amp; Engineer")</f>
        <v/>
      </c>
    </row>
    <row r="136">
      <c r="A136" s="28"/>
      <c r="B136" s="97"/>
      <c r="C136" s="121" t="str">
        <f t="array" ref="C136">ifs(and(isblank($A136),isblank($B136)),"", not(iserror(vlookup($A136&amp;$B136,'3) Release_Label'!$D:$D&amp;'3) Release_Label'!$E:$E,1,0))),vlookup($A136&amp;$B136,{'3) Release_Label'!$D:$D&amp;'3) Release_Label'!$E:$E,'3) Release_Label'!$F:$F},2,0),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
      </c>
      <c r="D136" s="121" t="str">
        <f t="array" ref="D136">ifs(and(isblank($A136),isblank($B136)),"", not(iserror(vlookup($A136&amp;$B136,'3) Release_Label'!$D:$D&amp;'3) Release_Label'!$E:$E,1,0))),vlookup($A136&amp;$B136,{'3) Release_Label'!$D:$D&amp;'3) Release_Label'!$E:$E,'3) Release_Label'!$H:$H},2,0),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
      </c>
      <c r="E136" s="92"/>
      <c r="F136" s="92"/>
      <c r="G136" s="125" t="str">
        <f t="array" ref="G136">ifs(or($F136="",$F136="Main Primary Artist"),$F136,not(iserror(vlookup($F136,'Reference info'!$J$5:$J$8,1,0))),"Key Artist",not(iserror(vlookup($F136,'Reference info'!$J$38:$J$405,1,0))),"Performer",not(iserror(vlookup($F136,'Reference info'!$J$10:$J$36,1,0))),"Producer &amp; Engineer")</f>
        <v/>
      </c>
    </row>
    <row r="137">
      <c r="A137" s="28"/>
      <c r="B137" s="97"/>
      <c r="C137" s="121" t="str">
        <f t="array" ref="C137">ifs(and(isblank($A137),isblank($B137)),"", not(iserror(vlookup($A137&amp;$B137,'3) Release_Label'!$D:$D&amp;'3) Release_Label'!$E:$E,1,0))),vlookup($A137&amp;$B137,{'3) Release_Label'!$D:$D&amp;'3) Release_Label'!$E:$E,'3) Release_Label'!$F:$F},2,0),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
      </c>
      <c r="D137" s="121" t="str">
        <f t="array" ref="D137">ifs(and(isblank($A137),isblank($B137)),"", not(iserror(vlookup($A137&amp;$B137,'3) Release_Label'!$D:$D&amp;'3) Release_Label'!$E:$E,1,0))),vlookup($A137&amp;$B137,{'3) Release_Label'!$D:$D&amp;'3) Release_Label'!$E:$E,'3) Release_Label'!$H:$H},2,0),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
      </c>
      <c r="E137" s="92"/>
      <c r="F137" s="92"/>
      <c r="G137" s="125" t="str">
        <f t="array" ref="G137">ifs(or($F137="",$F137="Main Primary Artist"),$F137,not(iserror(vlookup($F137,'Reference info'!$J$5:$J$8,1,0))),"Key Artist",not(iserror(vlookup($F137,'Reference info'!$J$38:$J$405,1,0))),"Performer",not(iserror(vlookup($F137,'Reference info'!$J$10:$J$36,1,0))),"Producer &amp; Engineer")</f>
        <v/>
      </c>
    </row>
    <row r="138">
      <c r="A138" s="28"/>
      <c r="B138" s="97"/>
      <c r="C138" s="121" t="str">
        <f t="array" ref="C138">ifs(and(isblank($A138),isblank($B138)),"", not(iserror(vlookup($A138&amp;$B138,'3) Release_Label'!$D:$D&amp;'3) Release_Label'!$E:$E,1,0))),vlookup($A138&amp;$B138,{'3) Release_Label'!$D:$D&amp;'3) Release_Label'!$E:$E,'3) Release_Label'!$F:$F},2,0),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
      </c>
      <c r="D138" s="121" t="str">
        <f t="array" ref="D138">ifs(and(isblank($A138),isblank($B138)),"", not(iserror(vlookup($A138&amp;$B138,'3) Release_Label'!$D:$D&amp;'3) Release_Label'!$E:$E,1,0))),vlookup($A138&amp;$B138,{'3) Release_Label'!$D:$D&amp;'3) Release_Label'!$E:$E,'3) Release_Label'!$H:$H},2,0),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
      </c>
      <c r="E138" s="92"/>
      <c r="F138" s="92"/>
      <c r="G138" s="125" t="str">
        <f t="array" ref="G138">ifs(or($F138="",$F138="Main Primary Artist"),$F138,not(iserror(vlookup($F138,'Reference info'!$J$5:$J$8,1,0))),"Key Artist",not(iserror(vlookup($F138,'Reference info'!$J$38:$J$405,1,0))),"Performer",not(iserror(vlookup($F138,'Reference info'!$J$10:$J$36,1,0))),"Producer &amp; Engineer")</f>
        <v/>
      </c>
    </row>
    <row r="139">
      <c r="A139" s="28"/>
      <c r="B139" s="97"/>
      <c r="C139" s="121" t="str">
        <f t="array" ref="C139">ifs(and(isblank($A139),isblank($B139)),"", not(iserror(vlookup($A139&amp;$B139,'3) Release_Label'!$D:$D&amp;'3) Release_Label'!$E:$E,1,0))),vlookup($A139&amp;$B139,{'3) Release_Label'!$D:$D&amp;'3) Release_Label'!$E:$E,'3) Release_Label'!$F:$F},2,0),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
      </c>
      <c r="D139" s="121" t="str">
        <f t="array" ref="D139">ifs(and(isblank($A139),isblank($B139)),"", not(iserror(vlookup($A139&amp;$B139,'3) Release_Label'!$D:$D&amp;'3) Release_Label'!$E:$E,1,0))),vlookup($A139&amp;$B139,{'3) Release_Label'!$D:$D&amp;'3) Release_Label'!$E:$E,'3) Release_Label'!$H:$H},2,0),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
      </c>
      <c r="E139" s="92"/>
      <c r="F139" s="92"/>
      <c r="G139" s="125" t="str">
        <f t="array" ref="G139">ifs(or($F139="",$F139="Main Primary Artist"),$F139,not(iserror(vlookup($F139,'Reference info'!$J$5:$J$8,1,0))),"Key Artist",not(iserror(vlookup($F139,'Reference info'!$J$38:$J$405,1,0))),"Performer",not(iserror(vlookup($F139,'Reference info'!$J$10:$J$36,1,0))),"Producer &amp; Engineer")</f>
        <v/>
      </c>
    </row>
    <row r="140">
      <c r="A140" s="28"/>
      <c r="B140" s="97"/>
      <c r="C140" s="121" t="str">
        <f t="array" ref="C140">ifs(and(isblank($A140),isblank($B140)),"", not(iserror(vlookup($A140&amp;$B140,'3) Release_Label'!$D:$D&amp;'3) Release_Label'!$E:$E,1,0))),vlookup($A140&amp;$B140,{'3) Release_Label'!$D:$D&amp;'3) Release_Label'!$E:$E,'3) Release_Label'!$F:$F},2,0),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
      </c>
      <c r="D140" s="121" t="str">
        <f t="array" ref="D140">ifs(and(isblank($A140),isblank($B140)),"", not(iserror(vlookup($A140&amp;$B140,'3) Release_Label'!$D:$D&amp;'3) Release_Label'!$E:$E,1,0))),vlookup($A140&amp;$B140,{'3) Release_Label'!$D:$D&amp;'3) Release_Label'!$E:$E,'3) Release_Label'!$H:$H},2,0),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
      </c>
      <c r="E140" s="92"/>
      <c r="F140" s="92"/>
      <c r="G140" s="125" t="str">
        <f t="array" ref="G140">ifs(or($F140="",$F140="Main Primary Artist"),$F140,not(iserror(vlookup($F140,'Reference info'!$J$5:$J$8,1,0))),"Key Artist",not(iserror(vlookup($F140,'Reference info'!$J$38:$J$405,1,0))),"Performer",not(iserror(vlookup($F140,'Reference info'!$J$10:$J$36,1,0))),"Producer &amp; Engineer")</f>
        <v/>
      </c>
    </row>
    <row r="141">
      <c r="A141" s="28"/>
      <c r="B141" s="97"/>
      <c r="C141" s="121" t="str">
        <f t="array" ref="C141">ifs(and(isblank($A141),isblank($B141)),"", not(iserror(vlookup($A141&amp;$B141,'3) Release_Label'!$D:$D&amp;'3) Release_Label'!$E:$E,1,0))),vlookup($A141&amp;$B141,{'3) Release_Label'!$D:$D&amp;'3) Release_Label'!$E:$E,'3) Release_Label'!$F:$F},2,0),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
      </c>
      <c r="D141" s="121" t="str">
        <f t="array" ref="D141">ifs(and(isblank($A141),isblank($B141)),"", not(iserror(vlookup($A141&amp;$B141,'3) Release_Label'!$D:$D&amp;'3) Release_Label'!$E:$E,1,0))),vlookup($A141&amp;$B141,{'3) Release_Label'!$D:$D&amp;'3) Release_Label'!$E:$E,'3) Release_Label'!$H:$H},2,0),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
      </c>
      <c r="E141" s="92"/>
      <c r="F141" s="92"/>
      <c r="G141" s="125" t="str">
        <f t="array" ref="G141">ifs(or($F141="",$F141="Main Primary Artist"),$F141,not(iserror(vlookup($F141,'Reference info'!$J$5:$J$8,1,0))),"Key Artist",not(iserror(vlookup($F141,'Reference info'!$J$38:$J$405,1,0))),"Performer",not(iserror(vlookup($F141,'Reference info'!$J$10:$J$36,1,0))),"Producer &amp; Engineer")</f>
        <v/>
      </c>
    </row>
    <row r="142">
      <c r="A142" s="28"/>
      <c r="B142" s="97"/>
      <c r="C142" s="121" t="str">
        <f t="array" ref="C142">ifs(and(isblank($A142),isblank($B142)),"", not(iserror(vlookup($A142&amp;$B142,'3) Release_Label'!$D:$D&amp;'3) Release_Label'!$E:$E,1,0))),vlookup($A142&amp;$B142,{'3) Release_Label'!$D:$D&amp;'3) Release_Label'!$E:$E,'3) Release_Label'!$F:$F},2,0),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
      </c>
      <c r="D142" s="121" t="str">
        <f t="array" ref="D142">ifs(and(isblank($A142),isblank($B142)),"", not(iserror(vlookup($A142&amp;$B142,'3) Release_Label'!$D:$D&amp;'3) Release_Label'!$E:$E,1,0))),vlookup($A142&amp;$B142,{'3) Release_Label'!$D:$D&amp;'3) Release_Label'!$E:$E,'3) Release_Label'!$H:$H},2,0),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
      </c>
      <c r="E142" s="92"/>
      <c r="F142" s="92"/>
      <c r="G142" s="125" t="str">
        <f t="array" ref="G142">ifs(or($F142="",$F142="Main Primary Artist"),$F142,not(iserror(vlookup($F142,'Reference info'!$J$5:$J$8,1,0))),"Key Artist",not(iserror(vlookup($F142,'Reference info'!$J$38:$J$405,1,0))),"Performer",not(iserror(vlookup($F142,'Reference info'!$J$10:$J$36,1,0))),"Producer &amp; Engineer")</f>
        <v/>
      </c>
    </row>
    <row r="143">
      <c r="A143" s="28"/>
      <c r="B143" s="97"/>
      <c r="C143" s="121" t="str">
        <f t="array" ref="C143">ifs(and(isblank($A143),isblank($B143)),"", not(iserror(vlookup($A143&amp;$B143,'3) Release_Label'!$D:$D&amp;'3) Release_Label'!$E:$E,1,0))),vlookup($A143&amp;$B143,{'3) Release_Label'!$D:$D&amp;'3) Release_Label'!$E:$E,'3) Release_Label'!$F:$F},2,0),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
      </c>
      <c r="D143" s="121" t="str">
        <f t="array" ref="D143">ifs(and(isblank($A143),isblank($B143)),"", not(iserror(vlookup($A143&amp;$B143,'3) Release_Label'!$D:$D&amp;'3) Release_Label'!$E:$E,1,0))),vlookup($A143&amp;$B143,{'3) Release_Label'!$D:$D&amp;'3) Release_Label'!$E:$E,'3) Release_Label'!$H:$H},2,0),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
      </c>
      <c r="E143" s="92"/>
      <c r="F143" s="92"/>
      <c r="G143" s="125" t="str">
        <f t="array" ref="G143">ifs(or($F143="",$F143="Main Primary Artist"),$F143,not(iserror(vlookup($F143,'Reference info'!$J$5:$J$8,1,0))),"Key Artist",not(iserror(vlookup($F143,'Reference info'!$J$38:$J$405,1,0))),"Performer",not(iserror(vlookup($F143,'Reference info'!$J$10:$J$36,1,0))),"Producer &amp; Engineer")</f>
        <v/>
      </c>
    </row>
    <row r="144">
      <c r="A144" s="28"/>
      <c r="B144" s="97"/>
      <c r="C144" s="121" t="str">
        <f t="array" ref="C144">ifs(and(isblank($A144),isblank($B144)),"", not(iserror(vlookup($A144&amp;$B144,'3) Release_Label'!$D:$D&amp;'3) Release_Label'!$E:$E,1,0))),vlookup($A144&amp;$B144,{'3) Release_Label'!$D:$D&amp;'3) Release_Label'!$E:$E,'3) Release_Label'!$F:$F},2,0),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
      </c>
      <c r="D144" s="121" t="str">
        <f t="array" ref="D144">ifs(and(isblank($A144),isblank($B144)),"", not(iserror(vlookup($A144&amp;$B144,'3) Release_Label'!$D:$D&amp;'3) Release_Label'!$E:$E,1,0))),vlookup($A144&amp;$B144,{'3) Release_Label'!$D:$D&amp;'3) Release_Label'!$E:$E,'3) Release_Label'!$H:$H},2,0),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
      </c>
      <c r="E144" s="92"/>
      <c r="F144" s="92"/>
      <c r="G144" s="125" t="str">
        <f t="array" ref="G144">ifs(or($F144="",$F144="Main Primary Artist"),$F144,not(iserror(vlookup($F144,'Reference info'!$J$5:$J$8,1,0))),"Key Artist",not(iserror(vlookup($F144,'Reference info'!$J$38:$J$405,1,0))),"Performer",not(iserror(vlookup($F144,'Reference info'!$J$10:$J$36,1,0))),"Producer &amp; Engineer")</f>
        <v/>
      </c>
    </row>
    <row r="145">
      <c r="A145" s="28"/>
      <c r="B145" s="97"/>
      <c r="C145" s="121" t="str">
        <f t="array" ref="C145">ifs(and(isblank($A145),isblank($B145)),"", not(iserror(vlookup($A145&amp;$B145,'3) Release_Label'!$D:$D&amp;'3) Release_Label'!$E:$E,1,0))),vlookup($A145&amp;$B145,{'3) Release_Label'!$D:$D&amp;'3) Release_Label'!$E:$E,'3) Release_Label'!$F:$F},2,0),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
      </c>
      <c r="D145" s="121" t="str">
        <f t="array" ref="D145">ifs(and(isblank($A145),isblank($B145)),"", not(iserror(vlookup($A145&amp;$B145,'3) Release_Label'!$D:$D&amp;'3) Release_Label'!$E:$E,1,0))),vlookup($A145&amp;$B145,{'3) Release_Label'!$D:$D&amp;'3) Release_Label'!$E:$E,'3) Release_Label'!$H:$H},2,0),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
      </c>
      <c r="E145" s="92"/>
      <c r="F145" s="92"/>
      <c r="G145" s="125" t="str">
        <f t="array" ref="G145">ifs(or($F145="",$F145="Main Primary Artist"),$F145,not(iserror(vlookup($F145,'Reference info'!$J$5:$J$8,1,0))),"Key Artist",not(iserror(vlookup($F145,'Reference info'!$J$38:$J$405,1,0))),"Performer",not(iserror(vlookup($F145,'Reference info'!$J$10:$J$36,1,0))),"Producer &amp; Engineer")</f>
        <v/>
      </c>
    </row>
    <row r="146">
      <c r="A146" s="28"/>
      <c r="B146" s="97"/>
      <c r="C146" s="121" t="str">
        <f t="array" ref="C146">ifs(and(isblank($A146),isblank($B146)),"", not(iserror(vlookup($A146&amp;$B146,'3) Release_Label'!$D:$D&amp;'3) Release_Label'!$E:$E,1,0))),vlookup($A146&amp;$B146,{'3) Release_Label'!$D:$D&amp;'3) Release_Label'!$E:$E,'3) Release_Label'!$F:$F},2,0), or(and(not(isblank($B146)),$B146=$B145,$A146&lt;&gt;$A145),and(not(isblank($A146)),$A146=$A145,$B146&lt;&gt;$B145)),"ID LISTS UNALIGNED",and($A146&lt;&gt;"",countif('3) Release_Label'!$D:$D,$A146)=0),"NO UPC MATCH in Release_Label",and($B146&lt;&gt;"",countif('3) Release_Label'!$E:$E,$B146)=0),"NO CATALOG ID MATCH in Release_Label",iserror(vlookup($A146&amp;$B146,'3) Release_Label'!$D:$D&amp;'3) Release_Label'!$E:$E,1,0)),"NO UPC-CATALOG ID pair MATCH in Release_Label" )</f>
        <v/>
      </c>
      <c r="D146" s="121" t="str">
        <f t="array" ref="D146">ifs(and(isblank($A146),isblank($B146)),"", not(iserror(vlookup($A146&amp;$B146,'3) Release_Label'!$D:$D&amp;'3) Release_Label'!$E:$E,1,0))),vlookup($A146&amp;$B146,{'3) Release_Label'!$D:$D&amp;'3) Release_Label'!$E:$E,'3) Release_Label'!$H:$H},2,0), or(and(not(isblank($B146)),$B146=$B145,$A146&lt;&gt;$A145),and(not(isblank($A146)),$A146=$A145,$B146&lt;&gt;$B145)),"ID LISTS UNALIGNED",and($A146&lt;&gt;"",countif('3) Release_Label'!$D:$D,$A146)=0),"NO UPC MATCH in Release_Label",and($B146&lt;&gt;"",countif('3) Release_Label'!$E:$E,$B146)=0),"NO CATALOG ID MATCH in Release_Label",iserror(vlookup($A146&amp;$B146,'3) Release_Label'!$D:$D&amp;'3) Release_Label'!$E:$E,1,0)),"NO UPC-CATALOG ID pair MATCH in Release_Label" )</f>
        <v/>
      </c>
      <c r="E146" s="92"/>
      <c r="F146" s="92"/>
      <c r="G146" s="125" t="str">
        <f t="array" ref="G146">ifs(or($F146="",$F146="Main Primary Artist"),$F146,not(iserror(vlookup($F146,'Reference info'!$J$5:$J$8,1,0))),"Key Artist",not(iserror(vlookup($F146,'Reference info'!$J$38:$J$405,1,0))),"Performer",not(iserror(vlookup($F146,'Reference info'!$J$10:$J$36,1,0))),"Producer &amp; Engineer")</f>
        <v/>
      </c>
    </row>
    <row r="147">
      <c r="A147" s="28"/>
      <c r="B147" s="97"/>
      <c r="C147" s="121" t="str">
        <f t="array" ref="C147">ifs(and(isblank($A147),isblank($B147)),"", not(iserror(vlookup($A147&amp;$B147,'3) Release_Label'!$D:$D&amp;'3) Release_Label'!$E:$E,1,0))),vlookup($A147&amp;$B147,{'3) Release_Label'!$D:$D&amp;'3) Release_Label'!$E:$E,'3) Release_Label'!$F:$F},2,0),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
      </c>
      <c r="D147" s="121" t="str">
        <f t="array" ref="D147">ifs(and(isblank($A147),isblank($B147)),"", not(iserror(vlookup($A147&amp;$B147,'3) Release_Label'!$D:$D&amp;'3) Release_Label'!$E:$E,1,0))),vlookup($A147&amp;$B147,{'3) Release_Label'!$D:$D&amp;'3) Release_Label'!$E:$E,'3) Release_Label'!$H:$H},2,0),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
      </c>
      <c r="E147" s="92"/>
      <c r="F147" s="92"/>
      <c r="G147" s="125" t="str">
        <f t="array" ref="G147">ifs(or($F147="",$F147="Main Primary Artist"),$F147,not(iserror(vlookup($F147,'Reference info'!$J$5:$J$8,1,0))),"Key Artist",not(iserror(vlookup($F147,'Reference info'!$J$38:$J$405,1,0))),"Performer",not(iserror(vlookup($F147,'Reference info'!$J$10:$J$36,1,0))),"Producer &amp; Engineer")</f>
        <v/>
      </c>
    </row>
    <row r="148">
      <c r="A148" s="28"/>
      <c r="B148" s="97"/>
      <c r="C148" s="121" t="str">
        <f t="array" ref="C148">ifs(and(isblank($A148),isblank($B148)),"", not(iserror(vlookup($A148&amp;$B148,'3) Release_Label'!$D:$D&amp;'3) Release_Label'!$E:$E,1,0))),vlookup($A148&amp;$B148,{'3) Release_Label'!$D:$D&amp;'3) Release_Label'!$E:$E,'3) Release_Label'!$F:$F},2,0),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
      </c>
      <c r="D148" s="121" t="str">
        <f t="array" ref="D148">ifs(and(isblank($A148),isblank($B148)),"", not(iserror(vlookup($A148&amp;$B148,'3) Release_Label'!$D:$D&amp;'3) Release_Label'!$E:$E,1,0))),vlookup($A148&amp;$B148,{'3) Release_Label'!$D:$D&amp;'3) Release_Label'!$E:$E,'3) Release_Label'!$H:$H},2,0),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
      </c>
      <c r="E148" s="92"/>
      <c r="F148" s="92"/>
      <c r="G148" s="125" t="str">
        <f t="array" ref="G148">ifs(or($F148="",$F148="Main Primary Artist"),$F148,not(iserror(vlookup($F148,'Reference info'!$J$5:$J$8,1,0))),"Key Artist",not(iserror(vlookup($F148,'Reference info'!$J$38:$J$405,1,0))),"Performer",not(iserror(vlookup($F148,'Reference info'!$J$10:$J$36,1,0))),"Producer &amp; Engineer")</f>
        <v/>
      </c>
    </row>
    <row r="149">
      <c r="A149" s="28"/>
      <c r="B149" s="97"/>
      <c r="C149" s="121" t="str">
        <f t="array" ref="C149">ifs(and(isblank($A149),isblank($B149)),"", not(iserror(vlookup($A149&amp;$B149,'3) Release_Label'!$D:$D&amp;'3) Release_Label'!$E:$E,1,0))),vlookup($A149&amp;$B149,{'3) Release_Label'!$D:$D&amp;'3) Release_Label'!$E:$E,'3) Release_Label'!$F:$F},2,0),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
      </c>
      <c r="D149" s="121" t="str">
        <f t="array" ref="D149">ifs(and(isblank($A149),isblank($B149)),"", not(iserror(vlookup($A149&amp;$B149,'3) Release_Label'!$D:$D&amp;'3) Release_Label'!$E:$E,1,0))),vlookup($A149&amp;$B149,{'3) Release_Label'!$D:$D&amp;'3) Release_Label'!$E:$E,'3) Release_Label'!$H:$H},2,0),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
      </c>
      <c r="E149" s="92"/>
      <c r="F149" s="92"/>
      <c r="G149" s="125" t="str">
        <f t="array" ref="G149">ifs(or($F149="",$F149="Main Primary Artist"),$F149,not(iserror(vlookup($F149,'Reference info'!$J$5:$J$8,1,0))),"Key Artist",not(iserror(vlookup($F149,'Reference info'!$J$38:$J$405,1,0))),"Performer",not(iserror(vlookup($F149,'Reference info'!$J$10:$J$36,1,0))),"Producer &amp; Engineer")</f>
        <v/>
      </c>
    </row>
    <row r="150">
      <c r="A150" s="28"/>
      <c r="B150" s="97"/>
      <c r="C150" s="121" t="str">
        <f t="array" ref="C150">ifs(and(isblank($A150),isblank($B150)),"", not(iserror(vlookup($A150&amp;$B150,'3) Release_Label'!$D:$D&amp;'3) Release_Label'!$E:$E,1,0))),vlookup($A150&amp;$B150,{'3) Release_Label'!$D:$D&amp;'3) Release_Label'!$E:$E,'3) Release_Label'!$F:$F},2,0),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
      </c>
      <c r="D150" s="121" t="str">
        <f t="array" ref="D150">ifs(and(isblank($A150),isblank($B150)),"", not(iserror(vlookup($A150&amp;$B150,'3) Release_Label'!$D:$D&amp;'3) Release_Label'!$E:$E,1,0))),vlookup($A150&amp;$B150,{'3) Release_Label'!$D:$D&amp;'3) Release_Label'!$E:$E,'3) Release_Label'!$H:$H},2,0),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
      </c>
      <c r="E150" s="92"/>
      <c r="F150" s="92"/>
      <c r="G150" s="125" t="str">
        <f t="array" ref="G150">ifs(or($F150="",$F150="Main Primary Artist"),$F150,not(iserror(vlookup($F150,'Reference info'!$J$5:$J$8,1,0))),"Key Artist",not(iserror(vlookup($F150,'Reference info'!$J$38:$J$405,1,0))),"Performer",not(iserror(vlookup($F150,'Reference info'!$J$10:$J$36,1,0))),"Producer &amp; Engineer")</f>
        <v/>
      </c>
    </row>
    <row r="151">
      <c r="A151" s="28"/>
      <c r="B151" s="97"/>
      <c r="C151" s="121" t="str">
        <f t="array" ref="C151">ifs(and(isblank($A151),isblank($B151)),"", not(iserror(vlookup($A151&amp;$B151,'3) Release_Label'!$D:$D&amp;'3) Release_Label'!$E:$E,1,0))),vlookup($A151&amp;$B151,{'3) Release_Label'!$D:$D&amp;'3) Release_Label'!$E:$E,'3) Release_Label'!$F:$F},2,0),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
      </c>
      <c r="D151" s="121" t="str">
        <f t="array" ref="D151">ifs(and(isblank($A151),isblank($B151)),"", not(iserror(vlookup($A151&amp;$B151,'3) Release_Label'!$D:$D&amp;'3) Release_Label'!$E:$E,1,0))),vlookup($A151&amp;$B151,{'3) Release_Label'!$D:$D&amp;'3) Release_Label'!$E:$E,'3) Release_Label'!$H:$H},2,0),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
      </c>
      <c r="E151" s="92"/>
      <c r="F151" s="92"/>
      <c r="G151" s="125" t="str">
        <f t="array" ref="G151">ifs(or($F151="",$F151="Main Primary Artist"),$F151,not(iserror(vlookup($F151,'Reference info'!$J$5:$J$8,1,0))),"Key Artist",not(iserror(vlookup($F151,'Reference info'!$J$38:$J$405,1,0))),"Performer",not(iserror(vlookup($F151,'Reference info'!$J$10:$J$36,1,0))),"Producer &amp; Engineer")</f>
        <v/>
      </c>
    </row>
    <row r="152">
      <c r="A152" s="28"/>
      <c r="B152" s="97"/>
      <c r="C152" s="121" t="str">
        <f t="array" ref="C152">ifs(and(isblank($A152),isblank($B152)),"", not(iserror(vlookup($A152&amp;$B152,'3) Release_Label'!$D:$D&amp;'3) Release_Label'!$E:$E,1,0))),vlookup($A152&amp;$B152,{'3) Release_Label'!$D:$D&amp;'3) Release_Label'!$E:$E,'3) Release_Label'!$F:$F},2,0),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
      </c>
      <c r="D152" s="121" t="str">
        <f t="array" ref="D152">ifs(and(isblank($A152),isblank($B152)),"", not(iserror(vlookup($A152&amp;$B152,'3) Release_Label'!$D:$D&amp;'3) Release_Label'!$E:$E,1,0))),vlookup($A152&amp;$B152,{'3) Release_Label'!$D:$D&amp;'3) Release_Label'!$E:$E,'3) Release_Label'!$H:$H},2,0),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
      </c>
      <c r="E152" s="92"/>
      <c r="F152" s="92"/>
      <c r="G152" s="125" t="str">
        <f t="array" ref="G152">ifs(or($F152="",$F152="Main Primary Artist"),$F152,not(iserror(vlookup($F152,'Reference info'!$J$5:$J$8,1,0))),"Key Artist",not(iserror(vlookup($F152,'Reference info'!$J$38:$J$405,1,0))),"Performer",not(iserror(vlookup($F152,'Reference info'!$J$10:$J$36,1,0))),"Producer &amp; Engineer")</f>
        <v/>
      </c>
    </row>
    <row r="153">
      <c r="A153" s="28"/>
      <c r="B153" s="97"/>
      <c r="C153" s="121" t="str">
        <f t="array" ref="C153">ifs(and(isblank($A153),isblank($B153)),"", not(iserror(vlookup($A153&amp;$B153,'3) Release_Label'!$D:$D&amp;'3) Release_Label'!$E:$E,1,0))),vlookup($A153&amp;$B153,{'3) Release_Label'!$D:$D&amp;'3) Release_Label'!$E:$E,'3) Release_Label'!$F:$F},2,0),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
      </c>
      <c r="D153" s="121" t="str">
        <f t="array" ref="D153">ifs(and(isblank($A153),isblank($B153)),"", not(iserror(vlookup($A153&amp;$B153,'3) Release_Label'!$D:$D&amp;'3) Release_Label'!$E:$E,1,0))),vlookup($A153&amp;$B153,{'3) Release_Label'!$D:$D&amp;'3) Release_Label'!$E:$E,'3) Release_Label'!$H:$H},2,0),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
      </c>
      <c r="E153" s="92"/>
      <c r="F153" s="92"/>
      <c r="G153" s="125" t="str">
        <f t="array" ref="G153">ifs(or($F153="",$F153="Main Primary Artist"),$F153,not(iserror(vlookup($F153,'Reference info'!$J$5:$J$8,1,0))),"Key Artist",not(iserror(vlookup($F153,'Reference info'!$J$38:$J$405,1,0))),"Performer",not(iserror(vlookup($F153,'Reference info'!$J$10:$J$36,1,0))),"Producer &amp; Engineer")</f>
        <v/>
      </c>
    </row>
    <row r="154">
      <c r="A154" s="28"/>
      <c r="B154" s="97"/>
      <c r="C154" s="121" t="str">
        <f t="array" ref="C154">ifs(and(isblank($A154),isblank($B154)),"", not(iserror(vlookup($A154&amp;$B154,'3) Release_Label'!$D:$D&amp;'3) Release_Label'!$E:$E,1,0))),vlookup($A154&amp;$B154,{'3) Release_Label'!$D:$D&amp;'3) Release_Label'!$E:$E,'3) Release_Label'!$F:$F},2,0),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
      </c>
      <c r="D154" s="121" t="str">
        <f t="array" ref="D154">ifs(and(isblank($A154),isblank($B154)),"", not(iserror(vlookup($A154&amp;$B154,'3) Release_Label'!$D:$D&amp;'3) Release_Label'!$E:$E,1,0))),vlookup($A154&amp;$B154,{'3) Release_Label'!$D:$D&amp;'3) Release_Label'!$E:$E,'3) Release_Label'!$H:$H},2,0),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
      </c>
      <c r="E154" s="92"/>
      <c r="F154" s="92"/>
      <c r="G154" s="125" t="str">
        <f t="array" ref="G154">ifs(or($F154="",$F154="Main Primary Artist"),$F154,not(iserror(vlookup($F154,'Reference info'!$J$5:$J$8,1,0))),"Key Artist",not(iserror(vlookup($F154,'Reference info'!$J$38:$J$405,1,0))),"Performer",not(iserror(vlookup($F154,'Reference info'!$J$10:$J$36,1,0))),"Producer &amp; Engineer")</f>
        <v/>
      </c>
    </row>
    <row r="155">
      <c r="A155" s="28"/>
      <c r="B155" s="97"/>
      <c r="C155" s="121" t="str">
        <f t="array" ref="C155">ifs(and(isblank($A155),isblank($B155)),"", not(iserror(vlookup($A155&amp;$B155,'3) Release_Label'!$D:$D&amp;'3) Release_Label'!$E:$E,1,0))),vlookup($A155&amp;$B155,{'3) Release_Label'!$D:$D&amp;'3) Release_Label'!$E:$E,'3) Release_Label'!$F:$F},2,0),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
      </c>
      <c r="D155" s="121" t="str">
        <f t="array" ref="D155">ifs(and(isblank($A155),isblank($B155)),"", not(iserror(vlookup($A155&amp;$B155,'3) Release_Label'!$D:$D&amp;'3) Release_Label'!$E:$E,1,0))),vlookup($A155&amp;$B155,{'3) Release_Label'!$D:$D&amp;'3) Release_Label'!$E:$E,'3) Release_Label'!$H:$H},2,0),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
      </c>
      <c r="E155" s="92"/>
      <c r="F155" s="92"/>
      <c r="G155" s="125" t="str">
        <f t="array" ref="G155">ifs(or($F155="",$F155="Main Primary Artist"),$F155,not(iserror(vlookup($F155,'Reference info'!$J$5:$J$8,1,0))),"Key Artist",not(iserror(vlookup($F155,'Reference info'!$J$38:$J$405,1,0))),"Performer",not(iserror(vlookup($F155,'Reference info'!$J$10:$J$36,1,0))),"Producer &amp; Engineer")</f>
        <v/>
      </c>
    </row>
    <row r="156">
      <c r="A156" s="28"/>
      <c r="B156" s="97"/>
      <c r="C156" s="121" t="str">
        <f t="array" ref="C156">ifs(and(isblank($A156),isblank($B156)),"", not(iserror(vlookup($A156&amp;$B156,'3) Release_Label'!$D:$D&amp;'3) Release_Label'!$E:$E,1,0))),vlookup($A156&amp;$B156,{'3) Release_Label'!$D:$D&amp;'3) Release_Label'!$E:$E,'3) Release_Label'!$F:$F},2,0), or(and(not(isblank($B156)),$B156=$B155,$A156&lt;&gt;$A155),and(not(isblank($A156)),$A156=$A155,$B156&lt;&gt;$B155)),"ID LISTS UNALIGNED",and($A156&lt;&gt;"",countif('3) Release_Label'!$D:$D,$A156)=0),"NO UPC MATCH in Release_Label",and($B156&lt;&gt;"",countif('3) Release_Label'!$E:$E,$B156)=0),"NO CATALOG ID MATCH in Release_Label",iserror(vlookup($A156&amp;$B156,'3) Release_Label'!$D:$D&amp;'3) Release_Label'!$E:$E,1,0)),"NO UPC-CATALOG ID pair MATCH in Release_Label" )</f>
        <v/>
      </c>
      <c r="D156" s="121" t="str">
        <f t="array" ref="D156">ifs(and(isblank($A156),isblank($B156)),"", not(iserror(vlookup($A156&amp;$B156,'3) Release_Label'!$D:$D&amp;'3) Release_Label'!$E:$E,1,0))),vlookup($A156&amp;$B156,{'3) Release_Label'!$D:$D&amp;'3) Release_Label'!$E:$E,'3) Release_Label'!$H:$H},2,0), or(and(not(isblank($B156)),$B156=$B155,$A156&lt;&gt;$A155),and(not(isblank($A156)),$A156=$A155,$B156&lt;&gt;$B155)),"ID LISTS UNALIGNED",and($A156&lt;&gt;"",countif('3) Release_Label'!$D:$D,$A156)=0),"NO UPC MATCH in Release_Label",and($B156&lt;&gt;"",countif('3) Release_Label'!$E:$E,$B156)=0),"NO CATALOG ID MATCH in Release_Label",iserror(vlookup($A156&amp;$B156,'3) Release_Label'!$D:$D&amp;'3) Release_Label'!$E:$E,1,0)),"NO UPC-CATALOG ID pair MATCH in Release_Label" )</f>
        <v/>
      </c>
      <c r="E156" s="92"/>
      <c r="F156" s="92"/>
      <c r="G156" s="125" t="str">
        <f t="array" ref="G156">ifs(or($F156="",$F156="Main Primary Artist"),$F156,not(iserror(vlookup($F156,'Reference info'!$J$5:$J$8,1,0))),"Key Artist",not(iserror(vlookup($F156,'Reference info'!$J$38:$J$405,1,0))),"Performer",not(iserror(vlookup($F156,'Reference info'!$J$10:$J$36,1,0))),"Producer &amp; Engineer")</f>
        <v/>
      </c>
    </row>
    <row r="157">
      <c r="A157" s="28"/>
      <c r="B157" s="97"/>
      <c r="C157" s="121" t="str">
        <f t="array" ref="C157">ifs(and(isblank($A157),isblank($B157)),"", not(iserror(vlookup($A157&amp;$B157,'3) Release_Label'!$D:$D&amp;'3) Release_Label'!$E:$E,1,0))),vlookup($A157&amp;$B157,{'3) Release_Label'!$D:$D&amp;'3) Release_Label'!$E:$E,'3) Release_Label'!$F:$F},2,0), or(and(not(isblank($B157)),$B157=$B156,$A157&lt;&gt;$A156),and(not(isblank($A157)),$A157=$A156,$B157&lt;&gt;$B156)),"ID LISTS UNALIGNED",and($A157&lt;&gt;"",countif('3) Release_Label'!$D:$D,$A157)=0),"NO UPC MATCH in Release_Label",and($B157&lt;&gt;"",countif('3) Release_Label'!$E:$E,$B157)=0),"NO CATALOG ID MATCH in Release_Label",iserror(vlookup($A157&amp;$B157,'3) Release_Label'!$D:$D&amp;'3) Release_Label'!$E:$E,1,0)),"NO UPC-CATALOG ID pair MATCH in Release_Label" )</f>
        <v/>
      </c>
      <c r="D157" s="121" t="str">
        <f t="array" ref="D157">ifs(and(isblank($A157),isblank($B157)),"", not(iserror(vlookup($A157&amp;$B157,'3) Release_Label'!$D:$D&amp;'3) Release_Label'!$E:$E,1,0))),vlookup($A157&amp;$B157,{'3) Release_Label'!$D:$D&amp;'3) Release_Label'!$E:$E,'3) Release_Label'!$H:$H},2,0), or(and(not(isblank($B157)),$B157=$B156,$A157&lt;&gt;$A156),and(not(isblank($A157)),$A157=$A156,$B157&lt;&gt;$B156)),"ID LISTS UNALIGNED",and($A157&lt;&gt;"",countif('3) Release_Label'!$D:$D,$A157)=0),"NO UPC MATCH in Release_Label",and($B157&lt;&gt;"",countif('3) Release_Label'!$E:$E,$B157)=0),"NO CATALOG ID MATCH in Release_Label",iserror(vlookup($A157&amp;$B157,'3) Release_Label'!$D:$D&amp;'3) Release_Label'!$E:$E,1,0)),"NO UPC-CATALOG ID pair MATCH in Release_Label" )</f>
        <v/>
      </c>
      <c r="E157" s="92"/>
      <c r="F157" s="92"/>
      <c r="G157" s="125" t="str">
        <f t="array" ref="G157">ifs(or($F157="",$F157="Main Primary Artist"),$F157,not(iserror(vlookup($F157,'Reference info'!$J$5:$J$8,1,0))),"Key Artist",not(iserror(vlookup($F157,'Reference info'!$J$38:$J$405,1,0))),"Performer",not(iserror(vlookup($F157,'Reference info'!$J$10:$J$36,1,0))),"Producer &amp; Engineer")</f>
        <v/>
      </c>
    </row>
    <row r="158">
      <c r="A158" s="28"/>
      <c r="B158" s="97"/>
      <c r="C158" s="121" t="str">
        <f t="array" ref="C158">ifs(and(isblank($A158),isblank($B158)),"", not(iserror(vlookup($A158&amp;$B158,'3) Release_Label'!$D:$D&amp;'3) Release_Label'!$E:$E,1,0))),vlookup($A158&amp;$B158,{'3) Release_Label'!$D:$D&amp;'3) Release_Label'!$E:$E,'3) Release_Label'!$F:$F},2,0), or(and(not(isblank($B158)),$B158=$B157,$A158&lt;&gt;$A157),and(not(isblank($A158)),$A158=$A157,$B158&lt;&gt;$B157)),"ID LISTS UNALIGNED",and($A158&lt;&gt;"",countif('3) Release_Label'!$D:$D,$A158)=0),"NO UPC MATCH in Release_Label",and($B158&lt;&gt;"",countif('3) Release_Label'!$E:$E,$B158)=0),"NO CATALOG ID MATCH in Release_Label",iserror(vlookup($A158&amp;$B158,'3) Release_Label'!$D:$D&amp;'3) Release_Label'!$E:$E,1,0)),"NO UPC-CATALOG ID pair MATCH in Release_Label" )</f>
        <v/>
      </c>
      <c r="D158" s="121" t="str">
        <f t="array" ref="D158">ifs(and(isblank($A158),isblank($B158)),"", not(iserror(vlookup($A158&amp;$B158,'3) Release_Label'!$D:$D&amp;'3) Release_Label'!$E:$E,1,0))),vlookup($A158&amp;$B158,{'3) Release_Label'!$D:$D&amp;'3) Release_Label'!$E:$E,'3) Release_Label'!$H:$H},2,0), or(and(not(isblank($B158)),$B158=$B157,$A158&lt;&gt;$A157),and(not(isblank($A158)),$A158=$A157,$B158&lt;&gt;$B157)),"ID LISTS UNALIGNED",and($A158&lt;&gt;"",countif('3) Release_Label'!$D:$D,$A158)=0),"NO UPC MATCH in Release_Label",and($B158&lt;&gt;"",countif('3) Release_Label'!$E:$E,$B158)=0),"NO CATALOG ID MATCH in Release_Label",iserror(vlookup($A158&amp;$B158,'3) Release_Label'!$D:$D&amp;'3) Release_Label'!$E:$E,1,0)),"NO UPC-CATALOG ID pair MATCH in Release_Label" )</f>
        <v/>
      </c>
      <c r="E158" s="92"/>
      <c r="F158" s="92"/>
      <c r="G158" s="125" t="str">
        <f t="array" ref="G158">ifs(or($F158="",$F158="Main Primary Artist"),$F158,not(iserror(vlookup($F158,'Reference info'!$J$5:$J$8,1,0))),"Key Artist",not(iserror(vlookup($F158,'Reference info'!$J$38:$J$405,1,0))),"Performer",not(iserror(vlookup($F158,'Reference info'!$J$10:$J$36,1,0))),"Producer &amp; Engineer")</f>
        <v/>
      </c>
    </row>
    <row r="159">
      <c r="A159" s="28"/>
      <c r="B159" s="97"/>
      <c r="C159" s="121" t="str">
        <f t="array" ref="C159">ifs(and(isblank($A159),isblank($B159)),"", not(iserror(vlookup($A159&amp;$B159,'3) Release_Label'!$D:$D&amp;'3) Release_Label'!$E:$E,1,0))),vlookup($A159&amp;$B159,{'3) Release_Label'!$D:$D&amp;'3) Release_Label'!$E:$E,'3) Release_Label'!$F:$F},2,0), or(and(not(isblank($B159)),$B159=$B158,$A159&lt;&gt;$A158),and(not(isblank($A159)),$A159=$A158,$B159&lt;&gt;$B158)),"ID LISTS UNALIGNED",and($A159&lt;&gt;"",countif('3) Release_Label'!$D:$D,$A159)=0),"NO UPC MATCH in Release_Label",and($B159&lt;&gt;"",countif('3) Release_Label'!$E:$E,$B159)=0),"NO CATALOG ID MATCH in Release_Label",iserror(vlookup($A159&amp;$B159,'3) Release_Label'!$D:$D&amp;'3) Release_Label'!$E:$E,1,0)),"NO UPC-CATALOG ID pair MATCH in Release_Label" )</f>
        <v/>
      </c>
      <c r="D159" s="121" t="str">
        <f t="array" ref="D159">ifs(and(isblank($A159),isblank($B159)),"", not(iserror(vlookup($A159&amp;$B159,'3) Release_Label'!$D:$D&amp;'3) Release_Label'!$E:$E,1,0))),vlookup($A159&amp;$B159,{'3) Release_Label'!$D:$D&amp;'3) Release_Label'!$E:$E,'3) Release_Label'!$H:$H},2,0), or(and(not(isblank($B159)),$B159=$B158,$A159&lt;&gt;$A158),and(not(isblank($A159)),$A159=$A158,$B159&lt;&gt;$B158)),"ID LISTS UNALIGNED",and($A159&lt;&gt;"",countif('3) Release_Label'!$D:$D,$A159)=0),"NO UPC MATCH in Release_Label",and($B159&lt;&gt;"",countif('3) Release_Label'!$E:$E,$B159)=0),"NO CATALOG ID MATCH in Release_Label",iserror(vlookup($A159&amp;$B159,'3) Release_Label'!$D:$D&amp;'3) Release_Label'!$E:$E,1,0)),"NO UPC-CATALOG ID pair MATCH in Release_Label" )</f>
        <v/>
      </c>
      <c r="E159" s="92"/>
      <c r="F159" s="92"/>
      <c r="G159" s="125" t="str">
        <f t="array" ref="G159">ifs(or($F159="",$F159="Main Primary Artist"),$F159,not(iserror(vlookup($F159,'Reference info'!$J$5:$J$8,1,0))),"Key Artist",not(iserror(vlookup($F159,'Reference info'!$J$38:$J$405,1,0))),"Performer",not(iserror(vlookup($F159,'Reference info'!$J$10:$J$36,1,0))),"Producer &amp; Engineer")</f>
        <v/>
      </c>
    </row>
    <row r="160">
      <c r="A160" s="28"/>
      <c r="B160" s="97"/>
      <c r="C160" s="121" t="str">
        <f t="array" ref="C160">ifs(and(isblank($A160),isblank($B160)),"", not(iserror(vlookup($A160&amp;$B160,'3) Release_Label'!$D:$D&amp;'3) Release_Label'!$E:$E,1,0))),vlookup($A160&amp;$B160,{'3) Release_Label'!$D:$D&amp;'3) Release_Label'!$E:$E,'3) Release_Label'!$F:$F},2,0), or(and(not(isblank($B160)),$B160=$B159,$A160&lt;&gt;$A159),and(not(isblank($A160)),$A160=$A159,$B160&lt;&gt;$B159)),"ID LISTS UNALIGNED",and($A160&lt;&gt;"",countif('3) Release_Label'!$D:$D,$A160)=0),"NO UPC MATCH in Release_Label",and($B160&lt;&gt;"",countif('3) Release_Label'!$E:$E,$B160)=0),"NO CATALOG ID MATCH in Release_Label",iserror(vlookup($A160&amp;$B160,'3) Release_Label'!$D:$D&amp;'3) Release_Label'!$E:$E,1,0)),"NO UPC-CATALOG ID pair MATCH in Release_Label" )</f>
        <v/>
      </c>
      <c r="D160" s="121" t="str">
        <f t="array" ref="D160">ifs(and(isblank($A160),isblank($B160)),"", not(iserror(vlookup($A160&amp;$B160,'3) Release_Label'!$D:$D&amp;'3) Release_Label'!$E:$E,1,0))),vlookup($A160&amp;$B160,{'3) Release_Label'!$D:$D&amp;'3) Release_Label'!$E:$E,'3) Release_Label'!$H:$H},2,0), or(and(not(isblank($B160)),$B160=$B159,$A160&lt;&gt;$A159),and(not(isblank($A160)),$A160=$A159,$B160&lt;&gt;$B159)),"ID LISTS UNALIGNED",and($A160&lt;&gt;"",countif('3) Release_Label'!$D:$D,$A160)=0),"NO UPC MATCH in Release_Label",and($B160&lt;&gt;"",countif('3) Release_Label'!$E:$E,$B160)=0),"NO CATALOG ID MATCH in Release_Label",iserror(vlookup($A160&amp;$B160,'3) Release_Label'!$D:$D&amp;'3) Release_Label'!$E:$E,1,0)),"NO UPC-CATALOG ID pair MATCH in Release_Label" )</f>
        <v/>
      </c>
      <c r="E160" s="92"/>
      <c r="F160" s="92"/>
      <c r="G160" s="125" t="str">
        <f t="array" ref="G160">ifs(or($F160="",$F160="Main Primary Artist"),$F160,not(iserror(vlookup($F160,'Reference info'!$J$5:$J$8,1,0))),"Key Artist",not(iserror(vlookup($F160,'Reference info'!$J$38:$J$405,1,0))),"Performer",not(iserror(vlookup($F160,'Reference info'!$J$10:$J$36,1,0))),"Producer &amp; Engineer")</f>
        <v/>
      </c>
    </row>
    <row r="161">
      <c r="A161" s="28"/>
      <c r="B161" s="97"/>
      <c r="C161" s="121" t="str">
        <f t="array" ref="C161">ifs(and(isblank($A161),isblank($B161)),"", not(iserror(vlookup($A161&amp;$B161,'3) Release_Label'!$D:$D&amp;'3) Release_Label'!$E:$E,1,0))),vlookup($A161&amp;$B161,{'3) Release_Label'!$D:$D&amp;'3) Release_Label'!$E:$E,'3) Release_Label'!$F:$F},2,0), or(and(not(isblank($B161)),$B161=$B160,$A161&lt;&gt;$A160),and(not(isblank($A161)),$A161=$A160,$B161&lt;&gt;$B160)),"ID LISTS UNALIGNED",and($A161&lt;&gt;"",countif('3) Release_Label'!$D:$D,$A161)=0),"NO UPC MATCH in Release_Label",and($B161&lt;&gt;"",countif('3) Release_Label'!$E:$E,$B161)=0),"NO CATALOG ID MATCH in Release_Label",iserror(vlookup($A161&amp;$B161,'3) Release_Label'!$D:$D&amp;'3) Release_Label'!$E:$E,1,0)),"NO UPC-CATALOG ID pair MATCH in Release_Label" )</f>
        <v/>
      </c>
      <c r="D161" s="121" t="str">
        <f t="array" ref="D161">ifs(and(isblank($A161),isblank($B161)),"", not(iserror(vlookup($A161&amp;$B161,'3) Release_Label'!$D:$D&amp;'3) Release_Label'!$E:$E,1,0))),vlookup($A161&amp;$B161,{'3) Release_Label'!$D:$D&amp;'3) Release_Label'!$E:$E,'3) Release_Label'!$H:$H},2,0), or(and(not(isblank($B161)),$B161=$B160,$A161&lt;&gt;$A160),and(not(isblank($A161)),$A161=$A160,$B161&lt;&gt;$B160)),"ID LISTS UNALIGNED",and($A161&lt;&gt;"",countif('3) Release_Label'!$D:$D,$A161)=0),"NO UPC MATCH in Release_Label",and($B161&lt;&gt;"",countif('3) Release_Label'!$E:$E,$B161)=0),"NO CATALOG ID MATCH in Release_Label",iserror(vlookup($A161&amp;$B161,'3) Release_Label'!$D:$D&amp;'3) Release_Label'!$E:$E,1,0)),"NO UPC-CATALOG ID pair MATCH in Release_Label" )</f>
        <v/>
      </c>
      <c r="E161" s="92"/>
      <c r="F161" s="92"/>
      <c r="G161" s="125" t="str">
        <f t="array" ref="G161">ifs(or($F161="",$F161="Main Primary Artist"),$F161,not(iserror(vlookup($F161,'Reference info'!$J$5:$J$8,1,0))),"Key Artist",not(iserror(vlookup($F161,'Reference info'!$J$38:$J$405,1,0))),"Performer",not(iserror(vlookup($F161,'Reference info'!$J$10:$J$36,1,0))),"Producer &amp; Engineer")</f>
        <v/>
      </c>
    </row>
    <row r="162">
      <c r="A162" s="28"/>
      <c r="B162" s="97"/>
      <c r="C162" s="121" t="str">
        <f t="array" ref="C162">ifs(and(isblank($A162),isblank($B162)),"", not(iserror(vlookup($A162&amp;$B162,'3) Release_Label'!$D:$D&amp;'3) Release_Label'!$E:$E,1,0))),vlookup($A162&amp;$B162,{'3) Release_Label'!$D:$D&amp;'3) Release_Label'!$E:$E,'3) Release_Label'!$F:$F},2,0), or(and(not(isblank($B162)),$B162=$B161,$A162&lt;&gt;$A161),and(not(isblank($A162)),$A162=$A161,$B162&lt;&gt;$B161)),"ID LISTS UNALIGNED",and($A162&lt;&gt;"",countif('3) Release_Label'!$D:$D,$A162)=0),"NO UPC MATCH in Release_Label",and($B162&lt;&gt;"",countif('3) Release_Label'!$E:$E,$B162)=0),"NO CATALOG ID MATCH in Release_Label",iserror(vlookup($A162&amp;$B162,'3) Release_Label'!$D:$D&amp;'3) Release_Label'!$E:$E,1,0)),"NO UPC-CATALOG ID pair MATCH in Release_Label" )</f>
        <v/>
      </c>
      <c r="D162" s="121" t="str">
        <f t="array" ref="D162">ifs(and(isblank($A162),isblank($B162)),"", not(iserror(vlookup($A162&amp;$B162,'3) Release_Label'!$D:$D&amp;'3) Release_Label'!$E:$E,1,0))),vlookup($A162&amp;$B162,{'3) Release_Label'!$D:$D&amp;'3) Release_Label'!$E:$E,'3) Release_Label'!$H:$H},2,0), or(and(not(isblank($B162)),$B162=$B161,$A162&lt;&gt;$A161),and(not(isblank($A162)),$A162=$A161,$B162&lt;&gt;$B161)),"ID LISTS UNALIGNED",and($A162&lt;&gt;"",countif('3) Release_Label'!$D:$D,$A162)=0),"NO UPC MATCH in Release_Label",and($B162&lt;&gt;"",countif('3) Release_Label'!$E:$E,$B162)=0),"NO CATALOG ID MATCH in Release_Label",iserror(vlookup($A162&amp;$B162,'3) Release_Label'!$D:$D&amp;'3) Release_Label'!$E:$E,1,0)),"NO UPC-CATALOG ID pair MATCH in Release_Label" )</f>
        <v/>
      </c>
      <c r="E162" s="92"/>
      <c r="F162" s="92"/>
      <c r="G162" s="125" t="str">
        <f t="array" ref="G162">ifs(or($F162="",$F162="Main Primary Artist"),$F162,not(iserror(vlookup($F162,'Reference info'!$J$5:$J$8,1,0))),"Key Artist",not(iserror(vlookup($F162,'Reference info'!$J$38:$J$405,1,0))),"Performer",not(iserror(vlookup($F162,'Reference info'!$J$10:$J$36,1,0))),"Producer &amp; Engineer")</f>
        <v/>
      </c>
    </row>
    <row r="163">
      <c r="A163" s="28"/>
      <c r="B163" s="97"/>
      <c r="C163" s="121" t="str">
        <f t="array" ref="C163">ifs(and(isblank($A163),isblank($B163)),"", not(iserror(vlookup($A163&amp;$B163,'3) Release_Label'!$D:$D&amp;'3) Release_Label'!$E:$E,1,0))),vlookup($A163&amp;$B163,{'3) Release_Label'!$D:$D&amp;'3) Release_Label'!$E:$E,'3) Release_Label'!$F:$F},2,0), or(and(not(isblank($B163)),$B163=$B162,$A163&lt;&gt;$A162),and(not(isblank($A163)),$A163=$A162,$B163&lt;&gt;$B162)),"ID LISTS UNALIGNED",and($A163&lt;&gt;"",countif('3) Release_Label'!$D:$D,$A163)=0),"NO UPC MATCH in Release_Label",and($B163&lt;&gt;"",countif('3) Release_Label'!$E:$E,$B163)=0),"NO CATALOG ID MATCH in Release_Label",iserror(vlookup($A163&amp;$B163,'3) Release_Label'!$D:$D&amp;'3) Release_Label'!$E:$E,1,0)),"NO UPC-CATALOG ID pair MATCH in Release_Label" )</f>
        <v/>
      </c>
      <c r="D163" s="121" t="str">
        <f t="array" ref="D163">ifs(and(isblank($A163),isblank($B163)),"", not(iserror(vlookup($A163&amp;$B163,'3) Release_Label'!$D:$D&amp;'3) Release_Label'!$E:$E,1,0))),vlookup($A163&amp;$B163,{'3) Release_Label'!$D:$D&amp;'3) Release_Label'!$E:$E,'3) Release_Label'!$H:$H},2,0), or(and(not(isblank($B163)),$B163=$B162,$A163&lt;&gt;$A162),and(not(isblank($A163)),$A163=$A162,$B163&lt;&gt;$B162)),"ID LISTS UNALIGNED",and($A163&lt;&gt;"",countif('3) Release_Label'!$D:$D,$A163)=0),"NO UPC MATCH in Release_Label",and($B163&lt;&gt;"",countif('3) Release_Label'!$E:$E,$B163)=0),"NO CATALOG ID MATCH in Release_Label",iserror(vlookup($A163&amp;$B163,'3) Release_Label'!$D:$D&amp;'3) Release_Label'!$E:$E,1,0)),"NO UPC-CATALOG ID pair MATCH in Release_Label" )</f>
        <v/>
      </c>
      <c r="E163" s="92"/>
      <c r="F163" s="92"/>
      <c r="G163" s="125" t="str">
        <f t="array" ref="G163">ifs(or($F163="",$F163="Main Primary Artist"),$F163,not(iserror(vlookup($F163,'Reference info'!$J$5:$J$8,1,0))),"Key Artist",not(iserror(vlookup($F163,'Reference info'!$J$38:$J$405,1,0))),"Performer",not(iserror(vlookup($F163,'Reference info'!$J$10:$J$36,1,0))),"Producer &amp; Engineer")</f>
        <v/>
      </c>
    </row>
    <row r="164">
      <c r="A164" s="28"/>
      <c r="B164" s="97"/>
      <c r="C164" s="121" t="str">
        <f t="array" ref="C164">ifs(and(isblank($A164),isblank($B164)),"", not(iserror(vlookup($A164&amp;$B164,'3) Release_Label'!$D:$D&amp;'3) Release_Label'!$E:$E,1,0))),vlookup($A164&amp;$B164,{'3) Release_Label'!$D:$D&amp;'3) Release_Label'!$E:$E,'3) Release_Label'!$F:$F},2,0), or(and(not(isblank($B164)),$B164=$B163,$A164&lt;&gt;$A163),and(not(isblank($A164)),$A164=$A163,$B164&lt;&gt;$B163)),"ID LISTS UNALIGNED",and($A164&lt;&gt;"",countif('3) Release_Label'!$D:$D,$A164)=0),"NO UPC MATCH in Release_Label",and($B164&lt;&gt;"",countif('3) Release_Label'!$E:$E,$B164)=0),"NO CATALOG ID MATCH in Release_Label",iserror(vlookup($A164&amp;$B164,'3) Release_Label'!$D:$D&amp;'3) Release_Label'!$E:$E,1,0)),"NO UPC-CATALOG ID pair MATCH in Release_Label" )</f>
        <v/>
      </c>
      <c r="D164" s="121" t="str">
        <f t="array" ref="D164">ifs(and(isblank($A164),isblank($B164)),"", not(iserror(vlookup($A164&amp;$B164,'3) Release_Label'!$D:$D&amp;'3) Release_Label'!$E:$E,1,0))),vlookup($A164&amp;$B164,{'3) Release_Label'!$D:$D&amp;'3) Release_Label'!$E:$E,'3) Release_Label'!$H:$H},2,0), or(and(not(isblank($B164)),$B164=$B163,$A164&lt;&gt;$A163),and(not(isblank($A164)),$A164=$A163,$B164&lt;&gt;$B163)),"ID LISTS UNALIGNED",and($A164&lt;&gt;"",countif('3) Release_Label'!$D:$D,$A164)=0),"NO UPC MATCH in Release_Label",and($B164&lt;&gt;"",countif('3) Release_Label'!$E:$E,$B164)=0),"NO CATALOG ID MATCH in Release_Label",iserror(vlookup($A164&amp;$B164,'3) Release_Label'!$D:$D&amp;'3) Release_Label'!$E:$E,1,0)),"NO UPC-CATALOG ID pair MATCH in Release_Label" )</f>
        <v/>
      </c>
      <c r="E164" s="92"/>
      <c r="F164" s="92"/>
      <c r="G164" s="125" t="str">
        <f t="array" ref="G164">ifs(or($F164="",$F164="Main Primary Artist"),$F164,not(iserror(vlookup($F164,'Reference info'!$J$5:$J$8,1,0))),"Key Artist",not(iserror(vlookup($F164,'Reference info'!$J$38:$J$405,1,0))),"Performer",not(iserror(vlookup($F164,'Reference info'!$J$10:$J$36,1,0))),"Producer &amp; Engineer")</f>
        <v/>
      </c>
    </row>
    <row r="165">
      <c r="A165" s="28"/>
      <c r="B165" s="97"/>
      <c r="C165" s="121" t="str">
        <f t="array" ref="C165">ifs(and(isblank($A165),isblank($B165)),"", not(iserror(vlookup($A165&amp;$B165,'3) Release_Label'!$D:$D&amp;'3) Release_Label'!$E:$E,1,0))),vlookup($A165&amp;$B165,{'3) Release_Label'!$D:$D&amp;'3) Release_Label'!$E:$E,'3) Release_Label'!$F:$F},2,0), or(and(not(isblank($B165)),$B165=$B164,$A165&lt;&gt;$A164),and(not(isblank($A165)),$A165=$A164,$B165&lt;&gt;$B164)),"ID LISTS UNALIGNED",and($A165&lt;&gt;"",countif('3) Release_Label'!$D:$D,$A165)=0),"NO UPC MATCH in Release_Label",and($B165&lt;&gt;"",countif('3) Release_Label'!$E:$E,$B165)=0),"NO CATALOG ID MATCH in Release_Label",iserror(vlookup($A165&amp;$B165,'3) Release_Label'!$D:$D&amp;'3) Release_Label'!$E:$E,1,0)),"NO UPC-CATALOG ID pair MATCH in Release_Label" )</f>
        <v/>
      </c>
      <c r="D165" s="121" t="str">
        <f t="array" ref="D165">ifs(and(isblank($A165),isblank($B165)),"", not(iserror(vlookup($A165&amp;$B165,'3) Release_Label'!$D:$D&amp;'3) Release_Label'!$E:$E,1,0))),vlookup($A165&amp;$B165,{'3) Release_Label'!$D:$D&amp;'3) Release_Label'!$E:$E,'3) Release_Label'!$H:$H},2,0), or(and(not(isblank($B165)),$B165=$B164,$A165&lt;&gt;$A164),and(not(isblank($A165)),$A165=$A164,$B165&lt;&gt;$B164)),"ID LISTS UNALIGNED",and($A165&lt;&gt;"",countif('3) Release_Label'!$D:$D,$A165)=0),"NO UPC MATCH in Release_Label",and($B165&lt;&gt;"",countif('3) Release_Label'!$E:$E,$B165)=0),"NO CATALOG ID MATCH in Release_Label",iserror(vlookup($A165&amp;$B165,'3) Release_Label'!$D:$D&amp;'3) Release_Label'!$E:$E,1,0)),"NO UPC-CATALOG ID pair MATCH in Release_Label" )</f>
        <v/>
      </c>
      <c r="E165" s="92"/>
      <c r="F165" s="92"/>
      <c r="G165" s="125" t="str">
        <f t="array" ref="G165">ifs(or($F165="",$F165="Main Primary Artist"),$F165,not(iserror(vlookup($F165,'Reference info'!$J$5:$J$8,1,0))),"Key Artist",not(iserror(vlookup($F165,'Reference info'!$J$38:$J$405,1,0))),"Performer",not(iserror(vlookup($F165,'Reference info'!$J$10:$J$36,1,0))),"Producer &amp; Engineer")</f>
        <v/>
      </c>
    </row>
    <row r="166">
      <c r="A166" s="28"/>
      <c r="B166" s="97"/>
      <c r="C166" s="121" t="str">
        <f t="array" ref="C166">ifs(and(isblank($A166),isblank($B166)),"", not(iserror(vlookup($A166&amp;$B166,'3) Release_Label'!$D:$D&amp;'3) Release_Label'!$E:$E,1,0))),vlookup($A166&amp;$B166,{'3) Release_Label'!$D:$D&amp;'3) Release_Label'!$E:$E,'3) Release_Label'!$F:$F},2,0), or(and(not(isblank($B166)),$B166=$B165,$A166&lt;&gt;$A165),and(not(isblank($A166)),$A166=$A165,$B166&lt;&gt;$B165)),"ID LISTS UNALIGNED",and($A166&lt;&gt;"",countif('3) Release_Label'!$D:$D,$A166)=0),"NO UPC MATCH in Release_Label",and($B166&lt;&gt;"",countif('3) Release_Label'!$E:$E,$B166)=0),"NO CATALOG ID MATCH in Release_Label",iserror(vlookup($A166&amp;$B166,'3) Release_Label'!$D:$D&amp;'3) Release_Label'!$E:$E,1,0)),"NO UPC-CATALOG ID pair MATCH in Release_Label" )</f>
        <v/>
      </c>
      <c r="D166" s="121" t="str">
        <f t="array" ref="D166">ifs(and(isblank($A166),isblank($B166)),"", not(iserror(vlookup($A166&amp;$B166,'3) Release_Label'!$D:$D&amp;'3) Release_Label'!$E:$E,1,0))),vlookup($A166&amp;$B166,{'3) Release_Label'!$D:$D&amp;'3) Release_Label'!$E:$E,'3) Release_Label'!$H:$H},2,0), or(and(not(isblank($B166)),$B166=$B165,$A166&lt;&gt;$A165),and(not(isblank($A166)),$A166=$A165,$B166&lt;&gt;$B165)),"ID LISTS UNALIGNED",and($A166&lt;&gt;"",countif('3) Release_Label'!$D:$D,$A166)=0),"NO UPC MATCH in Release_Label",and($B166&lt;&gt;"",countif('3) Release_Label'!$E:$E,$B166)=0),"NO CATALOG ID MATCH in Release_Label",iserror(vlookup($A166&amp;$B166,'3) Release_Label'!$D:$D&amp;'3) Release_Label'!$E:$E,1,0)),"NO UPC-CATALOG ID pair MATCH in Release_Label" )</f>
        <v/>
      </c>
      <c r="E166" s="92"/>
      <c r="F166" s="92"/>
      <c r="G166" s="125" t="str">
        <f t="array" ref="G166">ifs(or($F166="",$F166="Main Primary Artist"),$F166,not(iserror(vlookup($F166,'Reference info'!$J$5:$J$8,1,0))),"Key Artist",not(iserror(vlookup($F166,'Reference info'!$J$38:$J$405,1,0))),"Performer",not(iserror(vlookup($F166,'Reference info'!$J$10:$J$36,1,0))),"Producer &amp; Engineer")</f>
        <v/>
      </c>
    </row>
    <row r="167">
      <c r="A167" s="28"/>
      <c r="B167" s="97"/>
      <c r="C167" s="121" t="str">
        <f t="array" ref="C167">ifs(and(isblank($A167),isblank($B167)),"", not(iserror(vlookup($A167&amp;$B167,'3) Release_Label'!$D:$D&amp;'3) Release_Label'!$E:$E,1,0))),vlookup($A167&amp;$B167,{'3) Release_Label'!$D:$D&amp;'3) Release_Label'!$E:$E,'3) Release_Label'!$F:$F},2,0), or(and(not(isblank($B167)),$B167=$B166,$A167&lt;&gt;$A166),and(not(isblank($A167)),$A167=$A166,$B167&lt;&gt;$B166)),"ID LISTS UNALIGNED",and($A167&lt;&gt;"",countif('3) Release_Label'!$D:$D,$A167)=0),"NO UPC MATCH in Release_Label",and($B167&lt;&gt;"",countif('3) Release_Label'!$E:$E,$B167)=0),"NO CATALOG ID MATCH in Release_Label",iserror(vlookup($A167&amp;$B167,'3) Release_Label'!$D:$D&amp;'3) Release_Label'!$E:$E,1,0)),"NO UPC-CATALOG ID pair MATCH in Release_Label" )</f>
        <v/>
      </c>
      <c r="D167" s="121" t="str">
        <f t="array" ref="D167">ifs(and(isblank($A167),isblank($B167)),"", not(iserror(vlookup($A167&amp;$B167,'3) Release_Label'!$D:$D&amp;'3) Release_Label'!$E:$E,1,0))),vlookup($A167&amp;$B167,{'3) Release_Label'!$D:$D&amp;'3) Release_Label'!$E:$E,'3) Release_Label'!$H:$H},2,0), or(and(not(isblank($B167)),$B167=$B166,$A167&lt;&gt;$A166),and(not(isblank($A167)),$A167=$A166,$B167&lt;&gt;$B166)),"ID LISTS UNALIGNED",and($A167&lt;&gt;"",countif('3) Release_Label'!$D:$D,$A167)=0),"NO UPC MATCH in Release_Label",and($B167&lt;&gt;"",countif('3) Release_Label'!$E:$E,$B167)=0),"NO CATALOG ID MATCH in Release_Label",iserror(vlookup($A167&amp;$B167,'3) Release_Label'!$D:$D&amp;'3) Release_Label'!$E:$E,1,0)),"NO UPC-CATALOG ID pair MATCH in Release_Label" )</f>
        <v/>
      </c>
      <c r="E167" s="92"/>
      <c r="F167" s="92"/>
      <c r="G167" s="125" t="str">
        <f t="array" ref="G167">ifs(or($F167="",$F167="Main Primary Artist"),$F167,not(iserror(vlookup($F167,'Reference info'!$J$5:$J$8,1,0))),"Key Artist",not(iserror(vlookup($F167,'Reference info'!$J$38:$J$405,1,0))),"Performer",not(iserror(vlookup($F167,'Reference info'!$J$10:$J$36,1,0))),"Producer &amp; Engineer")</f>
        <v/>
      </c>
    </row>
    <row r="168">
      <c r="A168" s="28"/>
      <c r="B168" s="97"/>
      <c r="C168" s="121" t="str">
        <f t="array" ref="C168">ifs(and(isblank($A168),isblank($B168)),"", not(iserror(vlookup($A168&amp;$B168,'3) Release_Label'!$D:$D&amp;'3) Release_Label'!$E:$E,1,0))),vlookup($A168&amp;$B168,{'3) Release_Label'!$D:$D&amp;'3) Release_Label'!$E:$E,'3) Release_Label'!$F:$F},2,0), or(and(not(isblank($B168)),$B168=$B167,$A168&lt;&gt;$A167),and(not(isblank($A168)),$A168=$A167,$B168&lt;&gt;$B167)),"ID LISTS UNALIGNED",and($A168&lt;&gt;"",countif('3) Release_Label'!$D:$D,$A168)=0),"NO UPC MATCH in Release_Label",and($B168&lt;&gt;"",countif('3) Release_Label'!$E:$E,$B168)=0),"NO CATALOG ID MATCH in Release_Label",iserror(vlookup($A168&amp;$B168,'3) Release_Label'!$D:$D&amp;'3) Release_Label'!$E:$E,1,0)),"NO UPC-CATALOG ID pair MATCH in Release_Label" )</f>
        <v/>
      </c>
      <c r="D168" s="121" t="str">
        <f t="array" ref="D168">ifs(and(isblank($A168),isblank($B168)),"", not(iserror(vlookup($A168&amp;$B168,'3) Release_Label'!$D:$D&amp;'3) Release_Label'!$E:$E,1,0))),vlookup($A168&amp;$B168,{'3) Release_Label'!$D:$D&amp;'3) Release_Label'!$E:$E,'3) Release_Label'!$H:$H},2,0), or(and(not(isblank($B168)),$B168=$B167,$A168&lt;&gt;$A167),and(not(isblank($A168)),$A168=$A167,$B168&lt;&gt;$B167)),"ID LISTS UNALIGNED",and($A168&lt;&gt;"",countif('3) Release_Label'!$D:$D,$A168)=0),"NO UPC MATCH in Release_Label",and($B168&lt;&gt;"",countif('3) Release_Label'!$E:$E,$B168)=0),"NO CATALOG ID MATCH in Release_Label",iserror(vlookup($A168&amp;$B168,'3) Release_Label'!$D:$D&amp;'3) Release_Label'!$E:$E,1,0)),"NO UPC-CATALOG ID pair MATCH in Release_Label" )</f>
        <v/>
      </c>
      <c r="E168" s="92"/>
      <c r="F168" s="92"/>
      <c r="G168" s="125" t="str">
        <f t="array" ref="G168">ifs(or($F168="",$F168="Main Primary Artist"),$F168,not(iserror(vlookup($F168,'Reference info'!$J$5:$J$8,1,0))),"Key Artist",not(iserror(vlookup($F168,'Reference info'!$J$38:$J$405,1,0))),"Performer",not(iserror(vlookup($F168,'Reference info'!$J$10:$J$36,1,0))),"Producer &amp; Engineer")</f>
        <v/>
      </c>
    </row>
    <row r="169">
      <c r="A169" s="28"/>
      <c r="B169" s="97"/>
      <c r="C169" s="121" t="str">
        <f t="array" ref="C169">ifs(and(isblank($A169),isblank($B169)),"", not(iserror(vlookup($A169&amp;$B169,'3) Release_Label'!$D:$D&amp;'3) Release_Label'!$E:$E,1,0))),vlookup($A169&amp;$B169,{'3) Release_Label'!$D:$D&amp;'3) Release_Label'!$E:$E,'3) Release_Label'!$F:$F},2,0), or(and(not(isblank($B169)),$B169=$B168,$A169&lt;&gt;$A168),and(not(isblank($A169)),$A169=$A168,$B169&lt;&gt;$B168)),"ID LISTS UNALIGNED",and($A169&lt;&gt;"",countif('3) Release_Label'!$D:$D,$A169)=0),"NO UPC MATCH in Release_Label",and($B169&lt;&gt;"",countif('3) Release_Label'!$E:$E,$B169)=0),"NO CATALOG ID MATCH in Release_Label",iserror(vlookup($A169&amp;$B169,'3) Release_Label'!$D:$D&amp;'3) Release_Label'!$E:$E,1,0)),"NO UPC-CATALOG ID pair MATCH in Release_Label" )</f>
        <v/>
      </c>
      <c r="D169" s="121" t="str">
        <f t="array" ref="D169">ifs(and(isblank($A169),isblank($B169)),"", not(iserror(vlookup($A169&amp;$B169,'3) Release_Label'!$D:$D&amp;'3) Release_Label'!$E:$E,1,0))),vlookup($A169&amp;$B169,{'3) Release_Label'!$D:$D&amp;'3) Release_Label'!$E:$E,'3) Release_Label'!$H:$H},2,0), or(and(not(isblank($B169)),$B169=$B168,$A169&lt;&gt;$A168),and(not(isblank($A169)),$A169=$A168,$B169&lt;&gt;$B168)),"ID LISTS UNALIGNED",and($A169&lt;&gt;"",countif('3) Release_Label'!$D:$D,$A169)=0),"NO UPC MATCH in Release_Label",and($B169&lt;&gt;"",countif('3) Release_Label'!$E:$E,$B169)=0),"NO CATALOG ID MATCH in Release_Label",iserror(vlookup($A169&amp;$B169,'3) Release_Label'!$D:$D&amp;'3) Release_Label'!$E:$E,1,0)),"NO UPC-CATALOG ID pair MATCH in Release_Label" )</f>
        <v/>
      </c>
      <c r="E169" s="92"/>
      <c r="F169" s="92"/>
      <c r="G169" s="125" t="str">
        <f t="array" ref="G169">ifs(or($F169="",$F169="Main Primary Artist"),$F169,not(iserror(vlookup($F169,'Reference info'!$J$5:$J$8,1,0))),"Key Artist",not(iserror(vlookup($F169,'Reference info'!$J$38:$J$405,1,0))),"Performer",not(iserror(vlookup($F169,'Reference info'!$J$10:$J$36,1,0))),"Producer &amp; Engineer")</f>
        <v/>
      </c>
    </row>
    <row r="170">
      <c r="A170" s="28"/>
      <c r="B170" s="97"/>
      <c r="C170" s="121" t="str">
        <f t="array" ref="C170">ifs(and(isblank($A170),isblank($B170)),"", not(iserror(vlookup($A170&amp;$B170,'3) Release_Label'!$D:$D&amp;'3) Release_Label'!$E:$E,1,0))),vlookup($A170&amp;$B170,{'3) Release_Label'!$D:$D&amp;'3) Release_Label'!$E:$E,'3) Release_Label'!$F:$F},2,0), or(and(not(isblank($B170)),$B170=$B169,$A170&lt;&gt;$A169),and(not(isblank($A170)),$A170=$A169,$B170&lt;&gt;$B169)),"ID LISTS UNALIGNED",and($A170&lt;&gt;"",countif('3) Release_Label'!$D:$D,$A170)=0),"NO UPC MATCH in Release_Label",and($B170&lt;&gt;"",countif('3) Release_Label'!$E:$E,$B170)=0),"NO CATALOG ID MATCH in Release_Label",iserror(vlookup($A170&amp;$B170,'3) Release_Label'!$D:$D&amp;'3) Release_Label'!$E:$E,1,0)),"NO UPC-CATALOG ID pair MATCH in Release_Label" )</f>
        <v/>
      </c>
      <c r="D170" s="121" t="str">
        <f t="array" ref="D170">ifs(and(isblank($A170),isblank($B170)),"", not(iserror(vlookup($A170&amp;$B170,'3) Release_Label'!$D:$D&amp;'3) Release_Label'!$E:$E,1,0))),vlookup($A170&amp;$B170,{'3) Release_Label'!$D:$D&amp;'3) Release_Label'!$E:$E,'3) Release_Label'!$H:$H},2,0), or(and(not(isblank($B170)),$B170=$B169,$A170&lt;&gt;$A169),and(not(isblank($A170)),$A170=$A169,$B170&lt;&gt;$B169)),"ID LISTS UNALIGNED",and($A170&lt;&gt;"",countif('3) Release_Label'!$D:$D,$A170)=0),"NO UPC MATCH in Release_Label",and($B170&lt;&gt;"",countif('3) Release_Label'!$E:$E,$B170)=0),"NO CATALOG ID MATCH in Release_Label",iserror(vlookup($A170&amp;$B170,'3) Release_Label'!$D:$D&amp;'3) Release_Label'!$E:$E,1,0)),"NO UPC-CATALOG ID pair MATCH in Release_Label" )</f>
        <v/>
      </c>
      <c r="E170" s="92"/>
      <c r="F170" s="92"/>
      <c r="G170" s="125" t="str">
        <f t="array" ref="G170">ifs(or($F170="",$F170="Main Primary Artist"),$F170,not(iserror(vlookup($F170,'Reference info'!$J$5:$J$8,1,0))),"Key Artist",not(iserror(vlookup($F170,'Reference info'!$J$38:$J$405,1,0))),"Performer",not(iserror(vlookup($F170,'Reference info'!$J$10:$J$36,1,0))),"Producer &amp; Engineer")</f>
        <v/>
      </c>
    </row>
    <row r="171">
      <c r="A171" s="28"/>
      <c r="B171" s="97"/>
      <c r="C171" s="121" t="str">
        <f t="array" ref="C171">ifs(and(isblank($A171),isblank($B171)),"", not(iserror(vlookup($A171&amp;$B171,'3) Release_Label'!$D:$D&amp;'3) Release_Label'!$E:$E,1,0))),vlookup($A171&amp;$B171,{'3) Release_Label'!$D:$D&amp;'3) Release_Label'!$E:$E,'3) Release_Label'!$F:$F},2,0), or(and(not(isblank($B171)),$B171=$B170,$A171&lt;&gt;$A170),and(not(isblank($A171)),$A171=$A170,$B171&lt;&gt;$B170)),"ID LISTS UNALIGNED",and($A171&lt;&gt;"",countif('3) Release_Label'!$D:$D,$A171)=0),"NO UPC MATCH in Release_Label",and($B171&lt;&gt;"",countif('3) Release_Label'!$E:$E,$B171)=0),"NO CATALOG ID MATCH in Release_Label",iserror(vlookup($A171&amp;$B171,'3) Release_Label'!$D:$D&amp;'3) Release_Label'!$E:$E,1,0)),"NO UPC-CATALOG ID pair MATCH in Release_Label" )</f>
        <v/>
      </c>
      <c r="D171" s="121" t="str">
        <f t="array" ref="D171">ifs(and(isblank($A171),isblank($B171)),"", not(iserror(vlookup($A171&amp;$B171,'3) Release_Label'!$D:$D&amp;'3) Release_Label'!$E:$E,1,0))),vlookup($A171&amp;$B171,{'3) Release_Label'!$D:$D&amp;'3) Release_Label'!$E:$E,'3) Release_Label'!$H:$H},2,0), or(and(not(isblank($B171)),$B171=$B170,$A171&lt;&gt;$A170),and(not(isblank($A171)),$A171=$A170,$B171&lt;&gt;$B170)),"ID LISTS UNALIGNED",and($A171&lt;&gt;"",countif('3) Release_Label'!$D:$D,$A171)=0),"NO UPC MATCH in Release_Label",and($B171&lt;&gt;"",countif('3) Release_Label'!$E:$E,$B171)=0),"NO CATALOG ID MATCH in Release_Label",iserror(vlookup($A171&amp;$B171,'3) Release_Label'!$D:$D&amp;'3) Release_Label'!$E:$E,1,0)),"NO UPC-CATALOG ID pair MATCH in Release_Label" )</f>
        <v/>
      </c>
      <c r="E171" s="92"/>
      <c r="F171" s="92"/>
      <c r="G171" s="125" t="str">
        <f t="array" ref="G171">ifs(or($F171="",$F171="Main Primary Artist"),$F171,not(iserror(vlookup($F171,'Reference info'!$J$5:$J$8,1,0))),"Key Artist",not(iserror(vlookup($F171,'Reference info'!$J$38:$J$405,1,0))),"Performer",not(iserror(vlookup($F171,'Reference info'!$J$10:$J$36,1,0))),"Producer &amp; Engineer")</f>
        <v/>
      </c>
    </row>
    <row r="172">
      <c r="A172" s="28"/>
      <c r="B172" s="97"/>
      <c r="C172" s="121" t="str">
        <f t="array" ref="C172">ifs(and(isblank($A172),isblank($B172)),"", not(iserror(vlookup($A172&amp;$B172,'3) Release_Label'!$D:$D&amp;'3) Release_Label'!$E:$E,1,0))),vlookup($A172&amp;$B172,{'3) Release_Label'!$D:$D&amp;'3) Release_Label'!$E:$E,'3) Release_Label'!$F:$F},2,0), or(and(not(isblank($B172)),$B172=$B171,$A172&lt;&gt;$A171),and(not(isblank($A172)),$A172=$A171,$B172&lt;&gt;$B171)),"ID LISTS UNALIGNED",and($A172&lt;&gt;"",countif('3) Release_Label'!$D:$D,$A172)=0),"NO UPC MATCH in Release_Label",and($B172&lt;&gt;"",countif('3) Release_Label'!$E:$E,$B172)=0),"NO CATALOG ID MATCH in Release_Label",iserror(vlookup($A172&amp;$B172,'3) Release_Label'!$D:$D&amp;'3) Release_Label'!$E:$E,1,0)),"NO UPC-CATALOG ID pair MATCH in Release_Label" )</f>
        <v/>
      </c>
      <c r="D172" s="121" t="str">
        <f t="array" ref="D172">ifs(and(isblank($A172),isblank($B172)),"", not(iserror(vlookup($A172&amp;$B172,'3) Release_Label'!$D:$D&amp;'3) Release_Label'!$E:$E,1,0))),vlookup($A172&amp;$B172,{'3) Release_Label'!$D:$D&amp;'3) Release_Label'!$E:$E,'3) Release_Label'!$H:$H},2,0), or(and(not(isblank($B172)),$B172=$B171,$A172&lt;&gt;$A171),and(not(isblank($A172)),$A172=$A171,$B172&lt;&gt;$B171)),"ID LISTS UNALIGNED",and($A172&lt;&gt;"",countif('3) Release_Label'!$D:$D,$A172)=0),"NO UPC MATCH in Release_Label",and($B172&lt;&gt;"",countif('3) Release_Label'!$E:$E,$B172)=0),"NO CATALOG ID MATCH in Release_Label",iserror(vlookup($A172&amp;$B172,'3) Release_Label'!$D:$D&amp;'3) Release_Label'!$E:$E,1,0)),"NO UPC-CATALOG ID pair MATCH in Release_Label" )</f>
        <v/>
      </c>
      <c r="E172" s="92"/>
      <c r="F172" s="92"/>
      <c r="G172" s="125" t="str">
        <f t="array" ref="G172">ifs(or($F172="",$F172="Main Primary Artist"),$F172,not(iserror(vlookup($F172,'Reference info'!$J$5:$J$8,1,0))),"Key Artist",not(iserror(vlookup($F172,'Reference info'!$J$38:$J$405,1,0))),"Performer",not(iserror(vlookup($F172,'Reference info'!$J$10:$J$36,1,0))),"Producer &amp; Engineer")</f>
        <v/>
      </c>
    </row>
    <row r="173">
      <c r="A173" s="28"/>
      <c r="B173" s="97"/>
      <c r="C173" s="121" t="str">
        <f t="array" ref="C173">ifs(and(isblank($A173),isblank($B173)),"", not(iserror(vlookup($A173&amp;$B173,'3) Release_Label'!$D:$D&amp;'3) Release_Label'!$E:$E,1,0))),vlookup($A173&amp;$B173,{'3) Release_Label'!$D:$D&amp;'3) Release_Label'!$E:$E,'3) Release_Label'!$F:$F},2,0), or(and(not(isblank($B173)),$B173=$B172,$A173&lt;&gt;$A172),and(not(isblank($A173)),$A173=$A172,$B173&lt;&gt;$B172)),"ID LISTS UNALIGNED",and($A173&lt;&gt;"",countif('3) Release_Label'!$D:$D,$A173)=0),"NO UPC MATCH in Release_Label",and($B173&lt;&gt;"",countif('3) Release_Label'!$E:$E,$B173)=0),"NO CATALOG ID MATCH in Release_Label",iserror(vlookup($A173&amp;$B173,'3) Release_Label'!$D:$D&amp;'3) Release_Label'!$E:$E,1,0)),"NO UPC-CATALOG ID pair MATCH in Release_Label" )</f>
        <v/>
      </c>
      <c r="D173" s="121" t="str">
        <f t="array" ref="D173">ifs(and(isblank($A173),isblank($B173)),"", not(iserror(vlookup($A173&amp;$B173,'3) Release_Label'!$D:$D&amp;'3) Release_Label'!$E:$E,1,0))),vlookup($A173&amp;$B173,{'3) Release_Label'!$D:$D&amp;'3) Release_Label'!$E:$E,'3) Release_Label'!$H:$H},2,0), or(and(not(isblank($B173)),$B173=$B172,$A173&lt;&gt;$A172),and(not(isblank($A173)),$A173=$A172,$B173&lt;&gt;$B172)),"ID LISTS UNALIGNED",and($A173&lt;&gt;"",countif('3) Release_Label'!$D:$D,$A173)=0),"NO UPC MATCH in Release_Label",and($B173&lt;&gt;"",countif('3) Release_Label'!$E:$E,$B173)=0),"NO CATALOG ID MATCH in Release_Label",iserror(vlookup($A173&amp;$B173,'3) Release_Label'!$D:$D&amp;'3) Release_Label'!$E:$E,1,0)),"NO UPC-CATALOG ID pair MATCH in Release_Label" )</f>
        <v/>
      </c>
      <c r="E173" s="92"/>
      <c r="F173" s="92"/>
      <c r="G173" s="125" t="str">
        <f t="array" ref="G173">ifs(or($F173="",$F173="Main Primary Artist"),$F173,not(iserror(vlookup($F173,'Reference info'!$J$5:$J$8,1,0))),"Key Artist",not(iserror(vlookup($F173,'Reference info'!$J$38:$J$405,1,0))),"Performer",not(iserror(vlookup($F173,'Reference info'!$J$10:$J$36,1,0))),"Producer &amp; Engineer")</f>
        <v/>
      </c>
    </row>
    <row r="174">
      <c r="A174" s="28"/>
      <c r="B174" s="97"/>
      <c r="C174" s="121" t="str">
        <f t="array" ref="C174">ifs(and(isblank($A174),isblank($B174)),"", not(iserror(vlookup($A174&amp;$B174,'3) Release_Label'!$D:$D&amp;'3) Release_Label'!$E:$E,1,0))),vlookup($A174&amp;$B174,{'3) Release_Label'!$D:$D&amp;'3) Release_Label'!$E:$E,'3) Release_Label'!$F:$F},2,0), or(and(not(isblank($B174)),$B174=$B173,$A174&lt;&gt;$A173),and(not(isblank($A174)),$A174=$A173,$B174&lt;&gt;$B173)),"ID LISTS UNALIGNED",and($A174&lt;&gt;"",countif('3) Release_Label'!$D:$D,$A174)=0),"NO UPC MATCH in Release_Label",and($B174&lt;&gt;"",countif('3) Release_Label'!$E:$E,$B174)=0),"NO CATALOG ID MATCH in Release_Label",iserror(vlookup($A174&amp;$B174,'3) Release_Label'!$D:$D&amp;'3) Release_Label'!$E:$E,1,0)),"NO UPC-CATALOG ID pair MATCH in Release_Label" )</f>
        <v/>
      </c>
      <c r="D174" s="121" t="str">
        <f t="array" ref="D174">ifs(and(isblank($A174),isblank($B174)),"", not(iserror(vlookup($A174&amp;$B174,'3) Release_Label'!$D:$D&amp;'3) Release_Label'!$E:$E,1,0))),vlookup($A174&amp;$B174,{'3) Release_Label'!$D:$D&amp;'3) Release_Label'!$E:$E,'3) Release_Label'!$H:$H},2,0), or(and(not(isblank($B174)),$B174=$B173,$A174&lt;&gt;$A173),and(not(isblank($A174)),$A174=$A173,$B174&lt;&gt;$B173)),"ID LISTS UNALIGNED",and($A174&lt;&gt;"",countif('3) Release_Label'!$D:$D,$A174)=0),"NO UPC MATCH in Release_Label",and($B174&lt;&gt;"",countif('3) Release_Label'!$E:$E,$B174)=0),"NO CATALOG ID MATCH in Release_Label",iserror(vlookup($A174&amp;$B174,'3) Release_Label'!$D:$D&amp;'3) Release_Label'!$E:$E,1,0)),"NO UPC-CATALOG ID pair MATCH in Release_Label" )</f>
        <v/>
      </c>
      <c r="E174" s="92"/>
      <c r="F174" s="92"/>
      <c r="G174" s="125" t="str">
        <f t="array" ref="G174">ifs(or($F174="",$F174="Main Primary Artist"),$F174,not(iserror(vlookup($F174,'Reference info'!$J$5:$J$8,1,0))),"Key Artist",not(iserror(vlookup($F174,'Reference info'!$J$38:$J$405,1,0))),"Performer",not(iserror(vlookup($F174,'Reference info'!$J$10:$J$36,1,0))),"Producer &amp; Engineer")</f>
        <v/>
      </c>
    </row>
    <row r="175">
      <c r="A175" s="28"/>
      <c r="B175" s="97"/>
      <c r="C175" s="121" t="str">
        <f t="array" ref="C175">ifs(and(isblank($A175),isblank($B175)),"", not(iserror(vlookup($A175&amp;$B175,'3) Release_Label'!$D:$D&amp;'3) Release_Label'!$E:$E,1,0))),vlookup($A175&amp;$B175,{'3) Release_Label'!$D:$D&amp;'3) Release_Label'!$E:$E,'3) Release_Label'!$F:$F},2,0), or(and(not(isblank($B175)),$B175=$B174,$A175&lt;&gt;$A174),and(not(isblank($A175)),$A175=$A174,$B175&lt;&gt;$B174)),"ID LISTS UNALIGNED",and($A175&lt;&gt;"",countif('3) Release_Label'!$D:$D,$A175)=0),"NO UPC MATCH in Release_Label",and($B175&lt;&gt;"",countif('3) Release_Label'!$E:$E,$B175)=0),"NO CATALOG ID MATCH in Release_Label",iserror(vlookup($A175&amp;$B175,'3) Release_Label'!$D:$D&amp;'3) Release_Label'!$E:$E,1,0)),"NO UPC-CATALOG ID pair MATCH in Release_Label" )</f>
        <v/>
      </c>
      <c r="D175" s="121" t="str">
        <f t="array" ref="D175">ifs(and(isblank($A175),isblank($B175)),"", not(iserror(vlookup($A175&amp;$B175,'3) Release_Label'!$D:$D&amp;'3) Release_Label'!$E:$E,1,0))),vlookup($A175&amp;$B175,{'3) Release_Label'!$D:$D&amp;'3) Release_Label'!$E:$E,'3) Release_Label'!$H:$H},2,0), or(and(not(isblank($B175)),$B175=$B174,$A175&lt;&gt;$A174),and(not(isblank($A175)),$A175=$A174,$B175&lt;&gt;$B174)),"ID LISTS UNALIGNED",and($A175&lt;&gt;"",countif('3) Release_Label'!$D:$D,$A175)=0),"NO UPC MATCH in Release_Label",and($B175&lt;&gt;"",countif('3) Release_Label'!$E:$E,$B175)=0),"NO CATALOG ID MATCH in Release_Label",iserror(vlookup($A175&amp;$B175,'3) Release_Label'!$D:$D&amp;'3) Release_Label'!$E:$E,1,0)),"NO UPC-CATALOG ID pair MATCH in Release_Label" )</f>
        <v/>
      </c>
      <c r="E175" s="92"/>
      <c r="F175" s="92"/>
      <c r="G175" s="125" t="str">
        <f t="array" ref="G175">ifs(or($F175="",$F175="Main Primary Artist"),$F175,not(iserror(vlookup($F175,'Reference info'!$J$5:$J$8,1,0))),"Key Artist",not(iserror(vlookup($F175,'Reference info'!$J$38:$J$405,1,0))),"Performer",not(iserror(vlookup($F175,'Reference info'!$J$10:$J$36,1,0))),"Producer &amp; Engineer")</f>
        <v/>
      </c>
    </row>
    <row r="176">
      <c r="A176" s="28"/>
      <c r="B176" s="97"/>
      <c r="C176" s="121" t="str">
        <f t="array" ref="C176">ifs(and(isblank($A176),isblank($B176)),"", not(iserror(vlookup($A176&amp;$B176,'3) Release_Label'!$D:$D&amp;'3) Release_Label'!$E:$E,1,0))),vlookup($A176&amp;$B176,{'3) Release_Label'!$D:$D&amp;'3) Release_Label'!$E:$E,'3) Release_Label'!$F:$F},2,0), or(and(not(isblank($B176)),$B176=$B175,$A176&lt;&gt;$A175),and(not(isblank($A176)),$A176=$A175,$B176&lt;&gt;$B175)),"ID LISTS UNALIGNED",and($A176&lt;&gt;"",countif('3) Release_Label'!$D:$D,$A176)=0),"NO UPC MATCH in Release_Label",and($B176&lt;&gt;"",countif('3) Release_Label'!$E:$E,$B176)=0),"NO CATALOG ID MATCH in Release_Label",iserror(vlookup($A176&amp;$B176,'3) Release_Label'!$D:$D&amp;'3) Release_Label'!$E:$E,1,0)),"NO UPC-CATALOG ID pair MATCH in Release_Label" )</f>
        <v/>
      </c>
      <c r="D176" s="121" t="str">
        <f t="array" ref="D176">ifs(and(isblank($A176),isblank($B176)),"", not(iserror(vlookup($A176&amp;$B176,'3) Release_Label'!$D:$D&amp;'3) Release_Label'!$E:$E,1,0))),vlookup($A176&amp;$B176,{'3) Release_Label'!$D:$D&amp;'3) Release_Label'!$E:$E,'3) Release_Label'!$H:$H},2,0), or(and(not(isblank($B176)),$B176=$B175,$A176&lt;&gt;$A175),and(not(isblank($A176)),$A176=$A175,$B176&lt;&gt;$B175)),"ID LISTS UNALIGNED",and($A176&lt;&gt;"",countif('3) Release_Label'!$D:$D,$A176)=0),"NO UPC MATCH in Release_Label",and($B176&lt;&gt;"",countif('3) Release_Label'!$E:$E,$B176)=0),"NO CATALOG ID MATCH in Release_Label",iserror(vlookup($A176&amp;$B176,'3) Release_Label'!$D:$D&amp;'3) Release_Label'!$E:$E,1,0)),"NO UPC-CATALOG ID pair MATCH in Release_Label" )</f>
        <v/>
      </c>
      <c r="E176" s="92"/>
      <c r="F176" s="92"/>
      <c r="G176" s="125" t="str">
        <f t="array" ref="G176">ifs(or($F176="",$F176="Main Primary Artist"),$F176,not(iserror(vlookup($F176,'Reference info'!$J$5:$J$8,1,0))),"Key Artist",not(iserror(vlookup($F176,'Reference info'!$J$38:$J$405,1,0))),"Performer",not(iserror(vlookup($F176,'Reference info'!$J$10:$J$36,1,0))),"Producer &amp; Engineer")</f>
        <v/>
      </c>
    </row>
    <row r="177">
      <c r="A177" s="28"/>
      <c r="B177" s="97"/>
      <c r="C177" s="121" t="str">
        <f t="array" ref="C177">ifs(and(isblank($A177),isblank($B177)),"", not(iserror(vlookup($A177&amp;$B177,'3) Release_Label'!$D:$D&amp;'3) Release_Label'!$E:$E,1,0))),vlookup($A177&amp;$B177,{'3) Release_Label'!$D:$D&amp;'3) Release_Label'!$E:$E,'3) Release_Label'!$F:$F},2,0), or(and(not(isblank($B177)),$B177=$B176,$A177&lt;&gt;$A176),and(not(isblank($A177)),$A177=$A176,$B177&lt;&gt;$B176)),"ID LISTS UNALIGNED",and($A177&lt;&gt;"",countif('3) Release_Label'!$D:$D,$A177)=0),"NO UPC MATCH in Release_Label",and($B177&lt;&gt;"",countif('3) Release_Label'!$E:$E,$B177)=0),"NO CATALOG ID MATCH in Release_Label",iserror(vlookup($A177&amp;$B177,'3) Release_Label'!$D:$D&amp;'3) Release_Label'!$E:$E,1,0)),"NO UPC-CATALOG ID pair MATCH in Release_Label" )</f>
        <v/>
      </c>
      <c r="D177" s="121" t="str">
        <f t="array" ref="D177">ifs(and(isblank($A177),isblank($B177)),"", not(iserror(vlookup($A177&amp;$B177,'3) Release_Label'!$D:$D&amp;'3) Release_Label'!$E:$E,1,0))),vlookup($A177&amp;$B177,{'3) Release_Label'!$D:$D&amp;'3) Release_Label'!$E:$E,'3) Release_Label'!$H:$H},2,0), or(and(not(isblank($B177)),$B177=$B176,$A177&lt;&gt;$A176),and(not(isblank($A177)),$A177=$A176,$B177&lt;&gt;$B176)),"ID LISTS UNALIGNED",and($A177&lt;&gt;"",countif('3) Release_Label'!$D:$D,$A177)=0),"NO UPC MATCH in Release_Label",and($B177&lt;&gt;"",countif('3) Release_Label'!$E:$E,$B177)=0),"NO CATALOG ID MATCH in Release_Label",iserror(vlookup($A177&amp;$B177,'3) Release_Label'!$D:$D&amp;'3) Release_Label'!$E:$E,1,0)),"NO UPC-CATALOG ID pair MATCH in Release_Label" )</f>
        <v/>
      </c>
      <c r="E177" s="92"/>
      <c r="F177" s="92"/>
      <c r="G177" s="125" t="str">
        <f t="array" ref="G177">ifs(or($F177="",$F177="Main Primary Artist"),$F177,not(iserror(vlookup($F177,'Reference info'!$J$5:$J$8,1,0))),"Key Artist",not(iserror(vlookup($F177,'Reference info'!$J$38:$J$405,1,0))),"Performer",not(iserror(vlookup($F177,'Reference info'!$J$10:$J$36,1,0))),"Producer &amp; Engineer")</f>
        <v/>
      </c>
    </row>
    <row r="178">
      <c r="A178" s="28"/>
      <c r="B178" s="97"/>
      <c r="C178" s="121" t="str">
        <f t="array" ref="C178">ifs(and(isblank($A178),isblank($B178)),"", not(iserror(vlookup($A178&amp;$B178,'3) Release_Label'!$D:$D&amp;'3) Release_Label'!$E:$E,1,0))),vlookup($A178&amp;$B178,{'3) Release_Label'!$D:$D&amp;'3) Release_Label'!$E:$E,'3) Release_Label'!$F:$F},2,0), or(and(not(isblank($B178)),$B178=$B177,$A178&lt;&gt;$A177),and(not(isblank($A178)),$A178=$A177,$B178&lt;&gt;$B177)),"ID LISTS UNALIGNED",and($A178&lt;&gt;"",countif('3) Release_Label'!$D:$D,$A178)=0),"NO UPC MATCH in Release_Label",and($B178&lt;&gt;"",countif('3) Release_Label'!$E:$E,$B178)=0),"NO CATALOG ID MATCH in Release_Label",iserror(vlookup($A178&amp;$B178,'3) Release_Label'!$D:$D&amp;'3) Release_Label'!$E:$E,1,0)),"NO UPC-CATALOG ID pair MATCH in Release_Label" )</f>
        <v/>
      </c>
      <c r="D178" s="121" t="str">
        <f t="array" ref="D178">ifs(and(isblank($A178),isblank($B178)),"", not(iserror(vlookup($A178&amp;$B178,'3) Release_Label'!$D:$D&amp;'3) Release_Label'!$E:$E,1,0))),vlookup($A178&amp;$B178,{'3) Release_Label'!$D:$D&amp;'3) Release_Label'!$E:$E,'3) Release_Label'!$H:$H},2,0), or(and(not(isblank($B178)),$B178=$B177,$A178&lt;&gt;$A177),and(not(isblank($A178)),$A178=$A177,$B178&lt;&gt;$B177)),"ID LISTS UNALIGNED",and($A178&lt;&gt;"",countif('3) Release_Label'!$D:$D,$A178)=0),"NO UPC MATCH in Release_Label",and($B178&lt;&gt;"",countif('3) Release_Label'!$E:$E,$B178)=0),"NO CATALOG ID MATCH in Release_Label",iserror(vlookup($A178&amp;$B178,'3) Release_Label'!$D:$D&amp;'3) Release_Label'!$E:$E,1,0)),"NO UPC-CATALOG ID pair MATCH in Release_Label" )</f>
        <v/>
      </c>
      <c r="E178" s="92"/>
      <c r="F178" s="92"/>
      <c r="G178" s="125" t="str">
        <f t="array" ref="G178">ifs(or($F178="",$F178="Main Primary Artist"),$F178,not(iserror(vlookup($F178,'Reference info'!$J$5:$J$8,1,0))),"Key Artist",not(iserror(vlookup($F178,'Reference info'!$J$38:$J$405,1,0))),"Performer",not(iserror(vlookup($F178,'Reference info'!$J$10:$J$36,1,0))),"Producer &amp; Engineer")</f>
        <v/>
      </c>
    </row>
    <row r="179">
      <c r="A179" s="28"/>
      <c r="B179" s="97"/>
      <c r="C179" s="121" t="str">
        <f t="array" ref="C179">ifs(and(isblank($A179),isblank($B179)),"", not(iserror(vlookup($A179&amp;$B179,'3) Release_Label'!$D:$D&amp;'3) Release_Label'!$E:$E,1,0))),vlookup($A179&amp;$B179,{'3) Release_Label'!$D:$D&amp;'3) Release_Label'!$E:$E,'3) Release_Label'!$F:$F},2,0), or(and(not(isblank($B179)),$B179=$B178,$A179&lt;&gt;$A178),and(not(isblank($A179)),$A179=$A178,$B179&lt;&gt;$B178)),"ID LISTS UNALIGNED",and($A179&lt;&gt;"",countif('3) Release_Label'!$D:$D,$A179)=0),"NO UPC MATCH in Release_Label",and($B179&lt;&gt;"",countif('3) Release_Label'!$E:$E,$B179)=0),"NO CATALOG ID MATCH in Release_Label",iserror(vlookup($A179&amp;$B179,'3) Release_Label'!$D:$D&amp;'3) Release_Label'!$E:$E,1,0)),"NO UPC-CATALOG ID pair MATCH in Release_Label" )</f>
        <v/>
      </c>
      <c r="D179" s="121" t="str">
        <f t="array" ref="D179">ifs(and(isblank($A179),isblank($B179)),"", not(iserror(vlookup($A179&amp;$B179,'3) Release_Label'!$D:$D&amp;'3) Release_Label'!$E:$E,1,0))),vlookup($A179&amp;$B179,{'3) Release_Label'!$D:$D&amp;'3) Release_Label'!$E:$E,'3) Release_Label'!$H:$H},2,0), or(and(not(isblank($B179)),$B179=$B178,$A179&lt;&gt;$A178),and(not(isblank($A179)),$A179=$A178,$B179&lt;&gt;$B178)),"ID LISTS UNALIGNED",and($A179&lt;&gt;"",countif('3) Release_Label'!$D:$D,$A179)=0),"NO UPC MATCH in Release_Label",and($B179&lt;&gt;"",countif('3) Release_Label'!$E:$E,$B179)=0),"NO CATALOG ID MATCH in Release_Label",iserror(vlookup($A179&amp;$B179,'3) Release_Label'!$D:$D&amp;'3) Release_Label'!$E:$E,1,0)),"NO UPC-CATALOG ID pair MATCH in Release_Label" )</f>
        <v/>
      </c>
      <c r="E179" s="92"/>
      <c r="F179" s="92"/>
      <c r="G179" s="125" t="str">
        <f t="array" ref="G179">ifs(or($F179="",$F179="Main Primary Artist"),$F179,not(iserror(vlookup($F179,'Reference info'!$J$5:$J$8,1,0))),"Key Artist",not(iserror(vlookup($F179,'Reference info'!$J$38:$J$405,1,0))),"Performer",not(iserror(vlookup($F179,'Reference info'!$J$10:$J$36,1,0))),"Producer &amp; Engineer")</f>
        <v/>
      </c>
    </row>
    <row r="180">
      <c r="A180" s="28"/>
      <c r="B180" s="97"/>
      <c r="C180" s="121" t="str">
        <f t="array" ref="C180">ifs(and(isblank($A180),isblank($B180)),"", not(iserror(vlookup($A180&amp;$B180,'3) Release_Label'!$D:$D&amp;'3) Release_Label'!$E:$E,1,0))),vlookup($A180&amp;$B180,{'3) Release_Label'!$D:$D&amp;'3) Release_Label'!$E:$E,'3) Release_Label'!$F:$F},2,0), or(and(not(isblank($B180)),$B180=$B179,$A180&lt;&gt;$A179),and(not(isblank($A180)),$A180=$A179,$B180&lt;&gt;$B179)),"ID LISTS UNALIGNED",and($A180&lt;&gt;"",countif('3) Release_Label'!$D:$D,$A180)=0),"NO UPC MATCH in Release_Label",and($B180&lt;&gt;"",countif('3) Release_Label'!$E:$E,$B180)=0),"NO CATALOG ID MATCH in Release_Label",iserror(vlookup($A180&amp;$B180,'3) Release_Label'!$D:$D&amp;'3) Release_Label'!$E:$E,1,0)),"NO UPC-CATALOG ID pair MATCH in Release_Label" )</f>
        <v/>
      </c>
      <c r="D180" s="121" t="str">
        <f t="array" ref="D180">ifs(and(isblank($A180),isblank($B180)),"", not(iserror(vlookup($A180&amp;$B180,'3) Release_Label'!$D:$D&amp;'3) Release_Label'!$E:$E,1,0))),vlookup($A180&amp;$B180,{'3) Release_Label'!$D:$D&amp;'3) Release_Label'!$E:$E,'3) Release_Label'!$H:$H},2,0), or(and(not(isblank($B180)),$B180=$B179,$A180&lt;&gt;$A179),and(not(isblank($A180)),$A180=$A179,$B180&lt;&gt;$B179)),"ID LISTS UNALIGNED",and($A180&lt;&gt;"",countif('3) Release_Label'!$D:$D,$A180)=0),"NO UPC MATCH in Release_Label",and($B180&lt;&gt;"",countif('3) Release_Label'!$E:$E,$B180)=0),"NO CATALOG ID MATCH in Release_Label",iserror(vlookup($A180&amp;$B180,'3) Release_Label'!$D:$D&amp;'3) Release_Label'!$E:$E,1,0)),"NO UPC-CATALOG ID pair MATCH in Release_Label" )</f>
        <v/>
      </c>
      <c r="E180" s="92"/>
      <c r="F180" s="92"/>
      <c r="G180" s="125" t="str">
        <f t="array" ref="G180">ifs(or($F180="",$F180="Main Primary Artist"),$F180,not(iserror(vlookup($F180,'Reference info'!$J$5:$J$8,1,0))),"Key Artist",not(iserror(vlookup($F180,'Reference info'!$J$38:$J$405,1,0))),"Performer",not(iserror(vlookup($F180,'Reference info'!$J$10:$J$36,1,0))),"Producer &amp; Engineer")</f>
        <v/>
      </c>
    </row>
    <row r="181">
      <c r="A181" s="28"/>
      <c r="B181" s="97"/>
      <c r="C181" s="121" t="str">
        <f t="array" ref="C181">ifs(and(isblank($A181),isblank($B181)),"", not(iserror(vlookup($A181&amp;$B181,'3) Release_Label'!$D:$D&amp;'3) Release_Label'!$E:$E,1,0))),vlookup($A181&amp;$B181,{'3) Release_Label'!$D:$D&amp;'3) Release_Label'!$E:$E,'3) Release_Label'!$F:$F},2,0), or(and(not(isblank($B181)),$B181=$B180,$A181&lt;&gt;$A180),and(not(isblank($A181)),$A181=$A180,$B181&lt;&gt;$B180)),"ID LISTS UNALIGNED",and($A181&lt;&gt;"",countif('3) Release_Label'!$D:$D,$A181)=0),"NO UPC MATCH in Release_Label",and($B181&lt;&gt;"",countif('3) Release_Label'!$E:$E,$B181)=0),"NO CATALOG ID MATCH in Release_Label",iserror(vlookup($A181&amp;$B181,'3) Release_Label'!$D:$D&amp;'3) Release_Label'!$E:$E,1,0)),"NO UPC-CATALOG ID pair MATCH in Release_Label" )</f>
        <v/>
      </c>
      <c r="D181" s="121" t="str">
        <f t="array" ref="D181">ifs(and(isblank($A181),isblank($B181)),"", not(iserror(vlookup($A181&amp;$B181,'3) Release_Label'!$D:$D&amp;'3) Release_Label'!$E:$E,1,0))),vlookup($A181&amp;$B181,{'3) Release_Label'!$D:$D&amp;'3) Release_Label'!$E:$E,'3) Release_Label'!$H:$H},2,0), or(and(not(isblank($B181)),$B181=$B180,$A181&lt;&gt;$A180),and(not(isblank($A181)),$A181=$A180,$B181&lt;&gt;$B180)),"ID LISTS UNALIGNED",and($A181&lt;&gt;"",countif('3) Release_Label'!$D:$D,$A181)=0),"NO UPC MATCH in Release_Label",and($B181&lt;&gt;"",countif('3) Release_Label'!$E:$E,$B181)=0),"NO CATALOG ID MATCH in Release_Label",iserror(vlookup($A181&amp;$B181,'3) Release_Label'!$D:$D&amp;'3) Release_Label'!$E:$E,1,0)),"NO UPC-CATALOG ID pair MATCH in Release_Label" )</f>
        <v/>
      </c>
      <c r="E181" s="92"/>
      <c r="F181" s="92"/>
      <c r="G181" s="125" t="str">
        <f t="array" ref="G181">ifs(or($F181="",$F181="Main Primary Artist"),$F181,not(iserror(vlookup($F181,'Reference info'!$J$5:$J$8,1,0))),"Key Artist",not(iserror(vlookup($F181,'Reference info'!$J$38:$J$405,1,0))),"Performer",not(iserror(vlookup($F181,'Reference info'!$J$10:$J$36,1,0))),"Producer &amp; Engineer")</f>
        <v/>
      </c>
    </row>
    <row r="182">
      <c r="A182" s="28"/>
      <c r="B182" s="97"/>
      <c r="C182" s="121" t="str">
        <f t="array" ref="C182">ifs(and(isblank($A182),isblank($B182)),"", not(iserror(vlookup($A182&amp;$B182,'3) Release_Label'!$D:$D&amp;'3) Release_Label'!$E:$E,1,0))),vlookup($A182&amp;$B182,{'3) Release_Label'!$D:$D&amp;'3) Release_Label'!$E:$E,'3) Release_Label'!$F:$F},2,0), or(and(not(isblank($B182)),$B182=$B181,$A182&lt;&gt;$A181),and(not(isblank($A182)),$A182=$A181,$B182&lt;&gt;$B181)),"ID LISTS UNALIGNED",and($A182&lt;&gt;"",countif('3) Release_Label'!$D:$D,$A182)=0),"NO UPC MATCH in Release_Label",and($B182&lt;&gt;"",countif('3) Release_Label'!$E:$E,$B182)=0),"NO CATALOG ID MATCH in Release_Label",iserror(vlookup($A182&amp;$B182,'3) Release_Label'!$D:$D&amp;'3) Release_Label'!$E:$E,1,0)),"NO UPC-CATALOG ID pair MATCH in Release_Label" )</f>
        <v/>
      </c>
      <c r="D182" s="121" t="str">
        <f t="array" ref="D182">ifs(and(isblank($A182),isblank($B182)),"", not(iserror(vlookup($A182&amp;$B182,'3) Release_Label'!$D:$D&amp;'3) Release_Label'!$E:$E,1,0))),vlookup($A182&amp;$B182,{'3) Release_Label'!$D:$D&amp;'3) Release_Label'!$E:$E,'3) Release_Label'!$H:$H},2,0), or(and(not(isblank($B182)),$B182=$B181,$A182&lt;&gt;$A181),and(not(isblank($A182)),$A182=$A181,$B182&lt;&gt;$B181)),"ID LISTS UNALIGNED",and($A182&lt;&gt;"",countif('3) Release_Label'!$D:$D,$A182)=0),"NO UPC MATCH in Release_Label",and($B182&lt;&gt;"",countif('3) Release_Label'!$E:$E,$B182)=0),"NO CATALOG ID MATCH in Release_Label",iserror(vlookup($A182&amp;$B182,'3) Release_Label'!$D:$D&amp;'3) Release_Label'!$E:$E,1,0)),"NO UPC-CATALOG ID pair MATCH in Release_Label" )</f>
        <v/>
      </c>
      <c r="E182" s="92"/>
      <c r="F182" s="92"/>
      <c r="G182" s="125" t="str">
        <f t="array" ref="G182">ifs(or($F182="",$F182="Main Primary Artist"),$F182,not(iserror(vlookup($F182,'Reference info'!$J$5:$J$8,1,0))),"Key Artist",not(iserror(vlookup($F182,'Reference info'!$J$38:$J$405,1,0))),"Performer",not(iserror(vlookup($F182,'Reference info'!$J$10:$J$36,1,0))),"Producer &amp; Engineer")</f>
        <v/>
      </c>
    </row>
    <row r="183">
      <c r="A183" s="28"/>
      <c r="B183" s="97"/>
      <c r="C183" s="121" t="str">
        <f t="array" ref="C183">ifs(and(isblank($A183),isblank($B183)),"", not(iserror(vlookup($A183&amp;$B183,'3) Release_Label'!$D:$D&amp;'3) Release_Label'!$E:$E,1,0))),vlookup($A183&amp;$B183,{'3) Release_Label'!$D:$D&amp;'3) Release_Label'!$E:$E,'3) Release_Label'!$F:$F},2,0), or(and(not(isblank($B183)),$B183=$B182,$A183&lt;&gt;$A182),and(not(isblank($A183)),$A183=$A182,$B183&lt;&gt;$B182)),"ID LISTS UNALIGNED",and($A183&lt;&gt;"",countif('3) Release_Label'!$D:$D,$A183)=0),"NO UPC MATCH in Release_Label",and($B183&lt;&gt;"",countif('3) Release_Label'!$E:$E,$B183)=0),"NO CATALOG ID MATCH in Release_Label",iserror(vlookup($A183&amp;$B183,'3) Release_Label'!$D:$D&amp;'3) Release_Label'!$E:$E,1,0)),"NO UPC-CATALOG ID pair MATCH in Release_Label" )</f>
        <v/>
      </c>
      <c r="D183" s="121" t="str">
        <f t="array" ref="D183">ifs(and(isblank($A183),isblank($B183)),"", not(iserror(vlookup($A183&amp;$B183,'3) Release_Label'!$D:$D&amp;'3) Release_Label'!$E:$E,1,0))),vlookup($A183&amp;$B183,{'3) Release_Label'!$D:$D&amp;'3) Release_Label'!$E:$E,'3) Release_Label'!$H:$H},2,0), or(and(not(isblank($B183)),$B183=$B182,$A183&lt;&gt;$A182),and(not(isblank($A183)),$A183=$A182,$B183&lt;&gt;$B182)),"ID LISTS UNALIGNED",and($A183&lt;&gt;"",countif('3) Release_Label'!$D:$D,$A183)=0),"NO UPC MATCH in Release_Label",and($B183&lt;&gt;"",countif('3) Release_Label'!$E:$E,$B183)=0),"NO CATALOG ID MATCH in Release_Label",iserror(vlookup($A183&amp;$B183,'3) Release_Label'!$D:$D&amp;'3) Release_Label'!$E:$E,1,0)),"NO UPC-CATALOG ID pair MATCH in Release_Label" )</f>
        <v/>
      </c>
      <c r="E183" s="92"/>
      <c r="F183" s="92"/>
      <c r="G183" s="125" t="str">
        <f t="array" ref="G183">ifs(or($F183="",$F183="Main Primary Artist"),$F183,not(iserror(vlookup($F183,'Reference info'!$J$5:$J$8,1,0))),"Key Artist",not(iserror(vlookup($F183,'Reference info'!$J$38:$J$405,1,0))),"Performer",not(iserror(vlookup($F183,'Reference info'!$J$10:$J$36,1,0))),"Producer &amp; Engineer")</f>
        <v/>
      </c>
    </row>
    <row r="184">
      <c r="A184" s="28"/>
      <c r="B184" s="97"/>
      <c r="C184" s="121" t="str">
        <f t="array" ref="C184">ifs(and(isblank($A184),isblank($B184)),"", not(iserror(vlookup($A184&amp;$B184,'3) Release_Label'!$D:$D&amp;'3) Release_Label'!$E:$E,1,0))),vlookup($A184&amp;$B184,{'3) Release_Label'!$D:$D&amp;'3) Release_Label'!$E:$E,'3) Release_Label'!$F:$F},2,0), or(and(not(isblank($B184)),$B184=$B183,$A184&lt;&gt;$A183),and(not(isblank($A184)),$A184=$A183,$B184&lt;&gt;$B183)),"ID LISTS UNALIGNED",and($A184&lt;&gt;"",countif('3) Release_Label'!$D:$D,$A184)=0),"NO UPC MATCH in Release_Label",and($B184&lt;&gt;"",countif('3) Release_Label'!$E:$E,$B184)=0),"NO CATALOG ID MATCH in Release_Label",iserror(vlookup($A184&amp;$B184,'3) Release_Label'!$D:$D&amp;'3) Release_Label'!$E:$E,1,0)),"NO UPC-CATALOG ID pair MATCH in Release_Label" )</f>
        <v/>
      </c>
      <c r="D184" s="121" t="str">
        <f t="array" ref="D184">ifs(and(isblank($A184),isblank($B184)),"", not(iserror(vlookup($A184&amp;$B184,'3) Release_Label'!$D:$D&amp;'3) Release_Label'!$E:$E,1,0))),vlookup($A184&amp;$B184,{'3) Release_Label'!$D:$D&amp;'3) Release_Label'!$E:$E,'3) Release_Label'!$H:$H},2,0), or(and(not(isblank($B184)),$B184=$B183,$A184&lt;&gt;$A183),and(not(isblank($A184)),$A184=$A183,$B184&lt;&gt;$B183)),"ID LISTS UNALIGNED",and($A184&lt;&gt;"",countif('3) Release_Label'!$D:$D,$A184)=0),"NO UPC MATCH in Release_Label",and($B184&lt;&gt;"",countif('3) Release_Label'!$E:$E,$B184)=0),"NO CATALOG ID MATCH in Release_Label",iserror(vlookup($A184&amp;$B184,'3) Release_Label'!$D:$D&amp;'3) Release_Label'!$E:$E,1,0)),"NO UPC-CATALOG ID pair MATCH in Release_Label" )</f>
        <v/>
      </c>
      <c r="E184" s="92"/>
      <c r="F184" s="92"/>
      <c r="G184" s="125" t="str">
        <f t="array" ref="G184">ifs(or($F184="",$F184="Main Primary Artist"),$F184,not(iserror(vlookup($F184,'Reference info'!$J$5:$J$8,1,0))),"Key Artist",not(iserror(vlookup($F184,'Reference info'!$J$38:$J$405,1,0))),"Performer",not(iserror(vlookup($F184,'Reference info'!$J$10:$J$36,1,0))),"Producer &amp; Engineer")</f>
        <v/>
      </c>
    </row>
    <row r="185">
      <c r="A185" s="28"/>
      <c r="B185" s="97"/>
      <c r="C185" s="121" t="str">
        <f t="array" ref="C185">ifs(and(isblank($A185),isblank($B185)),"", not(iserror(vlookup($A185&amp;$B185,'3) Release_Label'!$D:$D&amp;'3) Release_Label'!$E:$E,1,0))),vlookup($A185&amp;$B185,{'3) Release_Label'!$D:$D&amp;'3) Release_Label'!$E:$E,'3) Release_Label'!$F:$F},2,0), or(and(not(isblank($B185)),$B185=$B184,$A185&lt;&gt;$A184),and(not(isblank($A185)),$A185=$A184,$B185&lt;&gt;$B184)),"ID LISTS UNALIGNED",and($A185&lt;&gt;"",countif('3) Release_Label'!$D:$D,$A185)=0),"NO UPC MATCH in Release_Label",and($B185&lt;&gt;"",countif('3) Release_Label'!$E:$E,$B185)=0),"NO CATALOG ID MATCH in Release_Label",iserror(vlookup($A185&amp;$B185,'3) Release_Label'!$D:$D&amp;'3) Release_Label'!$E:$E,1,0)),"NO UPC-CATALOG ID pair MATCH in Release_Label" )</f>
        <v/>
      </c>
      <c r="D185" s="121" t="str">
        <f t="array" ref="D185">ifs(and(isblank($A185),isblank($B185)),"", not(iserror(vlookup($A185&amp;$B185,'3) Release_Label'!$D:$D&amp;'3) Release_Label'!$E:$E,1,0))),vlookup($A185&amp;$B185,{'3) Release_Label'!$D:$D&amp;'3) Release_Label'!$E:$E,'3) Release_Label'!$H:$H},2,0), or(and(not(isblank($B185)),$B185=$B184,$A185&lt;&gt;$A184),and(not(isblank($A185)),$A185=$A184,$B185&lt;&gt;$B184)),"ID LISTS UNALIGNED",and($A185&lt;&gt;"",countif('3) Release_Label'!$D:$D,$A185)=0),"NO UPC MATCH in Release_Label",and($B185&lt;&gt;"",countif('3) Release_Label'!$E:$E,$B185)=0),"NO CATALOG ID MATCH in Release_Label",iserror(vlookup($A185&amp;$B185,'3) Release_Label'!$D:$D&amp;'3) Release_Label'!$E:$E,1,0)),"NO UPC-CATALOG ID pair MATCH in Release_Label" )</f>
        <v/>
      </c>
      <c r="E185" s="92"/>
      <c r="F185" s="92"/>
      <c r="G185" s="125" t="str">
        <f t="array" ref="G185">ifs(or($F185="",$F185="Main Primary Artist"),$F185,not(iserror(vlookup($F185,'Reference info'!$J$5:$J$8,1,0))),"Key Artist",not(iserror(vlookup($F185,'Reference info'!$J$38:$J$405,1,0))),"Performer",not(iserror(vlookup($F185,'Reference info'!$J$10:$J$36,1,0))),"Producer &amp; Engineer")</f>
        <v/>
      </c>
    </row>
    <row r="186">
      <c r="A186" s="28"/>
      <c r="B186" s="97"/>
      <c r="C186" s="121" t="str">
        <f t="array" ref="C186">ifs(and(isblank($A186),isblank($B186)),"", not(iserror(vlookup($A186&amp;$B186,'3) Release_Label'!$D:$D&amp;'3) Release_Label'!$E:$E,1,0))),vlookup($A186&amp;$B186,{'3) Release_Label'!$D:$D&amp;'3) Release_Label'!$E:$E,'3) Release_Label'!$F:$F},2,0), or(and(not(isblank($B186)),$B186=$B185,$A186&lt;&gt;$A185),and(not(isblank($A186)),$A186=$A185,$B186&lt;&gt;$B185)),"ID LISTS UNALIGNED",and($A186&lt;&gt;"",countif('3) Release_Label'!$D:$D,$A186)=0),"NO UPC MATCH in Release_Label",and($B186&lt;&gt;"",countif('3) Release_Label'!$E:$E,$B186)=0),"NO CATALOG ID MATCH in Release_Label",iserror(vlookup($A186&amp;$B186,'3) Release_Label'!$D:$D&amp;'3) Release_Label'!$E:$E,1,0)),"NO UPC-CATALOG ID pair MATCH in Release_Label" )</f>
        <v/>
      </c>
      <c r="D186" s="121" t="str">
        <f t="array" ref="D186">ifs(and(isblank($A186),isblank($B186)),"", not(iserror(vlookup($A186&amp;$B186,'3) Release_Label'!$D:$D&amp;'3) Release_Label'!$E:$E,1,0))),vlookup($A186&amp;$B186,{'3) Release_Label'!$D:$D&amp;'3) Release_Label'!$E:$E,'3) Release_Label'!$H:$H},2,0), or(and(not(isblank($B186)),$B186=$B185,$A186&lt;&gt;$A185),and(not(isblank($A186)),$A186=$A185,$B186&lt;&gt;$B185)),"ID LISTS UNALIGNED",and($A186&lt;&gt;"",countif('3) Release_Label'!$D:$D,$A186)=0),"NO UPC MATCH in Release_Label",and($B186&lt;&gt;"",countif('3) Release_Label'!$E:$E,$B186)=0),"NO CATALOG ID MATCH in Release_Label",iserror(vlookup($A186&amp;$B186,'3) Release_Label'!$D:$D&amp;'3) Release_Label'!$E:$E,1,0)),"NO UPC-CATALOG ID pair MATCH in Release_Label" )</f>
        <v/>
      </c>
      <c r="E186" s="92"/>
      <c r="F186" s="92"/>
      <c r="G186" s="125" t="str">
        <f t="array" ref="G186">ifs(or($F186="",$F186="Main Primary Artist"),$F186,not(iserror(vlookup($F186,'Reference info'!$J$5:$J$8,1,0))),"Key Artist",not(iserror(vlookup($F186,'Reference info'!$J$38:$J$405,1,0))),"Performer",not(iserror(vlookup($F186,'Reference info'!$J$10:$J$36,1,0))),"Producer &amp; Engineer")</f>
        <v/>
      </c>
    </row>
    <row r="187">
      <c r="A187" s="28"/>
      <c r="B187" s="97"/>
      <c r="C187" s="121" t="str">
        <f t="array" ref="C187">ifs(and(isblank($A187),isblank($B187)),"", not(iserror(vlookup($A187&amp;$B187,'3) Release_Label'!$D:$D&amp;'3) Release_Label'!$E:$E,1,0))),vlookup($A187&amp;$B187,{'3) Release_Label'!$D:$D&amp;'3) Release_Label'!$E:$E,'3) Release_Label'!$F:$F},2,0), or(and(not(isblank($B187)),$B187=$B186,$A187&lt;&gt;$A186),and(not(isblank($A187)),$A187=$A186,$B187&lt;&gt;$B186)),"ID LISTS UNALIGNED",and($A187&lt;&gt;"",countif('3) Release_Label'!$D:$D,$A187)=0),"NO UPC MATCH in Release_Label",and($B187&lt;&gt;"",countif('3) Release_Label'!$E:$E,$B187)=0),"NO CATALOG ID MATCH in Release_Label",iserror(vlookup($A187&amp;$B187,'3) Release_Label'!$D:$D&amp;'3) Release_Label'!$E:$E,1,0)),"NO UPC-CATALOG ID pair MATCH in Release_Label" )</f>
        <v/>
      </c>
      <c r="D187" s="121" t="str">
        <f t="array" ref="D187">ifs(and(isblank($A187),isblank($B187)),"", not(iserror(vlookup($A187&amp;$B187,'3) Release_Label'!$D:$D&amp;'3) Release_Label'!$E:$E,1,0))),vlookup($A187&amp;$B187,{'3) Release_Label'!$D:$D&amp;'3) Release_Label'!$E:$E,'3) Release_Label'!$H:$H},2,0), or(and(not(isblank($B187)),$B187=$B186,$A187&lt;&gt;$A186),and(not(isblank($A187)),$A187=$A186,$B187&lt;&gt;$B186)),"ID LISTS UNALIGNED",and($A187&lt;&gt;"",countif('3) Release_Label'!$D:$D,$A187)=0),"NO UPC MATCH in Release_Label",and($B187&lt;&gt;"",countif('3) Release_Label'!$E:$E,$B187)=0),"NO CATALOG ID MATCH in Release_Label",iserror(vlookup($A187&amp;$B187,'3) Release_Label'!$D:$D&amp;'3) Release_Label'!$E:$E,1,0)),"NO UPC-CATALOG ID pair MATCH in Release_Label" )</f>
        <v/>
      </c>
      <c r="E187" s="92"/>
      <c r="F187" s="92"/>
      <c r="G187" s="125" t="str">
        <f t="array" ref="G187">ifs(or($F187="",$F187="Main Primary Artist"),$F187,not(iserror(vlookup($F187,'Reference info'!$J$5:$J$8,1,0))),"Key Artist",not(iserror(vlookup($F187,'Reference info'!$J$38:$J$405,1,0))),"Performer",not(iserror(vlookup($F187,'Reference info'!$J$10:$J$36,1,0))),"Producer &amp; Engineer")</f>
        <v/>
      </c>
    </row>
    <row r="188">
      <c r="A188" s="28"/>
      <c r="B188" s="97"/>
      <c r="C188" s="121" t="str">
        <f t="array" ref="C188">ifs(and(isblank($A188),isblank($B188)),"", not(iserror(vlookup($A188&amp;$B188,'3) Release_Label'!$D:$D&amp;'3) Release_Label'!$E:$E,1,0))),vlookup($A188&amp;$B188,{'3) Release_Label'!$D:$D&amp;'3) Release_Label'!$E:$E,'3) Release_Label'!$F:$F},2,0), or(and(not(isblank($B188)),$B188=$B187,$A188&lt;&gt;$A187),and(not(isblank($A188)),$A188=$A187,$B188&lt;&gt;$B187)),"ID LISTS UNALIGNED",and($A188&lt;&gt;"",countif('3) Release_Label'!$D:$D,$A188)=0),"NO UPC MATCH in Release_Label",and($B188&lt;&gt;"",countif('3) Release_Label'!$E:$E,$B188)=0),"NO CATALOG ID MATCH in Release_Label",iserror(vlookup($A188&amp;$B188,'3) Release_Label'!$D:$D&amp;'3) Release_Label'!$E:$E,1,0)),"NO UPC-CATALOG ID pair MATCH in Release_Label" )</f>
        <v/>
      </c>
      <c r="D188" s="121" t="str">
        <f t="array" ref="D188">ifs(and(isblank($A188),isblank($B188)),"", not(iserror(vlookup($A188&amp;$B188,'3) Release_Label'!$D:$D&amp;'3) Release_Label'!$E:$E,1,0))),vlookup($A188&amp;$B188,{'3) Release_Label'!$D:$D&amp;'3) Release_Label'!$E:$E,'3) Release_Label'!$H:$H},2,0), or(and(not(isblank($B188)),$B188=$B187,$A188&lt;&gt;$A187),and(not(isblank($A188)),$A188=$A187,$B188&lt;&gt;$B187)),"ID LISTS UNALIGNED",and($A188&lt;&gt;"",countif('3) Release_Label'!$D:$D,$A188)=0),"NO UPC MATCH in Release_Label",and($B188&lt;&gt;"",countif('3) Release_Label'!$E:$E,$B188)=0),"NO CATALOG ID MATCH in Release_Label",iserror(vlookup($A188&amp;$B188,'3) Release_Label'!$D:$D&amp;'3) Release_Label'!$E:$E,1,0)),"NO UPC-CATALOG ID pair MATCH in Release_Label" )</f>
        <v/>
      </c>
      <c r="E188" s="92"/>
      <c r="F188" s="92"/>
      <c r="G188" s="125" t="str">
        <f t="array" ref="G188">ifs(or($F188="",$F188="Main Primary Artist"),$F188,not(iserror(vlookup($F188,'Reference info'!$J$5:$J$8,1,0))),"Key Artist",not(iserror(vlookup($F188,'Reference info'!$J$38:$J$405,1,0))),"Performer",not(iserror(vlookup($F188,'Reference info'!$J$10:$J$36,1,0))),"Producer &amp; Engineer")</f>
        <v/>
      </c>
    </row>
    <row r="189">
      <c r="A189" s="28"/>
      <c r="B189" s="97"/>
      <c r="C189" s="121" t="str">
        <f t="array" ref="C189">ifs(and(isblank($A189),isblank($B189)),"", not(iserror(vlookup($A189&amp;$B189,'3) Release_Label'!$D:$D&amp;'3) Release_Label'!$E:$E,1,0))),vlookup($A189&amp;$B189,{'3) Release_Label'!$D:$D&amp;'3) Release_Label'!$E:$E,'3) Release_Label'!$F:$F},2,0), or(and(not(isblank($B189)),$B189=$B188,$A189&lt;&gt;$A188),and(not(isblank($A189)),$A189=$A188,$B189&lt;&gt;$B188)),"ID LISTS UNALIGNED",and($A189&lt;&gt;"",countif('3) Release_Label'!$D:$D,$A189)=0),"NO UPC MATCH in Release_Label",and($B189&lt;&gt;"",countif('3) Release_Label'!$E:$E,$B189)=0),"NO CATALOG ID MATCH in Release_Label",iserror(vlookup($A189&amp;$B189,'3) Release_Label'!$D:$D&amp;'3) Release_Label'!$E:$E,1,0)),"NO UPC-CATALOG ID pair MATCH in Release_Label" )</f>
        <v/>
      </c>
      <c r="D189" s="121" t="str">
        <f t="array" ref="D189">ifs(and(isblank($A189),isblank($B189)),"", not(iserror(vlookup($A189&amp;$B189,'3) Release_Label'!$D:$D&amp;'3) Release_Label'!$E:$E,1,0))),vlookup($A189&amp;$B189,{'3) Release_Label'!$D:$D&amp;'3) Release_Label'!$E:$E,'3) Release_Label'!$H:$H},2,0), or(and(not(isblank($B189)),$B189=$B188,$A189&lt;&gt;$A188),and(not(isblank($A189)),$A189=$A188,$B189&lt;&gt;$B188)),"ID LISTS UNALIGNED",and($A189&lt;&gt;"",countif('3) Release_Label'!$D:$D,$A189)=0),"NO UPC MATCH in Release_Label",and($B189&lt;&gt;"",countif('3) Release_Label'!$E:$E,$B189)=0),"NO CATALOG ID MATCH in Release_Label",iserror(vlookup($A189&amp;$B189,'3) Release_Label'!$D:$D&amp;'3) Release_Label'!$E:$E,1,0)),"NO UPC-CATALOG ID pair MATCH in Release_Label" )</f>
        <v/>
      </c>
      <c r="E189" s="92"/>
      <c r="F189" s="92"/>
      <c r="G189" s="125" t="str">
        <f t="array" ref="G189">ifs(or($F189="",$F189="Main Primary Artist"),$F189,not(iserror(vlookup($F189,'Reference info'!$J$5:$J$8,1,0))),"Key Artist",not(iserror(vlookup($F189,'Reference info'!$J$38:$J$405,1,0))),"Performer",not(iserror(vlookup($F189,'Reference info'!$J$10:$J$36,1,0))),"Producer &amp; Engineer")</f>
        <v/>
      </c>
    </row>
    <row r="190">
      <c r="A190" s="28"/>
      <c r="B190" s="97"/>
      <c r="C190" s="121" t="str">
        <f t="array" ref="C190">ifs(and(isblank($A190),isblank($B190)),"", not(iserror(vlookup($A190&amp;$B190,'3) Release_Label'!$D:$D&amp;'3) Release_Label'!$E:$E,1,0))),vlookup($A190&amp;$B190,{'3) Release_Label'!$D:$D&amp;'3) Release_Label'!$E:$E,'3) Release_Label'!$F:$F},2,0), or(and(not(isblank($B190)),$B190=$B189,$A190&lt;&gt;$A189),and(not(isblank($A190)),$A190=$A189,$B190&lt;&gt;$B189)),"ID LISTS UNALIGNED",and($A190&lt;&gt;"",countif('3) Release_Label'!$D:$D,$A190)=0),"NO UPC MATCH in Release_Label",and($B190&lt;&gt;"",countif('3) Release_Label'!$E:$E,$B190)=0),"NO CATALOG ID MATCH in Release_Label",iserror(vlookup($A190&amp;$B190,'3) Release_Label'!$D:$D&amp;'3) Release_Label'!$E:$E,1,0)),"NO UPC-CATALOG ID pair MATCH in Release_Label" )</f>
        <v/>
      </c>
      <c r="D190" s="121" t="str">
        <f t="array" ref="D190">ifs(and(isblank($A190),isblank($B190)),"", not(iserror(vlookup($A190&amp;$B190,'3) Release_Label'!$D:$D&amp;'3) Release_Label'!$E:$E,1,0))),vlookup($A190&amp;$B190,{'3) Release_Label'!$D:$D&amp;'3) Release_Label'!$E:$E,'3) Release_Label'!$H:$H},2,0), or(and(not(isblank($B190)),$B190=$B189,$A190&lt;&gt;$A189),and(not(isblank($A190)),$A190=$A189,$B190&lt;&gt;$B189)),"ID LISTS UNALIGNED",and($A190&lt;&gt;"",countif('3) Release_Label'!$D:$D,$A190)=0),"NO UPC MATCH in Release_Label",and($B190&lt;&gt;"",countif('3) Release_Label'!$E:$E,$B190)=0),"NO CATALOG ID MATCH in Release_Label",iserror(vlookup($A190&amp;$B190,'3) Release_Label'!$D:$D&amp;'3) Release_Label'!$E:$E,1,0)),"NO UPC-CATALOG ID pair MATCH in Release_Label" )</f>
        <v/>
      </c>
      <c r="E190" s="92"/>
      <c r="F190" s="92"/>
      <c r="G190" s="125" t="str">
        <f t="array" ref="G190">ifs(or($F190="",$F190="Main Primary Artist"),$F190,not(iserror(vlookup($F190,'Reference info'!$J$5:$J$8,1,0))),"Key Artist",not(iserror(vlookup($F190,'Reference info'!$J$38:$J$405,1,0))),"Performer",not(iserror(vlookup($F190,'Reference info'!$J$10:$J$36,1,0))),"Producer &amp; Engineer")</f>
        <v/>
      </c>
    </row>
    <row r="191">
      <c r="A191" s="28"/>
      <c r="B191" s="97"/>
      <c r="C191" s="121" t="str">
        <f t="array" ref="C191">ifs(and(isblank($A191),isblank($B191)),"", not(iserror(vlookup($A191&amp;$B191,'3) Release_Label'!$D:$D&amp;'3) Release_Label'!$E:$E,1,0))),vlookup($A191&amp;$B191,{'3) Release_Label'!$D:$D&amp;'3) Release_Label'!$E:$E,'3) Release_Label'!$F:$F},2,0), or(and(not(isblank($B191)),$B191=$B190,$A191&lt;&gt;$A190),and(not(isblank($A191)),$A191=$A190,$B191&lt;&gt;$B190)),"ID LISTS UNALIGNED",and($A191&lt;&gt;"",countif('3) Release_Label'!$D:$D,$A191)=0),"NO UPC MATCH in Release_Label",and($B191&lt;&gt;"",countif('3) Release_Label'!$E:$E,$B191)=0),"NO CATALOG ID MATCH in Release_Label",iserror(vlookup($A191&amp;$B191,'3) Release_Label'!$D:$D&amp;'3) Release_Label'!$E:$E,1,0)),"NO UPC-CATALOG ID pair MATCH in Release_Label" )</f>
        <v/>
      </c>
      <c r="D191" s="121" t="str">
        <f t="array" ref="D191">ifs(and(isblank($A191),isblank($B191)),"", not(iserror(vlookup($A191&amp;$B191,'3) Release_Label'!$D:$D&amp;'3) Release_Label'!$E:$E,1,0))),vlookup($A191&amp;$B191,{'3) Release_Label'!$D:$D&amp;'3) Release_Label'!$E:$E,'3) Release_Label'!$H:$H},2,0), or(and(not(isblank($B191)),$B191=$B190,$A191&lt;&gt;$A190),and(not(isblank($A191)),$A191=$A190,$B191&lt;&gt;$B190)),"ID LISTS UNALIGNED",and($A191&lt;&gt;"",countif('3) Release_Label'!$D:$D,$A191)=0),"NO UPC MATCH in Release_Label",and($B191&lt;&gt;"",countif('3) Release_Label'!$E:$E,$B191)=0),"NO CATALOG ID MATCH in Release_Label",iserror(vlookup($A191&amp;$B191,'3) Release_Label'!$D:$D&amp;'3) Release_Label'!$E:$E,1,0)),"NO UPC-CATALOG ID pair MATCH in Release_Label" )</f>
        <v/>
      </c>
      <c r="E191" s="92"/>
      <c r="F191" s="92"/>
      <c r="G191" s="125" t="str">
        <f t="array" ref="G191">ifs(or($F191="",$F191="Main Primary Artist"),$F191,not(iserror(vlookup($F191,'Reference info'!$J$5:$J$8,1,0))),"Key Artist",not(iserror(vlookup($F191,'Reference info'!$J$38:$J$405,1,0))),"Performer",not(iserror(vlookup($F191,'Reference info'!$J$10:$J$36,1,0))),"Producer &amp; Engineer")</f>
        <v/>
      </c>
    </row>
    <row r="192">
      <c r="A192" s="28"/>
      <c r="B192" s="97"/>
      <c r="C192" s="121" t="str">
        <f t="array" ref="C192">ifs(and(isblank($A192),isblank($B192)),"", not(iserror(vlookup($A192&amp;$B192,'3) Release_Label'!$D:$D&amp;'3) Release_Label'!$E:$E,1,0))),vlookup($A192&amp;$B192,{'3) Release_Label'!$D:$D&amp;'3) Release_Label'!$E:$E,'3) Release_Label'!$F:$F},2,0), or(and(not(isblank($B192)),$B192=$B191,$A192&lt;&gt;$A191),and(not(isblank($A192)),$A192=$A191,$B192&lt;&gt;$B191)),"ID LISTS UNALIGNED",and($A192&lt;&gt;"",countif('3) Release_Label'!$D:$D,$A192)=0),"NO UPC MATCH in Release_Label",and($B192&lt;&gt;"",countif('3) Release_Label'!$E:$E,$B192)=0),"NO CATALOG ID MATCH in Release_Label",iserror(vlookup($A192&amp;$B192,'3) Release_Label'!$D:$D&amp;'3) Release_Label'!$E:$E,1,0)),"NO UPC-CATALOG ID pair MATCH in Release_Label" )</f>
        <v/>
      </c>
      <c r="D192" s="121" t="str">
        <f t="array" ref="D192">ifs(and(isblank($A192),isblank($B192)),"", not(iserror(vlookup($A192&amp;$B192,'3) Release_Label'!$D:$D&amp;'3) Release_Label'!$E:$E,1,0))),vlookup($A192&amp;$B192,{'3) Release_Label'!$D:$D&amp;'3) Release_Label'!$E:$E,'3) Release_Label'!$H:$H},2,0), or(and(not(isblank($B192)),$B192=$B191,$A192&lt;&gt;$A191),and(not(isblank($A192)),$A192=$A191,$B192&lt;&gt;$B191)),"ID LISTS UNALIGNED",and($A192&lt;&gt;"",countif('3) Release_Label'!$D:$D,$A192)=0),"NO UPC MATCH in Release_Label",and($B192&lt;&gt;"",countif('3) Release_Label'!$E:$E,$B192)=0),"NO CATALOG ID MATCH in Release_Label",iserror(vlookup($A192&amp;$B192,'3) Release_Label'!$D:$D&amp;'3) Release_Label'!$E:$E,1,0)),"NO UPC-CATALOG ID pair MATCH in Release_Label" )</f>
        <v/>
      </c>
      <c r="E192" s="92"/>
      <c r="F192" s="92"/>
      <c r="G192" s="125" t="str">
        <f t="array" ref="G192">ifs(or($F192="",$F192="Main Primary Artist"),$F192,not(iserror(vlookup($F192,'Reference info'!$J$5:$J$8,1,0))),"Key Artist",not(iserror(vlookup($F192,'Reference info'!$J$38:$J$405,1,0))),"Performer",not(iserror(vlookup($F192,'Reference info'!$J$10:$J$36,1,0))),"Producer &amp; Engineer")</f>
        <v/>
      </c>
    </row>
    <row r="193">
      <c r="A193" s="28"/>
      <c r="B193" s="97"/>
      <c r="C193" s="121" t="str">
        <f t="array" ref="C193">ifs(and(isblank($A193),isblank($B193)),"", not(iserror(vlookup($A193&amp;$B193,'3) Release_Label'!$D:$D&amp;'3) Release_Label'!$E:$E,1,0))),vlookup($A193&amp;$B193,{'3) Release_Label'!$D:$D&amp;'3) Release_Label'!$E:$E,'3) Release_Label'!$F:$F},2,0), or(and(not(isblank($B193)),$B193=$B192,$A193&lt;&gt;$A192),and(not(isblank($A193)),$A193=$A192,$B193&lt;&gt;$B192)),"ID LISTS UNALIGNED",and($A193&lt;&gt;"",countif('3) Release_Label'!$D:$D,$A193)=0),"NO UPC MATCH in Release_Label",and($B193&lt;&gt;"",countif('3) Release_Label'!$E:$E,$B193)=0),"NO CATALOG ID MATCH in Release_Label",iserror(vlookup($A193&amp;$B193,'3) Release_Label'!$D:$D&amp;'3) Release_Label'!$E:$E,1,0)),"NO UPC-CATALOG ID pair MATCH in Release_Label" )</f>
        <v/>
      </c>
      <c r="D193" s="121" t="str">
        <f t="array" ref="D193">ifs(and(isblank($A193),isblank($B193)),"", not(iserror(vlookup($A193&amp;$B193,'3) Release_Label'!$D:$D&amp;'3) Release_Label'!$E:$E,1,0))),vlookup($A193&amp;$B193,{'3) Release_Label'!$D:$D&amp;'3) Release_Label'!$E:$E,'3) Release_Label'!$H:$H},2,0), or(and(not(isblank($B193)),$B193=$B192,$A193&lt;&gt;$A192),and(not(isblank($A193)),$A193=$A192,$B193&lt;&gt;$B192)),"ID LISTS UNALIGNED",and($A193&lt;&gt;"",countif('3) Release_Label'!$D:$D,$A193)=0),"NO UPC MATCH in Release_Label",and($B193&lt;&gt;"",countif('3) Release_Label'!$E:$E,$B193)=0),"NO CATALOG ID MATCH in Release_Label",iserror(vlookup($A193&amp;$B193,'3) Release_Label'!$D:$D&amp;'3) Release_Label'!$E:$E,1,0)),"NO UPC-CATALOG ID pair MATCH in Release_Label" )</f>
        <v/>
      </c>
      <c r="E193" s="92"/>
      <c r="F193" s="92"/>
      <c r="G193" s="125" t="str">
        <f t="array" ref="G193">ifs(or($F193="",$F193="Main Primary Artist"),$F193,not(iserror(vlookup($F193,'Reference info'!$J$5:$J$8,1,0))),"Key Artist",not(iserror(vlookup($F193,'Reference info'!$J$38:$J$405,1,0))),"Performer",not(iserror(vlookup($F193,'Reference info'!$J$10:$J$36,1,0))),"Producer &amp; Engineer")</f>
        <v/>
      </c>
    </row>
    <row r="194">
      <c r="A194" s="28"/>
      <c r="B194" s="97"/>
      <c r="C194" s="121" t="str">
        <f t="array" ref="C194">ifs(and(isblank($A194),isblank($B194)),"", not(iserror(vlookup($A194&amp;$B194,'3) Release_Label'!$D:$D&amp;'3) Release_Label'!$E:$E,1,0))),vlookup($A194&amp;$B194,{'3) Release_Label'!$D:$D&amp;'3) Release_Label'!$E:$E,'3) Release_Label'!$F:$F},2,0), or(and(not(isblank($B194)),$B194=$B193,$A194&lt;&gt;$A193),and(not(isblank($A194)),$A194=$A193,$B194&lt;&gt;$B193)),"ID LISTS UNALIGNED",and($A194&lt;&gt;"",countif('3) Release_Label'!$D:$D,$A194)=0),"NO UPC MATCH in Release_Label",and($B194&lt;&gt;"",countif('3) Release_Label'!$E:$E,$B194)=0),"NO CATALOG ID MATCH in Release_Label",iserror(vlookup($A194&amp;$B194,'3) Release_Label'!$D:$D&amp;'3) Release_Label'!$E:$E,1,0)),"NO UPC-CATALOG ID pair MATCH in Release_Label" )</f>
        <v/>
      </c>
      <c r="D194" s="121" t="str">
        <f t="array" ref="D194">ifs(and(isblank($A194),isblank($B194)),"", not(iserror(vlookup($A194&amp;$B194,'3) Release_Label'!$D:$D&amp;'3) Release_Label'!$E:$E,1,0))),vlookup($A194&amp;$B194,{'3) Release_Label'!$D:$D&amp;'3) Release_Label'!$E:$E,'3) Release_Label'!$H:$H},2,0), or(and(not(isblank($B194)),$B194=$B193,$A194&lt;&gt;$A193),and(not(isblank($A194)),$A194=$A193,$B194&lt;&gt;$B193)),"ID LISTS UNALIGNED",and($A194&lt;&gt;"",countif('3) Release_Label'!$D:$D,$A194)=0),"NO UPC MATCH in Release_Label",and($B194&lt;&gt;"",countif('3) Release_Label'!$E:$E,$B194)=0),"NO CATALOG ID MATCH in Release_Label",iserror(vlookup($A194&amp;$B194,'3) Release_Label'!$D:$D&amp;'3) Release_Label'!$E:$E,1,0)),"NO UPC-CATALOG ID pair MATCH in Release_Label" )</f>
        <v/>
      </c>
      <c r="E194" s="92"/>
      <c r="F194" s="92"/>
      <c r="G194" s="125" t="str">
        <f t="array" ref="G194">ifs(or($F194="",$F194="Main Primary Artist"),$F194,not(iserror(vlookup($F194,'Reference info'!$J$5:$J$8,1,0))),"Key Artist",not(iserror(vlookup($F194,'Reference info'!$J$38:$J$405,1,0))),"Performer",not(iserror(vlookup($F194,'Reference info'!$J$10:$J$36,1,0))),"Producer &amp; Engineer")</f>
        <v/>
      </c>
    </row>
    <row r="195">
      <c r="A195" s="28"/>
      <c r="B195" s="97"/>
      <c r="C195" s="121" t="str">
        <f t="array" ref="C195">ifs(and(isblank($A195),isblank($B195)),"", not(iserror(vlookup($A195&amp;$B195,'3) Release_Label'!$D:$D&amp;'3) Release_Label'!$E:$E,1,0))),vlookup($A195&amp;$B195,{'3) Release_Label'!$D:$D&amp;'3) Release_Label'!$E:$E,'3) Release_Label'!$F:$F},2,0), or(and(not(isblank($B195)),$B195=$B194,$A195&lt;&gt;$A194),and(not(isblank($A195)),$A195=$A194,$B195&lt;&gt;$B194)),"ID LISTS UNALIGNED",and($A195&lt;&gt;"",countif('3) Release_Label'!$D:$D,$A195)=0),"NO UPC MATCH in Release_Label",and($B195&lt;&gt;"",countif('3) Release_Label'!$E:$E,$B195)=0),"NO CATALOG ID MATCH in Release_Label",iserror(vlookup($A195&amp;$B195,'3) Release_Label'!$D:$D&amp;'3) Release_Label'!$E:$E,1,0)),"NO UPC-CATALOG ID pair MATCH in Release_Label" )</f>
        <v/>
      </c>
      <c r="D195" s="121" t="str">
        <f t="array" ref="D195">ifs(and(isblank($A195),isblank($B195)),"", not(iserror(vlookup($A195&amp;$B195,'3) Release_Label'!$D:$D&amp;'3) Release_Label'!$E:$E,1,0))),vlookup($A195&amp;$B195,{'3) Release_Label'!$D:$D&amp;'3) Release_Label'!$E:$E,'3) Release_Label'!$H:$H},2,0), or(and(not(isblank($B195)),$B195=$B194,$A195&lt;&gt;$A194),and(not(isblank($A195)),$A195=$A194,$B195&lt;&gt;$B194)),"ID LISTS UNALIGNED",and($A195&lt;&gt;"",countif('3) Release_Label'!$D:$D,$A195)=0),"NO UPC MATCH in Release_Label",and($B195&lt;&gt;"",countif('3) Release_Label'!$E:$E,$B195)=0),"NO CATALOG ID MATCH in Release_Label",iserror(vlookup($A195&amp;$B195,'3) Release_Label'!$D:$D&amp;'3) Release_Label'!$E:$E,1,0)),"NO UPC-CATALOG ID pair MATCH in Release_Label" )</f>
        <v/>
      </c>
      <c r="E195" s="92"/>
      <c r="F195" s="92"/>
      <c r="G195" s="125" t="str">
        <f t="array" ref="G195">ifs(or($F195="",$F195="Main Primary Artist"),$F195,not(iserror(vlookup($F195,'Reference info'!$J$5:$J$8,1,0))),"Key Artist",not(iserror(vlookup($F195,'Reference info'!$J$38:$J$405,1,0))),"Performer",not(iserror(vlookup($F195,'Reference info'!$J$10:$J$36,1,0))),"Producer &amp; Engineer")</f>
        <v/>
      </c>
    </row>
    <row r="196">
      <c r="A196" s="28"/>
      <c r="B196" s="97"/>
      <c r="C196" s="121" t="str">
        <f t="array" ref="C196">ifs(and(isblank($A196),isblank($B196)),"", not(iserror(vlookup($A196&amp;$B196,'3) Release_Label'!$D:$D&amp;'3) Release_Label'!$E:$E,1,0))),vlookup($A196&amp;$B196,{'3) Release_Label'!$D:$D&amp;'3) Release_Label'!$E:$E,'3) Release_Label'!$F:$F},2,0), or(and(not(isblank($B196)),$B196=$B195,$A196&lt;&gt;$A195),and(not(isblank($A196)),$A196=$A195,$B196&lt;&gt;$B195)),"ID LISTS UNALIGNED",and($A196&lt;&gt;"",countif('3) Release_Label'!$D:$D,$A196)=0),"NO UPC MATCH in Release_Label",and($B196&lt;&gt;"",countif('3) Release_Label'!$E:$E,$B196)=0),"NO CATALOG ID MATCH in Release_Label",iserror(vlookup($A196&amp;$B196,'3) Release_Label'!$D:$D&amp;'3) Release_Label'!$E:$E,1,0)),"NO UPC-CATALOG ID pair MATCH in Release_Label" )</f>
        <v/>
      </c>
      <c r="D196" s="121" t="str">
        <f t="array" ref="D196">ifs(and(isblank($A196),isblank($B196)),"", not(iserror(vlookup($A196&amp;$B196,'3) Release_Label'!$D:$D&amp;'3) Release_Label'!$E:$E,1,0))),vlookup($A196&amp;$B196,{'3) Release_Label'!$D:$D&amp;'3) Release_Label'!$E:$E,'3) Release_Label'!$H:$H},2,0), or(and(not(isblank($B196)),$B196=$B195,$A196&lt;&gt;$A195),and(not(isblank($A196)),$A196=$A195,$B196&lt;&gt;$B195)),"ID LISTS UNALIGNED",and($A196&lt;&gt;"",countif('3) Release_Label'!$D:$D,$A196)=0),"NO UPC MATCH in Release_Label",and($B196&lt;&gt;"",countif('3) Release_Label'!$E:$E,$B196)=0),"NO CATALOG ID MATCH in Release_Label",iserror(vlookup($A196&amp;$B196,'3) Release_Label'!$D:$D&amp;'3) Release_Label'!$E:$E,1,0)),"NO UPC-CATALOG ID pair MATCH in Release_Label" )</f>
        <v/>
      </c>
      <c r="E196" s="92"/>
      <c r="F196" s="92"/>
      <c r="G196" s="125" t="str">
        <f t="array" ref="G196">ifs(or($F196="",$F196="Main Primary Artist"),$F196,not(iserror(vlookup($F196,'Reference info'!$J$5:$J$8,1,0))),"Key Artist",not(iserror(vlookup($F196,'Reference info'!$J$38:$J$405,1,0))),"Performer",not(iserror(vlookup($F196,'Reference info'!$J$10:$J$36,1,0))),"Producer &amp; Engineer")</f>
        <v/>
      </c>
    </row>
    <row r="197">
      <c r="A197" s="28"/>
      <c r="B197" s="97"/>
      <c r="C197" s="121" t="str">
        <f t="array" ref="C197">ifs(and(isblank($A197),isblank($B197)),"", not(iserror(vlookup($A197&amp;$B197,'3) Release_Label'!$D:$D&amp;'3) Release_Label'!$E:$E,1,0))),vlookup($A197&amp;$B197,{'3) Release_Label'!$D:$D&amp;'3) Release_Label'!$E:$E,'3) Release_Label'!$F:$F},2,0), or(and(not(isblank($B197)),$B197=$B196,$A197&lt;&gt;$A196),and(not(isblank($A197)),$A197=$A196,$B197&lt;&gt;$B196)),"ID LISTS UNALIGNED",and($A197&lt;&gt;"",countif('3) Release_Label'!$D:$D,$A197)=0),"NO UPC MATCH in Release_Label",and($B197&lt;&gt;"",countif('3) Release_Label'!$E:$E,$B197)=0),"NO CATALOG ID MATCH in Release_Label",iserror(vlookup($A197&amp;$B197,'3) Release_Label'!$D:$D&amp;'3) Release_Label'!$E:$E,1,0)),"NO UPC-CATALOG ID pair MATCH in Release_Label" )</f>
        <v/>
      </c>
      <c r="D197" s="121" t="str">
        <f t="array" ref="D197">ifs(and(isblank($A197),isblank($B197)),"", not(iserror(vlookup($A197&amp;$B197,'3) Release_Label'!$D:$D&amp;'3) Release_Label'!$E:$E,1,0))),vlookup($A197&amp;$B197,{'3) Release_Label'!$D:$D&amp;'3) Release_Label'!$E:$E,'3) Release_Label'!$H:$H},2,0), or(and(not(isblank($B197)),$B197=$B196,$A197&lt;&gt;$A196),and(not(isblank($A197)),$A197=$A196,$B197&lt;&gt;$B196)),"ID LISTS UNALIGNED",and($A197&lt;&gt;"",countif('3) Release_Label'!$D:$D,$A197)=0),"NO UPC MATCH in Release_Label",and($B197&lt;&gt;"",countif('3) Release_Label'!$E:$E,$B197)=0),"NO CATALOG ID MATCH in Release_Label",iserror(vlookup($A197&amp;$B197,'3) Release_Label'!$D:$D&amp;'3) Release_Label'!$E:$E,1,0)),"NO UPC-CATALOG ID pair MATCH in Release_Label" )</f>
        <v/>
      </c>
      <c r="E197" s="92"/>
      <c r="F197" s="92"/>
      <c r="G197" s="125" t="str">
        <f t="array" ref="G197">ifs(or($F197="",$F197="Main Primary Artist"),$F197,not(iserror(vlookup($F197,'Reference info'!$J$5:$J$8,1,0))),"Key Artist",not(iserror(vlookup($F197,'Reference info'!$J$38:$J$405,1,0))),"Performer",not(iserror(vlookup($F197,'Reference info'!$J$10:$J$36,1,0))),"Producer &amp; Engineer")</f>
        <v/>
      </c>
    </row>
    <row r="198">
      <c r="A198" s="28"/>
      <c r="B198" s="97"/>
      <c r="C198" s="121" t="str">
        <f t="array" ref="C198">ifs(and(isblank($A198),isblank($B198)),"", not(iserror(vlookup($A198&amp;$B198,'3) Release_Label'!$D:$D&amp;'3) Release_Label'!$E:$E,1,0))),vlookup($A198&amp;$B198,{'3) Release_Label'!$D:$D&amp;'3) Release_Label'!$E:$E,'3) Release_Label'!$F:$F},2,0), or(and(not(isblank($B198)),$B198=$B197,$A198&lt;&gt;$A197),and(not(isblank($A198)),$A198=$A197,$B198&lt;&gt;$B197)),"ID LISTS UNALIGNED",and($A198&lt;&gt;"",countif('3) Release_Label'!$D:$D,$A198)=0),"NO UPC MATCH in Release_Label",and($B198&lt;&gt;"",countif('3) Release_Label'!$E:$E,$B198)=0),"NO CATALOG ID MATCH in Release_Label",iserror(vlookup($A198&amp;$B198,'3) Release_Label'!$D:$D&amp;'3) Release_Label'!$E:$E,1,0)),"NO UPC-CATALOG ID pair MATCH in Release_Label" )</f>
        <v/>
      </c>
      <c r="D198" s="121" t="str">
        <f t="array" ref="D198">ifs(and(isblank($A198),isblank($B198)),"", not(iserror(vlookup($A198&amp;$B198,'3) Release_Label'!$D:$D&amp;'3) Release_Label'!$E:$E,1,0))),vlookup($A198&amp;$B198,{'3) Release_Label'!$D:$D&amp;'3) Release_Label'!$E:$E,'3) Release_Label'!$H:$H},2,0), or(and(not(isblank($B198)),$B198=$B197,$A198&lt;&gt;$A197),and(not(isblank($A198)),$A198=$A197,$B198&lt;&gt;$B197)),"ID LISTS UNALIGNED",and($A198&lt;&gt;"",countif('3) Release_Label'!$D:$D,$A198)=0),"NO UPC MATCH in Release_Label",and($B198&lt;&gt;"",countif('3) Release_Label'!$E:$E,$B198)=0),"NO CATALOG ID MATCH in Release_Label",iserror(vlookup($A198&amp;$B198,'3) Release_Label'!$D:$D&amp;'3) Release_Label'!$E:$E,1,0)),"NO UPC-CATALOG ID pair MATCH in Release_Label" )</f>
        <v/>
      </c>
      <c r="E198" s="92"/>
      <c r="F198" s="92"/>
      <c r="G198" s="125" t="str">
        <f t="array" ref="G198">ifs(or($F198="",$F198="Main Primary Artist"),$F198,not(iserror(vlookup($F198,'Reference info'!$J$5:$J$8,1,0))),"Key Artist",not(iserror(vlookup($F198,'Reference info'!$J$38:$J$405,1,0))),"Performer",not(iserror(vlookup($F198,'Reference info'!$J$10:$J$36,1,0))),"Producer &amp; Engineer")</f>
        <v/>
      </c>
    </row>
    <row r="199">
      <c r="A199" s="28"/>
      <c r="B199" s="97"/>
      <c r="C199" s="121" t="str">
        <f t="array" ref="C199">ifs(and(isblank($A199),isblank($B199)),"", not(iserror(vlookup($A199&amp;$B199,'3) Release_Label'!$D:$D&amp;'3) Release_Label'!$E:$E,1,0))),vlookup($A199&amp;$B199,{'3) Release_Label'!$D:$D&amp;'3) Release_Label'!$E:$E,'3) Release_Label'!$F:$F},2,0), or(and(not(isblank($B199)),$B199=$B198,$A199&lt;&gt;$A198),and(not(isblank($A199)),$A199=$A198,$B199&lt;&gt;$B198)),"ID LISTS UNALIGNED",and($A199&lt;&gt;"",countif('3) Release_Label'!$D:$D,$A199)=0),"NO UPC MATCH in Release_Label",and($B199&lt;&gt;"",countif('3) Release_Label'!$E:$E,$B199)=0),"NO CATALOG ID MATCH in Release_Label",iserror(vlookup($A199&amp;$B199,'3) Release_Label'!$D:$D&amp;'3) Release_Label'!$E:$E,1,0)),"NO UPC-CATALOG ID pair MATCH in Release_Label" )</f>
        <v/>
      </c>
      <c r="D199" s="121" t="str">
        <f t="array" ref="D199">ifs(and(isblank($A199),isblank($B199)),"", not(iserror(vlookup($A199&amp;$B199,'3) Release_Label'!$D:$D&amp;'3) Release_Label'!$E:$E,1,0))),vlookup($A199&amp;$B199,{'3) Release_Label'!$D:$D&amp;'3) Release_Label'!$E:$E,'3) Release_Label'!$H:$H},2,0), or(and(not(isblank($B199)),$B199=$B198,$A199&lt;&gt;$A198),and(not(isblank($A199)),$A199=$A198,$B199&lt;&gt;$B198)),"ID LISTS UNALIGNED",and($A199&lt;&gt;"",countif('3) Release_Label'!$D:$D,$A199)=0),"NO UPC MATCH in Release_Label",and($B199&lt;&gt;"",countif('3) Release_Label'!$E:$E,$B199)=0),"NO CATALOG ID MATCH in Release_Label",iserror(vlookup($A199&amp;$B199,'3) Release_Label'!$D:$D&amp;'3) Release_Label'!$E:$E,1,0)),"NO UPC-CATALOG ID pair MATCH in Release_Label" )</f>
        <v/>
      </c>
      <c r="E199" s="92"/>
      <c r="F199" s="92"/>
      <c r="G199" s="125" t="str">
        <f t="array" ref="G199">ifs(or($F199="",$F199="Main Primary Artist"),$F199,not(iserror(vlookup($F199,'Reference info'!$J$5:$J$8,1,0))),"Key Artist",not(iserror(vlookup($F199,'Reference info'!$J$38:$J$405,1,0))),"Performer",not(iserror(vlookup($F199,'Reference info'!$J$10:$J$36,1,0))),"Producer &amp; Engineer")</f>
        <v/>
      </c>
    </row>
    <row r="200">
      <c r="A200" s="28"/>
      <c r="B200" s="97"/>
      <c r="C200" s="121" t="str">
        <f t="array" ref="C200">ifs(and(isblank($A200),isblank($B200)),"", not(iserror(vlookup($A200&amp;$B200,'3) Release_Label'!$D:$D&amp;'3) Release_Label'!$E:$E,1,0))),vlookup($A200&amp;$B200,{'3) Release_Label'!$D:$D&amp;'3) Release_Label'!$E:$E,'3) Release_Label'!$F:$F},2,0), or(and(not(isblank($B200)),$B200=$B199,$A200&lt;&gt;$A199),and(not(isblank($A200)),$A200=$A199,$B200&lt;&gt;$B199)),"ID LISTS UNALIGNED",and($A200&lt;&gt;"",countif('3) Release_Label'!$D:$D,$A200)=0),"NO UPC MATCH in Release_Label",and($B200&lt;&gt;"",countif('3) Release_Label'!$E:$E,$B200)=0),"NO CATALOG ID MATCH in Release_Label",iserror(vlookup($A200&amp;$B200,'3) Release_Label'!$D:$D&amp;'3) Release_Label'!$E:$E,1,0)),"NO UPC-CATALOG ID pair MATCH in Release_Label" )</f>
        <v/>
      </c>
      <c r="D200" s="121" t="str">
        <f t="array" ref="D200">ifs(and(isblank($A200),isblank($B200)),"", not(iserror(vlookup($A200&amp;$B200,'3) Release_Label'!$D:$D&amp;'3) Release_Label'!$E:$E,1,0))),vlookup($A200&amp;$B200,{'3) Release_Label'!$D:$D&amp;'3) Release_Label'!$E:$E,'3) Release_Label'!$H:$H},2,0), or(and(not(isblank($B200)),$B200=$B199,$A200&lt;&gt;$A199),and(not(isblank($A200)),$A200=$A199,$B200&lt;&gt;$B199)),"ID LISTS UNALIGNED",and($A200&lt;&gt;"",countif('3) Release_Label'!$D:$D,$A200)=0),"NO UPC MATCH in Release_Label",and($B200&lt;&gt;"",countif('3) Release_Label'!$E:$E,$B200)=0),"NO CATALOG ID MATCH in Release_Label",iserror(vlookup($A200&amp;$B200,'3) Release_Label'!$D:$D&amp;'3) Release_Label'!$E:$E,1,0)),"NO UPC-CATALOG ID pair MATCH in Release_Label" )</f>
        <v/>
      </c>
      <c r="E200" s="92"/>
      <c r="F200" s="92"/>
      <c r="G200" s="125" t="str">
        <f t="array" ref="G200">ifs(or($F200="",$F200="Main Primary Artist"),$F200,not(iserror(vlookup($F200,'Reference info'!$J$5:$J$8,1,0))),"Key Artist",not(iserror(vlookup($F200,'Reference info'!$J$38:$J$405,1,0))),"Performer",not(iserror(vlookup($F200,'Reference info'!$J$10:$J$36,1,0))),"Producer &amp; Engineer")</f>
        <v/>
      </c>
    </row>
    <row r="201">
      <c r="A201" s="28"/>
      <c r="B201" s="97"/>
      <c r="C201" s="121" t="str">
        <f t="array" ref="C201">ifs(and(isblank($A201),isblank($B201)),"", not(iserror(vlookup($A201&amp;$B201,'3) Release_Label'!$D:$D&amp;'3) Release_Label'!$E:$E,1,0))),vlookup($A201&amp;$B201,{'3) Release_Label'!$D:$D&amp;'3) Release_Label'!$E:$E,'3) Release_Label'!$F:$F},2,0), or(and(not(isblank($B201)),$B201=$B200,$A201&lt;&gt;$A200),and(not(isblank($A201)),$A201=$A200,$B201&lt;&gt;$B200)),"ID LISTS UNALIGNED",and($A201&lt;&gt;"",countif('3) Release_Label'!$D:$D,$A201)=0),"NO UPC MATCH in Release_Label",and($B201&lt;&gt;"",countif('3) Release_Label'!$E:$E,$B201)=0),"NO CATALOG ID MATCH in Release_Label",iserror(vlookup($A201&amp;$B201,'3) Release_Label'!$D:$D&amp;'3) Release_Label'!$E:$E,1,0)),"NO UPC-CATALOG ID pair MATCH in Release_Label" )</f>
        <v/>
      </c>
      <c r="D201" s="121" t="str">
        <f t="array" ref="D201">ifs(and(isblank($A201),isblank($B201)),"", not(iserror(vlookup($A201&amp;$B201,'3) Release_Label'!$D:$D&amp;'3) Release_Label'!$E:$E,1,0))),vlookup($A201&amp;$B201,{'3) Release_Label'!$D:$D&amp;'3) Release_Label'!$E:$E,'3) Release_Label'!$H:$H},2,0), or(and(not(isblank($B201)),$B201=$B200,$A201&lt;&gt;$A200),and(not(isblank($A201)),$A201=$A200,$B201&lt;&gt;$B200)),"ID LISTS UNALIGNED",and($A201&lt;&gt;"",countif('3) Release_Label'!$D:$D,$A201)=0),"NO UPC MATCH in Release_Label",and($B201&lt;&gt;"",countif('3) Release_Label'!$E:$E,$B201)=0),"NO CATALOG ID MATCH in Release_Label",iserror(vlookup($A201&amp;$B201,'3) Release_Label'!$D:$D&amp;'3) Release_Label'!$E:$E,1,0)),"NO UPC-CATALOG ID pair MATCH in Release_Label" )</f>
        <v/>
      </c>
      <c r="E201" s="92"/>
      <c r="F201" s="92"/>
      <c r="G201" s="125" t="str">
        <f t="array" ref="G201">ifs(or($F201="",$F201="Main Primary Artist"),$F201,not(iserror(vlookup($F201,'Reference info'!$J$5:$J$8,1,0))),"Key Artist",not(iserror(vlookup($F201,'Reference info'!$J$38:$J$405,1,0))),"Performer",not(iserror(vlookup($F201,'Reference info'!$J$10:$J$36,1,0))),"Producer &amp; Engineer")</f>
        <v/>
      </c>
    </row>
    <row r="202">
      <c r="A202" s="28"/>
      <c r="B202" s="97"/>
      <c r="C202" s="121" t="str">
        <f t="array" ref="C202">ifs(and(isblank($A202),isblank($B202)),"", not(iserror(vlookup($A202&amp;$B202,'3) Release_Label'!$D:$D&amp;'3) Release_Label'!$E:$E,1,0))),vlookup($A202&amp;$B202,{'3) Release_Label'!$D:$D&amp;'3) Release_Label'!$E:$E,'3) Release_Label'!$F:$F},2,0), or(and(not(isblank($B202)),$B202=$B201,$A202&lt;&gt;$A201),and(not(isblank($A202)),$A202=$A201,$B202&lt;&gt;$B201)),"ID LISTS UNALIGNED",and($A202&lt;&gt;"",countif('3) Release_Label'!$D:$D,$A202)=0),"NO UPC MATCH in Release_Label",and($B202&lt;&gt;"",countif('3) Release_Label'!$E:$E,$B202)=0),"NO CATALOG ID MATCH in Release_Label",iserror(vlookup($A202&amp;$B202,'3) Release_Label'!$D:$D&amp;'3) Release_Label'!$E:$E,1,0)),"NO UPC-CATALOG ID pair MATCH in Release_Label" )</f>
        <v/>
      </c>
      <c r="D202" s="121" t="str">
        <f t="array" ref="D202">ifs(and(isblank($A202),isblank($B202)),"", not(iserror(vlookup($A202&amp;$B202,'3) Release_Label'!$D:$D&amp;'3) Release_Label'!$E:$E,1,0))),vlookup($A202&amp;$B202,{'3) Release_Label'!$D:$D&amp;'3) Release_Label'!$E:$E,'3) Release_Label'!$H:$H},2,0), or(and(not(isblank($B202)),$B202=$B201,$A202&lt;&gt;$A201),and(not(isblank($A202)),$A202=$A201,$B202&lt;&gt;$B201)),"ID LISTS UNALIGNED",and($A202&lt;&gt;"",countif('3) Release_Label'!$D:$D,$A202)=0),"NO UPC MATCH in Release_Label",and($B202&lt;&gt;"",countif('3) Release_Label'!$E:$E,$B202)=0),"NO CATALOG ID MATCH in Release_Label",iserror(vlookup($A202&amp;$B202,'3) Release_Label'!$D:$D&amp;'3) Release_Label'!$E:$E,1,0)),"NO UPC-CATALOG ID pair MATCH in Release_Label" )</f>
        <v/>
      </c>
      <c r="E202" s="92"/>
      <c r="F202" s="92"/>
      <c r="G202" s="125" t="str">
        <f t="array" ref="G202">ifs(or($F202="",$F202="Main Primary Artist"),$F202,not(iserror(vlookup($F202,'Reference info'!$J$5:$J$8,1,0))),"Key Artist",not(iserror(vlookup($F202,'Reference info'!$J$38:$J$405,1,0))),"Performer",not(iserror(vlookup($F202,'Reference info'!$J$10:$J$36,1,0))),"Producer &amp; Engineer")</f>
        <v/>
      </c>
    </row>
    <row r="203">
      <c r="A203" s="28"/>
      <c r="B203" s="97"/>
      <c r="C203" s="121" t="str">
        <f t="array" ref="C203">ifs(and(isblank($A203),isblank($B203)),"", not(iserror(vlookup($A203&amp;$B203,'3) Release_Label'!$D:$D&amp;'3) Release_Label'!$E:$E,1,0))),vlookup($A203&amp;$B203,{'3) Release_Label'!$D:$D&amp;'3) Release_Label'!$E:$E,'3) Release_Label'!$F:$F},2,0), or(and(not(isblank($B203)),$B203=$B202,$A203&lt;&gt;$A202),and(not(isblank($A203)),$A203=$A202,$B203&lt;&gt;$B202)),"ID LISTS UNALIGNED",and($A203&lt;&gt;"",countif('3) Release_Label'!$D:$D,$A203)=0),"NO UPC MATCH in Release_Label",and($B203&lt;&gt;"",countif('3) Release_Label'!$E:$E,$B203)=0),"NO CATALOG ID MATCH in Release_Label",iserror(vlookup($A203&amp;$B203,'3) Release_Label'!$D:$D&amp;'3) Release_Label'!$E:$E,1,0)),"NO UPC-CATALOG ID pair MATCH in Release_Label" )</f>
        <v/>
      </c>
      <c r="D203" s="121" t="str">
        <f t="array" ref="D203">ifs(and(isblank($A203),isblank($B203)),"", not(iserror(vlookup($A203&amp;$B203,'3) Release_Label'!$D:$D&amp;'3) Release_Label'!$E:$E,1,0))),vlookup($A203&amp;$B203,{'3) Release_Label'!$D:$D&amp;'3) Release_Label'!$E:$E,'3) Release_Label'!$H:$H},2,0), or(and(not(isblank($B203)),$B203=$B202,$A203&lt;&gt;$A202),and(not(isblank($A203)),$A203=$A202,$B203&lt;&gt;$B202)),"ID LISTS UNALIGNED",and($A203&lt;&gt;"",countif('3) Release_Label'!$D:$D,$A203)=0),"NO UPC MATCH in Release_Label",and($B203&lt;&gt;"",countif('3) Release_Label'!$E:$E,$B203)=0),"NO CATALOG ID MATCH in Release_Label",iserror(vlookup($A203&amp;$B203,'3) Release_Label'!$D:$D&amp;'3) Release_Label'!$E:$E,1,0)),"NO UPC-CATALOG ID pair MATCH in Release_Label" )</f>
        <v/>
      </c>
      <c r="E203" s="92"/>
      <c r="F203" s="92"/>
      <c r="G203" s="125" t="str">
        <f t="array" ref="G203">ifs(or($F203="",$F203="Main Primary Artist"),$F203,not(iserror(vlookup($F203,'Reference info'!$J$5:$J$8,1,0))),"Key Artist",not(iserror(vlookup($F203,'Reference info'!$J$38:$J$405,1,0))),"Performer",not(iserror(vlookup($F203,'Reference info'!$J$10:$J$36,1,0))),"Producer &amp; Engineer")</f>
        <v/>
      </c>
    </row>
    <row r="204">
      <c r="A204" s="28"/>
      <c r="B204" s="97"/>
      <c r="C204" s="121" t="str">
        <f t="array" ref="C204">ifs(and(isblank($A204),isblank($B204)),"", not(iserror(vlookup($A204&amp;$B204,'3) Release_Label'!$D:$D&amp;'3) Release_Label'!$E:$E,1,0))),vlookup($A204&amp;$B204,{'3) Release_Label'!$D:$D&amp;'3) Release_Label'!$E:$E,'3) Release_Label'!$F:$F},2,0), or(and(not(isblank($B204)),$B204=$B203,$A204&lt;&gt;$A203),and(not(isblank($A204)),$A204=$A203,$B204&lt;&gt;$B203)),"ID LISTS UNALIGNED",and($A204&lt;&gt;"",countif('3) Release_Label'!$D:$D,$A204)=0),"NO UPC MATCH in Release_Label",and($B204&lt;&gt;"",countif('3) Release_Label'!$E:$E,$B204)=0),"NO CATALOG ID MATCH in Release_Label",iserror(vlookup($A204&amp;$B204,'3) Release_Label'!$D:$D&amp;'3) Release_Label'!$E:$E,1,0)),"NO UPC-CATALOG ID pair MATCH in Release_Label" )</f>
        <v/>
      </c>
      <c r="D204" s="121" t="str">
        <f t="array" ref="D204">ifs(and(isblank($A204),isblank($B204)),"", not(iserror(vlookup($A204&amp;$B204,'3) Release_Label'!$D:$D&amp;'3) Release_Label'!$E:$E,1,0))),vlookup($A204&amp;$B204,{'3) Release_Label'!$D:$D&amp;'3) Release_Label'!$E:$E,'3) Release_Label'!$H:$H},2,0), or(and(not(isblank($B204)),$B204=$B203,$A204&lt;&gt;$A203),and(not(isblank($A204)),$A204=$A203,$B204&lt;&gt;$B203)),"ID LISTS UNALIGNED",and($A204&lt;&gt;"",countif('3) Release_Label'!$D:$D,$A204)=0),"NO UPC MATCH in Release_Label",and($B204&lt;&gt;"",countif('3) Release_Label'!$E:$E,$B204)=0),"NO CATALOG ID MATCH in Release_Label",iserror(vlookup($A204&amp;$B204,'3) Release_Label'!$D:$D&amp;'3) Release_Label'!$E:$E,1,0)),"NO UPC-CATALOG ID pair MATCH in Release_Label" )</f>
        <v/>
      </c>
      <c r="E204" s="92"/>
      <c r="F204" s="92"/>
      <c r="G204" s="125" t="str">
        <f t="array" ref="G204">ifs(or($F204="",$F204="Main Primary Artist"),$F204,not(iserror(vlookup($F204,'Reference info'!$J$5:$J$8,1,0))),"Key Artist",not(iserror(vlookup($F204,'Reference info'!$J$38:$J$405,1,0))),"Performer",not(iserror(vlookup($F204,'Reference info'!$J$10:$J$36,1,0))),"Producer &amp; Engineer")</f>
        <v/>
      </c>
    </row>
    <row r="205">
      <c r="A205" s="28"/>
      <c r="B205" s="97"/>
      <c r="C205" s="121" t="str">
        <f t="array" ref="C205">ifs(and(isblank($A205),isblank($B205)),"", not(iserror(vlookup($A205&amp;$B205,'3) Release_Label'!$D:$D&amp;'3) Release_Label'!$E:$E,1,0))),vlookup($A205&amp;$B205,{'3) Release_Label'!$D:$D&amp;'3) Release_Label'!$E:$E,'3) Release_Label'!$F:$F},2,0), or(and(not(isblank($B205)),$B205=$B204,$A205&lt;&gt;$A204),and(not(isblank($A205)),$A205=$A204,$B205&lt;&gt;$B204)),"ID LISTS UNALIGNED",and($A205&lt;&gt;"",countif('3) Release_Label'!$D:$D,$A205)=0),"NO UPC MATCH in Release_Label",and($B205&lt;&gt;"",countif('3) Release_Label'!$E:$E,$B205)=0),"NO CATALOG ID MATCH in Release_Label",iserror(vlookup($A205&amp;$B205,'3) Release_Label'!$D:$D&amp;'3) Release_Label'!$E:$E,1,0)),"NO UPC-CATALOG ID pair MATCH in Release_Label" )</f>
        <v/>
      </c>
      <c r="D205" s="121" t="str">
        <f t="array" ref="D205">ifs(and(isblank($A205),isblank($B205)),"", not(iserror(vlookup($A205&amp;$B205,'3) Release_Label'!$D:$D&amp;'3) Release_Label'!$E:$E,1,0))),vlookup($A205&amp;$B205,{'3) Release_Label'!$D:$D&amp;'3) Release_Label'!$E:$E,'3) Release_Label'!$H:$H},2,0), or(and(not(isblank($B205)),$B205=$B204,$A205&lt;&gt;$A204),and(not(isblank($A205)),$A205=$A204,$B205&lt;&gt;$B204)),"ID LISTS UNALIGNED",and($A205&lt;&gt;"",countif('3) Release_Label'!$D:$D,$A205)=0),"NO UPC MATCH in Release_Label",and($B205&lt;&gt;"",countif('3) Release_Label'!$E:$E,$B205)=0),"NO CATALOG ID MATCH in Release_Label",iserror(vlookup($A205&amp;$B205,'3) Release_Label'!$D:$D&amp;'3) Release_Label'!$E:$E,1,0)),"NO UPC-CATALOG ID pair MATCH in Release_Label" )</f>
        <v/>
      </c>
      <c r="E205" s="92"/>
      <c r="F205" s="92"/>
      <c r="G205" s="125" t="str">
        <f t="array" ref="G205">ifs(or($F205="",$F205="Main Primary Artist"),$F205,not(iserror(vlookup($F205,'Reference info'!$J$5:$J$8,1,0))),"Key Artist",not(iserror(vlookup($F205,'Reference info'!$J$38:$J$405,1,0))),"Performer",not(iserror(vlookup($F205,'Reference info'!$J$10:$J$36,1,0))),"Producer &amp; Engineer")</f>
        <v/>
      </c>
    </row>
    <row r="206">
      <c r="A206" s="28"/>
      <c r="B206" s="97"/>
      <c r="C206" s="121" t="str">
        <f t="array" ref="C206">ifs(and(isblank($A206),isblank($B206)),"", not(iserror(vlookup($A206&amp;$B206,'3) Release_Label'!$D:$D&amp;'3) Release_Label'!$E:$E,1,0))),vlookup($A206&amp;$B206,{'3) Release_Label'!$D:$D&amp;'3) Release_Label'!$E:$E,'3) Release_Label'!$F:$F},2,0), or(and(not(isblank($B206)),$B206=$B205,$A206&lt;&gt;$A205),and(not(isblank($A206)),$A206=$A205,$B206&lt;&gt;$B205)),"ID LISTS UNALIGNED",and($A206&lt;&gt;"",countif('3) Release_Label'!$D:$D,$A206)=0),"NO UPC MATCH in Release_Label",and($B206&lt;&gt;"",countif('3) Release_Label'!$E:$E,$B206)=0),"NO CATALOG ID MATCH in Release_Label",iserror(vlookup($A206&amp;$B206,'3) Release_Label'!$D:$D&amp;'3) Release_Label'!$E:$E,1,0)),"NO UPC-CATALOG ID pair MATCH in Release_Label" )</f>
        <v/>
      </c>
      <c r="D206" s="121" t="str">
        <f t="array" ref="D206">ifs(and(isblank($A206),isblank($B206)),"", not(iserror(vlookup($A206&amp;$B206,'3) Release_Label'!$D:$D&amp;'3) Release_Label'!$E:$E,1,0))),vlookup($A206&amp;$B206,{'3) Release_Label'!$D:$D&amp;'3) Release_Label'!$E:$E,'3) Release_Label'!$H:$H},2,0), or(and(not(isblank($B206)),$B206=$B205,$A206&lt;&gt;$A205),and(not(isblank($A206)),$A206=$A205,$B206&lt;&gt;$B205)),"ID LISTS UNALIGNED",and($A206&lt;&gt;"",countif('3) Release_Label'!$D:$D,$A206)=0),"NO UPC MATCH in Release_Label",and($B206&lt;&gt;"",countif('3) Release_Label'!$E:$E,$B206)=0),"NO CATALOG ID MATCH in Release_Label",iserror(vlookup($A206&amp;$B206,'3) Release_Label'!$D:$D&amp;'3) Release_Label'!$E:$E,1,0)),"NO UPC-CATALOG ID pair MATCH in Release_Label" )</f>
        <v/>
      </c>
      <c r="E206" s="92"/>
      <c r="F206" s="92"/>
      <c r="G206" s="125" t="str">
        <f t="array" ref="G206">ifs(or($F206="",$F206="Main Primary Artist"),$F206,not(iserror(vlookup($F206,'Reference info'!$J$5:$J$8,1,0))),"Key Artist",not(iserror(vlookup($F206,'Reference info'!$J$38:$J$405,1,0))),"Performer",not(iserror(vlookup($F206,'Reference info'!$J$10:$J$36,1,0))),"Producer &amp; Engineer")</f>
        <v/>
      </c>
    </row>
    <row r="207">
      <c r="A207" s="28"/>
      <c r="B207" s="97"/>
      <c r="C207" s="121" t="str">
        <f t="array" ref="C207">ifs(and(isblank($A207),isblank($B207)),"", not(iserror(vlookup($A207&amp;$B207,'3) Release_Label'!$D:$D&amp;'3) Release_Label'!$E:$E,1,0))),vlookup($A207&amp;$B207,{'3) Release_Label'!$D:$D&amp;'3) Release_Label'!$E:$E,'3) Release_Label'!$F:$F},2,0), or(and(not(isblank($B207)),$B207=$B206,$A207&lt;&gt;$A206),and(not(isblank($A207)),$A207=$A206,$B207&lt;&gt;$B206)),"ID LISTS UNALIGNED",and($A207&lt;&gt;"",countif('3) Release_Label'!$D:$D,$A207)=0),"NO UPC MATCH in Release_Label",and($B207&lt;&gt;"",countif('3) Release_Label'!$E:$E,$B207)=0),"NO CATALOG ID MATCH in Release_Label",iserror(vlookup($A207&amp;$B207,'3) Release_Label'!$D:$D&amp;'3) Release_Label'!$E:$E,1,0)),"NO UPC-CATALOG ID pair MATCH in Release_Label" )</f>
        <v/>
      </c>
      <c r="D207" s="121" t="str">
        <f t="array" ref="D207">ifs(and(isblank($A207),isblank($B207)),"", not(iserror(vlookup($A207&amp;$B207,'3) Release_Label'!$D:$D&amp;'3) Release_Label'!$E:$E,1,0))),vlookup($A207&amp;$B207,{'3) Release_Label'!$D:$D&amp;'3) Release_Label'!$E:$E,'3) Release_Label'!$H:$H},2,0), or(and(not(isblank($B207)),$B207=$B206,$A207&lt;&gt;$A206),and(not(isblank($A207)),$A207=$A206,$B207&lt;&gt;$B206)),"ID LISTS UNALIGNED",and($A207&lt;&gt;"",countif('3) Release_Label'!$D:$D,$A207)=0),"NO UPC MATCH in Release_Label",and($B207&lt;&gt;"",countif('3) Release_Label'!$E:$E,$B207)=0),"NO CATALOG ID MATCH in Release_Label",iserror(vlookup($A207&amp;$B207,'3) Release_Label'!$D:$D&amp;'3) Release_Label'!$E:$E,1,0)),"NO UPC-CATALOG ID pair MATCH in Release_Label" )</f>
        <v/>
      </c>
      <c r="E207" s="92"/>
      <c r="F207" s="92"/>
      <c r="G207" s="125" t="str">
        <f t="array" ref="G207">ifs(or($F207="",$F207="Main Primary Artist"),$F207,not(iserror(vlookup($F207,'Reference info'!$J$5:$J$8,1,0))),"Key Artist",not(iserror(vlookup($F207,'Reference info'!$J$38:$J$405,1,0))),"Performer",not(iserror(vlookup($F207,'Reference info'!$J$10:$J$36,1,0))),"Producer &amp; Engineer")</f>
        <v/>
      </c>
    </row>
    <row r="208">
      <c r="A208" s="28"/>
      <c r="B208" s="97"/>
      <c r="C208" s="121" t="str">
        <f t="array" ref="C208">ifs(and(isblank($A208),isblank($B208)),"", not(iserror(vlookup($A208&amp;$B208,'3) Release_Label'!$D:$D&amp;'3) Release_Label'!$E:$E,1,0))),vlookup($A208&amp;$B208,{'3) Release_Label'!$D:$D&amp;'3) Release_Label'!$E:$E,'3) Release_Label'!$F:$F},2,0), or(and(not(isblank($B208)),$B208=$B207,$A208&lt;&gt;$A207),and(not(isblank($A208)),$A208=$A207,$B208&lt;&gt;$B207)),"ID LISTS UNALIGNED",and($A208&lt;&gt;"",countif('3) Release_Label'!$D:$D,$A208)=0),"NO UPC MATCH in Release_Label",and($B208&lt;&gt;"",countif('3) Release_Label'!$E:$E,$B208)=0),"NO CATALOG ID MATCH in Release_Label",iserror(vlookup($A208&amp;$B208,'3) Release_Label'!$D:$D&amp;'3) Release_Label'!$E:$E,1,0)),"NO UPC-CATALOG ID pair MATCH in Release_Label" )</f>
        <v/>
      </c>
      <c r="D208" s="121" t="str">
        <f t="array" ref="D208">ifs(and(isblank($A208),isblank($B208)),"", not(iserror(vlookup($A208&amp;$B208,'3) Release_Label'!$D:$D&amp;'3) Release_Label'!$E:$E,1,0))),vlookup($A208&amp;$B208,{'3) Release_Label'!$D:$D&amp;'3) Release_Label'!$E:$E,'3) Release_Label'!$H:$H},2,0), or(and(not(isblank($B208)),$B208=$B207,$A208&lt;&gt;$A207),and(not(isblank($A208)),$A208=$A207,$B208&lt;&gt;$B207)),"ID LISTS UNALIGNED",and($A208&lt;&gt;"",countif('3) Release_Label'!$D:$D,$A208)=0),"NO UPC MATCH in Release_Label",and($B208&lt;&gt;"",countif('3) Release_Label'!$E:$E,$B208)=0),"NO CATALOG ID MATCH in Release_Label",iserror(vlookup($A208&amp;$B208,'3) Release_Label'!$D:$D&amp;'3) Release_Label'!$E:$E,1,0)),"NO UPC-CATALOG ID pair MATCH in Release_Label" )</f>
        <v/>
      </c>
      <c r="E208" s="92"/>
      <c r="F208" s="92"/>
      <c r="G208" s="125" t="str">
        <f t="array" ref="G208">ifs(or($F208="",$F208="Main Primary Artist"),$F208,not(iserror(vlookup($F208,'Reference info'!$J$5:$J$8,1,0))),"Key Artist",not(iserror(vlookup($F208,'Reference info'!$J$38:$J$405,1,0))),"Performer",not(iserror(vlookup($F208,'Reference info'!$J$10:$J$36,1,0))),"Producer &amp; Engineer")</f>
        <v/>
      </c>
    </row>
    <row r="209">
      <c r="A209" s="28"/>
      <c r="B209" s="97"/>
      <c r="C209" s="121" t="str">
        <f t="array" ref="C209">ifs(and(isblank($A209),isblank($B209)),"", not(iserror(vlookup($A209&amp;$B209,'3) Release_Label'!$D:$D&amp;'3) Release_Label'!$E:$E,1,0))),vlookup($A209&amp;$B209,{'3) Release_Label'!$D:$D&amp;'3) Release_Label'!$E:$E,'3) Release_Label'!$F:$F},2,0), or(and(not(isblank($B209)),$B209=$B208,$A209&lt;&gt;$A208),and(not(isblank($A209)),$A209=$A208,$B209&lt;&gt;$B208)),"ID LISTS UNALIGNED",and($A209&lt;&gt;"",countif('3) Release_Label'!$D:$D,$A209)=0),"NO UPC MATCH in Release_Label",and($B209&lt;&gt;"",countif('3) Release_Label'!$E:$E,$B209)=0),"NO CATALOG ID MATCH in Release_Label",iserror(vlookup($A209&amp;$B209,'3) Release_Label'!$D:$D&amp;'3) Release_Label'!$E:$E,1,0)),"NO UPC-CATALOG ID pair MATCH in Release_Label" )</f>
        <v/>
      </c>
      <c r="D209" s="121" t="str">
        <f t="array" ref="D209">ifs(and(isblank($A209),isblank($B209)),"", not(iserror(vlookup($A209&amp;$B209,'3) Release_Label'!$D:$D&amp;'3) Release_Label'!$E:$E,1,0))),vlookup($A209&amp;$B209,{'3) Release_Label'!$D:$D&amp;'3) Release_Label'!$E:$E,'3) Release_Label'!$H:$H},2,0), or(and(not(isblank($B209)),$B209=$B208,$A209&lt;&gt;$A208),and(not(isblank($A209)),$A209=$A208,$B209&lt;&gt;$B208)),"ID LISTS UNALIGNED",and($A209&lt;&gt;"",countif('3) Release_Label'!$D:$D,$A209)=0),"NO UPC MATCH in Release_Label",and($B209&lt;&gt;"",countif('3) Release_Label'!$E:$E,$B209)=0),"NO CATALOG ID MATCH in Release_Label",iserror(vlookup($A209&amp;$B209,'3) Release_Label'!$D:$D&amp;'3) Release_Label'!$E:$E,1,0)),"NO UPC-CATALOG ID pair MATCH in Release_Label" )</f>
        <v/>
      </c>
      <c r="E209" s="92"/>
      <c r="F209" s="92"/>
      <c r="G209" s="125" t="str">
        <f t="array" ref="G209">ifs(or($F209="",$F209="Main Primary Artist"),$F209,not(iserror(vlookup($F209,'Reference info'!$J$5:$J$8,1,0))),"Key Artist",not(iserror(vlookup($F209,'Reference info'!$J$38:$J$405,1,0))),"Performer",not(iserror(vlookup($F209,'Reference info'!$J$10:$J$36,1,0))),"Producer &amp; Engineer")</f>
        <v/>
      </c>
    </row>
    <row r="210">
      <c r="A210" s="28"/>
      <c r="B210" s="97"/>
      <c r="C210" s="121" t="str">
        <f t="array" ref="C210">ifs(and(isblank($A210),isblank($B210)),"", not(iserror(vlookup($A210&amp;$B210,'3) Release_Label'!$D:$D&amp;'3) Release_Label'!$E:$E,1,0))),vlookup($A210&amp;$B210,{'3) Release_Label'!$D:$D&amp;'3) Release_Label'!$E:$E,'3) Release_Label'!$F:$F},2,0), or(and(not(isblank($B210)),$B210=$B209,$A210&lt;&gt;$A209),and(not(isblank($A210)),$A210=$A209,$B210&lt;&gt;$B209)),"ID LISTS UNALIGNED",and($A210&lt;&gt;"",countif('3) Release_Label'!$D:$D,$A210)=0),"NO UPC MATCH in Release_Label",and($B210&lt;&gt;"",countif('3) Release_Label'!$E:$E,$B210)=0),"NO CATALOG ID MATCH in Release_Label",iserror(vlookup($A210&amp;$B210,'3) Release_Label'!$D:$D&amp;'3) Release_Label'!$E:$E,1,0)),"NO UPC-CATALOG ID pair MATCH in Release_Label" )</f>
        <v/>
      </c>
      <c r="D210" s="121" t="str">
        <f t="array" ref="D210">ifs(and(isblank($A210),isblank($B210)),"", not(iserror(vlookup($A210&amp;$B210,'3) Release_Label'!$D:$D&amp;'3) Release_Label'!$E:$E,1,0))),vlookup($A210&amp;$B210,{'3) Release_Label'!$D:$D&amp;'3) Release_Label'!$E:$E,'3) Release_Label'!$H:$H},2,0), or(and(not(isblank($B210)),$B210=$B209,$A210&lt;&gt;$A209),and(not(isblank($A210)),$A210=$A209,$B210&lt;&gt;$B209)),"ID LISTS UNALIGNED",and($A210&lt;&gt;"",countif('3) Release_Label'!$D:$D,$A210)=0),"NO UPC MATCH in Release_Label",and($B210&lt;&gt;"",countif('3) Release_Label'!$E:$E,$B210)=0),"NO CATALOG ID MATCH in Release_Label",iserror(vlookup($A210&amp;$B210,'3) Release_Label'!$D:$D&amp;'3) Release_Label'!$E:$E,1,0)),"NO UPC-CATALOG ID pair MATCH in Release_Label" )</f>
        <v/>
      </c>
      <c r="E210" s="92"/>
      <c r="F210" s="92"/>
      <c r="G210" s="125" t="str">
        <f t="array" ref="G210">ifs(or($F210="",$F210="Main Primary Artist"),$F210,not(iserror(vlookup($F210,'Reference info'!$J$5:$J$8,1,0))),"Key Artist",not(iserror(vlookup($F210,'Reference info'!$J$38:$J$405,1,0))),"Performer",not(iserror(vlookup($F210,'Reference info'!$J$10:$J$36,1,0))),"Producer &amp; Engineer")</f>
        <v/>
      </c>
    </row>
    <row r="211">
      <c r="A211" s="28"/>
      <c r="B211" s="97"/>
      <c r="C211" s="121" t="str">
        <f t="array" ref="C211">ifs(and(isblank($A211),isblank($B211)),"", not(iserror(vlookup($A211&amp;$B211,'3) Release_Label'!$D:$D&amp;'3) Release_Label'!$E:$E,1,0))),vlookup($A211&amp;$B211,{'3) Release_Label'!$D:$D&amp;'3) Release_Label'!$E:$E,'3) Release_Label'!$F:$F},2,0), or(and(not(isblank($B211)),$B211=$B210,$A211&lt;&gt;$A210),and(not(isblank($A211)),$A211=$A210,$B211&lt;&gt;$B210)),"ID LISTS UNALIGNED",and($A211&lt;&gt;"",countif('3) Release_Label'!$D:$D,$A211)=0),"NO UPC MATCH in Release_Label",and($B211&lt;&gt;"",countif('3) Release_Label'!$E:$E,$B211)=0),"NO CATALOG ID MATCH in Release_Label",iserror(vlookup($A211&amp;$B211,'3) Release_Label'!$D:$D&amp;'3) Release_Label'!$E:$E,1,0)),"NO UPC-CATALOG ID pair MATCH in Release_Label" )</f>
        <v/>
      </c>
      <c r="D211" s="121" t="str">
        <f t="array" ref="D211">ifs(and(isblank($A211),isblank($B211)),"", not(iserror(vlookup($A211&amp;$B211,'3) Release_Label'!$D:$D&amp;'3) Release_Label'!$E:$E,1,0))),vlookup($A211&amp;$B211,{'3) Release_Label'!$D:$D&amp;'3) Release_Label'!$E:$E,'3) Release_Label'!$H:$H},2,0), or(and(not(isblank($B211)),$B211=$B210,$A211&lt;&gt;$A210),and(not(isblank($A211)),$A211=$A210,$B211&lt;&gt;$B210)),"ID LISTS UNALIGNED",and($A211&lt;&gt;"",countif('3) Release_Label'!$D:$D,$A211)=0),"NO UPC MATCH in Release_Label",and($B211&lt;&gt;"",countif('3) Release_Label'!$E:$E,$B211)=0),"NO CATALOG ID MATCH in Release_Label",iserror(vlookup($A211&amp;$B211,'3) Release_Label'!$D:$D&amp;'3) Release_Label'!$E:$E,1,0)),"NO UPC-CATALOG ID pair MATCH in Release_Label" )</f>
        <v/>
      </c>
      <c r="E211" s="92"/>
      <c r="F211" s="92"/>
      <c r="G211" s="125" t="str">
        <f t="array" ref="G211">ifs(or($F211="",$F211="Main Primary Artist"),$F211,not(iserror(vlookup($F211,'Reference info'!$J$5:$J$8,1,0))),"Key Artist",not(iserror(vlookup($F211,'Reference info'!$J$38:$J$405,1,0))),"Performer",not(iserror(vlookup($F211,'Reference info'!$J$10:$J$36,1,0))),"Producer &amp; Engineer")</f>
        <v/>
      </c>
    </row>
    <row r="212">
      <c r="A212" s="28"/>
      <c r="B212" s="97"/>
      <c r="C212" s="121" t="str">
        <f t="array" ref="C212">ifs(and(isblank($A212),isblank($B212)),"", not(iserror(vlookup($A212&amp;$B212,'3) Release_Label'!$D:$D&amp;'3) Release_Label'!$E:$E,1,0))),vlookup($A212&amp;$B212,{'3) Release_Label'!$D:$D&amp;'3) Release_Label'!$E:$E,'3) Release_Label'!$F:$F},2,0), or(and(not(isblank($B212)),$B212=$B211,$A212&lt;&gt;$A211),and(not(isblank($A212)),$A212=$A211,$B212&lt;&gt;$B211)),"ID LISTS UNALIGNED",and($A212&lt;&gt;"",countif('3) Release_Label'!$D:$D,$A212)=0),"NO UPC MATCH in Release_Label",and($B212&lt;&gt;"",countif('3) Release_Label'!$E:$E,$B212)=0),"NO CATALOG ID MATCH in Release_Label",iserror(vlookup($A212&amp;$B212,'3) Release_Label'!$D:$D&amp;'3) Release_Label'!$E:$E,1,0)),"NO UPC-CATALOG ID pair MATCH in Release_Label" )</f>
        <v/>
      </c>
      <c r="D212" s="121" t="str">
        <f t="array" ref="D212">ifs(and(isblank($A212),isblank($B212)),"", not(iserror(vlookup($A212&amp;$B212,'3) Release_Label'!$D:$D&amp;'3) Release_Label'!$E:$E,1,0))),vlookup($A212&amp;$B212,{'3) Release_Label'!$D:$D&amp;'3) Release_Label'!$E:$E,'3) Release_Label'!$H:$H},2,0), or(and(not(isblank($B212)),$B212=$B211,$A212&lt;&gt;$A211),and(not(isblank($A212)),$A212=$A211,$B212&lt;&gt;$B211)),"ID LISTS UNALIGNED",and($A212&lt;&gt;"",countif('3) Release_Label'!$D:$D,$A212)=0),"NO UPC MATCH in Release_Label",and($B212&lt;&gt;"",countif('3) Release_Label'!$E:$E,$B212)=0),"NO CATALOG ID MATCH in Release_Label",iserror(vlookup($A212&amp;$B212,'3) Release_Label'!$D:$D&amp;'3) Release_Label'!$E:$E,1,0)),"NO UPC-CATALOG ID pair MATCH in Release_Label" )</f>
        <v/>
      </c>
      <c r="E212" s="92"/>
      <c r="F212" s="92"/>
      <c r="G212" s="125" t="str">
        <f t="array" ref="G212">ifs(or($F212="",$F212="Main Primary Artist"),$F212,not(iserror(vlookup($F212,'Reference info'!$J$5:$J$8,1,0))),"Key Artist",not(iserror(vlookup($F212,'Reference info'!$J$38:$J$405,1,0))),"Performer",not(iserror(vlookup($F212,'Reference info'!$J$10:$J$36,1,0))),"Producer &amp; Engineer")</f>
        <v/>
      </c>
    </row>
    <row r="213">
      <c r="A213" s="28"/>
      <c r="B213" s="97"/>
      <c r="C213" s="121" t="str">
        <f t="array" ref="C213">ifs(and(isblank($A213),isblank($B213)),"", not(iserror(vlookup($A213&amp;$B213,'3) Release_Label'!$D:$D&amp;'3) Release_Label'!$E:$E,1,0))),vlookup($A213&amp;$B213,{'3) Release_Label'!$D:$D&amp;'3) Release_Label'!$E:$E,'3) Release_Label'!$F:$F},2,0), or(and(not(isblank($B213)),$B213=$B212,$A213&lt;&gt;$A212),and(not(isblank($A213)),$A213=$A212,$B213&lt;&gt;$B212)),"ID LISTS UNALIGNED",and($A213&lt;&gt;"",countif('3) Release_Label'!$D:$D,$A213)=0),"NO UPC MATCH in Release_Label",and($B213&lt;&gt;"",countif('3) Release_Label'!$E:$E,$B213)=0),"NO CATALOG ID MATCH in Release_Label",iserror(vlookup($A213&amp;$B213,'3) Release_Label'!$D:$D&amp;'3) Release_Label'!$E:$E,1,0)),"NO UPC-CATALOG ID pair MATCH in Release_Label" )</f>
        <v/>
      </c>
      <c r="D213" s="121" t="str">
        <f t="array" ref="D213">ifs(and(isblank($A213),isblank($B213)),"", not(iserror(vlookup($A213&amp;$B213,'3) Release_Label'!$D:$D&amp;'3) Release_Label'!$E:$E,1,0))),vlookup($A213&amp;$B213,{'3) Release_Label'!$D:$D&amp;'3) Release_Label'!$E:$E,'3) Release_Label'!$H:$H},2,0), or(and(not(isblank($B213)),$B213=$B212,$A213&lt;&gt;$A212),and(not(isblank($A213)),$A213=$A212,$B213&lt;&gt;$B212)),"ID LISTS UNALIGNED",and($A213&lt;&gt;"",countif('3) Release_Label'!$D:$D,$A213)=0),"NO UPC MATCH in Release_Label",and($B213&lt;&gt;"",countif('3) Release_Label'!$E:$E,$B213)=0),"NO CATALOG ID MATCH in Release_Label",iserror(vlookup($A213&amp;$B213,'3) Release_Label'!$D:$D&amp;'3) Release_Label'!$E:$E,1,0)),"NO UPC-CATALOG ID pair MATCH in Release_Label" )</f>
        <v/>
      </c>
      <c r="E213" s="92"/>
      <c r="F213" s="92"/>
      <c r="G213" s="125" t="str">
        <f t="array" ref="G213">ifs(or($F213="",$F213="Main Primary Artist"),$F213,not(iserror(vlookup($F213,'Reference info'!$J$5:$J$8,1,0))),"Key Artist",not(iserror(vlookup($F213,'Reference info'!$J$38:$J$405,1,0))),"Performer",not(iserror(vlookup($F213,'Reference info'!$J$10:$J$36,1,0))),"Producer &amp; Engineer")</f>
        <v/>
      </c>
    </row>
    <row r="214">
      <c r="A214" s="28"/>
      <c r="B214" s="97"/>
      <c r="C214" s="121" t="str">
        <f t="array" ref="C214">ifs(and(isblank($A214),isblank($B214)),"", not(iserror(vlookup($A214&amp;$B214,'3) Release_Label'!$D:$D&amp;'3) Release_Label'!$E:$E,1,0))),vlookup($A214&amp;$B214,{'3) Release_Label'!$D:$D&amp;'3) Release_Label'!$E:$E,'3) Release_Label'!$F:$F},2,0), or(and(not(isblank($B214)),$B214=$B213,$A214&lt;&gt;$A213),and(not(isblank($A214)),$A214=$A213,$B214&lt;&gt;$B213)),"ID LISTS UNALIGNED",and($A214&lt;&gt;"",countif('3) Release_Label'!$D:$D,$A214)=0),"NO UPC MATCH in Release_Label",and($B214&lt;&gt;"",countif('3) Release_Label'!$E:$E,$B214)=0),"NO CATALOG ID MATCH in Release_Label",iserror(vlookup($A214&amp;$B214,'3) Release_Label'!$D:$D&amp;'3) Release_Label'!$E:$E,1,0)),"NO UPC-CATALOG ID pair MATCH in Release_Label" )</f>
        <v/>
      </c>
      <c r="D214" s="121" t="str">
        <f t="array" ref="D214">ifs(and(isblank($A214),isblank($B214)),"", not(iserror(vlookup($A214&amp;$B214,'3) Release_Label'!$D:$D&amp;'3) Release_Label'!$E:$E,1,0))),vlookup($A214&amp;$B214,{'3) Release_Label'!$D:$D&amp;'3) Release_Label'!$E:$E,'3) Release_Label'!$H:$H},2,0), or(and(not(isblank($B214)),$B214=$B213,$A214&lt;&gt;$A213),and(not(isblank($A214)),$A214=$A213,$B214&lt;&gt;$B213)),"ID LISTS UNALIGNED",and($A214&lt;&gt;"",countif('3) Release_Label'!$D:$D,$A214)=0),"NO UPC MATCH in Release_Label",and($B214&lt;&gt;"",countif('3) Release_Label'!$E:$E,$B214)=0),"NO CATALOG ID MATCH in Release_Label",iserror(vlookup($A214&amp;$B214,'3) Release_Label'!$D:$D&amp;'3) Release_Label'!$E:$E,1,0)),"NO UPC-CATALOG ID pair MATCH in Release_Label" )</f>
        <v/>
      </c>
      <c r="E214" s="92"/>
      <c r="F214" s="92"/>
      <c r="G214" s="125" t="str">
        <f t="array" ref="G214">ifs(or($F214="",$F214="Main Primary Artist"),$F214,not(iserror(vlookup($F214,'Reference info'!$J$5:$J$8,1,0))),"Key Artist",not(iserror(vlookup($F214,'Reference info'!$J$38:$J$405,1,0))),"Performer",not(iserror(vlookup($F214,'Reference info'!$J$10:$J$36,1,0))),"Producer &amp; Engineer")</f>
        <v/>
      </c>
    </row>
    <row r="215">
      <c r="A215" s="28"/>
      <c r="B215" s="97"/>
      <c r="C215" s="121" t="str">
        <f t="array" ref="C215">ifs(and(isblank($A215),isblank($B215)),"", not(iserror(vlookup($A215&amp;$B215,'3) Release_Label'!$D:$D&amp;'3) Release_Label'!$E:$E,1,0))),vlookup($A215&amp;$B215,{'3) Release_Label'!$D:$D&amp;'3) Release_Label'!$E:$E,'3) Release_Label'!$F:$F},2,0), or(and(not(isblank($B215)),$B215=$B214,$A215&lt;&gt;$A214),and(not(isblank($A215)),$A215=$A214,$B215&lt;&gt;$B214)),"ID LISTS UNALIGNED",and($A215&lt;&gt;"",countif('3) Release_Label'!$D:$D,$A215)=0),"NO UPC MATCH in Release_Label",and($B215&lt;&gt;"",countif('3) Release_Label'!$E:$E,$B215)=0),"NO CATALOG ID MATCH in Release_Label",iserror(vlookup($A215&amp;$B215,'3) Release_Label'!$D:$D&amp;'3) Release_Label'!$E:$E,1,0)),"NO UPC-CATALOG ID pair MATCH in Release_Label" )</f>
        <v/>
      </c>
      <c r="D215" s="121" t="str">
        <f t="array" ref="D215">ifs(and(isblank($A215),isblank($B215)),"", not(iserror(vlookup($A215&amp;$B215,'3) Release_Label'!$D:$D&amp;'3) Release_Label'!$E:$E,1,0))),vlookup($A215&amp;$B215,{'3) Release_Label'!$D:$D&amp;'3) Release_Label'!$E:$E,'3) Release_Label'!$H:$H},2,0), or(and(not(isblank($B215)),$B215=$B214,$A215&lt;&gt;$A214),and(not(isblank($A215)),$A215=$A214,$B215&lt;&gt;$B214)),"ID LISTS UNALIGNED",and($A215&lt;&gt;"",countif('3) Release_Label'!$D:$D,$A215)=0),"NO UPC MATCH in Release_Label",and($B215&lt;&gt;"",countif('3) Release_Label'!$E:$E,$B215)=0),"NO CATALOG ID MATCH in Release_Label",iserror(vlookup($A215&amp;$B215,'3) Release_Label'!$D:$D&amp;'3) Release_Label'!$E:$E,1,0)),"NO UPC-CATALOG ID pair MATCH in Release_Label" )</f>
        <v/>
      </c>
      <c r="E215" s="92"/>
      <c r="F215" s="92"/>
      <c r="G215" s="125" t="str">
        <f t="array" ref="G215">ifs(or($F215="",$F215="Main Primary Artist"),$F215,not(iserror(vlookup($F215,'Reference info'!$J$5:$J$8,1,0))),"Key Artist",not(iserror(vlookup($F215,'Reference info'!$J$38:$J$405,1,0))),"Performer",not(iserror(vlookup($F215,'Reference info'!$J$10:$J$36,1,0))),"Producer &amp; Engineer")</f>
        <v/>
      </c>
    </row>
    <row r="216">
      <c r="A216" s="28"/>
      <c r="B216" s="97"/>
      <c r="C216" s="121" t="str">
        <f t="array" ref="C216">ifs(and(isblank($A216),isblank($B216)),"", not(iserror(vlookup($A216&amp;$B216,'3) Release_Label'!$D:$D&amp;'3) Release_Label'!$E:$E,1,0))),vlookup($A216&amp;$B216,{'3) Release_Label'!$D:$D&amp;'3) Release_Label'!$E:$E,'3) Release_Label'!$F:$F},2,0), or(and(not(isblank($B216)),$B216=$B215,$A216&lt;&gt;$A215),and(not(isblank($A216)),$A216=$A215,$B216&lt;&gt;$B215)),"ID LISTS UNALIGNED",and($A216&lt;&gt;"",countif('3) Release_Label'!$D:$D,$A216)=0),"NO UPC MATCH in Release_Label",and($B216&lt;&gt;"",countif('3) Release_Label'!$E:$E,$B216)=0),"NO CATALOG ID MATCH in Release_Label",iserror(vlookup($A216&amp;$B216,'3) Release_Label'!$D:$D&amp;'3) Release_Label'!$E:$E,1,0)),"NO UPC-CATALOG ID pair MATCH in Release_Label" )</f>
        <v/>
      </c>
      <c r="D216" s="121" t="str">
        <f t="array" ref="D216">ifs(and(isblank($A216),isblank($B216)),"", not(iserror(vlookup($A216&amp;$B216,'3) Release_Label'!$D:$D&amp;'3) Release_Label'!$E:$E,1,0))),vlookup($A216&amp;$B216,{'3) Release_Label'!$D:$D&amp;'3) Release_Label'!$E:$E,'3) Release_Label'!$H:$H},2,0), or(and(not(isblank($B216)),$B216=$B215,$A216&lt;&gt;$A215),and(not(isblank($A216)),$A216=$A215,$B216&lt;&gt;$B215)),"ID LISTS UNALIGNED",and($A216&lt;&gt;"",countif('3) Release_Label'!$D:$D,$A216)=0),"NO UPC MATCH in Release_Label",and($B216&lt;&gt;"",countif('3) Release_Label'!$E:$E,$B216)=0),"NO CATALOG ID MATCH in Release_Label",iserror(vlookup($A216&amp;$B216,'3) Release_Label'!$D:$D&amp;'3) Release_Label'!$E:$E,1,0)),"NO UPC-CATALOG ID pair MATCH in Release_Label" )</f>
        <v/>
      </c>
      <c r="E216" s="92"/>
      <c r="F216" s="92"/>
      <c r="G216" s="125" t="str">
        <f t="array" ref="G216">ifs(or($F216="",$F216="Main Primary Artist"),$F216,not(iserror(vlookup($F216,'Reference info'!$J$5:$J$8,1,0))),"Key Artist",not(iserror(vlookup($F216,'Reference info'!$J$38:$J$405,1,0))),"Performer",not(iserror(vlookup($F216,'Reference info'!$J$10:$J$36,1,0))),"Producer &amp; Engineer")</f>
        <v/>
      </c>
    </row>
    <row r="217">
      <c r="A217" s="28"/>
      <c r="B217" s="97"/>
      <c r="C217" s="121" t="str">
        <f t="array" ref="C217">ifs(and(isblank($A217),isblank($B217)),"", not(iserror(vlookup($A217&amp;$B217,'3) Release_Label'!$D:$D&amp;'3) Release_Label'!$E:$E,1,0))),vlookup($A217&amp;$B217,{'3) Release_Label'!$D:$D&amp;'3) Release_Label'!$E:$E,'3) Release_Label'!$F:$F},2,0), or(and(not(isblank($B217)),$B217=$B216,$A217&lt;&gt;$A216),and(not(isblank($A217)),$A217=$A216,$B217&lt;&gt;$B216)),"ID LISTS UNALIGNED",and($A217&lt;&gt;"",countif('3) Release_Label'!$D:$D,$A217)=0),"NO UPC MATCH in Release_Label",and($B217&lt;&gt;"",countif('3) Release_Label'!$E:$E,$B217)=0),"NO CATALOG ID MATCH in Release_Label",iserror(vlookup($A217&amp;$B217,'3) Release_Label'!$D:$D&amp;'3) Release_Label'!$E:$E,1,0)),"NO UPC-CATALOG ID pair MATCH in Release_Label" )</f>
        <v/>
      </c>
      <c r="D217" s="121" t="str">
        <f t="array" ref="D217">ifs(and(isblank($A217),isblank($B217)),"", not(iserror(vlookup($A217&amp;$B217,'3) Release_Label'!$D:$D&amp;'3) Release_Label'!$E:$E,1,0))),vlookup($A217&amp;$B217,{'3) Release_Label'!$D:$D&amp;'3) Release_Label'!$E:$E,'3) Release_Label'!$H:$H},2,0), or(and(not(isblank($B217)),$B217=$B216,$A217&lt;&gt;$A216),and(not(isblank($A217)),$A217=$A216,$B217&lt;&gt;$B216)),"ID LISTS UNALIGNED",and($A217&lt;&gt;"",countif('3) Release_Label'!$D:$D,$A217)=0),"NO UPC MATCH in Release_Label",and($B217&lt;&gt;"",countif('3) Release_Label'!$E:$E,$B217)=0),"NO CATALOG ID MATCH in Release_Label",iserror(vlookup($A217&amp;$B217,'3) Release_Label'!$D:$D&amp;'3) Release_Label'!$E:$E,1,0)),"NO UPC-CATALOG ID pair MATCH in Release_Label" )</f>
        <v/>
      </c>
      <c r="E217" s="92"/>
      <c r="F217" s="92"/>
      <c r="G217" s="125" t="str">
        <f t="array" ref="G217">ifs(or($F217="",$F217="Main Primary Artist"),$F217,not(iserror(vlookup($F217,'Reference info'!$J$5:$J$8,1,0))),"Key Artist",not(iserror(vlookup($F217,'Reference info'!$J$38:$J$405,1,0))),"Performer",not(iserror(vlookup($F217,'Reference info'!$J$10:$J$36,1,0))),"Producer &amp; Engineer")</f>
        <v/>
      </c>
    </row>
    <row r="218">
      <c r="A218" s="28"/>
      <c r="B218" s="97"/>
      <c r="C218" s="121" t="str">
        <f t="array" ref="C218">ifs(and(isblank($A218),isblank($B218)),"", not(iserror(vlookup($A218&amp;$B218,'3) Release_Label'!$D:$D&amp;'3) Release_Label'!$E:$E,1,0))),vlookup($A218&amp;$B218,{'3) Release_Label'!$D:$D&amp;'3) Release_Label'!$E:$E,'3) Release_Label'!$F:$F},2,0), or(and(not(isblank($B218)),$B218=$B217,$A218&lt;&gt;$A217),and(not(isblank($A218)),$A218=$A217,$B218&lt;&gt;$B217)),"ID LISTS UNALIGNED",and($A218&lt;&gt;"",countif('3) Release_Label'!$D:$D,$A218)=0),"NO UPC MATCH in Release_Label",and($B218&lt;&gt;"",countif('3) Release_Label'!$E:$E,$B218)=0),"NO CATALOG ID MATCH in Release_Label",iserror(vlookup($A218&amp;$B218,'3) Release_Label'!$D:$D&amp;'3) Release_Label'!$E:$E,1,0)),"NO UPC-CATALOG ID pair MATCH in Release_Label" )</f>
        <v/>
      </c>
      <c r="D218" s="121" t="str">
        <f t="array" ref="D218">ifs(and(isblank($A218),isblank($B218)),"", not(iserror(vlookup($A218&amp;$B218,'3) Release_Label'!$D:$D&amp;'3) Release_Label'!$E:$E,1,0))),vlookup($A218&amp;$B218,{'3) Release_Label'!$D:$D&amp;'3) Release_Label'!$E:$E,'3) Release_Label'!$H:$H},2,0), or(and(not(isblank($B218)),$B218=$B217,$A218&lt;&gt;$A217),and(not(isblank($A218)),$A218=$A217,$B218&lt;&gt;$B217)),"ID LISTS UNALIGNED",and($A218&lt;&gt;"",countif('3) Release_Label'!$D:$D,$A218)=0),"NO UPC MATCH in Release_Label",and($B218&lt;&gt;"",countif('3) Release_Label'!$E:$E,$B218)=0),"NO CATALOG ID MATCH in Release_Label",iserror(vlookup($A218&amp;$B218,'3) Release_Label'!$D:$D&amp;'3) Release_Label'!$E:$E,1,0)),"NO UPC-CATALOG ID pair MATCH in Release_Label" )</f>
        <v/>
      </c>
      <c r="E218" s="92"/>
      <c r="F218" s="92"/>
      <c r="G218" s="125" t="str">
        <f t="array" ref="G218">ifs(or($F218="",$F218="Main Primary Artist"),$F218,not(iserror(vlookup($F218,'Reference info'!$J$5:$J$8,1,0))),"Key Artist",not(iserror(vlookup($F218,'Reference info'!$J$38:$J$405,1,0))),"Performer",not(iserror(vlookup($F218,'Reference info'!$J$10:$J$36,1,0))),"Producer &amp; Engineer")</f>
        <v/>
      </c>
    </row>
    <row r="219">
      <c r="A219" s="28"/>
      <c r="B219" s="97"/>
      <c r="C219" s="121" t="str">
        <f t="array" ref="C219">ifs(and(isblank($A219),isblank($B219)),"", not(iserror(vlookup($A219&amp;$B219,'3) Release_Label'!$D:$D&amp;'3) Release_Label'!$E:$E,1,0))),vlookup($A219&amp;$B219,{'3) Release_Label'!$D:$D&amp;'3) Release_Label'!$E:$E,'3) Release_Label'!$F:$F},2,0), or(and(not(isblank($B219)),$B219=$B218,$A219&lt;&gt;$A218),and(not(isblank($A219)),$A219=$A218,$B219&lt;&gt;$B218)),"ID LISTS UNALIGNED",and($A219&lt;&gt;"",countif('3) Release_Label'!$D:$D,$A219)=0),"NO UPC MATCH in Release_Label",and($B219&lt;&gt;"",countif('3) Release_Label'!$E:$E,$B219)=0),"NO CATALOG ID MATCH in Release_Label",iserror(vlookup($A219&amp;$B219,'3) Release_Label'!$D:$D&amp;'3) Release_Label'!$E:$E,1,0)),"NO UPC-CATALOG ID pair MATCH in Release_Label" )</f>
        <v/>
      </c>
      <c r="D219" s="121" t="str">
        <f t="array" ref="D219">ifs(and(isblank($A219),isblank($B219)),"", not(iserror(vlookup($A219&amp;$B219,'3) Release_Label'!$D:$D&amp;'3) Release_Label'!$E:$E,1,0))),vlookup($A219&amp;$B219,{'3) Release_Label'!$D:$D&amp;'3) Release_Label'!$E:$E,'3) Release_Label'!$H:$H},2,0), or(and(not(isblank($B219)),$B219=$B218,$A219&lt;&gt;$A218),and(not(isblank($A219)),$A219=$A218,$B219&lt;&gt;$B218)),"ID LISTS UNALIGNED",and($A219&lt;&gt;"",countif('3) Release_Label'!$D:$D,$A219)=0),"NO UPC MATCH in Release_Label",and($B219&lt;&gt;"",countif('3) Release_Label'!$E:$E,$B219)=0),"NO CATALOG ID MATCH in Release_Label",iserror(vlookup($A219&amp;$B219,'3) Release_Label'!$D:$D&amp;'3) Release_Label'!$E:$E,1,0)),"NO UPC-CATALOG ID pair MATCH in Release_Label" )</f>
        <v/>
      </c>
      <c r="E219" s="92"/>
      <c r="F219" s="92"/>
      <c r="G219" s="125" t="str">
        <f t="array" ref="G219">ifs(or($F219="",$F219="Main Primary Artist"),$F219,not(iserror(vlookup($F219,'Reference info'!$J$5:$J$8,1,0))),"Key Artist",not(iserror(vlookup($F219,'Reference info'!$J$38:$J$405,1,0))),"Performer",not(iserror(vlookup($F219,'Reference info'!$J$10:$J$36,1,0))),"Producer &amp; Engineer")</f>
        <v/>
      </c>
    </row>
    <row r="220">
      <c r="A220" s="28"/>
      <c r="B220" s="97"/>
      <c r="C220" s="121" t="str">
        <f t="array" ref="C220">ifs(and(isblank($A220),isblank($B220)),"", not(iserror(vlookup($A220&amp;$B220,'3) Release_Label'!$D:$D&amp;'3) Release_Label'!$E:$E,1,0))),vlookup($A220&amp;$B220,{'3) Release_Label'!$D:$D&amp;'3) Release_Label'!$E:$E,'3) Release_Label'!$F:$F},2,0), or(and(not(isblank($B220)),$B220=$B219,$A220&lt;&gt;$A219),and(not(isblank($A220)),$A220=$A219,$B220&lt;&gt;$B219)),"ID LISTS UNALIGNED",and($A220&lt;&gt;"",countif('3) Release_Label'!$D:$D,$A220)=0),"NO UPC MATCH in Release_Label",and($B220&lt;&gt;"",countif('3) Release_Label'!$E:$E,$B220)=0),"NO CATALOG ID MATCH in Release_Label",iserror(vlookup($A220&amp;$B220,'3) Release_Label'!$D:$D&amp;'3) Release_Label'!$E:$E,1,0)),"NO UPC-CATALOG ID pair MATCH in Release_Label" )</f>
        <v/>
      </c>
      <c r="D220" s="121" t="str">
        <f t="array" ref="D220">ifs(and(isblank($A220),isblank($B220)),"", not(iserror(vlookup($A220&amp;$B220,'3) Release_Label'!$D:$D&amp;'3) Release_Label'!$E:$E,1,0))),vlookup($A220&amp;$B220,{'3) Release_Label'!$D:$D&amp;'3) Release_Label'!$E:$E,'3) Release_Label'!$H:$H},2,0), or(and(not(isblank($B220)),$B220=$B219,$A220&lt;&gt;$A219),and(not(isblank($A220)),$A220=$A219,$B220&lt;&gt;$B219)),"ID LISTS UNALIGNED",and($A220&lt;&gt;"",countif('3) Release_Label'!$D:$D,$A220)=0),"NO UPC MATCH in Release_Label",and($B220&lt;&gt;"",countif('3) Release_Label'!$E:$E,$B220)=0),"NO CATALOG ID MATCH in Release_Label",iserror(vlookup($A220&amp;$B220,'3) Release_Label'!$D:$D&amp;'3) Release_Label'!$E:$E,1,0)),"NO UPC-CATALOG ID pair MATCH in Release_Label" )</f>
        <v/>
      </c>
      <c r="E220" s="92"/>
      <c r="F220" s="92"/>
      <c r="G220" s="125" t="str">
        <f t="array" ref="G220">ifs(or($F220="",$F220="Main Primary Artist"),$F220,not(iserror(vlookup($F220,'Reference info'!$J$5:$J$8,1,0))),"Key Artist",not(iserror(vlookup($F220,'Reference info'!$J$38:$J$405,1,0))),"Performer",not(iserror(vlookup($F220,'Reference info'!$J$10:$J$36,1,0))),"Producer &amp; Engineer")</f>
        <v/>
      </c>
    </row>
    <row r="221">
      <c r="A221" s="28"/>
      <c r="B221" s="97"/>
      <c r="C221" s="121" t="str">
        <f t="array" ref="C221">ifs(and(isblank($A221),isblank($B221)),"", not(iserror(vlookup($A221&amp;$B221,'3) Release_Label'!$D:$D&amp;'3) Release_Label'!$E:$E,1,0))),vlookup($A221&amp;$B221,{'3) Release_Label'!$D:$D&amp;'3) Release_Label'!$E:$E,'3) Release_Label'!$F:$F},2,0), or(and(not(isblank($B221)),$B221=$B220,$A221&lt;&gt;$A220),and(not(isblank($A221)),$A221=$A220,$B221&lt;&gt;$B220)),"ID LISTS UNALIGNED",and($A221&lt;&gt;"",countif('3) Release_Label'!$D:$D,$A221)=0),"NO UPC MATCH in Release_Label",and($B221&lt;&gt;"",countif('3) Release_Label'!$E:$E,$B221)=0),"NO CATALOG ID MATCH in Release_Label",iserror(vlookup($A221&amp;$B221,'3) Release_Label'!$D:$D&amp;'3) Release_Label'!$E:$E,1,0)),"NO UPC-CATALOG ID pair MATCH in Release_Label" )</f>
        <v/>
      </c>
      <c r="D221" s="121" t="str">
        <f t="array" ref="D221">ifs(and(isblank($A221),isblank($B221)),"", not(iserror(vlookup($A221&amp;$B221,'3) Release_Label'!$D:$D&amp;'3) Release_Label'!$E:$E,1,0))),vlookup($A221&amp;$B221,{'3) Release_Label'!$D:$D&amp;'3) Release_Label'!$E:$E,'3) Release_Label'!$H:$H},2,0), or(and(not(isblank($B221)),$B221=$B220,$A221&lt;&gt;$A220),and(not(isblank($A221)),$A221=$A220,$B221&lt;&gt;$B220)),"ID LISTS UNALIGNED",and($A221&lt;&gt;"",countif('3) Release_Label'!$D:$D,$A221)=0),"NO UPC MATCH in Release_Label",and($B221&lt;&gt;"",countif('3) Release_Label'!$E:$E,$B221)=0),"NO CATALOG ID MATCH in Release_Label",iserror(vlookup($A221&amp;$B221,'3) Release_Label'!$D:$D&amp;'3) Release_Label'!$E:$E,1,0)),"NO UPC-CATALOG ID pair MATCH in Release_Label" )</f>
        <v/>
      </c>
      <c r="E221" s="92"/>
      <c r="F221" s="92"/>
      <c r="G221" s="125" t="str">
        <f t="array" ref="G221">ifs(or($F221="",$F221="Main Primary Artist"),$F221,not(iserror(vlookup($F221,'Reference info'!$J$5:$J$8,1,0))),"Key Artist",not(iserror(vlookup($F221,'Reference info'!$J$38:$J$405,1,0))),"Performer",not(iserror(vlookup($F221,'Reference info'!$J$10:$J$36,1,0))),"Producer &amp; Engineer")</f>
        <v/>
      </c>
    </row>
    <row r="222">
      <c r="A222" s="28"/>
      <c r="B222" s="97"/>
      <c r="C222" s="121" t="str">
        <f t="array" ref="C222">ifs(and(isblank($A222),isblank($B222)),"", not(iserror(vlookup($A222&amp;$B222,'3) Release_Label'!$D:$D&amp;'3) Release_Label'!$E:$E,1,0))),vlookup($A222&amp;$B222,{'3) Release_Label'!$D:$D&amp;'3) Release_Label'!$E:$E,'3) Release_Label'!$F:$F},2,0), or(and(not(isblank($B222)),$B222=$B221,$A222&lt;&gt;$A221),and(not(isblank($A222)),$A222=$A221,$B222&lt;&gt;$B221)),"ID LISTS UNALIGNED",and($A222&lt;&gt;"",countif('3) Release_Label'!$D:$D,$A222)=0),"NO UPC MATCH in Release_Label",and($B222&lt;&gt;"",countif('3) Release_Label'!$E:$E,$B222)=0),"NO CATALOG ID MATCH in Release_Label",iserror(vlookup($A222&amp;$B222,'3) Release_Label'!$D:$D&amp;'3) Release_Label'!$E:$E,1,0)),"NO UPC-CATALOG ID pair MATCH in Release_Label" )</f>
        <v/>
      </c>
      <c r="D222" s="121" t="str">
        <f t="array" ref="D222">ifs(and(isblank($A222),isblank($B222)),"", not(iserror(vlookup($A222&amp;$B222,'3) Release_Label'!$D:$D&amp;'3) Release_Label'!$E:$E,1,0))),vlookup($A222&amp;$B222,{'3) Release_Label'!$D:$D&amp;'3) Release_Label'!$E:$E,'3) Release_Label'!$H:$H},2,0), or(and(not(isblank($B222)),$B222=$B221,$A222&lt;&gt;$A221),and(not(isblank($A222)),$A222=$A221,$B222&lt;&gt;$B221)),"ID LISTS UNALIGNED",and($A222&lt;&gt;"",countif('3) Release_Label'!$D:$D,$A222)=0),"NO UPC MATCH in Release_Label",and($B222&lt;&gt;"",countif('3) Release_Label'!$E:$E,$B222)=0),"NO CATALOG ID MATCH in Release_Label",iserror(vlookup($A222&amp;$B222,'3) Release_Label'!$D:$D&amp;'3) Release_Label'!$E:$E,1,0)),"NO UPC-CATALOG ID pair MATCH in Release_Label" )</f>
        <v/>
      </c>
      <c r="E222" s="92"/>
      <c r="F222" s="92"/>
      <c r="G222" s="125" t="str">
        <f t="array" ref="G222">ifs(or($F222="",$F222="Main Primary Artist"),$F222,not(iserror(vlookup($F222,'Reference info'!$J$5:$J$8,1,0))),"Key Artist",not(iserror(vlookup($F222,'Reference info'!$J$38:$J$405,1,0))),"Performer",not(iserror(vlookup($F222,'Reference info'!$J$10:$J$36,1,0))),"Producer &amp; Engineer")</f>
        <v/>
      </c>
    </row>
    <row r="223">
      <c r="A223" s="28"/>
      <c r="B223" s="97"/>
      <c r="C223" s="121" t="str">
        <f t="array" ref="C223">ifs(and(isblank($A223),isblank($B223)),"", not(iserror(vlookup($A223&amp;$B223,'3) Release_Label'!$D:$D&amp;'3) Release_Label'!$E:$E,1,0))),vlookup($A223&amp;$B223,{'3) Release_Label'!$D:$D&amp;'3) Release_Label'!$E:$E,'3) Release_Label'!$F:$F},2,0), or(and(not(isblank($B223)),$B223=$B222,$A223&lt;&gt;$A222),and(not(isblank($A223)),$A223=$A222,$B223&lt;&gt;$B222)),"ID LISTS UNALIGNED",and($A223&lt;&gt;"",countif('3) Release_Label'!$D:$D,$A223)=0),"NO UPC MATCH in Release_Label",and($B223&lt;&gt;"",countif('3) Release_Label'!$E:$E,$B223)=0),"NO CATALOG ID MATCH in Release_Label",iserror(vlookup($A223&amp;$B223,'3) Release_Label'!$D:$D&amp;'3) Release_Label'!$E:$E,1,0)),"NO UPC-CATALOG ID pair MATCH in Release_Label" )</f>
        <v/>
      </c>
      <c r="D223" s="121" t="str">
        <f t="array" ref="D223">ifs(and(isblank($A223),isblank($B223)),"", not(iserror(vlookup($A223&amp;$B223,'3) Release_Label'!$D:$D&amp;'3) Release_Label'!$E:$E,1,0))),vlookup($A223&amp;$B223,{'3) Release_Label'!$D:$D&amp;'3) Release_Label'!$E:$E,'3) Release_Label'!$H:$H},2,0), or(and(not(isblank($B223)),$B223=$B222,$A223&lt;&gt;$A222),and(not(isblank($A223)),$A223=$A222,$B223&lt;&gt;$B222)),"ID LISTS UNALIGNED",and($A223&lt;&gt;"",countif('3) Release_Label'!$D:$D,$A223)=0),"NO UPC MATCH in Release_Label",and($B223&lt;&gt;"",countif('3) Release_Label'!$E:$E,$B223)=0),"NO CATALOG ID MATCH in Release_Label",iserror(vlookup($A223&amp;$B223,'3) Release_Label'!$D:$D&amp;'3) Release_Label'!$E:$E,1,0)),"NO UPC-CATALOG ID pair MATCH in Release_Label" )</f>
        <v/>
      </c>
      <c r="E223" s="92"/>
      <c r="F223" s="92"/>
      <c r="G223" s="125" t="str">
        <f t="array" ref="G223">ifs(or($F223="",$F223="Main Primary Artist"),$F223,not(iserror(vlookup($F223,'Reference info'!$J$5:$J$8,1,0))),"Key Artist",not(iserror(vlookup($F223,'Reference info'!$J$38:$J$405,1,0))),"Performer",not(iserror(vlookup($F223,'Reference info'!$J$10:$J$36,1,0))),"Producer &amp; Engineer")</f>
        <v/>
      </c>
    </row>
    <row r="224">
      <c r="A224" s="28"/>
      <c r="B224" s="97"/>
      <c r="C224" s="121" t="str">
        <f t="array" ref="C224">ifs(and(isblank($A224),isblank($B224)),"", not(iserror(vlookup($A224&amp;$B224,'3) Release_Label'!$D:$D&amp;'3) Release_Label'!$E:$E,1,0))),vlookup($A224&amp;$B224,{'3) Release_Label'!$D:$D&amp;'3) Release_Label'!$E:$E,'3) Release_Label'!$F:$F},2,0), or(and(not(isblank($B224)),$B224=$B223,$A224&lt;&gt;$A223),and(not(isblank($A224)),$A224=$A223,$B224&lt;&gt;$B223)),"ID LISTS UNALIGNED",and($A224&lt;&gt;"",countif('3) Release_Label'!$D:$D,$A224)=0),"NO UPC MATCH in Release_Label",and($B224&lt;&gt;"",countif('3) Release_Label'!$E:$E,$B224)=0),"NO CATALOG ID MATCH in Release_Label",iserror(vlookup($A224&amp;$B224,'3) Release_Label'!$D:$D&amp;'3) Release_Label'!$E:$E,1,0)),"NO UPC-CATALOG ID pair MATCH in Release_Label" )</f>
        <v/>
      </c>
      <c r="D224" s="121" t="str">
        <f t="array" ref="D224">ifs(and(isblank($A224),isblank($B224)),"", not(iserror(vlookup($A224&amp;$B224,'3) Release_Label'!$D:$D&amp;'3) Release_Label'!$E:$E,1,0))),vlookup($A224&amp;$B224,{'3) Release_Label'!$D:$D&amp;'3) Release_Label'!$E:$E,'3) Release_Label'!$H:$H},2,0), or(and(not(isblank($B224)),$B224=$B223,$A224&lt;&gt;$A223),and(not(isblank($A224)),$A224=$A223,$B224&lt;&gt;$B223)),"ID LISTS UNALIGNED",and($A224&lt;&gt;"",countif('3) Release_Label'!$D:$D,$A224)=0),"NO UPC MATCH in Release_Label",and($B224&lt;&gt;"",countif('3) Release_Label'!$E:$E,$B224)=0),"NO CATALOG ID MATCH in Release_Label",iserror(vlookup($A224&amp;$B224,'3) Release_Label'!$D:$D&amp;'3) Release_Label'!$E:$E,1,0)),"NO UPC-CATALOG ID pair MATCH in Release_Label" )</f>
        <v/>
      </c>
      <c r="E224" s="92"/>
      <c r="F224" s="92"/>
      <c r="G224" s="125" t="str">
        <f t="array" ref="G224">ifs(or($F224="",$F224="Main Primary Artist"),$F224,not(iserror(vlookup($F224,'Reference info'!$J$5:$J$8,1,0))),"Key Artist",not(iserror(vlookup($F224,'Reference info'!$J$38:$J$405,1,0))),"Performer",not(iserror(vlookup($F224,'Reference info'!$J$10:$J$36,1,0))),"Producer &amp; Engineer")</f>
        <v/>
      </c>
    </row>
    <row r="225">
      <c r="A225" s="28"/>
      <c r="B225" s="97"/>
      <c r="C225" s="121" t="str">
        <f t="array" ref="C225">ifs(and(isblank($A225),isblank($B225)),"", not(iserror(vlookup($A225&amp;$B225,'3) Release_Label'!$D:$D&amp;'3) Release_Label'!$E:$E,1,0))),vlookup($A225&amp;$B225,{'3) Release_Label'!$D:$D&amp;'3) Release_Label'!$E:$E,'3) Release_Label'!$F:$F},2,0), or(and(not(isblank($B225)),$B225=$B224,$A225&lt;&gt;$A224),and(not(isblank($A225)),$A225=$A224,$B225&lt;&gt;$B224)),"ID LISTS UNALIGNED",and($A225&lt;&gt;"",countif('3) Release_Label'!$D:$D,$A225)=0),"NO UPC MATCH in Release_Label",and($B225&lt;&gt;"",countif('3) Release_Label'!$E:$E,$B225)=0),"NO CATALOG ID MATCH in Release_Label",iserror(vlookup($A225&amp;$B225,'3) Release_Label'!$D:$D&amp;'3) Release_Label'!$E:$E,1,0)),"NO UPC-CATALOG ID pair MATCH in Release_Label" )</f>
        <v/>
      </c>
      <c r="D225" s="121" t="str">
        <f t="array" ref="D225">ifs(and(isblank($A225),isblank($B225)),"", not(iserror(vlookup($A225&amp;$B225,'3) Release_Label'!$D:$D&amp;'3) Release_Label'!$E:$E,1,0))),vlookup($A225&amp;$B225,{'3) Release_Label'!$D:$D&amp;'3) Release_Label'!$E:$E,'3) Release_Label'!$H:$H},2,0), or(and(not(isblank($B225)),$B225=$B224,$A225&lt;&gt;$A224),and(not(isblank($A225)),$A225=$A224,$B225&lt;&gt;$B224)),"ID LISTS UNALIGNED",and($A225&lt;&gt;"",countif('3) Release_Label'!$D:$D,$A225)=0),"NO UPC MATCH in Release_Label",and($B225&lt;&gt;"",countif('3) Release_Label'!$E:$E,$B225)=0),"NO CATALOG ID MATCH in Release_Label",iserror(vlookup($A225&amp;$B225,'3) Release_Label'!$D:$D&amp;'3) Release_Label'!$E:$E,1,0)),"NO UPC-CATALOG ID pair MATCH in Release_Label" )</f>
        <v/>
      </c>
      <c r="E225" s="92"/>
      <c r="F225" s="92"/>
      <c r="G225" s="125" t="str">
        <f t="array" ref="G225">ifs(or($F225="",$F225="Main Primary Artist"),$F225,not(iserror(vlookup($F225,'Reference info'!$J$5:$J$8,1,0))),"Key Artist",not(iserror(vlookup($F225,'Reference info'!$J$38:$J$405,1,0))),"Performer",not(iserror(vlookup($F225,'Reference info'!$J$10:$J$36,1,0))),"Producer &amp; Engineer")</f>
        <v/>
      </c>
    </row>
    <row r="226">
      <c r="A226" s="28"/>
      <c r="B226" s="97"/>
      <c r="C226" s="121" t="str">
        <f t="array" ref="C226">ifs(and(isblank($A226),isblank($B226)),"", not(iserror(vlookup($A226&amp;$B226,'3) Release_Label'!$D:$D&amp;'3) Release_Label'!$E:$E,1,0))),vlookup($A226&amp;$B226,{'3) Release_Label'!$D:$D&amp;'3) Release_Label'!$E:$E,'3) Release_Label'!$F:$F},2,0), or(and(not(isblank($B226)),$B226=$B225,$A226&lt;&gt;$A225),and(not(isblank($A226)),$A226=$A225,$B226&lt;&gt;$B225)),"ID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D226" s="121" t="str">
        <f t="array" ref="D226">ifs(and(isblank($A226),isblank($B226)),"", not(iserror(vlookup($A226&amp;$B226,'3) Release_Label'!$D:$D&amp;'3) Release_Label'!$E:$E,1,0))),vlookup($A226&amp;$B226,{'3) Release_Label'!$D:$D&amp;'3) Release_Label'!$E:$E,'3) Release_Label'!$H:$H},2,0), or(and(not(isblank($B226)),$B226=$B225,$A226&lt;&gt;$A225),and(not(isblank($A226)),$A226=$A225,$B226&lt;&gt;$B225)),"ID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E226" s="92"/>
      <c r="F226" s="92"/>
      <c r="G226" s="125" t="str">
        <f t="array" ref="G226">ifs(or($F226="",$F226="Main Primary Artist"),$F226,not(iserror(vlookup($F226,'Reference info'!$J$5:$J$8,1,0))),"Key Artist",not(iserror(vlookup($F226,'Reference info'!$J$38:$J$405,1,0))),"Performer",not(iserror(vlookup($F226,'Reference info'!$J$10:$J$36,1,0))),"Producer &amp; Engineer")</f>
        <v/>
      </c>
    </row>
    <row r="227">
      <c r="A227" s="28"/>
      <c r="B227" s="97"/>
      <c r="C227" s="121" t="str">
        <f t="array" ref="C227">ifs(and(isblank($A227),isblank($B227)),"", not(iserror(vlookup($A227&amp;$B227,'3) Release_Label'!$D:$D&amp;'3) Release_Label'!$E:$E,1,0))),vlookup($A227&amp;$B227,{'3) Release_Label'!$D:$D&amp;'3) Release_Label'!$E:$E,'3) Release_Label'!$F:$F},2,0),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D227" s="121" t="str">
        <f t="array" ref="D227">ifs(and(isblank($A227),isblank($B227)),"", not(iserror(vlookup($A227&amp;$B227,'3) Release_Label'!$D:$D&amp;'3) Release_Label'!$E:$E,1,0))),vlookup($A227&amp;$B227,{'3) Release_Label'!$D:$D&amp;'3) Release_Label'!$E:$E,'3) Release_Label'!$H:$H},2,0),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E227" s="92"/>
      <c r="F227" s="92"/>
      <c r="G227" s="125" t="str">
        <f t="array" ref="G227">ifs(or($F227="",$F227="Main Primary Artist"),$F227,not(iserror(vlookup($F227,'Reference info'!$J$5:$J$8,1,0))),"Key Artist",not(iserror(vlookup($F227,'Reference info'!$J$38:$J$405,1,0))),"Performer",not(iserror(vlookup($F227,'Reference info'!$J$10:$J$36,1,0))),"Producer &amp; Engineer")</f>
        <v/>
      </c>
    </row>
    <row r="228">
      <c r="A228" s="28"/>
      <c r="B228" s="97"/>
      <c r="C228" s="121" t="str">
        <f t="array" ref="C228">ifs(and(isblank($A228),isblank($B228)),"", not(iserror(vlookup($A228&amp;$B228,'3) Release_Label'!$D:$D&amp;'3) Release_Label'!$E:$E,1,0))),vlookup($A228&amp;$B228,{'3) Release_Label'!$D:$D&amp;'3) Release_Label'!$E:$E,'3) Release_Label'!$F:$F},2,0),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D228" s="121" t="str">
        <f t="array" ref="D228">ifs(and(isblank($A228),isblank($B228)),"", not(iserror(vlookup($A228&amp;$B228,'3) Release_Label'!$D:$D&amp;'3) Release_Label'!$E:$E,1,0))),vlookup($A228&amp;$B228,{'3) Release_Label'!$D:$D&amp;'3) Release_Label'!$E:$E,'3) Release_Label'!$H:$H},2,0),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E228" s="92"/>
      <c r="F228" s="92"/>
      <c r="G228" s="125" t="str">
        <f t="array" ref="G228">ifs(or($F228="",$F228="Main Primary Artist"),$F228,not(iserror(vlookup($F228,'Reference info'!$J$5:$J$8,1,0))),"Key Artist",not(iserror(vlookup($F228,'Reference info'!$J$38:$J$405,1,0))),"Performer",not(iserror(vlookup($F228,'Reference info'!$J$10:$J$36,1,0))),"Producer &amp; Engineer")</f>
        <v/>
      </c>
    </row>
    <row r="229">
      <c r="A229" s="28"/>
      <c r="B229" s="97"/>
      <c r="C229" s="121" t="str">
        <f t="array" ref="C229">ifs(and(isblank($A229),isblank($B229)),"", not(iserror(vlookup($A229&amp;$B229,'3) Release_Label'!$D:$D&amp;'3) Release_Label'!$E:$E,1,0))),vlookup($A229&amp;$B229,{'3) Release_Label'!$D:$D&amp;'3) Release_Label'!$E:$E,'3) Release_Label'!$F:$F},2,0),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D229" s="121" t="str">
        <f t="array" ref="D229">ifs(and(isblank($A229),isblank($B229)),"", not(iserror(vlookup($A229&amp;$B229,'3) Release_Label'!$D:$D&amp;'3) Release_Label'!$E:$E,1,0))),vlookup($A229&amp;$B229,{'3) Release_Label'!$D:$D&amp;'3) Release_Label'!$E:$E,'3) Release_Label'!$H:$H},2,0),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E229" s="92"/>
      <c r="F229" s="92"/>
      <c r="G229" s="125" t="str">
        <f t="array" ref="G229">ifs(or($F229="",$F229="Main Primary Artist"),$F229,not(iserror(vlookup($F229,'Reference info'!$J$5:$J$8,1,0))),"Key Artist",not(iserror(vlookup($F229,'Reference info'!$J$38:$J$405,1,0))),"Performer",not(iserror(vlookup($F229,'Reference info'!$J$10:$J$36,1,0))),"Producer &amp; Engineer")</f>
        <v/>
      </c>
    </row>
    <row r="230">
      <c r="A230" s="28"/>
      <c r="B230" s="97"/>
      <c r="C230" s="121" t="str">
        <f t="array" ref="C230">ifs(and(isblank($A230),isblank($B230)),"", not(iserror(vlookup($A230&amp;$B230,'3) Release_Label'!$D:$D&amp;'3) Release_Label'!$E:$E,1,0))),vlookup($A230&amp;$B230,{'3) Release_Label'!$D:$D&amp;'3) Release_Label'!$E:$E,'3) Release_Label'!$F:$F},2,0),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D230" s="121" t="str">
        <f t="array" ref="D230">ifs(and(isblank($A230),isblank($B230)),"", not(iserror(vlookup($A230&amp;$B230,'3) Release_Label'!$D:$D&amp;'3) Release_Label'!$E:$E,1,0))),vlookup($A230&amp;$B230,{'3) Release_Label'!$D:$D&amp;'3) Release_Label'!$E:$E,'3) Release_Label'!$H:$H},2,0),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E230" s="92"/>
      <c r="F230" s="92"/>
      <c r="G230" s="125" t="str">
        <f t="array" ref="G230">ifs(or($F230="",$F230="Main Primary Artist"),$F230,not(iserror(vlookup($F230,'Reference info'!$J$5:$J$8,1,0))),"Key Artist",not(iserror(vlookup($F230,'Reference info'!$J$38:$J$405,1,0))),"Performer",not(iserror(vlookup($F230,'Reference info'!$J$10:$J$36,1,0))),"Producer &amp; Engineer")</f>
        <v/>
      </c>
    </row>
    <row r="231">
      <c r="A231" s="28"/>
      <c r="B231" s="97"/>
      <c r="C231" s="121" t="str">
        <f t="array" ref="C231">ifs(and(isblank($A231),isblank($B231)),"", not(iserror(vlookup($A231&amp;$B231,'3) Release_Label'!$D:$D&amp;'3) Release_Label'!$E:$E,1,0))),vlookup($A231&amp;$B231,{'3) Release_Label'!$D:$D&amp;'3) Release_Label'!$E:$E,'3) Release_Label'!$F:$F},2,0),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D231" s="121" t="str">
        <f t="array" ref="D231">ifs(and(isblank($A231),isblank($B231)),"", not(iserror(vlookup($A231&amp;$B231,'3) Release_Label'!$D:$D&amp;'3) Release_Label'!$E:$E,1,0))),vlookup($A231&amp;$B231,{'3) Release_Label'!$D:$D&amp;'3) Release_Label'!$E:$E,'3) Release_Label'!$H:$H},2,0),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E231" s="92"/>
      <c r="F231" s="92"/>
      <c r="G231" s="125" t="str">
        <f t="array" ref="G231">ifs(or($F231="",$F231="Main Primary Artist"),$F231,not(iserror(vlookup($F231,'Reference info'!$J$5:$J$8,1,0))),"Key Artist",not(iserror(vlookup($F231,'Reference info'!$J$38:$J$405,1,0))),"Performer",not(iserror(vlookup($F231,'Reference info'!$J$10:$J$36,1,0))),"Producer &amp; Engineer")</f>
        <v/>
      </c>
    </row>
    <row r="232">
      <c r="A232" s="28"/>
      <c r="B232" s="97"/>
      <c r="C232" s="121" t="str">
        <f t="array" ref="C232">ifs(and(isblank($A232),isblank($B232)),"", not(iserror(vlookup($A232&amp;$B232,'3) Release_Label'!$D:$D&amp;'3) Release_Label'!$E:$E,1,0))),vlookup($A232&amp;$B232,{'3) Release_Label'!$D:$D&amp;'3) Release_Label'!$E:$E,'3) Release_Label'!$F:$F},2,0),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D232" s="121" t="str">
        <f t="array" ref="D232">ifs(and(isblank($A232),isblank($B232)),"", not(iserror(vlookup($A232&amp;$B232,'3) Release_Label'!$D:$D&amp;'3) Release_Label'!$E:$E,1,0))),vlookup($A232&amp;$B232,{'3) Release_Label'!$D:$D&amp;'3) Release_Label'!$E:$E,'3) Release_Label'!$H:$H},2,0),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E232" s="92"/>
      <c r="F232" s="92"/>
      <c r="G232" s="125" t="str">
        <f t="array" ref="G232">ifs(or($F232="",$F232="Main Primary Artist"),$F232,not(iserror(vlookup($F232,'Reference info'!$J$5:$J$8,1,0))),"Key Artist",not(iserror(vlookup($F232,'Reference info'!$J$38:$J$405,1,0))),"Performer",not(iserror(vlookup($F232,'Reference info'!$J$10:$J$36,1,0))),"Producer &amp; Engineer")</f>
        <v/>
      </c>
    </row>
    <row r="233">
      <c r="A233" s="28"/>
      <c r="B233" s="97"/>
      <c r="C233" s="121" t="str">
        <f t="array" ref="C233">ifs(and(isblank($A233),isblank($B233)),"", not(iserror(vlookup($A233&amp;$B233,'3) Release_Label'!$D:$D&amp;'3) Release_Label'!$E:$E,1,0))),vlookup($A233&amp;$B233,{'3) Release_Label'!$D:$D&amp;'3) Release_Label'!$E:$E,'3) Release_Label'!$F:$F},2,0),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D233" s="121" t="str">
        <f t="array" ref="D233">ifs(and(isblank($A233),isblank($B233)),"", not(iserror(vlookup($A233&amp;$B233,'3) Release_Label'!$D:$D&amp;'3) Release_Label'!$E:$E,1,0))),vlookup($A233&amp;$B233,{'3) Release_Label'!$D:$D&amp;'3) Release_Label'!$E:$E,'3) Release_Label'!$H:$H},2,0),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E233" s="92"/>
      <c r="F233" s="92"/>
      <c r="G233" s="125" t="str">
        <f t="array" ref="G233">ifs(or($F233="",$F233="Main Primary Artist"),$F233,not(iserror(vlookup($F233,'Reference info'!$J$5:$J$8,1,0))),"Key Artist",not(iserror(vlookup($F233,'Reference info'!$J$38:$J$405,1,0))),"Performer",not(iserror(vlookup($F233,'Reference info'!$J$10:$J$36,1,0))),"Producer &amp; Engineer")</f>
        <v/>
      </c>
    </row>
    <row r="234">
      <c r="A234" s="28"/>
      <c r="B234" s="97"/>
      <c r="C234" s="121" t="str">
        <f t="array" ref="C234">ifs(and(isblank($A234),isblank($B234)),"", not(iserror(vlookup($A234&amp;$B234,'3) Release_Label'!$D:$D&amp;'3) Release_Label'!$E:$E,1,0))),vlookup($A234&amp;$B234,{'3) Release_Label'!$D:$D&amp;'3) Release_Label'!$E:$E,'3) Release_Label'!$F:$F},2,0),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D234" s="121" t="str">
        <f t="array" ref="D234">ifs(and(isblank($A234),isblank($B234)),"", not(iserror(vlookup($A234&amp;$B234,'3) Release_Label'!$D:$D&amp;'3) Release_Label'!$E:$E,1,0))),vlookup($A234&amp;$B234,{'3) Release_Label'!$D:$D&amp;'3) Release_Label'!$E:$E,'3) Release_Label'!$H:$H},2,0),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E234" s="92"/>
      <c r="F234" s="92"/>
      <c r="G234" s="125" t="str">
        <f t="array" ref="G234">ifs(or($F234="",$F234="Main Primary Artist"),$F234,not(iserror(vlookup($F234,'Reference info'!$J$5:$J$8,1,0))),"Key Artist",not(iserror(vlookup($F234,'Reference info'!$J$38:$J$405,1,0))),"Performer",not(iserror(vlookup($F234,'Reference info'!$J$10:$J$36,1,0))),"Producer &amp; Engineer")</f>
        <v/>
      </c>
    </row>
    <row r="235">
      <c r="A235" s="28"/>
      <c r="B235" s="97"/>
      <c r="C235" s="121" t="str">
        <f t="array" ref="C235">ifs(and(isblank($A235),isblank($B235)),"", not(iserror(vlookup($A235&amp;$B235,'3) Release_Label'!$D:$D&amp;'3) Release_Label'!$E:$E,1,0))),vlookup($A235&amp;$B235,{'3) Release_Label'!$D:$D&amp;'3) Release_Label'!$E:$E,'3) Release_Label'!$F:$F},2,0),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D235" s="121" t="str">
        <f t="array" ref="D235">ifs(and(isblank($A235),isblank($B235)),"", not(iserror(vlookup($A235&amp;$B235,'3) Release_Label'!$D:$D&amp;'3) Release_Label'!$E:$E,1,0))),vlookup($A235&amp;$B235,{'3) Release_Label'!$D:$D&amp;'3) Release_Label'!$E:$E,'3) Release_Label'!$H:$H},2,0),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E235" s="92"/>
      <c r="F235" s="92"/>
      <c r="G235" s="125" t="str">
        <f t="array" ref="G235">ifs(or($F235="",$F235="Main Primary Artist"),$F235,not(iserror(vlookup($F235,'Reference info'!$J$5:$J$8,1,0))),"Key Artist",not(iserror(vlookup($F235,'Reference info'!$J$38:$J$405,1,0))),"Performer",not(iserror(vlookup($F235,'Reference info'!$J$10:$J$36,1,0))),"Producer &amp; Engineer")</f>
        <v/>
      </c>
    </row>
    <row r="236">
      <c r="A236" s="28"/>
      <c r="B236" s="97"/>
      <c r="C236" s="121" t="str">
        <f t="array" ref="C236">ifs(and(isblank($A236),isblank($B236)),"", not(iserror(vlookup($A236&amp;$B236,'3) Release_Label'!$D:$D&amp;'3) Release_Label'!$E:$E,1,0))),vlookup($A236&amp;$B236,{'3) Release_Label'!$D:$D&amp;'3) Release_Label'!$E:$E,'3) Release_Label'!$F:$F},2,0),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D236" s="121" t="str">
        <f t="array" ref="D236">ifs(and(isblank($A236),isblank($B236)),"", not(iserror(vlookup($A236&amp;$B236,'3) Release_Label'!$D:$D&amp;'3) Release_Label'!$E:$E,1,0))),vlookup($A236&amp;$B236,{'3) Release_Label'!$D:$D&amp;'3) Release_Label'!$E:$E,'3) Release_Label'!$H:$H},2,0),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E236" s="92"/>
      <c r="F236" s="92"/>
      <c r="G236" s="125" t="str">
        <f t="array" ref="G236">ifs(or($F236="",$F236="Main Primary Artist"),$F236,not(iserror(vlookup($F236,'Reference info'!$J$5:$J$8,1,0))),"Key Artist",not(iserror(vlookup($F236,'Reference info'!$J$38:$J$405,1,0))),"Performer",not(iserror(vlookup($F236,'Reference info'!$J$10:$J$36,1,0))),"Producer &amp; Engineer")</f>
        <v/>
      </c>
    </row>
    <row r="237">
      <c r="A237" s="28"/>
      <c r="B237" s="97"/>
      <c r="C237" s="121" t="str">
        <f t="array" ref="C237">ifs(and(isblank($A237),isblank($B237)),"", not(iserror(vlookup($A237&amp;$B237,'3) Release_Label'!$D:$D&amp;'3) Release_Label'!$E:$E,1,0))),vlookup($A237&amp;$B237,{'3) Release_Label'!$D:$D&amp;'3) Release_Label'!$E:$E,'3) Release_Label'!$F:$F},2,0),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D237" s="121" t="str">
        <f t="array" ref="D237">ifs(and(isblank($A237),isblank($B237)),"", not(iserror(vlookup($A237&amp;$B237,'3) Release_Label'!$D:$D&amp;'3) Release_Label'!$E:$E,1,0))),vlookup($A237&amp;$B237,{'3) Release_Label'!$D:$D&amp;'3) Release_Label'!$E:$E,'3) Release_Label'!$H:$H},2,0),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E237" s="92"/>
      <c r="F237" s="92"/>
      <c r="G237" s="125" t="str">
        <f t="array" ref="G237">ifs(or($F237="",$F237="Main Primary Artist"),$F237,not(iserror(vlookup($F237,'Reference info'!$J$5:$J$8,1,0))),"Key Artist",not(iserror(vlookup($F237,'Reference info'!$J$38:$J$405,1,0))),"Performer",not(iserror(vlookup($F237,'Reference info'!$J$10:$J$36,1,0))),"Producer &amp; Engineer")</f>
        <v/>
      </c>
    </row>
    <row r="238">
      <c r="A238" s="28"/>
      <c r="B238" s="97"/>
      <c r="C238" s="121" t="str">
        <f t="array" ref="C238">ifs(and(isblank($A238),isblank($B238)),"", not(iserror(vlookup($A238&amp;$B238,'3) Release_Label'!$D:$D&amp;'3) Release_Label'!$E:$E,1,0))),vlookup($A238&amp;$B238,{'3) Release_Label'!$D:$D&amp;'3) Release_Label'!$E:$E,'3) Release_Label'!$F:$F},2,0),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D238" s="121" t="str">
        <f t="array" ref="D238">ifs(and(isblank($A238),isblank($B238)),"", not(iserror(vlookup($A238&amp;$B238,'3) Release_Label'!$D:$D&amp;'3) Release_Label'!$E:$E,1,0))),vlookup($A238&amp;$B238,{'3) Release_Label'!$D:$D&amp;'3) Release_Label'!$E:$E,'3) Release_Label'!$H:$H},2,0),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E238" s="92"/>
      <c r="F238" s="92"/>
      <c r="G238" s="125" t="str">
        <f t="array" ref="G238">ifs(or($F238="",$F238="Main Primary Artist"),$F238,not(iserror(vlookup($F238,'Reference info'!$J$5:$J$8,1,0))),"Key Artist",not(iserror(vlookup($F238,'Reference info'!$J$38:$J$405,1,0))),"Performer",not(iserror(vlookup($F238,'Reference info'!$J$10:$J$36,1,0))),"Producer &amp; Engineer")</f>
        <v/>
      </c>
    </row>
    <row r="239">
      <c r="A239" s="28"/>
      <c r="B239" s="97"/>
      <c r="C239" s="121" t="str">
        <f t="array" ref="C239">ifs(and(isblank($A239),isblank($B239)),"", not(iserror(vlookup($A239&amp;$B239,'3) Release_Label'!$D:$D&amp;'3) Release_Label'!$E:$E,1,0))),vlookup($A239&amp;$B239,{'3) Release_Label'!$D:$D&amp;'3) Release_Label'!$E:$E,'3) Release_Label'!$F:$F},2,0),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D239" s="121" t="str">
        <f t="array" ref="D239">ifs(and(isblank($A239),isblank($B239)),"", not(iserror(vlookup($A239&amp;$B239,'3) Release_Label'!$D:$D&amp;'3) Release_Label'!$E:$E,1,0))),vlookup($A239&amp;$B239,{'3) Release_Label'!$D:$D&amp;'3) Release_Label'!$E:$E,'3) Release_Label'!$H:$H},2,0),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E239" s="92"/>
      <c r="F239" s="92"/>
      <c r="G239" s="125" t="str">
        <f t="array" ref="G239">ifs(or($F239="",$F239="Main Primary Artist"),$F239,not(iserror(vlookup($F239,'Reference info'!$J$5:$J$8,1,0))),"Key Artist",not(iserror(vlookup($F239,'Reference info'!$J$38:$J$405,1,0))),"Performer",not(iserror(vlookup($F239,'Reference info'!$J$10:$J$36,1,0))),"Producer &amp; Engineer")</f>
        <v/>
      </c>
    </row>
    <row r="240">
      <c r="A240" s="28"/>
      <c r="B240" s="97"/>
      <c r="C240" s="121" t="str">
        <f t="array" ref="C240">ifs(and(isblank($A240),isblank($B240)),"", not(iserror(vlookup($A240&amp;$B240,'3) Release_Label'!$D:$D&amp;'3) Release_Label'!$E:$E,1,0))),vlookup($A240&amp;$B240,{'3) Release_Label'!$D:$D&amp;'3) Release_Label'!$E:$E,'3) Release_Label'!$F:$F},2,0),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D240" s="121" t="str">
        <f t="array" ref="D240">ifs(and(isblank($A240),isblank($B240)),"", not(iserror(vlookup($A240&amp;$B240,'3) Release_Label'!$D:$D&amp;'3) Release_Label'!$E:$E,1,0))),vlookup($A240&amp;$B240,{'3) Release_Label'!$D:$D&amp;'3) Release_Label'!$E:$E,'3) Release_Label'!$H:$H},2,0),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E240" s="92"/>
      <c r="F240" s="92"/>
      <c r="G240" s="125" t="str">
        <f t="array" ref="G240">ifs(or($F240="",$F240="Main Primary Artist"),$F240,not(iserror(vlookup($F240,'Reference info'!$J$5:$J$8,1,0))),"Key Artist",not(iserror(vlookup($F240,'Reference info'!$J$38:$J$405,1,0))),"Performer",not(iserror(vlookup($F240,'Reference info'!$J$10:$J$36,1,0))),"Producer &amp; Engineer")</f>
        <v/>
      </c>
    </row>
    <row r="241">
      <c r="A241" s="28"/>
      <c r="B241" s="97"/>
      <c r="C241" s="121" t="str">
        <f t="array" ref="C241">ifs(and(isblank($A241),isblank($B241)),"", not(iserror(vlookup($A241&amp;$B241,'3) Release_Label'!$D:$D&amp;'3) Release_Label'!$E:$E,1,0))),vlookup($A241&amp;$B241,{'3) Release_Label'!$D:$D&amp;'3) Release_Label'!$E:$E,'3) Release_Label'!$F:$F},2,0),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D241" s="121" t="str">
        <f t="array" ref="D241">ifs(and(isblank($A241),isblank($B241)),"", not(iserror(vlookup($A241&amp;$B241,'3) Release_Label'!$D:$D&amp;'3) Release_Label'!$E:$E,1,0))),vlookup($A241&amp;$B241,{'3) Release_Label'!$D:$D&amp;'3) Release_Label'!$E:$E,'3) Release_Label'!$H:$H},2,0),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E241" s="92"/>
      <c r="F241" s="92"/>
      <c r="G241" s="125" t="str">
        <f t="array" ref="G241">ifs(or($F241="",$F241="Main Primary Artist"),$F241,not(iserror(vlookup($F241,'Reference info'!$J$5:$J$8,1,0))),"Key Artist",not(iserror(vlookup($F241,'Reference info'!$J$38:$J$405,1,0))),"Performer",not(iserror(vlookup($F241,'Reference info'!$J$10:$J$36,1,0))),"Producer &amp; Engineer")</f>
        <v/>
      </c>
    </row>
    <row r="242">
      <c r="A242" s="28"/>
      <c r="B242" s="97"/>
      <c r="C242" s="121" t="str">
        <f t="array" ref="C242">ifs(and(isblank($A242),isblank($B242)),"", not(iserror(vlookup($A242&amp;$B242,'3) Release_Label'!$D:$D&amp;'3) Release_Label'!$E:$E,1,0))),vlookup($A242&amp;$B242,{'3) Release_Label'!$D:$D&amp;'3) Release_Label'!$E:$E,'3) Release_Label'!$F:$F},2,0),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D242" s="121" t="str">
        <f t="array" ref="D242">ifs(and(isblank($A242),isblank($B242)),"", not(iserror(vlookup($A242&amp;$B242,'3) Release_Label'!$D:$D&amp;'3) Release_Label'!$E:$E,1,0))),vlookup($A242&amp;$B242,{'3) Release_Label'!$D:$D&amp;'3) Release_Label'!$E:$E,'3) Release_Label'!$H:$H},2,0),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E242" s="92"/>
      <c r="F242" s="92"/>
      <c r="G242" s="125" t="str">
        <f t="array" ref="G242">ifs(or($F242="",$F242="Main Primary Artist"),$F242,not(iserror(vlookup($F242,'Reference info'!$J$5:$J$8,1,0))),"Key Artist",not(iserror(vlookup($F242,'Reference info'!$J$38:$J$405,1,0))),"Performer",not(iserror(vlookup($F242,'Reference info'!$J$10:$J$36,1,0))),"Producer &amp; Engineer")</f>
        <v/>
      </c>
    </row>
    <row r="243">
      <c r="A243" s="28"/>
      <c r="B243" s="97"/>
      <c r="C243" s="121" t="str">
        <f t="array" ref="C243">ifs(and(isblank($A243),isblank($B243)),"", not(iserror(vlookup($A243&amp;$B243,'3) Release_Label'!$D:$D&amp;'3) Release_Label'!$E:$E,1,0))),vlookup($A243&amp;$B243,{'3) Release_Label'!$D:$D&amp;'3) Release_Label'!$E:$E,'3) Release_Label'!$F:$F},2,0),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D243" s="121" t="str">
        <f t="array" ref="D243">ifs(and(isblank($A243),isblank($B243)),"", not(iserror(vlookup($A243&amp;$B243,'3) Release_Label'!$D:$D&amp;'3) Release_Label'!$E:$E,1,0))),vlookup($A243&amp;$B243,{'3) Release_Label'!$D:$D&amp;'3) Release_Label'!$E:$E,'3) Release_Label'!$H:$H},2,0),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E243" s="92"/>
      <c r="F243" s="92"/>
      <c r="G243" s="125" t="str">
        <f t="array" ref="G243">ifs(or($F243="",$F243="Main Primary Artist"),$F243,not(iserror(vlookup($F243,'Reference info'!$J$5:$J$8,1,0))),"Key Artist",not(iserror(vlookup($F243,'Reference info'!$J$38:$J$405,1,0))),"Performer",not(iserror(vlookup($F243,'Reference info'!$J$10:$J$36,1,0))),"Producer &amp; Engineer")</f>
        <v/>
      </c>
    </row>
    <row r="244">
      <c r="A244" s="28"/>
      <c r="B244" s="97"/>
      <c r="C244" s="121" t="str">
        <f t="array" ref="C244">ifs(and(isblank($A244),isblank($B244)),"", not(iserror(vlookup($A244&amp;$B244,'3) Release_Label'!$D:$D&amp;'3) Release_Label'!$E:$E,1,0))),vlookup($A244&amp;$B244,{'3) Release_Label'!$D:$D&amp;'3) Release_Label'!$E:$E,'3) Release_Label'!$F:$F},2,0),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D244" s="121" t="str">
        <f t="array" ref="D244">ifs(and(isblank($A244),isblank($B244)),"", not(iserror(vlookup($A244&amp;$B244,'3) Release_Label'!$D:$D&amp;'3) Release_Label'!$E:$E,1,0))),vlookup($A244&amp;$B244,{'3) Release_Label'!$D:$D&amp;'3) Release_Label'!$E:$E,'3) Release_Label'!$H:$H},2,0),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E244" s="92"/>
      <c r="F244" s="92"/>
      <c r="G244" s="125" t="str">
        <f t="array" ref="G244">ifs(or($F244="",$F244="Main Primary Artist"),$F244,not(iserror(vlookup($F244,'Reference info'!$J$5:$J$8,1,0))),"Key Artist",not(iserror(vlookup($F244,'Reference info'!$J$38:$J$405,1,0))),"Performer",not(iserror(vlookup($F244,'Reference info'!$J$10:$J$36,1,0))),"Producer &amp; Engineer")</f>
        <v/>
      </c>
    </row>
    <row r="245">
      <c r="A245" s="28"/>
      <c r="B245" s="97"/>
      <c r="C245" s="121" t="str">
        <f t="array" ref="C245">ifs(and(isblank($A245),isblank($B245)),"", not(iserror(vlookup($A245&amp;$B245,'3) Release_Label'!$D:$D&amp;'3) Release_Label'!$E:$E,1,0))),vlookup($A245&amp;$B245,{'3) Release_Label'!$D:$D&amp;'3) Release_Label'!$E:$E,'3) Release_Label'!$F:$F},2,0),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D245" s="121" t="str">
        <f t="array" ref="D245">ifs(and(isblank($A245),isblank($B245)),"", not(iserror(vlookup($A245&amp;$B245,'3) Release_Label'!$D:$D&amp;'3) Release_Label'!$E:$E,1,0))),vlookup($A245&amp;$B245,{'3) Release_Label'!$D:$D&amp;'3) Release_Label'!$E:$E,'3) Release_Label'!$H:$H},2,0),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E245" s="92"/>
      <c r="F245" s="92"/>
      <c r="G245" s="125" t="str">
        <f t="array" ref="G245">ifs(or($F245="",$F245="Main Primary Artist"),$F245,not(iserror(vlookup($F245,'Reference info'!$J$5:$J$8,1,0))),"Key Artist",not(iserror(vlookup($F245,'Reference info'!$J$38:$J$405,1,0))),"Performer",not(iserror(vlookup($F245,'Reference info'!$J$10:$J$36,1,0))),"Producer &amp; Engineer")</f>
        <v/>
      </c>
    </row>
    <row r="246">
      <c r="A246" s="28"/>
      <c r="B246" s="97"/>
      <c r="C246" s="121" t="str">
        <f t="array" ref="C246">ifs(and(isblank($A246),isblank($B246)),"", not(iserror(vlookup($A246&amp;$B246,'3) Release_Label'!$D:$D&amp;'3) Release_Label'!$E:$E,1,0))),vlookup($A246&amp;$B246,{'3) Release_Label'!$D:$D&amp;'3) Release_Label'!$E:$E,'3) Release_Label'!$F:$F},2,0),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D246" s="121" t="str">
        <f t="array" ref="D246">ifs(and(isblank($A246),isblank($B246)),"", not(iserror(vlookup($A246&amp;$B246,'3) Release_Label'!$D:$D&amp;'3) Release_Label'!$E:$E,1,0))),vlookup($A246&amp;$B246,{'3) Release_Label'!$D:$D&amp;'3) Release_Label'!$E:$E,'3) Release_Label'!$H:$H},2,0),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E246" s="92"/>
      <c r="F246" s="92"/>
      <c r="G246" s="125" t="str">
        <f t="array" ref="G246">ifs(or($F246="",$F246="Main Primary Artist"),$F246,not(iserror(vlookup($F246,'Reference info'!$J$5:$J$8,1,0))),"Key Artist",not(iserror(vlookup($F246,'Reference info'!$J$38:$J$405,1,0))),"Performer",not(iserror(vlookup($F246,'Reference info'!$J$10:$J$36,1,0))),"Producer &amp; Engineer")</f>
        <v/>
      </c>
    </row>
    <row r="247">
      <c r="A247" s="28"/>
      <c r="B247" s="97"/>
      <c r="C247" s="121" t="str">
        <f t="array" ref="C247">ifs(and(isblank($A247),isblank($B247)),"", not(iserror(vlookup($A247&amp;$B247,'3) Release_Label'!$D:$D&amp;'3) Release_Label'!$E:$E,1,0))),vlookup($A247&amp;$B247,{'3) Release_Label'!$D:$D&amp;'3) Release_Label'!$E:$E,'3) Release_Label'!$F:$F},2,0),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D247" s="121" t="str">
        <f t="array" ref="D247">ifs(and(isblank($A247),isblank($B247)),"", not(iserror(vlookup($A247&amp;$B247,'3) Release_Label'!$D:$D&amp;'3) Release_Label'!$E:$E,1,0))),vlookup($A247&amp;$B247,{'3) Release_Label'!$D:$D&amp;'3) Release_Label'!$E:$E,'3) Release_Label'!$H:$H},2,0),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E247" s="92"/>
      <c r="F247" s="92"/>
      <c r="G247" s="125" t="str">
        <f t="array" ref="G247">ifs(or($F247="",$F247="Main Primary Artist"),$F247,not(iserror(vlookup($F247,'Reference info'!$J$5:$J$8,1,0))),"Key Artist",not(iserror(vlookup($F247,'Reference info'!$J$38:$J$405,1,0))),"Performer",not(iserror(vlookup($F247,'Reference info'!$J$10:$J$36,1,0))),"Producer &amp; Engineer")</f>
        <v/>
      </c>
    </row>
    <row r="248">
      <c r="A248" s="28"/>
      <c r="B248" s="97"/>
      <c r="C248" s="121" t="str">
        <f t="array" ref="C248">ifs(and(isblank($A248),isblank($B248)),"", not(iserror(vlookup($A248&amp;$B248,'3) Release_Label'!$D:$D&amp;'3) Release_Label'!$E:$E,1,0))),vlookup($A248&amp;$B248,{'3) Release_Label'!$D:$D&amp;'3) Release_Label'!$E:$E,'3) Release_Label'!$F:$F},2,0),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D248" s="121" t="str">
        <f t="array" ref="D248">ifs(and(isblank($A248),isblank($B248)),"", not(iserror(vlookup($A248&amp;$B248,'3) Release_Label'!$D:$D&amp;'3) Release_Label'!$E:$E,1,0))),vlookup($A248&amp;$B248,{'3) Release_Label'!$D:$D&amp;'3) Release_Label'!$E:$E,'3) Release_Label'!$H:$H},2,0),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E248" s="92"/>
      <c r="F248" s="92"/>
      <c r="G248" s="125" t="str">
        <f t="array" ref="G248">ifs(or($F248="",$F248="Main Primary Artist"),$F248,not(iserror(vlookup($F248,'Reference info'!$J$5:$J$8,1,0))),"Key Artist",not(iserror(vlookup($F248,'Reference info'!$J$38:$J$405,1,0))),"Performer",not(iserror(vlookup($F248,'Reference info'!$J$10:$J$36,1,0))),"Producer &amp; Engineer")</f>
        <v/>
      </c>
    </row>
    <row r="249">
      <c r="A249" s="28"/>
      <c r="B249" s="97"/>
      <c r="C249" s="121" t="str">
        <f t="array" ref="C249">ifs(and(isblank($A249),isblank($B249)),"", not(iserror(vlookup($A249&amp;$B249,'3) Release_Label'!$D:$D&amp;'3) Release_Label'!$E:$E,1,0))),vlookup($A249&amp;$B249,{'3) Release_Label'!$D:$D&amp;'3) Release_Label'!$E:$E,'3) Release_Label'!$F:$F},2,0),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D249" s="121" t="str">
        <f t="array" ref="D249">ifs(and(isblank($A249),isblank($B249)),"", not(iserror(vlookup($A249&amp;$B249,'3) Release_Label'!$D:$D&amp;'3) Release_Label'!$E:$E,1,0))),vlookup($A249&amp;$B249,{'3) Release_Label'!$D:$D&amp;'3) Release_Label'!$E:$E,'3) Release_Label'!$H:$H},2,0),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E249" s="92"/>
      <c r="F249" s="92"/>
      <c r="G249" s="125" t="str">
        <f t="array" ref="G249">ifs(or($F249="",$F249="Main Primary Artist"),$F249,not(iserror(vlookup($F249,'Reference info'!$J$5:$J$8,1,0))),"Key Artist",not(iserror(vlookup($F249,'Reference info'!$J$38:$J$405,1,0))),"Performer",not(iserror(vlookup($F249,'Reference info'!$J$10:$J$36,1,0))),"Producer &amp; Engineer")</f>
        <v/>
      </c>
    </row>
    <row r="250">
      <c r="A250" s="28"/>
      <c r="B250" s="97"/>
      <c r="C250" s="121" t="str">
        <f t="array" ref="C250">ifs(and(isblank($A250),isblank($B250)),"", not(iserror(vlookup($A250&amp;$B250,'3) Release_Label'!$D:$D&amp;'3) Release_Label'!$E:$E,1,0))),vlookup($A250&amp;$B250,{'3) Release_Label'!$D:$D&amp;'3) Release_Label'!$E:$E,'3) Release_Label'!$F:$F},2,0),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D250" s="121" t="str">
        <f t="array" ref="D250">ifs(and(isblank($A250),isblank($B250)),"", not(iserror(vlookup($A250&amp;$B250,'3) Release_Label'!$D:$D&amp;'3) Release_Label'!$E:$E,1,0))),vlookup($A250&amp;$B250,{'3) Release_Label'!$D:$D&amp;'3) Release_Label'!$E:$E,'3) Release_Label'!$H:$H},2,0),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E250" s="92"/>
      <c r="F250" s="92"/>
      <c r="G250" s="125" t="str">
        <f t="array" ref="G250">ifs(or($F250="",$F250="Main Primary Artist"),$F250,not(iserror(vlookup($F250,'Reference info'!$J$5:$J$8,1,0))),"Key Artist",not(iserror(vlookup($F250,'Reference info'!$J$38:$J$405,1,0))),"Performer",not(iserror(vlookup($F250,'Reference info'!$J$10:$J$36,1,0))),"Producer &amp; Engineer")</f>
        <v/>
      </c>
    </row>
    <row r="251">
      <c r="A251" s="28"/>
      <c r="B251" s="97"/>
      <c r="C251" s="121" t="str">
        <f t="array" ref="C251">ifs(and(isblank($A251),isblank($B251)),"", not(iserror(vlookup($A251&amp;$B251,'3) Release_Label'!$D:$D&amp;'3) Release_Label'!$E:$E,1,0))),vlookup($A251&amp;$B251,{'3) Release_Label'!$D:$D&amp;'3) Release_Label'!$E:$E,'3) Release_Label'!$F:$F},2,0),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D251" s="121" t="str">
        <f t="array" ref="D251">ifs(and(isblank($A251),isblank($B251)),"", not(iserror(vlookup($A251&amp;$B251,'3) Release_Label'!$D:$D&amp;'3) Release_Label'!$E:$E,1,0))),vlookup($A251&amp;$B251,{'3) Release_Label'!$D:$D&amp;'3) Release_Label'!$E:$E,'3) Release_Label'!$H:$H},2,0),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E251" s="92"/>
      <c r="F251" s="92"/>
      <c r="G251" s="125" t="str">
        <f t="array" ref="G251">ifs(or($F251="",$F251="Main Primary Artist"),$F251,not(iserror(vlookup($F251,'Reference info'!$J$5:$J$8,1,0))),"Key Artist",not(iserror(vlookup($F251,'Reference info'!$J$38:$J$405,1,0))),"Performer",not(iserror(vlookup($F251,'Reference info'!$J$10:$J$36,1,0))),"Producer &amp; Engineer")</f>
        <v/>
      </c>
    </row>
    <row r="252">
      <c r="A252" s="28"/>
      <c r="B252" s="97"/>
      <c r="C252" s="121" t="str">
        <f t="array" ref="C252">ifs(and(isblank($A252),isblank($B252)),"", not(iserror(vlookup($A252&amp;$B252,'3) Release_Label'!$D:$D&amp;'3) Release_Label'!$E:$E,1,0))),vlookup($A252&amp;$B252,{'3) Release_Label'!$D:$D&amp;'3) Release_Label'!$E:$E,'3) Release_Label'!$F:$F},2,0),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D252" s="121" t="str">
        <f t="array" ref="D252">ifs(and(isblank($A252),isblank($B252)),"", not(iserror(vlookup($A252&amp;$B252,'3) Release_Label'!$D:$D&amp;'3) Release_Label'!$E:$E,1,0))),vlookup($A252&amp;$B252,{'3) Release_Label'!$D:$D&amp;'3) Release_Label'!$E:$E,'3) Release_Label'!$H:$H},2,0),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E252" s="92"/>
      <c r="F252" s="92"/>
      <c r="G252" s="125" t="str">
        <f t="array" ref="G252">ifs(or($F252="",$F252="Main Primary Artist"),$F252,not(iserror(vlookup($F252,'Reference info'!$J$5:$J$8,1,0))),"Key Artist",not(iserror(vlookup($F252,'Reference info'!$J$38:$J$405,1,0))),"Performer",not(iserror(vlookup($F252,'Reference info'!$J$10:$J$36,1,0))),"Producer &amp; Engineer")</f>
        <v/>
      </c>
    </row>
    <row r="253">
      <c r="A253" s="28"/>
      <c r="B253" s="97"/>
      <c r="C253" s="121" t="str">
        <f t="array" ref="C253">ifs(and(isblank($A253),isblank($B253)),"", not(iserror(vlookup($A253&amp;$B253,'3) Release_Label'!$D:$D&amp;'3) Release_Label'!$E:$E,1,0))),vlookup($A253&amp;$B253,{'3) Release_Label'!$D:$D&amp;'3) Release_Label'!$E:$E,'3) Release_Label'!$F:$F},2,0),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D253" s="121" t="str">
        <f t="array" ref="D253">ifs(and(isblank($A253),isblank($B253)),"", not(iserror(vlookup($A253&amp;$B253,'3) Release_Label'!$D:$D&amp;'3) Release_Label'!$E:$E,1,0))),vlookup($A253&amp;$B253,{'3) Release_Label'!$D:$D&amp;'3) Release_Label'!$E:$E,'3) Release_Label'!$H:$H},2,0),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E253" s="92"/>
      <c r="F253" s="92"/>
      <c r="G253" s="125" t="str">
        <f t="array" ref="G253">ifs(or($F253="",$F253="Main Primary Artist"),$F253,not(iserror(vlookup($F253,'Reference info'!$J$5:$J$8,1,0))),"Key Artist",not(iserror(vlookup($F253,'Reference info'!$J$38:$J$405,1,0))),"Performer",not(iserror(vlookup($F253,'Reference info'!$J$10:$J$36,1,0))),"Producer &amp; Engineer")</f>
        <v/>
      </c>
    </row>
    <row r="254">
      <c r="A254" s="28"/>
      <c r="B254" s="97"/>
      <c r="C254" s="121" t="str">
        <f t="array" ref="C254">ifs(and(isblank($A254),isblank($B254)),"", not(iserror(vlookup($A254&amp;$B254,'3) Release_Label'!$D:$D&amp;'3) Release_Label'!$E:$E,1,0))),vlookup($A254&amp;$B254,{'3) Release_Label'!$D:$D&amp;'3) Release_Label'!$E:$E,'3) Release_Label'!$F:$F},2,0),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D254" s="121" t="str">
        <f t="array" ref="D254">ifs(and(isblank($A254),isblank($B254)),"", not(iserror(vlookup($A254&amp;$B254,'3) Release_Label'!$D:$D&amp;'3) Release_Label'!$E:$E,1,0))),vlookup($A254&amp;$B254,{'3) Release_Label'!$D:$D&amp;'3) Release_Label'!$E:$E,'3) Release_Label'!$H:$H},2,0),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E254" s="92"/>
      <c r="F254" s="92"/>
      <c r="G254" s="125" t="str">
        <f t="array" ref="G254">ifs(or($F254="",$F254="Main Primary Artist"),$F254,not(iserror(vlookup($F254,'Reference info'!$J$5:$J$8,1,0))),"Key Artist",not(iserror(vlookup($F254,'Reference info'!$J$38:$J$405,1,0))),"Performer",not(iserror(vlookup($F254,'Reference info'!$J$10:$J$36,1,0))),"Producer &amp; Engineer")</f>
        <v/>
      </c>
    </row>
    <row r="255">
      <c r="A255" s="28"/>
      <c r="B255" s="97"/>
      <c r="C255" s="121" t="str">
        <f t="array" ref="C255">ifs(and(isblank($A255),isblank($B255)),"", not(iserror(vlookup($A255&amp;$B255,'3) Release_Label'!$D:$D&amp;'3) Release_Label'!$E:$E,1,0))),vlookup($A255&amp;$B255,{'3) Release_Label'!$D:$D&amp;'3) Release_Label'!$E:$E,'3) Release_Label'!$F:$F},2,0),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D255" s="121" t="str">
        <f t="array" ref="D255">ifs(and(isblank($A255),isblank($B255)),"", not(iserror(vlookup($A255&amp;$B255,'3) Release_Label'!$D:$D&amp;'3) Release_Label'!$E:$E,1,0))),vlookup($A255&amp;$B255,{'3) Release_Label'!$D:$D&amp;'3) Release_Label'!$E:$E,'3) Release_Label'!$H:$H},2,0),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E255" s="92"/>
      <c r="F255" s="92"/>
      <c r="G255" s="125" t="str">
        <f t="array" ref="G255">ifs(or($F255="",$F255="Main Primary Artist"),$F255,not(iserror(vlookup($F255,'Reference info'!$J$5:$J$8,1,0))),"Key Artist",not(iserror(vlookup($F255,'Reference info'!$J$38:$J$405,1,0))),"Performer",not(iserror(vlookup($F255,'Reference info'!$J$10:$J$36,1,0))),"Producer &amp; Engineer")</f>
        <v/>
      </c>
    </row>
    <row r="256">
      <c r="A256" s="28"/>
      <c r="B256" s="97"/>
      <c r="C256" s="121" t="str">
        <f t="array" ref="C256">ifs(and(isblank($A256),isblank($B256)),"", not(iserror(vlookup($A256&amp;$B256,'3) Release_Label'!$D:$D&amp;'3) Release_Label'!$E:$E,1,0))),vlookup($A256&amp;$B256,{'3) Release_Label'!$D:$D&amp;'3) Release_Label'!$E:$E,'3) Release_Label'!$F:$F},2,0),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D256" s="121" t="str">
        <f t="array" ref="D256">ifs(and(isblank($A256),isblank($B256)),"", not(iserror(vlookup($A256&amp;$B256,'3) Release_Label'!$D:$D&amp;'3) Release_Label'!$E:$E,1,0))),vlookup($A256&amp;$B256,{'3) Release_Label'!$D:$D&amp;'3) Release_Label'!$E:$E,'3) Release_Label'!$H:$H},2,0),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E256" s="92"/>
      <c r="F256" s="92"/>
      <c r="G256" s="125" t="str">
        <f t="array" ref="G256">ifs(or($F256="",$F256="Main Primary Artist"),$F256,not(iserror(vlookup($F256,'Reference info'!$J$5:$J$8,1,0))),"Key Artist",not(iserror(vlookup($F256,'Reference info'!$J$38:$J$405,1,0))),"Performer",not(iserror(vlookup($F256,'Reference info'!$J$10:$J$36,1,0))),"Producer &amp; Engineer")</f>
        <v/>
      </c>
    </row>
    <row r="257">
      <c r="A257" s="28"/>
      <c r="B257" s="97"/>
      <c r="C257" s="121" t="str">
        <f t="array" ref="C257">ifs(and(isblank($A257),isblank($B257)),"", not(iserror(vlookup($A257&amp;$B257,'3) Release_Label'!$D:$D&amp;'3) Release_Label'!$E:$E,1,0))),vlookup($A257&amp;$B257,{'3) Release_Label'!$D:$D&amp;'3) Release_Label'!$E:$E,'3) Release_Label'!$F:$F},2,0),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D257" s="121" t="str">
        <f t="array" ref="D257">ifs(and(isblank($A257),isblank($B257)),"", not(iserror(vlookup($A257&amp;$B257,'3) Release_Label'!$D:$D&amp;'3) Release_Label'!$E:$E,1,0))),vlookup($A257&amp;$B257,{'3) Release_Label'!$D:$D&amp;'3) Release_Label'!$E:$E,'3) Release_Label'!$H:$H},2,0),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E257" s="92"/>
      <c r="F257" s="92"/>
      <c r="G257" s="125" t="str">
        <f t="array" ref="G257">ifs(or($F257="",$F257="Main Primary Artist"),$F257,not(iserror(vlookup($F257,'Reference info'!$J$5:$J$8,1,0))),"Key Artist",not(iserror(vlookup($F257,'Reference info'!$J$38:$J$405,1,0))),"Performer",not(iserror(vlookup($F257,'Reference info'!$J$10:$J$36,1,0))),"Producer &amp; Engineer")</f>
        <v/>
      </c>
    </row>
    <row r="258">
      <c r="A258" s="28"/>
      <c r="B258" s="97"/>
      <c r="C258" s="121" t="str">
        <f t="array" ref="C258">ifs(and(isblank($A258),isblank($B258)),"", not(iserror(vlookup($A258&amp;$B258,'3) Release_Label'!$D:$D&amp;'3) Release_Label'!$E:$E,1,0))),vlookup($A258&amp;$B258,{'3) Release_Label'!$D:$D&amp;'3) Release_Label'!$E:$E,'3) Release_Label'!$F:$F},2,0),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D258" s="121" t="str">
        <f t="array" ref="D258">ifs(and(isblank($A258),isblank($B258)),"", not(iserror(vlookup($A258&amp;$B258,'3) Release_Label'!$D:$D&amp;'3) Release_Label'!$E:$E,1,0))),vlookup($A258&amp;$B258,{'3) Release_Label'!$D:$D&amp;'3) Release_Label'!$E:$E,'3) Release_Label'!$H:$H},2,0),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E258" s="92"/>
      <c r="F258" s="92"/>
      <c r="G258" s="125" t="str">
        <f t="array" ref="G258">ifs(or($F258="",$F258="Main Primary Artist"),$F258,not(iserror(vlookup($F258,'Reference info'!$J$5:$J$8,1,0))),"Key Artist",not(iserror(vlookup($F258,'Reference info'!$J$38:$J$405,1,0))),"Performer",not(iserror(vlookup($F258,'Reference info'!$J$10:$J$36,1,0))),"Producer &amp; Engineer")</f>
        <v/>
      </c>
    </row>
    <row r="259">
      <c r="A259" s="28"/>
      <c r="B259" s="97"/>
      <c r="C259" s="121" t="str">
        <f t="array" ref="C259">ifs(and(isblank($A259),isblank($B259)),"", not(iserror(vlookup($A259&amp;$B259,'3) Release_Label'!$D:$D&amp;'3) Release_Label'!$E:$E,1,0))),vlookup($A259&amp;$B259,{'3) Release_Label'!$D:$D&amp;'3) Release_Label'!$E:$E,'3) Release_Label'!$F:$F},2,0),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D259" s="121" t="str">
        <f t="array" ref="D259">ifs(and(isblank($A259),isblank($B259)),"", not(iserror(vlookup($A259&amp;$B259,'3) Release_Label'!$D:$D&amp;'3) Release_Label'!$E:$E,1,0))),vlookup($A259&amp;$B259,{'3) Release_Label'!$D:$D&amp;'3) Release_Label'!$E:$E,'3) Release_Label'!$H:$H},2,0),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E259" s="92"/>
      <c r="F259" s="92"/>
      <c r="G259" s="125" t="str">
        <f t="array" ref="G259">ifs(or($F259="",$F259="Main Primary Artist"),$F259,not(iserror(vlookup($F259,'Reference info'!$J$5:$J$8,1,0))),"Key Artist",not(iserror(vlookup($F259,'Reference info'!$J$38:$J$405,1,0))),"Performer",not(iserror(vlookup($F259,'Reference info'!$J$10:$J$36,1,0))),"Producer &amp; Engineer")</f>
        <v/>
      </c>
    </row>
    <row r="260">
      <c r="A260" s="28"/>
      <c r="B260" s="97"/>
      <c r="C260" s="121" t="str">
        <f t="array" ref="C260">ifs(and(isblank($A260),isblank($B260)),"", not(iserror(vlookup($A260&amp;$B260,'3) Release_Label'!$D:$D&amp;'3) Release_Label'!$E:$E,1,0))),vlookup($A260&amp;$B260,{'3) Release_Label'!$D:$D&amp;'3) Release_Label'!$E:$E,'3) Release_Label'!$F:$F},2,0),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D260" s="121" t="str">
        <f t="array" ref="D260">ifs(and(isblank($A260),isblank($B260)),"", not(iserror(vlookup($A260&amp;$B260,'3) Release_Label'!$D:$D&amp;'3) Release_Label'!$E:$E,1,0))),vlookup($A260&amp;$B260,{'3) Release_Label'!$D:$D&amp;'3) Release_Label'!$E:$E,'3) Release_Label'!$H:$H},2,0),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E260" s="92"/>
      <c r="F260" s="92"/>
      <c r="G260" s="125" t="str">
        <f t="array" ref="G260">ifs(or($F260="",$F260="Main Primary Artist"),$F260,not(iserror(vlookup($F260,'Reference info'!$J$5:$J$8,1,0))),"Key Artist",not(iserror(vlookup($F260,'Reference info'!$J$38:$J$405,1,0))),"Performer",not(iserror(vlookup($F260,'Reference info'!$J$10:$J$36,1,0))),"Producer &amp; Engineer")</f>
        <v/>
      </c>
    </row>
    <row r="261">
      <c r="A261" s="28"/>
      <c r="B261" s="97"/>
      <c r="C261" s="121" t="str">
        <f t="array" ref="C261">ifs(and(isblank($A261),isblank($B261)),"", not(iserror(vlookup($A261&amp;$B261,'3) Release_Label'!$D:$D&amp;'3) Release_Label'!$E:$E,1,0))),vlookup($A261&amp;$B261,{'3) Release_Label'!$D:$D&amp;'3) Release_Label'!$E:$E,'3) Release_Label'!$F:$F},2,0),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D261" s="121" t="str">
        <f t="array" ref="D261">ifs(and(isblank($A261),isblank($B261)),"", not(iserror(vlookup($A261&amp;$B261,'3) Release_Label'!$D:$D&amp;'3) Release_Label'!$E:$E,1,0))),vlookup($A261&amp;$B261,{'3) Release_Label'!$D:$D&amp;'3) Release_Label'!$E:$E,'3) Release_Label'!$H:$H},2,0),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E261" s="92"/>
      <c r="F261" s="92"/>
      <c r="G261" s="125" t="str">
        <f t="array" ref="G261">ifs(or($F261="",$F261="Main Primary Artist"),$F261,not(iserror(vlookup($F261,'Reference info'!$J$5:$J$8,1,0))),"Key Artist",not(iserror(vlookup($F261,'Reference info'!$J$38:$J$405,1,0))),"Performer",not(iserror(vlookup($F261,'Reference info'!$J$10:$J$36,1,0))),"Producer &amp; Engineer")</f>
        <v/>
      </c>
    </row>
    <row r="262">
      <c r="A262" s="28"/>
      <c r="B262" s="97"/>
      <c r="C262" s="121" t="str">
        <f t="array" ref="C262">ifs(and(isblank($A262),isblank($B262)),"", not(iserror(vlookup($A262&amp;$B262,'3) Release_Label'!$D:$D&amp;'3) Release_Label'!$E:$E,1,0))),vlookup($A262&amp;$B262,{'3) Release_Label'!$D:$D&amp;'3) Release_Label'!$E:$E,'3) Release_Label'!$F:$F},2,0),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D262" s="121" t="str">
        <f t="array" ref="D262">ifs(and(isblank($A262),isblank($B262)),"", not(iserror(vlookup($A262&amp;$B262,'3) Release_Label'!$D:$D&amp;'3) Release_Label'!$E:$E,1,0))),vlookup($A262&amp;$B262,{'3) Release_Label'!$D:$D&amp;'3) Release_Label'!$E:$E,'3) Release_Label'!$H:$H},2,0),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E262" s="92"/>
      <c r="F262" s="92"/>
      <c r="G262" s="125" t="str">
        <f t="array" ref="G262">ifs(or($F262="",$F262="Main Primary Artist"),$F262,not(iserror(vlookup($F262,'Reference info'!$J$5:$J$8,1,0))),"Key Artist",not(iserror(vlookup($F262,'Reference info'!$J$38:$J$405,1,0))),"Performer",not(iserror(vlookup($F262,'Reference info'!$J$10:$J$36,1,0))),"Producer &amp; Engineer")</f>
        <v/>
      </c>
    </row>
    <row r="263">
      <c r="A263" s="28"/>
      <c r="B263" s="97"/>
      <c r="C263" s="121" t="str">
        <f t="array" ref="C263">ifs(and(isblank($A263),isblank($B263)),"", not(iserror(vlookup($A263&amp;$B263,'3) Release_Label'!$D:$D&amp;'3) Release_Label'!$E:$E,1,0))),vlookup($A263&amp;$B263,{'3) Release_Label'!$D:$D&amp;'3) Release_Label'!$E:$E,'3) Release_Label'!$F:$F},2,0),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D263" s="121" t="str">
        <f t="array" ref="D263">ifs(and(isblank($A263),isblank($B263)),"", not(iserror(vlookup($A263&amp;$B263,'3) Release_Label'!$D:$D&amp;'3) Release_Label'!$E:$E,1,0))),vlookup($A263&amp;$B263,{'3) Release_Label'!$D:$D&amp;'3) Release_Label'!$E:$E,'3) Release_Label'!$H:$H},2,0),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E263" s="92"/>
      <c r="F263" s="92"/>
      <c r="G263" s="125" t="str">
        <f t="array" ref="G263">ifs(or($F263="",$F263="Main Primary Artist"),$F263,not(iserror(vlookup($F263,'Reference info'!$J$5:$J$8,1,0))),"Key Artist",not(iserror(vlookup($F263,'Reference info'!$J$38:$J$405,1,0))),"Performer",not(iserror(vlookup($F263,'Reference info'!$J$10:$J$36,1,0))),"Producer &amp; Engineer")</f>
        <v/>
      </c>
    </row>
    <row r="264">
      <c r="A264" s="28"/>
      <c r="B264" s="97"/>
      <c r="C264" s="121" t="str">
        <f t="array" ref="C264">ifs(and(isblank($A264),isblank($B264)),"", not(iserror(vlookup($A264&amp;$B264,'3) Release_Label'!$D:$D&amp;'3) Release_Label'!$E:$E,1,0))),vlookup($A264&amp;$B264,{'3) Release_Label'!$D:$D&amp;'3) Release_Label'!$E:$E,'3) Release_Label'!$F:$F},2,0),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D264" s="121" t="str">
        <f t="array" ref="D264">ifs(and(isblank($A264),isblank($B264)),"", not(iserror(vlookup($A264&amp;$B264,'3) Release_Label'!$D:$D&amp;'3) Release_Label'!$E:$E,1,0))),vlookup($A264&amp;$B264,{'3) Release_Label'!$D:$D&amp;'3) Release_Label'!$E:$E,'3) Release_Label'!$H:$H},2,0),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E264" s="92"/>
      <c r="F264" s="92"/>
      <c r="G264" s="125" t="str">
        <f t="array" ref="G264">ifs(or($F264="",$F264="Main Primary Artist"),$F264,not(iserror(vlookup($F264,'Reference info'!$J$5:$J$8,1,0))),"Key Artist",not(iserror(vlookup($F264,'Reference info'!$J$38:$J$405,1,0))),"Performer",not(iserror(vlookup($F264,'Reference info'!$J$10:$J$36,1,0))),"Producer &amp; Engineer")</f>
        <v/>
      </c>
    </row>
    <row r="265">
      <c r="A265" s="28"/>
      <c r="B265" s="97"/>
      <c r="C265" s="121" t="str">
        <f t="array" ref="C265">ifs(and(isblank($A265),isblank($B265)),"", not(iserror(vlookup($A265&amp;$B265,'3) Release_Label'!$D:$D&amp;'3) Release_Label'!$E:$E,1,0))),vlookup($A265&amp;$B265,{'3) Release_Label'!$D:$D&amp;'3) Release_Label'!$E:$E,'3) Release_Label'!$F:$F},2,0),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D265" s="121" t="str">
        <f t="array" ref="D265">ifs(and(isblank($A265),isblank($B265)),"", not(iserror(vlookup($A265&amp;$B265,'3) Release_Label'!$D:$D&amp;'3) Release_Label'!$E:$E,1,0))),vlookup($A265&amp;$B265,{'3) Release_Label'!$D:$D&amp;'3) Release_Label'!$E:$E,'3) Release_Label'!$H:$H},2,0),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E265" s="92"/>
      <c r="F265" s="92"/>
      <c r="G265" s="125" t="str">
        <f t="array" ref="G265">ifs(or($F265="",$F265="Main Primary Artist"),$F265,not(iserror(vlookup($F265,'Reference info'!$J$5:$J$8,1,0))),"Key Artist",not(iserror(vlookup($F265,'Reference info'!$J$38:$J$405,1,0))),"Performer",not(iserror(vlookup($F265,'Reference info'!$J$10:$J$36,1,0))),"Producer &amp; Engineer")</f>
        <v/>
      </c>
    </row>
    <row r="266">
      <c r="A266" s="28"/>
      <c r="B266" s="97"/>
      <c r="C266" s="121" t="str">
        <f t="array" ref="C266">ifs(and(isblank($A266),isblank($B266)),"", not(iserror(vlookup($A266&amp;$B266,'3) Release_Label'!$D:$D&amp;'3) Release_Label'!$E:$E,1,0))),vlookup($A266&amp;$B266,{'3) Release_Label'!$D:$D&amp;'3) Release_Label'!$E:$E,'3) Release_Label'!$F:$F},2,0),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D266" s="121" t="str">
        <f t="array" ref="D266">ifs(and(isblank($A266),isblank($B266)),"", not(iserror(vlookup($A266&amp;$B266,'3) Release_Label'!$D:$D&amp;'3) Release_Label'!$E:$E,1,0))),vlookup($A266&amp;$B266,{'3) Release_Label'!$D:$D&amp;'3) Release_Label'!$E:$E,'3) Release_Label'!$H:$H},2,0),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E266" s="92"/>
      <c r="F266" s="92"/>
      <c r="G266" s="125" t="str">
        <f t="array" ref="G266">ifs(or($F266="",$F266="Main Primary Artist"),$F266,not(iserror(vlookup($F266,'Reference info'!$J$5:$J$8,1,0))),"Key Artist",not(iserror(vlookup($F266,'Reference info'!$J$38:$J$405,1,0))),"Performer",not(iserror(vlookup($F266,'Reference info'!$J$10:$J$36,1,0))),"Producer &amp; Engineer")</f>
        <v/>
      </c>
    </row>
    <row r="267">
      <c r="A267" s="28"/>
      <c r="B267" s="97"/>
      <c r="C267" s="121" t="str">
        <f t="array" ref="C267">ifs(and(isblank($A267),isblank($B267)),"", not(iserror(vlookup($A267&amp;$B267,'3) Release_Label'!$D:$D&amp;'3) Release_Label'!$E:$E,1,0))),vlookup($A267&amp;$B267,{'3) Release_Label'!$D:$D&amp;'3) Release_Label'!$E:$E,'3) Release_Label'!$F:$F},2,0),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D267" s="121" t="str">
        <f t="array" ref="D267">ifs(and(isblank($A267),isblank($B267)),"", not(iserror(vlookup($A267&amp;$B267,'3) Release_Label'!$D:$D&amp;'3) Release_Label'!$E:$E,1,0))),vlookup($A267&amp;$B267,{'3) Release_Label'!$D:$D&amp;'3) Release_Label'!$E:$E,'3) Release_Label'!$H:$H},2,0),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E267" s="92"/>
      <c r="F267" s="92"/>
      <c r="G267" s="125" t="str">
        <f t="array" ref="G267">ifs(or($F267="",$F267="Main Primary Artist"),$F267,not(iserror(vlookup($F267,'Reference info'!$J$5:$J$8,1,0))),"Key Artist",not(iserror(vlookup($F267,'Reference info'!$J$38:$J$405,1,0))),"Performer",not(iserror(vlookup($F267,'Reference info'!$J$10:$J$36,1,0))),"Producer &amp; Engineer")</f>
        <v/>
      </c>
    </row>
    <row r="268">
      <c r="A268" s="28"/>
      <c r="B268" s="97"/>
      <c r="C268" s="121" t="str">
        <f t="array" ref="C268">ifs(and(isblank($A268),isblank($B268)),"", not(iserror(vlookup($A268&amp;$B268,'3) Release_Label'!$D:$D&amp;'3) Release_Label'!$E:$E,1,0))),vlookup($A268&amp;$B268,{'3) Release_Label'!$D:$D&amp;'3) Release_Label'!$E:$E,'3) Release_Label'!$F:$F},2,0),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D268" s="121" t="str">
        <f t="array" ref="D268">ifs(and(isblank($A268),isblank($B268)),"", not(iserror(vlookup($A268&amp;$B268,'3) Release_Label'!$D:$D&amp;'3) Release_Label'!$E:$E,1,0))),vlookup($A268&amp;$B268,{'3) Release_Label'!$D:$D&amp;'3) Release_Label'!$E:$E,'3) Release_Label'!$H:$H},2,0),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E268" s="92"/>
      <c r="F268" s="92"/>
      <c r="G268" s="125" t="str">
        <f t="array" ref="G268">ifs(or($F268="",$F268="Main Primary Artist"),$F268,not(iserror(vlookup($F268,'Reference info'!$J$5:$J$8,1,0))),"Key Artist",not(iserror(vlookup($F268,'Reference info'!$J$38:$J$405,1,0))),"Performer",not(iserror(vlookup($F268,'Reference info'!$J$10:$J$36,1,0))),"Producer &amp; Engineer")</f>
        <v/>
      </c>
    </row>
    <row r="269">
      <c r="A269" s="28"/>
      <c r="B269" s="97"/>
      <c r="C269" s="121" t="str">
        <f t="array" ref="C269">ifs(and(isblank($A269),isblank($B269)),"", not(iserror(vlookup($A269&amp;$B269,'3) Release_Label'!$D:$D&amp;'3) Release_Label'!$E:$E,1,0))),vlookup($A269&amp;$B269,{'3) Release_Label'!$D:$D&amp;'3) Release_Label'!$E:$E,'3) Release_Label'!$F:$F},2,0),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D269" s="121" t="str">
        <f t="array" ref="D269">ifs(and(isblank($A269),isblank($B269)),"", not(iserror(vlookup($A269&amp;$B269,'3) Release_Label'!$D:$D&amp;'3) Release_Label'!$E:$E,1,0))),vlookup($A269&amp;$B269,{'3) Release_Label'!$D:$D&amp;'3) Release_Label'!$E:$E,'3) Release_Label'!$H:$H},2,0),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E269" s="92"/>
      <c r="F269" s="92"/>
      <c r="G269" s="125" t="str">
        <f t="array" ref="G269">ifs(or($F269="",$F269="Main Primary Artist"),$F269,not(iserror(vlookup($F269,'Reference info'!$J$5:$J$8,1,0))),"Key Artist",not(iserror(vlookup($F269,'Reference info'!$J$38:$J$405,1,0))),"Performer",not(iserror(vlookup($F269,'Reference info'!$J$10:$J$36,1,0))),"Producer &amp; Engineer")</f>
        <v/>
      </c>
    </row>
    <row r="270">
      <c r="A270" s="28"/>
      <c r="B270" s="97"/>
      <c r="C270" s="121" t="str">
        <f t="array" ref="C270">ifs(and(isblank($A270),isblank($B270)),"", not(iserror(vlookup($A270&amp;$B270,'3) Release_Label'!$D:$D&amp;'3) Release_Label'!$E:$E,1,0))),vlookup($A270&amp;$B270,{'3) Release_Label'!$D:$D&amp;'3) Release_Label'!$E:$E,'3) Release_Label'!$F:$F},2,0),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D270" s="121" t="str">
        <f t="array" ref="D270">ifs(and(isblank($A270),isblank($B270)),"", not(iserror(vlookup($A270&amp;$B270,'3) Release_Label'!$D:$D&amp;'3) Release_Label'!$E:$E,1,0))),vlookup($A270&amp;$B270,{'3) Release_Label'!$D:$D&amp;'3) Release_Label'!$E:$E,'3) Release_Label'!$H:$H},2,0),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E270" s="92"/>
      <c r="F270" s="92"/>
      <c r="G270" s="125" t="str">
        <f t="array" ref="G270">ifs(or($F270="",$F270="Main Primary Artist"),$F270,not(iserror(vlookup($F270,'Reference info'!$J$5:$J$8,1,0))),"Key Artist",not(iserror(vlookup($F270,'Reference info'!$J$38:$J$405,1,0))),"Performer",not(iserror(vlookup($F270,'Reference info'!$J$10:$J$36,1,0))),"Producer &amp; Engineer")</f>
        <v/>
      </c>
    </row>
    <row r="271">
      <c r="A271" s="28"/>
      <c r="B271" s="97"/>
      <c r="C271" s="121" t="str">
        <f t="array" ref="C271">ifs(and(isblank($A271),isblank($B271)),"", not(iserror(vlookup($A271&amp;$B271,'3) Release_Label'!$D:$D&amp;'3) Release_Label'!$E:$E,1,0))),vlookup($A271&amp;$B271,{'3) Release_Label'!$D:$D&amp;'3) Release_Label'!$E:$E,'3) Release_Label'!$F:$F},2,0),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D271" s="121" t="str">
        <f t="array" ref="D271">ifs(and(isblank($A271),isblank($B271)),"", not(iserror(vlookup($A271&amp;$B271,'3) Release_Label'!$D:$D&amp;'3) Release_Label'!$E:$E,1,0))),vlookup($A271&amp;$B271,{'3) Release_Label'!$D:$D&amp;'3) Release_Label'!$E:$E,'3) Release_Label'!$H:$H},2,0),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E271" s="92"/>
      <c r="F271" s="92"/>
      <c r="G271" s="125" t="str">
        <f t="array" ref="G271">ifs(or($F271="",$F271="Main Primary Artist"),$F271,not(iserror(vlookup($F271,'Reference info'!$J$5:$J$8,1,0))),"Key Artist",not(iserror(vlookup($F271,'Reference info'!$J$38:$J$405,1,0))),"Performer",not(iserror(vlookup($F271,'Reference info'!$J$10:$J$36,1,0))),"Producer &amp; Engineer")</f>
        <v/>
      </c>
    </row>
    <row r="272">
      <c r="A272" s="28"/>
      <c r="B272" s="97"/>
      <c r="C272" s="121" t="str">
        <f t="array" ref="C272">ifs(and(isblank($A272),isblank($B272)),"", not(iserror(vlookup($A272&amp;$B272,'3) Release_Label'!$D:$D&amp;'3) Release_Label'!$E:$E,1,0))),vlookup($A272&amp;$B272,{'3) Release_Label'!$D:$D&amp;'3) Release_Label'!$E:$E,'3) Release_Label'!$F:$F},2,0),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D272" s="121" t="str">
        <f t="array" ref="D272">ifs(and(isblank($A272),isblank($B272)),"", not(iserror(vlookup($A272&amp;$B272,'3) Release_Label'!$D:$D&amp;'3) Release_Label'!$E:$E,1,0))),vlookup($A272&amp;$B272,{'3) Release_Label'!$D:$D&amp;'3) Release_Label'!$E:$E,'3) Release_Label'!$H:$H},2,0),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E272" s="92"/>
      <c r="F272" s="92"/>
      <c r="G272" s="125" t="str">
        <f t="array" ref="G272">ifs(or($F272="",$F272="Main Primary Artist"),$F272,not(iserror(vlookup($F272,'Reference info'!$J$5:$J$8,1,0))),"Key Artist",not(iserror(vlookup($F272,'Reference info'!$J$38:$J$405,1,0))),"Performer",not(iserror(vlookup($F272,'Reference info'!$J$10:$J$36,1,0))),"Producer &amp; Engineer")</f>
        <v/>
      </c>
    </row>
    <row r="273">
      <c r="A273" s="28"/>
      <c r="B273" s="97"/>
      <c r="C273" s="121" t="str">
        <f t="array" ref="C273">ifs(and(isblank($A273),isblank($B273)),"", not(iserror(vlookup($A273&amp;$B273,'3) Release_Label'!$D:$D&amp;'3) Release_Label'!$E:$E,1,0))),vlookup($A273&amp;$B273,{'3) Release_Label'!$D:$D&amp;'3) Release_Label'!$E:$E,'3) Release_Label'!$F:$F},2,0),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D273" s="121" t="str">
        <f t="array" ref="D273">ifs(and(isblank($A273),isblank($B273)),"", not(iserror(vlookup($A273&amp;$B273,'3) Release_Label'!$D:$D&amp;'3) Release_Label'!$E:$E,1,0))),vlookup($A273&amp;$B273,{'3) Release_Label'!$D:$D&amp;'3) Release_Label'!$E:$E,'3) Release_Label'!$H:$H},2,0),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E273" s="92"/>
      <c r="F273" s="92"/>
      <c r="G273" s="125" t="str">
        <f t="array" ref="G273">ifs(or($F273="",$F273="Main Primary Artist"),$F273,not(iserror(vlookup($F273,'Reference info'!$J$5:$J$8,1,0))),"Key Artist",not(iserror(vlookup($F273,'Reference info'!$J$38:$J$405,1,0))),"Performer",not(iserror(vlookup($F273,'Reference info'!$J$10:$J$36,1,0))),"Producer &amp; Engineer")</f>
        <v/>
      </c>
    </row>
    <row r="274">
      <c r="A274" s="28"/>
      <c r="B274" s="97"/>
      <c r="C274" s="121" t="str">
        <f t="array" ref="C274">ifs(and(isblank($A274),isblank($B274)),"", not(iserror(vlookup($A274&amp;$B274,'3) Release_Label'!$D:$D&amp;'3) Release_Label'!$E:$E,1,0))),vlookup($A274&amp;$B274,{'3) Release_Label'!$D:$D&amp;'3) Release_Label'!$E:$E,'3) Release_Label'!$F:$F},2,0),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D274" s="121" t="str">
        <f t="array" ref="D274">ifs(and(isblank($A274),isblank($B274)),"", not(iserror(vlookup($A274&amp;$B274,'3) Release_Label'!$D:$D&amp;'3) Release_Label'!$E:$E,1,0))),vlookup($A274&amp;$B274,{'3) Release_Label'!$D:$D&amp;'3) Release_Label'!$E:$E,'3) Release_Label'!$H:$H},2,0),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E274" s="92"/>
      <c r="F274" s="92"/>
      <c r="G274" s="125" t="str">
        <f t="array" ref="G274">ifs(or($F274="",$F274="Main Primary Artist"),$F274,not(iserror(vlookup($F274,'Reference info'!$J$5:$J$8,1,0))),"Key Artist",not(iserror(vlookup($F274,'Reference info'!$J$38:$J$405,1,0))),"Performer",not(iserror(vlookup($F274,'Reference info'!$J$10:$J$36,1,0))),"Producer &amp; Engineer")</f>
        <v/>
      </c>
    </row>
    <row r="275">
      <c r="A275" s="28"/>
      <c r="B275" s="97"/>
      <c r="C275" s="121" t="str">
        <f t="array" ref="C275">ifs(and(isblank($A275),isblank($B275)),"", not(iserror(vlookup($A275&amp;$B275,'3) Release_Label'!$D:$D&amp;'3) Release_Label'!$E:$E,1,0))),vlookup($A275&amp;$B275,{'3) Release_Label'!$D:$D&amp;'3) Release_Label'!$E:$E,'3) Release_Label'!$F:$F},2,0),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D275" s="121" t="str">
        <f t="array" ref="D275">ifs(and(isblank($A275),isblank($B275)),"", not(iserror(vlookup($A275&amp;$B275,'3) Release_Label'!$D:$D&amp;'3) Release_Label'!$E:$E,1,0))),vlookup($A275&amp;$B275,{'3) Release_Label'!$D:$D&amp;'3) Release_Label'!$E:$E,'3) Release_Label'!$H:$H},2,0),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E275" s="92"/>
      <c r="F275" s="92"/>
      <c r="G275" s="125" t="str">
        <f t="array" ref="G275">ifs(or($F275="",$F275="Main Primary Artist"),$F275,not(iserror(vlookup($F275,'Reference info'!$J$5:$J$8,1,0))),"Key Artist",not(iserror(vlookup($F275,'Reference info'!$J$38:$J$405,1,0))),"Performer",not(iserror(vlookup($F275,'Reference info'!$J$10:$J$36,1,0))),"Producer &amp; Engineer")</f>
        <v/>
      </c>
    </row>
    <row r="276">
      <c r="A276" s="28"/>
      <c r="B276" s="97"/>
      <c r="C276" s="121" t="str">
        <f t="array" ref="C276">ifs(and(isblank($A276),isblank($B276)),"", not(iserror(vlookup($A276&amp;$B276,'3) Release_Label'!$D:$D&amp;'3) Release_Label'!$E:$E,1,0))),vlookup($A276&amp;$B276,{'3) Release_Label'!$D:$D&amp;'3) Release_Label'!$E:$E,'3) Release_Label'!$F:$F},2,0),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D276" s="121" t="str">
        <f t="array" ref="D276">ifs(and(isblank($A276),isblank($B276)),"", not(iserror(vlookup($A276&amp;$B276,'3) Release_Label'!$D:$D&amp;'3) Release_Label'!$E:$E,1,0))),vlookup($A276&amp;$B276,{'3) Release_Label'!$D:$D&amp;'3) Release_Label'!$E:$E,'3) Release_Label'!$H:$H},2,0),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E276" s="92"/>
      <c r="F276" s="92"/>
      <c r="G276" s="125" t="str">
        <f t="array" ref="G276">ifs(or($F276="",$F276="Main Primary Artist"),$F276,not(iserror(vlookup($F276,'Reference info'!$J$5:$J$8,1,0))),"Key Artist",not(iserror(vlookup($F276,'Reference info'!$J$38:$J$405,1,0))),"Performer",not(iserror(vlookup($F276,'Reference info'!$J$10:$J$36,1,0))),"Producer &amp; Engineer")</f>
        <v/>
      </c>
    </row>
    <row r="277">
      <c r="A277" s="28"/>
      <c r="B277" s="97"/>
      <c r="C277" s="121" t="str">
        <f t="array" ref="C277">ifs(and(isblank($A277),isblank($B277)),"", not(iserror(vlookup($A277&amp;$B277,'3) Release_Label'!$D:$D&amp;'3) Release_Label'!$E:$E,1,0))),vlookup($A277&amp;$B277,{'3) Release_Label'!$D:$D&amp;'3) Release_Label'!$E:$E,'3) Release_Label'!$F:$F},2,0),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D277" s="121" t="str">
        <f t="array" ref="D277">ifs(and(isblank($A277),isblank($B277)),"", not(iserror(vlookup($A277&amp;$B277,'3) Release_Label'!$D:$D&amp;'3) Release_Label'!$E:$E,1,0))),vlookup($A277&amp;$B277,{'3) Release_Label'!$D:$D&amp;'3) Release_Label'!$E:$E,'3) Release_Label'!$H:$H},2,0),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E277" s="92"/>
      <c r="F277" s="92"/>
      <c r="G277" s="125" t="str">
        <f t="array" ref="G277">ifs(or($F277="",$F277="Main Primary Artist"),$F277,not(iserror(vlookup($F277,'Reference info'!$J$5:$J$8,1,0))),"Key Artist",not(iserror(vlookup($F277,'Reference info'!$J$38:$J$405,1,0))),"Performer",not(iserror(vlookup($F277,'Reference info'!$J$10:$J$36,1,0))),"Producer &amp; Engineer")</f>
        <v/>
      </c>
    </row>
    <row r="278">
      <c r="A278" s="28"/>
      <c r="B278" s="97"/>
      <c r="C278" s="121" t="str">
        <f t="array" ref="C278">ifs(and(isblank($A278),isblank($B278)),"", not(iserror(vlookup($A278&amp;$B278,'3) Release_Label'!$D:$D&amp;'3) Release_Label'!$E:$E,1,0))),vlookup($A278&amp;$B278,{'3) Release_Label'!$D:$D&amp;'3) Release_Label'!$E:$E,'3) Release_Label'!$F:$F},2,0),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D278" s="121" t="str">
        <f t="array" ref="D278">ifs(and(isblank($A278),isblank($B278)),"", not(iserror(vlookup($A278&amp;$B278,'3) Release_Label'!$D:$D&amp;'3) Release_Label'!$E:$E,1,0))),vlookup($A278&amp;$B278,{'3) Release_Label'!$D:$D&amp;'3) Release_Label'!$E:$E,'3) Release_Label'!$H:$H},2,0),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E278" s="92"/>
      <c r="F278" s="92"/>
      <c r="G278" s="125" t="str">
        <f t="array" ref="G278">ifs(or($F278="",$F278="Main Primary Artist"),$F278,not(iserror(vlookup($F278,'Reference info'!$J$5:$J$8,1,0))),"Key Artist",not(iserror(vlookup($F278,'Reference info'!$J$38:$J$405,1,0))),"Performer",not(iserror(vlookup($F278,'Reference info'!$J$10:$J$36,1,0))),"Producer &amp; Engineer")</f>
        <v/>
      </c>
    </row>
    <row r="279">
      <c r="A279" s="28"/>
      <c r="B279" s="97"/>
      <c r="C279" s="121" t="str">
        <f t="array" ref="C279">ifs(and(isblank($A279),isblank($B279)),"", not(iserror(vlookup($A279&amp;$B279,'3) Release_Label'!$D:$D&amp;'3) Release_Label'!$E:$E,1,0))),vlookup($A279&amp;$B279,{'3) Release_Label'!$D:$D&amp;'3) Release_Label'!$E:$E,'3) Release_Label'!$F:$F},2,0),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D279" s="121" t="str">
        <f t="array" ref="D279">ifs(and(isblank($A279),isblank($B279)),"", not(iserror(vlookup($A279&amp;$B279,'3) Release_Label'!$D:$D&amp;'3) Release_Label'!$E:$E,1,0))),vlookup($A279&amp;$B279,{'3) Release_Label'!$D:$D&amp;'3) Release_Label'!$E:$E,'3) Release_Label'!$H:$H},2,0),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E279" s="92"/>
      <c r="F279" s="92"/>
      <c r="G279" s="125" t="str">
        <f t="array" ref="G279">ifs(or($F279="",$F279="Main Primary Artist"),$F279,not(iserror(vlookup($F279,'Reference info'!$J$5:$J$8,1,0))),"Key Artist",not(iserror(vlookup($F279,'Reference info'!$J$38:$J$405,1,0))),"Performer",not(iserror(vlookup($F279,'Reference info'!$J$10:$J$36,1,0))),"Producer &amp; Engineer")</f>
        <v/>
      </c>
    </row>
    <row r="280">
      <c r="A280" s="28"/>
      <c r="B280" s="97"/>
      <c r="C280" s="121" t="str">
        <f t="array" ref="C280">ifs(and(isblank($A280),isblank($B280)),"", not(iserror(vlookup($A280&amp;$B280,'3) Release_Label'!$D:$D&amp;'3) Release_Label'!$E:$E,1,0))),vlookup($A280&amp;$B280,{'3) Release_Label'!$D:$D&amp;'3) Release_Label'!$E:$E,'3) Release_Label'!$F:$F},2,0),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D280" s="121" t="str">
        <f t="array" ref="D280">ifs(and(isblank($A280),isblank($B280)),"", not(iserror(vlookup($A280&amp;$B280,'3) Release_Label'!$D:$D&amp;'3) Release_Label'!$E:$E,1,0))),vlookup($A280&amp;$B280,{'3) Release_Label'!$D:$D&amp;'3) Release_Label'!$E:$E,'3) Release_Label'!$H:$H},2,0),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E280" s="92"/>
      <c r="F280" s="92"/>
      <c r="G280" s="125" t="str">
        <f t="array" ref="G280">ifs(or($F280="",$F280="Main Primary Artist"),$F280,not(iserror(vlookup($F280,'Reference info'!$J$5:$J$8,1,0))),"Key Artist",not(iserror(vlookup($F280,'Reference info'!$J$38:$J$405,1,0))),"Performer",not(iserror(vlookup($F280,'Reference info'!$J$10:$J$36,1,0))),"Producer &amp; Engineer")</f>
        <v/>
      </c>
    </row>
    <row r="281">
      <c r="A281" s="28"/>
      <c r="B281" s="97"/>
      <c r="C281" s="121" t="str">
        <f t="array" ref="C281">ifs(and(isblank($A281),isblank($B281)),"", not(iserror(vlookup($A281&amp;$B281,'3) Release_Label'!$D:$D&amp;'3) Release_Label'!$E:$E,1,0))),vlookup($A281&amp;$B281,{'3) Release_Label'!$D:$D&amp;'3) Release_Label'!$E:$E,'3) Release_Label'!$F:$F},2,0),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D281" s="121" t="str">
        <f t="array" ref="D281">ifs(and(isblank($A281),isblank($B281)),"", not(iserror(vlookup($A281&amp;$B281,'3) Release_Label'!$D:$D&amp;'3) Release_Label'!$E:$E,1,0))),vlookup($A281&amp;$B281,{'3) Release_Label'!$D:$D&amp;'3) Release_Label'!$E:$E,'3) Release_Label'!$H:$H},2,0),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E281" s="92"/>
      <c r="F281" s="92"/>
      <c r="G281" s="125" t="str">
        <f t="array" ref="G281">ifs(or($F281="",$F281="Main Primary Artist"),$F281,not(iserror(vlookup($F281,'Reference info'!$J$5:$J$8,1,0))),"Key Artist",not(iserror(vlookup($F281,'Reference info'!$J$38:$J$405,1,0))),"Performer",not(iserror(vlookup($F281,'Reference info'!$J$10:$J$36,1,0))),"Producer &amp; Engineer")</f>
        <v/>
      </c>
    </row>
    <row r="282">
      <c r="A282" s="28"/>
      <c r="B282" s="97"/>
      <c r="C282" s="121" t="str">
        <f t="array" ref="C282">ifs(and(isblank($A282),isblank($B282)),"", not(iserror(vlookup($A282&amp;$B282,'3) Release_Label'!$D:$D&amp;'3) Release_Label'!$E:$E,1,0))),vlookup($A282&amp;$B282,{'3) Release_Label'!$D:$D&amp;'3) Release_Label'!$E:$E,'3) Release_Label'!$F:$F},2,0),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D282" s="121" t="str">
        <f t="array" ref="D282">ifs(and(isblank($A282),isblank($B282)),"", not(iserror(vlookup($A282&amp;$B282,'3) Release_Label'!$D:$D&amp;'3) Release_Label'!$E:$E,1,0))),vlookup($A282&amp;$B282,{'3) Release_Label'!$D:$D&amp;'3) Release_Label'!$E:$E,'3) Release_Label'!$H:$H},2,0),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E282" s="92"/>
      <c r="F282" s="92"/>
      <c r="G282" s="125" t="str">
        <f t="array" ref="G282">ifs(or($F282="",$F282="Main Primary Artist"),$F282,not(iserror(vlookup($F282,'Reference info'!$J$5:$J$8,1,0))),"Key Artist",not(iserror(vlookup($F282,'Reference info'!$J$38:$J$405,1,0))),"Performer",not(iserror(vlookup($F282,'Reference info'!$J$10:$J$36,1,0))),"Producer &amp; Engineer")</f>
        <v/>
      </c>
    </row>
    <row r="283">
      <c r="A283" s="28"/>
      <c r="B283" s="97"/>
      <c r="C283" s="121" t="str">
        <f t="array" ref="C283">ifs(and(isblank($A283),isblank($B283)),"", not(iserror(vlookup($A283&amp;$B283,'3) Release_Label'!$D:$D&amp;'3) Release_Label'!$E:$E,1,0))),vlookup($A283&amp;$B283,{'3) Release_Label'!$D:$D&amp;'3) Release_Label'!$E:$E,'3) Release_Label'!$F:$F},2,0),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D283" s="121" t="str">
        <f t="array" ref="D283">ifs(and(isblank($A283),isblank($B283)),"", not(iserror(vlookup($A283&amp;$B283,'3) Release_Label'!$D:$D&amp;'3) Release_Label'!$E:$E,1,0))),vlookup($A283&amp;$B283,{'3) Release_Label'!$D:$D&amp;'3) Release_Label'!$E:$E,'3) Release_Label'!$H:$H},2,0),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E283" s="92"/>
      <c r="F283" s="92"/>
      <c r="G283" s="125" t="str">
        <f t="array" ref="G283">ifs(or($F283="",$F283="Main Primary Artist"),$F283,not(iserror(vlookup($F283,'Reference info'!$J$5:$J$8,1,0))),"Key Artist",not(iserror(vlookup($F283,'Reference info'!$J$38:$J$405,1,0))),"Performer",not(iserror(vlookup($F283,'Reference info'!$J$10:$J$36,1,0))),"Producer &amp; Engineer")</f>
        <v/>
      </c>
    </row>
    <row r="284">
      <c r="A284" s="28"/>
      <c r="B284" s="97"/>
      <c r="C284" s="121" t="str">
        <f t="array" ref="C284">ifs(and(isblank($A284),isblank($B284)),"", not(iserror(vlookup($A284&amp;$B284,'3) Release_Label'!$D:$D&amp;'3) Release_Label'!$E:$E,1,0))),vlookup($A284&amp;$B284,{'3) Release_Label'!$D:$D&amp;'3) Release_Label'!$E:$E,'3) Release_Label'!$F:$F},2,0),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D284" s="121" t="str">
        <f t="array" ref="D284">ifs(and(isblank($A284),isblank($B284)),"", not(iserror(vlookup($A284&amp;$B284,'3) Release_Label'!$D:$D&amp;'3) Release_Label'!$E:$E,1,0))),vlookup($A284&amp;$B284,{'3) Release_Label'!$D:$D&amp;'3) Release_Label'!$E:$E,'3) Release_Label'!$H:$H},2,0),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E284" s="92"/>
      <c r="F284" s="92"/>
      <c r="G284" s="125" t="str">
        <f t="array" ref="G284">ifs(or($F284="",$F284="Main Primary Artist"),$F284,not(iserror(vlookup($F284,'Reference info'!$J$5:$J$8,1,0))),"Key Artist",not(iserror(vlookup($F284,'Reference info'!$J$38:$J$405,1,0))),"Performer",not(iserror(vlookup($F284,'Reference info'!$J$10:$J$36,1,0))),"Producer &amp; Engineer")</f>
        <v/>
      </c>
    </row>
    <row r="285">
      <c r="A285" s="28"/>
      <c r="B285" s="97"/>
      <c r="C285" s="121" t="str">
        <f t="array" ref="C285">ifs(and(isblank($A285),isblank($B285)),"", not(iserror(vlookup($A285&amp;$B285,'3) Release_Label'!$D:$D&amp;'3) Release_Label'!$E:$E,1,0))),vlookup($A285&amp;$B285,{'3) Release_Label'!$D:$D&amp;'3) Release_Label'!$E:$E,'3) Release_Label'!$F:$F},2,0),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D285" s="121" t="str">
        <f t="array" ref="D285">ifs(and(isblank($A285),isblank($B285)),"", not(iserror(vlookup($A285&amp;$B285,'3) Release_Label'!$D:$D&amp;'3) Release_Label'!$E:$E,1,0))),vlookup($A285&amp;$B285,{'3) Release_Label'!$D:$D&amp;'3) Release_Label'!$E:$E,'3) Release_Label'!$H:$H},2,0),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E285" s="92"/>
      <c r="F285" s="92"/>
      <c r="G285" s="125" t="str">
        <f t="array" ref="G285">ifs(or($F285="",$F285="Main Primary Artist"),$F285,not(iserror(vlookup($F285,'Reference info'!$J$5:$J$8,1,0))),"Key Artist",not(iserror(vlookup($F285,'Reference info'!$J$38:$J$405,1,0))),"Performer",not(iserror(vlookup($F285,'Reference info'!$J$10:$J$36,1,0))),"Producer &amp; Engineer")</f>
        <v/>
      </c>
    </row>
    <row r="286">
      <c r="A286" s="28"/>
      <c r="B286" s="97"/>
      <c r="C286" s="121" t="str">
        <f t="array" ref="C286">ifs(and(isblank($A286),isblank($B286)),"", not(iserror(vlookup($A286&amp;$B286,'3) Release_Label'!$D:$D&amp;'3) Release_Label'!$E:$E,1,0))),vlookup($A286&amp;$B286,{'3) Release_Label'!$D:$D&amp;'3) Release_Label'!$E:$E,'3) Release_Label'!$F:$F},2,0),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D286" s="121" t="str">
        <f t="array" ref="D286">ifs(and(isblank($A286),isblank($B286)),"", not(iserror(vlookup($A286&amp;$B286,'3) Release_Label'!$D:$D&amp;'3) Release_Label'!$E:$E,1,0))),vlookup($A286&amp;$B286,{'3) Release_Label'!$D:$D&amp;'3) Release_Label'!$E:$E,'3) Release_Label'!$H:$H},2,0),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E286" s="92"/>
      <c r="F286" s="92"/>
      <c r="G286" s="125" t="str">
        <f t="array" ref="G286">ifs(or($F286="",$F286="Main Primary Artist"),$F286,not(iserror(vlookup($F286,'Reference info'!$J$5:$J$8,1,0))),"Key Artist",not(iserror(vlookup($F286,'Reference info'!$J$38:$J$405,1,0))),"Performer",not(iserror(vlookup($F286,'Reference info'!$J$10:$J$36,1,0))),"Producer &amp; Engineer")</f>
        <v/>
      </c>
    </row>
    <row r="287">
      <c r="A287" s="28"/>
      <c r="B287" s="97"/>
      <c r="C287" s="121" t="str">
        <f t="array" ref="C287">ifs(and(isblank($A287),isblank($B287)),"", not(iserror(vlookup($A287&amp;$B287,'3) Release_Label'!$D:$D&amp;'3) Release_Label'!$E:$E,1,0))),vlookup($A287&amp;$B287,{'3) Release_Label'!$D:$D&amp;'3) Release_Label'!$E:$E,'3) Release_Label'!$F:$F},2,0),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D287" s="121" t="str">
        <f t="array" ref="D287">ifs(and(isblank($A287),isblank($B287)),"", not(iserror(vlookup($A287&amp;$B287,'3) Release_Label'!$D:$D&amp;'3) Release_Label'!$E:$E,1,0))),vlookup($A287&amp;$B287,{'3) Release_Label'!$D:$D&amp;'3) Release_Label'!$E:$E,'3) Release_Label'!$H:$H},2,0),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E287" s="92"/>
      <c r="F287" s="92"/>
      <c r="G287" s="125" t="str">
        <f t="array" ref="G287">ifs(or($F287="",$F287="Main Primary Artist"),$F287,not(iserror(vlookup($F287,'Reference info'!$J$5:$J$8,1,0))),"Key Artist",not(iserror(vlookup($F287,'Reference info'!$J$38:$J$405,1,0))),"Performer",not(iserror(vlookup($F287,'Reference info'!$J$10:$J$36,1,0))),"Producer &amp; Engineer")</f>
        <v/>
      </c>
    </row>
    <row r="288">
      <c r="A288" s="28"/>
      <c r="B288" s="97"/>
      <c r="C288" s="121" t="str">
        <f t="array" ref="C288">ifs(and(isblank($A288),isblank($B288)),"", not(iserror(vlookup($A288&amp;$B288,'3) Release_Label'!$D:$D&amp;'3) Release_Label'!$E:$E,1,0))),vlookup($A288&amp;$B288,{'3) Release_Label'!$D:$D&amp;'3) Release_Label'!$E:$E,'3) Release_Label'!$F:$F},2,0),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D288" s="121" t="str">
        <f t="array" ref="D288">ifs(and(isblank($A288),isblank($B288)),"", not(iserror(vlookup($A288&amp;$B288,'3) Release_Label'!$D:$D&amp;'3) Release_Label'!$E:$E,1,0))),vlookup($A288&amp;$B288,{'3) Release_Label'!$D:$D&amp;'3) Release_Label'!$E:$E,'3) Release_Label'!$H:$H},2,0),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E288" s="92"/>
      <c r="F288" s="92"/>
      <c r="G288" s="125" t="str">
        <f t="array" ref="G288">ifs(or($F288="",$F288="Main Primary Artist"),$F288,not(iserror(vlookup($F288,'Reference info'!$J$5:$J$8,1,0))),"Key Artist",not(iserror(vlookup($F288,'Reference info'!$J$38:$J$405,1,0))),"Performer",not(iserror(vlookup($F288,'Reference info'!$J$10:$J$36,1,0))),"Producer &amp; Engineer")</f>
        <v/>
      </c>
    </row>
    <row r="289">
      <c r="A289" s="28"/>
      <c r="B289" s="97"/>
      <c r="C289" s="121" t="str">
        <f t="array" ref="C289">ifs(and(isblank($A289),isblank($B289)),"", not(iserror(vlookup($A289&amp;$B289,'3) Release_Label'!$D:$D&amp;'3) Release_Label'!$E:$E,1,0))),vlookup($A289&amp;$B289,{'3) Release_Label'!$D:$D&amp;'3) Release_Label'!$E:$E,'3) Release_Label'!$F:$F},2,0),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D289" s="121" t="str">
        <f t="array" ref="D289">ifs(and(isblank($A289),isblank($B289)),"", not(iserror(vlookup($A289&amp;$B289,'3) Release_Label'!$D:$D&amp;'3) Release_Label'!$E:$E,1,0))),vlookup($A289&amp;$B289,{'3) Release_Label'!$D:$D&amp;'3) Release_Label'!$E:$E,'3) Release_Label'!$H:$H},2,0),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E289" s="92"/>
      <c r="F289" s="92"/>
      <c r="G289" s="125" t="str">
        <f t="array" ref="G289">ifs(or($F289="",$F289="Main Primary Artist"),$F289,not(iserror(vlookup($F289,'Reference info'!$J$5:$J$8,1,0))),"Key Artist",not(iserror(vlookup($F289,'Reference info'!$J$38:$J$405,1,0))),"Performer",not(iserror(vlookup($F289,'Reference info'!$J$10:$J$36,1,0))),"Producer &amp; Engineer")</f>
        <v/>
      </c>
    </row>
    <row r="290">
      <c r="A290" s="28"/>
      <c r="B290" s="97"/>
      <c r="C290" s="121" t="str">
        <f t="array" ref="C290">ifs(and(isblank($A290),isblank($B290)),"", not(iserror(vlookup($A290&amp;$B290,'3) Release_Label'!$D:$D&amp;'3) Release_Label'!$E:$E,1,0))),vlookup($A290&amp;$B290,{'3) Release_Label'!$D:$D&amp;'3) Release_Label'!$E:$E,'3) Release_Label'!$F:$F},2,0),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D290" s="121" t="str">
        <f t="array" ref="D290">ifs(and(isblank($A290),isblank($B290)),"", not(iserror(vlookup($A290&amp;$B290,'3) Release_Label'!$D:$D&amp;'3) Release_Label'!$E:$E,1,0))),vlookup($A290&amp;$B290,{'3) Release_Label'!$D:$D&amp;'3) Release_Label'!$E:$E,'3) Release_Label'!$H:$H},2,0),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E290" s="92"/>
      <c r="F290" s="92"/>
      <c r="G290" s="125" t="str">
        <f t="array" ref="G290">ifs(or($F290="",$F290="Main Primary Artist"),$F290,not(iserror(vlookup($F290,'Reference info'!$J$5:$J$8,1,0))),"Key Artist",not(iserror(vlookup($F290,'Reference info'!$J$38:$J$405,1,0))),"Performer",not(iserror(vlookup($F290,'Reference info'!$J$10:$J$36,1,0))),"Producer &amp; Engineer")</f>
        <v/>
      </c>
    </row>
    <row r="291">
      <c r="A291" s="28"/>
      <c r="B291" s="97"/>
      <c r="C291" s="121" t="str">
        <f t="array" ref="C291">ifs(and(isblank($A291),isblank($B291)),"", not(iserror(vlookup($A291&amp;$B291,'3) Release_Label'!$D:$D&amp;'3) Release_Label'!$E:$E,1,0))),vlookup($A291&amp;$B291,{'3) Release_Label'!$D:$D&amp;'3) Release_Label'!$E:$E,'3) Release_Label'!$F:$F},2,0),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D291" s="121" t="str">
        <f t="array" ref="D291">ifs(and(isblank($A291),isblank($B291)),"", not(iserror(vlookup($A291&amp;$B291,'3) Release_Label'!$D:$D&amp;'3) Release_Label'!$E:$E,1,0))),vlookup($A291&amp;$B291,{'3) Release_Label'!$D:$D&amp;'3) Release_Label'!$E:$E,'3) Release_Label'!$H:$H},2,0),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E291" s="92"/>
      <c r="F291" s="92"/>
      <c r="G291" s="125" t="str">
        <f t="array" ref="G291">ifs(or($F291="",$F291="Main Primary Artist"),$F291,not(iserror(vlookup($F291,'Reference info'!$J$5:$J$8,1,0))),"Key Artist",not(iserror(vlookup($F291,'Reference info'!$J$38:$J$405,1,0))),"Performer",not(iserror(vlookup($F291,'Reference info'!$J$10:$J$36,1,0))),"Producer &amp; Engineer")</f>
        <v/>
      </c>
    </row>
    <row r="292">
      <c r="A292" s="28"/>
      <c r="B292" s="97"/>
      <c r="C292" s="121" t="str">
        <f t="array" ref="C292">ifs(and(isblank($A292),isblank($B292)),"", not(iserror(vlookup($A292&amp;$B292,'3) Release_Label'!$D:$D&amp;'3) Release_Label'!$E:$E,1,0))),vlookup($A292&amp;$B292,{'3) Release_Label'!$D:$D&amp;'3) Release_Label'!$E:$E,'3) Release_Label'!$F:$F},2,0),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D292" s="121" t="str">
        <f t="array" ref="D292">ifs(and(isblank($A292),isblank($B292)),"", not(iserror(vlookup($A292&amp;$B292,'3) Release_Label'!$D:$D&amp;'3) Release_Label'!$E:$E,1,0))),vlookup($A292&amp;$B292,{'3) Release_Label'!$D:$D&amp;'3) Release_Label'!$E:$E,'3) Release_Label'!$H:$H},2,0),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E292" s="92"/>
      <c r="F292" s="92"/>
      <c r="G292" s="125" t="str">
        <f t="array" ref="G292">ifs(or($F292="",$F292="Main Primary Artist"),$F292,not(iserror(vlookup($F292,'Reference info'!$J$5:$J$8,1,0))),"Key Artist",not(iserror(vlookup($F292,'Reference info'!$J$38:$J$405,1,0))),"Performer",not(iserror(vlookup($F292,'Reference info'!$J$10:$J$36,1,0))),"Producer &amp; Engineer")</f>
        <v/>
      </c>
    </row>
    <row r="293">
      <c r="A293" s="28"/>
      <c r="B293" s="97"/>
      <c r="C293" s="121" t="str">
        <f t="array" ref="C293">ifs(and(isblank($A293),isblank($B293)),"", not(iserror(vlookup($A293&amp;$B293,'3) Release_Label'!$D:$D&amp;'3) Release_Label'!$E:$E,1,0))),vlookup($A293&amp;$B293,{'3) Release_Label'!$D:$D&amp;'3) Release_Label'!$E:$E,'3) Release_Label'!$F:$F},2,0),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D293" s="121" t="str">
        <f t="array" ref="D293">ifs(and(isblank($A293),isblank($B293)),"", not(iserror(vlookup($A293&amp;$B293,'3) Release_Label'!$D:$D&amp;'3) Release_Label'!$E:$E,1,0))),vlookup($A293&amp;$B293,{'3) Release_Label'!$D:$D&amp;'3) Release_Label'!$E:$E,'3) Release_Label'!$H:$H},2,0),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E293" s="92"/>
      <c r="F293" s="92"/>
      <c r="G293" s="125" t="str">
        <f t="array" ref="G293">ifs(or($F293="",$F293="Main Primary Artist"),$F293,not(iserror(vlookup($F293,'Reference info'!$J$5:$J$8,1,0))),"Key Artist",not(iserror(vlookup($F293,'Reference info'!$J$38:$J$405,1,0))),"Performer",not(iserror(vlookup($F293,'Reference info'!$J$10:$J$36,1,0))),"Producer &amp; Engineer")</f>
        <v/>
      </c>
    </row>
    <row r="294">
      <c r="A294" s="28"/>
      <c r="B294" s="97"/>
      <c r="C294" s="121" t="str">
        <f t="array" ref="C294">ifs(and(isblank($A294),isblank($B294)),"", not(iserror(vlookup($A294&amp;$B294,'3) Release_Label'!$D:$D&amp;'3) Release_Label'!$E:$E,1,0))),vlookup($A294&amp;$B294,{'3) Release_Label'!$D:$D&amp;'3) Release_Label'!$E:$E,'3) Release_Label'!$F:$F},2,0),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D294" s="121" t="str">
        <f t="array" ref="D294">ifs(and(isblank($A294),isblank($B294)),"", not(iserror(vlookup($A294&amp;$B294,'3) Release_Label'!$D:$D&amp;'3) Release_Label'!$E:$E,1,0))),vlookup($A294&amp;$B294,{'3) Release_Label'!$D:$D&amp;'3) Release_Label'!$E:$E,'3) Release_Label'!$H:$H},2,0),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E294" s="92"/>
      <c r="F294" s="92"/>
      <c r="G294" s="125" t="str">
        <f t="array" ref="G294">ifs(or($F294="",$F294="Main Primary Artist"),$F294,not(iserror(vlookup($F294,'Reference info'!$J$5:$J$8,1,0))),"Key Artist",not(iserror(vlookup($F294,'Reference info'!$J$38:$J$405,1,0))),"Performer",not(iserror(vlookup($F294,'Reference info'!$J$10:$J$36,1,0))),"Producer &amp; Engineer")</f>
        <v/>
      </c>
    </row>
    <row r="295">
      <c r="A295" s="28"/>
      <c r="B295" s="97"/>
      <c r="C295" s="121" t="str">
        <f t="array" ref="C295">ifs(and(isblank($A295),isblank($B295)),"", not(iserror(vlookup($A295&amp;$B295,'3) Release_Label'!$D:$D&amp;'3) Release_Label'!$E:$E,1,0))),vlookup($A295&amp;$B295,{'3) Release_Label'!$D:$D&amp;'3) Release_Label'!$E:$E,'3) Release_Label'!$F:$F},2,0),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D295" s="121" t="str">
        <f t="array" ref="D295">ifs(and(isblank($A295),isblank($B295)),"", not(iserror(vlookup($A295&amp;$B295,'3) Release_Label'!$D:$D&amp;'3) Release_Label'!$E:$E,1,0))),vlookup($A295&amp;$B295,{'3) Release_Label'!$D:$D&amp;'3) Release_Label'!$E:$E,'3) Release_Label'!$H:$H},2,0),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E295" s="92"/>
      <c r="F295" s="92"/>
      <c r="G295" s="125" t="str">
        <f t="array" ref="G295">ifs(or($F295="",$F295="Main Primary Artist"),$F295,not(iserror(vlookup($F295,'Reference info'!$J$5:$J$8,1,0))),"Key Artist",not(iserror(vlookup($F295,'Reference info'!$J$38:$J$405,1,0))),"Performer",not(iserror(vlookup($F295,'Reference info'!$J$10:$J$36,1,0))),"Producer &amp; Engineer")</f>
        <v/>
      </c>
    </row>
    <row r="296">
      <c r="A296" s="28"/>
      <c r="B296" s="97"/>
      <c r="C296" s="121" t="str">
        <f t="array" ref="C296">ifs(and(isblank($A296),isblank($B296)),"", not(iserror(vlookup($A296&amp;$B296,'3) Release_Label'!$D:$D&amp;'3) Release_Label'!$E:$E,1,0))),vlookup($A296&amp;$B296,{'3) Release_Label'!$D:$D&amp;'3) Release_Label'!$E:$E,'3) Release_Label'!$F:$F},2,0),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D296" s="121" t="str">
        <f t="array" ref="D296">ifs(and(isblank($A296),isblank($B296)),"", not(iserror(vlookup($A296&amp;$B296,'3) Release_Label'!$D:$D&amp;'3) Release_Label'!$E:$E,1,0))),vlookup($A296&amp;$B296,{'3) Release_Label'!$D:$D&amp;'3) Release_Label'!$E:$E,'3) Release_Label'!$H:$H},2,0),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E296" s="92"/>
      <c r="F296" s="92"/>
      <c r="G296" s="125" t="str">
        <f t="array" ref="G296">ifs(or($F296="",$F296="Main Primary Artist"),$F296,not(iserror(vlookup($F296,'Reference info'!$J$5:$J$8,1,0))),"Key Artist",not(iserror(vlookup($F296,'Reference info'!$J$38:$J$405,1,0))),"Performer",not(iserror(vlookup($F296,'Reference info'!$J$10:$J$36,1,0))),"Producer &amp; Engineer")</f>
        <v/>
      </c>
    </row>
    <row r="297">
      <c r="A297" s="28"/>
      <c r="B297" s="97"/>
      <c r="C297" s="121" t="str">
        <f t="array" ref="C297">ifs(and(isblank($A297),isblank($B297)),"", not(iserror(vlookup($A297&amp;$B297,'3) Release_Label'!$D:$D&amp;'3) Release_Label'!$E:$E,1,0))),vlookup($A297&amp;$B297,{'3) Release_Label'!$D:$D&amp;'3) Release_Label'!$E:$E,'3) Release_Label'!$F:$F},2,0),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D297" s="121" t="str">
        <f t="array" ref="D297">ifs(and(isblank($A297),isblank($B297)),"", not(iserror(vlookup($A297&amp;$B297,'3) Release_Label'!$D:$D&amp;'3) Release_Label'!$E:$E,1,0))),vlookup($A297&amp;$B297,{'3) Release_Label'!$D:$D&amp;'3) Release_Label'!$E:$E,'3) Release_Label'!$H:$H},2,0),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E297" s="92"/>
      <c r="F297" s="92"/>
      <c r="G297" s="125" t="str">
        <f t="array" ref="G297">ifs(or($F297="",$F297="Main Primary Artist"),$F297,not(iserror(vlookup($F297,'Reference info'!$J$5:$J$8,1,0))),"Key Artist",not(iserror(vlookup($F297,'Reference info'!$J$38:$J$405,1,0))),"Performer",not(iserror(vlookup($F297,'Reference info'!$J$10:$J$36,1,0))),"Producer &amp; Engineer")</f>
        <v/>
      </c>
    </row>
    <row r="298">
      <c r="A298" s="28"/>
      <c r="B298" s="97"/>
      <c r="C298" s="121" t="str">
        <f t="array" ref="C298">ifs(and(isblank($A298),isblank($B298)),"", not(iserror(vlookup($A298&amp;$B298,'3) Release_Label'!$D:$D&amp;'3) Release_Label'!$E:$E,1,0))),vlookup($A298&amp;$B298,{'3) Release_Label'!$D:$D&amp;'3) Release_Label'!$E:$E,'3) Release_Label'!$F:$F},2,0),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D298" s="121" t="str">
        <f t="array" ref="D298">ifs(and(isblank($A298),isblank($B298)),"", not(iserror(vlookup($A298&amp;$B298,'3) Release_Label'!$D:$D&amp;'3) Release_Label'!$E:$E,1,0))),vlookup($A298&amp;$B298,{'3) Release_Label'!$D:$D&amp;'3) Release_Label'!$E:$E,'3) Release_Label'!$H:$H},2,0),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E298" s="92"/>
      <c r="F298" s="92"/>
      <c r="G298" s="125" t="str">
        <f t="array" ref="G298">ifs(or($F298="",$F298="Main Primary Artist"),$F298,not(iserror(vlookup($F298,'Reference info'!$J$5:$J$8,1,0))),"Key Artist",not(iserror(vlookup($F298,'Reference info'!$J$38:$J$405,1,0))),"Performer",not(iserror(vlookup($F298,'Reference info'!$J$10:$J$36,1,0))),"Producer &amp; Engineer")</f>
        <v/>
      </c>
    </row>
    <row r="299">
      <c r="A299" s="28"/>
      <c r="B299" s="97"/>
      <c r="C299" s="121" t="str">
        <f t="array" ref="C299">ifs(and(isblank($A299),isblank($B299)),"", not(iserror(vlookup($A299&amp;$B299,'3) Release_Label'!$D:$D&amp;'3) Release_Label'!$E:$E,1,0))),vlookup($A299&amp;$B299,{'3) Release_Label'!$D:$D&amp;'3) Release_Label'!$E:$E,'3) Release_Label'!$F:$F},2,0),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D299" s="121" t="str">
        <f t="array" ref="D299">ifs(and(isblank($A299),isblank($B299)),"", not(iserror(vlookup($A299&amp;$B299,'3) Release_Label'!$D:$D&amp;'3) Release_Label'!$E:$E,1,0))),vlookup($A299&amp;$B299,{'3) Release_Label'!$D:$D&amp;'3) Release_Label'!$E:$E,'3) Release_Label'!$H:$H},2,0),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E299" s="92"/>
      <c r="F299" s="92"/>
      <c r="G299" s="125" t="str">
        <f t="array" ref="G299">ifs(or($F299="",$F299="Main Primary Artist"),$F299,not(iserror(vlookup($F299,'Reference info'!$J$5:$J$8,1,0))),"Key Artist",not(iserror(vlookup($F299,'Reference info'!$J$38:$J$405,1,0))),"Performer",not(iserror(vlookup($F299,'Reference info'!$J$10:$J$36,1,0))),"Producer &amp; Engineer")</f>
        <v/>
      </c>
    </row>
    <row r="300">
      <c r="A300" s="28"/>
      <c r="B300" s="97"/>
      <c r="C300" s="121" t="str">
        <f t="array" ref="C300">ifs(and(isblank($A300),isblank($B300)),"", not(iserror(vlookup($A300&amp;$B300,'3) Release_Label'!$D:$D&amp;'3) Release_Label'!$E:$E,1,0))),vlookup($A300&amp;$B300,{'3) Release_Label'!$D:$D&amp;'3) Release_Label'!$E:$E,'3) Release_Label'!$F:$F},2,0),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D300" s="121" t="str">
        <f t="array" ref="D300">ifs(and(isblank($A300),isblank($B300)),"", not(iserror(vlookup($A300&amp;$B300,'3) Release_Label'!$D:$D&amp;'3) Release_Label'!$E:$E,1,0))),vlookup($A300&amp;$B300,{'3) Release_Label'!$D:$D&amp;'3) Release_Label'!$E:$E,'3) Release_Label'!$H:$H},2,0),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E300" s="92"/>
      <c r="F300" s="92"/>
      <c r="G300" s="125" t="str">
        <f t="array" ref="G300">ifs(or($F300="",$F300="Main Primary Artist"),$F300,not(iserror(vlookup($F300,'Reference info'!$J$5:$J$8,1,0))),"Key Artist",not(iserror(vlookup($F300,'Reference info'!$J$38:$J$405,1,0))),"Performer",not(iserror(vlookup($F300,'Reference info'!$J$10:$J$36,1,0))),"Producer &amp; Engineer")</f>
        <v/>
      </c>
    </row>
    <row r="301">
      <c r="A301" s="28"/>
      <c r="B301" s="97"/>
      <c r="C301" s="121" t="str">
        <f t="array" ref="C301">ifs(and(isblank($A301),isblank($B301)),"", not(iserror(vlookup($A301&amp;$B301,'3) Release_Label'!$D:$D&amp;'3) Release_Label'!$E:$E,1,0))),vlookup($A301&amp;$B301,{'3) Release_Label'!$D:$D&amp;'3) Release_Label'!$E:$E,'3) Release_Label'!$F:$F},2,0),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D301" s="121" t="str">
        <f t="array" ref="D301">ifs(and(isblank($A301),isblank($B301)),"", not(iserror(vlookup($A301&amp;$B301,'3) Release_Label'!$D:$D&amp;'3) Release_Label'!$E:$E,1,0))),vlookup($A301&amp;$B301,{'3) Release_Label'!$D:$D&amp;'3) Release_Label'!$E:$E,'3) Release_Label'!$H:$H},2,0),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E301" s="92"/>
      <c r="F301" s="92"/>
      <c r="G301" s="125" t="str">
        <f t="array" ref="G301">ifs(or($F301="",$F301="Main Primary Artist"),$F301,not(iserror(vlookup($F301,'Reference info'!$J$5:$J$8,1,0))),"Key Artist",not(iserror(vlookup($F301,'Reference info'!$J$38:$J$405,1,0))),"Performer",not(iserror(vlookup($F301,'Reference info'!$J$10:$J$36,1,0))),"Producer &amp; Engineer")</f>
        <v/>
      </c>
    </row>
    <row r="302">
      <c r="A302" s="28"/>
      <c r="B302" s="97"/>
      <c r="C302" s="121" t="str">
        <f t="array" ref="C302">ifs(and(isblank($A302),isblank($B302)),"", not(iserror(vlookup($A302&amp;$B302,'3) Release_Label'!$D:$D&amp;'3) Release_Label'!$E:$E,1,0))),vlookup($A302&amp;$B302,{'3) Release_Label'!$D:$D&amp;'3) Release_Label'!$E:$E,'3) Release_Label'!$F:$F},2,0),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D302" s="121" t="str">
        <f t="array" ref="D302">ifs(and(isblank($A302),isblank($B302)),"", not(iserror(vlookup($A302&amp;$B302,'3) Release_Label'!$D:$D&amp;'3) Release_Label'!$E:$E,1,0))),vlookup($A302&amp;$B302,{'3) Release_Label'!$D:$D&amp;'3) Release_Label'!$E:$E,'3) Release_Label'!$H:$H},2,0),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E302" s="92"/>
      <c r="F302" s="92"/>
      <c r="G302" s="125" t="str">
        <f t="array" ref="G302">ifs(or($F302="",$F302="Main Primary Artist"),$F302,not(iserror(vlookup($F302,'Reference info'!$J$5:$J$8,1,0))),"Key Artist",not(iserror(vlookup($F302,'Reference info'!$J$38:$J$405,1,0))),"Performer",not(iserror(vlookup($F302,'Reference info'!$J$10:$J$36,1,0))),"Producer &amp; Engineer")</f>
        <v/>
      </c>
    </row>
    <row r="303">
      <c r="A303" s="28"/>
      <c r="B303" s="97"/>
      <c r="C303" s="121" t="str">
        <f t="array" ref="C303">ifs(and(isblank($A303),isblank($B303)),"", not(iserror(vlookup($A303&amp;$B303,'3) Release_Label'!$D:$D&amp;'3) Release_Label'!$E:$E,1,0))),vlookup($A303&amp;$B303,{'3) Release_Label'!$D:$D&amp;'3) Release_Label'!$E:$E,'3) Release_Label'!$F:$F},2,0),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D303" s="121" t="str">
        <f t="array" ref="D303">ifs(and(isblank($A303),isblank($B303)),"", not(iserror(vlookup($A303&amp;$B303,'3) Release_Label'!$D:$D&amp;'3) Release_Label'!$E:$E,1,0))),vlookup($A303&amp;$B303,{'3) Release_Label'!$D:$D&amp;'3) Release_Label'!$E:$E,'3) Release_Label'!$H:$H},2,0),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E303" s="92"/>
      <c r="F303" s="92"/>
      <c r="G303" s="125" t="str">
        <f t="array" ref="G303">ifs(or($F303="",$F303="Main Primary Artist"),$F303,not(iserror(vlookup($F303,'Reference info'!$J$5:$J$8,1,0))),"Key Artist",not(iserror(vlookup($F303,'Reference info'!$J$38:$J$405,1,0))),"Performer",not(iserror(vlookup($F303,'Reference info'!$J$10:$J$36,1,0))),"Producer &amp; Engineer")</f>
        <v/>
      </c>
    </row>
    <row r="304">
      <c r="A304" s="28"/>
      <c r="B304" s="97"/>
      <c r="C304" s="121" t="str">
        <f t="array" ref="C304">ifs(and(isblank($A304),isblank($B304)),"", not(iserror(vlookup($A304&amp;$B304,'3) Release_Label'!$D:$D&amp;'3) Release_Label'!$E:$E,1,0))),vlookup($A304&amp;$B304,{'3) Release_Label'!$D:$D&amp;'3) Release_Label'!$E:$E,'3) Release_Label'!$F:$F},2,0),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D304" s="121" t="str">
        <f t="array" ref="D304">ifs(and(isblank($A304),isblank($B304)),"", not(iserror(vlookup($A304&amp;$B304,'3) Release_Label'!$D:$D&amp;'3) Release_Label'!$E:$E,1,0))),vlookup($A304&amp;$B304,{'3) Release_Label'!$D:$D&amp;'3) Release_Label'!$E:$E,'3) Release_Label'!$H:$H},2,0),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E304" s="92"/>
      <c r="F304" s="92"/>
      <c r="G304" s="125" t="str">
        <f t="array" ref="G304">ifs(or($F304="",$F304="Main Primary Artist"),$F304,not(iserror(vlookup($F304,'Reference info'!$J$5:$J$8,1,0))),"Key Artist",not(iserror(vlookup($F304,'Reference info'!$J$38:$J$405,1,0))),"Performer",not(iserror(vlookup($F304,'Reference info'!$J$10:$J$36,1,0))),"Producer &amp; Engineer")</f>
        <v/>
      </c>
    </row>
    <row r="305">
      <c r="A305" s="28"/>
      <c r="B305" s="97"/>
      <c r="C305" s="121" t="str">
        <f t="array" ref="C305">ifs(and(isblank($A305),isblank($B305)),"", not(iserror(vlookup($A305&amp;$B305,'3) Release_Label'!$D:$D&amp;'3) Release_Label'!$E:$E,1,0))),vlookup($A305&amp;$B305,{'3) Release_Label'!$D:$D&amp;'3) Release_Label'!$E:$E,'3) Release_Label'!$F:$F},2,0),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D305" s="121" t="str">
        <f t="array" ref="D305">ifs(and(isblank($A305),isblank($B305)),"", not(iserror(vlookup($A305&amp;$B305,'3) Release_Label'!$D:$D&amp;'3) Release_Label'!$E:$E,1,0))),vlookup($A305&amp;$B305,{'3) Release_Label'!$D:$D&amp;'3) Release_Label'!$E:$E,'3) Release_Label'!$H:$H},2,0),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E305" s="92"/>
      <c r="F305" s="92"/>
      <c r="G305" s="125" t="str">
        <f t="array" ref="G305">ifs(or($F305="",$F305="Main Primary Artist"),$F305,not(iserror(vlookup($F305,'Reference info'!$J$5:$J$8,1,0))),"Key Artist",not(iserror(vlookup($F305,'Reference info'!$J$38:$J$405,1,0))),"Performer",not(iserror(vlookup($F305,'Reference info'!$J$10:$J$36,1,0))),"Producer &amp; Engineer")</f>
        <v/>
      </c>
    </row>
    <row r="306">
      <c r="A306" s="28"/>
      <c r="B306" s="97"/>
      <c r="C306" s="121" t="str">
        <f t="array" ref="C306">ifs(and(isblank($A306),isblank($B306)),"", not(iserror(vlookup($A306&amp;$B306,'3) Release_Label'!$D:$D&amp;'3) Release_Label'!$E:$E,1,0))),vlookup($A306&amp;$B306,{'3) Release_Label'!$D:$D&amp;'3) Release_Label'!$E:$E,'3) Release_Label'!$F:$F},2,0),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D306" s="121" t="str">
        <f t="array" ref="D306">ifs(and(isblank($A306),isblank($B306)),"", not(iserror(vlookup($A306&amp;$B306,'3) Release_Label'!$D:$D&amp;'3) Release_Label'!$E:$E,1,0))),vlookup($A306&amp;$B306,{'3) Release_Label'!$D:$D&amp;'3) Release_Label'!$E:$E,'3) Release_Label'!$H:$H},2,0),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E306" s="92"/>
      <c r="F306" s="92"/>
      <c r="G306" s="125" t="str">
        <f t="array" ref="G306">ifs(or($F306="",$F306="Main Primary Artist"),$F306,not(iserror(vlookup($F306,'Reference info'!$J$5:$J$8,1,0))),"Key Artist",not(iserror(vlookup($F306,'Reference info'!$J$38:$J$405,1,0))),"Performer",not(iserror(vlookup($F306,'Reference info'!$J$10:$J$36,1,0))),"Producer &amp; Engineer")</f>
        <v/>
      </c>
    </row>
    <row r="307">
      <c r="A307" s="28"/>
      <c r="B307" s="97"/>
      <c r="C307" s="121" t="str">
        <f t="array" ref="C307">ifs(and(isblank($A307),isblank($B307)),"", not(iserror(vlookup($A307&amp;$B307,'3) Release_Label'!$D:$D&amp;'3) Release_Label'!$E:$E,1,0))),vlookup($A307&amp;$B307,{'3) Release_Label'!$D:$D&amp;'3) Release_Label'!$E:$E,'3) Release_Label'!$F:$F},2,0),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D307" s="121" t="str">
        <f t="array" ref="D307">ifs(and(isblank($A307),isblank($B307)),"", not(iserror(vlookup($A307&amp;$B307,'3) Release_Label'!$D:$D&amp;'3) Release_Label'!$E:$E,1,0))),vlookup($A307&amp;$B307,{'3) Release_Label'!$D:$D&amp;'3) Release_Label'!$E:$E,'3) Release_Label'!$H:$H},2,0),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E307" s="92"/>
      <c r="F307" s="92"/>
      <c r="G307" s="125" t="str">
        <f t="array" ref="G307">ifs(or($F307="",$F307="Main Primary Artist"),$F307,not(iserror(vlookup($F307,'Reference info'!$J$5:$J$8,1,0))),"Key Artist",not(iserror(vlookup($F307,'Reference info'!$J$38:$J$405,1,0))),"Performer",not(iserror(vlookup($F307,'Reference info'!$J$10:$J$36,1,0))),"Producer &amp; Engineer")</f>
        <v/>
      </c>
    </row>
    <row r="308">
      <c r="A308" s="28"/>
      <c r="B308" s="97"/>
      <c r="C308" s="121" t="str">
        <f t="array" ref="C308">ifs(and(isblank($A308),isblank($B308)),"", not(iserror(vlookup($A308&amp;$B308,'3) Release_Label'!$D:$D&amp;'3) Release_Label'!$E:$E,1,0))),vlookup($A308&amp;$B308,{'3) Release_Label'!$D:$D&amp;'3) Release_Label'!$E:$E,'3) Release_Label'!$F:$F},2,0),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D308" s="121" t="str">
        <f t="array" ref="D308">ifs(and(isblank($A308),isblank($B308)),"", not(iserror(vlookup($A308&amp;$B308,'3) Release_Label'!$D:$D&amp;'3) Release_Label'!$E:$E,1,0))),vlookup($A308&amp;$B308,{'3) Release_Label'!$D:$D&amp;'3) Release_Label'!$E:$E,'3) Release_Label'!$H:$H},2,0),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E308" s="92"/>
      <c r="F308" s="92"/>
      <c r="G308" s="125" t="str">
        <f t="array" ref="G308">ifs(or($F308="",$F308="Main Primary Artist"),$F308,not(iserror(vlookup($F308,'Reference info'!$J$5:$J$8,1,0))),"Key Artist",not(iserror(vlookup($F308,'Reference info'!$J$38:$J$405,1,0))),"Performer",not(iserror(vlookup($F308,'Reference info'!$J$10:$J$36,1,0))),"Producer &amp; Engineer")</f>
        <v/>
      </c>
    </row>
    <row r="309">
      <c r="A309" s="28"/>
      <c r="B309" s="97"/>
      <c r="C309" s="121" t="str">
        <f t="array" ref="C309">ifs(and(isblank($A309),isblank($B309)),"", not(iserror(vlookup($A309&amp;$B309,'3) Release_Label'!$D:$D&amp;'3) Release_Label'!$E:$E,1,0))),vlookup($A309&amp;$B309,{'3) Release_Label'!$D:$D&amp;'3) Release_Label'!$E:$E,'3) Release_Label'!$F:$F},2,0),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D309" s="121" t="str">
        <f t="array" ref="D309">ifs(and(isblank($A309),isblank($B309)),"", not(iserror(vlookup($A309&amp;$B309,'3) Release_Label'!$D:$D&amp;'3) Release_Label'!$E:$E,1,0))),vlookup($A309&amp;$B309,{'3) Release_Label'!$D:$D&amp;'3) Release_Label'!$E:$E,'3) Release_Label'!$H:$H},2,0),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E309" s="92"/>
      <c r="F309" s="92"/>
      <c r="G309" s="125" t="str">
        <f t="array" ref="G309">ifs(or($F309="",$F309="Main Primary Artist"),$F309,not(iserror(vlookup($F309,'Reference info'!$J$5:$J$8,1,0))),"Key Artist",not(iserror(vlookup($F309,'Reference info'!$J$38:$J$405,1,0))),"Performer",not(iserror(vlookup($F309,'Reference info'!$J$10:$J$36,1,0))),"Producer &amp; Engineer")</f>
        <v/>
      </c>
    </row>
    <row r="310">
      <c r="A310" s="28"/>
      <c r="B310" s="97"/>
      <c r="C310" s="121" t="str">
        <f t="array" ref="C310">ifs(and(isblank($A310),isblank($B310)),"", not(iserror(vlookup($A310&amp;$B310,'3) Release_Label'!$D:$D&amp;'3) Release_Label'!$E:$E,1,0))),vlookup($A310&amp;$B310,{'3) Release_Label'!$D:$D&amp;'3) Release_Label'!$E:$E,'3) Release_Label'!$F:$F},2,0),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D310" s="121" t="str">
        <f t="array" ref="D310">ifs(and(isblank($A310),isblank($B310)),"", not(iserror(vlookup($A310&amp;$B310,'3) Release_Label'!$D:$D&amp;'3) Release_Label'!$E:$E,1,0))),vlookup($A310&amp;$B310,{'3) Release_Label'!$D:$D&amp;'3) Release_Label'!$E:$E,'3) Release_Label'!$H:$H},2,0),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E310" s="92"/>
      <c r="F310" s="92"/>
      <c r="G310" s="125" t="str">
        <f t="array" ref="G310">ifs(or($F310="",$F310="Main Primary Artist"),$F310,not(iserror(vlookup($F310,'Reference info'!$J$5:$J$8,1,0))),"Key Artist",not(iserror(vlookup($F310,'Reference info'!$J$38:$J$405,1,0))),"Performer",not(iserror(vlookup($F310,'Reference info'!$J$10:$J$36,1,0))),"Producer &amp; Engineer")</f>
        <v/>
      </c>
    </row>
    <row r="311">
      <c r="A311" s="28"/>
      <c r="B311" s="97"/>
      <c r="C311" s="121" t="str">
        <f t="array" ref="C311">ifs(and(isblank($A311),isblank($B311)),"", not(iserror(vlookup($A311&amp;$B311,'3) Release_Label'!$D:$D&amp;'3) Release_Label'!$E:$E,1,0))),vlookup($A311&amp;$B311,{'3) Release_Label'!$D:$D&amp;'3) Release_Label'!$E:$E,'3) Release_Label'!$F:$F},2,0),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D311" s="121" t="str">
        <f t="array" ref="D311">ifs(and(isblank($A311),isblank($B311)),"", not(iserror(vlookup($A311&amp;$B311,'3) Release_Label'!$D:$D&amp;'3) Release_Label'!$E:$E,1,0))),vlookup($A311&amp;$B311,{'3) Release_Label'!$D:$D&amp;'3) Release_Label'!$E:$E,'3) Release_Label'!$H:$H},2,0),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E311" s="92"/>
      <c r="F311" s="92"/>
      <c r="G311" s="125" t="str">
        <f t="array" ref="G311">ifs(or($F311="",$F311="Main Primary Artist"),$F311,not(iserror(vlookup($F311,'Reference info'!$J$5:$J$8,1,0))),"Key Artist",not(iserror(vlookup($F311,'Reference info'!$J$38:$J$405,1,0))),"Performer",not(iserror(vlookup($F311,'Reference info'!$J$10:$J$36,1,0))),"Producer &amp; Engineer")</f>
        <v/>
      </c>
    </row>
    <row r="312">
      <c r="A312" s="28"/>
      <c r="B312" s="97"/>
      <c r="C312" s="121" t="str">
        <f t="array" ref="C312">ifs(and(isblank($A312),isblank($B312)),"", not(iserror(vlookup($A312&amp;$B312,'3) Release_Label'!$D:$D&amp;'3) Release_Label'!$E:$E,1,0))),vlookup($A312&amp;$B312,{'3) Release_Label'!$D:$D&amp;'3) Release_Label'!$E:$E,'3) Release_Label'!$F:$F},2,0),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D312" s="121" t="str">
        <f t="array" ref="D312">ifs(and(isblank($A312),isblank($B312)),"", not(iserror(vlookup($A312&amp;$B312,'3) Release_Label'!$D:$D&amp;'3) Release_Label'!$E:$E,1,0))),vlookup($A312&amp;$B312,{'3) Release_Label'!$D:$D&amp;'3) Release_Label'!$E:$E,'3) Release_Label'!$H:$H},2,0),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E312" s="92"/>
      <c r="F312" s="92"/>
      <c r="G312" s="125" t="str">
        <f t="array" ref="G312">ifs(or($F312="",$F312="Main Primary Artist"),$F312,not(iserror(vlookup($F312,'Reference info'!$J$5:$J$8,1,0))),"Key Artist",not(iserror(vlookup($F312,'Reference info'!$J$38:$J$405,1,0))),"Performer",not(iserror(vlookup($F312,'Reference info'!$J$10:$J$36,1,0))),"Producer &amp; Engineer")</f>
        <v/>
      </c>
    </row>
    <row r="313">
      <c r="A313" s="28"/>
      <c r="B313" s="97"/>
      <c r="C313" s="121" t="str">
        <f t="array" ref="C313">ifs(and(isblank($A313),isblank($B313)),"", not(iserror(vlookup($A313&amp;$B313,'3) Release_Label'!$D:$D&amp;'3) Release_Label'!$E:$E,1,0))),vlookup($A313&amp;$B313,{'3) Release_Label'!$D:$D&amp;'3) Release_Label'!$E:$E,'3) Release_Label'!$F:$F},2,0),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D313" s="121" t="str">
        <f t="array" ref="D313">ifs(and(isblank($A313),isblank($B313)),"", not(iserror(vlookup($A313&amp;$B313,'3) Release_Label'!$D:$D&amp;'3) Release_Label'!$E:$E,1,0))),vlookup($A313&amp;$B313,{'3) Release_Label'!$D:$D&amp;'3) Release_Label'!$E:$E,'3) Release_Label'!$H:$H},2,0),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E313" s="92"/>
      <c r="F313" s="92"/>
      <c r="G313" s="125" t="str">
        <f t="array" ref="G313">ifs(or($F313="",$F313="Main Primary Artist"),$F313,not(iserror(vlookup($F313,'Reference info'!$J$5:$J$8,1,0))),"Key Artist",not(iserror(vlookup($F313,'Reference info'!$J$38:$J$405,1,0))),"Performer",not(iserror(vlookup($F313,'Reference info'!$J$10:$J$36,1,0))),"Producer &amp; Engineer")</f>
        <v/>
      </c>
    </row>
    <row r="314">
      <c r="A314" s="28"/>
      <c r="B314" s="97"/>
      <c r="C314" s="121" t="str">
        <f t="array" ref="C314">ifs(and(isblank($A314),isblank($B314)),"", not(iserror(vlookup($A314&amp;$B314,'3) Release_Label'!$D:$D&amp;'3) Release_Label'!$E:$E,1,0))),vlookup($A314&amp;$B314,{'3) Release_Label'!$D:$D&amp;'3) Release_Label'!$E:$E,'3) Release_Label'!$F:$F},2,0),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D314" s="121" t="str">
        <f t="array" ref="D314">ifs(and(isblank($A314),isblank($B314)),"", not(iserror(vlookup($A314&amp;$B314,'3) Release_Label'!$D:$D&amp;'3) Release_Label'!$E:$E,1,0))),vlookup($A314&amp;$B314,{'3) Release_Label'!$D:$D&amp;'3) Release_Label'!$E:$E,'3) Release_Label'!$H:$H},2,0),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E314" s="92"/>
      <c r="F314" s="92"/>
      <c r="G314" s="125" t="str">
        <f t="array" ref="G314">ifs(or($F314="",$F314="Main Primary Artist"),$F314,not(iserror(vlookup($F314,'Reference info'!$J$5:$J$8,1,0))),"Key Artist",not(iserror(vlookup($F314,'Reference info'!$J$38:$J$405,1,0))),"Performer",not(iserror(vlookup($F314,'Reference info'!$J$10:$J$36,1,0))),"Producer &amp; Engineer")</f>
        <v/>
      </c>
    </row>
    <row r="315">
      <c r="A315" s="28"/>
      <c r="B315" s="97"/>
      <c r="C315" s="121" t="str">
        <f t="array" ref="C315">ifs(and(isblank($A315),isblank($B315)),"", not(iserror(vlookup($A315&amp;$B315,'3) Release_Label'!$D:$D&amp;'3) Release_Label'!$E:$E,1,0))),vlookup($A315&amp;$B315,{'3) Release_Label'!$D:$D&amp;'3) Release_Label'!$E:$E,'3) Release_Label'!$F:$F},2,0),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D315" s="121" t="str">
        <f t="array" ref="D315">ifs(and(isblank($A315),isblank($B315)),"", not(iserror(vlookup($A315&amp;$B315,'3) Release_Label'!$D:$D&amp;'3) Release_Label'!$E:$E,1,0))),vlookup($A315&amp;$B315,{'3) Release_Label'!$D:$D&amp;'3) Release_Label'!$E:$E,'3) Release_Label'!$H:$H},2,0),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E315" s="92"/>
      <c r="F315" s="92"/>
      <c r="G315" s="125" t="str">
        <f t="array" ref="G315">ifs(or($F315="",$F315="Main Primary Artist"),$F315,not(iserror(vlookup($F315,'Reference info'!$J$5:$J$8,1,0))),"Key Artist",not(iserror(vlookup($F315,'Reference info'!$J$38:$J$405,1,0))),"Performer",not(iserror(vlookup($F315,'Reference info'!$J$10:$J$36,1,0))),"Producer &amp; Engineer")</f>
        <v/>
      </c>
    </row>
    <row r="316">
      <c r="A316" s="28"/>
      <c r="B316" s="97"/>
      <c r="C316" s="121" t="str">
        <f t="array" ref="C316">ifs(and(isblank($A316),isblank($B316)),"", not(iserror(vlookup($A316&amp;$B316,'3) Release_Label'!$D:$D&amp;'3) Release_Label'!$E:$E,1,0))),vlookup($A316&amp;$B316,{'3) Release_Label'!$D:$D&amp;'3) Release_Label'!$E:$E,'3) Release_Label'!$F:$F},2,0),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D316" s="121" t="str">
        <f t="array" ref="D316">ifs(and(isblank($A316),isblank($B316)),"", not(iserror(vlookup($A316&amp;$B316,'3) Release_Label'!$D:$D&amp;'3) Release_Label'!$E:$E,1,0))),vlookup($A316&amp;$B316,{'3) Release_Label'!$D:$D&amp;'3) Release_Label'!$E:$E,'3) Release_Label'!$H:$H},2,0),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E316" s="92"/>
      <c r="F316" s="92"/>
      <c r="G316" s="125" t="str">
        <f t="array" ref="G316">ifs(or($F316="",$F316="Main Primary Artist"),$F316,not(iserror(vlookup($F316,'Reference info'!$J$5:$J$8,1,0))),"Key Artist",not(iserror(vlookup($F316,'Reference info'!$J$38:$J$405,1,0))),"Performer",not(iserror(vlookup($F316,'Reference info'!$J$10:$J$36,1,0))),"Producer &amp; Engineer")</f>
        <v/>
      </c>
    </row>
    <row r="317">
      <c r="A317" s="28"/>
      <c r="B317" s="97"/>
      <c r="C317" s="121" t="str">
        <f t="array" ref="C317">ifs(and(isblank($A317),isblank($B317)),"", not(iserror(vlookup($A317&amp;$B317,'3) Release_Label'!$D:$D&amp;'3) Release_Label'!$E:$E,1,0))),vlookup($A317&amp;$B317,{'3) Release_Label'!$D:$D&amp;'3) Release_Label'!$E:$E,'3) Release_Label'!$F:$F},2,0),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D317" s="121" t="str">
        <f t="array" ref="D317">ifs(and(isblank($A317),isblank($B317)),"", not(iserror(vlookup($A317&amp;$B317,'3) Release_Label'!$D:$D&amp;'3) Release_Label'!$E:$E,1,0))),vlookup($A317&amp;$B317,{'3) Release_Label'!$D:$D&amp;'3) Release_Label'!$E:$E,'3) Release_Label'!$H:$H},2,0),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E317" s="92"/>
      <c r="F317" s="92"/>
      <c r="G317" s="125" t="str">
        <f t="array" ref="G317">ifs(or($F317="",$F317="Main Primary Artist"),$F317,not(iserror(vlookup($F317,'Reference info'!$J$5:$J$8,1,0))),"Key Artist",not(iserror(vlookup($F317,'Reference info'!$J$38:$J$405,1,0))),"Performer",not(iserror(vlookup($F317,'Reference info'!$J$10:$J$36,1,0))),"Producer &amp; Engineer")</f>
        <v/>
      </c>
    </row>
    <row r="318">
      <c r="A318" s="28"/>
      <c r="B318" s="97"/>
      <c r="C318" s="121" t="str">
        <f t="array" ref="C318">ifs(and(isblank($A318),isblank($B318)),"", not(iserror(vlookup($A318&amp;$B318,'3) Release_Label'!$D:$D&amp;'3) Release_Label'!$E:$E,1,0))),vlookup($A318&amp;$B318,{'3) Release_Label'!$D:$D&amp;'3) Release_Label'!$E:$E,'3) Release_Label'!$F:$F},2,0),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D318" s="121" t="str">
        <f t="array" ref="D318">ifs(and(isblank($A318),isblank($B318)),"", not(iserror(vlookup($A318&amp;$B318,'3) Release_Label'!$D:$D&amp;'3) Release_Label'!$E:$E,1,0))),vlookup($A318&amp;$B318,{'3) Release_Label'!$D:$D&amp;'3) Release_Label'!$E:$E,'3) Release_Label'!$H:$H},2,0),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E318" s="92"/>
      <c r="F318" s="92"/>
      <c r="G318" s="125" t="str">
        <f t="array" ref="G318">ifs(or($F318="",$F318="Main Primary Artist"),$F318,not(iserror(vlookup($F318,'Reference info'!$J$5:$J$8,1,0))),"Key Artist",not(iserror(vlookup($F318,'Reference info'!$J$38:$J$405,1,0))),"Performer",not(iserror(vlookup($F318,'Reference info'!$J$10:$J$36,1,0))),"Producer &amp; Engineer")</f>
        <v/>
      </c>
    </row>
    <row r="319">
      <c r="A319" s="28"/>
      <c r="B319" s="97"/>
      <c r="C319" s="121" t="str">
        <f t="array" ref="C319">ifs(and(isblank($A319),isblank($B319)),"", not(iserror(vlookup($A319&amp;$B319,'3) Release_Label'!$D:$D&amp;'3) Release_Label'!$E:$E,1,0))),vlookup($A319&amp;$B319,{'3) Release_Label'!$D:$D&amp;'3) Release_Label'!$E:$E,'3) Release_Label'!$F:$F},2,0),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D319" s="121" t="str">
        <f t="array" ref="D319">ifs(and(isblank($A319),isblank($B319)),"", not(iserror(vlookup($A319&amp;$B319,'3) Release_Label'!$D:$D&amp;'3) Release_Label'!$E:$E,1,0))),vlookup($A319&amp;$B319,{'3) Release_Label'!$D:$D&amp;'3) Release_Label'!$E:$E,'3) Release_Label'!$H:$H},2,0),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E319" s="92"/>
      <c r="F319" s="92"/>
      <c r="G319" s="125" t="str">
        <f t="array" ref="G319">ifs(or($F319="",$F319="Main Primary Artist"),$F319,not(iserror(vlookup($F319,'Reference info'!$J$5:$J$8,1,0))),"Key Artist",not(iserror(vlookup($F319,'Reference info'!$J$38:$J$405,1,0))),"Performer",not(iserror(vlookup($F319,'Reference info'!$J$10:$J$36,1,0))),"Producer &amp; Engineer")</f>
        <v/>
      </c>
    </row>
    <row r="320">
      <c r="A320" s="28"/>
      <c r="B320" s="97"/>
      <c r="C320" s="121" t="str">
        <f t="array" ref="C320">ifs(and(isblank($A320),isblank($B320)),"", not(iserror(vlookup($A320&amp;$B320,'3) Release_Label'!$D:$D&amp;'3) Release_Label'!$E:$E,1,0))),vlookup($A320&amp;$B320,{'3) Release_Label'!$D:$D&amp;'3) Release_Label'!$E:$E,'3) Release_Label'!$F:$F},2,0),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D320" s="121" t="str">
        <f t="array" ref="D320">ifs(and(isblank($A320),isblank($B320)),"", not(iserror(vlookup($A320&amp;$B320,'3) Release_Label'!$D:$D&amp;'3) Release_Label'!$E:$E,1,0))),vlookup($A320&amp;$B320,{'3) Release_Label'!$D:$D&amp;'3) Release_Label'!$E:$E,'3) Release_Label'!$H:$H},2,0),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E320" s="92"/>
      <c r="F320" s="92"/>
      <c r="G320" s="125" t="str">
        <f t="array" ref="G320">ifs(or($F320="",$F320="Main Primary Artist"),$F320,not(iserror(vlookup($F320,'Reference info'!$J$5:$J$8,1,0))),"Key Artist",not(iserror(vlookup($F320,'Reference info'!$J$38:$J$405,1,0))),"Performer",not(iserror(vlookup($F320,'Reference info'!$J$10:$J$36,1,0))),"Producer &amp; Engineer")</f>
        <v/>
      </c>
    </row>
    <row r="321">
      <c r="A321" s="28"/>
      <c r="B321" s="97"/>
      <c r="C321" s="121" t="str">
        <f t="array" ref="C321">ifs(and(isblank($A321),isblank($B321)),"", not(iserror(vlookup($A321&amp;$B321,'3) Release_Label'!$D:$D&amp;'3) Release_Label'!$E:$E,1,0))),vlookup($A321&amp;$B321,{'3) Release_Label'!$D:$D&amp;'3) Release_Label'!$E:$E,'3) Release_Label'!$F:$F},2,0),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D321" s="121" t="str">
        <f t="array" ref="D321">ifs(and(isblank($A321),isblank($B321)),"", not(iserror(vlookup($A321&amp;$B321,'3) Release_Label'!$D:$D&amp;'3) Release_Label'!$E:$E,1,0))),vlookup($A321&amp;$B321,{'3) Release_Label'!$D:$D&amp;'3) Release_Label'!$E:$E,'3) Release_Label'!$H:$H},2,0),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E321" s="92"/>
      <c r="F321" s="92"/>
      <c r="G321" s="125" t="str">
        <f t="array" ref="G321">ifs(or($F321="",$F321="Main Primary Artist"),$F321,not(iserror(vlookup($F321,'Reference info'!$J$5:$J$8,1,0))),"Key Artist",not(iserror(vlookup($F321,'Reference info'!$J$38:$J$405,1,0))),"Performer",not(iserror(vlookup($F321,'Reference info'!$J$10:$J$36,1,0))),"Producer &amp; Engineer")</f>
        <v/>
      </c>
    </row>
    <row r="322">
      <c r="A322" s="28"/>
      <c r="B322" s="97"/>
      <c r="C322" s="121" t="str">
        <f t="array" ref="C322">ifs(and(isblank($A322),isblank($B322)),"", not(iserror(vlookup($A322&amp;$B322,'3) Release_Label'!$D:$D&amp;'3) Release_Label'!$E:$E,1,0))),vlookup($A322&amp;$B322,{'3) Release_Label'!$D:$D&amp;'3) Release_Label'!$E:$E,'3) Release_Label'!$F:$F},2,0),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D322" s="121" t="str">
        <f t="array" ref="D322">ifs(and(isblank($A322),isblank($B322)),"", not(iserror(vlookup($A322&amp;$B322,'3) Release_Label'!$D:$D&amp;'3) Release_Label'!$E:$E,1,0))),vlookup($A322&amp;$B322,{'3) Release_Label'!$D:$D&amp;'3) Release_Label'!$E:$E,'3) Release_Label'!$H:$H},2,0),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E322" s="92"/>
      <c r="F322" s="92"/>
      <c r="G322" s="125" t="str">
        <f t="array" ref="G322">ifs(or($F322="",$F322="Main Primary Artist"),$F322,not(iserror(vlookup($F322,'Reference info'!$J$5:$J$8,1,0))),"Key Artist",not(iserror(vlookup($F322,'Reference info'!$J$38:$J$405,1,0))),"Performer",not(iserror(vlookup($F322,'Reference info'!$J$10:$J$36,1,0))),"Producer &amp; Engineer")</f>
        <v/>
      </c>
    </row>
    <row r="323">
      <c r="A323" s="28"/>
      <c r="B323" s="97"/>
      <c r="C323" s="121" t="str">
        <f t="array" ref="C323">ifs(and(isblank($A323),isblank($B323)),"", not(iserror(vlookup($A323&amp;$B323,'3) Release_Label'!$D:$D&amp;'3) Release_Label'!$E:$E,1,0))),vlookup($A323&amp;$B323,{'3) Release_Label'!$D:$D&amp;'3) Release_Label'!$E:$E,'3) Release_Label'!$F:$F},2,0),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D323" s="121" t="str">
        <f t="array" ref="D323">ifs(and(isblank($A323),isblank($B323)),"", not(iserror(vlookup($A323&amp;$B323,'3) Release_Label'!$D:$D&amp;'3) Release_Label'!$E:$E,1,0))),vlookup($A323&amp;$B323,{'3) Release_Label'!$D:$D&amp;'3) Release_Label'!$E:$E,'3) Release_Label'!$H:$H},2,0),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E323" s="92"/>
      <c r="F323" s="92"/>
      <c r="G323" s="125" t="str">
        <f t="array" ref="G323">ifs(or($F323="",$F323="Main Primary Artist"),$F323,not(iserror(vlookup($F323,'Reference info'!$J$5:$J$8,1,0))),"Key Artist",not(iserror(vlookup($F323,'Reference info'!$J$38:$J$405,1,0))),"Performer",not(iserror(vlookup($F323,'Reference info'!$J$10:$J$36,1,0))),"Producer &amp; Engineer")</f>
        <v/>
      </c>
    </row>
    <row r="324">
      <c r="A324" s="28"/>
      <c r="B324" s="97"/>
      <c r="C324" s="121" t="str">
        <f t="array" ref="C324">ifs(and(isblank($A324),isblank($B324)),"", not(iserror(vlookup($A324&amp;$B324,'3) Release_Label'!$D:$D&amp;'3) Release_Label'!$E:$E,1,0))),vlookup($A324&amp;$B324,{'3) Release_Label'!$D:$D&amp;'3) Release_Label'!$E:$E,'3) Release_Label'!$F:$F},2,0),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D324" s="121" t="str">
        <f t="array" ref="D324">ifs(and(isblank($A324),isblank($B324)),"", not(iserror(vlookup($A324&amp;$B324,'3) Release_Label'!$D:$D&amp;'3) Release_Label'!$E:$E,1,0))),vlookup($A324&amp;$B324,{'3) Release_Label'!$D:$D&amp;'3) Release_Label'!$E:$E,'3) Release_Label'!$H:$H},2,0),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E324" s="92"/>
      <c r="F324" s="92"/>
      <c r="G324" s="125" t="str">
        <f t="array" ref="G324">ifs(or($F324="",$F324="Main Primary Artist"),$F324,not(iserror(vlookup($F324,'Reference info'!$J$5:$J$8,1,0))),"Key Artist",not(iserror(vlookup($F324,'Reference info'!$J$38:$J$405,1,0))),"Performer",not(iserror(vlookup($F324,'Reference info'!$J$10:$J$36,1,0))),"Producer &amp; Engineer")</f>
        <v/>
      </c>
    </row>
    <row r="325">
      <c r="A325" s="28"/>
      <c r="B325" s="97"/>
      <c r="C325" s="121" t="str">
        <f t="array" ref="C325">ifs(and(isblank($A325),isblank($B325)),"", not(iserror(vlookup($A325&amp;$B325,'3) Release_Label'!$D:$D&amp;'3) Release_Label'!$E:$E,1,0))),vlookup($A325&amp;$B325,{'3) Release_Label'!$D:$D&amp;'3) Release_Label'!$E:$E,'3) Release_Label'!$F:$F},2,0),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D325" s="121" t="str">
        <f t="array" ref="D325">ifs(and(isblank($A325),isblank($B325)),"", not(iserror(vlookup($A325&amp;$B325,'3) Release_Label'!$D:$D&amp;'3) Release_Label'!$E:$E,1,0))),vlookup($A325&amp;$B325,{'3) Release_Label'!$D:$D&amp;'3) Release_Label'!$E:$E,'3) Release_Label'!$H:$H},2,0),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E325" s="92"/>
      <c r="F325" s="92"/>
      <c r="G325" s="125" t="str">
        <f t="array" ref="G325">ifs(or($F325="",$F325="Main Primary Artist"),$F325,not(iserror(vlookup($F325,'Reference info'!$J$5:$J$8,1,0))),"Key Artist",not(iserror(vlookup($F325,'Reference info'!$J$38:$J$405,1,0))),"Performer",not(iserror(vlookup($F325,'Reference info'!$J$10:$J$36,1,0))),"Producer &amp; Engineer")</f>
        <v/>
      </c>
    </row>
    <row r="326">
      <c r="A326" s="28"/>
      <c r="B326" s="97"/>
      <c r="C326" s="121" t="str">
        <f t="array" ref="C326">ifs(and(isblank($A326),isblank($B326)),"", not(iserror(vlookup($A326&amp;$B326,'3) Release_Label'!$D:$D&amp;'3) Release_Label'!$E:$E,1,0))),vlookup($A326&amp;$B326,{'3) Release_Label'!$D:$D&amp;'3) Release_Label'!$E:$E,'3) Release_Label'!$F:$F},2,0),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D326" s="121" t="str">
        <f t="array" ref="D326">ifs(and(isblank($A326),isblank($B326)),"", not(iserror(vlookup($A326&amp;$B326,'3) Release_Label'!$D:$D&amp;'3) Release_Label'!$E:$E,1,0))),vlookup($A326&amp;$B326,{'3) Release_Label'!$D:$D&amp;'3) Release_Label'!$E:$E,'3) Release_Label'!$H:$H},2,0),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E326" s="92"/>
      <c r="F326" s="92"/>
      <c r="G326" s="125" t="str">
        <f t="array" ref="G326">ifs(or($F326="",$F326="Main Primary Artist"),$F326,not(iserror(vlookup($F326,'Reference info'!$J$5:$J$8,1,0))),"Key Artist",not(iserror(vlookup($F326,'Reference info'!$J$38:$J$405,1,0))),"Performer",not(iserror(vlookup($F326,'Reference info'!$J$10:$J$36,1,0))),"Producer &amp; Engineer")</f>
        <v/>
      </c>
    </row>
    <row r="327">
      <c r="A327" s="28"/>
      <c r="B327" s="97"/>
      <c r="C327" s="121" t="str">
        <f t="array" ref="C327">ifs(and(isblank($A327),isblank($B327)),"", not(iserror(vlookup($A327&amp;$B327,'3) Release_Label'!$D:$D&amp;'3) Release_Label'!$E:$E,1,0))),vlookup($A327&amp;$B327,{'3) Release_Label'!$D:$D&amp;'3) Release_Label'!$E:$E,'3) Release_Label'!$F:$F},2,0),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D327" s="121" t="str">
        <f t="array" ref="D327">ifs(and(isblank($A327),isblank($B327)),"", not(iserror(vlookup($A327&amp;$B327,'3) Release_Label'!$D:$D&amp;'3) Release_Label'!$E:$E,1,0))),vlookup($A327&amp;$B327,{'3) Release_Label'!$D:$D&amp;'3) Release_Label'!$E:$E,'3) Release_Label'!$H:$H},2,0),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E327" s="92"/>
      <c r="F327" s="92"/>
      <c r="G327" s="125" t="str">
        <f t="array" ref="G327">ifs(or($F327="",$F327="Main Primary Artist"),$F327,not(iserror(vlookup($F327,'Reference info'!$J$5:$J$8,1,0))),"Key Artist",not(iserror(vlookup($F327,'Reference info'!$J$38:$J$405,1,0))),"Performer",not(iserror(vlookup($F327,'Reference info'!$J$10:$J$36,1,0))),"Producer &amp; Engineer")</f>
        <v/>
      </c>
    </row>
    <row r="328">
      <c r="A328" s="28"/>
      <c r="B328" s="97"/>
      <c r="C328" s="121" t="str">
        <f t="array" ref="C328">ifs(and(isblank($A328),isblank($B328)),"", not(iserror(vlookup($A328&amp;$B328,'3) Release_Label'!$D:$D&amp;'3) Release_Label'!$E:$E,1,0))),vlookup($A328&amp;$B328,{'3) Release_Label'!$D:$D&amp;'3) Release_Label'!$E:$E,'3) Release_Label'!$F:$F},2,0),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D328" s="121" t="str">
        <f t="array" ref="D328">ifs(and(isblank($A328),isblank($B328)),"", not(iserror(vlookup($A328&amp;$B328,'3) Release_Label'!$D:$D&amp;'3) Release_Label'!$E:$E,1,0))),vlookup($A328&amp;$B328,{'3) Release_Label'!$D:$D&amp;'3) Release_Label'!$E:$E,'3) Release_Label'!$H:$H},2,0),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E328" s="92"/>
      <c r="F328" s="92"/>
      <c r="G328" s="125" t="str">
        <f t="array" ref="G328">ifs(or($F328="",$F328="Main Primary Artist"),$F328,not(iserror(vlookup($F328,'Reference info'!$J$5:$J$8,1,0))),"Key Artist",not(iserror(vlookup($F328,'Reference info'!$J$38:$J$405,1,0))),"Performer",not(iserror(vlookup($F328,'Reference info'!$J$10:$J$36,1,0))),"Producer &amp; Engineer")</f>
        <v/>
      </c>
    </row>
    <row r="329">
      <c r="A329" s="28"/>
      <c r="B329" s="97"/>
      <c r="C329" s="121" t="str">
        <f t="array" ref="C329">ifs(and(isblank($A329),isblank($B329)),"", not(iserror(vlookup($A329&amp;$B329,'3) Release_Label'!$D:$D&amp;'3) Release_Label'!$E:$E,1,0))),vlookup($A329&amp;$B329,{'3) Release_Label'!$D:$D&amp;'3) Release_Label'!$E:$E,'3) Release_Label'!$F:$F},2,0),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D329" s="121" t="str">
        <f t="array" ref="D329">ifs(and(isblank($A329),isblank($B329)),"", not(iserror(vlookup($A329&amp;$B329,'3) Release_Label'!$D:$D&amp;'3) Release_Label'!$E:$E,1,0))),vlookup($A329&amp;$B329,{'3) Release_Label'!$D:$D&amp;'3) Release_Label'!$E:$E,'3) Release_Label'!$H:$H},2,0),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E329" s="92"/>
      <c r="F329" s="92"/>
      <c r="G329" s="125" t="str">
        <f t="array" ref="G329">ifs(or($F329="",$F329="Main Primary Artist"),$F329,not(iserror(vlookup($F329,'Reference info'!$J$5:$J$8,1,0))),"Key Artist",not(iserror(vlookup($F329,'Reference info'!$J$38:$J$405,1,0))),"Performer",not(iserror(vlookup($F329,'Reference info'!$J$10:$J$36,1,0))),"Producer &amp; Engineer")</f>
        <v/>
      </c>
    </row>
    <row r="330">
      <c r="A330" s="28"/>
      <c r="B330" s="97"/>
      <c r="C330" s="121" t="str">
        <f t="array" ref="C330">ifs(and(isblank($A330),isblank($B330)),"", not(iserror(vlookup($A330&amp;$B330,'3) Release_Label'!$D:$D&amp;'3) Release_Label'!$E:$E,1,0))),vlookup($A330&amp;$B330,{'3) Release_Label'!$D:$D&amp;'3) Release_Label'!$E:$E,'3) Release_Label'!$F:$F},2,0),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D330" s="121" t="str">
        <f t="array" ref="D330">ifs(and(isblank($A330),isblank($B330)),"", not(iserror(vlookup($A330&amp;$B330,'3) Release_Label'!$D:$D&amp;'3) Release_Label'!$E:$E,1,0))),vlookup($A330&amp;$B330,{'3) Release_Label'!$D:$D&amp;'3) Release_Label'!$E:$E,'3) Release_Label'!$H:$H},2,0),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E330" s="92"/>
      <c r="F330" s="92"/>
      <c r="G330" s="125" t="str">
        <f t="array" ref="G330">ifs(or($F330="",$F330="Main Primary Artist"),$F330,not(iserror(vlookup($F330,'Reference info'!$J$5:$J$8,1,0))),"Key Artist",not(iserror(vlookup($F330,'Reference info'!$J$38:$J$405,1,0))),"Performer",not(iserror(vlookup($F330,'Reference info'!$J$10:$J$36,1,0))),"Producer &amp; Engineer")</f>
        <v/>
      </c>
    </row>
    <row r="331">
      <c r="A331" s="28"/>
      <c r="B331" s="97"/>
      <c r="C331" s="121" t="str">
        <f t="array" ref="C331">ifs(and(isblank($A331),isblank($B331)),"", not(iserror(vlookup($A331&amp;$B331,'3) Release_Label'!$D:$D&amp;'3) Release_Label'!$E:$E,1,0))),vlookup($A331&amp;$B331,{'3) Release_Label'!$D:$D&amp;'3) Release_Label'!$E:$E,'3) Release_Label'!$F:$F},2,0),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D331" s="121" t="str">
        <f t="array" ref="D331">ifs(and(isblank($A331),isblank($B331)),"", not(iserror(vlookup($A331&amp;$B331,'3) Release_Label'!$D:$D&amp;'3) Release_Label'!$E:$E,1,0))),vlookup($A331&amp;$B331,{'3) Release_Label'!$D:$D&amp;'3) Release_Label'!$E:$E,'3) Release_Label'!$H:$H},2,0),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E331" s="92"/>
      <c r="F331" s="92"/>
      <c r="G331" s="125" t="str">
        <f t="array" ref="G331">ifs(or($F331="",$F331="Main Primary Artist"),$F331,not(iserror(vlookup($F331,'Reference info'!$J$5:$J$8,1,0))),"Key Artist",not(iserror(vlookup($F331,'Reference info'!$J$38:$J$405,1,0))),"Performer",not(iserror(vlookup($F331,'Reference info'!$J$10:$J$36,1,0))),"Producer &amp; Engineer")</f>
        <v/>
      </c>
    </row>
    <row r="332">
      <c r="A332" s="28"/>
      <c r="B332" s="97"/>
      <c r="C332" s="121" t="str">
        <f t="array" ref="C332">ifs(and(isblank($A332),isblank($B332)),"", not(iserror(vlookup($A332&amp;$B332,'3) Release_Label'!$D:$D&amp;'3) Release_Label'!$E:$E,1,0))),vlookup($A332&amp;$B332,{'3) Release_Label'!$D:$D&amp;'3) Release_Label'!$E:$E,'3) Release_Label'!$F:$F},2,0),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D332" s="121" t="str">
        <f t="array" ref="D332">ifs(and(isblank($A332),isblank($B332)),"", not(iserror(vlookup($A332&amp;$B332,'3) Release_Label'!$D:$D&amp;'3) Release_Label'!$E:$E,1,0))),vlookup($A332&amp;$B332,{'3) Release_Label'!$D:$D&amp;'3) Release_Label'!$E:$E,'3) Release_Label'!$H:$H},2,0),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E332" s="92"/>
      <c r="F332" s="92"/>
      <c r="G332" s="125" t="str">
        <f t="array" ref="G332">ifs(or($F332="",$F332="Main Primary Artist"),$F332,not(iserror(vlookup($F332,'Reference info'!$J$5:$J$8,1,0))),"Key Artist",not(iserror(vlookup($F332,'Reference info'!$J$38:$J$405,1,0))),"Performer",not(iserror(vlookup($F332,'Reference info'!$J$10:$J$36,1,0))),"Producer &amp; Engineer")</f>
        <v/>
      </c>
    </row>
    <row r="333">
      <c r="A333" s="28"/>
      <c r="B333" s="97"/>
      <c r="C333" s="121" t="str">
        <f t="array" ref="C333">ifs(and(isblank($A333),isblank($B333)),"", not(iserror(vlookup($A333&amp;$B333,'3) Release_Label'!$D:$D&amp;'3) Release_Label'!$E:$E,1,0))),vlookup($A333&amp;$B333,{'3) Release_Label'!$D:$D&amp;'3) Release_Label'!$E:$E,'3) Release_Label'!$F:$F},2,0),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D333" s="121" t="str">
        <f t="array" ref="D333">ifs(and(isblank($A333),isblank($B333)),"", not(iserror(vlookup($A333&amp;$B333,'3) Release_Label'!$D:$D&amp;'3) Release_Label'!$E:$E,1,0))),vlookup($A333&amp;$B333,{'3) Release_Label'!$D:$D&amp;'3) Release_Label'!$E:$E,'3) Release_Label'!$H:$H},2,0),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E333" s="92"/>
      <c r="F333" s="92"/>
      <c r="G333" s="125" t="str">
        <f t="array" ref="G333">ifs(or($F333="",$F333="Main Primary Artist"),$F333,not(iserror(vlookup($F333,'Reference info'!$J$5:$J$8,1,0))),"Key Artist",not(iserror(vlookup($F333,'Reference info'!$J$38:$J$405,1,0))),"Performer",not(iserror(vlookup($F333,'Reference info'!$J$10:$J$36,1,0))),"Producer &amp; Engineer")</f>
        <v/>
      </c>
    </row>
    <row r="334">
      <c r="A334" s="28"/>
      <c r="B334" s="97"/>
      <c r="C334" s="121" t="str">
        <f t="array" ref="C334">ifs(and(isblank($A334),isblank($B334)),"", not(iserror(vlookup($A334&amp;$B334,'3) Release_Label'!$D:$D&amp;'3) Release_Label'!$E:$E,1,0))),vlookup($A334&amp;$B334,{'3) Release_Label'!$D:$D&amp;'3) Release_Label'!$E:$E,'3) Release_Label'!$F:$F},2,0),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D334" s="121" t="str">
        <f t="array" ref="D334">ifs(and(isblank($A334),isblank($B334)),"", not(iserror(vlookup($A334&amp;$B334,'3) Release_Label'!$D:$D&amp;'3) Release_Label'!$E:$E,1,0))),vlookup($A334&amp;$B334,{'3) Release_Label'!$D:$D&amp;'3) Release_Label'!$E:$E,'3) Release_Label'!$H:$H},2,0),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E334" s="92"/>
      <c r="F334" s="92"/>
      <c r="G334" s="125" t="str">
        <f t="array" ref="G334">ifs(or($F334="",$F334="Main Primary Artist"),$F334,not(iserror(vlookup($F334,'Reference info'!$J$5:$J$8,1,0))),"Key Artist",not(iserror(vlookup($F334,'Reference info'!$J$38:$J$405,1,0))),"Performer",not(iserror(vlookup($F334,'Reference info'!$J$10:$J$36,1,0))),"Producer &amp; Engineer")</f>
        <v/>
      </c>
    </row>
    <row r="335">
      <c r="A335" s="28"/>
      <c r="B335" s="97"/>
      <c r="C335" s="121" t="str">
        <f t="array" ref="C335">ifs(and(isblank($A335),isblank($B335)),"", not(iserror(vlookup($A335&amp;$B335,'3) Release_Label'!$D:$D&amp;'3) Release_Label'!$E:$E,1,0))),vlookup($A335&amp;$B335,{'3) Release_Label'!$D:$D&amp;'3) Release_Label'!$E:$E,'3) Release_Label'!$F:$F},2,0),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D335" s="121" t="str">
        <f t="array" ref="D335">ifs(and(isblank($A335),isblank($B335)),"", not(iserror(vlookup($A335&amp;$B335,'3) Release_Label'!$D:$D&amp;'3) Release_Label'!$E:$E,1,0))),vlookup($A335&amp;$B335,{'3) Release_Label'!$D:$D&amp;'3) Release_Label'!$E:$E,'3) Release_Label'!$H:$H},2,0),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E335" s="92"/>
      <c r="F335" s="92"/>
      <c r="G335" s="125" t="str">
        <f t="array" ref="G335">ifs(or($F335="",$F335="Main Primary Artist"),$F335,not(iserror(vlookup($F335,'Reference info'!$J$5:$J$8,1,0))),"Key Artist",not(iserror(vlookup($F335,'Reference info'!$J$38:$J$405,1,0))),"Performer",not(iserror(vlookup($F335,'Reference info'!$J$10:$J$36,1,0))),"Producer &amp; Engineer")</f>
        <v/>
      </c>
    </row>
    <row r="336">
      <c r="A336" s="28"/>
      <c r="B336" s="97"/>
      <c r="C336" s="121" t="str">
        <f t="array" ref="C336">ifs(and(isblank($A336),isblank($B336)),"", not(iserror(vlookup($A336&amp;$B336,'3) Release_Label'!$D:$D&amp;'3) Release_Label'!$E:$E,1,0))),vlookup($A336&amp;$B336,{'3) Release_Label'!$D:$D&amp;'3) Release_Label'!$E:$E,'3) Release_Label'!$F:$F},2,0),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D336" s="121" t="str">
        <f t="array" ref="D336">ifs(and(isblank($A336),isblank($B336)),"", not(iserror(vlookup($A336&amp;$B336,'3) Release_Label'!$D:$D&amp;'3) Release_Label'!$E:$E,1,0))),vlookup($A336&amp;$B336,{'3) Release_Label'!$D:$D&amp;'3) Release_Label'!$E:$E,'3) Release_Label'!$H:$H},2,0),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E336" s="92"/>
      <c r="F336" s="92"/>
      <c r="G336" s="125" t="str">
        <f t="array" ref="G336">ifs(or($F336="",$F336="Main Primary Artist"),$F336,not(iserror(vlookup($F336,'Reference info'!$J$5:$J$8,1,0))),"Key Artist",not(iserror(vlookup($F336,'Reference info'!$J$38:$J$405,1,0))),"Performer",not(iserror(vlookup($F336,'Reference info'!$J$10:$J$36,1,0))),"Producer &amp; Engineer")</f>
        <v/>
      </c>
    </row>
    <row r="337">
      <c r="A337" s="28"/>
      <c r="B337" s="97"/>
      <c r="C337" s="121" t="str">
        <f t="array" ref="C337">ifs(and(isblank($A337),isblank($B337)),"", not(iserror(vlookup($A337&amp;$B337,'3) Release_Label'!$D:$D&amp;'3) Release_Label'!$E:$E,1,0))),vlookup($A337&amp;$B337,{'3) Release_Label'!$D:$D&amp;'3) Release_Label'!$E:$E,'3) Release_Label'!$F:$F},2,0),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D337" s="121" t="str">
        <f t="array" ref="D337">ifs(and(isblank($A337),isblank($B337)),"", not(iserror(vlookup($A337&amp;$B337,'3) Release_Label'!$D:$D&amp;'3) Release_Label'!$E:$E,1,0))),vlookup($A337&amp;$B337,{'3) Release_Label'!$D:$D&amp;'3) Release_Label'!$E:$E,'3) Release_Label'!$H:$H},2,0),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E337" s="92"/>
      <c r="F337" s="92"/>
      <c r="G337" s="125" t="str">
        <f t="array" ref="G337">ifs(or($F337="",$F337="Main Primary Artist"),$F337,not(iserror(vlookup($F337,'Reference info'!$J$5:$J$8,1,0))),"Key Artist",not(iserror(vlookup($F337,'Reference info'!$J$38:$J$405,1,0))),"Performer",not(iserror(vlookup($F337,'Reference info'!$J$10:$J$36,1,0))),"Producer &amp; Engineer")</f>
        <v/>
      </c>
    </row>
    <row r="338">
      <c r="A338" s="28"/>
      <c r="B338" s="97"/>
      <c r="C338" s="121" t="str">
        <f t="array" ref="C338">ifs(and(isblank($A338),isblank($B338)),"", not(iserror(vlookup($A338&amp;$B338,'3) Release_Label'!$D:$D&amp;'3) Release_Label'!$E:$E,1,0))),vlookup($A338&amp;$B338,{'3) Release_Label'!$D:$D&amp;'3) Release_Label'!$E:$E,'3) Release_Label'!$F:$F},2,0),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D338" s="121" t="str">
        <f t="array" ref="D338">ifs(and(isblank($A338),isblank($B338)),"", not(iserror(vlookup($A338&amp;$B338,'3) Release_Label'!$D:$D&amp;'3) Release_Label'!$E:$E,1,0))),vlookup($A338&amp;$B338,{'3) Release_Label'!$D:$D&amp;'3) Release_Label'!$E:$E,'3) Release_Label'!$H:$H},2,0),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E338" s="92"/>
      <c r="F338" s="92"/>
      <c r="G338" s="125" t="str">
        <f t="array" ref="G338">ifs(or($F338="",$F338="Main Primary Artist"),$F338,not(iserror(vlookup($F338,'Reference info'!$J$5:$J$8,1,0))),"Key Artist",not(iserror(vlookup($F338,'Reference info'!$J$38:$J$405,1,0))),"Performer",not(iserror(vlookup($F338,'Reference info'!$J$10:$J$36,1,0))),"Producer &amp; Engineer")</f>
        <v/>
      </c>
    </row>
    <row r="339">
      <c r="A339" s="28"/>
      <c r="B339" s="97"/>
      <c r="C339" s="121" t="str">
        <f t="array" ref="C339">ifs(and(isblank($A339),isblank($B339)),"", not(iserror(vlookup($A339&amp;$B339,'3) Release_Label'!$D:$D&amp;'3) Release_Label'!$E:$E,1,0))),vlookup($A339&amp;$B339,{'3) Release_Label'!$D:$D&amp;'3) Release_Label'!$E:$E,'3) Release_Label'!$F:$F},2,0),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D339" s="121" t="str">
        <f t="array" ref="D339">ifs(and(isblank($A339),isblank($B339)),"", not(iserror(vlookup($A339&amp;$B339,'3) Release_Label'!$D:$D&amp;'3) Release_Label'!$E:$E,1,0))),vlookup($A339&amp;$B339,{'3) Release_Label'!$D:$D&amp;'3) Release_Label'!$E:$E,'3) Release_Label'!$H:$H},2,0),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E339" s="92"/>
      <c r="F339" s="92"/>
      <c r="G339" s="125" t="str">
        <f t="array" ref="G339">ifs(or($F339="",$F339="Main Primary Artist"),$F339,not(iserror(vlookup($F339,'Reference info'!$J$5:$J$8,1,0))),"Key Artist",not(iserror(vlookup($F339,'Reference info'!$J$38:$J$405,1,0))),"Performer",not(iserror(vlookup($F339,'Reference info'!$J$10:$J$36,1,0))),"Producer &amp; Engineer")</f>
        <v/>
      </c>
    </row>
    <row r="340">
      <c r="A340" s="28"/>
      <c r="B340" s="97"/>
      <c r="C340" s="121" t="str">
        <f t="array" ref="C340">ifs(and(isblank($A340),isblank($B340)),"", not(iserror(vlookup($A340&amp;$B340,'3) Release_Label'!$D:$D&amp;'3) Release_Label'!$E:$E,1,0))),vlookup($A340&amp;$B340,{'3) Release_Label'!$D:$D&amp;'3) Release_Label'!$E:$E,'3) Release_Label'!$F:$F},2,0),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D340" s="121" t="str">
        <f t="array" ref="D340">ifs(and(isblank($A340),isblank($B340)),"", not(iserror(vlookup($A340&amp;$B340,'3) Release_Label'!$D:$D&amp;'3) Release_Label'!$E:$E,1,0))),vlookup($A340&amp;$B340,{'3) Release_Label'!$D:$D&amp;'3) Release_Label'!$E:$E,'3) Release_Label'!$H:$H},2,0),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E340" s="92"/>
      <c r="F340" s="92"/>
      <c r="G340" s="125" t="str">
        <f t="array" ref="G340">ifs(or($F340="",$F340="Main Primary Artist"),$F340,not(iserror(vlookup($F340,'Reference info'!$J$5:$J$8,1,0))),"Key Artist",not(iserror(vlookup($F340,'Reference info'!$J$38:$J$405,1,0))),"Performer",not(iserror(vlookup($F340,'Reference info'!$J$10:$J$36,1,0))),"Producer &amp; Engineer")</f>
        <v/>
      </c>
    </row>
    <row r="341">
      <c r="A341" s="28"/>
      <c r="B341" s="97"/>
      <c r="C341" s="121" t="str">
        <f t="array" ref="C341">ifs(and(isblank($A341),isblank($B341)),"", not(iserror(vlookup($A341&amp;$B341,'3) Release_Label'!$D:$D&amp;'3) Release_Label'!$E:$E,1,0))),vlookup($A341&amp;$B341,{'3) Release_Label'!$D:$D&amp;'3) Release_Label'!$E:$E,'3) Release_Label'!$F:$F},2,0),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D341" s="121" t="str">
        <f t="array" ref="D341">ifs(and(isblank($A341),isblank($B341)),"", not(iserror(vlookup($A341&amp;$B341,'3) Release_Label'!$D:$D&amp;'3) Release_Label'!$E:$E,1,0))),vlookup($A341&amp;$B341,{'3) Release_Label'!$D:$D&amp;'3) Release_Label'!$E:$E,'3) Release_Label'!$H:$H},2,0),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E341" s="92"/>
      <c r="F341" s="92"/>
      <c r="G341" s="125" t="str">
        <f t="array" ref="G341">ifs(or($F341="",$F341="Main Primary Artist"),$F341,not(iserror(vlookup($F341,'Reference info'!$J$5:$J$8,1,0))),"Key Artist",not(iserror(vlookup($F341,'Reference info'!$J$38:$J$405,1,0))),"Performer",not(iserror(vlookup($F341,'Reference info'!$J$10:$J$36,1,0))),"Producer &amp; Engineer")</f>
        <v/>
      </c>
    </row>
    <row r="342">
      <c r="A342" s="28"/>
      <c r="B342" s="97"/>
      <c r="C342" s="121" t="str">
        <f t="array" ref="C342">ifs(and(isblank($A342),isblank($B342)),"", not(iserror(vlookup($A342&amp;$B342,'3) Release_Label'!$D:$D&amp;'3) Release_Label'!$E:$E,1,0))),vlookup($A342&amp;$B342,{'3) Release_Label'!$D:$D&amp;'3) Release_Label'!$E:$E,'3) Release_Label'!$F:$F},2,0),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D342" s="121" t="str">
        <f t="array" ref="D342">ifs(and(isblank($A342),isblank($B342)),"", not(iserror(vlookup($A342&amp;$B342,'3) Release_Label'!$D:$D&amp;'3) Release_Label'!$E:$E,1,0))),vlookup($A342&amp;$B342,{'3) Release_Label'!$D:$D&amp;'3) Release_Label'!$E:$E,'3) Release_Label'!$H:$H},2,0),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E342" s="92"/>
      <c r="F342" s="92"/>
      <c r="G342" s="125" t="str">
        <f t="array" ref="G342">ifs(or($F342="",$F342="Main Primary Artist"),$F342,not(iserror(vlookup($F342,'Reference info'!$J$5:$J$8,1,0))),"Key Artist",not(iserror(vlookup($F342,'Reference info'!$J$38:$J$405,1,0))),"Performer",not(iserror(vlookup($F342,'Reference info'!$J$10:$J$36,1,0))),"Producer &amp; Engineer")</f>
        <v/>
      </c>
    </row>
    <row r="343">
      <c r="A343" s="28"/>
      <c r="B343" s="97"/>
      <c r="C343" s="121" t="str">
        <f t="array" ref="C343">ifs(and(isblank($A343),isblank($B343)),"", not(iserror(vlookup($A343&amp;$B343,'3) Release_Label'!$D:$D&amp;'3) Release_Label'!$E:$E,1,0))),vlookup($A343&amp;$B343,{'3) Release_Label'!$D:$D&amp;'3) Release_Label'!$E:$E,'3) Release_Label'!$F:$F},2,0),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D343" s="121" t="str">
        <f t="array" ref="D343">ifs(and(isblank($A343),isblank($B343)),"", not(iserror(vlookup($A343&amp;$B343,'3) Release_Label'!$D:$D&amp;'3) Release_Label'!$E:$E,1,0))),vlookup($A343&amp;$B343,{'3) Release_Label'!$D:$D&amp;'3) Release_Label'!$E:$E,'3) Release_Label'!$H:$H},2,0),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E343" s="92"/>
      <c r="F343" s="92"/>
      <c r="G343" s="125" t="str">
        <f t="array" ref="G343">ifs(or($F343="",$F343="Main Primary Artist"),$F343,not(iserror(vlookup($F343,'Reference info'!$J$5:$J$8,1,0))),"Key Artist",not(iserror(vlookup($F343,'Reference info'!$J$38:$J$405,1,0))),"Performer",not(iserror(vlookup($F343,'Reference info'!$J$10:$J$36,1,0))),"Producer &amp; Engineer")</f>
        <v/>
      </c>
    </row>
    <row r="344">
      <c r="A344" s="28"/>
      <c r="B344" s="97"/>
      <c r="C344" s="121" t="str">
        <f t="array" ref="C344">ifs(and(isblank($A344),isblank($B344)),"", not(iserror(vlookup($A344&amp;$B344,'3) Release_Label'!$D:$D&amp;'3) Release_Label'!$E:$E,1,0))),vlookup($A344&amp;$B344,{'3) Release_Label'!$D:$D&amp;'3) Release_Label'!$E:$E,'3) Release_Label'!$F:$F},2,0),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D344" s="121" t="str">
        <f t="array" ref="D344">ifs(and(isblank($A344),isblank($B344)),"", not(iserror(vlookup($A344&amp;$B344,'3) Release_Label'!$D:$D&amp;'3) Release_Label'!$E:$E,1,0))),vlookup($A344&amp;$B344,{'3) Release_Label'!$D:$D&amp;'3) Release_Label'!$E:$E,'3) Release_Label'!$H:$H},2,0),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E344" s="92"/>
      <c r="F344" s="92"/>
      <c r="G344" s="125" t="str">
        <f t="array" ref="G344">ifs(or($F344="",$F344="Main Primary Artist"),$F344,not(iserror(vlookup($F344,'Reference info'!$J$5:$J$8,1,0))),"Key Artist",not(iserror(vlookup($F344,'Reference info'!$J$38:$J$405,1,0))),"Performer",not(iserror(vlookup($F344,'Reference info'!$J$10:$J$36,1,0))),"Producer &amp; Engineer")</f>
        <v/>
      </c>
    </row>
    <row r="345">
      <c r="A345" s="28"/>
      <c r="B345" s="97"/>
      <c r="C345" s="121" t="str">
        <f t="array" ref="C345">ifs(and(isblank($A345),isblank($B345)),"", not(iserror(vlookup($A345&amp;$B345,'3) Release_Label'!$D:$D&amp;'3) Release_Label'!$E:$E,1,0))),vlookup($A345&amp;$B345,{'3) Release_Label'!$D:$D&amp;'3) Release_Label'!$E:$E,'3) Release_Label'!$F:$F},2,0),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D345" s="121" t="str">
        <f t="array" ref="D345">ifs(and(isblank($A345),isblank($B345)),"", not(iserror(vlookup($A345&amp;$B345,'3) Release_Label'!$D:$D&amp;'3) Release_Label'!$E:$E,1,0))),vlookup($A345&amp;$B345,{'3) Release_Label'!$D:$D&amp;'3) Release_Label'!$E:$E,'3) Release_Label'!$H:$H},2,0),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E345" s="92"/>
      <c r="F345" s="92"/>
      <c r="G345" s="125" t="str">
        <f t="array" ref="G345">ifs(or($F345="",$F345="Main Primary Artist"),$F345,not(iserror(vlookup($F345,'Reference info'!$J$5:$J$8,1,0))),"Key Artist",not(iserror(vlookup($F345,'Reference info'!$J$38:$J$405,1,0))),"Performer",not(iserror(vlookup($F345,'Reference info'!$J$10:$J$36,1,0))),"Producer &amp; Engineer")</f>
        <v/>
      </c>
    </row>
    <row r="346">
      <c r="A346" s="28"/>
      <c r="B346" s="97"/>
      <c r="C346" s="121" t="str">
        <f t="array" ref="C346">ifs(and(isblank($A346),isblank($B346)),"", not(iserror(vlookup($A346&amp;$B346,'3) Release_Label'!$D:$D&amp;'3) Release_Label'!$E:$E,1,0))),vlookup($A346&amp;$B346,{'3) Release_Label'!$D:$D&amp;'3) Release_Label'!$E:$E,'3) Release_Label'!$F:$F},2,0),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D346" s="121" t="str">
        <f t="array" ref="D346">ifs(and(isblank($A346),isblank($B346)),"", not(iserror(vlookup($A346&amp;$B346,'3) Release_Label'!$D:$D&amp;'3) Release_Label'!$E:$E,1,0))),vlookup($A346&amp;$B346,{'3) Release_Label'!$D:$D&amp;'3) Release_Label'!$E:$E,'3) Release_Label'!$H:$H},2,0),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E346" s="92"/>
      <c r="F346" s="92"/>
      <c r="G346" s="125" t="str">
        <f t="array" ref="G346">ifs(or($F346="",$F346="Main Primary Artist"),$F346,not(iserror(vlookup($F346,'Reference info'!$J$5:$J$8,1,0))),"Key Artist",not(iserror(vlookup($F346,'Reference info'!$J$38:$J$405,1,0))),"Performer",not(iserror(vlookup($F346,'Reference info'!$J$10:$J$36,1,0))),"Producer &amp; Engineer")</f>
        <v/>
      </c>
    </row>
    <row r="347">
      <c r="A347" s="28"/>
      <c r="B347" s="97"/>
      <c r="C347" s="121" t="str">
        <f t="array" ref="C347">ifs(and(isblank($A347),isblank($B347)),"", not(iserror(vlookup($A347&amp;$B347,'3) Release_Label'!$D:$D&amp;'3) Release_Label'!$E:$E,1,0))),vlookup($A347&amp;$B347,{'3) Release_Label'!$D:$D&amp;'3) Release_Label'!$E:$E,'3) Release_Label'!$F:$F},2,0),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D347" s="121" t="str">
        <f t="array" ref="D347">ifs(and(isblank($A347),isblank($B347)),"", not(iserror(vlookup($A347&amp;$B347,'3) Release_Label'!$D:$D&amp;'3) Release_Label'!$E:$E,1,0))),vlookup($A347&amp;$B347,{'3) Release_Label'!$D:$D&amp;'3) Release_Label'!$E:$E,'3) Release_Label'!$H:$H},2,0),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E347" s="92"/>
      <c r="F347" s="92"/>
      <c r="G347" s="125" t="str">
        <f t="array" ref="G347">ifs(or($F347="",$F347="Main Primary Artist"),$F347,not(iserror(vlookup($F347,'Reference info'!$J$5:$J$8,1,0))),"Key Artist",not(iserror(vlookup($F347,'Reference info'!$J$38:$J$405,1,0))),"Performer",not(iserror(vlookup($F347,'Reference info'!$J$10:$J$36,1,0))),"Producer &amp; Engineer")</f>
        <v/>
      </c>
    </row>
    <row r="348">
      <c r="A348" s="28"/>
      <c r="B348" s="97"/>
      <c r="C348" s="121" t="str">
        <f t="array" ref="C348">ifs(and(isblank($A348),isblank($B348)),"", not(iserror(vlookup($A348&amp;$B348,'3) Release_Label'!$D:$D&amp;'3) Release_Label'!$E:$E,1,0))),vlookup($A348&amp;$B348,{'3) Release_Label'!$D:$D&amp;'3) Release_Label'!$E:$E,'3) Release_Label'!$F:$F},2,0),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D348" s="121" t="str">
        <f t="array" ref="D348">ifs(and(isblank($A348),isblank($B348)),"", not(iserror(vlookup($A348&amp;$B348,'3) Release_Label'!$D:$D&amp;'3) Release_Label'!$E:$E,1,0))),vlookup($A348&amp;$B348,{'3) Release_Label'!$D:$D&amp;'3) Release_Label'!$E:$E,'3) Release_Label'!$H:$H},2,0),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E348" s="92"/>
      <c r="F348" s="92"/>
      <c r="G348" s="125" t="str">
        <f t="array" ref="G348">ifs(or($F348="",$F348="Main Primary Artist"),$F348,not(iserror(vlookup($F348,'Reference info'!$J$5:$J$8,1,0))),"Key Artist",not(iserror(vlookup($F348,'Reference info'!$J$38:$J$405,1,0))),"Performer",not(iserror(vlookup($F348,'Reference info'!$J$10:$J$36,1,0))),"Producer &amp; Engineer")</f>
        <v/>
      </c>
    </row>
    <row r="349">
      <c r="A349" s="28"/>
      <c r="B349" s="97"/>
      <c r="C349" s="121" t="str">
        <f t="array" ref="C349">ifs(and(isblank($A349),isblank($B349)),"", not(iserror(vlookup($A349&amp;$B349,'3) Release_Label'!$D:$D&amp;'3) Release_Label'!$E:$E,1,0))),vlookup($A349&amp;$B349,{'3) Release_Label'!$D:$D&amp;'3) Release_Label'!$E:$E,'3) Release_Label'!$F:$F},2,0),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D349" s="121" t="str">
        <f t="array" ref="D349">ifs(and(isblank($A349),isblank($B349)),"", not(iserror(vlookup($A349&amp;$B349,'3) Release_Label'!$D:$D&amp;'3) Release_Label'!$E:$E,1,0))),vlookup($A349&amp;$B349,{'3) Release_Label'!$D:$D&amp;'3) Release_Label'!$E:$E,'3) Release_Label'!$H:$H},2,0),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E349" s="92"/>
      <c r="F349" s="92"/>
      <c r="G349" s="125" t="str">
        <f t="array" ref="G349">ifs(or($F349="",$F349="Main Primary Artist"),$F349,not(iserror(vlookup($F349,'Reference info'!$J$5:$J$8,1,0))),"Key Artist",not(iserror(vlookup($F349,'Reference info'!$J$38:$J$405,1,0))),"Performer",not(iserror(vlookup($F349,'Reference info'!$J$10:$J$36,1,0))),"Producer &amp; Engineer")</f>
        <v/>
      </c>
    </row>
    <row r="350">
      <c r="A350" s="28"/>
      <c r="B350" s="97"/>
      <c r="C350" s="121" t="str">
        <f t="array" ref="C350">ifs(and(isblank($A350),isblank($B350)),"", not(iserror(vlookup($A350&amp;$B350,'3) Release_Label'!$D:$D&amp;'3) Release_Label'!$E:$E,1,0))),vlookup($A350&amp;$B350,{'3) Release_Label'!$D:$D&amp;'3) Release_Label'!$E:$E,'3) Release_Label'!$F:$F},2,0),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D350" s="121" t="str">
        <f t="array" ref="D350">ifs(and(isblank($A350),isblank($B350)),"", not(iserror(vlookup($A350&amp;$B350,'3) Release_Label'!$D:$D&amp;'3) Release_Label'!$E:$E,1,0))),vlookup($A350&amp;$B350,{'3) Release_Label'!$D:$D&amp;'3) Release_Label'!$E:$E,'3) Release_Label'!$H:$H},2,0),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E350" s="92"/>
      <c r="F350" s="92"/>
      <c r="G350" s="125" t="str">
        <f t="array" ref="G350">ifs(or($F350="",$F350="Main Primary Artist"),$F350,not(iserror(vlookup($F350,'Reference info'!$J$5:$J$8,1,0))),"Key Artist",not(iserror(vlookup($F350,'Reference info'!$J$38:$J$405,1,0))),"Performer",not(iserror(vlookup($F350,'Reference info'!$J$10:$J$36,1,0))),"Producer &amp; Engineer")</f>
        <v/>
      </c>
    </row>
    <row r="351">
      <c r="A351" s="28"/>
      <c r="B351" s="97"/>
      <c r="C351" s="121" t="str">
        <f t="array" ref="C351">ifs(and(isblank($A351),isblank($B351)),"", not(iserror(vlookup($A351&amp;$B351,'3) Release_Label'!$D:$D&amp;'3) Release_Label'!$E:$E,1,0))),vlookup($A351&amp;$B351,{'3) Release_Label'!$D:$D&amp;'3) Release_Label'!$E:$E,'3) Release_Label'!$F:$F},2,0),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D351" s="121" t="str">
        <f t="array" ref="D351">ifs(and(isblank($A351),isblank($B351)),"", not(iserror(vlookup($A351&amp;$B351,'3) Release_Label'!$D:$D&amp;'3) Release_Label'!$E:$E,1,0))),vlookup($A351&amp;$B351,{'3) Release_Label'!$D:$D&amp;'3) Release_Label'!$E:$E,'3) Release_Label'!$H:$H},2,0),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E351" s="92"/>
      <c r="F351" s="92"/>
      <c r="G351" s="125" t="str">
        <f t="array" ref="G351">ifs(or($F351="",$F351="Main Primary Artist"),$F351,not(iserror(vlookup($F351,'Reference info'!$J$5:$J$8,1,0))),"Key Artist",not(iserror(vlookup($F351,'Reference info'!$J$38:$J$405,1,0))),"Performer",not(iserror(vlookup($F351,'Reference info'!$J$10:$J$36,1,0))),"Producer &amp; Engineer")</f>
        <v/>
      </c>
    </row>
    <row r="352">
      <c r="A352" s="28"/>
      <c r="B352" s="97"/>
      <c r="C352" s="121" t="str">
        <f t="array" ref="C352">ifs(and(isblank($A352),isblank($B352)),"", not(iserror(vlookup($A352&amp;$B352,'3) Release_Label'!$D:$D&amp;'3) Release_Label'!$E:$E,1,0))),vlookup($A352&amp;$B352,{'3) Release_Label'!$D:$D&amp;'3) Release_Label'!$E:$E,'3) Release_Label'!$F:$F},2,0),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D352" s="121" t="str">
        <f t="array" ref="D352">ifs(and(isblank($A352),isblank($B352)),"", not(iserror(vlookup($A352&amp;$B352,'3) Release_Label'!$D:$D&amp;'3) Release_Label'!$E:$E,1,0))),vlookup($A352&amp;$B352,{'3) Release_Label'!$D:$D&amp;'3) Release_Label'!$E:$E,'3) Release_Label'!$H:$H},2,0),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E352" s="92"/>
      <c r="F352" s="92"/>
      <c r="G352" s="125" t="str">
        <f t="array" ref="G352">ifs(or($F352="",$F352="Main Primary Artist"),$F352,not(iserror(vlookup($F352,'Reference info'!$J$5:$J$8,1,0))),"Key Artist",not(iserror(vlookup($F352,'Reference info'!$J$38:$J$405,1,0))),"Performer",not(iserror(vlookup($F352,'Reference info'!$J$10:$J$36,1,0))),"Producer &amp; Engineer")</f>
        <v/>
      </c>
    </row>
    <row r="353">
      <c r="A353" s="28"/>
      <c r="B353" s="97"/>
      <c r="C353" s="121" t="str">
        <f t="array" ref="C353">ifs(and(isblank($A353),isblank($B353)),"", not(iserror(vlookup($A353&amp;$B353,'3) Release_Label'!$D:$D&amp;'3) Release_Label'!$E:$E,1,0))),vlookup($A353&amp;$B353,{'3) Release_Label'!$D:$D&amp;'3) Release_Label'!$E:$E,'3) Release_Label'!$F:$F},2,0),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D353" s="121" t="str">
        <f t="array" ref="D353">ifs(and(isblank($A353),isblank($B353)),"", not(iserror(vlookup($A353&amp;$B353,'3) Release_Label'!$D:$D&amp;'3) Release_Label'!$E:$E,1,0))),vlookup($A353&amp;$B353,{'3) Release_Label'!$D:$D&amp;'3) Release_Label'!$E:$E,'3) Release_Label'!$H:$H},2,0),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E353" s="92"/>
      <c r="F353" s="92"/>
      <c r="G353" s="125" t="str">
        <f t="array" ref="G353">ifs(or($F353="",$F353="Main Primary Artist"),$F353,not(iserror(vlookup($F353,'Reference info'!$J$5:$J$8,1,0))),"Key Artist",not(iserror(vlookup($F353,'Reference info'!$J$38:$J$405,1,0))),"Performer",not(iserror(vlookup($F353,'Reference info'!$J$10:$J$36,1,0))),"Producer &amp; Engineer")</f>
        <v/>
      </c>
    </row>
    <row r="354">
      <c r="A354" s="28"/>
      <c r="B354" s="97"/>
      <c r="C354" s="121" t="str">
        <f t="array" ref="C354">ifs(and(isblank($A354),isblank($B354)),"", not(iserror(vlookup($A354&amp;$B354,'3) Release_Label'!$D:$D&amp;'3) Release_Label'!$E:$E,1,0))),vlookup($A354&amp;$B354,{'3) Release_Label'!$D:$D&amp;'3) Release_Label'!$E:$E,'3) Release_Label'!$F:$F},2,0),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D354" s="121" t="str">
        <f t="array" ref="D354">ifs(and(isblank($A354),isblank($B354)),"", not(iserror(vlookup($A354&amp;$B354,'3) Release_Label'!$D:$D&amp;'3) Release_Label'!$E:$E,1,0))),vlookup($A354&amp;$B354,{'3) Release_Label'!$D:$D&amp;'3) Release_Label'!$E:$E,'3) Release_Label'!$H:$H},2,0),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E354" s="92"/>
      <c r="F354" s="92"/>
      <c r="G354" s="125" t="str">
        <f t="array" ref="G354">ifs(or($F354="",$F354="Main Primary Artist"),$F354,not(iserror(vlookup($F354,'Reference info'!$J$5:$J$8,1,0))),"Key Artist",not(iserror(vlookup($F354,'Reference info'!$J$38:$J$405,1,0))),"Performer",not(iserror(vlookup($F354,'Reference info'!$J$10:$J$36,1,0))),"Producer &amp; Engineer")</f>
        <v/>
      </c>
    </row>
    <row r="355">
      <c r="A355" s="28"/>
      <c r="B355" s="97"/>
      <c r="C355" s="121" t="str">
        <f t="array" ref="C355">ifs(and(isblank($A355),isblank($B355)),"", not(iserror(vlookup($A355&amp;$B355,'3) Release_Label'!$D:$D&amp;'3) Release_Label'!$E:$E,1,0))),vlookup($A355&amp;$B355,{'3) Release_Label'!$D:$D&amp;'3) Release_Label'!$E:$E,'3) Release_Label'!$F:$F},2,0),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D355" s="121" t="str">
        <f t="array" ref="D355">ifs(and(isblank($A355),isblank($B355)),"", not(iserror(vlookup($A355&amp;$B355,'3) Release_Label'!$D:$D&amp;'3) Release_Label'!$E:$E,1,0))),vlookup($A355&amp;$B355,{'3) Release_Label'!$D:$D&amp;'3) Release_Label'!$E:$E,'3) Release_Label'!$H:$H},2,0),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E355" s="92"/>
      <c r="F355" s="92"/>
      <c r="G355" s="125" t="str">
        <f t="array" ref="G355">ifs(or($F355="",$F355="Main Primary Artist"),$F355,not(iserror(vlookup($F355,'Reference info'!$J$5:$J$8,1,0))),"Key Artist",not(iserror(vlookup($F355,'Reference info'!$J$38:$J$405,1,0))),"Performer",not(iserror(vlookup($F355,'Reference info'!$J$10:$J$36,1,0))),"Producer &amp; Engineer")</f>
        <v/>
      </c>
    </row>
    <row r="356">
      <c r="A356" s="28"/>
      <c r="B356" s="97"/>
      <c r="C356" s="121" t="str">
        <f t="array" ref="C356">ifs(and(isblank($A356),isblank($B356)),"", not(iserror(vlookup($A356&amp;$B356,'3) Release_Label'!$D:$D&amp;'3) Release_Label'!$E:$E,1,0))),vlookup($A356&amp;$B356,{'3) Release_Label'!$D:$D&amp;'3) Release_Label'!$E:$E,'3) Release_Label'!$F:$F},2,0),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D356" s="121" t="str">
        <f t="array" ref="D356">ifs(and(isblank($A356),isblank($B356)),"", not(iserror(vlookup($A356&amp;$B356,'3) Release_Label'!$D:$D&amp;'3) Release_Label'!$E:$E,1,0))),vlookup($A356&amp;$B356,{'3) Release_Label'!$D:$D&amp;'3) Release_Label'!$E:$E,'3) Release_Label'!$H:$H},2,0),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E356" s="92"/>
      <c r="F356" s="92"/>
      <c r="G356" s="125" t="str">
        <f t="array" ref="G356">ifs(or($F356="",$F356="Main Primary Artist"),$F356,not(iserror(vlookup($F356,'Reference info'!$J$5:$J$8,1,0))),"Key Artist",not(iserror(vlookup($F356,'Reference info'!$J$38:$J$405,1,0))),"Performer",not(iserror(vlookup($F356,'Reference info'!$J$10:$J$36,1,0))),"Producer &amp; Engineer")</f>
        <v/>
      </c>
    </row>
    <row r="357">
      <c r="A357" s="28"/>
      <c r="B357" s="97"/>
      <c r="C357" s="121" t="str">
        <f t="array" ref="C357">ifs(and(isblank($A357),isblank($B357)),"", not(iserror(vlookup($A357&amp;$B357,'3) Release_Label'!$D:$D&amp;'3) Release_Label'!$E:$E,1,0))),vlookup($A357&amp;$B357,{'3) Release_Label'!$D:$D&amp;'3) Release_Label'!$E:$E,'3) Release_Label'!$F:$F},2,0),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D357" s="121" t="str">
        <f t="array" ref="D357">ifs(and(isblank($A357),isblank($B357)),"", not(iserror(vlookup($A357&amp;$B357,'3) Release_Label'!$D:$D&amp;'3) Release_Label'!$E:$E,1,0))),vlookup($A357&amp;$B357,{'3) Release_Label'!$D:$D&amp;'3) Release_Label'!$E:$E,'3) Release_Label'!$H:$H},2,0),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E357" s="92"/>
      <c r="F357" s="92"/>
      <c r="G357" s="125" t="str">
        <f t="array" ref="G357">ifs(or($F357="",$F357="Main Primary Artist"),$F357,not(iserror(vlookup($F357,'Reference info'!$J$5:$J$8,1,0))),"Key Artist",not(iserror(vlookup($F357,'Reference info'!$J$38:$J$405,1,0))),"Performer",not(iserror(vlookup($F357,'Reference info'!$J$10:$J$36,1,0))),"Producer &amp; Engineer")</f>
        <v/>
      </c>
    </row>
    <row r="358">
      <c r="A358" s="28"/>
      <c r="B358" s="97"/>
      <c r="C358" s="121" t="str">
        <f t="array" ref="C358">ifs(and(isblank($A358),isblank($B358)),"", not(iserror(vlookup($A358&amp;$B358,'3) Release_Label'!$D:$D&amp;'3) Release_Label'!$E:$E,1,0))),vlookup($A358&amp;$B358,{'3) Release_Label'!$D:$D&amp;'3) Release_Label'!$E:$E,'3) Release_Label'!$F:$F},2,0),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D358" s="121" t="str">
        <f t="array" ref="D358">ifs(and(isblank($A358),isblank($B358)),"", not(iserror(vlookup($A358&amp;$B358,'3) Release_Label'!$D:$D&amp;'3) Release_Label'!$E:$E,1,0))),vlookup($A358&amp;$B358,{'3) Release_Label'!$D:$D&amp;'3) Release_Label'!$E:$E,'3) Release_Label'!$H:$H},2,0),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E358" s="92"/>
      <c r="F358" s="92"/>
      <c r="G358" s="125" t="str">
        <f t="array" ref="G358">ifs(or($F358="",$F358="Main Primary Artist"),$F358,not(iserror(vlookup($F358,'Reference info'!$J$5:$J$8,1,0))),"Key Artist",not(iserror(vlookup($F358,'Reference info'!$J$38:$J$405,1,0))),"Performer",not(iserror(vlookup($F358,'Reference info'!$J$10:$J$36,1,0))),"Producer &amp; Engineer")</f>
        <v/>
      </c>
    </row>
    <row r="359">
      <c r="A359" s="28"/>
      <c r="B359" s="97"/>
      <c r="C359" s="121" t="str">
        <f t="array" ref="C359">ifs(and(isblank($A359),isblank($B359)),"", not(iserror(vlookup($A359&amp;$B359,'3) Release_Label'!$D:$D&amp;'3) Release_Label'!$E:$E,1,0))),vlookup($A359&amp;$B359,{'3) Release_Label'!$D:$D&amp;'3) Release_Label'!$E:$E,'3) Release_Label'!$F:$F},2,0),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D359" s="121" t="str">
        <f t="array" ref="D359">ifs(and(isblank($A359),isblank($B359)),"", not(iserror(vlookup($A359&amp;$B359,'3) Release_Label'!$D:$D&amp;'3) Release_Label'!$E:$E,1,0))),vlookup($A359&amp;$B359,{'3) Release_Label'!$D:$D&amp;'3) Release_Label'!$E:$E,'3) Release_Label'!$H:$H},2,0),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E359" s="92"/>
      <c r="F359" s="92"/>
      <c r="G359" s="125" t="str">
        <f t="array" ref="G359">ifs(or($F359="",$F359="Main Primary Artist"),$F359,not(iserror(vlookup($F359,'Reference info'!$J$5:$J$8,1,0))),"Key Artist",not(iserror(vlookup($F359,'Reference info'!$J$38:$J$405,1,0))),"Performer",not(iserror(vlookup($F359,'Reference info'!$J$10:$J$36,1,0))),"Producer &amp; Engineer")</f>
        <v/>
      </c>
    </row>
    <row r="360">
      <c r="A360" s="28"/>
      <c r="B360" s="97"/>
      <c r="C360" s="121" t="str">
        <f t="array" ref="C360">ifs(and(isblank($A360),isblank($B360)),"", not(iserror(vlookup($A360&amp;$B360,'3) Release_Label'!$D:$D&amp;'3) Release_Label'!$E:$E,1,0))),vlookup($A360&amp;$B360,{'3) Release_Label'!$D:$D&amp;'3) Release_Label'!$E:$E,'3) Release_Label'!$F:$F},2,0),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D360" s="121" t="str">
        <f t="array" ref="D360">ifs(and(isblank($A360),isblank($B360)),"", not(iserror(vlookup($A360&amp;$B360,'3) Release_Label'!$D:$D&amp;'3) Release_Label'!$E:$E,1,0))),vlookup($A360&amp;$B360,{'3) Release_Label'!$D:$D&amp;'3) Release_Label'!$E:$E,'3) Release_Label'!$H:$H},2,0),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E360" s="92"/>
      <c r="F360" s="92"/>
      <c r="G360" s="125" t="str">
        <f t="array" ref="G360">ifs(or($F360="",$F360="Main Primary Artist"),$F360,not(iserror(vlookup($F360,'Reference info'!$J$5:$J$8,1,0))),"Key Artist",not(iserror(vlookup($F360,'Reference info'!$J$38:$J$405,1,0))),"Performer",not(iserror(vlookup($F360,'Reference info'!$J$10:$J$36,1,0))),"Producer &amp; Engineer")</f>
        <v/>
      </c>
    </row>
    <row r="361">
      <c r="A361" s="28"/>
      <c r="B361" s="97"/>
      <c r="C361" s="121" t="str">
        <f t="array" ref="C361">ifs(and(isblank($A361),isblank($B361)),"", not(iserror(vlookup($A361&amp;$B361,'3) Release_Label'!$D:$D&amp;'3) Release_Label'!$E:$E,1,0))),vlookup($A361&amp;$B361,{'3) Release_Label'!$D:$D&amp;'3) Release_Label'!$E:$E,'3) Release_Label'!$F:$F},2,0),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D361" s="121" t="str">
        <f t="array" ref="D361">ifs(and(isblank($A361),isblank($B361)),"", not(iserror(vlookup($A361&amp;$B361,'3) Release_Label'!$D:$D&amp;'3) Release_Label'!$E:$E,1,0))),vlookup($A361&amp;$B361,{'3) Release_Label'!$D:$D&amp;'3) Release_Label'!$E:$E,'3) Release_Label'!$H:$H},2,0),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E361" s="92"/>
      <c r="F361" s="92"/>
      <c r="G361" s="125" t="str">
        <f t="array" ref="G361">ifs(or($F361="",$F361="Main Primary Artist"),$F361,not(iserror(vlookup($F361,'Reference info'!$J$5:$J$8,1,0))),"Key Artist",not(iserror(vlookup($F361,'Reference info'!$J$38:$J$405,1,0))),"Performer",not(iserror(vlookup($F361,'Reference info'!$J$10:$J$36,1,0))),"Producer &amp; Engineer")</f>
        <v/>
      </c>
    </row>
    <row r="362">
      <c r="A362" s="28"/>
      <c r="B362" s="97"/>
      <c r="C362" s="121" t="str">
        <f t="array" ref="C362">ifs(and(isblank($A362),isblank($B362)),"", not(iserror(vlookup($A362&amp;$B362,'3) Release_Label'!$D:$D&amp;'3) Release_Label'!$E:$E,1,0))),vlookup($A362&amp;$B362,{'3) Release_Label'!$D:$D&amp;'3) Release_Label'!$E:$E,'3) Release_Label'!$F:$F},2,0),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D362" s="121" t="str">
        <f t="array" ref="D362">ifs(and(isblank($A362),isblank($B362)),"", not(iserror(vlookup($A362&amp;$B362,'3) Release_Label'!$D:$D&amp;'3) Release_Label'!$E:$E,1,0))),vlookup($A362&amp;$B362,{'3) Release_Label'!$D:$D&amp;'3) Release_Label'!$E:$E,'3) Release_Label'!$H:$H},2,0),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E362" s="92"/>
      <c r="F362" s="92"/>
      <c r="G362" s="125" t="str">
        <f t="array" ref="G362">ifs(or($F362="",$F362="Main Primary Artist"),$F362,not(iserror(vlookup($F362,'Reference info'!$J$5:$J$8,1,0))),"Key Artist",not(iserror(vlookup($F362,'Reference info'!$J$38:$J$405,1,0))),"Performer",not(iserror(vlookup($F362,'Reference info'!$J$10:$J$36,1,0))),"Producer &amp; Engineer")</f>
        <v/>
      </c>
    </row>
    <row r="363">
      <c r="A363" s="28"/>
      <c r="B363" s="97"/>
      <c r="C363" s="121" t="str">
        <f t="array" ref="C363">ifs(and(isblank($A363),isblank($B363)),"", not(iserror(vlookup($A363&amp;$B363,'3) Release_Label'!$D:$D&amp;'3) Release_Label'!$E:$E,1,0))),vlookup($A363&amp;$B363,{'3) Release_Label'!$D:$D&amp;'3) Release_Label'!$E:$E,'3) Release_Label'!$F:$F},2,0),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D363" s="121" t="str">
        <f t="array" ref="D363">ifs(and(isblank($A363),isblank($B363)),"", not(iserror(vlookup($A363&amp;$B363,'3) Release_Label'!$D:$D&amp;'3) Release_Label'!$E:$E,1,0))),vlookup($A363&amp;$B363,{'3) Release_Label'!$D:$D&amp;'3) Release_Label'!$E:$E,'3) Release_Label'!$H:$H},2,0),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E363" s="92"/>
      <c r="F363" s="92"/>
      <c r="G363" s="125" t="str">
        <f t="array" ref="G363">ifs(or($F363="",$F363="Main Primary Artist"),$F363,not(iserror(vlookup($F363,'Reference info'!$J$5:$J$8,1,0))),"Key Artist",not(iserror(vlookup($F363,'Reference info'!$J$38:$J$405,1,0))),"Performer",not(iserror(vlookup($F363,'Reference info'!$J$10:$J$36,1,0))),"Producer &amp; Engineer")</f>
        <v/>
      </c>
    </row>
    <row r="364">
      <c r="A364" s="28"/>
      <c r="B364" s="97"/>
      <c r="C364" s="121" t="str">
        <f t="array" ref="C364">ifs(and(isblank($A364),isblank($B364)),"", not(iserror(vlookup($A364&amp;$B364,'3) Release_Label'!$D:$D&amp;'3) Release_Label'!$E:$E,1,0))),vlookup($A364&amp;$B364,{'3) Release_Label'!$D:$D&amp;'3) Release_Label'!$E:$E,'3) Release_Label'!$F:$F},2,0),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D364" s="121" t="str">
        <f t="array" ref="D364">ifs(and(isblank($A364),isblank($B364)),"", not(iserror(vlookup($A364&amp;$B364,'3) Release_Label'!$D:$D&amp;'3) Release_Label'!$E:$E,1,0))),vlookup($A364&amp;$B364,{'3) Release_Label'!$D:$D&amp;'3) Release_Label'!$E:$E,'3) Release_Label'!$H:$H},2,0),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E364" s="92"/>
      <c r="F364" s="92"/>
      <c r="G364" s="125" t="str">
        <f t="array" ref="G364">ifs(or($F364="",$F364="Main Primary Artist"),$F364,not(iserror(vlookup($F364,'Reference info'!$J$5:$J$8,1,0))),"Key Artist",not(iserror(vlookup($F364,'Reference info'!$J$38:$J$405,1,0))),"Performer",not(iserror(vlookup($F364,'Reference info'!$J$10:$J$36,1,0))),"Producer &amp; Engineer")</f>
        <v/>
      </c>
    </row>
    <row r="365">
      <c r="A365" s="28"/>
      <c r="B365" s="97"/>
      <c r="C365" s="121" t="str">
        <f t="array" ref="C365">ifs(and(isblank($A365),isblank($B365)),"", not(iserror(vlookup($A365&amp;$B365,'3) Release_Label'!$D:$D&amp;'3) Release_Label'!$E:$E,1,0))),vlookup($A365&amp;$B365,{'3) Release_Label'!$D:$D&amp;'3) Release_Label'!$E:$E,'3) Release_Label'!$F:$F},2,0),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D365" s="121" t="str">
        <f t="array" ref="D365">ifs(and(isblank($A365),isblank($B365)),"", not(iserror(vlookup($A365&amp;$B365,'3) Release_Label'!$D:$D&amp;'3) Release_Label'!$E:$E,1,0))),vlookup($A365&amp;$B365,{'3) Release_Label'!$D:$D&amp;'3) Release_Label'!$E:$E,'3) Release_Label'!$H:$H},2,0),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E365" s="92"/>
      <c r="F365" s="92"/>
      <c r="G365" s="125" t="str">
        <f t="array" ref="G365">ifs(or($F365="",$F365="Main Primary Artist"),$F365,not(iserror(vlookup($F365,'Reference info'!$J$5:$J$8,1,0))),"Key Artist",not(iserror(vlookup($F365,'Reference info'!$J$38:$J$405,1,0))),"Performer",not(iserror(vlookup($F365,'Reference info'!$J$10:$J$36,1,0))),"Producer &amp; Engineer")</f>
        <v/>
      </c>
    </row>
    <row r="366">
      <c r="A366" s="28"/>
      <c r="B366" s="97"/>
      <c r="C366" s="121" t="str">
        <f t="array" ref="C366">ifs(and(isblank($A366),isblank($B366)),"", not(iserror(vlookup($A366&amp;$B366,'3) Release_Label'!$D:$D&amp;'3) Release_Label'!$E:$E,1,0))),vlookup($A366&amp;$B366,{'3) Release_Label'!$D:$D&amp;'3) Release_Label'!$E:$E,'3) Release_Label'!$F:$F},2,0),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D366" s="121" t="str">
        <f t="array" ref="D366">ifs(and(isblank($A366),isblank($B366)),"", not(iserror(vlookup($A366&amp;$B366,'3) Release_Label'!$D:$D&amp;'3) Release_Label'!$E:$E,1,0))),vlookup($A366&amp;$B366,{'3) Release_Label'!$D:$D&amp;'3) Release_Label'!$E:$E,'3) Release_Label'!$H:$H},2,0),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E366" s="92"/>
      <c r="F366" s="92"/>
      <c r="G366" s="125" t="str">
        <f t="array" ref="G366">ifs(or($F366="",$F366="Main Primary Artist"),$F366,not(iserror(vlookup($F366,'Reference info'!$J$5:$J$8,1,0))),"Key Artist",not(iserror(vlookup($F366,'Reference info'!$J$38:$J$405,1,0))),"Performer",not(iserror(vlookup($F366,'Reference info'!$J$10:$J$36,1,0))),"Producer &amp; Engineer")</f>
        <v/>
      </c>
    </row>
    <row r="367">
      <c r="A367" s="28"/>
      <c r="B367" s="97"/>
      <c r="C367" s="121" t="str">
        <f t="array" ref="C367">ifs(and(isblank($A367),isblank($B367)),"", not(iserror(vlookup($A367&amp;$B367,'3) Release_Label'!$D:$D&amp;'3) Release_Label'!$E:$E,1,0))),vlookup($A367&amp;$B367,{'3) Release_Label'!$D:$D&amp;'3) Release_Label'!$E:$E,'3) Release_Label'!$F:$F},2,0),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D367" s="121" t="str">
        <f t="array" ref="D367">ifs(and(isblank($A367),isblank($B367)),"", not(iserror(vlookup($A367&amp;$B367,'3) Release_Label'!$D:$D&amp;'3) Release_Label'!$E:$E,1,0))),vlookup($A367&amp;$B367,{'3) Release_Label'!$D:$D&amp;'3) Release_Label'!$E:$E,'3) Release_Label'!$H:$H},2,0),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E367" s="92"/>
      <c r="F367" s="92"/>
      <c r="G367" s="125" t="str">
        <f t="array" ref="G367">ifs(or($F367="",$F367="Main Primary Artist"),$F367,not(iserror(vlookup($F367,'Reference info'!$J$5:$J$8,1,0))),"Key Artist",not(iserror(vlookup($F367,'Reference info'!$J$38:$J$405,1,0))),"Performer",not(iserror(vlookup($F367,'Reference info'!$J$10:$J$36,1,0))),"Producer &amp; Engineer")</f>
        <v/>
      </c>
    </row>
    <row r="368">
      <c r="A368" s="28"/>
      <c r="B368" s="97"/>
      <c r="C368" s="121" t="str">
        <f t="array" ref="C368">ifs(and(isblank($A368),isblank($B368)),"", not(iserror(vlookup($A368&amp;$B368,'3) Release_Label'!$D:$D&amp;'3) Release_Label'!$E:$E,1,0))),vlookup($A368&amp;$B368,{'3) Release_Label'!$D:$D&amp;'3) Release_Label'!$E:$E,'3) Release_Label'!$F:$F},2,0),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D368" s="121" t="str">
        <f t="array" ref="D368">ifs(and(isblank($A368),isblank($B368)),"", not(iserror(vlookup($A368&amp;$B368,'3) Release_Label'!$D:$D&amp;'3) Release_Label'!$E:$E,1,0))),vlookup($A368&amp;$B368,{'3) Release_Label'!$D:$D&amp;'3) Release_Label'!$E:$E,'3) Release_Label'!$H:$H},2,0),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E368" s="92"/>
      <c r="F368" s="92"/>
      <c r="G368" s="125" t="str">
        <f t="array" ref="G368">ifs(or($F368="",$F368="Main Primary Artist"),$F368,not(iserror(vlookup($F368,'Reference info'!$J$5:$J$8,1,0))),"Key Artist",not(iserror(vlookup($F368,'Reference info'!$J$38:$J$405,1,0))),"Performer",not(iserror(vlookup($F368,'Reference info'!$J$10:$J$36,1,0))),"Producer &amp; Engineer")</f>
        <v/>
      </c>
    </row>
    <row r="369">
      <c r="A369" s="28"/>
      <c r="B369" s="97"/>
      <c r="C369" s="121" t="str">
        <f t="array" ref="C369">ifs(and(isblank($A369),isblank($B369)),"", not(iserror(vlookup($A369&amp;$B369,'3) Release_Label'!$D:$D&amp;'3) Release_Label'!$E:$E,1,0))),vlookup($A369&amp;$B369,{'3) Release_Label'!$D:$D&amp;'3) Release_Label'!$E:$E,'3) Release_Label'!$F:$F},2,0),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D369" s="121" t="str">
        <f t="array" ref="D369">ifs(and(isblank($A369),isblank($B369)),"", not(iserror(vlookup($A369&amp;$B369,'3) Release_Label'!$D:$D&amp;'3) Release_Label'!$E:$E,1,0))),vlookup($A369&amp;$B369,{'3) Release_Label'!$D:$D&amp;'3) Release_Label'!$E:$E,'3) Release_Label'!$H:$H},2,0),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E369" s="92"/>
      <c r="F369" s="92"/>
      <c r="G369" s="125" t="str">
        <f t="array" ref="G369">ifs(or($F369="",$F369="Main Primary Artist"),$F369,not(iserror(vlookup($F369,'Reference info'!$J$5:$J$8,1,0))),"Key Artist",not(iserror(vlookup($F369,'Reference info'!$J$38:$J$405,1,0))),"Performer",not(iserror(vlookup($F369,'Reference info'!$J$10:$J$36,1,0))),"Producer &amp; Engineer")</f>
        <v/>
      </c>
    </row>
    <row r="370">
      <c r="A370" s="28"/>
      <c r="B370" s="97"/>
      <c r="C370" s="121" t="str">
        <f t="array" ref="C370">ifs(and(isblank($A370),isblank($B370)),"", not(iserror(vlookup($A370&amp;$B370,'3) Release_Label'!$D:$D&amp;'3) Release_Label'!$E:$E,1,0))),vlookup($A370&amp;$B370,{'3) Release_Label'!$D:$D&amp;'3) Release_Label'!$E:$E,'3) Release_Label'!$F:$F},2,0),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D370" s="121" t="str">
        <f t="array" ref="D370">ifs(and(isblank($A370),isblank($B370)),"", not(iserror(vlookup($A370&amp;$B370,'3) Release_Label'!$D:$D&amp;'3) Release_Label'!$E:$E,1,0))),vlookup($A370&amp;$B370,{'3) Release_Label'!$D:$D&amp;'3) Release_Label'!$E:$E,'3) Release_Label'!$H:$H},2,0),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E370" s="92"/>
      <c r="F370" s="92"/>
      <c r="G370" s="125" t="str">
        <f t="array" ref="G370">ifs(or($F370="",$F370="Main Primary Artist"),$F370,not(iserror(vlookup($F370,'Reference info'!$J$5:$J$8,1,0))),"Key Artist",not(iserror(vlookup($F370,'Reference info'!$J$38:$J$405,1,0))),"Performer",not(iserror(vlookup($F370,'Reference info'!$J$10:$J$36,1,0))),"Producer &amp; Engineer")</f>
        <v/>
      </c>
    </row>
    <row r="371">
      <c r="A371" s="28"/>
      <c r="B371" s="97"/>
      <c r="C371" s="121" t="str">
        <f t="array" ref="C371">ifs(and(isblank($A371),isblank($B371)),"", not(iserror(vlookup($A371&amp;$B371,'3) Release_Label'!$D:$D&amp;'3) Release_Label'!$E:$E,1,0))),vlookup($A371&amp;$B371,{'3) Release_Label'!$D:$D&amp;'3) Release_Label'!$E:$E,'3) Release_Label'!$F:$F},2,0),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D371" s="121" t="str">
        <f t="array" ref="D371">ifs(and(isblank($A371),isblank($B371)),"", not(iserror(vlookup($A371&amp;$B371,'3) Release_Label'!$D:$D&amp;'3) Release_Label'!$E:$E,1,0))),vlookup($A371&amp;$B371,{'3) Release_Label'!$D:$D&amp;'3) Release_Label'!$E:$E,'3) Release_Label'!$H:$H},2,0),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E371" s="92"/>
      <c r="F371" s="92"/>
      <c r="G371" s="125" t="str">
        <f t="array" ref="G371">ifs(or($F371="",$F371="Main Primary Artist"),$F371,not(iserror(vlookup($F371,'Reference info'!$J$5:$J$8,1,0))),"Key Artist",not(iserror(vlookup($F371,'Reference info'!$J$38:$J$405,1,0))),"Performer",not(iserror(vlookup($F371,'Reference info'!$J$10:$J$36,1,0))),"Producer &amp; Engineer")</f>
        <v/>
      </c>
    </row>
    <row r="372">
      <c r="A372" s="28"/>
      <c r="B372" s="97"/>
      <c r="C372" s="121" t="str">
        <f t="array" ref="C372">ifs(and(isblank($A372),isblank($B372)),"", not(iserror(vlookup($A372&amp;$B372,'3) Release_Label'!$D:$D&amp;'3) Release_Label'!$E:$E,1,0))),vlookup($A372&amp;$B372,{'3) Release_Label'!$D:$D&amp;'3) Release_Label'!$E:$E,'3) Release_Label'!$F:$F},2,0),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D372" s="121" t="str">
        <f t="array" ref="D372">ifs(and(isblank($A372),isblank($B372)),"", not(iserror(vlookup($A372&amp;$B372,'3) Release_Label'!$D:$D&amp;'3) Release_Label'!$E:$E,1,0))),vlookup($A372&amp;$B372,{'3) Release_Label'!$D:$D&amp;'3) Release_Label'!$E:$E,'3) Release_Label'!$H:$H},2,0),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E372" s="92"/>
      <c r="F372" s="92"/>
      <c r="G372" s="125" t="str">
        <f t="array" ref="G372">ifs(or($F372="",$F372="Main Primary Artist"),$F372,not(iserror(vlookup($F372,'Reference info'!$J$5:$J$8,1,0))),"Key Artist",not(iserror(vlookup($F372,'Reference info'!$J$38:$J$405,1,0))),"Performer",not(iserror(vlookup($F372,'Reference info'!$J$10:$J$36,1,0))),"Producer &amp; Engineer")</f>
        <v/>
      </c>
    </row>
    <row r="373">
      <c r="A373" s="28"/>
      <c r="B373" s="97"/>
      <c r="C373" s="121" t="str">
        <f t="array" ref="C373">ifs(and(isblank($A373),isblank($B373)),"", not(iserror(vlookup($A373&amp;$B373,'3) Release_Label'!$D:$D&amp;'3) Release_Label'!$E:$E,1,0))),vlookup($A373&amp;$B373,{'3) Release_Label'!$D:$D&amp;'3) Release_Label'!$E:$E,'3) Release_Label'!$F:$F},2,0),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D373" s="121" t="str">
        <f t="array" ref="D373">ifs(and(isblank($A373),isblank($B373)),"", not(iserror(vlookup($A373&amp;$B373,'3) Release_Label'!$D:$D&amp;'3) Release_Label'!$E:$E,1,0))),vlookup($A373&amp;$B373,{'3) Release_Label'!$D:$D&amp;'3) Release_Label'!$E:$E,'3) Release_Label'!$H:$H},2,0),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E373" s="92"/>
      <c r="F373" s="92"/>
      <c r="G373" s="125" t="str">
        <f t="array" ref="G373">ifs(or($F373="",$F373="Main Primary Artist"),$F373,not(iserror(vlookup($F373,'Reference info'!$J$5:$J$8,1,0))),"Key Artist",not(iserror(vlookup($F373,'Reference info'!$J$38:$J$405,1,0))),"Performer",not(iserror(vlookup($F373,'Reference info'!$J$10:$J$36,1,0))),"Producer &amp; Engineer")</f>
        <v/>
      </c>
    </row>
    <row r="374">
      <c r="A374" s="28"/>
      <c r="B374" s="97"/>
      <c r="C374" s="121" t="str">
        <f t="array" ref="C374">ifs(and(isblank($A374),isblank($B374)),"", not(iserror(vlookup($A374&amp;$B374,'3) Release_Label'!$D:$D&amp;'3) Release_Label'!$E:$E,1,0))),vlookup($A374&amp;$B374,{'3) Release_Label'!$D:$D&amp;'3) Release_Label'!$E:$E,'3) Release_Label'!$F:$F},2,0),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D374" s="121" t="str">
        <f t="array" ref="D374">ifs(and(isblank($A374),isblank($B374)),"", not(iserror(vlookup($A374&amp;$B374,'3) Release_Label'!$D:$D&amp;'3) Release_Label'!$E:$E,1,0))),vlookup($A374&amp;$B374,{'3) Release_Label'!$D:$D&amp;'3) Release_Label'!$E:$E,'3) Release_Label'!$H:$H},2,0),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E374" s="92"/>
      <c r="F374" s="92"/>
      <c r="G374" s="125" t="str">
        <f t="array" ref="G374">ifs(or($F374="",$F374="Main Primary Artist"),$F374,not(iserror(vlookup($F374,'Reference info'!$J$5:$J$8,1,0))),"Key Artist",not(iserror(vlookup($F374,'Reference info'!$J$38:$J$405,1,0))),"Performer",not(iserror(vlookup($F374,'Reference info'!$J$10:$J$36,1,0))),"Producer &amp; Engineer")</f>
        <v/>
      </c>
    </row>
    <row r="375">
      <c r="A375" s="28"/>
      <c r="B375" s="97"/>
      <c r="C375" s="121" t="str">
        <f t="array" ref="C375">ifs(and(isblank($A375),isblank($B375)),"", not(iserror(vlookup($A375&amp;$B375,'3) Release_Label'!$D:$D&amp;'3) Release_Label'!$E:$E,1,0))),vlookup($A375&amp;$B375,{'3) Release_Label'!$D:$D&amp;'3) Release_Label'!$E:$E,'3) Release_Label'!$F:$F},2,0),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D375" s="121" t="str">
        <f t="array" ref="D375">ifs(and(isblank($A375),isblank($B375)),"", not(iserror(vlookup($A375&amp;$B375,'3) Release_Label'!$D:$D&amp;'3) Release_Label'!$E:$E,1,0))),vlookup($A375&amp;$B375,{'3) Release_Label'!$D:$D&amp;'3) Release_Label'!$E:$E,'3) Release_Label'!$H:$H},2,0),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E375" s="92"/>
      <c r="F375" s="92"/>
      <c r="G375" s="125" t="str">
        <f t="array" ref="G375">ifs(or($F375="",$F375="Main Primary Artist"),$F375,not(iserror(vlookup($F375,'Reference info'!$J$5:$J$8,1,0))),"Key Artist",not(iserror(vlookup($F375,'Reference info'!$J$38:$J$405,1,0))),"Performer",not(iserror(vlookup($F375,'Reference info'!$J$10:$J$36,1,0))),"Producer &amp; Engineer")</f>
        <v/>
      </c>
    </row>
    <row r="376">
      <c r="A376" s="28"/>
      <c r="B376" s="97"/>
      <c r="C376" s="121" t="str">
        <f t="array" ref="C376">ifs(and(isblank($A376),isblank($B376)),"", not(iserror(vlookup($A376&amp;$B376,'3) Release_Label'!$D:$D&amp;'3) Release_Label'!$E:$E,1,0))),vlookup($A376&amp;$B376,{'3) Release_Label'!$D:$D&amp;'3) Release_Label'!$E:$E,'3) Release_Label'!$F:$F},2,0),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D376" s="121" t="str">
        <f t="array" ref="D376">ifs(and(isblank($A376),isblank($B376)),"", not(iserror(vlookup($A376&amp;$B376,'3) Release_Label'!$D:$D&amp;'3) Release_Label'!$E:$E,1,0))),vlookup($A376&amp;$B376,{'3) Release_Label'!$D:$D&amp;'3) Release_Label'!$E:$E,'3) Release_Label'!$H:$H},2,0),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E376" s="92"/>
      <c r="F376" s="92"/>
      <c r="G376" s="125" t="str">
        <f t="array" ref="G376">ifs(or($F376="",$F376="Main Primary Artist"),$F376,not(iserror(vlookup($F376,'Reference info'!$J$5:$J$8,1,0))),"Key Artist",not(iserror(vlookup($F376,'Reference info'!$J$38:$J$405,1,0))),"Performer",not(iserror(vlookup($F376,'Reference info'!$J$10:$J$36,1,0))),"Producer &amp; Engineer")</f>
        <v/>
      </c>
    </row>
    <row r="377">
      <c r="A377" s="28"/>
      <c r="B377" s="97"/>
      <c r="C377" s="121" t="str">
        <f t="array" ref="C377">ifs(and(isblank($A377),isblank($B377)),"", not(iserror(vlookup($A377&amp;$B377,'3) Release_Label'!$D:$D&amp;'3) Release_Label'!$E:$E,1,0))),vlookup($A377&amp;$B377,{'3) Release_Label'!$D:$D&amp;'3) Release_Label'!$E:$E,'3) Release_Label'!$F:$F},2,0),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D377" s="121" t="str">
        <f t="array" ref="D377">ifs(and(isblank($A377),isblank($B377)),"", not(iserror(vlookup($A377&amp;$B377,'3) Release_Label'!$D:$D&amp;'3) Release_Label'!$E:$E,1,0))),vlookup($A377&amp;$B377,{'3) Release_Label'!$D:$D&amp;'3) Release_Label'!$E:$E,'3) Release_Label'!$H:$H},2,0),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E377" s="92"/>
      <c r="F377" s="92"/>
      <c r="G377" s="125" t="str">
        <f t="array" ref="G377">ifs(or($F377="",$F377="Main Primary Artist"),$F377,not(iserror(vlookup($F377,'Reference info'!$J$5:$J$8,1,0))),"Key Artist",not(iserror(vlookup($F377,'Reference info'!$J$38:$J$405,1,0))),"Performer",not(iserror(vlookup($F377,'Reference info'!$J$10:$J$36,1,0))),"Producer &amp; Engineer")</f>
        <v/>
      </c>
    </row>
    <row r="378">
      <c r="A378" s="28"/>
      <c r="B378" s="97"/>
      <c r="C378" s="121" t="str">
        <f t="array" ref="C378">ifs(and(isblank($A378),isblank($B378)),"", not(iserror(vlookup($A378&amp;$B378,'3) Release_Label'!$D:$D&amp;'3) Release_Label'!$E:$E,1,0))),vlookup($A378&amp;$B378,{'3) Release_Label'!$D:$D&amp;'3) Release_Label'!$E:$E,'3) Release_Label'!$F:$F},2,0),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D378" s="121" t="str">
        <f t="array" ref="D378">ifs(and(isblank($A378),isblank($B378)),"", not(iserror(vlookup($A378&amp;$B378,'3) Release_Label'!$D:$D&amp;'3) Release_Label'!$E:$E,1,0))),vlookup($A378&amp;$B378,{'3) Release_Label'!$D:$D&amp;'3) Release_Label'!$E:$E,'3) Release_Label'!$H:$H},2,0),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E378" s="92"/>
      <c r="F378" s="92"/>
      <c r="G378" s="125" t="str">
        <f t="array" ref="G378">ifs(or($F378="",$F378="Main Primary Artist"),$F378,not(iserror(vlookup($F378,'Reference info'!$J$5:$J$8,1,0))),"Key Artist",not(iserror(vlookup($F378,'Reference info'!$J$38:$J$405,1,0))),"Performer",not(iserror(vlookup($F378,'Reference info'!$J$10:$J$36,1,0))),"Producer &amp; Engineer")</f>
        <v/>
      </c>
    </row>
    <row r="379">
      <c r="A379" s="28"/>
      <c r="B379" s="97"/>
      <c r="C379" s="121" t="str">
        <f t="array" ref="C379">ifs(and(isblank($A379),isblank($B379)),"", not(iserror(vlookup($A379&amp;$B379,'3) Release_Label'!$D:$D&amp;'3) Release_Label'!$E:$E,1,0))),vlookup($A379&amp;$B379,{'3) Release_Label'!$D:$D&amp;'3) Release_Label'!$E:$E,'3) Release_Label'!$F:$F},2,0),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D379" s="121" t="str">
        <f t="array" ref="D379">ifs(and(isblank($A379),isblank($B379)),"", not(iserror(vlookup($A379&amp;$B379,'3) Release_Label'!$D:$D&amp;'3) Release_Label'!$E:$E,1,0))),vlookup($A379&amp;$B379,{'3) Release_Label'!$D:$D&amp;'3) Release_Label'!$E:$E,'3) Release_Label'!$H:$H},2,0),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E379" s="92"/>
      <c r="F379" s="92"/>
      <c r="G379" s="125" t="str">
        <f t="array" ref="G379">ifs(or($F379="",$F379="Main Primary Artist"),$F379,not(iserror(vlookup($F379,'Reference info'!$J$5:$J$8,1,0))),"Key Artist",not(iserror(vlookup($F379,'Reference info'!$J$38:$J$405,1,0))),"Performer",not(iserror(vlookup($F379,'Reference info'!$J$10:$J$36,1,0))),"Producer &amp; Engineer")</f>
        <v/>
      </c>
    </row>
    <row r="380">
      <c r="A380" s="28"/>
      <c r="B380" s="97"/>
      <c r="C380" s="121" t="str">
        <f t="array" ref="C380">ifs(and(isblank($A380),isblank($B380)),"", not(iserror(vlookup($A380&amp;$B380,'3) Release_Label'!$D:$D&amp;'3) Release_Label'!$E:$E,1,0))),vlookup($A380&amp;$B380,{'3) Release_Label'!$D:$D&amp;'3) Release_Label'!$E:$E,'3) Release_Label'!$F:$F},2,0),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D380" s="121" t="str">
        <f t="array" ref="D380">ifs(and(isblank($A380),isblank($B380)),"", not(iserror(vlookup($A380&amp;$B380,'3) Release_Label'!$D:$D&amp;'3) Release_Label'!$E:$E,1,0))),vlookup($A380&amp;$B380,{'3) Release_Label'!$D:$D&amp;'3) Release_Label'!$E:$E,'3) Release_Label'!$H:$H},2,0),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E380" s="92"/>
      <c r="F380" s="92"/>
      <c r="G380" s="125" t="str">
        <f t="array" ref="G380">ifs(or($F380="",$F380="Main Primary Artist"),$F380,not(iserror(vlookup($F380,'Reference info'!$J$5:$J$8,1,0))),"Key Artist",not(iserror(vlookup($F380,'Reference info'!$J$38:$J$405,1,0))),"Performer",not(iserror(vlookup($F380,'Reference info'!$J$10:$J$36,1,0))),"Producer &amp; Engineer")</f>
        <v/>
      </c>
    </row>
    <row r="381">
      <c r="A381" s="28"/>
      <c r="B381" s="97"/>
      <c r="C381" s="121" t="str">
        <f t="array" ref="C381">ifs(and(isblank($A381),isblank($B381)),"", not(iserror(vlookup($A381&amp;$B381,'3) Release_Label'!$D:$D&amp;'3) Release_Label'!$E:$E,1,0))),vlookup($A381&amp;$B381,{'3) Release_Label'!$D:$D&amp;'3) Release_Label'!$E:$E,'3) Release_Label'!$F:$F},2,0),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D381" s="121" t="str">
        <f t="array" ref="D381">ifs(and(isblank($A381),isblank($B381)),"", not(iserror(vlookup($A381&amp;$B381,'3) Release_Label'!$D:$D&amp;'3) Release_Label'!$E:$E,1,0))),vlookup($A381&amp;$B381,{'3) Release_Label'!$D:$D&amp;'3) Release_Label'!$E:$E,'3) Release_Label'!$H:$H},2,0),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E381" s="92"/>
      <c r="F381" s="92"/>
      <c r="G381" s="125" t="str">
        <f t="array" ref="G381">ifs(or($F381="",$F381="Main Primary Artist"),$F381,not(iserror(vlookup($F381,'Reference info'!$J$5:$J$8,1,0))),"Key Artist",not(iserror(vlookup($F381,'Reference info'!$J$38:$J$405,1,0))),"Performer",not(iserror(vlookup($F381,'Reference info'!$J$10:$J$36,1,0))),"Producer &amp; Engineer")</f>
        <v/>
      </c>
    </row>
    <row r="382">
      <c r="A382" s="28"/>
      <c r="B382" s="97"/>
      <c r="C382" s="121" t="str">
        <f t="array" ref="C382">ifs(and(isblank($A382),isblank($B382)),"", not(iserror(vlookup($A382&amp;$B382,'3) Release_Label'!$D:$D&amp;'3) Release_Label'!$E:$E,1,0))),vlookup($A382&amp;$B382,{'3) Release_Label'!$D:$D&amp;'3) Release_Label'!$E:$E,'3) Release_Label'!$F:$F},2,0),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D382" s="121" t="str">
        <f t="array" ref="D382">ifs(and(isblank($A382),isblank($B382)),"", not(iserror(vlookup($A382&amp;$B382,'3) Release_Label'!$D:$D&amp;'3) Release_Label'!$E:$E,1,0))),vlookup($A382&amp;$B382,{'3) Release_Label'!$D:$D&amp;'3) Release_Label'!$E:$E,'3) Release_Label'!$H:$H},2,0),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E382" s="92"/>
      <c r="F382" s="92"/>
      <c r="G382" s="125" t="str">
        <f t="array" ref="G382">ifs(or($F382="",$F382="Main Primary Artist"),$F382,not(iserror(vlookup($F382,'Reference info'!$J$5:$J$8,1,0))),"Key Artist",not(iserror(vlookup($F382,'Reference info'!$J$38:$J$405,1,0))),"Performer",not(iserror(vlookup($F382,'Reference info'!$J$10:$J$36,1,0))),"Producer &amp; Engineer")</f>
        <v/>
      </c>
    </row>
    <row r="383">
      <c r="A383" s="28"/>
      <c r="B383" s="97"/>
      <c r="C383" s="121" t="str">
        <f t="array" ref="C383">ifs(and(isblank($A383),isblank($B383)),"", not(iserror(vlookup($A383&amp;$B383,'3) Release_Label'!$D:$D&amp;'3) Release_Label'!$E:$E,1,0))),vlookup($A383&amp;$B383,{'3) Release_Label'!$D:$D&amp;'3) Release_Label'!$E:$E,'3) Release_Label'!$F:$F},2,0),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D383" s="121" t="str">
        <f t="array" ref="D383">ifs(and(isblank($A383),isblank($B383)),"", not(iserror(vlookup($A383&amp;$B383,'3) Release_Label'!$D:$D&amp;'3) Release_Label'!$E:$E,1,0))),vlookup($A383&amp;$B383,{'3) Release_Label'!$D:$D&amp;'3) Release_Label'!$E:$E,'3) Release_Label'!$H:$H},2,0),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E383" s="92"/>
      <c r="F383" s="92"/>
      <c r="G383" s="125" t="str">
        <f t="array" ref="G383">ifs(or($F383="",$F383="Main Primary Artist"),$F383,not(iserror(vlookup($F383,'Reference info'!$J$5:$J$8,1,0))),"Key Artist",not(iserror(vlookup($F383,'Reference info'!$J$38:$J$405,1,0))),"Performer",not(iserror(vlookup($F383,'Reference info'!$J$10:$J$36,1,0))),"Producer &amp; Engineer")</f>
        <v/>
      </c>
    </row>
    <row r="384">
      <c r="A384" s="28"/>
      <c r="B384" s="97"/>
      <c r="C384" s="121" t="str">
        <f t="array" ref="C384">ifs(and(isblank($A384),isblank($B384)),"", not(iserror(vlookup($A384&amp;$B384,'3) Release_Label'!$D:$D&amp;'3) Release_Label'!$E:$E,1,0))),vlookup($A384&amp;$B384,{'3) Release_Label'!$D:$D&amp;'3) Release_Label'!$E:$E,'3) Release_Label'!$F:$F},2,0),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D384" s="121" t="str">
        <f t="array" ref="D384">ifs(and(isblank($A384),isblank($B384)),"", not(iserror(vlookup($A384&amp;$B384,'3) Release_Label'!$D:$D&amp;'3) Release_Label'!$E:$E,1,0))),vlookup($A384&amp;$B384,{'3) Release_Label'!$D:$D&amp;'3) Release_Label'!$E:$E,'3) Release_Label'!$H:$H},2,0),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E384" s="92"/>
      <c r="F384" s="92"/>
      <c r="G384" s="125" t="str">
        <f t="array" ref="G384">ifs(or($F384="",$F384="Main Primary Artist"),$F384,not(iserror(vlookup($F384,'Reference info'!$J$5:$J$8,1,0))),"Key Artist",not(iserror(vlookup($F384,'Reference info'!$J$38:$J$405,1,0))),"Performer",not(iserror(vlookup($F384,'Reference info'!$J$10:$J$36,1,0))),"Producer &amp; Engineer")</f>
        <v/>
      </c>
    </row>
    <row r="385">
      <c r="A385" s="28"/>
      <c r="B385" s="97"/>
      <c r="C385" s="121" t="str">
        <f t="array" ref="C385">ifs(and(isblank($A385),isblank($B385)),"", not(iserror(vlookup($A385&amp;$B385,'3) Release_Label'!$D:$D&amp;'3) Release_Label'!$E:$E,1,0))),vlookup($A385&amp;$B385,{'3) Release_Label'!$D:$D&amp;'3) Release_Label'!$E:$E,'3) Release_Label'!$F:$F},2,0),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D385" s="121" t="str">
        <f t="array" ref="D385">ifs(and(isblank($A385),isblank($B385)),"", not(iserror(vlookup($A385&amp;$B385,'3) Release_Label'!$D:$D&amp;'3) Release_Label'!$E:$E,1,0))),vlookup($A385&amp;$B385,{'3) Release_Label'!$D:$D&amp;'3) Release_Label'!$E:$E,'3) Release_Label'!$H:$H},2,0),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E385" s="92"/>
      <c r="F385" s="92"/>
      <c r="G385" s="125" t="str">
        <f t="array" ref="G385">ifs(or($F385="",$F385="Main Primary Artist"),$F385,not(iserror(vlookup($F385,'Reference info'!$J$5:$J$8,1,0))),"Key Artist",not(iserror(vlookup($F385,'Reference info'!$J$38:$J$405,1,0))),"Performer",not(iserror(vlookup($F385,'Reference info'!$J$10:$J$36,1,0))),"Producer &amp; Engineer")</f>
        <v/>
      </c>
    </row>
    <row r="386">
      <c r="A386" s="28"/>
      <c r="B386" s="97"/>
      <c r="C386" s="121" t="str">
        <f t="array" ref="C386">ifs(and(isblank($A386),isblank($B386)),"", not(iserror(vlookup($A386&amp;$B386,'3) Release_Label'!$D:$D&amp;'3) Release_Label'!$E:$E,1,0))),vlookup($A386&amp;$B386,{'3) Release_Label'!$D:$D&amp;'3) Release_Label'!$E:$E,'3) Release_Label'!$F:$F},2,0),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D386" s="121" t="str">
        <f t="array" ref="D386">ifs(and(isblank($A386),isblank($B386)),"", not(iserror(vlookup($A386&amp;$B386,'3) Release_Label'!$D:$D&amp;'3) Release_Label'!$E:$E,1,0))),vlookup($A386&amp;$B386,{'3) Release_Label'!$D:$D&amp;'3) Release_Label'!$E:$E,'3) Release_Label'!$H:$H},2,0),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E386" s="92"/>
      <c r="F386" s="92"/>
      <c r="G386" s="125" t="str">
        <f t="array" ref="G386">ifs(or($F386="",$F386="Main Primary Artist"),$F386,not(iserror(vlookup($F386,'Reference info'!$J$5:$J$8,1,0))),"Key Artist",not(iserror(vlookup($F386,'Reference info'!$J$38:$J$405,1,0))),"Performer",not(iserror(vlookup($F386,'Reference info'!$J$10:$J$36,1,0))),"Producer &amp; Engineer")</f>
        <v/>
      </c>
    </row>
    <row r="387">
      <c r="A387" s="28"/>
      <c r="B387" s="97"/>
      <c r="C387" s="121" t="str">
        <f t="array" ref="C387">ifs(and(isblank($A387),isblank($B387)),"", not(iserror(vlookup($A387&amp;$B387,'3) Release_Label'!$D:$D&amp;'3) Release_Label'!$E:$E,1,0))),vlookup($A387&amp;$B387,{'3) Release_Label'!$D:$D&amp;'3) Release_Label'!$E:$E,'3) Release_Label'!$F:$F},2,0),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D387" s="121" t="str">
        <f t="array" ref="D387">ifs(and(isblank($A387),isblank($B387)),"", not(iserror(vlookup($A387&amp;$B387,'3) Release_Label'!$D:$D&amp;'3) Release_Label'!$E:$E,1,0))),vlookup($A387&amp;$B387,{'3) Release_Label'!$D:$D&amp;'3) Release_Label'!$E:$E,'3) Release_Label'!$H:$H},2,0),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E387" s="92"/>
      <c r="F387" s="92"/>
      <c r="G387" s="125" t="str">
        <f t="array" ref="G387">ifs(or($F387="",$F387="Main Primary Artist"),$F387,not(iserror(vlookup($F387,'Reference info'!$J$5:$J$8,1,0))),"Key Artist",not(iserror(vlookup($F387,'Reference info'!$J$38:$J$405,1,0))),"Performer",not(iserror(vlookup($F387,'Reference info'!$J$10:$J$36,1,0))),"Producer &amp; Engineer")</f>
        <v/>
      </c>
    </row>
    <row r="388">
      <c r="A388" s="28"/>
      <c r="B388" s="97"/>
      <c r="C388" s="121" t="str">
        <f t="array" ref="C388">ifs(and(isblank($A388),isblank($B388)),"", not(iserror(vlookup($A388&amp;$B388,'3) Release_Label'!$D:$D&amp;'3) Release_Label'!$E:$E,1,0))),vlookup($A388&amp;$B388,{'3) Release_Label'!$D:$D&amp;'3) Release_Label'!$E:$E,'3) Release_Label'!$F:$F},2,0),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D388" s="121" t="str">
        <f t="array" ref="D388">ifs(and(isblank($A388),isblank($B388)),"", not(iserror(vlookup($A388&amp;$B388,'3) Release_Label'!$D:$D&amp;'3) Release_Label'!$E:$E,1,0))),vlookup($A388&amp;$B388,{'3) Release_Label'!$D:$D&amp;'3) Release_Label'!$E:$E,'3) Release_Label'!$H:$H},2,0),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E388" s="92"/>
      <c r="F388" s="92"/>
      <c r="G388" s="125" t="str">
        <f t="array" ref="G388">ifs(or($F388="",$F388="Main Primary Artist"),$F388,not(iserror(vlookup($F388,'Reference info'!$J$5:$J$8,1,0))),"Key Artist",not(iserror(vlookup($F388,'Reference info'!$J$38:$J$405,1,0))),"Performer",not(iserror(vlookup($F388,'Reference info'!$J$10:$J$36,1,0))),"Producer &amp; Engineer")</f>
        <v/>
      </c>
    </row>
    <row r="389">
      <c r="A389" s="28"/>
      <c r="B389" s="97"/>
      <c r="C389" s="121" t="str">
        <f t="array" ref="C389">ifs(and(isblank($A389),isblank($B389)),"", not(iserror(vlookup($A389&amp;$B389,'3) Release_Label'!$D:$D&amp;'3) Release_Label'!$E:$E,1,0))),vlookup($A389&amp;$B389,{'3) Release_Label'!$D:$D&amp;'3) Release_Label'!$E:$E,'3) Release_Label'!$F:$F},2,0),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D389" s="121" t="str">
        <f t="array" ref="D389">ifs(and(isblank($A389),isblank($B389)),"", not(iserror(vlookup($A389&amp;$B389,'3) Release_Label'!$D:$D&amp;'3) Release_Label'!$E:$E,1,0))),vlookup($A389&amp;$B389,{'3) Release_Label'!$D:$D&amp;'3) Release_Label'!$E:$E,'3) Release_Label'!$H:$H},2,0),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E389" s="92"/>
      <c r="F389" s="92"/>
      <c r="G389" s="125" t="str">
        <f t="array" ref="G389">ifs(or($F389="",$F389="Main Primary Artist"),$F389,not(iserror(vlookup($F389,'Reference info'!$J$5:$J$8,1,0))),"Key Artist",not(iserror(vlookup($F389,'Reference info'!$J$38:$J$405,1,0))),"Performer",not(iserror(vlookup($F389,'Reference info'!$J$10:$J$36,1,0))),"Producer &amp; Engineer")</f>
        <v/>
      </c>
    </row>
    <row r="390">
      <c r="A390" s="28"/>
      <c r="B390" s="97"/>
      <c r="C390" s="121" t="str">
        <f t="array" ref="C390">ifs(and(isblank($A390),isblank($B390)),"", not(iserror(vlookup($A390&amp;$B390,'3) Release_Label'!$D:$D&amp;'3) Release_Label'!$E:$E,1,0))),vlookup($A390&amp;$B390,{'3) Release_Label'!$D:$D&amp;'3) Release_Label'!$E:$E,'3) Release_Label'!$F:$F},2,0),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D390" s="121" t="str">
        <f t="array" ref="D390">ifs(and(isblank($A390),isblank($B390)),"", not(iserror(vlookup($A390&amp;$B390,'3) Release_Label'!$D:$D&amp;'3) Release_Label'!$E:$E,1,0))),vlookup($A390&amp;$B390,{'3) Release_Label'!$D:$D&amp;'3) Release_Label'!$E:$E,'3) Release_Label'!$H:$H},2,0),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E390" s="92"/>
      <c r="F390" s="92"/>
      <c r="G390" s="125" t="str">
        <f t="array" ref="G390">ifs(or($F390="",$F390="Main Primary Artist"),$F390,not(iserror(vlookup($F390,'Reference info'!$J$5:$J$8,1,0))),"Key Artist",not(iserror(vlookup($F390,'Reference info'!$J$38:$J$405,1,0))),"Performer",not(iserror(vlookup($F390,'Reference info'!$J$10:$J$36,1,0))),"Producer &amp; Engineer")</f>
        <v/>
      </c>
    </row>
    <row r="391">
      <c r="A391" s="28"/>
      <c r="B391" s="97"/>
      <c r="C391" s="121" t="str">
        <f t="array" ref="C391">ifs(and(isblank($A391),isblank($B391)),"", not(iserror(vlookup($A391&amp;$B391,'3) Release_Label'!$D:$D&amp;'3) Release_Label'!$E:$E,1,0))),vlookup($A391&amp;$B391,{'3) Release_Label'!$D:$D&amp;'3) Release_Label'!$E:$E,'3) Release_Label'!$F:$F},2,0),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D391" s="121" t="str">
        <f t="array" ref="D391">ifs(and(isblank($A391),isblank($B391)),"", not(iserror(vlookup($A391&amp;$B391,'3) Release_Label'!$D:$D&amp;'3) Release_Label'!$E:$E,1,0))),vlookup($A391&amp;$B391,{'3) Release_Label'!$D:$D&amp;'3) Release_Label'!$E:$E,'3) Release_Label'!$H:$H},2,0),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E391" s="92"/>
      <c r="F391" s="92"/>
      <c r="G391" s="125" t="str">
        <f t="array" ref="G391">ifs(or($F391="",$F391="Main Primary Artist"),$F391,not(iserror(vlookup($F391,'Reference info'!$J$5:$J$8,1,0))),"Key Artist",not(iserror(vlookup($F391,'Reference info'!$J$38:$J$405,1,0))),"Performer",not(iserror(vlookup($F391,'Reference info'!$J$10:$J$36,1,0))),"Producer &amp; Engineer")</f>
        <v/>
      </c>
    </row>
    <row r="392">
      <c r="A392" s="28"/>
      <c r="B392" s="97"/>
      <c r="C392" s="121" t="str">
        <f t="array" ref="C392">ifs(and(isblank($A392),isblank($B392)),"", not(iserror(vlookup($A392&amp;$B392,'3) Release_Label'!$D:$D&amp;'3) Release_Label'!$E:$E,1,0))),vlookup($A392&amp;$B392,{'3) Release_Label'!$D:$D&amp;'3) Release_Label'!$E:$E,'3) Release_Label'!$F:$F},2,0),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D392" s="121" t="str">
        <f t="array" ref="D392">ifs(and(isblank($A392),isblank($B392)),"", not(iserror(vlookup($A392&amp;$B392,'3) Release_Label'!$D:$D&amp;'3) Release_Label'!$E:$E,1,0))),vlookup($A392&amp;$B392,{'3) Release_Label'!$D:$D&amp;'3) Release_Label'!$E:$E,'3) Release_Label'!$H:$H},2,0),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E392" s="92"/>
      <c r="F392" s="92"/>
      <c r="G392" s="125" t="str">
        <f t="array" ref="G392">ifs(or($F392="",$F392="Main Primary Artist"),$F392,not(iserror(vlookup($F392,'Reference info'!$J$5:$J$8,1,0))),"Key Artist",not(iserror(vlookup($F392,'Reference info'!$J$38:$J$405,1,0))),"Performer",not(iserror(vlookup($F392,'Reference info'!$J$10:$J$36,1,0))),"Producer &amp; Engineer")</f>
        <v/>
      </c>
    </row>
    <row r="393">
      <c r="A393" s="28"/>
      <c r="B393" s="97"/>
      <c r="C393" s="121" t="str">
        <f t="array" ref="C393">ifs(and(isblank($A393),isblank($B393)),"", not(iserror(vlookup($A393&amp;$B393,'3) Release_Label'!$D:$D&amp;'3) Release_Label'!$E:$E,1,0))),vlookup($A393&amp;$B393,{'3) Release_Label'!$D:$D&amp;'3) Release_Label'!$E:$E,'3) Release_Label'!$F:$F},2,0),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D393" s="121" t="str">
        <f t="array" ref="D393">ifs(and(isblank($A393),isblank($B393)),"", not(iserror(vlookup($A393&amp;$B393,'3) Release_Label'!$D:$D&amp;'3) Release_Label'!$E:$E,1,0))),vlookup($A393&amp;$B393,{'3) Release_Label'!$D:$D&amp;'3) Release_Label'!$E:$E,'3) Release_Label'!$H:$H},2,0),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E393" s="92"/>
      <c r="F393" s="92"/>
      <c r="G393" s="125" t="str">
        <f t="array" ref="G393">ifs(or($F393="",$F393="Main Primary Artist"),$F393,not(iserror(vlookup($F393,'Reference info'!$J$5:$J$8,1,0))),"Key Artist",not(iserror(vlookup($F393,'Reference info'!$J$38:$J$405,1,0))),"Performer",not(iserror(vlookup($F393,'Reference info'!$J$10:$J$36,1,0))),"Producer &amp; Engineer")</f>
        <v/>
      </c>
    </row>
    <row r="394">
      <c r="A394" s="28"/>
      <c r="B394" s="97"/>
      <c r="C394" s="121" t="str">
        <f t="array" ref="C394">ifs(and(isblank($A394),isblank($B394)),"", not(iserror(vlookup($A394&amp;$B394,'3) Release_Label'!$D:$D&amp;'3) Release_Label'!$E:$E,1,0))),vlookup($A394&amp;$B394,{'3) Release_Label'!$D:$D&amp;'3) Release_Label'!$E:$E,'3) Release_Label'!$F:$F},2,0),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D394" s="121" t="str">
        <f t="array" ref="D394">ifs(and(isblank($A394),isblank($B394)),"", not(iserror(vlookup($A394&amp;$B394,'3) Release_Label'!$D:$D&amp;'3) Release_Label'!$E:$E,1,0))),vlookup($A394&amp;$B394,{'3) Release_Label'!$D:$D&amp;'3) Release_Label'!$E:$E,'3) Release_Label'!$H:$H},2,0),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E394" s="92"/>
      <c r="F394" s="92"/>
      <c r="G394" s="125" t="str">
        <f t="array" ref="G394">ifs(or($F394="",$F394="Main Primary Artist"),$F394,not(iserror(vlookup($F394,'Reference info'!$J$5:$J$8,1,0))),"Key Artist",not(iserror(vlookup($F394,'Reference info'!$J$38:$J$405,1,0))),"Performer",not(iserror(vlookup($F394,'Reference info'!$J$10:$J$36,1,0))),"Producer &amp; Engineer")</f>
        <v/>
      </c>
    </row>
    <row r="395">
      <c r="A395" s="28"/>
      <c r="B395" s="97"/>
      <c r="C395" s="121" t="str">
        <f t="array" ref="C395">ifs(and(isblank($A395),isblank($B395)),"", not(iserror(vlookup($A395&amp;$B395,'3) Release_Label'!$D:$D&amp;'3) Release_Label'!$E:$E,1,0))),vlookup($A395&amp;$B395,{'3) Release_Label'!$D:$D&amp;'3) Release_Label'!$E:$E,'3) Release_Label'!$F:$F},2,0),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D395" s="121" t="str">
        <f t="array" ref="D395">ifs(and(isblank($A395),isblank($B395)),"", not(iserror(vlookup($A395&amp;$B395,'3) Release_Label'!$D:$D&amp;'3) Release_Label'!$E:$E,1,0))),vlookup($A395&amp;$B395,{'3) Release_Label'!$D:$D&amp;'3) Release_Label'!$E:$E,'3) Release_Label'!$H:$H},2,0),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E395" s="92"/>
      <c r="F395" s="92"/>
      <c r="G395" s="125" t="str">
        <f t="array" ref="G395">ifs(or($F395="",$F395="Main Primary Artist"),$F395,not(iserror(vlookup($F395,'Reference info'!$J$5:$J$8,1,0))),"Key Artist",not(iserror(vlookup($F395,'Reference info'!$J$38:$J$405,1,0))),"Performer",not(iserror(vlookup($F395,'Reference info'!$J$10:$J$36,1,0))),"Producer &amp; Engineer")</f>
        <v/>
      </c>
    </row>
    <row r="396">
      <c r="A396" s="28"/>
      <c r="B396" s="97"/>
      <c r="C396" s="121" t="str">
        <f t="array" ref="C396">ifs(and(isblank($A396),isblank($B396)),"", not(iserror(vlookup($A396&amp;$B396,'3) Release_Label'!$D:$D&amp;'3) Release_Label'!$E:$E,1,0))),vlookup($A396&amp;$B396,{'3) Release_Label'!$D:$D&amp;'3) Release_Label'!$E:$E,'3) Release_Label'!$F:$F},2,0),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D396" s="121" t="str">
        <f t="array" ref="D396">ifs(and(isblank($A396),isblank($B396)),"", not(iserror(vlookup($A396&amp;$B396,'3) Release_Label'!$D:$D&amp;'3) Release_Label'!$E:$E,1,0))),vlookup($A396&amp;$B396,{'3) Release_Label'!$D:$D&amp;'3) Release_Label'!$E:$E,'3) Release_Label'!$H:$H},2,0),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E396" s="92"/>
      <c r="F396" s="92"/>
      <c r="G396" s="125" t="str">
        <f t="array" ref="G396">ifs(or($F396="",$F396="Main Primary Artist"),$F396,not(iserror(vlookup($F396,'Reference info'!$J$5:$J$8,1,0))),"Key Artist",not(iserror(vlookup($F396,'Reference info'!$J$38:$J$405,1,0))),"Performer",not(iserror(vlookup($F396,'Reference info'!$J$10:$J$36,1,0))),"Producer &amp; Engineer")</f>
        <v/>
      </c>
    </row>
    <row r="397">
      <c r="A397" s="28"/>
      <c r="B397" s="97"/>
      <c r="C397" s="121" t="str">
        <f t="array" ref="C397">ifs(and(isblank($A397),isblank($B397)),"", not(iserror(vlookup($A397&amp;$B397,'3) Release_Label'!$D:$D&amp;'3) Release_Label'!$E:$E,1,0))),vlookup($A397&amp;$B397,{'3) Release_Label'!$D:$D&amp;'3) Release_Label'!$E:$E,'3) Release_Label'!$F:$F},2,0),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D397" s="121" t="str">
        <f t="array" ref="D397">ifs(and(isblank($A397),isblank($B397)),"", not(iserror(vlookup($A397&amp;$B397,'3) Release_Label'!$D:$D&amp;'3) Release_Label'!$E:$E,1,0))),vlookup($A397&amp;$B397,{'3) Release_Label'!$D:$D&amp;'3) Release_Label'!$E:$E,'3) Release_Label'!$H:$H},2,0),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E397" s="92"/>
      <c r="F397" s="92"/>
      <c r="G397" s="125" t="str">
        <f t="array" ref="G397">ifs(or($F397="",$F397="Main Primary Artist"),$F397,not(iserror(vlookup($F397,'Reference info'!$J$5:$J$8,1,0))),"Key Artist",not(iserror(vlookup($F397,'Reference info'!$J$38:$J$405,1,0))),"Performer",not(iserror(vlookup($F397,'Reference info'!$J$10:$J$36,1,0))),"Producer &amp; Engineer")</f>
        <v/>
      </c>
    </row>
    <row r="398">
      <c r="A398" s="28"/>
      <c r="B398" s="97"/>
      <c r="C398" s="121" t="str">
        <f t="array" ref="C398">ifs(and(isblank($A398),isblank($B398)),"", not(iserror(vlookup($A398&amp;$B398,'3) Release_Label'!$D:$D&amp;'3) Release_Label'!$E:$E,1,0))),vlookup($A398&amp;$B398,{'3) Release_Label'!$D:$D&amp;'3) Release_Label'!$E:$E,'3) Release_Label'!$F:$F},2,0),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D398" s="121" t="str">
        <f t="array" ref="D398">ifs(and(isblank($A398),isblank($B398)),"", not(iserror(vlookup($A398&amp;$B398,'3) Release_Label'!$D:$D&amp;'3) Release_Label'!$E:$E,1,0))),vlookup($A398&amp;$B398,{'3) Release_Label'!$D:$D&amp;'3) Release_Label'!$E:$E,'3) Release_Label'!$H:$H},2,0),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E398" s="92"/>
      <c r="F398" s="92"/>
      <c r="G398" s="125" t="str">
        <f t="array" ref="G398">ifs(or($F398="",$F398="Main Primary Artist"),$F398,not(iserror(vlookup($F398,'Reference info'!$J$5:$J$8,1,0))),"Key Artist",not(iserror(vlookup($F398,'Reference info'!$J$38:$J$405,1,0))),"Performer",not(iserror(vlookup($F398,'Reference info'!$J$10:$J$36,1,0))),"Producer &amp; Engineer")</f>
        <v/>
      </c>
    </row>
    <row r="399">
      <c r="A399" s="28"/>
      <c r="B399" s="97"/>
      <c r="C399" s="121" t="str">
        <f t="array" ref="C399">ifs(and(isblank($A399),isblank($B399)),"", not(iserror(vlookup($A399&amp;$B399,'3) Release_Label'!$D:$D&amp;'3) Release_Label'!$E:$E,1,0))),vlookup($A399&amp;$B399,{'3) Release_Label'!$D:$D&amp;'3) Release_Label'!$E:$E,'3) Release_Label'!$F:$F},2,0),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D399" s="121" t="str">
        <f t="array" ref="D399">ifs(and(isblank($A399),isblank($B399)),"", not(iserror(vlookup($A399&amp;$B399,'3) Release_Label'!$D:$D&amp;'3) Release_Label'!$E:$E,1,0))),vlookup($A399&amp;$B399,{'3) Release_Label'!$D:$D&amp;'3) Release_Label'!$E:$E,'3) Release_Label'!$H:$H},2,0),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E399" s="92"/>
      <c r="F399" s="92"/>
      <c r="G399" s="125" t="str">
        <f t="array" ref="G399">ifs(or($F399="",$F399="Main Primary Artist"),$F399,not(iserror(vlookup($F399,'Reference info'!$J$5:$J$8,1,0))),"Key Artist",not(iserror(vlookup($F399,'Reference info'!$J$38:$J$405,1,0))),"Performer",not(iserror(vlookup($F399,'Reference info'!$J$10:$J$36,1,0))),"Producer &amp; Engineer")</f>
        <v/>
      </c>
    </row>
    <row r="400">
      <c r="A400" s="28"/>
      <c r="B400" s="97"/>
      <c r="C400" s="121" t="str">
        <f t="array" ref="C400">ifs(and(isblank($A400),isblank($B400)),"", not(iserror(vlookup($A400&amp;$B400,'3) Release_Label'!$D:$D&amp;'3) Release_Label'!$E:$E,1,0))),vlookup($A400&amp;$B400,{'3) Release_Label'!$D:$D&amp;'3) Release_Label'!$E:$E,'3) Release_Label'!$F:$F},2,0),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D400" s="121" t="str">
        <f t="array" ref="D400">ifs(and(isblank($A400),isblank($B400)),"", not(iserror(vlookup($A400&amp;$B400,'3) Release_Label'!$D:$D&amp;'3) Release_Label'!$E:$E,1,0))),vlookup($A400&amp;$B400,{'3) Release_Label'!$D:$D&amp;'3) Release_Label'!$E:$E,'3) Release_Label'!$H:$H},2,0),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E400" s="92"/>
      <c r="F400" s="92"/>
      <c r="G400" s="125" t="str">
        <f t="array" ref="G400">ifs(or($F400="",$F400="Main Primary Artist"),$F400,not(iserror(vlookup($F400,'Reference info'!$J$5:$J$8,1,0))),"Key Artist",not(iserror(vlookup($F400,'Reference info'!$J$38:$J$405,1,0))),"Performer",not(iserror(vlookup($F400,'Reference info'!$J$10:$J$36,1,0))),"Producer &amp; Engineer")</f>
        <v/>
      </c>
    </row>
    <row r="401">
      <c r="A401" s="28"/>
      <c r="B401" s="97"/>
      <c r="C401" s="121" t="str">
        <f t="array" ref="C401">ifs(and(isblank($A401),isblank($B401)),"", not(iserror(vlookup($A401&amp;$B401,'3) Release_Label'!$D:$D&amp;'3) Release_Label'!$E:$E,1,0))),vlookup($A401&amp;$B401,{'3) Release_Label'!$D:$D&amp;'3) Release_Label'!$E:$E,'3) Release_Label'!$F:$F},2,0),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D401" s="121" t="str">
        <f t="array" ref="D401">ifs(and(isblank($A401),isblank($B401)),"", not(iserror(vlookup($A401&amp;$B401,'3) Release_Label'!$D:$D&amp;'3) Release_Label'!$E:$E,1,0))),vlookup($A401&amp;$B401,{'3) Release_Label'!$D:$D&amp;'3) Release_Label'!$E:$E,'3) Release_Label'!$H:$H},2,0),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E401" s="92"/>
      <c r="F401" s="92"/>
      <c r="G401" s="125" t="str">
        <f t="array" ref="G401">ifs(or($F401="",$F401="Main Primary Artist"),$F401,not(iserror(vlookup($F401,'Reference info'!$J$5:$J$8,1,0))),"Key Artist",not(iserror(vlookup($F401,'Reference info'!$J$38:$J$405,1,0))),"Performer",not(iserror(vlookup($F401,'Reference info'!$J$10:$J$36,1,0))),"Producer &amp; Engineer")</f>
        <v/>
      </c>
    </row>
    <row r="402">
      <c r="A402" s="28"/>
      <c r="B402" s="97"/>
      <c r="C402" s="121" t="str">
        <f t="array" ref="C402">ifs(and(isblank($A402),isblank($B402)),"", not(iserror(vlookup($A402&amp;$B402,'3) Release_Label'!$D:$D&amp;'3) Release_Label'!$E:$E,1,0))),vlookup($A402&amp;$B402,{'3) Release_Label'!$D:$D&amp;'3) Release_Label'!$E:$E,'3) Release_Label'!$F:$F},2,0),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D402" s="121" t="str">
        <f t="array" ref="D402">ifs(and(isblank($A402),isblank($B402)),"", not(iserror(vlookup($A402&amp;$B402,'3) Release_Label'!$D:$D&amp;'3) Release_Label'!$E:$E,1,0))),vlookup($A402&amp;$B402,{'3) Release_Label'!$D:$D&amp;'3) Release_Label'!$E:$E,'3) Release_Label'!$H:$H},2,0),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E402" s="92"/>
      <c r="F402" s="92"/>
      <c r="G402" s="125" t="str">
        <f t="array" ref="G402">ifs(or($F402="",$F402="Main Primary Artist"),$F402,not(iserror(vlookup($F402,'Reference info'!$J$5:$J$8,1,0))),"Key Artist",not(iserror(vlookup($F402,'Reference info'!$J$38:$J$405,1,0))),"Performer",not(iserror(vlookup($F402,'Reference info'!$J$10:$J$36,1,0))),"Producer &amp; Engineer")</f>
        <v/>
      </c>
    </row>
    <row r="403">
      <c r="A403" s="28"/>
      <c r="B403" s="97"/>
      <c r="C403" s="121" t="str">
        <f t="array" ref="C403">ifs(and(isblank($A403),isblank($B403)),"", not(iserror(vlookup($A403&amp;$B403,'3) Release_Label'!$D:$D&amp;'3) Release_Label'!$E:$E,1,0))),vlookup($A403&amp;$B403,{'3) Release_Label'!$D:$D&amp;'3) Release_Label'!$E:$E,'3) Release_Label'!$F:$F},2,0),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D403" s="121" t="str">
        <f t="array" ref="D403">ifs(and(isblank($A403),isblank($B403)),"", not(iserror(vlookup($A403&amp;$B403,'3) Release_Label'!$D:$D&amp;'3) Release_Label'!$E:$E,1,0))),vlookup($A403&amp;$B403,{'3) Release_Label'!$D:$D&amp;'3) Release_Label'!$E:$E,'3) Release_Label'!$H:$H},2,0),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E403" s="92"/>
      <c r="F403" s="92"/>
      <c r="G403" s="125" t="str">
        <f t="array" ref="G403">ifs(or($F403="",$F403="Main Primary Artist"),$F403,not(iserror(vlookup($F403,'Reference info'!$J$5:$J$8,1,0))),"Key Artist",not(iserror(vlookup($F403,'Reference info'!$J$38:$J$405,1,0))),"Performer",not(iserror(vlookup($F403,'Reference info'!$J$10:$J$36,1,0))),"Producer &amp; Engineer")</f>
        <v/>
      </c>
    </row>
    <row r="404">
      <c r="A404" s="28"/>
      <c r="B404" s="97"/>
      <c r="C404" s="121" t="str">
        <f t="array" ref="C404">ifs(and(isblank($A404),isblank($B404)),"", not(iserror(vlookup($A404&amp;$B404,'3) Release_Label'!$D:$D&amp;'3) Release_Label'!$E:$E,1,0))),vlookup($A404&amp;$B404,{'3) Release_Label'!$D:$D&amp;'3) Release_Label'!$E:$E,'3) Release_Label'!$F:$F},2,0),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D404" s="121" t="str">
        <f t="array" ref="D404">ifs(and(isblank($A404),isblank($B404)),"", not(iserror(vlookup($A404&amp;$B404,'3) Release_Label'!$D:$D&amp;'3) Release_Label'!$E:$E,1,0))),vlookup($A404&amp;$B404,{'3) Release_Label'!$D:$D&amp;'3) Release_Label'!$E:$E,'3) Release_Label'!$H:$H},2,0),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E404" s="92"/>
      <c r="F404" s="92"/>
      <c r="G404" s="125" t="str">
        <f t="array" ref="G404">ifs(or($F404="",$F404="Main Primary Artist"),$F404,not(iserror(vlookup($F404,'Reference info'!$J$5:$J$8,1,0))),"Key Artist",not(iserror(vlookup($F404,'Reference info'!$J$38:$J$405,1,0))),"Performer",not(iserror(vlookup($F404,'Reference info'!$J$10:$J$36,1,0))),"Producer &amp; Engineer")</f>
        <v/>
      </c>
    </row>
    <row r="405">
      <c r="A405" s="28"/>
      <c r="B405" s="97"/>
      <c r="C405" s="121" t="str">
        <f t="array" ref="C405">ifs(and(isblank($A405),isblank($B405)),"", not(iserror(vlookup($A405&amp;$B405,'3) Release_Label'!$D:$D&amp;'3) Release_Label'!$E:$E,1,0))),vlookup($A405&amp;$B405,{'3) Release_Label'!$D:$D&amp;'3) Release_Label'!$E:$E,'3) Release_Label'!$F:$F},2,0),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D405" s="121" t="str">
        <f t="array" ref="D405">ifs(and(isblank($A405),isblank($B405)),"", not(iserror(vlookup($A405&amp;$B405,'3) Release_Label'!$D:$D&amp;'3) Release_Label'!$E:$E,1,0))),vlookup($A405&amp;$B405,{'3) Release_Label'!$D:$D&amp;'3) Release_Label'!$E:$E,'3) Release_Label'!$H:$H},2,0),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E405" s="92"/>
      <c r="F405" s="92"/>
      <c r="G405" s="125" t="str">
        <f t="array" ref="G405">ifs(or($F405="",$F405="Main Primary Artist"),$F405,not(iserror(vlookup($F405,'Reference info'!$J$5:$J$8,1,0))),"Key Artist",not(iserror(vlookup($F405,'Reference info'!$J$38:$J$405,1,0))),"Performer",not(iserror(vlookup($F405,'Reference info'!$J$10:$J$36,1,0))),"Producer &amp; Engineer")</f>
        <v/>
      </c>
    </row>
    <row r="406">
      <c r="A406" s="28"/>
      <c r="B406" s="97"/>
      <c r="C406" s="121" t="str">
        <f t="array" ref="C406">ifs(and(isblank($A406),isblank($B406)),"", not(iserror(vlookup($A406&amp;$B406,'3) Release_Label'!$D:$D&amp;'3) Release_Label'!$E:$E,1,0))),vlookup($A406&amp;$B406,{'3) Release_Label'!$D:$D&amp;'3) Release_Label'!$E:$E,'3) Release_Label'!$F:$F},2,0),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D406" s="121" t="str">
        <f t="array" ref="D406">ifs(and(isblank($A406),isblank($B406)),"", not(iserror(vlookup($A406&amp;$B406,'3) Release_Label'!$D:$D&amp;'3) Release_Label'!$E:$E,1,0))),vlookup($A406&amp;$B406,{'3) Release_Label'!$D:$D&amp;'3) Release_Label'!$E:$E,'3) Release_Label'!$H:$H},2,0),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E406" s="92"/>
      <c r="F406" s="92"/>
      <c r="G406" s="125" t="str">
        <f t="array" ref="G406">ifs(or($F406="",$F406="Main Primary Artist"),$F406,not(iserror(vlookup($F406,'Reference info'!$J$5:$J$8,1,0))),"Key Artist",not(iserror(vlookup($F406,'Reference info'!$J$38:$J$405,1,0))),"Performer",not(iserror(vlookup($F406,'Reference info'!$J$10:$J$36,1,0))),"Producer &amp; Engineer")</f>
        <v/>
      </c>
    </row>
    <row r="407">
      <c r="A407" s="28"/>
      <c r="B407" s="97"/>
      <c r="C407" s="121" t="str">
        <f t="array" ref="C407">ifs(and(isblank($A407),isblank($B407)),"", not(iserror(vlookup($A407&amp;$B407,'3) Release_Label'!$D:$D&amp;'3) Release_Label'!$E:$E,1,0))),vlookup($A407&amp;$B407,{'3) Release_Label'!$D:$D&amp;'3) Release_Label'!$E:$E,'3) Release_Label'!$F:$F},2,0),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D407" s="121" t="str">
        <f t="array" ref="D407">ifs(and(isblank($A407),isblank($B407)),"", not(iserror(vlookup($A407&amp;$B407,'3) Release_Label'!$D:$D&amp;'3) Release_Label'!$E:$E,1,0))),vlookup($A407&amp;$B407,{'3) Release_Label'!$D:$D&amp;'3) Release_Label'!$E:$E,'3) Release_Label'!$H:$H},2,0),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E407" s="92"/>
      <c r="F407" s="92"/>
      <c r="G407" s="125" t="str">
        <f t="array" ref="G407">ifs(or($F407="",$F407="Main Primary Artist"),$F407,not(iserror(vlookup($F407,'Reference info'!$J$5:$J$8,1,0))),"Key Artist",not(iserror(vlookup($F407,'Reference info'!$J$38:$J$405,1,0))),"Performer",not(iserror(vlookup($F407,'Reference info'!$J$10:$J$36,1,0))),"Producer &amp; Engineer")</f>
        <v/>
      </c>
    </row>
    <row r="408">
      <c r="A408" s="28"/>
      <c r="B408" s="97"/>
      <c r="C408" s="121" t="str">
        <f t="array" ref="C408">ifs(and(isblank($A408),isblank($B408)),"", not(iserror(vlookup($A408&amp;$B408,'3) Release_Label'!$D:$D&amp;'3) Release_Label'!$E:$E,1,0))),vlookup($A408&amp;$B408,{'3) Release_Label'!$D:$D&amp;'3) Release_Label'!$E:$E,'3) Release_Label'!$F:$F},2,0),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D408" s="121" t="str">
        <f t="array" ref="D408">ifs(and(isblank($A408),isblank($B408)),"", not(iserror(vlookup($A408&amp;$B408,'3) Release_Label'!$D:$D&amp;'3) Release_Label'!$E:$E,1,0))),vlookup($A408&amp;$B408,{'3) Release_Label'!$D:$D&amp;'3) Release_Label'!$E:$E,'3) Release_Label'!$H:$H},2,0),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E408" s="92"/>
      <c r="F408" s="92"/>
      <c r="G408" s="125" t="str">
        <f t="array" ref="G408">ifs(or($F408="",$F408="Main Primary Artist"),$F408,not(iserror(vlookup($F408,'Reference info'!$J$5:$J$8,1,0))),"Key Artist",not(iserror(vlookup($F408,'Reference info'!$J$38:$J$405,1,0))),"Performer",not(iserror(vlookup($F408,'Reference info'!$J$10:$J$36,1,0))),"Producer &amp; Engineer")</f>
        <v/>
      </c>
    </row>
    <row r="409">
      <c r="A409" s="28"/>
      <c r="B409" s="97"/>
      <c r="C409" s="121" t="str">
        <f t="array" ref="C409">ifs(and(isblank($A409),isblank($B409)),"", not(iserror(vlookup($A409&amp;$B409,'3) Release_Label'!$D:$D&amp;'3) Release_Label'!$E:$E,1,0))),vlookup($A409&amp;$B409,{'3) Release_Label'!$D:$D&amp;'3) Release_Label'!$E:$E,'3) Release_Label'!$F:$F},2,0),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D409" s="121" t="str">
        <f t="array" ref="D409">ifs(and(isblank($A409),isblank($B409)),"", not(iserror(vlookup($A409&amp;$B409,'3) Release_Label'!$D:$D&amp;'3) Release_Label'!$E:$E,1,0))),vlookup($A409&amp;$B409,{'3) Release_Label'!$D:$D&amp;'3) Release_Label'!$E:$E,'3) Release_Label'!$H:$H},2,0),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E409" s="92"/>
      <c r="F409" s="92"/>
      <c r="G409" s="125" t="str">
        <f t="array" ref="G409">ifs(or($F409="",$F409="Main Primary Artist"),$F409,not(iserror(vlookup($F409,'Reference info'!$J$5:$J$8,1,0))),"Key Artist",not(iserror(vlookup($F409,'Reference info'!$J$38:$J$405,1,0))),"Performer",not(iserror(vlookup($F409,'Reference info'!$J$10:$J$36,1,0))),"Producer &amp; Engineer")</f>
        <v/>
      </c>
    </row>
    <row r="410">
      <c r="A410" s="28"/>
      <c r="B410" s="97"/>
      <c r="C410" s="121" t="str">
        <f t="array" ref="C410">ifs(and(isblank($A410),isblank($B410)),"", not(iserror(vlookup($A410&amp;$B410,'3) Release_Label'!$D:$D&amp;'3) Release_Label'!$E:$E,1,0))),vlookup($A410&amp;$B410,{'3) Release_Label'!$D:$D&amp;'3) Release_Label'!$E:$E,'3) Release_Label'!$F:$F},2,0),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D410" s="121" t="str">
        <f t="array" ref="D410">ifs(and(isblank($A410),isblank($B410)),"", not(iserror(vlookup($A410&amp;$B410,'3) Release_Label'!$D:$D&amp;'3) Release_Label'!$E:$E,1,0))),vlookup($A410&amp;$B410,{'3) Release_Label'!$D:$D&amp;'3) Release_Label'!$E:$E,'3) Release_Label'!$H:$H},2,0),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E410" s="92"/>
      <c r="F410" s="92"/>
      <c r="G410" s="125" t="str">
        <f t="array" ref="G410">ifs(or($F410="",$F410="Main Primary Artist"),$F410,not(iserror(vlookup($F410,'Reference info'!$J$5:$J$8,1,0))),"Key Artist",not(iserror(vlookup($F410,'Reference info'!$J$38:$J$405,1,0))),"Performer",not(iserror(vlookup($F410,'Reference info'!$J$10:$J$36,1,0))),"Producer &amp; Engineer")</f>
        <v/>
      </c>
    </row>
    <row r="411">
      <c r="A411" s="28"/>
      <c r="B411" s="97"/>
      <c r="C411" s="121" t="str">
        <f t="array" ref="C411">ifs(and(isblank($A411),isblank($B411)),"", not(iserror(vlookup($A411&amp;$B411,'3) Release_Label'!$D:$D&amp;'3) Release_Label'!$E:$E,1,0))),vlookup($A411&amp;$B411,{'3) Release_Label'!$D:$D&amp;'3) Release_Label'!$E:$E,'3) Release_Label'!$F:$F},2,0),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D411" s="121" t="str">
        <f t="array" ref="D411">ifs(and(isblank($A411),isblank($B411)),"", not(iserror(vlookup($A411&amp;$B411,'3) Release_Label'!$D:$D&amp;'3) Release_Label'!$E:$E,1,0))),vlookup($A411&amp;$B411,{'3) Release_Label'!$D:$D&amp;'3) Release_Label'!$E:$E,'3) Release_Label'!$H:$H},2,0),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E411" s="92"/>
      <c r="F411" s="92"/>
      <c r="G411" s="125" t="str">
        <f t="array" ref="G411">ifs(or($F411="",$F411="Main Primary Artist"),$F411,not(iserror(vlookup($F411,'Reference info'!$J$5:$J$8,1,0))),"Key Artist",not(iserror(vlookup($F411,'Reference info'!$J$38:$J$405,1,0))),"Performer",not(iserror(vlookup($F411,'Reference info'!$J$10:$J$36,1,0))),"Producer &amp; Engineer")</f>
        <v/>
      </c>
    </row>
    <row r="412">
      <c r="A412" s="28"/>
      <c r="B412" s="97"/>
      <c r="C412" s="121" t="str">
        <f t="array" ref="C412">ifs(and(isblank($A412),isblank($B412)),"", not(iserror(vlookup($A412&amp;$B412,'3) Release_Label'!$D:$D&amp;'3) Release_Label'!$E:$E,1,0))),vlookup($A412&amp;$B412,{'3) Release_Label'!$D:$D&amp;'3) Release_Label'!$E:$E,'3) Release_Label'!$F:$F},2,0),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D412" s="121" t="str">
        <f t="array" ref="D412">ifs(and(isblank($A412),isblank($B412)),"", not(iserror(vlookup($A412&amp;$B412,'3) Release_Label'!$D:$D&amp;'3) Release_Label'!$E:$E,1,0))),vlookup($A412&amp;$B412,{'3) Release_Label'!$D:$D&amp;'3) Release_Label'!$E:$E,'3) Release_Label'!$H:$H},2,0),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E412" s="92"/>
      <c r="F412" s="92"/>
      <c r="G412" s="125" t="str">
        <f t="array" ref="G412">ifs(or($F412="",$F412="Main Primary Artist"),$F412,not(iserror(vlookup($F412,'Reference info'!$J$5:$J$8,1,0))),"Key Artist",not(iserror(vlookup($F412,'Reference info'!$J$38:$J$405,1,0))),"Performer",not(iserror(vlookup($F412,'Reference info'!$J$10:$J$36,1,0))),"Producer &amp; Engineer")</f>
        <v/>
      </c>
    </row>
    <row r="413">
      <c r="A413" s="28"/>
      <c r="B413" s="97"/>
      <c r="C413" s="121" t="str">
        <f t="array" ref="C413">ifs(and(isblank($A413),isblank($B413)),"", not(iserror(vlookup($A413&amp;$B413,'3) Release_Label'!$D:$D&amp;'3) Release_Label'!$E:$E,1,0))),vlookup($A413&amp;$B413,{'3) Release_Label'!$D:$D&amp;'3) Release_Label'!$E:$E,'3) Release_Label'!$F:$F},2,0),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D413" s="121" t="str">
        <f t="array" ref="D413">ifs(and(isblank($A413),isblank($B413)),"", not(iserror(vlookup($A413&amp;$B413,'3) Release_Label'!$D:$D&amp;'3) Release_Label'!$E:$E,1,0))),vlookup($A413&amp;$B413,{'3) Release_Label'!$D:$D&amp;'3) Release_Label'!$E:$E,'3) Release_Label'!$H:$H},2,0),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E413" s="92"/>
      <c r="F413" s="92"/>
      <c r="G413" s="125" t="str">
        <f t="array" ref="G413">ifs(or($F413="",$F413="Main Primary Artist"),$F413,not(iserror(vlookup($F413,'Reference info'!$J$5:$J$8,1,0))),"Key Artist",not(iserror(vlookup($F413,'Reference info'!$J$38:$J$405,1,0))),"Performer",not(iserror(vlookup($F413,'Reference info'!$J$10:$J$36,1,0))),"Producer &amp; Engineer")</f>
        <v/>
      </c>
    </row>
    <row r="414">
      <c r="A414" s="28"/>
      <c r="B414" s="97"/>
      <c r="C414" s="121" t="str">
        <f t="array" ref="C414">ifs(and(isblank($A414),isblank($B414)),"", not(iserror(vlookup($A414&amp;$B414,'3) Release_Label'!$D:$D&amp;'3) Release_Label'!$E:$E,1,0))),vlookup($A414&amp;$B414,{'3) Release_Label'!$D:$D&amp;'3) Release_Label'!$E:$E,'3) Release_Label'!$F:$F},2,0),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D414" s="121" t="str">
        <f t="array" ref="D414">ifs(and(isblank($A414),isblank($B414)),"", not(iserror(vlookup($A414&amp;$B414,'3) Release_Label'!$D:$D&amp;'3) Release_Label'!$E:$E,1,0))),vlookup($A414&amp;$B414,{'3) Release_Label'!$D:$D&amp;'3) Release_Label'!$E:$E,'3) Release_Label'!$H:$H},2,0),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E414" s="92"/>
      <c r="F414" s="92"/>
      <c r="G414" s="125" t="str">
        <f t="array" ref="G414">ifs(or($F414="",$F414="Main Primary Artist"),$F414,not(iserror(vlookup($F414,'Reference info'!$J$5:$J$8,1,0))),"Key Artist",not(iserror(vlookup($F414,'Reference info'!$J$38:$J$405,1,0))),"Performer",not(iserror(vlookup($F414,'Reference info'!$J$10:$J$36,1,0))),"Producer &amp; Engineer")</f>
        <v/>
      </c>
    </row>
    <row r="415">
      <c r="A415" s="28"/>
      <c r="B415" s="97"/>
      <c r="C415" s="121" t="str">
        <f t="array" ref="C415">ifs(and(isblank($A415),isblank($B415)),"", not(iserror(vlookup($A415&amp;$B415,'3) Release_Label'!$D:$D&amp;'3) Release_Label'!$E:$E,1,0))),vlookup($A415&amp;$B415,{'3) Release_Label'!$D:$D&amp;'3) Release_Label'!$E:$E,'3) Release_Label'!$F:$F},2,0),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D415" s="121" t="str">
        <f t="array" ref="D415">ifs(and(isblank($A415),isblank($B415)),"", not(iserror(vlookup($A415&amp;$B415,'3) Release_Label'!$D:$D&amp;'3) Release_Label'!$E:$E,1,0))),vlookup($A415&amp;$B415,{'3) Release_Label'!$D:$D&amp;'3) Release_Label'!$E:$E,'3) Release_Label'!$H:$H},2,0),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E415" s="92"/>
      <c r="F415" s="92"/>
      <c r="G415" s="125" t="str">
        <f t="array" ref="G415">ifs(or($F415="",$F415="Main Primary Artist"),$F415,not(iserror(vlookup($F415,'Reference info'!$J$5:$J$8,1,0))),"Key Artist",not(iserror(vlookup($F415,'Reference info'!$J$38:$J$405,1,0))),"Performer",not(iserror(vlookup($F415,'Reference info'!$J$10:$J$36,1,0))),"Producer &amp; Engineer")</f>
        <v/>
      </c>
    </row>
    <row r="416">
      <c r="A416" s="28"/>
      <c r="B416" s="97"/>
      <c r="C416" s="121" t="str">
        <f t="array" ref="C416">ifs(and(isblank($A416),isblank($B416)),"", not(iserror(vlookup($A416&amp;$B416,'3) Release_Label'!$D:$D&amp;'3) Release_Label'!$E:$E,1,0))),vlookup($A416&amp;$B416,{'3) Release_Label'!$D:$D&amp;'3) Release_Label'!$E:$E,'3) Release_Label'!$F:$F},2,0),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D416" s="121" t="str">
        <f t="array" ref="D416">ifs(and(isblank($A416),isblank($B416)),"", not(iserror(vlookup($A416&amp;$B416,'3) Release_Label'!$D:$D&amp;'3) Release_Label'!$E:$E,1,0))),vlookup($A416&amp;$B416,{'3) Release_Label'!$D:$D&amp;'3) Release_Label'!$E:$E,'3) Release_Label'!$H:$H},2,0),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E416" s="92"/>
      <c r="F416" s="92"/>
      <c r="G416" s="125" t="str">
        <f t="array" ref="G416">ifs(or($F416="",$F416="Main Primary Artist"),$F416,not(iserror(vlookup($F416,'Reference info'!$J$5:$J$8,1,0))),"Key Artist",not(iserror(vlookup($F416,'Reference info'!$J$38:$J$405,1,0))),"Performer",not(iserror(vlookup($F416,'Reference info'!$J$10:$J$36,1,0))),"Producer &amp; Engineer")</f>
        <v/>
      </c>
    </row>
    <row r="417">
      <c r="A417" s="28"/>
      <c r="B417" s="97"/>
      <c r="C417" s="121" t="str">
        <f t="array" ref="C417">ifs(and(isblank($A417),isblank($B417)),"", not(iserror(vlookup($A417&amp;$B417,'3) Release_Label'!$D:$D&amp;'3) Release_Label'!$E:$E,1,0))),vlookup($A417&amp;$B417,{'3) Release_Label'!$D:$D&amp;'3) Release_Label'!$E:$E,'3) Release_Label'!$F:$F},2,0),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D417" s="121" t="str">
        <f t="array" ref="D417">ifs(and(isblank($A417),isblank($B417)),"", not(iserror(vlookup($A417&amp;$B417,'3) Release_Label'!$D:$D&amp;'3) Release_Label'!$E:$E,1,0))),vlookup($A417&amp;$B417,{'3) Release_Label'!$D:$D&amp;'3) Release_Label'!$E:$E,'3) Release_Label'!$H:$H},2,0),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E417" s="92"/>
      <c r="F417" s="92"/>
      <c r="G417" s="125" t="str">
        <f t="array" ref="G417">ifs(or($F417="",$F417="Main Primary Artist"),$F417,not(iserror(vlookup($F417,'Reference info'!$J$5:$J$8,1,0))),"Key Artist",not(iserror(vlookup($F417,'Reference info'!$J$38:$J$405,1,0))),"Performer",not(iserror(vlookup($F417,'Reference info'!$J$10:$J$36,1,0))),"Producer &amp; Engineer")</f>
        <v/>
      </c>
    </row>
    <row r="418">
      <c r="A418" s="28"/>
      <c r="B418" s="97"/>
      <c r="C418" s="121" t="str">
        <f t="array" ref="C418">ifs(and(isblank($A418),isblank($B418)),"", not(iserror(vlookup($A418&amp;$B418,'3) Release_Label'!$D:$D&amp;'3) Release_Label'!$E:$E,1,0))),vlookup($A418&amp;$B418,{'3) Release_Label'!$D:$D&amp;'3) Release_Label'!$E:$E,'3) Release_Label'!$F:$F},2,0),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D418" s="121" t="str">
        <f t="array" ref="D418">ifs(and(isblank($A418),isblank($B418)),"", not(iserror(vlookup($A418&amp;$B418,'3) Release_Label'!$D:$D&amp;'3) Release_Label'!$E:$E,1,0))),vlookup($A418&amp;$B418,{'3) Release_Label'!$D:$D&amp;'3) Release_Label'!$E:$E,'3) Release_Label'!$H:$H},2,0),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E418" s="92"/>
      <c r="F418" s="92"/>
      <c r="G418" s="125" t="str">
        <f t="array" ref="G418">ifs(or($F418="",$F418="Main Primary Artist"),$F418,not(iserror(vlookup($F418,'Reference info'!$J$5:$J$8,1,0))),"Key Artist",not(iserror(vlookup($F418,'Reference info'!$J$38:$J$405,1,0))),"Performer",not(iserror(vlookup($F418,'Reference info'!$J$10:$J$36,1,0))),"Producer &amp; Engineer")</f>
        <v/>
      </c>
    </row>
    <row r="419">
      <c r="A419" s="28"/>
      <c r="B419" s="97"/>
      <c r="C419" s="121" t="str">
        <f t="array" ref="C419">ifs(and(isblank($A419),isblank($B419)),"", not(iserror(vlookup($A419&amp;$B419,'3) Release_Label'!$D:$D&amp;'3) Release_Label'!$E:$E,1,0))),vlookup($A419&amp;$B419,{'3) Release_Label'!$D:$D&amp;'3) Release_Label'!$E:$E,'3) Release_Label'!$F:$F},2,0),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D419" s="121" t="str">
        <f t="array" ref="D419">ifs(and(isblank($A419),isblank($B419)),"", not(iserror(vlookup($A419&amp;$B419,'3) Release_Label'!$D:$D&amp;'3) Release_Label'!$E:$E,1,0))),vlookup($A419&amp;$B419,{'3) Release_Label'!$D:$D&amp;'3) Release_Label'!$E:$E,'3) Release_Label'!$H:$H},2,0),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E419" s="92"/>
      <c r="F419" s="92"/>
      <c r="G419" s="125" t="str">
        <f t="array" ref="G419">ifs(or($F419="",$F419="Main Primary Artist"),$F419,not(iserror(vlookup($F419,'Reference info'!$J$5:$J$8,1,0))),"Key Artist",not(iserror(vlookup($F419,'Reference info'!$J$38:$J$405,1,0))),"Performer",not(iserror(vlookup($F419,'Reference info'!$J$10:$J$36,1,0))),"Producer &amp; Engineer")</f>
        <v/>
      </c>
    </row>
    <row r="420">
      <c r="A420" s="28"/>
      <c r="B420" s="97"/>
      <c r="C420" s="121" t="str">
        <f t="array" ref="C420">ifs(and(isblank($A420),isblank($B420)),"", not(iserror(vlookup($A420&amp;$B420,'3) Release_Label'!$D:$D&amp;'3) Release_Label'!$E:$E,1,0))),vlookup($A420&amp;$B420,{'3) Release_Label'!$D:$D&amp;'3) Release_Label'!$E:$E,'3) Release_Label'!$F:$F},2,0),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D420" s="121" t="str">
        <f t="array" ref="D420">ifs(and(isblank($A420),isblank($B420)),"", not(iserror(vlookup($A420&amp;$B420,'3) Release_Label'!$D:$D&amp;'3) Release_Label'!$E:$E,1,0))),vlookup($A420&amp;$B420,{'3) Release_Label'!$D:$D&amp;'3) Release_Label'!$E:$E,'3) Release_Label'!$H:$H},2,0),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E420" s="92"/>
      <c r="F420" s="92"/>
      <c r="G420" s="125" t="str">
        <f t="array" ref="G420">ifs(or($F420="",$F420="Main Primary Artist"),$F420,not(iserror(vlookup($F420,'Reference info'!$J$5:$J$8,1,0))),"Key Artist",not(iserror(vlookup($F420,'Reference info'!$J$38:$J$405,1,0))),"Performer",not(iserror(vlookup($F420,'Reference info'!$J$10:$J$36,1,0))),"Producer &amp; Engineer")</f>
        <v/>
      </c>
    </row>
    <row r="421">
      <c r="A421" s="28"/>
      <c r="B421" s="97"/>
      <c r="C421" s="121" t="str">
        <f t="array" ref="C421">ifs(and(isblank($A421),isblank($B421)),"", not(iserror(vlookup($A421&amp;$B421,'3) Release_Label'!$D:$D&amp;'3) Release_Label'!$E:$E,1,0))),vlookup($A421&amp;$B421,{'3) Release_Label'!$D:$D&amp;'3) Release_Label'!$E:$E,'3) Release_Label'!$F:$F},2,0),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D421" s="121" t="str">
        <f t="array" ref="D421">ifs(and(isblank($A421),isblank($B421)),"", not(iserror(vlookup($A421&amp;$B421,'3) Release_Label'!$D:$D&amp;'3) Release_Label'!$E:$E,1,0))),vlookup($A421&amp;$B421,{'3) Release_Label'!$D:$D&amp;'3) Release_Label'!$E:$E,'3) Release_Label'!$H:$H},2,0),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E421" s="92"/>
      <c r="F421" s="92"/>
      <c r="G421" s="125" t="str">
        <f t="array" ref="G421">ifs(or($F421="",$F421="Main Primary Artist"),$F421,not(iserror(vlookup($F421,'Reference info'!$J$5:$J$8,1,0))),"Key Artist",not(iserror(vlookup($F421,'Reference info'!$J$38:$J$405,1,0))),"Performer",not(iserror(vlookup($F421,'Reference info'!$J$10:$J$36,1,0))),"Producer &amp; Engineer")</f>
        <v/>
      </c>
    </row>
    <row r="422">
      <c r="A422" s="28"/>
      <c r="B422" s="97"/>
      <c r="C422" s="121" t="str">
        <f t="array" ref="C422">ifs(and(isblank($A422),isblank($B422)),"", not(iserror(vlookup($A422&amp;$B422,'3) Release_Label'!$D:$D&amp;'3) Release_Label'!$E:$E,1,0))),vlookup($A422&amp;$B422,{'3) Release_Label'!$D:$D&amp;'3) Release_Label'!$E:$E,'3) Release_Label'!$F:$F},2,0),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D422" s="121" t="str">
        <f t="array" ref="D422">ifs(and(isblank($A422),isblank($B422)),"", not(iserror(vlookup($A422&amp;$B422,'3) Release_Label'!$D:$D&amp;'3) Release_Label'!$E:$E,1,0))),vlookup($A422&amp;$B422,{'3) Release_Label'!$D:$D&amp;'3) Release_Label'!$E:$E,'3) Release_Label'!$H:$H},2,0),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E422" s="92"/>
      <c r="F422" s="92"/>
      <c r="G422" s="125" t="str">
        <f t="array" ref="G422">ifs(or($F422="",$F422="Main Primary Artist"),$F422,not(iserror(vlookup($F422,'Reference info'!$J$5:$J$8,1,0))),"Key Artist",not(iserror(vlookup($F422,'Reference info'!$J$38:$J$405,1,0))),"Performer",not(iserror(vlookup($F422,'Reference info'!$J$10:$J$36,1,0))),"Producer &amp; Engineer")</f>
        <v/>
      </c>
    </row>
    <row r="423">
      <c r="A423" s="28"/>
      <c r="B423" s="97"/>
      <c r="C423" s="121" t="str">
        <f t="array" ref="C423">ifs(and(isblank($A423),isblank($B423)),"", not(iserror(vlookup($A423&amp;$B423,'3) Release_Label'!$D:$D&amp;'3) Release_Label'!$E:$E,1,0))),vlookup($A423&amp;$B423,{'3) Release_Label'!$D:$D&amp;'3) Release_Label'!$E:$E,'3) Release_Label'!$F:$F},2,0),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D423" s="121" t="str">
        <f t="array" ref="D423">ifs(and(isblank($A423),isblank($B423)),"", not(iserror(vlookup($A423&amp;$B423,'3) Release_Label'!$D:$D&amp;'3) Release_Label'!$E:$E,1,0))),vlookup($A423&amp;$B423,{'3) Release_Label'!$D:$D&amp;'3) Release_Label'!$E:$E,'3) Release_Label'!$H:$H},2,0),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E423" s="92"/>
      <c r="F423" s="92"/>
      <c r="G423" s="125" t="str">
        <f t="array" ref="G423">ifs(or($F423="",$F423="Main Primary Artist"),$F423,not(iserror(vlookup($F423,'Reference info'!$J$5:$J$8,1,0))),"Key Artist",not(iserror(vlookup($F423,'Reference info'!$J$38:$J$405,1,0))),"Performer",not(iserror(vlookup($F423,'Reference info'!$J$10:$J$36,1,0))),"Producer &amp; Engineer")</f>
        <v/>
      </c>
    </row>
    <row r="424">
      <c r="A424" s="28"/>
      <c r="B424" s="97"/>
      <c r="C424" s="121" t="str">
        <f t="array" ref="C424">ifs(and(isblank($A424),isblank($B424)),"", not(iserror(vlookup($A424&amp;$B424,'3) Release_Label'!$D:$D&amp;'3) Release_Label'!$E:$E,1,0))),vlookup($A424&amp;$B424,{'3) Release_Label'!$D:$D&amp;'3) Release_Label'!$E:$E,'3) Release_Label'!$F:$F},2,0),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D424" s="121" t="str">
        <f t="array" ref="D424">ifs(and(isblank($A424),isblank($B424)),"", not(iserror(vlookup($A424&amp;$B424,'3) Release_Label'!$D:$D&amp;'3) Release_Label'!$E:$E,1,0))),vlookup($A424&amp;$B424,{'3) Release_Label'!$D:$D&amp;'3) Release_Label'!$E:$E,'3) Release_Label'!$H:$H},2,0),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E424" s="92"/>
      <c r="F424" s="92"/>
      <c r="G424" s="125" t="str">
        <f t="array" ref="G424">ifs(or($F424="",$F424="Main Primary Artist"),$F424,not(iserror(vlookup($F424,'Reference info'!$J$5:$J$8,1,0))),"Key Artist",not(iserror(vlookup($F424,'Reference info'!$J$38:$J$405,1,0))),"Performer",not(iserror(vlookup($F424,'Reference info'!$J$10:$J$36,1,0))),"Producer &amp; Engineer")</f>
        <v/>
      </c>
    </row>
    <row r="425">
      <c r="A425" s="28"/>
      <c r="B425" s="97"/>
      <c r="C425" s="121" t="str">
        <f t="array" ref="C425">ifs(and(isblank($A425),isblank($B425)),"", not(iserror(vlookup($A425&amp;$B425,'3) Release_Label'!$D:$D&amp;'3) Release_Label'!$E:$E,1,0))),vlookup($A425&amp;$B425,{'3) Release_Label'!$D:$D&amp;'3) Release_Label'!$E:$E,'3) Release_Label'!$F:$F},2,0),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D425" s="121" t="str">
        <f t="array" ref="D425">ifs(and(isblank($A425),isblank($B425)),"", not(iserror(vlookup($A425&amp;$B425,'3) Release_Label'!$D:$D&amp;'3) Release_Label'!$E:$E,1,0))),vlookup($A425&amp;$B425,{'3) Release_Label'!$D:$D&amp;'3) Release_Label'!$E:$E,'3) Release_Label'!$H:$H},2,0),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E425" s="92"/>
      <c r="F425" s="92"/>
      <c r="G425" s="125" t="str">
        <f t="array" ref="G425">ifs(or($F425="",$F425="Main Primary Artist"),$F425,not(iserror(vlookup($F425,'Reference info'!$J$5:$J$8,1,0))),"Key Artist",not(iserror(vlookup($F425,'Reference info'!$J$38:$J$405,1,0))),"Performer",not(iserror(vlookup($F425,'Reference info'!$J$10:$J$36,1,0))),"Producer &amp; Engineer")</f>
        <v/>
      </c>
    </row>
    <row r="426">
      <c r="A426" s="28"/>
      <c r="B426" s="97"/>
      <c r="C426" s="121" t="str">
        <f t="array" ref="C426">ifs(and(isblank($A426),isblank($B426)),"", not(iserror(vlookup($A426&amp;$B426,'3) Release_Label'!$D:$D&amp;'3) Release_Label'!$E:$E,1,0))),vlookup($A426&amp;$B426,{'3) Release_Label'!$D:$D&amp;'3) Release_Label'!$E:$E,'3) Release_Label'!$F:$F},2,0),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D426" s="121" t="str">
        <f t="array" ref="D426">ifs(and(isblank($A426),isblank($B426)),"", not(iserror(vlookup($A426&amp;$B426,'3) Release_Label'!$D:$D&amp;'3) Release_Label'!$E:$E,1,0))),vlookup($A426&amp;$B426,{'3) Release_Label'!$D:$D&amp;'3) Release_Label'!$E:$E,'3) Release_Label'!$H:$H},2,0),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E426" s="92"/>
      <c r="F426" s="92"/>
      <c r="G426" s="125" t="str">
        <f t="array" ref="G426">ifs(or($F426="",$F426="Main Primary Artist"),$F426,not(iserror(vlookup($F426,'Reference info'!$J$5:$J$8,1,0))),"Key Artist",not(iserror(vlookup($F426,'Reference info'!$J$38:$J$405,1,0))),"Performer",not(iserror(vlookup($F426,'Reference info'!$J$10:$J$36,1,0))),"Producer &amp; Engineer")</f>
        <v/>
      </c>
    </row>
    <row r="427">
      <c r="A427" s="28"/>
      <c r="B427" s="97"/>
      <c r="C427" s="121" t="str">
        <f t="array" ref="C427">ifs(and(isblank($A427),isblank($B427)),"", not(iserror(vlookup($A427&amp;$B427,'3) Release_Label'!$D:$D&amp;'3) Release_Label'!$E:$E,1,0))),vlookup($A427&amp;$B427,{'3) Release_Label'!$D:$D&amp;'3) Release_Label'!$E:$E,'3) Release_Label'!$F:$F},2,0),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D427" s="121" t="str">
        <f t="array" ref="D427">ifs(and(isblank($A427),isblank($B427)),"", not(iserror(vlookup($A427&amp;$B427,'3) Release_Label'!$D:$D&amp;'3) Release_Label'!$E:$E,1,0))),vlookup($A427&amp;$B427,{'3) Release_Label'!$D:$D&amp;'3) Release_Label'!$E:$E,'3) Release_Label'!$H:$H},2,0),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E427" s="92"/>
      <c r="F427" s="92"/>
      <c r="G427" s="125" t="str">
        <f t="array" ref="G427">ifs(or($F427="",$F427="Main Primary Artist"),$F427,not(iserror(vlookup($F427,'Reference info'!$J$5:$J$8,1,0))),"Key Artist",not(iserror(vlookup($F427,'Reference info'!$J$38:$J$405,1,0))),"Performer",not(iserror(vlookup($F427,'Reference info'!$J$10:$J$36,1,0))),"Producer &amp; Engineer")</f>
        <v/>
      </c>
    </row>
    <row r="428">
      <c r="A428" s="28"/>
      <c r="B428" s="97"/>
      <c r="C428" s="121" t="str">
        <f t="array" ref="C428">ifs(and(isblank($A428),isblank($B428)),"", not(iserror(vlookup($A428&amp;$B428,'3) Release_Label'!$D:$D&amp;'3) Release_Label'!$E:$E,1,0))),vlookup($A428&amp;$B428,{'3) Release_Label'!$D:$D&amp;'3) Release_Label'!$E:$E,'3) Release_Label'!$F:$F},2,0),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D428" s="121" t="str">
        <f t="array" ref="D428">ifs(and(isblank($A428),isblank($B428)),"", not(iserror(vlookup($A428&amp;$B428,'3) Release_Label'!$D:$D&amp;'3) Release_Label'!$E:$E,1,0))),vlookup($A428&amp;$B428,{'3) Release_Label'!$D:$D&amp;'3) Release_Label'!$E:$E,'3) Release_Label'!$H:$H},2,0),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E428" s="92"/>
      <c r="F428" s="92"/>
      <c r="G428" s="125" t="str">
        <f t="array" ref="G428">ifs(or($F428="",$F428="Main Primary Artist"),$F428,not(iserror(vlookup($F428,'Reference info'!$J$5:$J$8,1,0))),"Key Artist",not(iserror(vlookup($F428,'Reference info'!$J$38:$J$405,1,0))),"Performer",not(iserror(vlookup($F428,'Reference info'!$J$10:$J$36,1,0))),"Producer &amp; Engineer")</f>
        <v/>
      </c>
    </row>
    <row r="429">
      <c r="A429" s="28"/>
      <c r="B429" s="97"/>
      <c r="C429" s="121" t="str">
        <f t="array" ref="C429">ifs(and(isblank($A429),isblank($B429)),"", not(iserror(vlookup($A429&amp;$B429,'3) Release_Label'!$D:$D&amp;'3) Release_Label'!$E:$E,1,0))),vlookup($A429&amp;$B429,{'3) Release_Label'!$D:$D&amp;'3) Release_Label'!$E:$E,'3) Release_Label'!$F:$F},2,0),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D429" s="121" t="str">
        <f t="array" ref="D429">ifs(and(isblank($A429),isblank($B429)),"", not(iserror(vlookup($A429&amp;$B429,'3) Release_Label'!$D:$D&amp;'3) Release_Label'!$E:$E,1,0))),vlookup($A429&amp;$B429,{'3) Release_Label'!$D:$D&amp;'3) Release_Label'!$E:$E,'3) Release_Label'!$H:$H},2,0),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E429" s="92"/>
      <c r="F429" s="92"/>
      <c r="G429" s="125" t="str">
        <f t="array" ref="G429">ifs(or($F429="",$F429="Main Primary Artist"),$F429,not(iserror(vlookup($F429,'Reference info'!$J$5:$J$8,1,0))),"Key Artist",not(iserror(vlookup($F429,'Reference info'!$J$38:$J$405,1,0))),"Performer",not(iserror(vlookup($F429,'Reference info'!$J$10:$J$36,1,0))),"Producer &amp; Engineer")</f>
        <v/>
      </c>
    </row>
    <row r="430">
      <c r="A430" s="28"/>
      <c r="B430" s="97"/>
      <c r="C430" s="121" t="str">
        <f t="array" ref="C430">ifs(and(isblank($A430),isblank($B430)),"", not(iserror(vlookup($A430&amp;$B430,'3) Release_Label'!$D:$D&amp;'3) Release_Label'!$E:$E,1,0))),vlookup($A430&amp;$B430,{'3) Release_Label'!$D:$D&amp;'3) Release_Label'!$E:$E,'3) Release_Label'!$F:$F},2,0),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D430" s="121" t="str">
        <f t="array" ref="D430">ifs(and(isblank($A430),isblank($B430)),"", not(iserror(vlookup($A430&amp;$B430,'3) Release_Label'!$D:$D&amp;'3) Release_Label'!$E:$E,1,0))),vlookup($A430&amp;$B430,{'3) Release_Label'!$D:$D&amp;'3) Release_Label'!$E:$E,'3) Release_Label'!$H:$H},2,0),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E430" s="92"/>
      <c r="F430" s="92"/>
      <c r="G430" s="125" t="str">
        <f t="array" ref="G430">ifs(or($F430="",$F430="Main Primary Artist"),$F430,not(iserror(vlookup($F430,'Reference info'!$J$5:$J$8,1,0))),"Key Artist",not(iserror(vlookup($F430,'Reference info'!$J$38:$J$405,1,0))),"Performer",not(iserror(vlookup($F430,'Reference info'!$J$10:$J$36,1,0))),"Producer &amp; Engineer")</f>
        <v/>
      </c>
    </row>
    <row r="431">
      <c r="A431" s="28"/>
      <c r="B431" s="97"/>
      <c r="C431" s="121" t="str">
        <f t="array" ref="C431">ifs(and(isblank($A431),isblank($B431)),"", not(iserror(vlookup($A431&amp;$B431,'3) Release_Label'!$D:$D&amp;'3) Release_Label'!$E:$E,1,0))),vlookup($A431&amp;$B431,{'3) Release_Label'!$D:$D&amp;'3) Release_Label'!$E:$E,'3) Release_Label'!$F:$F},2,0),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D431" s="121" t="str">
        <f t="array" ref="D431">ifs(and(isblank($A431),isblank($B431)),"", not(iserror(vlookup($A431&amp;$B431,'3) Release_Label'!$D:$D&amp;'3) Release_Label'!$E:$E,1,0))),vlookup($A431&amp;$B431,{'3) Release_Label'!$D:$D&amp;'3) Release_Label'!$E:$E,'3) Release_Label'!$H:$H},2,0),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E431" s="92"/>
      <c r="F431" s="92"/>
      <c r="G431" s="125" t="str">
        <f t="array" ref="G431">ifs(or($F431="",$F431="Main Primary Artist"),$F431,not(iserror(vlookup($F431,'Reference info'!$J$5:$J$8,1,0))),"Key Artist",not(iserror(vlookup($F431,'Reference info'!$J$38:$J$405,1,0))),"Performer",not(iserror(vlookup($F431,'Reference info'!$J$10:$J$36,1,0))),"Producer &amp; Engineer")</f>
        <v/>
      </c>
    </row>
    <row r="432">
      <c r="A432" s="28"/>
      <c r="B432" s="97"/>
      <c r="C432" s="121" t="str">
        <f t="array" ref="C432">ifs(and(isblank($A432),isblank($B432)),"", not(iserror(vlookup($A432&amp;$B432,'3) Release_Label'!$D:$D&amp;'3) Release_Label'!$E:$E,1,0))),vlookup($A432&amp;$B432,{'3) Release_Label'!$D:$D&amp;'3) Release_Label'!$E:$E,'3) Release_Label'!$F:$F},2,0),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D432" s="121" t="str">
        <f t="array" ref="D432">ifs(and(isblank($A432),isblank($B432)),"", not(iserror(vlookup($A432&amp;$B432,'3) Release_Label'!$D:$D&amp;'3) Release_Label'!$E:$E,1,0))),vlookup($A432&amp;$B432,{'3) Release_Label'!$D:$D&amp;'3) Release_Label'!$E:$E,'3) Release_Label'!$H:$H},2,0),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E432" s="92"/>
      <c r="F432" s="92"/>
      <c r="G432" s="125" t="str">
        <f t="array" ref="G432">ifs(or($F432="",$F432="Main Primary Artist"),$F432,not(iserror(vlookup($F432,'Reference info'!$J$5:$J$8,1,0))),"Key Artist",not(iserror(vlookup($F432,'Reference info'!$J$38:$J$405,1,0))),"Performer",not(iserror(vlookup($F432,'Reference info'!$J$10:$J$36,1,0))),"Producer &amp; Engineer")</f>
        <v/>
      </c>
    </row>
    <row r="433">
      <c r="A433" s="28"/>
      <c r="B433" s="97"/>
      <c r="C433" s="121" t="str">
        <f t="array" ref="C433">ifs(and(isblank($A433),isblank($B433)),"", not(iserror(vlookup($A433&amp;$B433,'3) Release_Label'!$D:$D&amp;'3) Release_Label'!$E:$E,1,0))),vlookup($A433&amp;$B433,{'3) Release_Label'!$D:$D&amp;'3) Release_Label'!$E:$E,'3) Release_Label'!$F:$F},2,0),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D433" s="121" t="str">
        <f t="array" ref="D433">ifs(and(isblank($A433),isblank($B433)),"", not(iserror(vlookup($A433&amp;$B433,'3) Release_Label'!$D:$D&amp;'3) Release_Label'!$E:$E,1,0))),vlookup($A433&amp;$B433,{'3) Release_Label'!$D:$D&amp;'3) Release_Label'!$E:$E,'3) Release_Label'!$H:$H},2,0),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E433" s="92"/>
      <c r="F433" s="92"/>
      <c r="G433" s="125" t="str">
        <f t="array" ref="G433">ifs(or($F433="",$F433="Main Primary Artist"),$F433,not(iserror(vlookup($F433,'Reference info'!$J$5:$J$8,1,0))),"Key Artist",not(iserror(vlookup($F433,'Reference info'!$J$38:$J$405,1,0))),"Performer",not(iserror(vlookup($F433,'Reference info'!$J$10:$J$36,1,0))),"Producer &amp; Engineer")</f>
        <v/>
      </c>
    </row>
    <row r="434">
      <c r="A434" s="28"/>
      <c r="B434" s="97"/>
      <c r="C434" s="121" t="str">
        <f t="array" ref="C434">ifs(and(isblank($A434),isblank($B434)),"", not(iserror(vlookup($A434&amp;$B434,'3) Release_Label'!$D:$D&amp;'3) Release_Label'!$E:$E,1,0))),vlookup($A434&amp;$B434,{'3) Release_Label'!$D:$D&amp;'3) Release_Label'!$E:$E,'3) Release_Label'!$F:$F},2,0),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D434" s="121" t="str">
        <f t="array" ref="D434">ifs(and(isblank($A434),isblank($B434)),"", not(iserror(vlookup($A434&amp;$B434,'3) Release_Label'!$D:$D&amp;'3) Release_Label'!$E:$E,1,0))),vlookup($A434&amp;$B434,{'3) Release_Label'!$D:$D&amp;'3) Release_Label'!$E:$E,'3) Release_Label'!$H:$H},2,0),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E434" s="92"/>
      <c r="F434" s="92"/>
      <c r="G434" s="125" t="str">
        <f t="array" ref="G434">ifs(or($F434="",$F434="Main Primary Artist"),$F434,not(iserror(vlookup($F434,'Reference info'!$J$5:$J$8,1,0))),"Key Artist",not(iserror(vlookup($F434,'Reference info'!$J$38:$J$405,1,0))),"Performer",not(iserror(vlookup($F434,'Reference info'!$J$10:$J$36,1,0))),"Producer &amp; Engineer")</f>
        <v/>
      </c>
    </row>
    <row r="435">
      <c r="A435" s="28"/>
      <c r="B435" s="97"/>
      <c r="C435" s="121" t="str">
        <f t="array" ref="C435">ifs(and(isblank($A435),isblank($B435)),"", not(iserror(vlookup($A435&amp;$B435,'3) Release_Label'!$D:$D&amp;'3) Release_Label'!$E:$E,1,0))),vlookup($A435&amp;$B435,{'3) Release_Label'!$D:$D&amp;'3) Release_Label'!$E:$E,'3) Release_Label'!$F:$F},2,0),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D435" s="121" t="str">
        <f t="array" ref="D435">ifs(and(isblank($A435),isblank($B435)),"", not(iserror(vlookup($A435&amp;$B435,'3) Release_Label'!$D:$D&amp;'3) Release_Label'!$E:$E,1,0))),vlookup($A435&amp;$B435,{'3) Release_Label'!$D:$D&amp;'3) Release_Label'!$E:$E,'3) Release_Label'!$H:$H},2,0),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E435" s="92"/>
      <c r="F435" s="92"/>
      <c r="G435" s="125" t="str">
        <f t="array" ref="G435">ifs(or($F435="",$F435="Main Primary Artist"),$F435,not(iserror(vlookup($F435,'Reference info'!$J$5:$J$8,1,0))),"Key Artist",not(iserror(vlookup($F435,'Reference info'!$J$38:$J$405,1,0))),"Performer",not(iserror(vlookup($F435,'Reference info'!$J$10:$J$36,1,0))),"Producer &amp; Engineer")</f>
        <v/>
      </c>
    </row>
    <row r="436">
      <c r="A436" s="28"/>
      <c r="B436" s="97"/>
      <c r="C436" s="121" t="str">
        <f t="array" ref="C436">ifs(and(isblank($A436),isblank($B436)),"", not(iserror(vlookup($A436&amp;$B436,'3) Release_Label'!$D:$D&amp;'3) Release_Label'!$E:$E,1,0))),vlookup($A436&amp;$B436,{'3) Release_Label'!$D:$D&amp;'3) Release_Label'!$E:$E,'3) Release_Label'!$F:$F},2,0),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D436" s="121" t="str">
        <f t="array" ref="D436">ifs(and(isblank($A436),isblank($B436)),"", not(iserror(vlookup($A436&amp;$B436,'3) Release_Label'!$D:$D&amp;'3) Release_Label'!$E:$E,1,0))),vlookup($A436&amp;$B436,{'3) Release_Label'!$D:$D&amp;'3) Release_Label'!$E:$E,'3) Release_Label'!$H:$H},2,0),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E436" s="92"/>
      <c r="F436" s="92"/>
      <c r="G436" s="125" t="str">
        <f t="array" ref="G436">ifs(or($F436="",$F436="Main Primary Artist"),$F436,not(iserror(vlookup($F436,'Reference info'!$J$5:$J$8,1,0))),"Key Artist",not(iserror(vlookup($F436,'Reference info'!$J$38:$J$405,1,0))),"Performer",not(iserror(vlookup($F436,'Reference info'!$J$10:$J$36,1,0))),"Producer &amp; Engineer")</f>
        <v/>
      </c>
    </row>
    <row r="437">
      <c r="A437" s="28"/>
      <c r="B437" s="97"/>
      <c r="C437" s="121" t="str">
        <f t="array" ref="C437">ifs(and(isblank($A437),isblank($B437)),"", not(iserror(vlookup($A437&amp;$B437,'3) Release_Label'!$D:$D&amp;'3) Release_Label'!$E:$E,1,0))),vlookup($A437&amp;$B437,{'3) Release_Label'!$D:$D&amp;'3) Release_Label'!$E:$E,'3) Release_Label'!$F:$F},2,0),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D437" s="121" t="str">
        <f t="array" ref="D437">ifs(and(isblank($A437),isblank($B437)),"", not(iserror(vlookup($A437&amp;$B437,'3) Release_Label'!$D:$D&amp;'3) Release_Label'!$E:$E,1,0))),vlookup($A437&amp;$B437,{'3) Release_Label'!$D:$D&amp;'3) Release_Label'!$E:$E,'3) Release_Label'!$H:$H},2,0),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E437" s="92"/>
      <c r="F437" s="92"/>
      <c r="G437" s="125" t="str">
        <f t="array" ref="G437">ifs(or($F437="",$F437="Main Primary Artist"),$F437,not(iserror(vlookup($F437,'Reference info'!$J$5:$J$8,1,0))),"Key Artist",not(iserror(vlookup($F437,'Reference info'!$J$38:$J$405,1,0))),"Performer",not(iserror(vlookup($F437,'Reference info'!$J$10:$J$36,1,0))),"Producer &amp; Engineer")</f>
        <v/>
      </c>
    </row>
    <row r="438">
      <c r="A438" s="28"/>
      <c r="B438" s="97"/>
      <c r="C438" s="121" t="str">
        <f t="array" ref="C438">ifs(and(isblank($A438),isblank($B438)),"", not(iserror(vlookup($A438&amp;$B438,'3) Release_Label'!$D:$D&amp;'3) Release_Label'!$E:$E,1,0))),vlookup($A438&amp;$B438,{'3) Release_Label'!$D:$D&amp;'3) Release_Label'!$E:$E,'3) Release_Label'!$F:$F},2,0),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D438" s="121" t="str">
        <f t="array" ref="D438">ifs(and(isblank($A438),isblank($B438)),"", not(iserror(vlookup($A438&amp;$B438,'3) Release_Label'!$D:$D&amp;'3) Release_Label'!$E:$E,1,0))),vlookup($A438&amp;$B438,{'3) Release_Label'!$D:$D&amp;'3) Release_Label'!$E:$E,'3) Release_Label'!$H:$H},2,0),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E438" s="92"/>
      <c r="F438" s="92"/>
      <c r="G438" s="125" t="str">
        <f t="array" ref="G438">ifs(or($F438="",$F438="Main Primary Artist"),$F438,not(iserror(vlookup($F438,'Reference info'!$J$5:$J$8,1,0))),"Key Artist",not(iserror(vlookup($F438,'Reference info'!$J$38:$J$405,1,0))),"Performer",not(iserror(vlookup($F438,'Reference info'!$J$10:$J$36,1,0))),"Producer &amp; Engineer")</f>
        <v/>
      </c>
    </row>
    <row r="439">
      <c r="A439" s="28"/>
      <c r="B439" s="97"/>
      <c r="C439" s="121" t="str">
        <f t="array" ref="C439">ifs(and(isblank($A439),isblank($B439)),"", not(iserror(vlookup($A439&amp;$B439,'3) Release_Label'!$D:$D&amp;'3) Release_Label'!$E:$E,1,0))),vlookup($A439&amp;$B439,{'3) Release_Label'!$D:$D&amp;'3) Release_Label'!$E:$E,'3) Release_Label'!$F:$F},2,0),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D439" s="121" t="str">
        <f t="array" ref="D439">ifs(and(isblank($A439),isblank($B439)),"", not(iserror(vlookup($A439&amp;$B439,'3) Release_Label'!$D:$D&amp;'3) Release_Label'!$E:$E,1,0))),vlookup($A439&amp;$B439,{'3) Release_Label'!$D:$D&amp;'3) Release_Label'!$E:$E,'3) Release_Label'!$H:$H},2,0),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E439" s="92"/>
      <c r="F439" s="92"/>
      <c r="G439" s="125" t="str">
        <f t="array" ref="G439">ifs(or($F439="",$F439="Main Primary Artist"),$F439,not(iserror(vlookup($F439,'Reference info'!$J$5:$J$8,1,0))),"Key Artist",not(iserror(vlookup($F439,'Reference info'!$J$38:$J$405,1,0))),"Performer",not(iserror(vlookup($F439,'Reference info'!$J$10:$J$36,1,0))),"Producer &amp; Engineer")</f>
        <v/>
      </c>
    </row>
    <row r="440">
      <c r="A440" s="28"/>
      <c r="B440" s="97"/>
      <c r="C440" s="121" t="str">
        <f t="array" ref="C440">ifs(and(isblank($A440),isblank($B440)),"", not(iserror(vlookup($A440&amp;$B440,'3) Release_Label'!$D:$D&amp;'3) Release_Label'!$E:$E,1,0))),vlookup($A440&amp;$B440,{'3) Release_Label'!$D:$D&amp;'3) Release_Label'!$E:$E,'3) Release_Label'!$F:$F},2,0),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D440" s="121" t="str">
        <f t="array" ref="D440">ifs(and(isblank($A440),isblank($B440)),"", not(iserror(vlookup($A440&amp;$B440,'3) Release_Label'!$D:$D&amp;'3) Release_Label'!$E:$E,1,0))),vlookup($A440&amp;$B440,{'3) Release_Label'!$D:$D&amp;'3) Release_Label'!$E:$E,'3) Release_Label'!$H:$H},2,0),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E440" s="92"/>
      <c r="F440" s="92"/>
      <c r="G440" s="125" t="str">
        <f t="array" ref="G440">ifs(or($F440="",$F440="Main Primary Artist"),$F440,not(iserror(vlookup($F440,'Reference info'!$J$5:$J$8,1,0))),"Key Artist",not(iserror(vlookup($F440,'Reference info'!$J$38:$J$405,1,0))),"Performer",not(iserror(vlookup($F440,'Reference info'!$J$10:$J$36,1,0))),"Producer &amp; Engineer")</f>
        <v/>
      </c>
    </row>
    <row r="441">
      <c r="A441" s="28"/>
      <c r="B441" s="97"/>
      <c r="C441" s="121" t="str">
        <f t="array" ref="C441">ifs(and(isblank($A441),isblank($B441)),"", not(iserror(vlookup($A441&amp;$B441,'3) Release_Label'!$D:$D&amp;'3) Release_Label'!$E:$E,1,0))),vlookup($A441&amp;$B441,{'3) Release_Label'!$D:$D&amp;'3) Release_Label'!$E:$E,'3) Release_Label'!$F:$F},2,0),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D441" s="121" t="str">
        <f t="array" ref="D441">ifs(and(isblank($A441),isblank($B441)),"", not(iserror(vlookup($A441&amp;$B441,'3) Release_Label'!$D:$D&amp;'3) Release_Label'!$E:$E,1,0))),vlookup($A441&amp;$B441,{'3) Release_Label'!$D:$D&amp;'3) Release_Label'!$E:$E,'3) Release_Label'!$H:$H},2,0),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E441" s="92"/>
      <c r="F441" s="92"/>
      <c r="G441" s="125" t="str">
        <f t="array" ref="G441">ifs(or($F441="",$F441="Main Primary Artist"),$F441,not(iserror(vlookup($F441,'Reference info'!$J$5:$J$8,1,0))),"Key Artist",not(iserror(vlookup($F441,'Reference info'!$J$38:$J$405,1,0))),"Performer",not(iserror(vlookup($F441,'Reference info'!$J$10:$J$36,1,0))),"Producer &amp; Engineer")</f>
        <v/>
      </c>
    </row>
    <row r="442">
      <c r="A442" s="28"/>
      <c r="B442" s="97"/>
      <c r="C442" s="121" t="str">
        <f t="array" ref="C442">ifs(and(isblank($A442),isblank($B442)),"", not(iserror(vlookup($A442&amp;$B442,'3) Release_Label'!$D:$D&amp;'3) Release_Label'!$E:$E,1,0))),vlookup($A442&amp;$B442,{'3) Release_Label'!$D:$D&amp;'3) Release_Label'!$E:$E,'3) Release_Label'!$F:$F},2,0),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D442" s="121" t="str">
        <f t="array" ref="D442">ifs(and(isblank($A442),isblank($B442)),"", not(iserror(vlookup($A442&amp;$B442,'3) Release_Label'!$D:$D&amp;'3) Release_Label'!$E:$E,1,0))),vlookup($A442&amp;$B442,{'3) Release_Label'!$D:$D&amp;'3) Release_Label'!$E:$E,'3) Release_Label'!$H:$H},2,0),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E442" s="92"/>
      <c r="F442" s="92"/>
      <c r="G442" s="125" t="str">
        <f t="array" ref="G442">ifs(or($F442="",$F442="Main Primary Artist"),$F442,not(iserror(vlookup($F442,'Reference info'!$J$5:$J$8,1,0))),"Key Artist",not(iserror(vlookup($F442,'Reference info'!$J$38:$J$405,1,0))),"Performer",not(iserror(vlookup($F442,'Reference info'!$J$10:$J$36,1,0))),"Producer &amp; Engineer")</f>
        <v/>
      </c>
    </row>
    <row r="443">
      <c r="A443" s="28"/>
      <c r="B443" s="97"/>
      <c r="C443" s="121" t="str">
        <f t="array" ref="C443">ifs(and(isblank($A443),isblank($B443)),"", not(iserror(vlookup($A443&amp;$B443,'3) Release_Label'!$D:$D&amp;'3) Release_Label'!$E:$E,1,0))),vlookup($A443&amp;$B443,{'3) Release_Label'!$D:$D&amp;'3) Release_Label'!$E:$E,'3) Release_Label'!$F:$F},2,0),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D443" s="121" t="str">
        <f t="array" ref="D443">ifs(and(isblank($A443),isblank($B443)),"", not(iserror(vlookup($A443&amp;$B443,'3) Release_Label'!$D:$D&amp;'3) Release_Label'!$E:$E,1,0))),vlookup($A443&amp;$B443,{'3) Release_Label'!$D:$D&amp;'3) Release_Label'!$E:$E,'3) Release_Label'!$H:$H},2,0),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E443" s="92"/>
      <c r="F443" s="92"/>
      <c r="G443" s="125" t="str">
        <f t="array" ref="G443">ifs(or($F443="",$F443="Main Primary Artist"),$F443,not(iserror(vlookup($F443,'Reference info'!$J$5:$J$8,1,0))),"Key Artist",not(iserror(vlookup($F443,'Reference info'!$J$38:$J$405,1,0))),"Performer",not(iserror(vlookup($F443,'Reference info'!$J$10:$J$36,1,0))),"Producer &amp; Engineer")</f>
        <v/>
      </c>
    </row>
    <row r="444">
      <c r="A444" s="28"/>
      <c r="B444" s="97"/>
      <c r="C444" s="121" t="str">
        <f t="array" ref="C444">ifs(and(isblank($A444),isblank($B444)),"", not(iserror(vlookup($A444&amp;$B444,'3) Release_Label'!$D:$D&amp;'3) Release_Label'!$E:$E,1,0))),vlookup($A444&amp;$B444,{'3) Release_Label'!$D:$D&amp;'3) Release_Label'!$E:$E,'3) Release_Label'!$F:$F},2,0),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D444" s="121" t="str">
        <f t="array" ref="D444">ifs(and(isblank($A444),isblank($B444)),"", not(iserror(vlookup($A444&amp;$B444,'3) Release_Label'!$D:$D&amp;'3) Release_Label'!$E:$E,1,0))),vlookup($A444&amp;$B444,{'3) Release_Label'!$D:$D&amp;'3) Release_Label'!$E:$E,'3) Release_Label'!$H:$H},2,0),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E444" s="92"/>
      <c r="F444" s="92"/>
      <c r="G444" s="125" t="str">
        <f t="array" ref="G444">ifs(or($F444="",$F444="Main Primary Artist"),$F444,not(iserror(vlookup($F444,'Reference info'!$J$5:$J$8,1,0))),"Key Artist",not(iserror(vlookup($F444,'Reference info'!$J$38:$J$405,1,0))),"Performer",not(iserror(vlookup($F444,'Reference info'!$J$10:$J$36,1,0))),"Producer &amp; Engineer")</f>
        <v/>
      </c>
    </row>
    <row r="445">
      <c r="A445" s="28"/>
      <c r="B445" s="97"/>
      <c r="C445" s="121" t="str">
        <f t="array" ref="C445">ifs(and(isblank($A445),isblank($B445)),"", not(iserror(vlookup($A445&amp;$B445,'3) Release_Label'!$D:$D&amp;'3) Release_Label'!$E:$E,1,0))),vlookup($A445&amp;$B445,{'3) Release_Label'!$D:$D&amp;'3) Release_Label'!$E:$E,'3) Release_Label'!$F:$F},2,0),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D445" s="121" t="str">
        <f t="array" ref="D445">ifs(and(isblank($A445),isblank($B445)),"", not(iserror(vlookup($A445&amp;$B445,'3) Release_Label'!$D:$D&amp;'3) Release_Label'!$E:$E,1,0))),vlookup($A445&amp;$B445,{'3) Release_Label'!$D:$D&amp;'3) Release_Label'!$E:$E,'3) Release_Label'!$H:$H},2,0),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E445" s="92"/>
      <c r="F445" s="92"/>
      <c r="G445" s="125" t="str">
        <f t="array" ref="G445">ifs(or($F445="",$F445="Main Primary Artist"),$F445,not(iserror(vlookup($F445,'Reference info'!$J$5:$J$8,1,0))),"Key Artist",not(iserror(vlookup($F445,'Reference info'!$J$38:$J$405,1,0))),"Performer",not(iserror(vlookup($F445,'Reference info'!$J$10:$J$36,1,0))),"Producer &amp; Engineer")</f>
        <v/>
      </c>
    </row>
    <row r="446">
      <c r="A446" s="28"/>
      <c r="B446" s="97"/>
      <c r="C446" s="121" t="str">
        <f t="array" ref="C446">ifs(and(isblank($A446),isblank($B446)),"", not(iserror(vlookup($A446&amp;$B446,'3) Release_Label'!$D:$D&amp;'3) Release_Label'!$E:$E,1,0))),vlookup($A446&amp;$B446,{'3) Release_Label'!$D:$D&amp;'3) Release_Label'!$E:$E,'3) Release_Label'!$F:$F},2,0),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D446" s="121" t="str">
        <f t="array" ref="D446">ifs(and(isblank($A446),isblank($B446)),"", not(iserror(vlookup($A446&amp;$B446,'3) Release_Label'!$D:$D&amp;'3) Release_Label'!$E:$E,1,0))),vlookup($A446&amp;$B446,{'3) Release_Label'!$D:$D&amp;'3) Release_Label'!$E:$E,'3) Release_Label'!$H:$H},2,0),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E446" s="92"/>
      <c r="F446" s="92"/>
      <c r="G446" s="125" t="str">
        <f t="array" ref="G446">ifs(or($F446="",$F446="Main Primary Artist"),$F446,not(iserror(vlookup($F446,'Reference info'!$J$5:$J$8,1,0))),"Key Artist",not(iserror(vlookup($F446,'Reference info'!$J$38:$J$405,1,0))),"Performer",not(iserror(vlookup($F446,'Reference info'!$J$10:$J$36,1,0))),"Producer &amp; Engineer")</f>
        <v/>
      </c>
    </row>
    <row r="447">
      <c r="A447" s="28"/>
      <c r="B447" s="97"/>
      <c r="C447" s="121" t="str">
        <f t="array" ref="C447">ifs(and(isblank($A447),isblank($B447)),"", not(iserror(vlookup($A447&amp;$B447,'3) Release_Label'!$D:$D&amp;'3) Release_Label'!$E:$E,1,0))),vlookup($A447&amp;$B447,{'3) Release_Label'!$D:$D&amp;'3) Release_Label'!$E:$E,'3) Release_Label'!$F:$F},2,0),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D447" s="121" t="str">
        <f t="array" ref="D447">ifs(and(isblank($A447),isblank($B447)),"", not(iserror(vlookup($A447&amp;$B447,'3) Release_Label'!$D:$D&amp;'3) Release_Label'!$E:$E,1,0))),vlookup($A447&amp;$B447,{'3) Release_Label'!$D:$D&amp;'3) Release_Label'!$E:$E,'3) Release_Label'!$H:$H},2,0),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E447" s="92"/>
      <c r="F447" s="92"/>
      <c r="G447" s="125" t="str">
        <f t="array" ref="G447">ifs(or($F447="",$F447="Main Primary Artist"),$F447,not(iserror(vlookup($F447,'Reference info'!$J$5:$J$8,1,0))),"Key Artist",not(iserror(vlookup($F447,'Reference info'!$J$38:$J$405,1,0))),"Performer",not(iserror(vlookup($F447,'Reference info'!$J$10:$J$36,1,0))),"Producer &amp; Engineer")</f>
        <v/>
      </c>
    </row>
    <row r="448">
      <c r="A448" s="28"/>
      <c r="B448" s="97"/>
      <c r="C448" s="121" t="str">
        <f t="array" ref="C448">ifs(and(isblank($A448),isblank($B448)),"", not(iserror(vlookup($A448&amp;$B448,'3) Release_Label'!$D:$D&amp;'3) Release_Label'!$E:$E,1,0))),vlookup($A448&amp;$B448,{'3) Release_Label'!$D:$D&amp;'3) Release_Label'!$E:$E,'3) Release_Label'!$F:$F},2,0),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D448" s="121" t="str">
        <f t="array" ref="D448">ifs(and(isblank($A448),isblank($B448)),"", not(iserror(vlookup($A448&amp;$B448,'3) Release_Label'!$D:$D&amp;'3) Release_Label'!$E:$E,1,0))),vlookup($A448&amp;$B448,{'3) Release_Label'!$D:$D&amp;'3) Release_Label'!$E:$E,'3) Release_Label'!$H:$H},2,0),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E448" s="92"/>
      <c r="F448" s="92"/>
      <c r="G448" s="125" t="str">
        <f t="array" ref="G448">ifs(or($F448="",$F448="Main Primary Artist"),$F448,not(iserror(vlookup($F448,'Reference info'!$J$5:$J$8,1,0))),"Key Artist",not(iserror(vlookup($F448,'Reference info'!$J$38:$J$405,1,0))),"Performer",not(iserror(vlookup($F448,'Reference info'!$J$10:$J$36,1,0))),"Producer &amp; Engineer")</f>
        <v/>
      </c>
    </row>
    <row r="449">
      <c r="A449" s="28"/>
      <c r="B449" s="97"/>
      <c r="C449" s="121" t="str">
        <f t="array" ref="C449">ifs(and(isblank($A449),isblank($B449)),"", not(iserror(vlookup($A449&amp;$B449,'3) Release_Label'!$D:$D&amp;'3) Release_Label'!$E:$E,1,0))),vlookup($A449&amp;$B449,{'3) Release_Label'!$D:$D&amp;'3) Release_Label'!$E:$E,'3) Release_Label'!$F:$F},2,0),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D449" s="121" t="str">
        <f t="array" ref="D449">ifs(and(isblank($A449),isblank($B449)),"", not(iserror(vlookup($A449&amp;$B449,'3) Release_Label'!$D:$D&amp;'3) Release_Label'!$E:$E,1,0))),vlookup($A449&amp;$B449,{'3) Release_Label'!$D:$D&amp;'3) Release_Label'!$E:$E,'3) Release_Label'!$H:$H},2,0),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E449" s="92"/>
      <c r="F449" s="92"/>
      <c r="G449" s="125" t="str">
        <f t="array" ref="G449">ifs(or($F449="",$F449="Main Primary Artist"),$F449,not(iserror(vlookup($F449,'Reference info'!$J$5:$J$8,1,0))),"Key Artist",not(iserror(vlookup($F449,'Reference info'!$J$38:$J$405,1,0))),"Performer",not(iserror(vlookup($F449,'Reference info'!$J$10:$J$36,1,0))),"Producer &amp; Engineer")</f>
        <v/>
      </c>
    </row>
    <row r="450">
      <c r="A450" s="28"/>
      <c r="B450" s="97"/>
      <c r="C450" s="121" t="str">
        <f t="array" ref="C450">ifs(and(isblank($A450),isblank($B450)),"", not(iserror(vlookup($A450&amp;$B450,'3) Release_Label'!$D:$D&amp;'3) Release_Label'!$E:$E,1,0))),vlookup($A450&amp;$B450,{'3) Release_Label'!$D:$D&amp;'3) Release_Label'!$E:$E,'3) Release_Label'!$F:$F},2,0),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D450" s="121" t="str">
        <f t="array" ref="D450">ifs(and(isblank($A450),isblank($B450)),"", not(iserror(vlookup($A450&amp;$B450,'3) Release_Label'!$D:$D&amp;'3) Release_Label'!$E:$E,1,0))),vlookup($A450&amp;$B450,{'3) Release_Label'!$D:$D&amp;'3) Release_Label'!$E:$E,'3) Release_Label'!$H:$H},2,0),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E450" s="92"/>
      <c r="F450" s="92"/>
      <c r="G450" s="125" t="str">
        <f t="array" ref="G450">ifs(or($F450="",$F450="Main Primary Artist"),$F450,not(iserror(vlookup($F450,'Reference info'!$J$5:$J$8,1,0))),"Key Artist",not(iserror(vlookup($F450,'Reference info'!$J$38:$J$405,1,0))),"Performer",not(iserror(vlookup($F450,'Reference info'!$J$10:$J$36,1,0))),"Producer &amp; Engineer")</f>
        <v/>
      </c>
    </row>
    <row r="451">
      <c r="A451" s="28"/>
      <c r="B451" s="97"/>
      <c r="C451" s="121" t="str">
        <f t="array" ref="C451">ifs(and(isblank($A451),isblank($B451)),"", not(iserror(vlookup($A451&amp;$B451,'3) Release_Label'!$D:$D&amp;'3) Release_Label'!$E:$E,1,0))),vlookup($A451&amp;$B451,{'3) Release_Label'!$D:$D&amp;'3) Release_Label'!$E:$E,'3) Release_Label'!$F:$F},2,0),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D451" s="121" t="str">
        <f t="array" ref="D451">ifs(and(isblank($A451),isblank($B451)),"", not(iserror(vlookup($A451&amp;$B451,'3) Release_Label'!$D:$D&amp;'3) Release_Label'!$E:$E,1,0))),vlookup($A451&amp;$B451,{'3) Release_Label'!$D:$D&amp;'3) Release_Label'!$E:$E,'3) Release_Label'!$H:$H},2,0),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E451" s="92"/>
      <c r="F451" s="92"/>
      <c r="G451" s="125" t="str">
        <f t="array" ref="G451">ifs(or($F451="",$F451="Main Primary Artist"),$F451,not(iserror(vlookup($F451,'Reference info'!$J$5:$J$8,1,0))),"Key Artist",not(iserror(vlookup($F451,'Reference info'!$J$38:$J$405,1,0))),"Performer",not(iserror(vlookup($F451,'Reference info'!$J$10:$J$36,1,0))),"Producer &amp; Engineer")</f>
        <v/>
      </c>
    </row>
    <row r="452">
      <c r="A452" s="28"/>
      <c r="B452" s="97"/>
      <c r="C452" s="121" t="str">
        <f t="array" ref="C452">ifs(and(isblank($A452),isblank($B452)),"", not(iserror(vlookup($A452&amp;$B452,'3) Release_Label'!$D:$D&amp;'3) Release_Label'!$E:$E,1,0))),vlookup($A452&amp;$B452,{'3) Release_Label'!$D:$D&amp;'3) Release_Label'!$E:$E,'3) Release_Label'!$F:$F},2,0),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D452" s="121" t="str">
        <f t="array" ref="D452">ifs(and(isblank($A452),isblank($B452)),"", not(iserror(vlookup($A452&amp;$B452,'3) Release_Label'!$D:$D&amp;'3) Release_Label'!$E:$E,1,0))),vlookup($A452&amp;$B452,{'3) Release_Label'!$D:$D&amp;'3) Release_Label'!$E:$E,'3) Release_Label'!$H:$H},2,0),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E452" s="92"/>
      <c r="F452" s="92"/>
      <c r="G452" s="125" t="str">
        <f t="array" ref="G452">ifs(or($F452="",$F452="Main Primary Artist"),$F452,not(iserror(vlookup($F452,'Reference info'!$J$5:$J$8,1,0))),"Key Artist",not(iserror(vlookup($F452,'Reference info'!$J$38:$J$405,1,0))),"Performer",not(iserror(vlookup($F452,'Reference info'!$J$10:$J$36,1,0))),"Producer &amp; Engineer")</f>
        <v/>
      </c>
    </row>
    <row r="453">
      <c r="A453" s="28"/>
      <c r="B453" s="97"/>
      <c r="C453" s="121" t="str">
        <f t="array" ref="C453">ifs(and(isblank($A453),isblank($B453)),"", not(iserror(vlookup($A453&amp;$B453,'3) Release_Label'!$D:$D&amp;'3) Release_Label'!$E:$E,1,0))),vlookup($A453&amp;$B453,{'3) Release_Label'!$D:$D&amp;'3) Release_Label'!$E:$E,'3) Release_Label'!$F:$F},2,0),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D453" s="121" t="str">
        <f t="array" ref="D453">ifs(and(isblank($A453),isblank($B453)),"", not(iserror(vlookup($A453&amp;$B453,'3) Release_Label'!$D:$D&amp;'3) Release_Label'!$E:$E,1,0))),vlookup($A453&amp;$B453,{'3) Release_Label'!$D:$D&amp;'3) Release_Label'!$E:$E,'3) Release_Label'!$H:$H},2,0),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E453" s="92"/>
      <c r="F453" s="92"/>
      <c r="G453" s="125" t="str">
        <f t="array" ref="G453">ifs(or($F453="",$F453="Main Primary Artist"),$F453,not(iserror(vlookup($F453,'Reference info'!$J$5:$J$8,1,0))),"Key Artist",not(iserror(vlookup($F453,'Reference info'!$J$38:$J$405,1,0))),"Performer",not(iserror(vlookup($F453,'Reference info'!$J$10:$J$36,1,0))),"Producer &amp; Engineer")</f>
        <v/>
      </c>
    </row>
    <row r="454">
      <c r="A454" s="28"/>
      <c r="B454" s="97"/>
      <c r="C454" s="121" t="str">
        <f t="array" ref="C454">ifs(and(isblank($A454),isblank($B454)),"", not(iserror(vlookup($A454&amp;$B454,'3) Release_Label'!$D:$D&amp;'3) Release_Label'!$E:$E,1,0))),vlookup($A454&amp;$B454,{'3) Release_Label'!$D:$D&amp;'3) Release_Label'!$E:$E,'3) Release_Label'!$F:$F},2,0),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D454" s="121" t="str">
        <f t="array" ref="D454">ifs(and(isblank($A454),isblank($B454)),"", not(iserror(vlookup($A454&amp;$B454,'3) Release_Label'!$D:$D&amp;'3) Release_Label'!$E:$E,1,0))),vlookup($A454&amp;$B454,{'3) Release_Label'!$D:$D&amp;'3) Release_Label'!$E:$E,'3) Release_Label'!$H:$H},2,0),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E454" s="92"/>
      <c r="F454" s="92"/>
      <c r="G454" s="125" t="str">
        <f t="array" ref="G454">ifs(or($F454="",$F454="Main Primary Artist"),$F454,not(iserror(vlookup($F454,'Reference info'!$J$5:$J$8,1,0))),"Key Artist",not(iserror(vlookup($F454,'Reference info'!$J$38:$J$405,1,0))),"Performer",not(iserror(vlookup($F454,'Reference info'!$J$10:$J$36,1,0))),"Producer &amp; Engineer")</f>
        <v/>
      </c>
    </row>
    <row r="455">
      <c r="A455" s="28"/>
      <c r="B455" s="97"/>
      <c r="C455" s="121" t="str">
        <f t="array" ref="C455">ifs(and(isblank($A455),isblank($B455)),"", not(iserror(vlookup($A455&amp;$B455,'3) Release_Label'!$D:$D&amp;'3) Release_Label'!$E:$E,1,0))),vlookup($A455&amp;$B455,{'3) Release_Label'!$D:$D&amp;'3) Release_Label'!$E:$E,'3) Release_Label'!$F:$F},2,0),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D455" s="121" t="str">
        <f t="array" ref="D455">ifs(and(isblank($A455),isblank($B455)),"", not(iserror(vlookup($A455&amp;$B455,'3) Release_Label'!$D:$D&amp;'3) Release_Label'!$E:$E,1,0))),vlookup($A455&amp;$B455,{'3) Release_Label'!$D:$D&amp;'3) Release_Label'!$E:$E,'3) Release_Label'!$H:$H},2,0),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E455" s="92"/>
      <c r="F455" s="92"/>
      <c r="G455" s="125" t="str">
        <f t="array" ref="G455">ifs(or($F455="",$F455="Main Primary Artist"),$F455,not(iserror(vlookup($F455,'Reference info'!$J$5:$J$8,1,0))),"Key Artist",not(iserror(vlookup($F455,'Reference info'!$J$38:$J$405,1,0))),"Performer",not(iserror(vlookup($F455,'Reference info'!$J$10:$J$36,1,0))),"Producer &amp; Engineer")</f>
        <v/>
      </c>
    </row>
    <row r="456">
      <c r="A456" s="28"/>
      <c r="B456" s="97"/>
      <c r="C456" s="121" t="str">
        <f t="array" ref="C456">ifs(and(isblank($A456),isblank($B456)),"", not(iserror(vlookup($A456&amp;$B456,'3) Release_Label'!$D:$D&amp;'3) Release_Label'!$E:$E,1,0))),vlookup($A456&amp;$B456,{'3) Release_Label'!$D:$D&amp;'3) Release_Label'!$E:$E,'3) Release_Label'!$F:$F},2,0),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D456" s="121" t="str">
        <f t="array" ref="D456">ifs(and(isblank($A456),isblank($B456)),"", not(iserror(vlookup($A456&amp;$B456,'3) Release_Label'!$D:$D&amp;'3) Release_Label'!$E:$E,1,0))),vlookup($A456&amp;$B456,{'3) Release_Label'!$D:$D&amp;'3) Release_Label'!$E:$E,'3) Release_Label'!$H:$H},2,0),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E456" s="92"/>
      <c r="F456" s="92"/>
      <c r="G456" s="125" t="str">
        <f t="array" ref="G456">ifs(or($F456="",$F456="Main Primary Artist"),$F456,not(iserror(vlookup($F456,'Reference info'!$J$5:$J$8,1,0))),"Key Artist",not(iserror(vlookup($F456,'Reference info'!$J$38:$J$405,1,0))),"Performer",not(iserror(vlookup($F456,'Reference info'!$J$10:$J$36,1,0))),"Producer &amp; Engineer")</f>
        <v/>
      </c>
    </row>
    <row r="457">
      <c r="A457" s="28"/>
      <c r="B457" s="97"/>
      <c r="C457" s="121" t="str">
        <f t="array" ref="C457">ifs(and(isblank($A457),isblank($B457)),"", not(iserror(vlookup($A457&amp;$B457,'3) Release_Label'!$D:$D&amp;'3) Release_Label'!$E:$E,1,0))),vlookup($A457&amp;$B457,{'3) Release_Label'!$D:$D&amp;'3) Release_Label'!$E:$E,'3) Release_Label'!$F:$F},2,0),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D457" s="121" t="str">
        <f t="array" ref="D457">ifs(and(isblank($A457),isblank($B457)),"", not(iserror(vlookup($A457&amp;$B457,'3) Release_Label'!$D:$D&amp;'3) Release_Label'!$E:$E,1,0))),vlookup($A457&amp;$B457,{'3) Release_Label'!$D:$D&amp;'3) Release_Label'!$E:$E,'3) Release_Label'!$H:$H},2,0),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E457" s="92"/>
      <c r="F457" s="92"/>
      <c r="G457" s="125" t="str">
        <f t="array" ref="G457">ifs(or($F457="",$F457="Main Primary Artist"),$F457,not(iserror(vlookup($F457,'Reference info'!$J$5:$J$8,1,0))),"Key Artist",not(iserror(vlookup($F457,'Reference info'!$J$38:$J$405,1,0))),"Performer",not(iserror(vlookup($F457,'Reference info'!$J$10:$J$36,1,0))),"Producer &amp; Engineer")</f>
        <v/>
      </c>
    </row>
    <row r="458">
      <c r="A458" s="28"/>
      <c r="B458" s="97"/>
      <c r="C458" s="121" t="str">
        <f t="array" ref="C458">ifs(and(isblank($A458),isblank($B458)),"", not(iserror(vlookup($A458&amp;$B458,'3) Release_Label'!$D:$D&amp;'3) Release_Label'!$E:$E,1,0))),vlookup($A458&amp;$B458,{'3) Release_Label'!$D:$D&amp;'3) Release_Label'!$E:$E,'3) Release_Label'!$F:$F},2,0),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D458" s="121" t="str">
        <f t="array" ref="D458">ifs(and(isblank($A458),isblank($B458)),"", not(iserror(vlookup($A458&amp;$B458,'3) Release_Label'!$D:$D&amp;'3) Release_Label'!$E:$E,1,0))),vlookup($A458&amp;$B458,{'3) Release_Label'!$D:$D&amp;'3) Release_Label'!$E:$E,'3) Release_Label'!$H:$H},2,0),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E458" s="92"/>
      <c r="F458" s="92"/>
      <c r="G458" s="125" t="str">
        <f t="array" ref="G458">ifs(or($F458="",$F458="Main Primary Artist"),$F458,not(iserror(vlookup($F458,'Reference info'!$J$5:$J$8,1,0))),"Key Artist",not(iserror(vlookup($F458,'Reference info'!$J$38:$J$405,1,0))),"Performer",not(iserror(vlookup($F458,'Reference info'!$J$10:$J$36,1,0))),"Producer &amp; Engineer")</f>
        <v/>
      </c>
    </row>
    <row r="459">
      <c r="A459" s="28"/>
      <c r="B459" s="97"/>
      <c r="C459" s="121" t="str">
        <f t="array" ref="C459">ifs(and(isblank($A459),isblank($B459)),"", not(iserror(vlookup($A459&amp;$B459,'3) Release_Label'!$D:$D&amp;'3) Release_Label'!$E:$E,1,0))),vlookup($A459&amp;$B459,{'3) Release_Label'!$D:$D&amp;'3) Release_Label'!$E:$E,'3) Release_Label'!$F:$F},2,0),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D459" s="121" t="str">
        <f t="array" ref="D459">ifs(and(isblank($A459),isblank($B459)),"", not(iserror(vlookup($A459&amp;$B459,'3) Release_Label'!$D:$D&amp;'3) Release_Label'!$E:$E,1,0))),vlookup($A459&amp;$B459,{'3) Release_Label'!$D:$D&amp;'3) Release_Label'!$E:$E,'3) Release_Label'!$H:$H},2,0),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E459" s="92"/>
      <c r="F459" s="92"/>
      <c r="G459" s="125" t="str">
        <f t="array" ref="G459">ifs(or($F459="",$F459="Main Primary Artist"),$F459,not(iserror(vlookup($F459,'Reference info'!$J$5:$J$8,1,0))),"Key Artist",not(iserror(vlookup($F459,'Reference info'!$J$38:$J$405,1,0))),"Performer",not(iserror(vlookup($F459,'Reference info'!$J$10:$J$36,1,0))),"Producer &amp; Engineer")</f>
        <v/>
      </c>
    </row>
    <row r="460">
      <c r="A460" s="28"/>
      <c r="B460" s="97"/>
      <c r="C460" s="121" t="str">
        <f t="array" ref="C460">ifs(and(isblank($A460),isblank($B460)),"", not(iserror(vlookup($A460&amp;$B460,'3) Release_Label'!$D:$D&amp;'3) Release_Label'!$E:$E,1,0))),vlookup($A460&amp;$B460,{'3) Release_Label'!$D:$D&amp;'3) Release_Label'!$E:$E,'3) Release_Label'!$F:$F},2,0),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D460" s="121" t="str">
        <f t="array" ref="D460">ifs(and(isblank($A460),isblank($B460)),"", not(iserror(vlookup($A460&amp;$B460,'3) Release_Label'!$D:$D&amp;'3) Release_Label'!$E:$E,1,0))),vlookup($A460&amp;$B460,{'3) Release_Label'!$D:$D&amp;'3) Release_Label'!$E:$E,'3) Release_Label'!$H:$H},2,0),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E460" s="92"/>
      <c r="F460" s="92"/>
      <c r="G460" s="125" t="str">
        <f t="array" ref="G460">ifs(or($F460="",$F460="Main Primary Artist"),$F460,not(iserror(vlookup($F460,'Reference info'!$J$5:$J$8,1,0))),"Key Artist",not(iserror(vlookup($F460,'Reference info'!$J$38:$J$405,1,0))),"Performer",not(iserror(vlookup($F460,'Reference info'!$J$10:$J$36,1,0))),"Producer &amp; Engineer")</f>
        <v/>
      </c>
    </row>
    <row r="461">
      <c r="A461" s="28"/>
      <c r="B461" s="97"/>
      <c r="C461" s="121" t="str">
        <f t="array" ref="C461">ifs(and(isblank($A461),isblank($B461)),"", not(iserror(vlookup($A461&amp;$B461,'3) Release_Label'!$D:$D&amp;'3) Release_Label'!$E:$E,1,0))),vlookup($A461&amp;$B461,{'3) Release_Label'!$D:$D&amp;'3) Release_Label'!$E:$E,'3) Release_Label'!$F:$F},2,0),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D461" s="121" t="str">
        <f t="array" ref="D461">ifs(and(isblank($A461),isblank($B461)),"", not(iserror(vlookup($A461&amp;$B461,'3) Release_Label'!$D:$D&amp;'3) Release_Label'!$E:$E,1,0))),vlookup($A461&amp;$B461,{'3) Release_Label'!$D:$D&amp;'3) Release_Label'!$E:$E,'3) Release_Label'!$H:$H},2,0),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E461" s="92"/>
      <c r="F461" s="92"/>
      <c r="G461" s="125" t="str">
        <f t="array" ref="G461">ifs(or($F461="",$F461="Main Primary Artist"),$F461,not(iserror(vlookup($F461,'Reference info'!$J$5:$J$8,1,0))),"Key Artist",not(iserror(vlookup($F461,'Reference info'!$J$38:$J$405,1,0))),"Performer",not(iserror(vlookup($F461,'Reference info'!$J$10:$J$36,1,0))),"Producer &amp; Engineer")</f>
        <v/>
      </c>
    </row>
    <row r="462">
      <c r="A462" s="28"/>
      <c r="B462" s="97"/>
      <c r="C462" s="121" t="str">
        <f t="array" ref="C462">ifs(and(isblank($A462),isblank($B462)),"", not(iserror(vlookup($A462&amp;$B462,'3) Release_Label'!$D:$D&amp;'3) Release_Label'!$E:$E,1,0))),vlookup($A462&amp;$B462,{'3) Release_Label'!$D:$D&amp;'3) Release_Label'!$E:$E,'3) Release_Label'!$F:$F},2,0),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D462" s="121" t="str">
        <f t="array" ref="D462">ifs(and(isblank($A462),isblank($B462)),"", not(iserror(vlookup($A462&amp;$B462,'3) Release_Label'!$D:$D&amp;'3) Release_Label'!$E:$E,1,0))),vlookup($A462&amp;$B462,{'3) Release_Label'!$D:$D&amp;'3) Release_Label'!$E:$E,'3) Release_Label'!$H:$H},2,0),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E462" s="92"/>
      <c r="F462" s="92"/>
      <c r="G462" s="125" t="str">
        <f t="array" ref="G462">ifs(or($F462="",$F462="Main Primary Artist"),$F462,not(iserror(vlookup($F462,'Reference info'!$J$5:$J$8,1,0))),"Key Artist",not(iserror(vlookup($F462,'Reference info'!$J$38:$J$405,1,0))),"Performer",not(iserror(vlookup($F462,'Reference info'!$J$10:$J$36,1,0))),"Producer &amp; Engineer")</f>
        <v/>
      </c>
    </row>
    <row r="463">
      <c r="A463" s="28"/>
      <c r="B463" s="97"/>
      <c r="C463" s="121" t="str">
        <f t="array" ref="C463">ifs(and(isblank($A463),isblank($B463)),"", not(iserror(vlookup($A463&amp;$B463,'3) Release_Label'!$D:$D&amp;'3) Release_Label'!$E:$E,1,0))),vlookup($A463&amp;$B463,{'3) Release_Label'!$D:$D&amp;'3) Release_Label'!$E:$E,'3) Release_Label'!$F:$F},2,0),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D463" s="121" t="str">
        <f t="array" ref="D463">ifs(and(isblank($A463),isblank($B463)),"", not(iserror(vlookup($A463&amp;$B463,'3) Release_Label'!$D:$D&amp;'3) Release_Label'!$E:$E,1,0))),vlookup($A463&amp;$B463,{'3) Release_Label'!$D:$D&amp;'3) Release_Label'!$E:$E,'3) Release_Label'!$H:$H},2,0),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E463" s="92"/>
      <c r="F463" s="92"/>
      <c r="G463" s="125" t="str">
        <f t="array" ref="G463">ifs(or($F463="",$F463="Main Primary Artist"),$F463,not(iserror(vlookup($F463,'Reference info'!$J$5:$J$8,1,0))),"Key Artist",not(iserror(vlookup($F463,'Reference info'!$J$38:$J$405,1,0))),"Performer",not(iserror(vlookup($F463,'Reference info'!$J$10:$J$36,1,0))),"Producer &amp; Engineer")</f>
        <v/>
      </c>
    </row>
    <row r="464">
      <c r="A464" s="28"/>
      <c r="B464" s="97"/>
      <c r="C464" s="121" t="str">
        <f t="array" ref="C464">ifs(and(isblank($A464),isblank($B464)),"", not(iserror(vlookup($A464&amp;$B464,'3) Release_Label'!$D:$D&amp;'3) Release_Label'!$E:$E,1,0))),vlookup($A464&amp;$B464,{'3) Release_Label'!$D:$D&amp;'3) Release_Label'!$E:$E,'3) Release_Label'!$F:$F},2,0),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D464" s="121" t="str">
        <f t="array" ref="D464">ifs(and(isblank($A464),isblank($B464)),"", not(iserror(vlookup($A464&amp;$B464,'3) Release_Label'!$D:$D&amp;'3) Release_Label'!$E:$E,1,0))),vlookup($A464&amp;$B464,{'3) Release_Label'!$D:$D&amp;'3) Release_Label'!$E:$E,'3) Release_Label'!$H:$H},2,0),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E464" s="92"/>
      <c r="F464" s="92"/>
      <c r="G464" s="125" t="str">
        <f t="array" ref="G464">ifs(or($F464="",$F464="Main Primary Artist"),$F464,not(iserror(vlookup($F464,'Reference info'!$J$5:$J$8,1,0))),"Key Artist",not(iserror(vlookup($F464,'Reference info'!$J$38:$J$405,1,0))),"Performer",not(iserror(vlookup($F464,'Reference info'!$J$10:$J$36,1,0))),"Producer &amp; Engineer")</f>
        <v/>
      </c>
    </row>
    <row r="465">
      <c r="A465" s="28"/>
      <c r="B465" s="97"/>
      <c r="C465" s="121" t="str">
        <f t="array" ref="C465">ifs(and(isblank($A465),isblank($B465)),"", not(iserror(vlookup($A465&amp;$B465,'3) Release_Label'!$D:$D&amp;'3) Release_Label'!$E:$E,1,0))),vlookup($A465&amp;$B465,{'3) Release_Label'!$D:$D&amp;'3) Release_Label'!$E:$E,'3) Release_Label'!$F:$F},2,0),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D465" s="121" t="str">
        <f t="array" ref="D465">ifs(and(isblank($A465),isblank($B465)),"", not(iserror(vlookup($A465&amp;$B465,'3) Release_Label'!$D:$D&amp;'3) Release_Label'!$E:$E,1,0))),vlookup($A465&amp;$B465,{'3) Release_Label'!$D:$D&amp;'3) Release_Label'!$E:$E,'3) Release_Label'!$H:$H},2,0),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E465" s="92"/>
      <c r="F465" s="92"/>
      <c r="G465" s="125" t="str">
        <f t="array" ref="G465">ifs(or($F465="",$F465="Main Primary Artist"),$F465,not(iserror(vlookup($F465,'Reference info'!$J$5:$J$8,1,0))),"Key Artist",not(iserror(vlookup($F465,'Reference info'!$J$38:$J$405,1,0))),"Performer",not(iserror(vlookup($F465,'Reference info'!$J$10:$J$36,1,0))),"Producer &amp; Engineer")</f>
        <v/>
      </c>
    </row>
    <row r="466">
      <c r="A466" s="28"/>
      <c r="B466" s="97"/>
      <c r="C466" s="121" t="str">
        <f t="array" ref="C466">ifs(and(isblank($A466),isblank($B466)),"", not(iserror(vlookup($A466&amp;$B466,'3) Release_Label'!$D:$D&amp;'3) Release_Label'!$E:$E,1,0))),vlookup($A466&amp;$B466,{'3) Release_Label'!$D:$D&amp;'3) Release_Label'!$E:$E,'3) Release_Label'!$F:$F},2,0),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D466" s="121" t="str">
        <f t="array" ref="D466">ifs(and(isblank($A466),isblank($B466)),"", not(iserror(vlookup($A466&amp;$B466,'3) Release_Label'!$D:$D&amp;'3) Release_Label'!$E:$E,1,0))),vlookup($A466&amp;$B466,{'3) Release_Label'!$D:$D&amp;'3) Release_Label'!$E:$E,'3) Release_Label'!$H:$H},2,0),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E466" s="92"/>
      <c r="F466" s="92"/>
      <c r="G466" s="125" t="str">
        <f t="array" ref="G466">ifs(or($F466="",$F466="Main Primary Artist"),$F466,not(iserror(vlookup($F466,'Reference info'!$J$5:$J$8,1,0))),"Key Artist",not(iserror(vlookup($F466,'Reference info'!$J$38:$J$405,1,0))),"Performer",not(iserror(vlookup($F466,'Reference info'!$J$10:$J$36,1,0))),"Producer &amp; Engineer")</f>
        <v/>
      </c>
    </row>
    <row r="467">
      <c r="A467" s="28"/>
      <c r="B467" s="97"/>
      <c r="C467" s="121" t="str">
        <f t="array" ref="C467">ifs(and(isblank($A467),isblank($B467)),"", not(iserror(vlookup($A467&amp;$B467,'3) Release_Label'!$D:$D&amp;'3) Release_Label'!$E:$E,1,0))),vlookup($A467&amp;$B467,{'3) Release_Label'!$D:$D&amp;'3) Release_Label'!$E:$E,'3) Release_Label'!$F:$F},2,0),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D467" s="121" t="str">
        <f t="array" ref="D467">ifs(and(isblank($A467),isblank($B467)),"", not(iserror(vlookup($A467&amp;$B467,'3) Release_Label'!$D:$D&amp;'3) Release_Label'!$E:$E,1,0))),vlookup($A467&amp;$B467,{'3) Release_Label'!$D:$D&amp;'3) Release_Label'!$E:$E,'3) Release_Label'!$H:$H},2,0),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E467" s="92"/>
      <c r="F467" s="92"/>
      <c r="G467" s="125" t="str">
        <f t="array" ref="G467">ifs(or($F467="",$F467="Main Primary Artist"),$F467,not(iserror(vlookup($F467,'Reference info'!$J$5:$J$8,1,0))),"Key Artist",not(iserror(vlookup($F467,'Reference info'!$J$38:$J$405,1,0))),"Performer",not(iserror(vlookup($F467,'Reference info'!$J$10:$J$36,1,0))),"Producer &amp; Engineer")</f>
        <v/>
      </c>
    </row>
    <row r="468">
      <c r="A468" s="28"/>
      <c r="B468" s="97"/>
      <c r="C468" s="121" t="str">
        <f t="array" ref="C468">ifs(and(isblank($A468),isblank($B468)),"", not(iserror(vlookup($A468&amp;$B468,'3) Release_Label'!$D:$D&amp;'3) Release_Label'!$E:$E,1,0))),vlookup($A468&amp;$B468,{'3) Release_Label'!$D:$D&amp;'3) Release_Label'!$E:$E,'3) Release_Label'!$F:$F},2,0),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D468" s="121" t="str">
        <f t="array" ref="D468">ifs(and(isblank($A468),isblank($B468)),"", not(iserror(vlookup($A468&amp;$B468,'3) Release_Label'!$D:$D&amp;'3) Release_Label'!$E:$E,1,0))),vlookup($A468&amp;$B468,{'3) Release_Label'!$D:$D&amp;'3) Release_Label'!$E:$E,'3) Release_Label'!$H:$H},2,0),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E468" s="92"/>
      <c r="F468" s="92"/>
      <c r="G468" s="125" t="str">
        <f t="array" ref="G468">ifs(or($F468="",$F468="Main Primary Artist"),$F468,not(iserror(vlookup($F468,'Reference info'!$J$5:$J$8,1,0))),"Key Artist",not(iserror(vlookup($F468,'Reference info'!$J$38:$J$405,1,0))),"Performer",not(iserror(vlookup($F468,'Reference info'!$J$10:$J$36,1,0))),"Producer &amp; Engineer")</f>
        <v/>
      </c>
    </row>
    <row r="469">
      <c r="A469" s="28"/>
      <c r="B469" s="97"/>
      <c r="C469" s="121" t="str">
        <f t="array" ref="C469">ifs(and(isblank($A469),isblank($B469)),"", not(iserror(vlookup($A469&amp;$B469,'3) Release_Label'!$D:$D&amp;'3) Release_Label'!$E:$E,1,0))),vlookup($A469&amp;$B469,{'3) Release_Label'!$D:$D&amp;'3) Release_Label'!$E:$E,'3) Release_Label'!$F:$F},2,0),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D469" s="121" t="str">
        <f t="array" ref="D469">ifs(and(isblank($A469),isblank($B469)),"", not(iserror(vlookup($A469&amp;$B469,'3) Release_Label'!$D:$D&amp;'3) Release_Label'!$E:$E,1,0))),vlookup($A469&amp;$B469,{'3) Release_Label'!$D:$D&amp;'3) Release_Label'!$E:$E,'3) Release_Label'!$H:$H},2,0),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E469" s="92"/>
      <c r="F469" s="92"/>
      <c r="G469" s="125" t="str">
        <f t="array" ref="G469">ifs(or($F469="",$F469="Main Primary Artist"),$F469,not(iserror(vlookup($F469,'Reference info'!$J$5:$J$8,1,0))),"Key Artist",not(iserror(vlookup($F469,'Reference info'!$J$38:$J$405,1,0))),"Performer",not(iserror(vlookup($F469,'Reference info'!$J$10:$J$36,1,0))),"Producer &amp; Engineer")</f>
        <v/>
      </c>
    </row>
    <row r="470">
      <c r="A470" s="28"/>
      <c r="B470" s="97"/>
      <c r="C470" s="121" t="str">
        <f t="array" ref="C470">ifs(and(isblank($A470),isblank($B470)),"", not(iserror(vlookup($A470&amp;$B470,'3) Release_Label'!$D:$D&amp;'3) Release_Label'!$E:$E,1,0))),vlookup($A470&amp;$B470,{'3) Release_Label'!$D:$D&amp;'3) Release_Label'!$E:$E,'3) Release_Label'!$F:$F},2,0),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D470" s="121" t="str">
        <f t="array" ref="D470">ifs(and(isblank($A470),isblank($B470)),"", not(iserror(vlookup($A470&amp;$B470,'3) Release_Label'!$D:$D&amp;'3) Release_Label'!$E:$E,1,0))),vlookup($A470&amp;$B470,{'3) Release_Label'!$D:$D&amp;'3) Release_Label'!$E:$E,'3) Release_Label'!$H:$H},2,0),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E470" s="92"/>
      <c r="F470" s="92"/>
      <c r="G470" s="125" t="str">
        <f t="array" ref="G470">ifs(or($F470="",$F470="Main Primary Artist"),$F470,not(iserror(vlookup($F470,'Reference info'!$J$5:$J$8,1,0))),"Key Artist",not(iserror(vlookup($F470,'Reference info'!$J$38:$J$405,1,0))),"Performer",not(iserror(vlookup($F470,'Reference info'!$J$10:$J$36,1,0))),"Producer &amp; Engineer")</f>
        <v/>
      </c>
    </row>
    <row r="471">
      <c r="A471" s="28"/>
      <c r="B471" s="97"/>
      <c r="C471" s="121" t="str">
        <f t="array" ref="C471">ifs(and(isblank($A471),isblank($B471)),"", not(iserror(vlookup($A471&amp;$B471,'3) Release_Label'!$D:$D&amp;'3) Release_Label'!$E:$E,1,0))),vlookup($A471&amp;$B471,{'3) Release_Label'!$D:$D&amp;'3) Release_Label'!$E:$E,'3) Release_Label'!$F:$F},2,0),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D471" s="121" t="str">
        <f t="array" ref="D471">ifs(and(isblank($A471),isblank($B471)),"", not(iserror(vlookup($A471&amp;$B471,'3) Release_Label'!$D:$D&amp;'3) Release_Label'!$E:$E,1,0))),vlookup($A471&amp;$B471,{'3) Release_Label'!$D:$D&amp;'3) Release_Label'!$E:$E,'3) Release_Label'!$H:$H},2,0),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E471" s="92"/>
      <c r="F471" s="92"/>
      <c r="G471" s="125" t="str">
        <f t="array" ref="G471">ifs(or($F471="",$F471="Main Primary Artist"),$F471,not(iserror(vlookup($F471,'Reference info'!$J$5:$J$8,1,0))),"Key Artist",not(iserror(vlookup($F471,'Reference info'!$J$38:$J$405,1,0))),"Performer",not(iserror(vlookup($F471,'Reference info'!$J$10:$J$36,1,0))),"Producer &amp; Engineer")</f>
        <v/>
      </c>
    </row>
    <row r="472">
      <c r="A472" s="28"/>
      <c r="B472" s="97"/>
      <c r="C472" s="121" t="str">
        <f t="array" ref="C472">ifs(and(isblank($A472),isblank($B472)),"", not(iserror(vlookup($A472&amp;$B472,'3) Release_Label'!$D:$D&amp;'3) Release_Label'!$E:$E,1,0))),vlookup($A472&amp;$B472,{'3) Release_Label'!$D:$D&amp;'3) Release_Label'!$E:$E,'3) Release_Label'!$F:$F},2,0),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D472" s="121" t="str">
        <f t="array" ref="D472">ifs(and(isblank($A472),isblank($B472)),"", not(iserror(vlookup($A472&amp;$B472,'3) Release_Label'!$D:$D&amp;'3) Release_Label'!$E:$E,1,0))),vlookup($A472&amp;$B472,{'3) Release_Label'!$D:$D&amp;'3) Release_Label'!$E:$E,'3) Release_Label'!$H:$H},2,0),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E472" s="92"/>
      <c r="F472" s="92"/>
      <c r="G472" s="125" t="str">
        <f t="array" ref="G472">ifs(or($F472="",$F472="Main Primary Artist"),$F472,not(iserror(vlookup($F472,'Reference info'!$J$5:$J$8,1,0))),"Key Artist",not(iserror(vlookup($F472,'Reference info'!$J$38:$J$405,1,0))),"Performer",not(iserror(vlookup($F472,'Reference info'!$J$10:$J$36,1,0))),"Producer &amp; Engineer")</f>
        <v/>
      </c>
    </row>
    <row r="473">
      <c r="A473" s="28"/>
      <c r="B473" s="97"/>
      <c r="C473" s="121" t="str">
        <f t="array" ref="C473">ifs(and(isblank($A473),isblank($B473)),"", not(iserror(vlookup($A473&amp;$B473,'3) Release_Label'!$D:$D&amp;'3) Release_Label'!$E:$E,1,0))),vlookup($A473&amp;$B473,{'3) Release_Label'!$D:$D&amp;'3) Release_Label'!$E:$E,'3) Release_Label'!$F:$F},2,0),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D473" s="121" t="str">
        <f t="array" ref="D473">ifs(and(isblank($A473),isblank($B473)),"", not(iserror(vlookup($A473&amp;$B473,'3) Release_Label'!$D:$D&amp;'3) Release_Label'!$E:$E,1,0))),vlookup($A473&amp;$B473,{'3) Release_Label'!$D:$D&amp;'3) Release_Label'!$E:$E,'3) Release_Label'!$H:$H},2,0),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E473" s="92"/>
      <c r="F473" s="92"/>
      <c r="G473" s="125" t="str">
        <f t="array" ref="G473">ifs(or($F473="",$F473="Main Primary Artist"),$F473,not(iserror(vlookup($F473,'Reference info'!$J$5:$J$8,1,0))),"Key Artist",not(iserror(vlookup($F473,'Reference info'!$J$38:$J$405,1,0))),"Performer",not(iserror(vlookup($F473,'Reference info'!$J$10:$J$36,1,0))),"Producer &amp; Engineer")</f>
        <v/>
      </c>
    </row>
    <row r="474">
      <c r="A474" s="28"/>
      <c r="B474" s="97"/>
      <c r="C474" s="121" t="str">
        <f t="array" ref="C474">ifs(and(isblank($A474),isblank($B474)),"", not(iserror(vlookup($A474&amp;$B474,'3) Release_Label'!$D:$D&amp;'3) Release_Label'!$E:$E,1,0))),vlookup($A474&amp;$B474,{'3) Release_Label'!$D:$D&amp;'3) Release_Label'!$E:$E,'3) Release_Label'!$F:$F},2,0),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D474" s="121" t="str">
        <f t="array" ref="D474">ifs(and(isblank($A474),isblank($B474)),"", not(iserror(vlookup($A474&amp;$B474,'3) Release_Label'!$D:$D&amp;'3) Release_Label'!$E:$E,1,0))),vlookup($A474&amp;$B474,{'3) Release_Label'!$D:$D&amp;'3) Release_Label'!$E:$E,'3) Release_Label'!$H:$H},2,0),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E474" s="92"/>
      <c r="F474" s="92"/>
      <c r="G474" s="125" t="str">
        <f t="array" ref="G474">ifs(or($F474="",$F474="Main Primary Artist"),$F474,not(iserror(vlookup($F474,'Reference info'!$J$5:$J$8,1,0))),"Key Artist",not(iserror(vlookup($F474,'Reference info'!$J$38:$J$405,1,0))),"Performer",not(iserror(vlookup($F474,'Reference info'!$J$10:$J$36,1,0))),"Producer &amp; Engineer")</f>
        <v/>
      </c>
    </row>
    <row r="475">
      <c r="A475" s="28"/>
      <c r="B475" s="97"/>
      <c r="C475" s="121" t="str">
        <f t="array" ref="C475">ifs(and(isblank($A475),isblank($B475)),"", not(iserror(vlookup($A475&amp;$B475,'3) Release_Label'!$D:$D&amp;'3) Release_Label'!$E:$E,1,0))),vlookup($A475&amp;$B475,{'3) Release_Label'!$D:$D&amp;'3) Release_Label'!$E:$E,'3) Release_Label'!$F:$F},2,0),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D475" s="121" t="str">
        <f t="array" ref="D475">ifs(and(isblank($A475),isblank($B475)),"", not(iserror(vlookup($A475&amp;$B475,'3) Release_Label'!$D:$D&amp;'3) Release_Label'!$E:$E,1,0))),vlookup($A475&amp;$B475,{'3) Release_Label'!$D:$D&amp;'3) Release_Label'!$E:$E,'3) Release_Label'!$H:$H},2,0),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E475" s="92"/>
      <c r="F475" s="92"/>
      <c r="G475" s="125" t="str">
        <f t="array" ref="G475">ifs(or($F475="",$F475="Main Primary Artist"),$F475,not(iserror(vlookup($F475,'Reference info'!$J$5:$J$8,1,0))),"Key Artist",not(iserror(vlookup($F475,'Reference info'!$J$38:$J$405,1,0))),"Performer",not(iserror(vlookup($F475,'Reference info'!$J$10:$J$36,1,0))),"Producer &amp; Engineer")</f>
        <v/>
      </c>
    </row>
    <row r="476">
      <c r="A476" s="28"/>
      <c r="B476" s="97"/>
      <c r="C476" s="121" t="str">
        <f t="array" ref="C476">ifs(and(isblank($A476),isblank($B476)),"", not(iserror(vlookup($A476&amp;$B476,'3) Release_Label'!$D:$D&amp;'3) Release_Label'!$E:$E,1,0))),vlookup($A476&amp;$B476,{'3) Release_Label'!$D:$D&amp;'3) Release_Label'!$E:$E,'3) Release_Label'!$F:$F},2,0),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D476" s="121" t="str">
        <f t="array" ref="D476">ifs(and(isblank($A476),isblank($B476)),"", not(iserror(vlookup($A476&amp;$B476,'3) Release_Label'!$D:$D&amp;'3) Release_Label'!$E:$E,1,0))),vlookup($A476&amp;$B476,{'3) Release_Label'!$D:$D&amp;'3) Release_Label'!$E:$E,'3) Release_Label'!$H:$H},2,0),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E476" s="92"/>
      <c r="F476" s="92"/>
      <c r="G476" s="125" t="str">
        <f t="array" ref="G476">ifs(or($F476="",$F476="Main Primary Artist"),$F476,not(iserror(vlookup($F476,'Reference info'!$J$5:$J$8,1,0))),"Key Artist",not(iserror(vlookup($F476,'Reference info'!$J$38:$J$405,1,0))),"Performer",not(iserror(vlookup($F476,'Reference info'!$J$10:$J$36,1,0))),"Producer &amp; Engineer")</f>
        <v/>
      </c>
    </row>
    <row r="477">
      <c r="A477" s="28"/>
      <c r="B477" s="97"/>
      <c r="C477" s="121" t="str">
        <f t="array" ref="C477">ifs(and(isblank($A477),isblank($B477)),"", not(iserror(vlookup($A477&amp;$B477,'3) Release_Label'!$D:$D&amp;'3) Release_Label'!$E:$E,1,0))),vlookup($A477&amp;$B477,{'3) Release_Label'!$D:$D&amp;'3) Release_Label'!$E:$E,'3) Release_Label'!$F:$F},2,0),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D477" s="121" t="str">
        <f t="array" ref="D477">ifs(and(isblank($A477),isblank($B477)),"", not(iserror(vlookup($A477&amp;$B477,'3) Release_Label'!$D:$D&amp;'3) Release_Label'!$E:$E,1,0))),vlookup($A477&amp;$B477,{'3) Release_Label'!$D:$D&amp;'3) Release_Label'!$E:$E,'3) Release_Label'!$H:$H},2,0),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E477" s="92"/>
      <c r="F477" s="92"/>
      <c r="G477" s="125" t="str">
        <f t="array" ref="G477">ifs(or($F477="",$F477="Main Primary Artist"),$F477,not(iserror(vlookup($F477,'Reference info'!$J$5:$J$8,1,0))),"Key Artist",not(iserror(vlookup($F477,'Reference info'!$J$38:$J$405,1,0))),"Performer",not(iserror(vlookup($F477,'Reference info'!$J$10:$J$36,1,0))),"Producer &amp; Engineer")</f>
        <v/>
      </c>
    </row>
    <row r="478">
      <c r="A478" s="28"/>
      <c r="B478" s="97"/>
      <c r="C478" s="121" t="str">
        <f t="array" ref="C478">ifs(and(isblank($A478),isblank($B478)),"", not(iserror(vlookup($A478&amp;$B478,'3) Release_Label'!$D:$D&amp;'3) Release_Label'!$E:$E,1,0))),vlookup($A478&amp;$B478,{'3) Release_Label'!$D:$D&amp;'3) Release_Label'!$E:$E,'3) Release_Label'!$F:$F},2,0),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D478" s="121" t="str">
        <f t="array" ref="D478">ifs(and(isblank($A478),isblank($B478)),"", not(iserror(vlookup($A478&amp;$B478,'3) Release_Label'!$D:$D&amp;'3) Release_Label'!$E:$E,1,0))),vlookup($A478&amp;$B478,{'3) Release_Label'!$D:$D&amp;'3) Release_Label'!$E:$E,'3) Release_Label'!$H:$H},2,0),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E478" s="92"/>
      <c r="F478" s="92"/>
      <c r="G478" s="125" t="str">
        <f t="array" ref="G478">ifs(or($F478="",$F478="Main Primary Artist"),$F478,not(iserror(vlookup($F478,'Reference info'!$J$5:$J$8,1,0))),"Key Artist",not(iserror(vlookup($F478,'Reference info'!$J$38:$J$405,1,0))),"Performer",not(iserror(vlookup($F478,'Reference info'!$J$10:$J$36,1,0))),"Producer &amp; Engineer")</f>
        <v/>
      </c>
    </row>
    <row r="479">
      <c r="A479" s="28"/>
      <c r="B479" s="97"/>
      <c r="C479" s="121" t="str">
        <f t="array" ref="C479">ifs(and(isblank($A479),isblank($B479)),"", not(iserror(vlookup($A479&amp;$B479,'3) Release_Label'!$D:$D&amp;'3) Release_Label'!$E:$E,1,0))),vlookup($A479&amp;$B479,{'3) Release_Label'!$D:$D&amp;'3) Release_Label'!$E:$E,'3) Release_Label'!$F:$F},2,0),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D479" s="121" t="str">
        <f t="array" ref="D479">ifs(and(isblank($A479),isblank($B479)),"", not(iserror(vlookup($A479&amp;$B479,'3) Release_Label'!$D:$D&amp;'3) Release_Label'!$E:$E,1,0))),vlookup($A479&amp;$B479,{'3) Release_Label'!$D:$D&amp;'3) Release_Label'!$E:$E,'3) Release_Label'!$H:$H},2,0),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E479" s="92"/>
      <c r="F479" s="92"/>
      <c r="G479" s="125" t="str">
        <f t="array" ref="G479">ifs(or($F479="",$F479="Main Primary Artist"),$F479,not(iserror(vlookup($F479,'Reference info'!$J$5:$J$8,1,0))),"Key Artist",not(iserror(vlookup($F479,'Reference info'!$J$38:$J$405,1,0))),"Performer",not(iserror(vlookup($F479,'Reference info'!$J$10:$J$36,1,0))),"Producer &amp; Engineer")</f>
        <v/>
      </c>
    </row>
    <row r="480">
      <c r="A480" s="28"/>
      <c r="B480" s="97"/>
      <c r="C480" s="121" t="str">
        <f t="array" ref="C480">ifs(and(isblank($A480),isblank($B480)),"", not(iserror(vlookup($A480&amp;$B480,'3) Release_Label'!$D:$D&amp;'3) Release_Label'!$E:$E,1,0))),vlookup($A480&amp;$B480,{'3) Release_Label'!$D:$D&amp;'3) Release_Label'!$E:$E,'3) Release_Label'!$F:$F},2,0),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D480" s="121" t="str">
        <f t="array" ref="D480">ifs(and(isblank($A480),isblank($B480)),"", not(iserror(vlookup($A480&amp;$B480,'3) Release_Label'!$D:$D&amp;'3) Release_Label'!$E:$E,1,0))),vlookup($A480&amp;$B480,{'3) Release_Label'!$D:$D&amp;'3) Release_Label'!$E:$E,'3) Release_Label'!$H:$H},2,0),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E480" s="92"/>
      <c r="F480" s="92"/>
      <c r="G480" s="125" t="str">
        <f t="array" ref="G480">ifs(or($F480="",$F480="Main Primary Artist"),$F480,not(iserror(vlookup($F480,'Reference info'!$J$5:$J$8,1,0))),"Key Artist",not(iserror(vlookup($F480,'Reference info'!$J$38:$J$405,1,0))),"Performer",not(iserror(vlookup($F480,'Reference info'!$J$10:$J$36,1,0))),"Producer &amp; Engineer")</f>
        <v/>
      </c>
    </row>
    <row r="481">
      <c r="A481" s="28"/>
      <c r="B481" s="97"/>
      <c r="C481" s="121" t="str">
        <f t="array" ref="C481">ifs(and(isblank($A481),isblank($B481)),"", not(iserror(vlookup($A481&amp;$B481,'3) Release_Label'!$D:$D&amp;'3) Release_Label'!$E:$E,1,0))),vlookup($A481&amp;$B481,{'3) Release_Label'!$D:$D&amp;'3) Release_Label'!$E:$E,'3) Release_Label'!$F:$F},2,0),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D481" s="121" t="str">
        <f t="array" ref="D481">ifs(and(isblank($A481),isblank($B481)),"", not(iserror(vlookup($A481&amp;$B481,'3) Release_Label'!$D:$D&amp;'3) Release_Label'!$E:$E,1,0))),vlookup($A481&amp;$B481,{'3) Release_Label'!$D:$D&amp;'3) Release_Label'!$E:$E,'3) Release_Label'!$H:$H},2,0),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E481" s="92"/>
      <c r="F481" s="92"/>
      <c r="G481" s="125" t="str">
        <f t="array" ref="G481">ifs(or($F481="",$F481="Main Primary Artist"),$F481,not(iserror(vlookup($F481,'Reference info'!$J$5:$J$8,1,0))),"Key Artist",not(iserror(vlookup($F481,'Reference info'!$J$38:$J$405,1,0))),"Performer",not(iserror(vlookup($F481,'Reference info'!$J$10:$J$36,1,0))),"Producer &amp; Engineer")</f>
        <v/>
      </c>
    </row>
    <row r="482">
      <c r="A482" s="28"/>
      <c r="B482" s="97"/>
      <c r="C482" s="121" t="str">
        <f t="array" ref="C482">ifs(and(isblank($A482),isblank($B482)),"", not(iserror(vlookup($A482&amp;$B482,'3) Release_Label'!$D:$D&amp;'3) Release_Label'!$E:$E,1,0))),vlookup($A482&amp;$B482,{'3) Release_Label'!$D:$D&amp;'3) Release_Label'!$E:$E,'3) Release_Label'!$F:$F},2,0),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D482" s="121" t="str">
        <f t="array" ref="D482">ifs(and(isblank($A482),isblank($B482)),"", not(iserror(vlookup($A482&amp;$B482,'3) Release_Label'!$D:$D&amp;'3) Release_Label'!$E:$E,1,0))),vlookup($A482&amp;$B482,{'3) Release_Label'!$D:$D&amp;'3) Release_Label'!$E:$E,'3) Release_Label'!$H:$H},2,0),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E482" s="92"/>
      <c r="F482" s="92"/>
      <c r="G482" s="125" t="str">
        <f t="array" ref="G482">ifs(or($F482="",$F482="Main Primary Artist"),$F482,not(iserror(vlookup($F482,'Reference info'!$J$5:$J$8,1,0))),"Key Artist",not(iserror(vlookup($F482,'Reference info'!$J$38:$J$405,1,0))),"Performer",not(iserror(vlookup($F482,'Reference info'!$J$10:$J$36,1,0))),"Producer &amp; Engineer")</f>
        <v/>
      </c>
    </row>
    <row r="483">
      <c r="A483" s="28"/>
      <c r="B483" s="97"/>
      <c r="C483" s="121" t="str">
        <f t="array" ref="C483">ifs(and(isblank($A483),isblank($B483)),"", not(iserror(vlookup($A483&amp;$B483,'3) Release_Label'!$D:$D&amp;'3) Release_Label'!$E:$E,1,0))),vlookup($A483&amp;$B483,{'3) Release_Label'!$D:$D&amp;'3) Release_Label'!$E:$E,'3) Release_Label'!$F:$F},2,0),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D483" s="121" t="str">
        <f t="array" ref="D483">ifs(and(isblank($A483),isblank($B483)),"", not(iserror(vlookup($A483&amp;$B483,'3) Release_Label'!$D:$D&amp;'3) Release_Label'!$E:$E,1,0))),vlookup($A483&amp;$B483,{'3) Release_Label'!$D:$D&amp;'3) Release_Label'!$E:$E,'3) Release_Label'!$H:$H},2,0),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E483" s="92"/>
      <c r="F483" s="92"/>
      <c r="G483" s="125" t="str">
        <f t="array" ref="G483">ifs(or($F483="",$F483="Main Primary Artist"),$F483,not(iserror(vlookup($F483,'Reference info'!$J$5:$J$8,1,0))),"Key Artist",not(iserror(vlookup($F483,'Reference info'!$J$38:$J$405,1,0))),"Performer",not(iserror(vlookup($F483,'Reference info'!$J$10:$J$36,1,0))),"Producer &amp; Engineer")</f>
        <v/>
      </c>
    </row>
    <row r="484">
      <c r="A484" s="28"/>
      <c r="B484" s="97"/>
      <c r="C484" s="121" t="str">
        <f t="array" ref="C484">ifs(and(isblank($A484),isblank($B484)),"", not(iserror(vlookup($A484&amp;$B484,'3) Release_Label'!$D:$D&amp;'3) Release_Label'!$E:$E,1,0))),vlookup($A484&amp;$B484,{'3) Release_Label'!$D:$D&amp;'3) Release_Label'!$E:$E,'3) Release_Label'!$F:$F},2,0),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D484" s="121" t="str">
        <f t="array" ref="D484">ifs(and(isblank($A484),isblank($B484)),"", not(iserror(vlookup($A484&amp;$B484,'3) Release_Label'!$D:$D&amp;'3) Release_Label'!$E:$E,1,0))),vlookup($A484&amp;$B484,{'3) Release_Label'!$D:$D&amp;'3) Release_Label'!$E:$E,'3) Release_Label'!$H:$H},2,0),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E484" s="92"/>
      <c r="F484" s="92"/>
      <c r="G484" s="125" t="str">
        <f t="array" ref="G484">ifs(or($F484="",$F484="Main Primary Artist"),$F484,not(iserror(vlookup($F484,'Reference info'!$J$5:$J$8,1,0))),"Key Artist",not(iserror(vlookup($F484,'Reference info'!$J$38:$J$405,1,0))),"Performer",not(iserror(vlookup($F484,'Reference info'!$J$10:$J$36,1,0))),"Producer &amp; Engineer")</f>
        <v/>
      </c>
    </row>
    <row r="485">
      <c r="A485" s="28"/>
      <c r="B485" s="97"/>
      <c r="C485" s="121" t="str">
        <f t="array" ref="C485">ifs(and(isblank($A485),isblank($B485)),"", not(iserror(vlookup($A485&amp;$B485,'3) Release_Label'!$D:$D&amp;'3) Release_Label'!$E:$E,1,0))),vlookup($A485&amp;$B485,{'3) Release_Label'!$D:$D&amp;'3) Release_Label'!$E:$E,'3) Release_Label'!$F:$F},2,0),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D485" s="121" t="str">
        <f t="array" ref="D485">ifs(and(isblank($A485),isblank($B485)),"", not(iserror(vlookup($A485&amp;$B485,'3) Release_Label'!$D:$D&amp;'3) Release_Label'!$E:$E,1,0))),vlookup($A485&amp;$B485,{'3) Release_Label'!$D:$D&amp;'3) Release_Label'!$E:$E,'3) Release_Label'!$H:$H},2,0),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E485" s="92"/>
      <c r="F485" s="92"/>
      <c r="G485" s="125" t="str">
        <f t="array" ref="G485">ifs(or($F485="",$F485="Main Primary Artist"),$F485,not(iserror(vlookup($F485,'Reference info'!$J$5:$J$8,1,0))),"Key Artist",not(iserror(vlookup($F485,'Reference info'!$J$38:$J$405,1,0))),"Performer",not(iserror(vlookup($F485,'Reference info'!$J$10:$J$36,1,0))),"Producer &amp; Engineer")</f>
        <v/>
      </c>
    </row>
    <row r="486">
      <c r="A486" s="28"/>
      <c r="B486" s="97"/>
      <c r="C486" s="121" t="str">
        <f t="array" ref="C486">ifs(and(isblank($A486),isblank($B486)),"", not(iserror(vlookup($A486&amp;$B486,'3) Release_Label'!$D:$D&amp;'3) Release_Label'!$E:$E,1,0))),vlookup($A486&amp;$B486,{'3) Release_Label'!$D:$D&amp;'3) Release_Label'!$E:$E,'3) Release_Label'!$F:$F},2,0),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D486" s="121" t="str">
        <f t="array" ref="D486">ifs(and(isblank($A486),isblank($B486)),"", not(iserror(vlookup($A486&amp;$B486,'3) Release_Label'!$D:$D&amp;'3) Release_Label'!$E:$E,1,0))),vlookup($A486&amp;$B486,{'3) Release_Label'!$D:$D&amp;'3) Release_Label'!$E:$E,'3) Release_Label'!$H:$H},2,0),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E486" s="92"/>
      <c r="F486" s="92"/>
      <c r="G486" s="125" t="str">
        <f t="array" ref="G486">ifs(or($F486="",$F486="Main Primary Artist"),$F486,not(iserror(vlookup($F486,'Reference info'!$J$5:$J$8,1,0))),"Key Artist",not(iserror(vlookup($F486,'Reference info'!$J$38:$J$405,1,0))),"Performer",not(iserror(vlookup($F486,'Reference info'!$J$10:$J$36,1,0))),"Producer &amp; Engineer")</f>
        <v/>
      </c>
    </row>
    <row r="487">
      <c r="A487" s="28"/>
      <c r="B487" s="97"/>
      <c r="C487" s="121" t="str">
        <f t="array" ref="C487">ifs(and(isblank($A487),isblank($B487)),"", not(iserror(vlookup($A487&amp;$B487,'3) Release_Label'!$D:$D&amp;'3) Release_Label'!$E:$E,1,0))),vlookup($A487&amp;$B487,{'3) Release_Label'!$D:$D&amp;'3) Release_Label'!$E:$E,'3) Release_Label'!$F:$F},2,0),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D487" s="121" t="str">
        <f t="array" ref="D487">ifs(and(isblank($A487),isblank($B487)),"", not(iserror(vlookup($A487&amp;$B487,'3) Release_Label'!$D:$D&amp;'3) Release_Label'!$E:$E,1,0))),vlookup($A487&amp;$B487,{'3) Release_Label'!$D:$D&amp;'3) Release_Label'!$E:$E,'3) Release_Label'!$H:$H},2,0),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E487" s="92"/>
      <c r="F487" s="92"/>
      <c r="G487" s="125" t="str">
        <f t="array" ref="G487">ifs(or($F487="",$F487="Main Primary Artist"),$F487,not(iserror(vlookup($F487,'Reference info'!$J$5:$J$8,1,0))),"Key Artist",not(iserror(vlookup($F487,'Reference info'!$J$38:$J$405,1,0))),"Performer",not(iserror(vlookup($F487,'Reference info'!$J$10:$J$36,1,0))),"Producer &amp; Engineer")</f>
        <v/>
      </c>
    </row>
    <row r="488">
      <c r="A488" s="28"/>
      <c r="B488" s="97"/>
      <c r="C488" s="121" t="str">
        <f t="array" ref="C488">ifs(and(isblank($A488),isblank($B488)),"", not(iserror(vlookup($A488&amp;$B488,'3) Release_Label'!$D:$D&amp;'3) Release_Label'!$E:$E,1,0))),vlookup($A488&amp;$B488,{'3) Release_Label'!$D:$D&amp;'3) Release_Label'!$E:$E,'3) Release_Label'!$F:$F},2,0),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D488" s="121" t="str">
        <f t="array" ref="D488">ifs(and(isblank($A488),isblank($B488)),"", not(iserror(vlookup($A488&amp;$B488,'3) Release_Label'!$D:$D&amp;'3) Release_Label'!$E:$E,1,0))),vlookup($A488&amp;$B488,{'3) Release_Label'!$D:$D&amp;'3) Release_Label'!$E:$E,'3) Release_Label'!$H:$H},2,0),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E488" s="92"/>
      <c r="F488" s="92"/>
      <c r="G488" s="125" t="str">
        <f t="array" ref="G488">ifs(or($F488="",$F488="Main Primary Artist"),$F488,not(iserror(vlookup($F488,'Reference info'!$J$5:$J$8,1,0))),"Key Artist",not(iserror(vlookup($F488,'Reference info'!$J$38:$J$405,1,0))),"Performer",not(iserror(vlookup($F488,'Reference info'!$J$10:$J$36,1,0))),"Producer &amp; Engineer")</f>
        <v/>
      </c>
    </row>
    <row r="489">
      <c r="A489" s="28"/>
      <c r="B489" s="97"/>
      <c r="C489" s="121" t="str">
        <f t="array" ref="C489">ifs(and(isblank($A489),isblank($B489)),"", not(iserror(vlookup($A489&amp;$B489,'3) Release_Label'!$D:$D&amp;'3) Release_Label'!$E:$E,1,0))),vlookup($A489&amp;$B489,{'3) Release_Label'!$D:$D&amp;'3) Release_Label'!$E:$E,'3) Release_Label'!$F:$F},2,0),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D489" s="121" t="str">
        <f t="array" ref="D489">ifs(and(isblank($A489),isblank($B489)),"", not(iserror(vlookup($A489&amp;$B489,'3) Release_Label'!$D:$D&amp;'3) Release_Label'!$E:$E,1,0))),vlookup($A489&amp;$B489,{'3) Release_Label'!$D:$D&amp;'3) Release_Label'!$E:$E,'3) Release_Label'!$H:$H},2,0),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E489" s="92"/>
      <c r="F489" s="92"/>
      <c r="G489" s="125" t="str">
        <f t="array" ref="G489">ifs(or($F489="",$F489="Main Primary Artist"),$F489,not(iserror(vlookup($F489,'Reference info'!$J$5:$J$8,1,0))),"Key Artist",not(iserror(vlookup($F489,'Reference info'!$J$38:$J$405,1,0))),"Performer",not(iserror(vlookup($F489,'Reference info'!$J$10:$J$36,1,0))),"Producer &amp; Engineer")</f>
        <v/>
      </c>
    </row>
    <row r="490">
      <c r="A490" s="28"/>
      <c r="B490" s="97"/>
      <c r="C490" s="121" t="str">
        <f t="array" ref="C490">ifs(and(isblank($A490),isblank($B490)),"", not(iserror(vlookup($A490&amp;$B490,'3) Release_Label'!$D:$D&amp;'3) Release_Label'!$E:$E,1,0))),vlookup($A490&amp;$B490,{'3) Release_Label'!$D:$D&amp;'3) Release_Label'!$E:$E,'3) Release_Label'!$F:$F},2,0),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D490" s="121" t="str">
        <f t="array" ref="D490">ifs(and(isblank($A490),isblank($B490)),"", not(iserror(vlookup($A490&amp;$B490,'3) Release_Label'!$D:$D&amp;'3) Release_Label'!$E:$E,1,0))),vlookup($A490&amp;$B490,{'3) Release_Label'!$D:$D&amp;'3) Release_Label'!$E:$E,'3) Release_Label'!$H:$H},2,0),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E490" s="92"/>
      <c r="F490" s="92"/>
      <c r="G490" s="125" t="str">
        <f t="array" ref="G490">ifs(or($F490="",$F490="Main Primary Artist"),$F490,not(iserror(vlookup($F490,'Reference info'!$J$5:$J$8,1,0))),"Key Artist",not(iserror(vlookup($F490,'Reference info'!$J$38:$J$405,1,0))),"Performer",not(iserror(vlookup($F490,'Reference info'!$J$10:$J$36,1,0))),"Producer &amp; Engineer")</f>
        <v/>
      </c>
    </row>
    <row r="491">
      <c r="A491" s="28"/>
      <c r="B491" s="97"/>
      <c r="C491" s="121" t="str">
        <f t="array" ref="C491">ifs(and(isblank($A491),isblank($B491)),"", not(iserror(vlookup($A491&amp;$B491,'3) Release_Label'!$D:$D&amp;'3) Release_Label'!$E:$E,1,0))),vlookup($A491&amp;$B491,{'3) Release_Label'!$D:$D&amp;'3) Release_Label'!$E:$E,'3) Release_Label'!$F:$F},2,0),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D491" s="121" t="str">
        <f t="array" ref="D491">ifs(and(isblank($A491),isblank($B491)),"", not(iserror(vlookup($A491&amp;$B491,'3) Release_Label'!$D:$D&amp;'3) Release_Label'!$E:$E,1,0))),vlookup($A491&amp;$B491,{'3) Release_Label'!$D:$D&amp;'3) Release_Label'!$E:$E,'3) Release_Label'!$H:$H},2,0),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E491" s="92"/>
      <c r="F491" s="92"/>
      <c r="G491" s="125" t="str">
        <f t="array" ref="G491">ifs(or($F491="",$F491="Main Primary Artist"),$F491,not(iserror(vlookup($F491,'Reference info'!$J$5:$J$8,1,0))),"Key Artist",not(iserror(vlookup($F491,'Reference info'!$J$38:$J$405,1,0))),"Performer",not(iserror(vlookup($F491,'Reference info'!$J$10:$J$36,1,0))),"Producer &amp; Engineer")</f>
        <v/>
      </c>
    </row>
    <row r="492">
      <c r="A492" s="28"/>
      <c r="B492" s="97"/>
      <c r="C492" s="121" t="str">
        <f t="array" ref="C492">ifs(and(isblank($A492),isblank($B492)),"", not(iserror(vlookup($A492&amp;$B492,'3) Release_Label'!$D:$D&amp;'3) Release_Label'!$E:$E,1,0))),vlookup($A492&amp;$B492,{'3) Release_Label'!$D:$D&amp;'3) Release_Label'!$E:$E,'3) Release_Label'!$F:$F},2,0),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D492" s="121" t="str">
        <f t="array" ref="D492">ifs(and(isblank($A492),isblank($B492)),"", not(iserror(vlookup($A492&amp;$B492,'3) Release_Label'!$D:$D&amp;'3) Release_Label'!$E:$E,1,0))),vlookup($A492&amp;$B492,{'3) Release_Label'!$D:$D&amp;'3) Release_Label'!$E:$E,'3) Release_Label'!$H:$H},2,0),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E492" s="92"/>
      <c r="F492" s="92"/>
      <c r="G492" s="125" t="str">
        <f t="array" ref="G492">ifs(or($F492="",$F492="Main Primary Artist"),$F492,not(iserror(vlookup($F492,'Reference info'!$J$5:$J$8,1,0))),"Key Artist",not(iserror(vlookup($F492,'Reference info'!$J$38:$J$405,1,0))),"Performer",not(iserror(vlookup($F492,'Reference info'!$J$10:$J$36,1,0))),"Producer &amp; Engineer")</f>
        <v/>
      </c>
    </row>
    <row r="493">
      <c r="A493" s="28"/>
      <c r="B493" s="97"/>
      <c r="C493" s="121" t="str">
        <f t="array" ref="C493">ifs(and(isblank($A493),isblank($B493)),"", not(iserror(vlookup($A493&amp;$B493,'3) Release_Label'!$D:$D&amp;'3) Release_Label'!$E:$E,1,0))),vlookup($A493&amp;$B493,{'3) Release_Label'!$D:$D&amp;'3) Release_Label'!$E:$E,'3) Release_Label'!$F:$F},2,0),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D493" s="121" t="str">
        <f t="array" ref="D493">ifs(and(isblank($A493),isblank($B493)),"", not(iserror(vlookup($A493&amp;$B493,'3) Release_Label'!$D:$D&amp;'3) Release_Label'!$E:$E,1,0))),vlookup($A493&amp;$B493,{'3) Release_Label'!$D:$D&amp;'3) Release_Label'!$E:$E,'3) Release_Label'!$H:$H},2,0),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E493" s="92"/>
      <c r="F493" s="92"/>
      <c r="G493" s="125" t="str">
        <f t="array" ref="G493">ifs(or($F493="",$F493="Main Primary Artist"),$F493,not(iserror(vlookup($F493,'Reference info'!$J$5:$J$8,1,0))),"Key Artist",not(iserror(vlookup($F493,'Reference info'!$J$38:$J$405,1,0))),"Performer",not(iserror(vlookup($F493,'Reference info'!$J$10:$J$36,1,0))),"Producer &amp; Engineer")</f>
        <v/>
      </c>
    </row>
    <row r="494">
      <c r="A494" s="28"/>
      <c r="B494" s="97"/>
      <c r="C494" s="121" t="str">
        <f t="array" ref="C494">ifs(and(isblank($A494),isblank($B494)),"", not(iserror(vlookup($A494&amp;$B494,'3) Release_Label'!$D:$D&amp;'3) Release_Label'!$E:$E,1,0))),vlookup($A494&amp;$B494,{'3) Release_Label'!$D:$D&amp;'3) Release_Label'!$E:$E,'3) Release_Label'!$F:$F},2,0),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D494" s="121" t="str">
        <f t="array" ref="D494">ifs(and(isblank($A494),isblank($B494)),"", not(iserror(vlookup($A494&amp;$B494,'3) Release_Label'!$D:$D&amp;'3) Release_Label'!$E:$E,1,0))),vlookup($A494&amp;$B494,{'3) Release_Label'!$D:$D&amp;'3) Release_Label'!$E:$E,'3) Release_Label'!$H:$H},2,0),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E494" s="92"/>
      <c r="F494" s="92"/>
      <c r="G494" s="125" t="str">
        <f t="array" ref="G494">ifs(or($F494="",$F494="Main Primary Artist"),$F494,not(iserror(vlookup($F494,'Reference info'!$J$5:$J$8,1,0))),"Key Artist",not(iserror(vlookup($F494,'Reference info'!$J$38:$J$405,1,0))),"Performer",not(iserror(vlookup($F494,'Reference info'!$J$10:$J$36,1,0))),"Producer &amp; Engineer")</f>
        <v/>
      </c>
    </row>
    <row r="495">
      <c r="A495" s="28"/>
      <c r="B495" s="97"/>
      <c r="C495" s="121" t="str">
        <f t="array" ref="C495">ifs(and(isblank($A495),isblank($B495)),"", not(iserror(vlookup($A495&amp;$B495,'3) Release_Label'!$D:$D&amp;'3) Release_Label'!$E:$E,1,0))),vlookup($A495&amp;$B495,{'3) Release_Label'!$D:$D&amp;'3) Release_Label'!$E:$E,'3) Release_Label'!$F:$F},2,0),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D495" s="121" t="str">
        <f t="array" ref="D495">ifs(and(isblank($A495),isblank($B495)),"", not(iserror(vlookup($A495&amp;$B495,'3) Release_Label'!$D:$D&amp;'3) Release_Label'!$E:$E,1,0))),vlookup($A495&amp;$B495,{'3) Release_Label'!$D:$D&amp;'3) Release_Label'!$E:$E,'3) Release_Label'!$H:$H},2,0),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E495" s="92"/>
      <c r="F495" s="92"/>
      <c r="G495" s="125" t="str">
        <f t="array" ref="G495">ifs(or($F495="",$F495="Main Primary Artist"),$F495,not(iserror(vlookup($F495,'Reference info'!$J$5:$J$8,1,0))),"Key Artist",not(iserror(vlookup($F495,'Reference info'!$J$38:$J$405,1,0))),"Performer",not(iserror(vlookup($F495,'Reference info'!$J$10:$J$36,1,0))),"Producer &amp; Engineer")</f>
        <v/>
      </c>
    </row>
    <row r="496">
      <c r="A496" s="28"/>
      <c r="B496" s="97"/>
      <c r="C496" s="121" t="str">
        <f t="array" ref="C496">ifs(and(isblank($A496),isblank($B496)),"", not(iserror(vlookup($A496&amp;$B496,'3) Release_Label'!$D:$D&amp;'3) Release_Label'!$E:$E,1,0))),vlookup($A496&amp;$B496,{'3) Release_Label'!$D:$D&amp;'3) Release_Label'!$E:$E,'3) Release_Label'!$F:$F},2,0),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D496" s="121" t="str">
        <f t="array" ref="D496">ifs(and(isblank($A496),isblank($B496)),"", not(iserror(vlookup($A496&amp;$B496,'3) Release_Label'!$D:$D&amp;'3) Release_Label'!$E:$E,1,0))),vlookup($A496&amp;$B496,{'3) Release_Label'!$D:$D&amp;'3) Release_Label'!$E:$E,'3) Release_Label'!$H:$H},2,0),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E496" s="92"/>
      <c r="F496" s="92"/>
      <c r="G496" s="125" t="str">
        <f t="array" ref="G496">ifs(or($F496="",$F496="Main Primary Artist"),$F496,not(iserror(vlookup($F496,'Reference info'!$J$5:$J$8,1,0))),"Key Artist",not(iserror(vlookup($F496,'Reference info'!$J$38:$J$405,1,0))),"Performer",not(iserror(vlookup($F496,'Reference info'!$J$10:$J$36,1,0))),"Producer &amp; Engineer")</f>
        <v/>
      </c>
    </row>
    <row r="497">
      <c r="A497" s="28"/>
      <c r="B497" s="97"/>
      <c r="C497" s="121" t="str">
        <f t="array" ref="C497">ifs(and(isblank($A497),isblank($B497)),"", not(iserror(vlookup($A497&amp;$B497,'3) Release_Label'!$D:$D&amp;'3) Release_Label'!$E:$E,1,0))),vlookup($A497&amp;$B497,{'3) Release_Label'!$D:$D&amp;'3) Release_Label'!$E:$E,'3) Release_Label'!$F:$F},2,0),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D497" s="121" t="str">
        <f t="array" ref="D497">ifs(and(isblank($A497),isblank($B497)),"", not(iserror(vlookup($A497&amp;$B497,'3) Release_Label'!$D:$D&amp;'3) Release_Label'!$E:$E,1,0))),vlookup($A497&amp;$B497,{'3) Release_Label'!$D:$D&amp;'3) Release_Label'!$E:$E,'3) Release_Label'!$H:$H},2,0),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E497" s="92"/>
      <c r="F497" s="92"/>
      <c r="G497" s="125" t="str">
        <f t="array" ref="G497">ifs(or($F497="",$F497="Main Primary Artist"),$F497,not(iserror(vlookup($F497,'Reference info'!$J$5:$J$8,1,0))),"Key Artist",not(iserror(vlookup($F497,'Reference info'!$J$38:$J$405,1,0))),"Performer",not(iserror(vlookup($F497,'Reference info'!$J$10:$J$36,1,0))),"Producer &amp; Engineer")</f>
        <v/>
      </c>
    </row>
    <row r="498">
      <c r="A498" s="28"/>
      <c r="B498" s="97"/>
      <c r="C498" s="121" t="str">
        <f t="array" ref="C498">ifs(and(isblank($A498),isblank($B498)),"", not(iserror(vlookup($A498&amp;$B498,'3) Release_Label'!$D:$D&amp;'3) Release_Label'!$E:$E,1,0))),vlookup($A498&amp;$B498,{'3) Release_Label'!$D:$D&amp;'3) Release_Label'!$E:$E,'3) Release_Label'!$F:$F},2,0),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D498" s="121" t="str">
        <f t="array" ref="D498">ifs(and(isblank($A498),isblank($B498)),"", not(iserror(vlookup($A498&amp;$B498,'3) Release_Label'!$D:$D&amp;'3) Release_Label'!$E:$E,1,0))),vlookup($A498&amp;$B498,{'3) Release_Label'!$D:$D&amp;'3) Release_Label'!$E:$E,'3) Release_Label'!$H:$H},2,0),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E498" s="92"/>
      <c r="F498" s="92"/>
      <c r="G498" s="125" t="str">
        <f t="array" ref="G498">ifs(or($F498="",$F498="Main Primary Artist"),$F498,not(iserror(vlookup($F498,'Reference info'!$J$5:$J$8,1,0))),"Key Artist",not(iserror(vlookup($F498,'Reference info'!$J$38:$J$405,1,0))),"Performer",not(iserror(vlookup($F498,'Reference info'!$J$10:$J$36,1,0))),"Producer &amp; Engineer")</f>
        <v/>
      </c>
    </row>
    <row r="499">
      <c r="A499" s="28"/>
      <c r="B499" s="97"/>
      <c r="C499" s="121" t="str">
        <f t="array" ref="C499">ifs(and(isblank($A499),isblank($B499)),"", not(iserror(vlookup($A499&amp;$B499,'3) Release_Label'!$D:$D&amp;'3) Release_Label'!$E:$E,1,0))),vlookup($A499&amp;$B499,{'3) Release_Label'!$D:$D&amp;'3) Release_Label'!$E:$E,'3) Release_Label'!$F:$F},2,0),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D499" s="121" t="str">
        <f t="array" ref="D499">ifs(and(isblank($A499),isblank($B499)),"", not(iserror(vlookup($A499&amp;$B499,'3) Release_Label'!$D:$D&amp;'3) Release_Label'!$E:$E,1,0))),vlookup($A499&amp;$B499,{'3) Release_Label'!$D:$D&amp;'3) Release_Label'!$E:$E,'3) Release_Label'!$H:$H},2,0),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E499" s="92"/>
      <c r="F499" s="92"/>
      <c r="G499" s="125" t="str">
        <f t="array" ref="G499">ifs(or($F499="",$F499="Main Primary Artist"),$F499,not(iserror(vlookup($F499,'Reference info'!$J$5:$J$8,1,0))),"Key Artist",not(iserror(vlookup($F499,'Reference info'!$J$38:$J$405,1,0))),"Performer",not(iserror(vlookup($F499,'Reference info'!$J$10:$J$36,1,0))),"Producer &amp; Engineer")</f>
        <v/>
      </c>
    </row>
    <row r="500">
      <c r="A500" s="28"/>
      <c r="B500" s="97"/>
      <c r="C500" s="121" t="str">
        <f t="array" ref="C500">ifs(and(isblank($A500),isblank($B500)),"", not(iserror(vlookup($A500&amp;$B500,'3) Release_Label'!$D:$D&amp;'3) Release_Label'!$E:$E,1,0))),vlookup($A500&amp;$B500,{'3) Release_Label'!$D:$D&amp;'3) Release_Label'!$E:$E,'3) Release_Label'!$F:$F},2,0),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D500" s="121" t="str">
        <f t="array" ref="D500">ifs(and(isblank($A500),isblank($B500)),"", not(iserror(vlookup($A500&amp;$B500,'3) Release_Label'!$D:$D&amp;'3) Release_Label'!$E:$E,1,0))),vlookup($A500&amp;$B500,{'3) Release_Label'!$D:$D&amp;'3) Release_Label'!$E:$E,'3) Release_Label'!$H:$H},2,0),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E500" s="92"/>
      <c r="F500" s="92"/>
      <c r="G500" s="125" t="str">
        <f t="array" ref="G500">ifs(or($F500="",$F500="Main Primary Artist"),$F500,not(iserror(vlookup($F500,'Reference info'!$J$5:$J$8,1,0))),"Key Artist",not(iserror(vlookup($F500,'Reference info'!$J$38:$J$405,1,0))),"Performer",not(iserror(vlookup($F500,'Reference info'!$J$10:$J$36,1,0))),"Producer &amp; Engineer")</f>
        <v/>
      </c>
    </row>
    <row r="501">
      <c r="A501" s="28"/>
      <c r="B501" s="97"/>
      <c r="C501" s="121" t="str">
        <f t="array" ref="C501">ifs(and(isblank($A501),isblank($B501)),"", not(iserror(vlookup($A501&amp;$B501,'3) Release_Label'!$D:$D&amp;'3) Release_Label'!$E:$E,1,0))),vlookup($A501&amp;$B501,{'3) Release_Label'!$D:$D&amp;'3) Release_Label'!$E:$E,'3) Release_Label'!$F:$F},2,0),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D501" s="121" t="str">
        <f t="array" ref="D501">ifs(and(isblank($A501),isblank($B501)),"", not(iserror(vlookup($A501&amp;$B501,'3) Release_Label'!$D:$D&amp;'3) Release_Label'!$E:$E,1,0))),vlookup($A501&amp;$B501,{'3) Release_Label'!$D:$D&amp;'3) Release_Label'!$E:$E,'3) Release_Label'!$H:$H},2,0),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E501" s="92"/>
      <c r="F501" s="92"/>
      <c r="G501" s="125" t="str">
        <f t="array" ref="G501">ifs(or($F501="",$F501="Main Primary Artist"),$F501,not(iserror(vlookup($F501,'Reference info'!$J$5:$J$8,1,0))),"Key Artist",not(iserror(vlookup($F501,'Reference info'!$J$38:$J$405,1,0))),"Performer",not(iserror(vlookup($F501,'Reference info'!$J$10:$J$36,1,0))),"Producer &amp; Engineer")</f>
        <v/>
      </c>
    </row>
    <row r="502">
      <c r="A502" s="28"/>
      <c r="B502" s="97"/>
      <c r="C502" s="121" t="str">
        <f t="array" ref="C502">ifs(and(isblank($A502),isblank($B502)),"", not(iserror(vlookup($A502&amp;$B502,'3) Release_Label'!$D:$D&amp;'3) Release_Label'!$E:$E,1,0))),vlookup($A502&amp;$B502,{'3) Release_Label'!$D:$D&amp;'3) Release_Label'!$E:$E,'3) Release_Label'!$F:$F},2,0),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D502" s="121" t="str">
        <f t="array" ref="D502">ifs(and(isblank($A502),isblank($B502)),"", not(iserror(vlookup($A502&amp;$B502,'3) Release_Label'!$D:$D&amp;'3) Release_Label'!$E:$E,1,0))),vlookup($A502&amp;$B502,{'3) Release_Label'!$D:$D&amp;'3) Release_Label'!$E:$E,'3) Release_Label'!$H:$H},2,0),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E502" s="92"/>
      <c r="F502" s="92"/>
      <c r="G502" s="125" t="str">
        <f t="array" ref="G502">ifs(or($F502="",$F502="Main Primary Artist"),$F502,not(iserror(vlookup($F502,'Reference info'!$J$5:$J$8,1,0))),"Key Artist",not(iserror(vlookup($F502,'Reference info'!$J$38:$J$405,1,0))),"Performer",not(iserror(vlookup($F502,'Reference info'!$J$10:$J$36,1,0))),"Producer &amp; Engineer")</f>
        <v/>
      </c>
    </row>
    <row r="503">
      <c r="A503" s="28"/>
      <c r="B503" s="97"/>
      <c r="C503" s="121" t="str">
        <f t="array" ref="C503">ifs(and(isblank($A503),isblank($B503)),"", not(iserror(vlookup($A503&amp;$B503,'3) Release_Label'!$D:$D&amp;'3) Release_Label'!$E:$E,1,0))),vlookup($A503&amp;$B503,{'3) Release_Label'!$D:$D&amp;'3) Release_Label'!$E:$E,'3) Release_Label'!$F:$F},2,0),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D503" s="121" t="str">
        <f t="array" ref="D503">ifs(and(isblank($A503),isblank($B503)),"", not(iserror(vlookup($A503&amp;$B503,'3) Release_Label'!$D:$D&amp;'3) Release_Label'!$E:$E,1,0))),vlookup($A503&amp;$B503,{'3) Release_Label'!$D:$D&amp;'3) Release_Label'!$E:$E,'3) Release_Label'!$H:$H},2,0),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E503" s="92"/>
      <c r="F503" s="92"/>
      <c r="G503" s="125" t="str">
        <f t="array" ref="G503">ifs(or($F503="",$F503="Main Primary Artist"),$F503,not(iserror(vlookup($F503,'Reference info'!$J$5:$J$8,1,0))),"Key Artist",not(iserror(vlookup($F503,'Reference info'!$J$38:$J$405,1,0))),"Performer",not(iserror(vlookup($F503,'Reference info'!$J$10:$J$36,1,0))),"Producer &amp; Engineer")</f>
        <v/>
      </c>
    </row>
    <row r="504">
      <c r="A504" s="28"/>
      <c r="B504" s="97"/>
      <c r="C504" s="121" t="str">
        <f t="array" ref="C504">ifs(and(isblank($A504),isblank($B504)),"", not(iserror(vlookup($A504&amp;$B504,'3) Release_Label'!$D:$D&amp;'3) Release_Label'!$E:$E,1,0))),vlookup($A504&amp;$B504,{'3) Release_Label'!$D:$D&amp;'3) Release_Label'!$E:$E,'3) Release_Label'!$F:$F},2,0),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D504" s="121" t="str">
        <f t="array" ref="D504">ifs(and(isblank($A504),isblank($B504)),"", not(iserror(vlookup($A504&amp;$B504,'3) Release_Label'!$D:$D&amp;'3) Release_Label'!$E:$E,1,0))),vlookup($A504&amp;$B504,{'3) Release_Label'!$D:$D&amp;'3) Release_Label'!$E:$E,'3) Release_Label'!$H:$H},2,0),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E504" s="92"/>
      <c r="F504" s="92"/>
      <c r="G504" s="125" t="str">
        <f t="array" ref="G504">ifs(or($F504="",$F504="Main Primary Artist"),$F504,not(iserror(vlookup($F504,'Reference info'!$J$5:$J$8,1,0))),"Key Artist",not(iserror(vlookup($F504,'Reference info'!$J$38:$J$405,1,0))),"Performer",not(iserror(vlookup($F504,'Reference info'!$J$10:$J$36,1,0))),"Producer &amp; Engineer")</f>
        <v/>
      </c>
    </row>
    <row r="505">
      <c r="A505" s="28"/>
      <c r="B505" s="97"/>
      <c r="C505" s="121" t="str">
        <f t="array" ref="C505">ifs(and(isblank($A505),isblank($B505)),"", not(iserror(vlookup($A505&amp;$B505,'3) Release_Label'!$D:$D&amp;'3) Release_Label'!$E:$E,1,0))),vlookup($A505&amp;$B505,{'3) Release_Label'!$D:$D&amp;'3) Release_Label'!$E:$E,'3) Release_Label'!$F:$F},2,0),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D505" s="121" t="str">
        <f t="array" ref="D505">ifs(and(isblank($A505),isblank($B505)),"", not(iserror(vlookup($A505&amp;$B505,'3) Release_Label'!$D:$D&amp;'3) Release_Label'!$E:$E,1,0))),vlookup($A505&amp;$B505,{'3) Release_Label'!$D:$D&amp;'3) Release_Label'!$E:$E,'3) Release_Label'!$H:$H},2,0),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E505" s="92"/>
      <c r="F505" s="92"/>
      <c r="G505" s="125" t="str">
        <f t="array" ref="G505">ifs(or($F505="",$F505="Main Primary Artist"),$F505,not(iserror(vlookup($F505,'Reference info'!$J$5:$J$8,1,0))),"Key Artist",not(iserror(vlookup($F505,'Reference info'!$J$38:$J$405,1,0))),"Performer",not(iserror(vlookup($F505,'Reference info'!$J$10:$J$36,1,0))),"Producer &amp; Engineer")</f>
        <v/>
      </c>
    </row>
    <row r="506">
      <c r="A506" s="28"/>
      <c r="B506" s="97"/>
      <c r="C506" s="121" t="str">
        <f t="array" ref="C506">ifs(and(isblank($A506),isblank($B506)),"", not(iserror(vlookup($A506&amp;$B506,'3) Release_Label'!$D:$D&amp;'3) Release_Label'!$E:$E,1,0))),vlookup($A506&amp;$B506,{'3) Release_Label'!$D:$D&amp;'3) Release_Label'!$E:$E,'3) Release_Label'!$F:$F},2,0),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D506" s="121" t="str">
        <f t="array" ref="D506">ifs(and(isblank($A506),isblank($B506)),"", not(iserror(vlookup($A506&amp;$B506,'3) Release_Label'!$D:$D&amp;'3) Release_Label'!$E:$E,1,0))),vlookup($A506&amp;$B506,{'3) Release_Label'!$D:$D&amp;'3) Release_Label'!$E:$E,'3) Release_Label'!$H:$H},2,0),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E506" s="92"/>
      <c r="F506" s="92"/>
      <c r="G506" s="125" t="str">
        <f t="array" ref="G506">ifs(or($F506="",$F506="Main Primary Artist"),$F506,not(iserror(vlookup($F506,'Reference info'!$J$5:$J$8,1,0))),"Key Artist",not(iserror(vlookup($F506,'Reference info'!$J$38:$J$405,1,0))),"Performer",not(iserror(vlookup($F506,'Reference info'!$J$10:$J$36,1,0))),"Producer &amp; Engineer")</f>
        <v/>
      </c>
    </row>
    <row r="507">
      <c r="A507" s="28"/>
      <c r="B507" s="97"/>
      <c r="C507" s="121" t="str">
        <f t="array" ref="C507">ifs(and(isblank($A507),isblank($B507)),"", not(iserror(vlookup($A507&amp;$B507,'3) Release_Label'!$D:$D&amp;'3) Release_Label'!$E:$E,1,0))),vlookup($A507&amp;$B507,{'3) Release_Label'!$D:$D&amp;'3) Release_Label'!$E:$E,'3) Release_Label'!$F:$F},2,0),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D507" s="121" t="str">
        <f t="array" ref="D507">ifs(and(isblank($A507),isblank($B507)),"", not(iserror(vlookup($A507&amp;$B507,'3) Release_Label'!$D:$D&amp;'3) Release_Label'!$E:$E,1,0))),vlookup($A507&amp;$B507,{'3) Release_Label'!$D:$D&amp;'3) Release_Label'!$E:$E,'3) Release_Label'!$H:$H},2,0),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E507" s="92"/>
      <c r="F507" s="92"/>
      <c r="G507" s="125" t="str">
        <f t="array" ref="G507">ifs(or($F507="",$F507="Main Primary Artist"),$F507,not(iserror(vlookup($F507,'Reference info'!$J$5:$J$8,1,0))),"Key Artist",not(iserror(vlookup($F507,'Reference info'!$J$38:$J$405,1,0))),"Performer",not(iserror(vlookup($F507,'Reference info'!$J$10:$J$36,1,0))),"Producer &amp; Engineer")</f>
        <v/>
      </c>
    </row>
    <row r="508">
      <c r="A508" s="28"/>
      <c r="B508" s="97"/>
      <c r="C508" s="121" t="str">
        <f t="array" ref="C508">ifs(and(isblank($A508),isblank($B508)),"", not(iserror(vlookup($A508&amp;$B508,'3) Release_Label'!$D:$D&amp;'3) Release_Label'!$E:$E,1,0))),vlookup($A508&amp;$B508,{'3) Release_Label'!$D:$D&amp;'3) Release_Label'!$E:$E,'3) Release_Label'!$F:$F},2,0),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D508" s="121" t="str">
        <f t="array" ref="D508">ifs(and(isblank($A508),isblank($B508)),"", not(iserror(vlookup($A508&amp;$B508,'3) Release_Label'!$D:$D&amp;'3) Release_Label'!$E:$E,1,0))),vlookup($A508&amp;$B508,{'3) Release_Label'!$D:$D&amp;'3) Release_Label'!$E:$E,'3) Release_Label'!$H:$H},2,0),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E508" s="92"/>
      <c r="F508" s="92"/>
      <c r="G508" s="125" t="str">
        <f t="array" ref="G508">ifs(or($F508="",$F508="Main Primary Artist"),$F508,not(iserror(vlookup($F508,'Reference info'!$J$5:$J$8,1,0))),"Key Artist",not(iserror(vlookup($F508,'Reference info'!$J$38:$J$405,1,0))),"Performer",not(iserror(vlookup($F508,'Reference info'!$J$10:$J$36,1,0))),"Producer &amp; Engineer")</f>
        <v/>
      </c>
    </row>
    <row r="509">
      <c r="A509" s="28"/>
      <c r="B509" s="97"/>
      <c r="C509" s="121" t="str">
        <f t="array" ref="C509">ifs(and(isblank($A509),isblank($B509)),"", not(iserror(vlookup($A509&amp;$B509,'3) Release_Label'!$D:$D&amp;'3) Release_Label'!$E:$E,1,0))),vlookup($A509&amp;$B509,{'3) Release_Label'!$D:$D&amp;'3) Release_Label'!$E:$E,'3) Release_Label'!$F:$F},2,0),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D509" s="121" t="str">
        <f t="array" ref="D509">ifs(and(isblank($A509),isblank($B509)),"", not(iserror(vlookup($A509&amp;$B509,'3) Release_Label'!$D:$D&amp;'3) Release_Label'!$E:$E,1,0))),vlookup($A509&amp;$B509,{'3) Release_Label'!$D:$D&amp;'3) Release_Label'!$E:$E,'3) Release_Label'!$H:$H},2,0),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E509" s="92"/>
      <c r="F509" s="92"/>
      <c r="G509" s="125" t="str">
        <f t="array" ref="G509">ifs(or($F509="",$F509="Main Primary Artist"),$F509,not(iserror(vlookup($F509,'Reference info'!$J$5:$J$8,1,0))),"Key Artist",not(iserror(vlookup($F509,'Reference info'!$J$38:$J$405,1,0))),"Performer",not(iserror(vlookup($F509,'Reference info'!$J$10:$J$36,1,0))),"Producer &amp; Engineer")</f>
        <v/>
      </c>
    </row>
    <row r="510">
      <c r="A510" s="28"/>
      <c r="B510" s="97"/>
      <c r="C510" s="121" t="str">
        <f t="array" ref="C510">ifs(and(isblank($A510),isblank($B510)),"", not(iserror(vlookup($A510&amp;$B510,'3) Release_Label'!$D:$D&amp;'3) Release_Label'!$E:$E,1,0))),vlookup($A510&amp;$B510,{'3) Release_Label'!$D:$D&amp;'3) Release_Label'!$E:$E,'3) Release_Label'!$F:$F},2,0),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D510" s="121" t="str">
        <f t="array" ref="D510">ifs(and(isblank($A510),isblank($B510)),"", not(iserror(vlookup($A510&amp;$B510,'3) Release_Label'!$D:$D&amp;'3) Release_Label'!$E:$E,1,0))),vlookup($A510&amp;$B510,{'3) Release_Label'!$D:$D&amp;'3) Release_Label'!$E:$E,'3) Release_Label'!$H:$H},2,0),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E510" s="92"/>
      <c r="F510" s="92"/>
      <c r="G510" s="125" t="str">
        <f t="array" ref="G510">ifs(or($F510="",$F510="Main Primary Artist"),$F510,not(iserror(vlookup($F510,'Reference info'!$J$5:$J$8,1,0))),"Key Artist",not(iserror(vlookup($F510,'Reference info'!$J$38:$J$405,1,0))),"Performer",not(iserror(vlookup($F510,'Reference info'!$J$10:$J$36,1,0))),"Producer &amp; Engineer")</f>
        <v/>
      </c>
    </row>
    <row r="511">
      <c r="A511" s="28"/>
      <c r="B511" s="97"/>
      <c r="C511" s="121" t="str">
        <f t="array" ref="C511">ifs(and(isblank($A511),isblank($B511)),"", not(iserror(vlookup($A511&amp;$B511,'3) Release_Label'!$D:$D&amp;'3) Release_Label'!$E:$E,1,0))),vlookup($A511&amp;$B511,{'3) Release_Label'!$D:$D&amp;'3) Release_Label'!$E:$E,'3) Release_Label'!$F:$F},2,0),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D511" s="121" t="str">
        <f t="array" ref="D511">ifs(and(isblank($A511),isblank($B511)),"", not(iserror(vlookup($A511&amp;$B511,'3) Release_Label'!$D:$D&amp;'3) Release_Label'!$E:$E,1,0))),vlookup($A511&amp;$B511,{'3) Release_Label'!$D:$D&amp;'3) Release_Label'!$E:$E,'3) Release_Label'!$H:$H},2,0),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E511" s="92"/>
      <c r="F511" s="92"/>
      <c r="G511" s="125" t="str">
        <f t="array" ref="G511">ifs(or($F511="",$F511="Main Primary Artist"),$F511,not(iserror(vlookup($F511,'Reference info'!$J$5:$J$8,1,0))),"Key Artist",not(iserror(vlookup($F511,'Reference info'!$J$38:$J$405,1,0))),"Performer",not(iserror(vlookup($F511,'Reference info'!$J$10:$J$36,1,0))),"Producer &amp; Engineer")</f>
        <v/>
      </c>
    </row>
    <row r="512">
      <c r="A512" s="28"/>
      <c r="B512" s="97"/>
      <c r="C512" s="121" t="str">
        <f t="array" ref="C512">ifs(and(isblank($A512),isblank($B512)),"", not(iserror(vlookup($A512&amp;$B512,'3) Release_Label'!$D:$D&amp;'3) Release_Label'!$E:$E,1,0))),vlookup($A512&amp;$B512,{'3) Release_Label'!$D:$D&amp;'3) Release_Label'!$E:$E,'3) Release_Label'!$F:$F},2,0),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D512" s="121" t="str">
        <f t="array" ref="D512">ifs(and(isblank($A512),isblank($B512)),"", not(iserror(vlookup($A512&amp;$B512,'3) Release_Label'!$D:$D&amp;'3) Release_Label'!$E:$E,1,0))),vlookup($A512&amp;$B512,{'3) Release_Label'!$D:$D&amp;'3) Release_Label'!$E:$E,'3) Release_Label'!$H:$H},2,0),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E512" s="92"/>
      <c r="F512" s="92"/>
      <c r="G512" s="125" t="str">
        <f t="array" ref="G512">ifs(or($F512="",$F512="Main Primary Artist"),$F512,not(iserror(vlookup($F512,'Reference info'!$J$5:$J$8,1,0))),"Key Artist",not(iserror(vlookup($F512,'Reference info'!$J$38:$J$405,1,0))),"Performer",not(iserror(vlookup($F512,'Reference info'!$J$10:$J$36,1,0))),"Producer &amp; Engineer")</f>
        <v/>
      </c>
    </row>
    <row r="513">
      <c r="A513" s="28"/>
      <c r="B513" s="97"/>
      <c r="C513" s="121" t="str">
        <f t="array" ref="C513">ifs(and(isblank($A513),isblank($B513)),"", not(iserror(vlookup($A513&amp;$B513,'3) Release_Label'!$D:$D&amp;'3) Release_Label'!$E:$E,1,0))),vlookup($A513&amp;$B513,{'3) Release_Label'!$D:$D&amp;'3) Release_Label'!$E:$E,'3) Release_Label'!$F:$F},2,0),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D513" s="121" t="str">
        <f t="array" ref="D513">ifs(and(isblank($A513),isblank($B513)),"", not(iserror(vlookup($A513&amp;$B513,'3) Release_Label'!$D:$D&amp;'3) Release_Label'!$E:$E,1,0))),vlookup($A513&amp;$B513,{'3) Release_Label'!$D:$D&amp;'3) Release_Label'!$E:$E,'3) Release_Label'!$H:$H},2,0),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E513" s="92"/>
      <c r="F513" s="92"/>
      <c r="G513" s="125" t="str">
        <f t="array" ref="G513">ifs(or($F513="",$F513="Main Primary Artist"),$F513,not(iserror(vlookup($F513,'Reference info'!$J$5:$J$8,1,0))),"Key Artist",not(iserror(vlookup($F513,'Reference info'!$J$38:$J$405,1,0))),"Performer",not(iserror(vlookup($F513,'Reference info'!$J$10:$J$36,1,0))),"Producer &amp; Engineer")</f>
        <v/>
      </c>
    </row>
    <row r="514">
      <c r="A514" s="28"/>
      <c r="B514" s="97"/>
      <c r="C514" s="121" t="str">
        <f t="array" ref="C514">ifs(and(isblank($A514),isblank($B514)),"", not(iserror(vlookup($A514&amp;$B514,'3) Release_Label'!$D:$D&amp;'3) Release_Label'!$E:$E,1,0))),vlookup($A514&amp;$B514,{'3) Release_Label'!$D:$D&amp;'3) Release_Label'!$E:$E,'3) Release_Label'!$F:$F},2,0),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D514" s="121" t="str">
        <f t="array" ref="D514">ifs(and(isblank($A514),isblank($B514)),"", not(iserror(vlookup($A514&amp;$B514,'3) Release_Label'!$D:$D&amp;'3) Release_Label'!$E:$E,1,0))),vlookup($A514&amp;$B514,{'3) Release_Label'!$D:$D&amp;'3) Release_Label'!$E:$E,'3) Release_Label'!$H:$H},2,0),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E514" s="92"/>
      <c r="F514" s="92"/>
      <c r="G514" s="125" t="str">
        <f t="array" ref="G514">ifs(or($F514="",$F514="Main Primary Artist"),$F514,not(iserror(vlookup($F514,'Reference info'!$J$5:$J$8,1,0))),"Key Artist",not(iserror(vlookup($F514,'Reference info'!$J$38:$J$405,1,0))),"Performer",not(iserror(vlookup($F514,'Reference info'!$J$10:$J$36,1,0))),"Producer &amp; Engineer")</f>
        <v/>
      </c>
    </row>
    <row r="515">
      <c r="A515" s="28"/>
      <c r="B515" s="97"/>
      <c r="C515" s="121" t="str">
        <f t="array" ref="C515">ifs(and(isblank($A515),isblank($B515)),"", not(iserror(vlookup($A515&amp;$B515,'3) Release_Label'!$D:$D&amp;'3) Release_Label'!$E:$E,1,0))),vlookup($A515&amp;$B515,{'3) Release_Label'!$D:$D&amp;'3) Release_Label'!$E:$E,'3) Release_Label'!$F:$F},2,0),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D515" s="121" t="str">
        <f t="array" ref="D515">ifs(and(isblank($A515),isblank($B515)),"", not(iserror(vlookup($A515&amp;$B515,'3) Release_Label'!$D:$D&amp;'3) Release_Label'!$E:$E,1,0))),vlookup($A515&amp;$B515,{'3) Release_Label'!$D:$D&amp;'3) Release_Label'!$E:$E,'3) Release_Label'!$H:$H},2,0),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E515" s="92"/>
      <c r="F515" s="92"/>
      <c r="G515" s="125" t="str">
        <f t="array" ref="G515">ifs(or($F515="",$F515="Main Primary Artist"),$F515,not(iserror(vlookup($F515,'Reference info'!$J$5:$J$8,1,0))),"Key Artist",not(iserror(vlookup($F515,'Reference info'!$J$38:$J$405,1,0))),"Performer",not(iserror(vlookup($F515,'Reference info'!$J$10:$J$36,1,0))),"Producer &amp; Engineer")</f>
        <v/>
      </c>
    </row>
    <row r="516">
      <c r="A516" s="28"/>
      <c r="B516" s="97"/>
      <c r="C516" s="121" t="str">
        <f t="array" ref="C516">ifs(and(isblank($A516),isblank($B516)),"", not(iserror(vlookup($A516&amp;$B516,'3) Release_Label'!$D:$D&amp;'3) Release_Label'!$E:$E,1,0))),vlookup($A516&amp;$B516,{'3) Release_Label'!$D:$D&amp;'3) Release_Label'!$E:$E,'3) Release_Label'!$F:$F},2,0),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D516" s="121" t="str">
        <f t="array" ref="D516">ifs(and(isblank($A516),isblank($B516)),"", not(iserror(vlookup($A516&amp;$B516,'3) Release_Label'!$D:$D&amp;'3) Release_Label'!$E:$E,1,0))),vlookup($A516&amp;$B516,{'3) Release_Label'!$D:$D&amp;'3) Release_Label'!$E:$E,'3) Release_Label'!$H:$H},2,0),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E516" s="92"/>
      <c r="F516" s="92"/>
      <c r="G516" s="125" t="str">
        <f t="array" ref="G516">ifs(or($F516="",$F516="Main Primary Artist"),$F516,not(iserror(vlookup($F516,'Reference info'!$J$5:$J$8,1,0))),"Key Artist",not(iserror(vlookup($F516,'Reference info'!$J$38:$J$405,1,0))),"Performer",not(iserror(vlookup($F516,'Reference info'!$J$10:$J$36,1,0))),"Producer &amp; Engineer")</f>
        <v/>
      </c>
    </row>
    <row r="517">
      <c r="A517" s="28"/>
      <c r="B517" s="97"/>
      <c r="C517" s="121" t="str">
        <f t="array" ref="C517">ifs(and(isblank($A517),isblank($B517)),"", not(iserror(vlookup($A517&amp;$B517,'3) Release_Label'!$D:$D&amp;'3) Release_Label'!$E:$E,1,0))),vlookup($A517&amp;$B517,{'3) Release_Label'!$D:$D&amp;'3) Release_Label'!$E:$E,'3) Release_Label'!$F:$F},2,0),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D517" s="121" t="str">
        <f t="array" ref="D517">ifs(and(isblank($A517),isblank($B517)),"", not(iserror(vlookup($A517&amp;$B517,'3) Release_Label'!$D:$D&amp;'3) Release_Label'!$E:$E,1,0))),vlookup($A517&amp;$B517,{'3) Release_Label'!$D:$D&amp;'3) Release_Label'!$E:$E,'3) Release_Label'!$H:$H},2,0),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E517" s="92"/>
      <c r="F517" s="92"/>
      <c r="G517" s="125" t="str">
        <f t="array" ref="G517">ifs(or($F517="",$F517="Main Primary Artist"),$F517,not(iserror(vlookup($F517,'Reference info'!$J$5:$J$8,1,0))),"Key Artist",not(iserror(vlookup($F517,'Reference info'!$J$38:$J$405,1,0))),"Performer",not(iserror(vlookup($F517,'Reference info'!$J$10:$J$36,1,0))),"Producer &amp; Engineer")</f>
        <v/>
      </c>
    </row>
    <row r="518">
      <c r="A518" s="28"/>
      <c r="B518" s="97"/>
      <c r="C518" s="121" t="str">
        <f t="array" ref="C518">ifs(and(isblank($A518),isblank($B518)),"", not(iserror(vlookup($A518&amp;$B518,'3) Release_Label'!$D:$D&amp;'3) Release_Label'!$E:$E,1,0))),vlookup($A518&amp;$B518,{'3) Release_Label'!$D:$D&amp;'3) Release_Label'!$E:$E,'3) Release_Label'!$F:$F},2,0),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D518" s="121" t="str">
        <f t="array" ref="D518">ifs(and(isblank($A518),isblank($B518)),"", not(iserror(vlookup($A518&amp;$B518,'3) Release_Label'!$D:$D&amp;'3) Release_Label'!$E:$E,1,0))),vlookup($A518&amp;$B518,{'3) Release_Label'!$D:$D&amp;'3) Release_Label'!$E:$E,'3) Release_Label'!$H:$H},2,0),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E518" s="92"/>
      <c r="F518" s="92"/>
      <c r="G518" s="125" t="str">
        <f t="array" ref="G518">ifs(or($F518="",$F518="Main Primary Artist"),$F518,not(iserror(vlookup($F518,'Reference info'!$J$5:$J$8,1,0))),"Key Artist",not(iserror(vlookup($F518,'Reference info'!$J$38:$J$405,1,0))),"Performer",not(iserror(vlookup($F518,'Reference info'!$J$10:$J$36,1,0))),"Producer &amp; Engineer")</f>
        <v/>
      </c>
    </row>
    <row r="519">
      <c r="A519" s="28"/>
      <c r="B519" s="97"/>
      <c r="C519" s="121" t="str">
        <f t="array" ref="C519">ifs(and(isblank($A519),isblank($B519)),"", not(iserror(vlookup($A519&amp;$B519,'3) Release_Label'!$D:$D&amp;'3) Release_Label'!$E:$E,1,0))),vlookup($A519&amp;$B519,{'3) Release_Label'!$D:$D&amp;'3) Release_Label'!$E:$E,'3) Release_Label'!$F:$F},2,0),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D519" s="121" t="str">
        <f t="array" ref="D519">ifs(and(isblank($A519),isblank($B519)),"", not(iserror(vlookup($A519&amp;$B519,'3) Release_Label'!$D:$D&amp;'3) Release_Label'!$E:$E,1,0))),vlookup($A519&amp;$B519,{'3) Release_Label'!$D:$D&amp;'3) Release_Label'!$E:$E,'3) Release_Label'!$H:$H},2,0),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E519" s="92"/>
      <c r="F519" s="92"/>
      <c r="G519" s="125" t="str">
        <f t="array" ref="G519">ifs(or($F519="",$F519="Main Primary Artist"),$F519,not(iserror(vlookup($F519,'Reference info'!$J$5:$J$8,1,0))),"Key Artist",not(iserror(vlookup($F519,'Reference info'!$J$38:$J$405,1,0))),"Performer",not(iserror(vlookup($F519,'Reference info'!$J$10:$J$36,1,0))),"Producer &amp; Engineer")</f>
        <v/>
      </c>
    </row>
    <row r="520">
      <c r="A520" s="28"/>
      <c r="B520" s="97"/>
      <c r="C520" s="121" t="str">
        <f t="array" ref="C520">ifs(and(isblank($A520),isblank($B520)),"", not(iserror(vlookup($A520&amp;$B520,'3) Release_Label'!$D:$D&amp;'3) Release_Label'!$E:$E,1,0))),vlookup($A520&amp;$B520,{'3) Release_Label'!$D:$D&amp;'3) Release_Label'!$E:$E,'3) Release_Label'!$F:$F},2,0),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D520" s="121" t="str">
        <f t="array" ref="D520">ifs(and(isblank($A520),isblank($B520)),"", not(iserror(vlookup($A520&amp;$B520,'3) Release_Label'!$D:$D&amp;'3) Release_Label'!$E:$E,1,0))),vlookup($A520&amp;$B520,{'3) Release_Label'!$D:$D&amp;'3) Release_Label'!$E:$E,'3) Release_Label'!$H:$H},2,0),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E520" s="92"/>
      <c r="F520" s="92"/>
      <c r="G520" s="125" t="str">
        <f t="array" ref="G520">ifs(or($F520="",$F520="Main Primary Artist"),$F520,not(iserror(vlookup($F520,'Reference info'!$J$5:$J$8,1,0))),"Key Artist",not(iserror(vlookup($F520,'Reference info'!$J$38:$J$405,1,0))),"Performer",not(iserror(vlookup($F520,'Reference info'!$J$10:$J$36,1,0))),"Producer &amp; Engineer")</f>
        <v/>
      </c>
    </row>
    <row r="521">
      <c r="A521" s="28"/>
      <c r="B521" s="97"/>
      <c r="C521" s="121" t="str">
        <f t="array" ref="C521">ifs(and(isblank($A521),isblank($B521)),"", not(iserror(vlookup($A521&amp;$B521,'3) Release_Label'!$D:$D&amp;'3) Release_Label'!$E:$E,1,0))),vlookup($A521&amp;$B521,{'3) Release_Label'!$D:$D&amp;'3) Release_Label'!$E:$E,'3) Release_Label'!$F:$F},2,0),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D521" s="121" t="str">
        <f t="array" ref="D521">ifs(and(isblank($A521),isblank($B521)),"", not(iserror(vlookup($A521&amp;$B521,'3) Release_Label'!$D:$D&amp;'3) Release_Label'!$E:$E,1,0))),vlookup($A521&amp;$B521,{'3) Release_Label'!$D:$D&amp;'3) Release_Label'!$E:$E,'3) Release_Label'!$H:$H},2,0),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E521" s="92"/>
      <c r="F521" s="92"/>
      <c r="G521" s="125" t="str">
        <f t="array" ref="G521">ifs(or($F521="",$F521="Main Primary Artist"),$F521,not(iserror(vlookup($F521,'Reference info'!$J$5:$J$8,1,0))),"Key Artist",not(iserror(vlookup($F521,'Reference info'!$J$38:$J$405,1,0))),"Performer",not(iserror(vlookup($F521,'Reference info'!$J$10:$J$36,1,0))),"Producer &amp; Engineer")</f>
        <v/>
      </c>
    </row>
    <row r="522">
      <c r="A522" s="28"/>
      <c r="B522" s="97"/>
      <c r="C522" s="121" t="str">
        <f t="array" ref="C522">ifs(and(isblank($A522),isblank($B522)),"", not(iserror(vlookup($A522&amp;$B522,'3) Release_Label'!$D:$D&amp;'3) Release_Label'!$E:$E,1,0))),vlookup($A522&amp;$B522,{'3) Release_Label'!$D:$D&amp;'3) Release_Label'!$E:$E,'3) Release_Label'!$F:$F},2,0),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D522" s="121" t="str">
        <f t="array" ref="D522">ifs(and(isblank($A522),isblank($B522)),"", not(iserror(vlookup($A522&amp;$B522,'3) Release_Label'!$D:$D&amp;'3) Release_Label'!$E:$E,1,0))),vlookup($A522&amp;$B522,{'3) Release_Label'!$D:$D&amp;'3) Release_Label'!$E:$E,'3) Release_Label'!$H:$H},2,0),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E522" s="92"/>
      <c r="F522" s="92"/>
      <c r="G522" s="125" t="str">
        <f t="array" ref="G522">ifs(or($F522="",$F522="Main Primary Artist"),$F522,not(iserror(vlookup($F522,'Reference info'!$J$5:$J$8,1,0))),"Key Artist",not(iserror(vlookup($F522,'Reference info'!$J$38:$J$405,1,0))),"Performer",not(iserror(vlookup($F522,'Reference info'!$J$10:$J$36,1,0))),"Producer &amp; Engineer")</f>
        <v/>
      </c>
    </row>
    <row r="523">
      <c r="A523" s="28"/>
      <c r="B523" s="97"/>
      <c r="C523" s="121" t="str">
        <f t="array" ref="C523">ifs(and(isblank($A523),isblank($B523)),"", not(iserror(vlookup($A523&amp;$B523,'3) Release_Label'!$D:$D&amp;'3) Release_Label'!$E:$E,1,0))),vlookup($A523&amp;$B523,{'3) Release_Label'!$D:$D&amp;'3) Release_Label'!$E:$E,'3) Release_Label'!$F:$F},2,0),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D523" s="121" t="str">
        <f t="array" ref="D523">ifs(and(isblank($A523),isblank($B523)),"", not(iserror(vlookup($A523&amp;$B523,'3) Release_Label'!$D:$D&amp;'3) Release_Label'!$E:$E,1,0))),vlookup($A523&amp;$B523,{'3) Release_Label'!$D:$D&amp;'3) Release_Label'!$E:$E,'3) Release_Label'!$H:$H},2,0),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E523" s="92"/>
      <c r="F523" s="92"/>
      <c r="G523" s="125" t="str">
        <f t="array" ref="G523">ifs(or($F523="",$F523="Main Primary Artist"),$F523,not(iserror(vlookup($F523,'Reference info'!$J$5:$J$8,1,0))),"Key Artist",not(iserror(vlookup($F523,'Reference info'!$J$38:$J$405,1,0))),"Performer",not(iserror(vlookup($F523,'Reference info'!$J$10:$J$36,1,0))),"Producer &amp; Engineer")</f>
        <v/>
      </c>
    </row>
    <row r="524">
      <c r="A524" s="28"/>
      <c r="B524" s="97"/>
      <c r="C524" s="121" t="str">
        <f t="array" ref="C524">ifs(and(isblank($A524),isblank($B524)),"", not(iserror(vlookup($A524&amp;$B524,'3) Release_Label'!$D:$D&amp;'3) Release_Label'!$E:$E,1,0))),vlookup($A524&amp;$B524,{'3) Release_Label'!$D:$D&amp;'3) Release_Label'!$E:$E,'3) Release_Label'!$F:$F},2,0),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D524" s="121" t="str">
        <f t="array" ref="D524">ifs(and(isblank($A524),isblank($B524)),"", not(iserror(vlookup($A524&amp;$B524,'3) Release_Label'!$D:$D&amp;'3) Release_Label'!$E:$E,1,0))),vlookup($A524&amp;$B524,{'3) Release_Label'!$D:$D&amp;'3) Release_Label'!$E:$E,'3) Release_Label'!$H:$H},2,0),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E524" s="92"/>
      <c r="F524" s="92"/>
      <c r="G524" s="125" t="str">
        <f t="array" ref="G524">ifs(or($F524="",$F524="Main Primary Artist"),$F524,not(iserror(vlookup($F524,'Reference info'!$J$5:$J$8,1,0))),"Key Artist",not(iserror(vlookup($F524,'Reference info'!$J$38:$J$405,1,0))),"Performer",not(iserror(vlookup($F524,'Reference info'!$J$10:$J$36,1,0))),"Producer &amp; Engineer")</f>
        <v/>
      </c>
    </row>
    <row r="525">
      <c r="A525" s="28"/>
      <c r="B525" s="97"/>
      <c r="C525" s="121" t="str">
        <f t="array" ref="C525">ifs(and(isblank($A525),isblank($B525)),"", not(iserror(vlookup($A525&amp;$B525,'3) Release_Label'!$D:$D&amp;'3) Release_Label'!$E:$E,1,0))),vlookup($A525&amp;$B525,{'3) Release_Label'!$D:$D&amp;'3) Release_Label'!$E:$E,'3) Release_Label'!$F:$F},2,0),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D525" s="121" t="str">
        <f t="array" ref="D525">ifs(and(isblank($A525),isblank($B525)),"", not(iserror(vlookup($A525&amp;$B525,'3) Release_Label'!$D:$D&amp;'3) Release_Label'!$E:$E,1,0))),vlookup($A525&amp;$B525,{'3) Release_Label'!$D:$D&amp;'3) Release_Label'!$E:$E,'3) Release_Label'!$H:$H},2,0),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E525" s="92"/>
      <c r="F525" s="92"/>
      <c r="G525" s="125" t="str">
        <f t="array" ref="G525">ifs(or($F525="",$F525="Main Primary Artist"),$F525,not(iserror(vlookup($F525,'Reference info'!$J$5:$J$8,1,0))),"Key Artist",not(iserror(vlookup($F525,'Reference info'!$J$38:$J$405,1,0))),"Performer",not(iserror(vlookup($F525,'Reference info'!$J$10:$J$36,1,0))),"Producer &amp; Engineer")</f>
        <v/>
      </c>
    </row>
    <row r="526">
      <c r="A526" s="28"/>
      <c r="B526" s="97"/>
      <c r="C526" s="121" t="str">
        <f t="array" ref="C526">ifs(and(isblank($A526),isblank($B526)),"", not(iserror(vlookup($A526&amp;$B526,'3) Release_Label'!$D:$D&amp;'3) Release_Label'!$E:$E,1,0))),vlookup($A526&amp;$B526,{'3) Release_Label'!$D:$D&amp;'3) Release_Label'!$E:$E,'3) Release_Label'!$F:$F},2,0),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D526" s="121" t="str">
        <f t="array" ref="D526">ifs(and(isblank($A526),isblank($B526)),"", not(iserror(vlookup($A526&amp;$B526,'3) Release_Label'!$D:$D&amp;'3) Release_Label'!$E:$E,1,0))),vlookup($A526&amp;$B526,{'3) Release_Label'!$D:$D&amp;'3) Release_Label'!$E:$E,'3) Release_Label'!$H:$H},2,0),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E526" s="92"/>
      <c r="F526" s="92"/>
      <c r="G526" s="125" t="str">
        <f t="array" ref="G526">ifs(or($F526="",$F526="Main Primary Artist"),$F526,not(iserror(vlookup($F526,'Reference info'!$J$5:$J$8,1,0))),"Key Artist",not(iserror(vlookup($F526,'Reference info'!$J$38:$J$405,1,0))),"Performer",not(iserror(vlookup($F526,'Reference info'!$J$10:$J$36,1,0))),"Producer &amp; Engineer")</f>
        <v/>
      </c>
    </row>
    <row r="527">
      <c r="A527" s="28"/>
      <c r="B527" s="97"/>
      <c r="C527" s="121" t="str">
        <f t="array" ref="C527">ifs(and(isblank($A527),isblank($B527)),"", not(iserror(vlookup($A527&amp;$B527,'3) Release_Label'!$D:$D&amp;'3) Release_Label'!$E:$E,1,0))),vlookup($A527&amp;$B527,{'3) Release_Label'!$D:$D&amp;'3) Release_Label'!$E:$E,'3) Release_Label'!$F:$F},2,0),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D527" s="121" t="str">
        <f t="array" ref="D527">ifs(and(isblank($A527),isblank($B527)),"", not(iserror(vlookup($A527&amp;$B527,'3) Release_Label'!$D:$D&amp;'3) Release_Label'!$E:$E,1,0))),vlookup($A527&amp;$B527,{'3) Release_Label'!$D:$D&amp;'3) Release_Label'!$E:$E,'3) Release_Label'!$H:$H},2,0),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E527" s="92"/>
      <c r="F527" s="92"/>
      <c r="G527" s="125" t="str">
        <f t="array" ref="G527">ifs(or($F527="",$F527="Main Primary Artist"),$F527,not(iserror(vlookup($F527,'Reference info'!$J$5:$J$8,1,0))),"Key Artist",not(iserror(vlookup($F527,'Reference info'!$J$38:$J$405,1,0))),"Performer",not(iserror(vlookup($F527,'Reference info'!$J$10:$J$36,1,0))),"Producer &amp; Engineer")</f>
        <v/>
      </c>
    </row>
    <row r="528">
      <c r="A528" s="28"/>
      <c r="B528" s="97"/>
      <c r="C528" s="121" t="str">
        <f t="array" ref="C528">ifs(and(isblank($A528),isblank($B528)),"", not(iserror(vlookup($A528&amp;$B528,'3) Release_Label'!$D:$D&amp;'3) Release_Label'!$E:$E,1,0))),vlookup($A528&amp;$B528,{'3) Release_Label'!$D:$D&amp;'3) Release_Label'!$E:$E,'3) Release_Label'!$F:$F},2,0),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D528" s="121" t="str">
        <f t="array" ref="D528">ifs(and(isblank($A528),isblank($B528)),"", not(iserror(vlookup($A528&amp;$B528,'3) Release_Label'!$D:$D&amp;'3) Release_Label'!$E:$E,1,0))),vlookup($A528&amp;$B528,{'3) Release_Label'!$D:$D&amp;'3) Release_Label'!$E:$E,'3) Release_Label'!$H:$H},2,0),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E528" s="92"/>
      <c r="F528" s="92"/>
      <c r="G528" s="125" t="str">
        <f t="array" ref="G528">ifs(or($F528="",$F528="Main Primary Artist"),$F528,not(iserror(vlookup($F528,'Reference info'!$J$5:$J$8,1,0))),"Key Artist",not(iserror(vlookup($F528,'Reference info'!$J$38:$J$405,1,0))),"Performer",not(iserror(vlookup($F528,'Reference info'!$J$10:$J$36,1,0))),"Producer &amp; Engineer")</f>
        <v/>
      </c>
    </row>
    <row r="529">
      <c r="A529" s="28"/>
      <c r="B529" s="97"/>
      <c r="C529" s="121" t="str">
        <f t="array" ref="C529">ifs(and(isblank($A529),isblank($B529)),"", not(iserror(vlookup($A529&amp;$B529,'3) Release_Label'!$D:$D&amp;'3) Release_Label'!$E:$E,1,0))),vlookup($A529&amp;$B529,{'3) Release_Label'!$D:$D&amp;'3) Release_Label'!$E:$E,'3) Release_Label'!$F:$F},2,0),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D529" s="121" t="str">
        <f t="array" ref="D529">ifs(and(isblank($A529),isblank($B529)),"", not(iserror(vlookup($A529&amp;$B529,'3) Release_Label'!$D:$D&amp;'3) Release_Label'!$E:$E,1,0))),vlookup($A529&amp;$B529,{'3) Release_Label'!$D:$D&amp;'3) Release_Label'!$E:$E,'3) Release_Label'!$H:$H},2,0),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E529" s="92"/>
      <c r="F529" s="92"/>
      <c r="G529" s="125" t="str">
        <f t="array" ref="G529">ifs(or($F529="",$F529="Main Primary Artist"),$F529,not(iserror(vlookup($F529,'Reference info'!$J$5:$J$8,1,0))),"Key Artist",not(iserror(vlookup($F529,'Reference info'!$J$38:$J$405,1,0))),"Performer",not(iserror(vlookup($F529,'Reference info'!$J$10:$J$36,1,0))),"Producer &amp; Engineer")</f>
        <v/>
      </c>
    </row>
    <row r="530">
      <c r="A530" s="28"/>
      <c r="B530" s="97"/>
      <c r="C530" s="121" t="str">
        <f t="array" ref="C530">ifs(and(isblank($A530),isblank($B530)),"", not(iserror(vlookup($A530&amp;$B530,'3) Release_Label'!$D:$D&amp;'3) Release_Label'!$E:$E,1,0))),vlookup($A530&amp;$B530,{'3) Release_Label'!$D:$D&amp;'3) Release_Label'!$E:$E,'3) Release_Label'!$F:$F},2,0),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D530" s="121" t="str">
        <f t="array" ref="D530">ifs(and(isblank($A530),isblank($B530)),"", not(iserror(vlookup($A530&amp;$B530,'3) Release_Label'!$D:$D&amp;'3) Release_Label'!$E:$E,1,0))),vlookup($A530&amp;$B530,{'3) Release_Label'!$D:$D&amp;'3) Release_Label'!$E:$E,'3) Release_Label'!$H:$H},2,0),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E530" s="92"/>
      <c r="F530" s="92"/>
      <c r="G530" s="125" t="str">
        <f t="array" ref="G530">ifs(or($F530="",$F530="Main Primary Artist"),$F530,not(iserror(vlookup($F530,'Reference info'!$J$5:$J$8,1,0))),"Key Artist",not(iserror(vlookup($F530,'Reference info'!$J$38:$J$405,1,0))),"Performer",not(iserror(vlookup($F530,'Reference info'!$J$10:$J$36,1,0))),"Producer &amp; Engineer")</f>
        <v/>
      </c>
    </row>
    <row r="531">
      <c r="A531" s="28"/>
      <c r="B531" s="97"/>
      <c r="C531" s="121" t="str">
        <f t="array" ref="C531">ifs(and(isblank($A531),isblank($B531)),"", not(iserror(vlookup($A531&amp;$B531,'3) Release_Label'!$D:$D&amp;'3) Release_Label'!$E:$E,1,0))),vlookup($A531&amp;$B531,{'3) Release_Label'!$D:$D&amp;'3) Release_Label'!$E:$E,'3) Release_Label'!$F:$F},2,0),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D531" s="121" t="str">
        <f t="array" ref="D531">ifs(and(isblank($A531),isblank($B531)),"", not(iserror(vlookup($A531&amp;$B531,'3) Release_Label'!$D:$D&amp;'3) Release_Label'!$E:$E,1,0))),vlookup($A531&amp;$B531,{'3) Release_Label'!$D:$D&amp;'3) Release_Label'!$E:$E,'3) Release_Label'!$H:$H},2,0),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E531" s="92"/>
      <c r="F531" s="92"/>
      <c r="G531" s="125" t="str">
        <f t="array" ref="G531">ifs(or($F531="",$F531="Main Primary Artist"),$F531,not(iserror(vlookup($F531,'Reference info'!$J$5:$J$8,1,0))),"Key Artist",not(iserror(vlookup($F531,'Reference info'!$J$38:$J$405,1,0))),"Performer",not(iserror(vlookup($F531,'Reference info'!$J$10:$J$36,1,0))),"Producer &amp; Engineer")</f>
        <v/>
      </c>
    </row>
    <row r="532">
      <c r="A532" s="28"/>
      <c r="B532" s="97"/>
      <c r="C532" s="121" t="str">
        <f t="array" ref="C532">ifs(and(isblank($A532),isblank($B532)),"", not(iserror(vlookup($A532&amp;$B532,'3) Release_Label'!$D:$D&amp;'3) Release_Label'!$E:$E,1,0))),vlookup($A532&amp;$B532,{'3) Release_Label'!$D:$D&amp;'3) Release_Label'!$E:$E,'3) Release_Label'!$F:$F},2,0),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D532" s="121" t="str">
        <f t="array" ref="D532">ifs(and(isblank($A532),isblank($B532)),"", not(iserror(vlookup($A532&amp;$B532,'3) Release_Label'!$D:$D&amp;'3) Release_Label'!$E:$E,1,0))),vlookup($A532&amp;$B532,{'3) Release_Label'!$D:$D&amp;'3) Release_Label'!$E:$E,'3) Release_Label'!$H:$H},2,0),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E532" s="92"/>
      <c r="F532" s="92"/>
      <c r="G532" s="125" t="str">
        <f t="array" ref="G532">ifs(or($F532="",$F532="Main Primary Artist"),$F532,not(iserror(vlookup($F532,'Reference info'!$J$5:$J$8,1,0))),"Key Artist",not(iserror(vlookup($F532,'Reference info'!$J$38:$J$405,1,0))),"Performer",not(iserror(vlookup($F532,'Reference info'!$J$10:$J$36,1,0))),"Producer &amp; Engineer")</f>
        <v/>
      </c>
    </row>
    <row r="533">
      <c r="A533" s="28"/>
      <c r="B533" s="97"/>
      <c r="C533" s="121" t="str">
        <f t="array" ref="C533">ifs(and(isblank($A533),isblank($B533)),"", not(iserror(vlookup($A533&amp;$B533,'3) Release_Label'!$D:$D&amp;'3) Release_Label'!$E:$E,1,0))),vlookup($A533&amp;$B533,{'3) Release_Label'!$D:$D&amp;'3) Release_Label'!$E:$E,'3) Release_Label'!$F:$F},2,0),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D533" s="121" t="str">
        <f t="array" ref="D533">ifs(and(isblank($A533),isblank($B533)),"", not(iserror(vlookup($A533&amp;$B533,'3) Release_Label'!$D:$D&amp;'3) Release_Label'!$E:$E,1,0))),vlookup($A533&amp;$B533,{'3) Release_Label'!$D:$D&amp;'3) Release_Label'!$E:$E,'3) Release_Label'!$H:$H},2,0),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E533" s="92"/>
      <c r="F533" s="92"/>
      <c r="G533" s="125" t="str">
        <f t="array" ref="G533">ifs(or($F533="",$F533="Main Primary Artist"),$F533,not(iserror(vlookup($F533,'Reference info'!$J$5:$J$8,1,0))),"Key Artist",not(iserror(vlookup($F533,'Reference info'!$J$38:$J$405,1,0))),"Performer",not(iserror(vlookup($F533,'Reference info'!$J$10:$J$36,1,0))),"Producer &amp; Engineer")</f>
        <v/>
      </c>
    </row>
    <row r="534">
      <c r="A534" s="28"/>
      <c r="B534" s="97"/>
      <c r="C534" s="121" t="str">
        <f t="array" ref="C534">ifs(and(isblank($A534),isblank($B534)),"", not(iserror(vlookup($A534&amp;$B534,'3) Release_Label'!$D:$D&amp;'3) Release_Label'!$E:$E,1,0))),vlookup($A534&amp;$B534,{'3) Release_Label'!$D:$D&amp;'3) Release_Label'!$E:$E,'3) Release_Label'!$F:$F},2,0),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D534" s="121" t="str">
        <f t="array" ref="D534">ifs(and(isblank($A534),isblank($B534)),"", not(iserror(vlookup($A534&amp;$B534,'3) Release_Label'!$D:$D&amp;'3) Release_Label'!$E:$E,1,0))),vlookup($A534&amp;$B534,{'3) Release_Label'!$D:$D&amp;'3) Release_Label'!$E:$E,'3) Release_Label'!$H:$H},2,0),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E534" s="92"/>
      <c r="F534" s="92"/>
      <c r="G534" s="125" t="str">
        <f t="array" ref="G534">ifs(or($F534="",$F534="Main Primary Artist"),$F534,not(iserror(vlookup($F534,'Reference info'!$J$5:$J$8,1,0))),"Key Artist",not(iserror(vlookup($F534,'Reference info'!$J$38:$J$405,1,0))),"Performer",not(iserror(vlookup($F534,'Reference info'!$J$10:$J$36,1,0))),"Producer &amp; Engineer")</f>
        <v/>
      </c>
    </row>
    <row r="535">
      <c r="A535" s="28"/>
      <c r="B535" s="97"/>
      <c r="C535" s="121" t="str">
        <f t="array" ref="C535">ifs(and(isblank($A535),isblank($B535)),"", not(iserror(vlookup($A535&amp;$B535,'3) Release_Label'!$D:$D&amp;'3) Release_Label'!$E:$E,1,0))),vlookup($A535&amp;$B535,{'3) Release_Label'!$D:$D&amp;'3) Release_Label'!$E:$E,'3) Release_Label'!$F:$F},2,0),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D535" s="121" t="str">
        <f t="array" ref="D535">ifs(and(isblank($A535),isblank($B535)),"", not(iserror(vlookup($A535&amp;$B535,'3) Release_Label'!$D:$D&amp;'3) Release_Label'!$E:$E,1,0))),vlookup($A535&amp;$B535,{'3) Release_Label'!$D:$D&amp;'3) Release_Label'!$E:$E,'3) Release_Label'!$H:$H},2,0),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E535" s="92"/>
      <c r="F535" s="92"/>
      <c r="G535" s="125" t="str">
        <f t="array" ref="G535">ifs(or($F535="",$F535="Main Primary Artist"),$F535,not(iserror(vlookup($F535,'Reference info'!$J$5:$J$8,1,0))),"Key Artist",not(iserror(vlookup($F535,'Reference info'!$J$38:$J$405,1,0))),"Performer",not(iserror(vlookup($F535,'Reference info'!$J$10:$J$36,1,0))),"Producer &amp; Engineer")</f>
        <v/>
      </c>
    </row>
    <row r="536">
      <c r="A536" s="28"/>
      <c r="B536" s="97"/>
      <c r="C536" s="121" t="str">
        <f t="array" ref="C536">ifs(and(isblank($A536),isblank($B536)),"", not(iserror(vlookup($A536&amp;$B536,'3) Release_Label'!$D:$D&amp;'3) Release_Label'!$E:$E,1,0))),vlookup($A536&amp;$B536,{'3) Release_Label'!$D:$D&amp;'3) Release_Label'!$E:$E,'3) Release_Label'!$F:$F},2,0),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D536" s="121" t="str">
        <f t="array" ref="D536">ifs(and(isblank($A536),isblank($B536)),"", not(iserror(vlookup($A536&amp;$B536,'3) Release_Label'!$D:$D&amp;'3) Release_Label'!$E:$E,1,0))),vlookup($A536&amp;$B536,{'3) Release_Label'!$D:$D&amp;'3) Release_Label'!$E:$E,'3) Release_Label'!$H:$H},2,0),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E536" s="92"/>
      <c r="F536" s="92"/>
      <c r="G536" s="125" t="str">
        <f t="array" ref="G536">ifs(or($F536="",$F536="Main Primary Artist"),$F536,not(iserror(vlookup($F536,'Reference info'!$J$5:$J$8,1,0))),"Key Artist",not(iserror(vlookup($F536,'Reference info'!$J$38:$J$405,1,0))),"Performer",not(iserror(vlookup($F536,'Reference info'!$J$10:$J$36,1,0))),"Producer &amp; Engineer")</f>
        <v/>
      </c>
    </row>
    <row r="537">
      <c r="A537" s="28"/>
      <c r="B537" s="97"/>
      <c r="C537" s="121" t="str">
        <f t="array" ref="C537">ifs(and(isblank($A537),isblank($B537)),"", not(iserror(vlookup($A537&amp;$B537,'3) Release_Label'!$D:$D&amp;'3) Release_Label'!$E:$E,1,0))),vlookup($A537&amp;$B537,{'3) Release_Label'!$D:$D&amp;'3) Release_Label'!$E:$E,'3) Release_Label'!$F:$F},2,0),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D537" s="121" t="str">
        <f t="array" ref="D537">ifs(and(isblank($A537),isblank($B537)),"", not(iserror(vlookup($A537&amp;$B537,'3) Release_Label'!$D:$D&amp;'3) Release_Label'!$E:$E,1,0))),vlookup($A537&amp;$B537,{'3) Release_Label'!$D:$D&amp;'3) Release_Label'!$E:$E,'3) Release_Label'!$H:$H},2,0),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E537" s="92"/>
      <c r="F537" s="92"/>
      <c r="G537" s="125" t="str">
        <f t="array" ref="G537">ifs(or($F537="",$F537="Main Primary Artist"),$F537,not(iserror(vlookup($F537,'Reference info'!$J$5:$J$8,1,0))),"Key Artist",not(iserror(vlookup($F537,'Reference info'!$J$38:$J$405,1,0))),"Performer",not(iserror(vlookup($F537,'Reference info'!$J$10:$J$36,1,0))),"Producer &amp; Engineer")</f>
        <v/>
      </c>
    </row>
    <row r="538">
      <c r="A538" s="28"/>
      <c r="B538" s="97"/>
      <c r="C538" s="121" t="str">
        <f t="array" ref="C538">ifs(and(isblank($A538),isblank($B538)),"", not(iserror(vlookup($A538&amp;$B538,'3) Release_Label'!$D:$D&amp;'3) Release_Label'!$E:$E,1,0))),vlookup($A538&amp;$B538,{'3) Release_Label'!$D:$D&amp;'3) Release_Label'!$E:$E,'3) Release_Label'!$F:$F},2,0),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D538" s="121" t="str">
        <f t="array" ref="D538">ifs(and(isblank($A538),isblank($B538)),"", not(iserror(vlookup($A538&amp;$B538,'3) Release_Label'!$D:$D&amp;'3) Release_Label'!$E:$E,1,0))),vlookup($A538&amp;$B538,{'3) Release_Label'!$D:$D&amp;'3) Release_Label'!$E:$E,'3) Release_Label'!$H:$H},2,0),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E538" s="92"/>
      <c r="F538" s="92"/>
      <c r="G538" s="125" t="str">
        <f t="array" ref="G538">ifs(or($F538="",$F538="Main Primary Artist"),$F538,not(iserror(vlookup($F538,'Reference info'!$J$5:$J$8,1,0))),"Key Artist",not(iserror(vlookup($F538,'Reference info'!$J$38:$J$405,1,0))),"Performer",not(iserror(vlookup($F538,'Reference info'!$J$10:$J$36,1,0))),"Producer &amp; Engineer")</f>
        <v/>
      </c>
    </row>
    <row r="539">
      <c r="A539" s="28"/>
      <c r="B539" s="97"/>
      <c r="C539" s="121" t="str">
        <f t="array" ref="C539">ifs(and(isblank($A539),isblank($B539)),"", not(iserror(vlookup($A539&amp;$B539,'3) Release_Label'!$D:$D&amp;'3) Release_Label'!$E:$E,1,0))),vlookup($A539&amp;$B539,{'3) Release_Label'!$D:$D&amp;'3) Release_Label'!$E:$E,'3) Release_Label'!$F:$F},2,0),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D539" s="121" t="str">
        <f t="array" ref="D539">ifs(and(isblank($A539),isblank($B539)),"", not(iserror(vlookup($A539&amp;$B539,'3) Release_Label'!$D:$D&amp;'3) Release_Label'!$E:$E,1,0))),vlookup($A539&amp;$B539,{'3) Release_Label'!$D:$D&amp;'3) Release_Label'!$E:$E,'3) Release_Label'!$H:$H},2,0),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E539" s="92"/>
      <c r="F539" s="92"/>
      <c r="G539" s="125" t="str">
        <f t="array" ref="G539">ifs(or($F539="",$F539="Main Primary Artist"),$F539,not(iserror(vlookup($F539,'Reference info'!$J$5:$J$8,1,0))),"Key Artist",not(iserror(vlookup($F539,'Reference info'!$J$38:$J$405,1,0))),"Performer",not(iserror(vlookup($F539,'Reference info'!$J$10:$J$36,1,0))),"Producer &amp; Engineer")</f>
        <v/>
      </c>
    </row>
    <row r="540">
      <c r="A540" s="28"/>
      <c r="B540" s="97"/>
      <c r="C540" s="121" t="str">
        <f t="array" ref="C540">ifs(and(isblank($A540),isblank($B540)),"", not(iserror(vlookup($A540&amp;$B540,'3) Release_Label'!$D:$D&amp;'3) Release_Label'!$E:$E,1,0))),vlookup($A540&amp;$B540,{'3) Release_Label'!$D:$D&amp;'3) Release_Label'!$E:$E,'3) Release_Label'!$F:$F},2,0),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D540" s="121" t="str">
        <f t="array" ref="D540">ifs(and(isblank($A540),isblank($B540)),"", not(iserror(vlookup($A540&amp;$B540,'3) Release_Label'!$D:$D&amp;'3) Release_Label'!$E:$E,1,0))),vlookup($A540&amp;$B540,{'3) Release_Label'!$D:$D&amp;'3) Release_Label'!$E:$E,'3) Release_Label'!$H:$H},2,0),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E540" s="92"/>
      <c r="F540" s="92"/>
      <c r="G540" s="125" t="str">
        <f t="array" ref="G540">ifs(or($F540="",$F540="Main Primary Artist"),$F540,not(iserror(vlookup($F540,'Reference info'!$J$5:$J$8,1,0))),"Key Artist",not(iserror(vlookup($F540,'Reference info'!$J$38:$J$405,1,0))),"Performer",not(iserror(vlookup($F540,'Reference info'!$J$10:$J$36,1,0))),"Producer &amp; Engineer")</f>
        <v/>
      </c>
    </row>
    <row r="541">
      <c r="A541" s="28"/>
      <c r="B541" s="97"/>
      <c r="C541" s="121" t="str">
        <f t="array" ref="C541">ifs(and(isblank($A541),isblank($B541)),"", not(iserror(vlookup($A541&amp;$B541,'3) Release_Label'!$D:$D&amp;'3) Release_Label'!$E:$E,1,0))),vlookup($A541&amp;$B541,{'3) Release_Label'!$D:$D&amp;'3) Release_Label'!$E:$E,'3) Release_Label'!$F:$F},2,0),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D541" s="121" t="str">
        <f t="array" ref="D541">ifs(and(isblank($A541),isblank($B541)),"", not(iserror(vlookup($A541&amp;$B541,'3) Release_Label'!$D:$D&amp;'3) Release_Label'!$E:$E,1,0))),vlookup($A541&amp;$B541,{'3) Release_Label'!$D:$D&amp;'3) Release_Label'!$E:$E,'3) Release_Label'!$H:$H},2,0),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E541" s="92"/>
      <c r="F541" s="92"/>
      <c r="G541" s="125" t="str">
        <f t="array" ref="G541">ifs(or($F541="",$F541="Main Primary Artist"),$F541,not(iserror(vlookup($F541,'Reference info'!$J$5:$J$8,1,0))),"Key Artist",not(iserror(vlookup($F541,'Reference info'!$J$38:$J$405,1,0))),"Performer",not(iserror(vlookup($F541,'Reference info'!$J$10:$J$36,1,0))),"Producer &amp; Engineer")</f>
        <v/>
      </c>
    </row>
    <row r="542">
      <c r="A542" s="28"/>
      <c r="B542" s="97"/>
      <c r="C542" s="121" t="str">
        <f t="array" ref="C542">ifs(and(isblank($A542),isblank($B542)),"", not(iserror(vlookup($A542&amp;$B542,'3) Release_Label'!$D:$D&amp;'3) Release_Label'!$E:$E,1,0))),vlookup($A542&amp;$B542,{'3) Release_Label'!$D:$D&amp;'3) Release_Label'!$E:$E,'3) Release_Label'!$F:$F},2,0),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D542" s="121" t="str">
        <f t="array" ref="D542">ifs(and(isblank($A542),isblank($B542)),"", not(iserror(vlookup($A542&amp;$B542,'3) Release_Label'!$D:$D&amp;'3) Release_Label'!$E:$E,1,0))),vlookup($A542&amp;$B542,{'3) Release_Label'!$D:$D&amp;'3) Release_Label'!$E:$E,'3) Release_Label'!$H:$H},2,0),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E542" s="92"/>
      <c r="F542" s="92"/>
      <c r="G542" s="125" t="str">
        <f t="array" ref="G542">ifs(or($F542="",$F542="Main Primary Artist"),$F542,not(iserror(vlookup($F542,'Reference info'!$J$5:$J$8,1,0))),"Key Artist",not(iserror(vlookup($F542,'Reference info'!$J$38:$J$405,1,0))),"Performer",not(iserror(vlookup($F542,'Reference info'!$J$10:$J$36,1,0))),"Producer &amp; Engineer")</f>
        <v/>
      </c>
    </row>
    <row r="543">
      <c r="A543" s="28"/>
      <c r="B543" s="97"/>
      <c r="C543" s="121" t="str">
        <f t="array" ref="C543">ifs(and(isblank($A543),isblank($B543)),"", not(iserror(vlookup($A543&amp;$B543,'3) Release_Label'!$D:$D&amp;'3) Release_Label'!$E:$E,1,0))),vlookup($A543&amp;$B543,{'3) Release_Label'!$D:$D&amp;'3) Release_Label'!$E:$E,'3) Release_Label'!$F:$F},2,0),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D543" s="121" t="str">
        <f t="array" ref="D543">ifs(and(isblank($A543),isblank($B543)),"", not(iserror(vlookup($A543&amp;$B543,'3) Release_Label'!$D:$D&amp;'3) Release_Label'!$E:$E,1,0))),vlookup($A543&amp;$B543,{'3) Release_Label'!$D:$D&amp;'3) Release_Label'!$E:$E,'3) Release_Label'!$H:$H},2,0),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E543" s="92"/>
      <c r="F543" s="92"/>
      <c r="G543" s="125" t="str">
        <f t="array" ref="G543">ifs(or($F543="",$F543="Main Primary Artist"),$F543,not(iserror(vlookup($F543,'Reference info'!$J$5:$J$8,1,0))),"Key Artist",not(iserror(vlookup($F543,'Reference info'!$J$38:$J$405,1,0))),"Performer",not(iserror(vlookup($F543,'Reference info'!$J$10:$J$36,1,0))),"Producer &amp; Engineer")</f>
        <v/>
      </c>
    </row>
    <row r="544">
      <c r="A544" s="28"/>
      <c r="B544" s="97"/>
      <c r="C544" s="121" t="str">
        <f t="array" ref="C544">ifs(and(isblank($A544),isblank($B544)),"", not(iserror(vlookup($A544&amp;$B544,'3) Release_Label'!$D:$D&amp;'3) Release_Label'!$E:$E,1,0))),vlookup($A544&amp;$B544,{'3) Release_Label'!$D:$D&amp;'3) Release_Label'!$E:$E,'3) Release_Label'!$F:$F},2,0),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D544" s="121" t="str">
        <f t="array" ref="D544">ifs(and(isblank($A544),isblank($B544)),"", not(iserror(vlookup($A544&amp;$B544,'3) Release_Label'!$D:$D&amp;'3) Release_Label'!$E:$E,1,0))),vlookup($A544&amp;$B544,{'3) Release_Label'!$D:$D&amp;'3) Release_Label'!$E:$E,'3) Release_Label'!$H:$H},2,0),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E544" s="92"/>
      <c r="F544" s="92"/>
      <c r="G544" s="125" t="str">
        <f t="array" ref="G544">ifs(or($F544="",$F544="Main Primary Artist"),$F544,not(iserror(vlookup($F544,'Reference info'!$J$5:$J$8,1,0))),"Key Artist",not(iserror(vlookup($F544,'Reference info'!$J$38:$J$405,1,0))),"Performer",not(iserror(vlookup($F544,'Reference info'!$J$10:$J$36,1,0))),"Producer &amp; Engineer")</f>
        <v/>
      </c>
    </row>
    <row r="545">
      <c r="A545" s="28"/>
      <c r="B545" s="97"/>
      <c r="C545" s="121" t="str">
        <f t="array" ref="C545">ifs(and(isblank($A545),isblank($B545)),"", not(iserror(vlookup($A545&amp;$B545,'3) Release_Label'!$D:$D&amp;'3) Release_Label'!$E:$E,1,0))),vlookup($A545&amp;$B545,{'3) Release_Label'!$D:$D&amp;'3) Release_Label'!$E:$E,'3) Release_Label'!$F:$F},2,0),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D545" s="121" t="str">
        <f t="array" ref="D545">ifs(and(isblank($A545),isblank($B545)),"", not(iserror(vlookup($A545&amp;$B545,'3) Release_Label'!$D:$D&amp;'3) Release_Label'!$E:$E,1,0))),vlookup($A545&amp;$B545,{'3) Release_Label'!$D:$D&amp;'3) Release_Label'!$E:$E,'3) Release_Label'!$H:$H},2,0),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E545" s="92"/>
      <c r="F545" s="92"/>
      <c r="G545" s="125" t="str">
        <f t="array" ref="G545">ifs(or($F545="",$F545="Main Primary Artist"),$F545,not(iserror(vlookup($F545,'Reference info'!$J$5:$J$8,1,0))),"Key Artist",not(iserror(vlookup($F545,'Reference info'!$J$38:$J$405,1,0))),"Performer",not(iserror(vlookup($F545,'Reference info'!$J$10:$J$36,1,0))),"Producer &amp; Engineer")</f>
        <v/>
      </c>
    </row>
    <row r="546">
      <c r="A546" s="28"/>
      <c r="B546" s="97"/>
      <c r="C546" s="121" t="str">
        <f t="array" ref="C546">ifs(and(isblank($A546),isblank($B546)),"", not(iserror(vlookup($A546&amp;$B546,'3) Release_Label'!$D:$D&amp;'3) Release_Label'!$E:$E,1,0))),vlookup($A546&amp;$B546,{'3) Release_Label'!$D:$D&amp;'3) Release_Label'!$E:$E,'3) Release_Label'!$F:$F},2,0),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D546" s="121" t="str">
        <f t="array" ref="D546">ifs(and(isblank($A546),isblank($B546)),"", not(iserror(vlookup($A546&amp;$B546,'3) Release_Label'!$D:$D&amp;'3) Release_Label'!$E:$E,1,0))),vlookup($A546&amp;$B546,{'3) Release_Label'!$D:$D&amp;'3) Release_Label'!$E:$E,'3) Release_Label'!$H:$H},2,0),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E546" s="92"/>
      <c r="F546" s="92"/>
      <c r="G546" s="125" t="str">
        <f t="array" ref="G546">ifs(or($F546="",$F546="Main Primary Artist"),$F546,not(iserror(vlookup($F546,'Reference info'!$J$5:$J$8,1,0))),"Key Artist",not(iserror(vlookup($F546,'Reference info'!$J$38:$J$405,1,0))),"Performer",not(iserror(vlookup($F546,'Reference info'!$J$10:$J$36,1,0))),"Producer &amp; Engineer")</f>
        <v/>
      </c>
    </row>
    <row r="547">
      <c r="A547" s="28"/>
      <c r="B547" s="97"/>
      <c r="C547" s="121" t="str">
        <f t="array" ref="C547">ifs(and(isblank($A547),isblank($B547)),"", not(iserror(vlookup($A547&amp;$B547,'3) Release_Label'!$D:$D&amp;'3) Release_Label'!$E:$E,1,0))),vlookup($A547&amp;$B547,{'3) Release_Label'!$D:$D&amp;'3) Release_Label'!$E:$E,'3) Release_Label'!$F:$F},2,0),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D547" s="121" t="str">
        <f t="array" ref="D547">ifs(and(isblank($A547),isblank($B547)),"", not(iserror(vlookup($A547&amp;$B547,'3) Release_Label'!$D:$D&amp;'3) Release_Label'!$E:$E,1,0))),vlookup($A547&amp;$B547,{'3) Release_Label'!$D:$D&amp;'3) Release_Label'!$E:$E,'3) Release_Label'!$H:$H},2,0),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E547" s="92"/>
      <c r="F547" s="92"/>
      <c r="G547" s="125" t="str">
        <f t="array" ref="G547">ifs(or($F547="",$F547="Main Primary Artist"),$F547,not(iserror(vlookup($F547,'Reference info'!$J$5:$J$8,1,0))),"Key Artist",not(iserror(vlookup($F547,'Reference info'!$J$38:$J$405,1,0))),"Performer",not(iserror(vlookup($F547,'Reference info'!$J$10:$J$36,1,0))),"Producer &amp; Engineer")</f>
        <v/>
      </c>
    </row>
    <row r="548">
      <c r="A548" s="28"/>
      <c r="B548" s="97"/>
      <c r="C548" s="121" t="str">
        <f t="array" ref="C548">ifs(and(isblank($A548),isblank($B548)),"", not(iserror(vlookup($A548&amp;$B548,'3) Release_Label'!$D:$D&amp;'3) Release_Label'!$E:$E,1,0))),vlookup($A548&amp;$B548,{'3) Release_Label'!$D:$D&amp;'3) Release_Label'!$E:$E,'3) Release_Label'!$F:$F},2,0),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D548" s="121" t="str">
        <f t="array" ref="D548">ifs(and(isblank($A548),isblank($B548)),"", not(iserror(vlookup($A548&amp;$B548,'3) Release_Label'!$D:$D&amp;'3) Release_Label'!$E:$E,1,0))),vlookup($A548&amp;$B548,{'3) Release_Label'!$D:$D&amp;'3) Release_Label'!$E:$E,'3) Release_Label'!$H:$H},2,0),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E548" s="92"/>
      <c r="F548" s="92"/>
      <c r="G548" s="125" t="str">
        <f t="array" ref="G548">ifs(or($F548="",$F548="Main Primary Artist"),$F548,not(iserror(vlookup($F548,'Reference info'!$J$5:$J$8,1,0))),"Key Artist",not(iserror(vlookup($F548,'Reference info'!$J$38:$J$405,1,0))),"Performer",not(iserror(vlookup($F548,'Reference info'!$J$10:$J$36,1,0))),"Producer &amp; Engineer")</f>
        <v/>
      </c>
    </row>
    <row r="549">
      <c r="A549" s="28"/>
      <c r="B549" s="97"/>
      <c r="C549" s="121" t="str">
        <f t="array" ref="C549">ifs(and(isblank($A549),isblank($B549)),"", not(iserror(vlookup($A549&amp;$B549,'3) Release_Label'!$D:$D&amp;'3) Release_Label'!$E:$E,1,0))),vlookup($A549&amp;$B549,{'3) Release_Label'!$D:$D&amp;'3) Release_Label'!$E:$E,'3) Release_Label'!$F:$F},2,0),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D549" s="121" t="str">
        <f t="array" ref="D549">ifs(and(isblank($A549),isblank($B549)),"", not(iserror(vlookup($A549&amp;$B549,'3) Release_Label'!$D:$D&amp;'3) Release_Label'!$E:$E,1,0))),vlookup($A549&amp;$B549,{'3) Release_Label'!$D:$D&amp;'3) Release_Label'!$E:$E,'3) Release_Label'!$H:$H},2,0),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E549" s="92"/>
      <c r="F549" s="92"/>
      <c r="G549" s="125" t="str">
        <f t="array" ref="G549">ifs(or($F549="",$F549="Main Primary Artist"),$F549,not(iserror(vlookup($F549,'Reference info'!$J$5:$J$8,1,0))),"Key Artist",not(iserror(vlookup($F549,'Reference info'!$J$38:$J$405,1,0))),"Performer",not(iserror(vlookup($F549,'Reference info'!$J$10:$J$36,1,0))),"Producer &amp; Engineer")</f>
        <v/>
      </c>
    </row>
    <row r="550">
      <c r="A550" s="28"/>
      <c r="B550" s="97"/>
      <c r="C550" s="121" t="str">
        <f t="array" ref="C550">ifs(and(isblank($A550),isblank($B550)),"", not(iserror(vlookup($A550&amp;$B550,'3) Release_Label'!$D:$D&amp;'3) Release_Label'!$E:$E,1,0))),vlookup($A550&amp;$B550,{'3) Release_Label'!$D:$D&amp;'3) Release_Label'!$E:$E,'3) Release_Label'!$F:$F},2,0),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D550" s="121" t="str">
        <f t="array" ref="D550">ifs(and(isblank($A550),isblank($B550)),"", not(iserror(vlookup($A550&amp;$B550,'3) Release_Label'!$D:$D&amp;'3) Release_Label'!$E:$E,1,0))),vlookup($A550&amp;$B550,{'3) Release_Label'!$D:$D&amp;'3) Release_Label'!$E:$E,'3) Release_Label'!$H:$H},2,0),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E550" s="92"/>
      <c r="F550" s="92"/>
      <c r="G550" s="125" t="str">
        <f t="array" ref="G550">ifs(or($F550="",$F550="Main Primary Artist"),$F550,not(iserror(vlookup($F550,'Reference info'!$J$5:$J$8,1,0))),"Key Artist",not(iserror(vlookup($F550,'Reference info'!$J$38:$J$405,1,0))),"Performer",not(iserror(vlookup($F550,'Reference info'!$J$10:$J$36,1,0))),"Producer &amp; Engineer")</f>
        <v/>
      </c>
    </row>
    <row r="551">
      <c r="A551" s="28"/>
      <c r="B551" s="97"/>
      <c r="C551" s="121" t="str">
        <f t="array" ref="C551">ifs(and(isblank($A551),isblank($B551)),"", not(iserror(vlookup($A551&amp;$B551,'3) Release_Label'!$D:$D&amp;'3) Release_Label'!$E:$E,1,0))),vlookup($A551&amp;$B551,{'3) Release_Label'!$D:$D&amp;'3) Release_Label'!$E:$E,'3) Release_Label'!$F:$F},2,0),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D551" s="121" t="str">
        <f t="array" ref="D551">ifs(and(isblank($A551),isblank($B551)),"", not(iserror(vlookup($A551&amp;$B551,'3) Release_Label'!$D:$D&amp;'3) Release_Label'!$E:$E,1,0))),vlookup($A551&amp;$B551,{'3) Release_Label'!$D:$D&amp;'3) Release_Label'!$E:$E,'3) Release_Label'!$H:$H},2,0),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E551" s="92"/>
      <c r="F551" s="92"/>
      <c r="G551" s="125" t="str">
        <f t="array" ref="G551">ifs(or($F551="",$F551="Main Primary Artist"),$F551,not(iserror(vlookup($F551,'Reference info'!$J$5:$J$8,1,0))),"Key Artist",not(iserror(vlookup($F551,'Reference info'!$J$38:$J$405,1,0))),"Performer",not(iserror(vlookup($F551,'Reference info'!$J$10:$J$36,1,0))),"Producer &amp; Engineer")</f>
        <v/>
      </c>
    </row>
    <row r="552">
      <c r="A552" s="28"/>
      <c r="B552" s="97"/>
      <c r="C552" s="121" t="str">
        <f t="array" ref="C552">ifs(and(isblank($A552),isblank($B552)),"", not(iserror(vlookup($A552&amp;$B552,'3) Release_Label'!$D:$D&amp;'3) Release_Label'!$E:$E,1,0))),vlookup($A552&amp;$B552,{'3) Release_Label'!$D:$D&amp;'3) Release_Label'!$E:$E,'3) Release_Label'!$F:$F},2,0),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D552" s="121" t="str">
        <f t="array" ref="D552">ifs(and(isblank($A552),isblank($B552)),"", not(iserror(vlookup($A552&amp;$B552,'3) Release_Label'!$D:$D&amp;'3) Release_Label'!$E:$E,1,0))),vlookup($A552&amp;$B552,{'3) Release_Label'!$D:$D&amp;'3) Release_Label'!$E:$E,'3) Release_Label'!$H:$H},2,0),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E552" s="92"/>
      <c r="F552" s="92"/>
      <c r="G552" s="125" t="str">
        <f t="array" ref="G552">ifs(or($F552="",$F552="Main Primary Artist"),$F552,not(iserror(vlookup($F552,'Reference info'!$J$5:$J$8,1,0))),"Key Artist",not(iserror(vlookup($F552,'Reference info'!$J$38:$J$405,1,0))),"Performer",not(iserror(vlookup($F552,'Reference info'!$J$10:$J$36,1,0))),"Producer &amp; Engineer")</f>
        <v/>
      </c>
    </row>
    <row r="553">
      <c r="A553" s="28"/>
      <c r="B553" s="97"/>
      <c r="C553" s="121" t="str">
        <f t="array" ref="C553">ifs(and(isblank($A553),isblank($B553)),"", not(iserror(vlookup($A553&amp;$B553,'3) Release_Label'!$D:$D&amp;'3) Release_Label'!$E:$E,1,0))),vlookup($A553&amp;$B553,{'3) Release_Label'!$D:$D&amp;'3) Release_Label'!$E:$E,'3) Release_Label'!$F:$F},2,0),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D553" s="121" t="str">
        <f t="array" ref="D553">ifs(and(isblank($A553),isblank($B553)),"", not(iserror(vlookup($A553&amp;$B553,'3) Release_Label'!$D:$D&amp;'3) Release_Label'!$E:$E,1,0))),vlookup($A553&amp;$B553,{'3) Release_Label'!$D:$D&amp;'3) Release_Label'!$E:$E,'3) Release_Label'!$H:$H},2,0),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E553" s="92"/>
      <c r="F553" s="92"/>
      <c r="G553" s="125" t="str">
        <f t="array" ref="G553">ifs(or($F553="",$F553="Main Primary Artist"),$F553,not(iserror(vlookup($F553,'Reference info'!$J$5:$J$8,1,0))),"Key Artist",not(iserror(vlookup($F553,'Reference info'!$J$38:$J$405,1,0))),"Performer",not(iserror(vlookup($F553,'Reference info'!$J$10:$J$36,1,0))),"Producer &amp; Engineer")</f>
        <v/>
      </c>
    </row>
    <row r="554">
      <c r="A554" s="28"/>
      <c r="B554" s="97"/>
      <c r="C554" s="121" t="str">
        <f t="array" ref="C554">ifs(and(isblank($A554),isblank($B554)),"", not(iserror(vlookup($A554&amp;$B554,'3) Release_Label'!$D:$D&amp;'3) Release_Label'!$E:$E,1,0))),vlookup($A554&amp;$B554,{'3) Release_Label'!$D:$D&amp;'3) Release_Label'!$E:$E,'3) Release_Label'!$F:$F},2,0),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D554" s="121" t="str">
        <f t="array" ref="D554">ifs(and(isblank($A554),isblank($B554)),"", not(iserror(vlookup($A554&amp;$B554,'3) Release_Label'!$D:$D&amp;'3) Release_Label'!$E:$E,1,0))),vlookup($A554&amp;$B554,{'3) Release_Label'!$D:$D&amp;'3) Release_Label'!$E:$E,'3) Release_Label'!$H:$H},2,0),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E554" s="92"/>
      <c r="F554" s="92"/>
      <c r="G554" s="125" t="str">
        <f t="array" ref="G554">ifs(or($F554="",$F554="Main Primary Artist"),$F554,not(iserror(vlookup($F554,'Reference info'!$J$5:$J$8,1,0))),"Key Artist",not(iserror(vlookup($F554,'Reference info'!$J$38:$J$405,1,0))),"Performer",not(iserror(vlookup($F554,'Reference info'!$J$10:$J$36,1,0))),"Producer &amp; Engineer")</f>
        <v/>
      </c>
    </row>
    <row r="555">
      <c r="A555" s="28"/>
      <c r="B555" s="97"/>
      <c r="C555" s="121" t="str">
        <f t="array" ref="C555">ifs(and(isblank($A555),isblank($B555)),"", not(iserror(vlookup($A555&amp;$B555,'3) Release_Label'!$D:$D&amp;'3) Release_Label'!$E:$E,1,0))),vlookup($A555&amp;$B555,{'3) Release_Label'!$D:$D&amp;'3) Release_Label'!$E:$E,'3) Release_Label'!$F:$F},2,0),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D555" s="121" t="str">
        <f t="array" ref="D555">ifs(and(isblank($A555),isblank($B555)),"", not(iserror(vlookup($A555&amp;$B555,'3) Release_Label'!$D:$D&amp;'3) Release_Label'!$E:$E,1,0))),vlookup($A555&amp;$B555,{'3) Release_Label'!$D:$D&amp;'3) Release_Label'!$E:$E,'3) Release_Label'!$H:$H},2,0),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E555" s="92"/>
      <c r="F555" s="92"/>
      <c r="G555" s="125" t="str">
        <f t="array" ref="G555">ifs(or($F555="",$F555="Main Primary Artist"),$F555,not(iserror(vlookup($F555,'Reference info'!$J$5:$J$8,1,0))),"Key Artist",not(iserror(vlookup($F555,'Reference info'!$J$38:$J$405,1,0))),"Performer",not(iserror(vlookup($F555,'Reference info'!$J$10:$J$36,1,0))),"Producer &amp; Engineer")</f>
        <v/>
      </c>
    </row>
    <row r="556">
      <c r="A556" s="28"/>
      <c r="B556" s="97"/>
      <c r="C556" s="121" t="str">
        <f t="array" ref="C556">ifs(and(isblank($A556),isblank($B556)),"", not(iserror(vlookup($A556&amp;$B556,'3) Release_Label'!$D:$D&amp;'3) Release_Label'!$E:$E,1,0))),vlookup($A556&amp;$B556,{'3) Release_Label'!$D:$D&amp;'3) Release_Label'!$E:$E,'3) Release_Label'!$F:$F},2,0),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D556" s="121" t="str">
        <f t="array" ref="D556">ifs(and(isblank($A556),isblank($B556)),"", not(iserror(vlookup($A556&amp;$B556,'3) Release_Label'!$D:$D&amp;'3) Release_Label'!$E:$E,1,0))),vlookup($A556&amp;$B556,{'3) Release_Label'!$D:$D&amp;'3) Release_Label'!$E:$E,'3) Release_Label'!$H:$H},2,0),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E556" s="92"/>
      <c r="F556" s="92"/>
      <c r="G556" s="125" t="str">
        <f t="array" ref="G556">ifs(or($F556="",$F556="Main Primary Artist"),$F556,not(iserror(vlookup($F556,'Reference info'!$J$5:$J$8,1,0))),"Key Artist",not(iserror(vlookup($F556,'Reference info'!$J$38:$J$405,1,0))),"Performer",not(iserror(vlookup($F556,'Reference info'!$J$10:$J$36,1,0))),"Producer &amp; Engineer")</f>
        <v/>
      </c>
    </row>
    <row r="557">
      <c r="A557" s="28"/>
      <c r="B557" s="97"/>
      <c r="C557" s="121" t="str">
        <f t="array" ref="C557">ifs(and(isblank($A557),isblank($B557)),"", not(iserror(vlookup($A557&amp;$B557,'3) Release_Label'!$D:$D&amp;'3) Release_Label'!$E:$E,1,0))),vlookup($A557&amp;$B557,{'3) Release_Label'!$D:$D&amp;'3) Release_Label'!$E:$E,'3) Release_Label'!$F:$F},2,0),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D557" s="121" t="str">
        <f t="array" ref="D557">ifs(and(isblank($A557),isblank($B557)),"", not(iserror(vlookup($A557&amp;$B557,'3) Release_Label'!$D:$D&amp;'3) Release_Label'!$E:$E,1,0))),vlookup($A557&amp;$B557,{'3) Release_Label'!$D:$D&amp;'3) Release_Label'!$E:$E,'3) Release_Label'!$H:$H},2,0),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E557" s="92"/>
      <c r="F557" s="92"/>
      <c r="G557" s="125" t="str">
        <f t="array" ref="G557">ifs(or($F557="",$F557="Main Primary Artist"),$F557,not(iserror(vlookup($F557,'Reference info'!$J$5:$J$8,1,0))),"Key Artist",not(iserror(vlookup($F557,'Reference info'!$J$38:$J$405,1,0))),"Performer",not(iserror(vlookup($F557,'Reference info'!$J$10:$J$36,1,0))),"Producer &amp; Engineer")</f>
        <v/>
      </c>
    </row>
    <row r="558">
      <c r="A558" s="28"/>
      <c r="B558" s="97"/>
      <c r="C558" s="121" t="str">
        <f t="array" ref="C558">ifs(and(isblank($A558),isblank($B558)),"", not(iserror(vlookup($A558&amp;$B558,'3) Release_Label'!$D:$D&amp;'3) Release_Label'!$E:$E,1,0))),vlookup($A558&amp;$B558,{'3) Release_Label'!$D:$D&amp;'3) Release_Label'!$E:$E,'3) Release_Label'!$F:$F},2,0),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D558" s="121" t="str">
        <f t="array" ref="D558">ifs(and(isblank($A558),isblank($B558)),"", not(iserror(vlookup($A558&amp;$B558,'3) Release_Label'!$D:$D&amp;'3) Release_Label'!$E:$E,1,0))),vlookup($A558&amp;$B558,{'3) Release_Label'!$D:$D&amp;'3) Release_Label'!$E:$E,'3) Release_Label'!$H:$H},2,0),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E558" s="92"/>
      <c r="F558" s="92"/>
      <c r="G558" s="125" t="str">
        <f t="array" ref="G558">ifs(or($F558="",$F558="Main Primary Artist"),$F558,not(iserror(vlookup($F558,'Reference info'!$J$5:$J$8,1,0))),"Key Artist",not(iserror(vlookup($F558,'Reference info'!$J$38:$J$405,1,0))),"Performer",not(iserror(vlookup($F558,'Reference info'!$J$10:$J$36,1,0))),"Producer &amp; Engineer")</f>
        <v/>
      </c>
    </row>
    <row r="559">
      <c r="A559" s="28"/>
      <c r="B559" s="97"/>
      <c r="C559" s="121" t="str">
        <f t="array" ref="C559">ifs(and(isblank($A559),isblank($B559)),"", not(iserror(vlookup($A559&amp;$B559,'3) Release_Label'!$D:$D&amp;'3) Release_Label'!$E:$E,1,0))),vlookup($A559&amp;$B559,{'3) Release_Label'!$D:$D&amp;'3) Release_Label'!$E:$E,'3) Release_Label'!$F:$F},2,0),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D559" s="121" t="str">
        <f t="array" ref="D559">ifs(and(isblank($A559),isblank($B559)),"", not(iserror(vlookup($A559&amp;$B559,'3) Release_Label'!$D:$D&amp;'3) Release_Label'!$E:$E,1,0))),vlookup($A559&amp;$B559,{'3) Release_Label'!$D:$D&amp;'3) Release_Label'!$E:$E,'3) Release_Label'!$H:$H},2,0),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E559" s="92"/>
      <c r="F559" s="92"/>
      <c r="G559" s="125" t="str">
        <f t="array" ref="G559">ifs(or($F559="",$F559="Main Primary Artist"),$F559,not(iserror(vlookup($F559,'Reference info'!$J$5:$J$8,1,0))),"Key Artist",not(iserror(vlookup($F559,'Reference info'!$J$38:$J$405,1,0))),"Performer",not(iserror(vlookup($F559,'Reference info'!$J$10:$J$36,1,0))),"Producer &amp; Engineer")</f>
        <v/>
      </c>
    </row>
    <row r="560">
      <c r="A560" s="28"/>
      <c r="B560" s="97"/>
      <c r="C560" s="121" t="str">
        <f t="array" ref="C560">ifs(and(isblank($A560),isblank($B560)),"", not(iserror(vlookup($A560&amp;$B560,'3) Release_Label'!$D:$D&amp;'3) Release_Label'!$E:$E,1,0))),vlookup($A560&amp;$B560,{'3) Release_Label'!$D:$D&amp;'3) Release_Label'!$E:$E,'3) Release_Label'!$F:$F},2,0),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D560" s="121" t="str">
        <f t="array" ref="D560">ifs(and(isblank($A560),isblank($B560)),"", not(iserror(vlookup($A560&amp;$B560,'3) Release_Label'!$D:$D&amp;'3) Release_Label'!$E:$E,1,0))),vlookup($A560&amp;$B560,{'3) Release_Label'!$D:$D&amp;'3) Release_Label'!$E:$E,'3) Release_Label'!$H:$H},2,0),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E560" s="92"/>
      <c r="F560" s="92"/>
      <c r="G560" s="125" t="str">
        <f t="array" ref="G560">ifs(or($F560="",$F560="Main Primary Artist"),$F560,not(iserror(vlookup($F560,'Reference info'!$J$5:$J$8,1,0))),"Key Artist",not(iserror(vlookup($F560,'Reference info'!$J$38:$J$405,1,0))),"Performer",not(iserror(vlookup($F560,'Reference info'!$J$10:$J$36,1,0))),"Producer &amp; Engineer")</f>
        <v/>
      </c>
    </row>
    <row r="561">
      <c r="A561" s="28"/>
      <c r="B561" s="97"/>
      <c r="C561" s="121" t="str">
        <f t="array" ref="C561">ifs(and(isblank($A561),isblank($B561)),"", not(iserror(vlookup($A561&amp;$B561,'3) Release_Label'!$D:$D&amp;'3) Release_Label'!$E:$E,1,0))),vlookup($A561&amp;$B561,{'3) Release_Label'!$D:$D&amp;'3) Release_Label'!$E:$E,'3) Release_Label'!$F:$F},2,0),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D561" s="121" t="str">
        <f t="array" ref="D561">ifs(and(isblank($A561),isblank($B561)),"", not(iserror(vlookup($A561&amp;$B561,'3) Release_Label'!$D:$D&amp;'3) Release_Label'!$E:$E,1,0))),vlookup($A561&amp;$B561,{'3) Release_Label'!$D:$D&amp;'3) Release_Label'!$E:$E,'3) Release_Label'!$H:$H},2,0),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E561" s="92"/>
      <c r="F561" s="92"/>
      <c r="G561" s="125" t="str">
        <f t="array" ref="G561">ifs(or($F561="",$F561="Main Primary Artist"),$F561,not(iserror(vlookup($F561,'Reference info'!$J$5:$J$8,1,0))),"Key Artist",not(iserror(vlookup($F561,'Reference info'!$J$38:$J$405,1,0))),"Performer",not(iserror(vlookup($F561,'Reference info'!$J$10:$J$36,1,0))),"Producer &amp; Engineer")</f>
        <v/>
      </c>
    </row>
    <row r="562">
      <c r="A562" s="28"/>
      <c r="B562" s="97"/>
      <c r="C562" s="121" t="str">
        <f t="array" ref="C562">ifs(and(isblank($A562),isblank($B562)),"", not(iserror(vlookup($A562&amp;$B562,'3) Release_Label'!$D:$D&amp;'3) Release_Label'!$E:$E,1,0))),vlookup($A562&amp;$B562,{'3) Release_Label'!$D:$D&amp;'3) Release_Label'!$E:$E,'3) Release_Label'!$F:$F},2,0),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D562" s="121" t="str">
        <f t="array" ref="D562">ifs(and(isblank($A562),isblank($B562)),"", not(iserror(vlookup($A562&amp;$B562,'3) Release_Label'!$D:$D&amp;'3) Release_Label'!$E:$E,1,0))),vlookup($A562&amp;$B562,{'3) Release_Label'!$D:$D&amp;'3) Release_Label'!$E:$E,'3) Release_Label'!$H:$H},2,0),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E562" s="92"/>
      <c r="F562" s="92"/>
      <c r="G562" s="125" t="str">
        <f t="array" ref="G562">ifs(or($F562="",$F562="Main Primary Artist"),$F562,not(iserror(vlookup($F562,'Reference info'!$J$5:$J$8,1,0))),"Key Artist",not(iserror(vlookup($F562,'Reference info'!$J$38:$J$405,1,0))),"Performer",not(iserror(vlookup($F562,'Reference info'!$J$10:$J$36,1,0))),"Producer &amp; Engineer")</f>
        <v/>
      </c>
    </row>
    <row r="563">
      <c r="A563" s="28"/>
      <c r="B563" s="97"/>
      <c r="C563" s="121" t="str">
        <f t="array" ref="C563">ifs(and(isblank($A563),isblank($B563)),"", not(iserror(vlookup($A563&amp;$B563,'3) Release_Label'!$D:$D&amp;'3) Release_Label'!$E:$E,1,0))),vlookup($A563&amp;$B563,{'3) Release_Label'!$D:$D&amp;'3) Release_Label'!$E:$E,'3) Release_Label'!$F:$F},2,0),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D563" s="121" t="str">
        <f t="array" ref="D563">ifs(and(isblank($A563),isblank($B563)),"", not(iserror(vlookup($A563&amp;$B563,'3) Release_Label'!$D:$D&amp;'3) Release_Label'!$E:$E,1,0))),vlookup($A563&amp;$B563,{'3) Release_Label'!$D:$D&amp;'3) Release_Label'!$E:$E,'3) Release_Label'!$H:$H},2,0),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E563" s="92"/>
      <c r="F563" s="92"/>
      <c r="G563" s="125" t="str">
        <f t="array" ref="G563">ifs(or($F563="",$F563="Main Primary Artist"),$F563,not(iserror(vlookup($F563,'Reference info'!$J$5:$J$8,1,0))),"Key Artist",not(iserror(vlookup($F563,'Reference info'!$J$38:$J$405,1,0))),"Performer",not(iserror(vlookup($F563,'Reference info'!$J$10:$J$36,1,0))),"Producer &amp; Engineer")</f>
        <v/>
      </c>
    </row>
    <row r="564">
      <c r="A564" s="28"/>
      <c r="B564" s="97"/>
      <c r="C564" s="121" t="str">
        <f t="array" ref="C564">ifs(and(isblank($A564),isblank($B564)),"", not(iserror(vlookup($A564&amp;$B564,'3) Release_Label'!$D:$D&amp;'3) Release_Label'!$E:$E,1,0))),vlookup($A564&amp;$B564,{'3) Release_Label'!$D:$D&amp;'3) Release_Label'!$E:$E,'3) Release_Label'!$F:$F},2,0),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D564" s="121" t="str">
        <f t="array" ref="D564">ifs(and(isblank($A564),isblank($B564)),"", not(iserror(vlookup($A564&amp;$B564,'3) Release_Label'!$D:$D&amp;'3) Release_Label'!$E:$E,1,0))),vlookup($A564&amp;$B564,{'3) Release_Label'!$D:$D&amp;'3) Release_Label'!$E:$E,'3) Release_Label'!$H:$H},2,0),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E564" s="92"/>
      <c r="F564" s="92"/>
      <c r="G564" s="125" t="str">
        <f t="array" ref="G564">ifs(or($F564="",$F564="Main Primary Artist"),$F564,not(iserror(vlookup($F564,'Reference info'!$J$5:$J$8,1,0))),"Key Artist",not(iserror(vlookup($F564,'Reference info'!$J$38:$J$405,1,0))),"Performer",not(iserror(vlookup($F564,'Reference info'!$J$10:$J$36,1,0))),"Producer &amp; Engineer")</f>
        <v/>
      </c>
    </row>
    <row r="565">
      <c r="A565" s="28"/>
      <c r="B565" s="97"/>
      <c r="C565" s="121" t="str">
        <f t="array" ref="C565">ifs(and(isblank($A565),isblank($B565)),"", not(iserror(vlookup($A565&amp;$B565,'3) Release_Label'!$D:$D&amp;'3) Release_Label'!$E:$E,1,0))),vlookup($A565&amp;$B565,{'3) Release_Label'!$D:$D&amp;'3) Release_Label'!$E:$E,'3) Release_Label'!$F:$F},2,0),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D565" s="121" t="str">
        <f t="array" ref="D565">ifs(and(isblank($A565),isblank($B565)),"", not(iserror(vlookup($A565&amp;$B565,'3) Release_Label'!$D:$D&amp;'3) Release_Label'!$E:$E,1,0))),vlookup($A565&amp;$B565,{'3) Release_Label'!$D:$D&amp;'3) Release_Label'!$E:$E,'3) Release_Label'!$H:$H},2,0),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E565" s="92"/>
      <c r="F565" s="92"/>
      <c r="G565" s="125" t="str">
        <f t="array" ref="G565">ifs(or($F565="",$F565="Main Primary Artist"),$F565,not(iserror(vlookup($F565,'Reference info'!$J$5:$J$8,1,0))),"Key Artist",not(iserror(vlookup($F565,'Reference info'!$J$38:$J$405,1,0))),"Performer",not(iserror(vlookup($F565,'Reference info'!$J$10:$J$36,1,0))),"Producer &amp; Engineer")</f>
        <v/>
      </c>
    </row>
    <row r="566">
      <c r="A566" s="28"/>
      <c r="B566" s="97"/>
      <c r="C566" s="121" t="str">
        <f t="array" ref="C566">ifs(and(isblank($A566),isblank($B566)),"", not(iserror(vlookup($A566&amp;$B566,'3) Release_Label'!$D:$D&amp;'3) Release_Label'!$E:$E,1,0))),vlookup($A566&amp;$B566,{'3) Release_Label'!$D:$D&amp;'3) Release_Label'!$E:$E,'3) Release_Label'!$F:$F},2,0),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D566" s="121" t="str">
        <f t="array" ref="D566">ifs(and(isblank($A566),isblank($B566)),"", not(iserror(vlookup($A566&amp;$B566,'3) Release_Label'!$D:$D&amp;'3) Release_Label'!$E:$E,1,0))),vlookup($A566&amp;$B566,{'3) Release_Label'!$D:$D&amp;'3) Release_Label'!$E:$E,'3) Release_Label'!$H:$H},2,0),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E566" s="92"/>
      <c r="F566" s="92"/>
      <c r="G566" s="125" t="str">
        <f t="array" ref="G566">ifs(or($F566="",$F566="Main Primary Artist"),$F566,not(iserror(vlookup($F566,'Reference info'!$J$5:$J$8,1,0))),"Key Artist",not(iserror(vlookup($F566,'Reference info'!$J$38:$J$405,1,0))),"Performer",not(iserror(vlookup($F566,'Reference info'!$J$10:$J$36,1,0))),"Producer &amp; Engineer")</f>
        <v/>
      </c>
    </row>
    <row r="567">
      <c r="A567" s="28"/>
      <c r="B567" s="97"/>
      <c r="C567" s="121" t="str">
        <f t="array" ref="C567">ifs(and(isblank($A567),isblank($B567)),"", not(iserror(vlookup($A567&amp;$B567,'3) Release_Label'!$D:$D&amp;'3) Release_Label'!$E:$E,1,0))),vlookup($A567&amp;$B567,{'3) Release_Label'!$D:$D&amp;'3) Release_Label'!$E:$E,'3) Release_Label'!$F:$F},2,0),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D567" s="121" t="str">
        <f t="array" ref="D567">ifs(and(isblank($A567),isblank($B567)),"", not(iserror(vlookup($A567&amp;$B567,'3) Release_Label'!$D:$D&amp;'3) Release_Label'!$E:$E,1,0))),vlookup($A567&amp;$B567,{'3) Release_Label'!$D:$D&amp;'3) Release_Label'!$E:$E,'3) Release_Label'!$H:$H},2,0),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E567" s="92"/>
      <c r="F567" s="92"/>
      <c r="G567" s="125" t="str">
        <f t="array" ref="G567">ifs(or($F567="",$F567="Main Primary Artist"),$F567,not(iserror(vlookup($F567,'Reference info'!$J$5:$J$8,1,0))),"Key Artist",not(iserror(vlookup($F567,'Reference info'!$J$38:$J$405,1,0))),"Performer",not(iserror(vlookup($F567,'Reference info'!$J$10:$J$36,1,0))),"Producer &amp; Engineer")</f>
        <v/>
      </c>
    </row>
    <row r="568">
      <c r="A568" s="28"/>
      <c r="B568" s="97"/>
      <c r="C568" s="121" t="str">
        <f t="array" ref="C568">ifs(and(isblank($A568),isblank($B568)),"", not(iserror(vlookup($A568&amp;$B568,'3) Release_Label'!$D:$D&amp;'3) Release_Label'!$E:$E,1,0))),vlookup($A568&amp;$B568,{'3) Release_Label'!$D:$D&amp;'3) Release_Label'!$E:$E,'3) Release_Label'!$F:$F},2,0),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D568" s="121" t="str">
        <f t="array" ref="D568">ifs(and(isblank($A568),isblank($B568)),"", not(iserror(vlookup($A568&amp;$B568,'3) Release_Label'!$D:$D&amp;'3) Release_Label'!$E:$E,1,0))),vlookup($A568&amp;$B568,{'3) Release_Label'!$D:$D&amp;'3) Release_Label'!$E:$E,'3) Release_Label'!$H:$H},2,0),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E568" s="92"/>
      <c r="F568" s="92"/>
      <c r="G568" s="125" t="str">
        <f t="array" ref="G568">ifs(or($F568="",$F568="Main Primary Artist"),$F568,not(iserror(vlookup($F568,'Reference info'!$J$5:$J$8,1,0))),"Key Artist",not(iserror(vlookup($F568,'Reference info'!$J$38:$J$405,1,0))),"Performer",not(iserror(vlookup($F568,'Reference info'!$J$10:$J$36,1,0))),"Producer &amp; Engineer")</f>
        <v/>
      </c>
    </row>
    <row r="569">
      <c r="A569" s="28"/>
      <c r="B569" s="97"/>
      <c r="C569" s="121" t="str">
        <f t="array" ref="C569">ifs(and(isblank($A569),isblank($B569)),"", not(iserror(vlookup($A569&amp;$B569,'3) Release_Label'!$D:$D&amp;'3) Release_Label'!$E:$E,1,0))),vlookup($A569&amp;$B569,{'3) Release_Label'!$D:$D&amp;'3) Release_Label'!$E:$E,'3) Release_Label'!$F:$F},2,0),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D569" s="121" t="str">
        <f t="array" ref="D569">ifs(and(isblank($A569),isblank($B569)),"", not(iserror(vlookup($A569&amp;$B569,'3) Release_Label'!$D:$D&amp;'3) Release_Label'!$E:$E,1,0))),vlookup($A569&amp;$B569,{'3) Release_Label'!$D:$D&amp;'3) Release_Label'!$E:$E,'3) Release_Label'!$H:$H},2,0),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E569" s="92"/>
      <c r="F569" s="92"/>
      <c r="G569" s="125" t="str">
        <f t="array" ref="G569">ifs(or($F569="",$F569="Main Primary Artist"),$F569,not(iserror(vlookup($F569,'Reference info'!$J$5:$J$8,1,0))),"Key Artist",not(iserror(vlookup($F569,'Reference info'!$J$38:$J$405,1,0))),"Performer",not(iserror(vlookup($F569,'Reference info'!$J$10:$J$36,1,0))),"Producer &amp; Engineer")</f>
        <v/>
      </c>
    </row>
    <row r="570">
      <c r="A570" s="28"/>
      <c r="B570" s="97"/>
      <c r="C570" s="121" t="str">
        <f t="array" ref="C570">ifs(and(isblank($A570),isblank($B570)),"", not(iserror(vlookup($A570&amp;$B570,'3) Release_Label'!$D:$D&amp;'3) Release_Label'!$E:$E,1,0))),vlookup($A570&amp;$B570,{'3) Release_Label'!$D:$D&amp;'3) Release_Label'!$E:$E,'3) Release_Label'!$F:$F},2,0),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D570" s="121" t="str">
        <f t="array" ref="D570">ifs(and(isblank($A570),isblank($B570)),"", not(iserror(vlookup($A570&amp;$B570,'3) Release_Label'!$D:$D&amp;'3) Release_Label'!$E:$E,1,0))),vlookup($A570&amp;$B570,{'3) Release_Label'!$D:$D&amp;'3) Release_Label'!$E:$E,'3) Release_Label'!$H:$H},2,0),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E570" s="92"/>
      <c r="F570" s="92"/>
      <c r="G570" s="125" t="str">
        <f t="array" ref="G570">ifs(or($F570="",$F570="Main Primary Artist"),$F570,not(iserror(vlookup($F570,'Reference info'!$J$5:$J$8,1,0))),"Key Artist",not(iserror(vlookup($F570,'Reference info'!$J$38:$J$405,1,0))),"Performer",not(iserror(vlookup($F570,'Reference info'!$J$10:$J$36,1,0))),"Producer &amp; Engineer")</f>
        <v/>
      </c>
    </row>
    <row r="571">
      <c r="A571" s="28"/>
      <c r="B571" s="97"/>
      <c r="C571" s="121" t="str">
        <f t="array" ref="C571">ifs(and(isblank($A571),isblank($B571)),"", not(iserror(vlookup($A571&amp;$B571,'3) Release_Label'!$D:$D&amp;'3) Release_Label'!$E:$E,1,0))),vlookup($A571&amp;$B571,{'3) Release_Label'!$D:$D&amp;'3) Release_Label'!$E:$E,'3) Release_Label'!$F:$F},2,0),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D571" s="121" t="str">
        <f t="array" ref="D571">ifs(and(isblank($A571),isblank($B571)),"", not(iserror(vlookup($A571&amp;$B571,'3) Release_Label'!$D:$D&amp;'3) Release_Label'!$E:$E,1,0))),vlookup($A571&amp;$B571,{'3) Release_Label'!$D:$D&amp;'3) Release_Label'!$E:$E,'3) Release_Label'!$H:$H},2,0),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E571" s="92"/>
      <c r="F571" s="92"/>
      <c r="G571" s="125" t="str">
        <f t="array" ref="G571">ifs(or($F571="",$F571="Main Primary Artist"),$F571,not(iserror(vlookup($F571,'Reference info'!$J$5:$J$8,1,0))),"Key Artist",not(iserror(vlookup($F571,'Reference info'!$J$38:$J$405,1,0))),"Performer",not(iserror(vlookup($F571,'Reference info'!$J$10:$J$36,1,0))),"Producer &amp; Engineer")</f>
        <v/>
      </c>
    </row>
    <row r="572">
      <c r="A572" s="28"/>
      <c r="B572" s="97"/>
      <c r="C572" s="121" t="str">
        <f t="array" ref="C572">ifs(and(isblank($A572),isblank($B572)),"", not(iserror(vlookup($A572&amp;$B572,'3) Release_Label'!$D:$D&amp;'3) Release_Label'!$E:$E,1,0))),vlookup($A572&amp;$B572,{'3) Release_Label'!$D:$D&amp;'3) Release_Label'!$E:$E,'3) Release_Label'!$F:$F},2,0),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D572" s="121" t="str">
        <f t="array" ref="D572">ifs(and(isblank($A572),isblank($B572)),"", not(iserror(vlookup($A572&amp;$B572,'3) Release_Label'!$D:$D&amp;'3) Release_Label'!$E:$E,1,0))),vlookup($A572&amp;$B572,{'3) Release_Label'!$D:$D&amp;'3) Release_Label'!$E:$E,'3) Release_Label'!$H:$H},2,0),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E572" s="92"/>
      <c r="F572" s="92"/>
      <c r="G572" s="125" t="str">
        <f t="array" ref="G572">ifs(or($F572="",$F572="Main Primary Artist"),$F572,not(iserror(vlookup($F572,'Reference info'!$J$5:$J$8,1,0))),"Key Artist",not(iserror(vlookup($F572,'Reference info'!$J$38:$J$405,1,0))),"Performer",not(iserror(vlookup($F572,'Reference info'!$J$10:$J$36,1,0))),"Producer &amp; Engineer")</f>
        <v/>
      </c>
    </row>
    <row r="573">
      <c r="A573" s="28"/>
      <c r="B573" s="97"/>
      <c r="C573" s="121" t="str">
        <f t="array" ref="C573">ifs(and(isblank($A573),isblank($B573)),"", not(iserror(vlookup($A573&amp;$B573,'3) Release_Label'!$D:$D&amp;'3) Release_Label'!$E:$E,1,0))),vlookup($A573&amp;$B573,{'3) Release_Label'!$D:$D&amp;'3) Release_Label'!$E:$E,'3) Release_Label'!$F:$F},2,0),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D573" s="121" t="str">
        <f t="array" ref="D573">ifs(and(isblank($A573),isblank($B573)),"", not(iserror(vlookup($A573&amp;$B573,'3) Release_Label'!$D:$D&amp;'3) Release_Label'!$E:$E,1,0))),vlookup($A573&amp;$B573,{'3) Release_Label'!$D:$D&amp;'3) Release_Label'!$E:$E,'3) Release_Label'!$H:$H},2,0),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E573" s="92"/>
      <c r="F573" s="92"/>
      <c r="G573" s="125" t="str">
        <f t="array" ref="G573">ifs(or($F573="",$F573="Main Primary Artist"),$F573,not(iserror(vlookup($F573,'Reference info'!$J$5:$J$8,1,0))),"Key Artist",not(iserror(vlookup($F573,'Reference info'!$J$38:$J$405,1,0))),"Performer",not(iserror(vlookup($F573,'Reference info'!$J$10:$J$36,1,0))),"Producer &amp; Engineer")</f>
        <v/>
      </c>
    </row>
    <row r="574">
      <c r="A574" s="28"/>
      <c r="B574" s="97"/>
      <c r="C574" s="121" t="str">
        <f t="array" ref="C574">ifs(and(isblank($A574),isblank($B574)),"", not(iserror(vlookup($A574&amp;$B574,'3) Release_Label'!$D:$D&amp;'3) Release_Label'!$E:$E,1,0))),vlookup($A574&amp;$B574,{'3) Release_Label'!$D:$D&amp;'3) Release_Label'!$E:$E,'3) Release_Label'!$F:$F},2,0),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D574" s="121" t="str">
        <f t="array" ref="D574">ifs(and(isblank($A574),isblank($B574)),"", not(iserror(vlookup($A574&amp;$B574,'3) Release_Label'!$D:$D&amp;'3) Release_Label'!$E:$E,1,0))),vlookup($A574&amp;$B574,{'3) Release_Label'!$D:$D&amp;'3) Release_Label'!$E:$E,'3) Release_Label'!$H:$H},2,0),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E574" s="92"/>
      <c r="F574" s="92"/>
      <c r="G574" s="125" t="str">
        <f t="array" ref="G574">ifs(or($F574="",$F574="Main Primary Artist"),$F574,not(iserror(vlookup($F574,'Reference info'!$J$5:$J$8,1,0))),"Key Artist",not(iserror(vlookup($F574,'Reference info'!$J$38:$J$405,1,0))),"Performer",not(iserror(vlookup($F574,'Reference info'!$J$10:$J$36,1,0))),"Producer &amp; Engineer")</f>
        <v/>
      </c>
    </row>
    <row r="575">
      <c r="A575" s="28"/>
      <c r="B575" s="97"/>
      <c r="C575" s="121" t="str">
        <f t="array" ref="C575">ifs(and(isblank($A575),isblank($B575)),"", not(iserror(vlookup($A575&amp;$B575,'3) Release_Label'!$D:$D&amp;'3) Release_Label'!$E:$E,1,0))),vlookup($A575&amp;$B575,{'3) Release_Label'!$D:$D&amp;'3) Release_Label'!$E:$E,'3) Release_Label'!$F:$F},2,0),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D575" s="121" t="str">
        <f t="array" ref="D575">ifs(and(isblank($A575),isblank($B575)),"", not(iserror(vlookup($A575&amp;$B575,'3) Release_Label'!$D:$D&amp;'3) Release_Label'!$E:$E,1,0))),vlookup($A575&amp;$B575,{'3) Release_Label'!$D:$D&amp;'3) Release_Label'!$E:$E,'3) Release_Label'!$H:$H},2,0),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E575" s="92"/>
      <c r="F575" s="92"/>
      <c r="G575" s="125" t="str">
        <f t="array" ref="G575">ifs(or($F575="",$F575="Main Primary Artist"),$F575,not(iserror(vlookup($F575,'Reference info'!$J$5:$J$8,1,0))),"Key Artist",not(iserror(vlookup($F575,'Reference info'!$J$38:$J$405,1,0))),"Performer",not(iserror(vlookup($F575,'Reference info'!$J$10:$J$36,1,0))),"Producer &amp; Engineer")</f>
        <v/>
      </c>
    </row>
    <row r="576">
      <c r="A576" s="28"/>
      <c r="B576" s="97"/>
      <c r="C576" s="121" t="str">
        <f t="array" ref="C576">ifs(and(isblank($A576),isblank($B576)),"", not(iserror(vlookup($A576&amp;$B576,'3) Release_Label'!$D:$D&amp;'3) Release_Label'!$E:$E,1,0))),vlookup($A576&amp;$B576,{'3) Release_Label'!$D:$D&amp;'3) Release_Label'!$E:$E,'3) Release_Label'!$F:$F},2,0),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D576" s="121" t="str">
        <f t="array" ref="D576">ifs(and(isblank($A576),isblank($B576)),"", not(iserror(vlookup($A576&amp;$B576,'3) Release_Label'!$D:$D&amp;'3) Release_Label'!$E:$E,1,0))),vlookup($A576&amp;$B576,{'3) Release_Label'!$D:$D&amp;'3) Release_Label'!$E:$E,'3) Release_Label'!$H:$H},2,0),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E576" s="92"/>
      <c r="F576" s="92"/>
      <c r="G576" s="125" t="str">
        <f t="array" ref="G576">ifs(or($F576="",$F576="Main Primary Artist"),$F576,not(iserror(vlookup($F576,'Reference info'!$J$5:$J$8,1,0))),"Key Artist",not(iserror(vlookup($F576,'Reference info'!$J$38:$J$405,1,0))),"Performer",not(iserror(vlookup($F576,'Reference info'!$J$10:$J$36,1,0))),"Producer &amp; Engineer")</f>
        <v/>
      </c>
    </row>
    <row r="577">
      <c r="A577" s="28"/>
      <c r="B577" s="97"/>
      <c r="C577" s="121" t="str">
        <f t="array" ref="C577">ifs(and(isblank($A577),isblank($B577)),"", not(iserror(vlookup($A577&amp;$B577,'3) Release_Label'!$D:$D&amp;'3) Release_Label'!$E:$E,1,0))),vlookup($A577&amp;$B577,{'3) Release_Label'!$D:$D&amp;'3) Release_Label'!$E:$E,'3) Release_Label'!$F:$F},2,0),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D577" s="121" t="str">
        <f t="array" ref="D577">ifs(and(isblank($A577),isblank($B577)),"", not(iserror(vlookup($A577&amp;$B577,'3) Release_Label'!$D:$D&amp;'3) Release_Label'!$E:$E,1,0))),vlookup($A577&amp;$B577,{'3) Release_Label'!$D:$D&amp;'3) Release_Label'!$E:$E,'3) Release_Label'!$H:$H},2,0),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E577" s="92"/>
      <c r="F577" s="92"/>
      <c r="G577" s="125" t="str">
        <f t="array" ref="G577">ifs(or($F577="",$F577="Main Primary Artist"),$F577,not(iserror(vlookup($F577,'Reference info'!$J$5:$J$8,1,0))),"Key Artist",not(iserror(vlookup($F577,'Reference info'!$J$38:$J$405,1,0))),"Performer",not(iserror(vlookup($F577,'Reference info'!$J$10:$J$36,1,0))),"Producer &amp; Engineer")</f>
        <v/>
      </c>
    </row>
    <row r="578">
      <c r="A578" s="28"/>
      <c r="B578" s="97"/>
      <c r="C578" s="121" t="str">
        <f t="array" ref="C578">ifs(and(isblank($A578),isblank($B578)),"", not(iserror(vlookup($A578&amp;$B578,'3) Release_Label'!$D:$D&amp;'3) Release_Label'!$E:$E,1,0))),vlookup($A578&amp;$B578,{'3) Release_Label'!$D:$D&amp;'3) Release_Label'!$E:$E,'3) Release_Label'!$F:$F},2,0),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D578" s="121" t="str">
        <f t="array" ref="D578">ifs(and(isblank($A578),isblank($B578)),"", not(iserror(vlookup($A578&amp;$B578,'3) Release_Label'!$D:$D&amp;'3) Release_Label'!$E:$E,1,0))),vlookup($A578&amp;$B578,{'3) Release_Label'!$D:$D&amp;'3) Release_Label'!$E:$E,'3) Release_Label'!$H:$H},2,0),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E578" s="92"/>
      <c r="F578" s="92"/>
      <c r="G578" s="125" t="str">
        <f t="array" ref="G578">ifs(or($F578="",$F578="Main Primary Artist"),$F578,not(iserror(vlookup($F578,'Reference info'!$J$5:$J$8,1,0))),"Key Artist",not(iserror(vlookup($F578,'Reference info'!$J$38:$J$405,1,0))),"Performer",not(iserror(vlookup($F578,'Reference info'!$J$10:$J$36,1,0))),"Producer &amp; Engineer")</f>
        <v/>
      </c>
    </row>
    <row r="579">
      <c r="A579" s="28"/>
      <c r="B579" s="97"/>
      <c r="C579" s="121" t="str">
        <f t="array" ref="C579">ifs(and(isblank($A579),isblank($B579)),"", not(iserror(vlookup($A579&amp;$B579,'3) Release_Label'!$D:$D&amp;'3) Release_Label'!$E:$E,1,0))),vlookup($A579&amp;$B579,{'3) Release_Label'!$D:$D&amp;'3) Release_Label'!$E:$E,'3) Release_Label'!$F:$F},2,0),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D579" s="121" t="str">
        <f t="array" ref="D579">ifs(and(isblank($A579),isblank($B579)),"", not(iserror(vlookup($A579&amp;$B579,'3) Release_Label'!$D:$D&amp;'3) Release_Label'!$E:$E,1,0))),vlookup($A579&amp;$B579,{'3) Release_Label'!$D:$D&amp;'3) Release_Label'!$E:$E,'3) Release_Label'!$H:$H},2,0),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E579" s="92"/>
      <c r="F579" s="92"/>
      <c r="G579" s="125" t="str">
        <f t="array" ref="G579">ifs(or($F579="",$F579="Main Primary Artist"),$F579,not(iserror(vlookup($F579,'Reference info'!$J$5:$J$8,1,0))),"Key Artist",not(iserror(vlookup($F579,'Reference info'!$J$38:$J$405,1,0))),"Performer",not(iserror(vlookup($F579,'Reference info'!$J$10:$J$36,1,0))),"Producer &amp; Engineer")</f>
        <v/>
      </c>
    </row>
    <row r="580">
      <c r="A580" s="28"/>
      <c r="B580" s="97"/>
      <c r="C580" s="121" t="str">
        <f t="array" ref="C580">ifs(and(isblank($A580),isblank($B580)),"", not(iserror(vlookup($A580&amp;$B580,'3) Release_Label'!$D:$D&amp;'3) Release_Label'!$E:$E,1,0))),vlookup($A580&amp;$B580,{'3) Release_Label'!$D:$D&amp;'3) Release_Label'!$E:$E,'3) Release_Label'!$F:$F},2,0),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D580" s="121" t="str">
        <f t="array" ref="D580">ifs(and(isblank($A580),isblank($B580)),"", not(iserror(vlookup($A580&amp;$B580,'3) Release_Label'!$D:$D&amp;'3) Release_Label'!$E:$E,1,0))),vlookup($A580&amp;$B580,{'3) Release_Label'!$D:$D&amp;'3) Release_Label'!$E:$E,'3) Release_Label'!$H:$H},2,0),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E580" s="92"/>
      <c r="F580" s="92"/>
      <c r="G580" s="125" t="str">
        <f t="array" ref="G580">ifs(or($F580="",$F580="Main Primary Artist"),$F580,not(iserror(vlookup($F580,'Reference info'!$J$5:$J$8,1,0))),"Key Artist",not(iserror(vlookup($F580,'Reference info'!$J$38:$J$405,1,0))),"Performer",not(iserror(vlookup($F580,'Reference info'!$J$10:$J$36,1,0))),"Producer &amp; Engineer")</f>
        <v/>
      </c>
    </row>
    <row r="581">
      <c r="A581" s="28"/>
      <c r="B581" s="97"/>
      <c r="C581" s="121" t="str">
        <f t="array" ref="C581">ifs(and(isblank($A581),isblank($B581)),"", not(iserror(vlookup($A581&amp;$B581,'3) Release_Label'!$D:$D&amp;'3) Release_Label'!$E:$E,1,0))),vlookup($A581&amp;$B581,{'3) Release_Label'!$D:$D&amp;'3) Release_Label'!$E:$E,'3) Release_Label'!$F:$F},2,0),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D581" s="121" t="str">
        <f t="array" ref="D581">ifs(and(isblank($A581),isblank($B581)),"", not(iserror(vlookup($A581&amp;$B581,'3) Release_Label'!$D:$D&amp;'3) Release_Label'!$E:$E,1,0))),vlookup($A581&amp;$B581,{'3) Release_Label'!$D:$D&amp;'3) Release_Label'!$E:$E,'3) Release_Label'!$H:$H},2,0),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E581" s="92"/>
      <c r="F581" s="92"/>
      <c r="G581" s="125" t="str">
        <f t="array" ref="G581">ifs(or($F581="",$F581="Main Primary Artist"),$F581,not(iserror(vlookup($F581,'Reference info'!$J$5:$J$8,1,0))),"Key Artist",not(iserror(vlookup($F581,'Reference info'!$J$38:$J$405,1,0))),"Performer",not(iserror(vlookup($F581,'Reference info'!$J$10:$J$36,1,0))),"Producer &amp; Engineer")</f>
        <v/>
      </c>
    </row>
    <row r="582">
      <c r="A582" s="28"/>
      <c r="B582" s="97"/>
      <c r="C582" s="121" t="str">
        <f t="array" ref="C582">ifs(and(isblank($A582),isblank($B582)),"", not(iserror(vlookup($A582&amp;$B582,'3) Release_Label'!$D:$D&amp;'3) Release_Label'!$E:$E,1,0))),vlookup($A582&amp;$B582,{'3) Release_Label'!$D:$D&amp;'3) Release_Label'!$E:$E,'3) Release_Label'!$F:$F},2,0),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D582" s="121" t="str">
        <f t="array" ref="D582">ifs(and(isblank($A582),isblank($B582)),"", not(iserror(vlookup($A582&amp;$B582,'3) Release_Label'!$D:$D&amp;'3) Release_Label'!$E:$E,1,0))),vlookup($A582&amp;$B582,{'3) Release_Label'!$D:$D&amp;'3) Release_Label'!$E:$E,'3) Release_Label'!$H:$H},2,0),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E582" s="92"/>
      <c r="F582" s="92"/>
      <c r="G582" s="125" t="str">
        <f t="array" ref="G582">ifs(or($F582="",$F582="Main Primary Artist"),$F582,not(iserror(vlookup($F582,'Reference info'!$J$5:$J$8,1,0))),"Key Artist",not(iserror(vlookup($F582,'Reference info'!$J$38:$J$405,1,0))),"Performer",not(iserror(vlookup($F582,'Reference info'!$J$10:$J$36,1,0))),"Producer &amp; Engineer")</f>
        <v/>
      </c>
    </row>
    <row r="583">
      <c r="A583" s="28"/>
      <c r="B583" s="97"/>
      <c r="C583" s="121" t="str">
        <f t="array" ref="C583">ifs(and(isblank($A583),isblank($B583)),"", not(iserror(vlookup($A583&amp;$B583,'3) Release_Label'!$D:$D&amp;'3) Release_Label'!$E:$E,1,0))),vlookup($A583&amp;$B583,{'3) Release_Label'!$D:$D&amp;'3) Release_Label'!$E:$E,'3) Release_Label'!$F:$F},2,0),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D583" s="121" t="str">
        <f t="array" ref="D583">ifs(and(isblank($A583),isblank($B583)),"", not(iserror(vlookup($A583&amp;$B583,'3) Release_Label'!$D:$D&amp;'3) Release_Label'!$E:$E,1,0))),vlookup($A583&amp;$B583,{'3) Release_Label'!$D:$D&amp;'3) Release_Label'!$E:$E,'3) Release_Label'!$H:$H},2,0),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E583" s="92"/>
      <c r="F583" s="92"/>
      <c r="G583" s="125" t="str">
        <f t="array" ref="G583">ifs(or($F583="",$F583="Main Primary Artist"),$F583,not(iserror(vlookup($F583,'Reference info'!$J$5:$J$8,1,0))),"Key Artist",not(iserror(vlookup($F583,'Reference info'!$J$38:$J$405,1,0))),"Performer",not(iserror(vlookup($F583,'Reference info'!$J$10:$J$36,1,0))),"Producer &amp; Engineer")</f>
        <v/>
      </c>
    </row>
    <row r="584">
      <c r="A584" s="28"/>
      <c r="B584" s="97"/>
      <c r="C584" s="121" t="str">
        <f t="array" ref="C584">ifs(and(isblank($A584),isblank($B584)),"", not(iserror(vlookup($A584&amp;$B584,'3) Release_Label'!$D:$D&amp;'3) Release_Label'!$E:$E,1,0))),vlookup($A584&amp;$B584,{'3) Release_Label'!$D:$D&amp;'3) Release_Label'!$E:$E,'3) Release_Label'!$F:$F},2,0),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D584" s="121" t="str">
        <f t="array" ref="D584">ifs(and(isblank($A584),isblank($B584)),"", not(iserror(vlookup($A584&amp;$B584,'3) Release_Label'!$D:$D&amp;'3) Release_Label'!$E:$E,1,0))),vlookup($A584&amp;$B584,{'3) Release_Label'!$D:$D&amp;'3) Release_Label'!$E:$E,'3) Release_Label'!$H:$H},2,0),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E584" s="92"/>
      <c r="F584" s="92"/>
      <c r="G584" s="125" t="str">
        <f t="array" ref="G584">ifs(or($F584="",$F584="Main Primary Artist"),$F584,not(iserror(vlookup($F584,'Reference info'!$J$5:$J$8,1,0))),"Key Artist",not(iserror(vlookup($F584,'Reference info'!$J$38:$J$405,1,0))),"Performer",not(iserror(vlookup($F584,'Reference info'!$J$10:$J$36,1,0))),"Producer &amp; Engineer")</f>
        <v/>
      </c>
    </row>
    <row r="585">
      <c r="A585" s="28"/>
      <c r="B585" s="97"/>
      <c r="C585" s="121" t="str">
        <f t="array" ref="C585">ifs(and(isblank($A585),isblank($B585)),"", not(iserror(vlookup($A585&amp;$B585,'3) Release_Label'!$D:$D&amp;'3) Release_Label'!$E:$E,1,0))),vlookup($A585&amp;$B585,{'3) Release_Label'!$D:$D&amp;'3) Release_Label'!$E:$E,'3) Release_Label'!$F:$F},2,0),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D585" s="121" t="str">
        <f t="array" ref="D585">ifs(and(isblank($A585),isblank($B585)),"", not(iserror(vlookup($A585&amp;$B585,'3) Release_Label'!$D:$D&amp;'3) Release_Label'!$E:$E,1,0))),vlookup($A585&amp;$B585,{'3) Release_Label'!$D:$D&amp;'3) Release_Label'!$E:$E,'3) Release_Label'!$H:$H},2,0),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E585" s="92"/>
      <c r="F585" s="92"/>
      <c r="G585" s="125" t="str">
        <f t="array" ref="G585">ifs(or($F585="",$F585="Main Primary Artist"),$F585,not(iserror(vlookup($F585,'Reference info'!$J$5:$J$8,1,0))),"Key Artist",not(iserror(vlookup($F585,'Reference info'!$J$38:$J$405,1,0))),"Performer",not(iserror(vlookup($F585,'Reference info'!$J$10:$J$36,1,0))),"Producer &amp; Engineer")</f>
        <v/>
      </c>
    </row>
    <row r="586">
      <c r="A586" s="28"/>
      <c r="B586" s="97"/>
      <c r="C586" s="121" t="str">
        <f t="array" ref="C586">ifs(and(isblank($A586),isblank($B586)),"", not(iserror(vlookup($A586&amp;$B586,'3) Release_Label'!$D:$D&amp;'3) Release_Label'!$E:$E,1,0))),vlookup($A586&amp;$B586,{'3) Release_Label'!$D:$D&amp;'3) Release_Label'!$E:$E,'3) Release_Label'!$F:$F},2,0),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D586" s="121" t="str">
        <f t="array" ref="D586">ifs(and(isblank($A586),isblank($B586)),"", not(iserror(vlookup($A586&amp;$B586,'3) Release_Label'!$D:$D&amp;'3) Release_Label'!$E:$E,1,0))),vlookup($A586&amp;$B586,{'3) Release_Label'!$D:$D&amp;'3) Release_Label'!$E:$E,'3) Release_Label'!$H:$H},2,0),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E586" s="92"/>
      <c r="F586" s="92"/>
      <c r="G586" s="125" t="str">
        <f t="array" ref="G586">ifs(or($F586="",$F586="Main Primary Artist"),$F586,not(iserror(vlookup($F586,'Reference info'!$J$5:$J$8,1,0))),"Key Artist",not(iserror(vlookup($F586,'Reference info'!$J$38:$J$405,1,0))),"Performer",not(iserror(vlookup($F586,'Reference info'!$J$10:$J$36,1,0))),"Producer &amp; Engineer")</f>
        <v/>
      </c>
    </row>
    <row r="587">
      <c r="A587" s="28"/>
      <c r="B587" s="97"/>
      <c r="C587" s="121" t="str">
        <f t="array" ref="C587">ifs(and(isblank($A587),isblank($B587)),"", not(iserror(vlookup($A587&amp;$B587,'3) Release_Label'!$D:$D&amp;'3) Release_Label'!$E:$E,1,0))),vlookup($A587&amp;$B587,{'3) Release_Label'!$D:$D&amp;'3) Release_Label'!$E:$E,'3) Release_Label'!$F:$F},2,0),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D587" s="121" t="str">
        <f t="array" ref="D587">ifs(and(isblank($A587),isblank($B587)),"", not(iserror(vlookup($A587&amp;$B587,'3) Release_Label'!$D:$D&amp;'3) Release_Label'!$E:$E,1,0))),vlookup($A587&amp;$B587,{'3) Release_Label'!$D:$D&amp;'3) Release_Label'!$E:$E,'3) Release_Label'!$H:$H},2,0),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E587" s="92"/>
      <c r="F587" s="92"/>
      <c r="G587" s="125" t="str">
        <f t="array" ref="G587">ifs(or($F587="",$F587="Main Primary Artist"),$F587,not(iserror(vlookup($F587,'Reference info'!$J$5:$J$8,1,0))),"Key Artist",not(iserror(vlookup($F587,'Reference info'!$J$38:$J$405,1,0))),"Performer",not(iserror(vlookup($F587,'Reference info'!$J$10:$J$36,1,0))),"Producer &amp; Engineer")</f>
        <v/>
      </c>
    </row>
    <row r="588">
      <c r="A588" s="28"/>
      <c r="B588" s="97"/>
      <c r="C588" s="121" t="str">
        <f t="array" ref="C588">ifs(and(isblank($A588),isblank($B588)),"", not(iserror(vlookup($A588&amp;$B588,'3) Release_Label'!$D:$D&amp;'3) Release_Label'!$E:$E,1,0))),vlookup($A588&amp;$B588,{'3) Release_Label'!$D:$D&amp;'3) Release_Label'!$E:$E,'3) Release_Label'!$F:$F},2,0),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D588" s="121" t="str">
        <f t="array" ref="D588">ifs(and(isblank($A588),isblank($B588)),"", not(iserror(vlookup($A588&amp;$B588,'3) Release_Label'!$D:$D&amp;'3) Release_Label'!$E:$E,1,0))),vlookup($A588&amp;$B588,{'3) Release_Label'!$D:$D&amp;'3) Release_Label'!$E:$E,'3) Release_Label'!$H:$H},2,0),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E588" s="92"/>
      <c r="F588" s="92"/>
      <c r="G588" s="125" t="str">
        <f t="array" ref="G588">ifs(or($F588="",$F588="Main Primary Artist"),$F588,not(iserror(vlookup($F588,'Reference info'!$J$5:$J$8,1,0))),"Key Artist",not(iserror(vlookup($F588,'Reference info'!$J$38:$J$405,1,0))),"Performer",not(iserror(vlookup($F588,'Reference info'!$J$10:$J$36,1,0))),"Producer &amp; Engineer")</f>
        <v/>
      </c>
    </row>
    <row r="589">
      <c r="A589" s="28"/>
      <c r="B589" s="97"/>
      <c r="C589" s="121" t="str">
        <f t="array" ref="C589">ifs(and(isblank($A589),isblank($B589)),"", not(iserror(vlookup($A589&amp;$B589,'3) Release_Label'!$D:$D&amp;'3) Release_Label'!$E:$E,1,0))),vlookup($A589&amp;$B589,{'3) Release_Label'!$D:$D&amp;'3) Release_Label'!$E:$E,'3) Release_Label'!$F:$F},2,0),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D589" s="121" t="str">
        <f t="array" ref="D589">ifs(and(isblank($A589),isblank($B589)),"", not(iserror(vlookup($A589&amp;$B589,'3) Release_Label'!$D:$D&amp;'3) Release_Label'!$E:$E,1,0))),vlookup($A589&amp;$B589,{'3) Release_Label'!$D:$D&amp;'3) Release_Label'!$E:$E,'3) Release_Label'!$H:$H},2,0),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E589" s="92"/>
      <c r="F589" s="92"/>
      <c r="G589" s="125" t="str">
        <f t="array" ref="G589">ifs(or($F589="",$F589="Main Primary Artist"),$F589,not(iserror(vlookup($F589,'Reference info'!$J$5:$J$8,1,0))),"Key Artist",not(iserror(vlookup($F589,'Reference info'!$J$38:$J$405,1,0))),"Performer",not(iserror(vlookup($F589,'Reference info'!$J$10:$J$36,1,0))),"Producer &amp; Engineer")</f>
        <v/>
      </c>
    </row>
    <row r="590">
      <c r="A590" s="28"/>
      <c r="B590" s="97"/>
      <c r="C590" s="121" t="str">
        <f t="array" ref="C590">ifs(and(isblank($A590),isblank($B590)),"", not(iserror(vlookup($A590&amp;$B590,'3) Release_Label'!$D:$D&amp;'3) Release_Label'!$E:$E,1,0))),vlookup($A590&amp;$B590,{'3) Release_Label'!$D:$D&amp;'3) Release_Label'!$E:$E,'3) Release_Label'!$F:$F},2,0),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D590" s="121" t="str">
        <f t="array" ref="D590">ifs(and(isblank($A590),isblank($B590)),"", not(iserror(vlookup($A590&amp;$B590,'3) Release_Label'!$D:$D&amp;'3) Release_Label'!$E:$E,1,0))),vlookup($A590&amp;$B590,{'3) Release_Label'!$D:$D&amp;'3) Release_Label'!$E:$E,'3) Release_Label'!$H:$H},2,0),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E590" s="92"/>
      <c r="F590" s="92"/>
      <c r="G590" s="125" t="str">
        <f t="array" ref="G590">ifs(or($F590="",$F590="Main Primary Artist"),$F590,not(iserror(vlookup($F590,'Reference info'!$J$5:$J$8,1,0))),"Key Artist",not(iserror(vlookup($F590,'Reference info'!$J$38:$J$405,1,0))),"Performer",not(iserror(vlookup($F590,'Reference info'!$J$10:$J$36,1,0))),"Producer &amp; Engineer")</f>
        <v/>
      </c>
    </row>
    <row r="591">
      <c r="A591" s="28"/>
      <c r="B591" s="97"/>
      <c r="C591" s="121" t="str">
        <f t="array" ref="C591">ifs(and(isblank($A591),isblank($B591)),"", not(iserror(vlookup($A591&amp;$B591,'3) Release_Label'!$D:$D&amp;'3) Release_Label'!$E:$E,1,0))),vlookup($A591&amp;$B591,{'3) Release_Label'!$D:$D&amp;'3) Release_Label'!$E:$E,'3) Release_Label'!$F:$F},2,0),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D591" s="121" t="str">
        <f t="array" ref="D591">ifs(and(isblank($A591),isblank($B591)),"", not(iserror(vlookup($A591&amp;$B591,'3) Release_Label'!$D:$D&amp;'3) Release_Label'!$E:$E,1,0))),vlookup($A591&amp;$B591,{'3) Release_Label'!$D:$D&amp;'3) Release_Label'!$E:$E,'3) Release_Label'!$H:$H},2,0),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E591" s="92"/>
      <c r="F591" s="92"/>
      <c r="G591" s="125" t="str">
        <f t="array" ref="G591">ifs(or($F591="",$F591="Main Primary Artist"),$F591,not(iserror(vlookup($F591,'Reference info'!$J$5:$J$8,1,0))),"Key Artist",not(iserror(vlookup($F591,'Reference info'!$J$38:$J$405,1,0))),"Performer",not(iserror(vlookup($F591,'Reference info'!$J$10:$J$36,1,0))),"Producer &amp; Engineer")</f>
        <v/>
      </c>
    </row>
    <row r="592">
      <c r="A592" s="28"/>
      <c r="B592" s="97"/>
      <c r="C592" s="121" t="str">
        <f t="array" ref="C592">ifs(and(isblank($A592),isblank($B592)),"", not(iserror(vlookup($A592&amp;$B592,'3) Release_Label'!$D:$D&amp;'3) Release_Label'!$E:$E,1,0))),vlookup($A592&amp;$B592,{'3) Release_Label'!$D:$D&amp;'3) Release_Label'!$E:$E,'3) Release_Label'!$F:$F},2,0),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D592" s="121" t="str">
        <f t="array" ref="D592">ifs(and(isblank($A592),isblank($B592)),"", not(iserror(vlookup($A592&amp;$B592,'3) Release_Label'!$D:$D&amp;'3) Release_Label'!$E:$E,1,0))),vlookup($A592&amp;$B592,{'3) Release_Label'!$D:$D&amp;'3) Release_Label'!$E:$E,'3) Release_Label'!$H:$H},2,0),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E592" s="92"/>
      <c r="F592" s="92"/>
      <c r="G592" s="125" t="str">
        <f t="array" ref="G592">ifs(or($F592="",$F592="Main Primary Artist"),$F592,not(iserror(vlookup($F592,'Reference info'!$J$5:$J$8,1,0))),"Key Artist",not(iserror(vlookup($F592,'Reference info'!$J$38:$J$405,1,0))),"Performer",not(iserror(vlookup($F592,'Reference info'!$J$10:$J$36,1,0))),"Producer &amp; Engineer")</f>
        <v/>
      </c>
    </row>
    <row r="593">
      <c r="A593" s="28"/>
      <c r="B593" s="97"/>
      <c r="C593" s="121" t="str">
        <f t="array" ref="C593">ifs(and(isblank($A593),isblank($B593)),"", not(iserror(vlookup($A593&amp;$B593,'3) Release_Label'!$D:$D&amp;'3) Release_Label'!$E:$E,1,0))),vlookup($A593&amp;$B593,{'3) Release_Label'!$D:$D&amp;'3) Release_Label'!$E:$E,'3) Release_Label'!$F:$F},2,0),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D593" s="121" t="str">
        <f t="array" ref="D593">ifs(and(isblank($A593),isblank($B593)),"", not(iserror(vlookup($A593&amp;$B593,'3) Release_Label'!$D:$D&amp;'3) Release_Label'!$E:$E,1,0))),vlookup($A593&amp;$B593,{'3) Release_Label'!$D:$D&amp;'3) Release_Label'!$E:$E,'3) Release_Label'!$H:$H},2,0),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E593" s="92"/>
      <c r="F593" s="92"/>
      <c r="G593" s="125" t="str">
        <f t="array" ref="G593">ifs(or($F593="",$F593="Main Primary Artist"),$F593,not(iserror(vlookup($F593,'Reference info'!$J$5:$J$8,1,0))),"Key Artist",not(iserror(vlookup($F593,'Reference info'!$J$38:$J$405,1,0))),"Performer",not(iserror(vlookup($F593,'Reference info'!$J$10:$J$36,1,0))),"Producer &amp; Engineer")</f>
        <v/>
      </c>
    </row>
    <row r="594">
      <c r="A594" s="28"/>
      <c r="B594" s="97"/>
      <c r="C594" s="121" t="str">
        <f t="array" ref="C594">ifs(and(isblank($A594),isblank($B594)),"", not(iserror(vlookup($A594&amp;$B594,'3) Release_Label'!$D:$D&amp;'3) Release_Label'!$E:$E,1,0))),vlookup($A594&amp;$B594,{'3) Release_Label'!$D:$D&amp;'3) Release_Label'!$E:$E,'3) Release_Label'!$F:$F},2,0),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D594" s="121" t="str">
        <f t="array" ref="D594">ifs(and(isblank($A594),isblank($B594)),"", not(iserror(vlookup($A594&amp;$B594,'3) Release_Label'!$D:$D&amp;'3) Release_Label'!$E:$E,1,0))),vlookup($A594&amp;$B594,{'3) Release_Label'!$D:$D&amp;'3) Release_Label'!$E:$E,'3) Release_Label'!$H:$H},2,0),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E594" s="92"/>
      <c r="F594" s="92"/>
      <c r="G594" s="125" t="str">
        <f t="array" ref="G594">ifs(or($F594="",$F594="Main Primary Artist"),$F594,not(iserror(vlookup($F594,'Reference info'!$J$5:$J$8,1,0))),"Key Artist",not(iserror(vlookup($F594,'Reference info'!$J$38:$J$405,1,0))),"Performer",not(iserror(vlookup($F594,'Reference info'!$J$10:$J$36,1,0))),"Producer &amp; Engineer")</f>
        <v/>
      </c>
    </row>
    <row r="595">
      <c r="A595" s="28"/>
      <c r="B595" s="97"/>
      <c r="C595" s="121" t="str">
        <f t="array" ref="C595">ifs(and(isblank($A595),isblank($B595)),"", not(iserror(vlookup($A595&amp;$B595,'3) Release_Label'!$D:$D&amp;'3) Release_Label'!$E:$E,1,0))),vlookup($A595&amp;$B595,{'3) Release_Label'!$D:$D&amp;'3) Release_Label'!$E:$E,'3) Release_Label'!$F:$F},2,0),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D595" s="121" t="str">
        <f t="array" ref="D595">ifs(and(isblank($A595),isblank($B595)),"", not(iserror(vlookup($A595&amp;$B595,'3) Release_Label'!$D:$D&amp;'3) Release_Label'!$E:$E,1,0))),vlookup($A595&amp;$B595,{'3) Release_Label'!$D:$D&amp;'3) Release_Label'!$E:$E,'3) Release_Label'!$H:$H},2,0),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E595" s="92"/>
      <c r="F595" s="92"/>
      <c r="G595" s="125" t="str">
        <f t="array" ref="G595">ifs(or($F595="",$F595="Main Primary Artist"),$F595,not(iserror(vlookup($F595,'Reference info'!$J$5:$J$8,1,0))),"Key Artist",not(iserror(vlookup($F595,'Reference info'!$J$38:$J$405,1,0))),"Performer",not(iserror(vlookup($F595,'Reference info'!$J$10:$J$36,1,0))),"Producer &amp; Engineer")</f>
        <v/>
      </c>
    </row>
    <row r="596">
      <c r="A596" s="28"/>
      <c r="B596" s="97"/>
      <c r="C596" s="121" t="str">
        <f t="array" ref="C596">ifs(and(isblank($A596),isblank($B596)),"", not(iserror(vlookup($A596&amp;$B596,'3) Release_Label'!$D:$D&amp;'3) Release_Label'!$E:$E,1,0))),vlookup($A596&amp;$B596,{'3) Release_Label'!$D:$D&amp;'3) Release_Label'!$E:$E,'3) Release_Label'!$F:$F},2,0),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D596" s="121" t="str">
        <f t="array" ref="D596">ifs(and(isblank($A596),isblank($B596)),"", not(iserror(vlookup($A596&amp;$B596,'3) Release_Label'!$D:$D&amp;'3) Release_Label'!$E:$E,1,0))),vlookup($A596&amp;$B596,{'3) Release_Label'!$D:$D&amp;'3) Release_Label'!$E:$E,'3) Release_Label'!$H:$H},2,0),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E596" s="92"/>
      <c r="F596" s="92"/>
      <c r="G596" s="125" t="str">
        <f t="array" ref="G596">ifs(or($F596="",$F596="Main Primary Artist"),$F596,not(iserror(vlookup($F596,'Reference info'!$J$5:$J$8,1,0))),"Key Artist",not(iserror(vlookup($F596,'Reference info'!$J$38:$J$405,1,0))),"Performer",not(iserror(vlookup($F596,'Reference info'!$J$10:$J$36,1,0))),"Producer &amp; Engineer")</f>
        <v/>
      </c>
    </row>
    <row r="597">
      <c r="A597" s="28"/>
      <c r="B597" s="97"/>
      <c r="C597" s="121" t="str">
        <f t="array" ref="C597">ifs(and(isblank($A597),isblank($B597)),"", not(iserror(vlookup($A597&amp;$B597,'3) Release_Label'!$D:$D&amp;'3) Release_Label'!$E:$E,1,0))),vlookup($A597&amp;$B597,{'3) Release_Label'!$D:$D&amp;'3) Release_Label'!$E:$E,'3) Release_Label'!$F:$F},2,0),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D597" s="121" t="str">
        <f t="array" ref="D597">ifs(and(isblank($A597),isblank($B597)),"", not(iserror(vlookup($A597&amp;$B597,'3) Release_Label'!$D:$D&amp;'3) Release_Label'!$E:$E,1,0))),vlookup($A597&amp;$B597,{'3) Release_Label'!$D:$D&amp;'3) Release_Label'!$E:$E,'3) Release_Label'!$H:$H},2,0),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E597" s="92"/>
      <c r="F597" s="92"/>
      <c r="G597" s="125" t="str">
        <f t="array" ref="G597">ifs(or($F597="",$F597="Main Primary Artist"),$F597,not(iserror(vlookup($F597,'Reference info'!$J$5:$J$8,1,0))),"Key Artist",not(iserror(vlookup($F597,'Reference info'!$J$38:$J$405,1,0))),"Performer",not(iserror(vlookup($F597,'Reference info'!$J$10:$J$36,1,0))),"Producer &amp; Engineer")</f>
        <v/>
      </c>
    </row>
    <row r="598">
      <c r="A598" s="28"/>
      <c r="B598" s="97"/>
      <c r="C598" s="121" t="str">
        <f t="array" ref="C598">ifs(and(isblank($A598),isblank($B598)),"", not(iserror(vlookup($A598&amp;$B598,'3) Release_Label'!$D:$D&amp;'3) Release_Label'!$E:$E,1,0))),vlookup($A598&amp;$B598,{'3) Release_Label'!$D:$D&amp;'3) Release_Label'!$E:$E,'3) Release_Label'!$F:$F},2,0),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D598" s="121" t="str">
        <f t="array" ref="D598">ifs(and(isblank($A598),isblank($B598)),"", not(iserror(vlookup($A598&amp;$B598,'3) Release_Label'!$D:$D&amp;'3) Release_Label'!$E:$E,1,0))),vlookup($A598&amp;$B598,{'3) Release_Label'!$D:$D&amp;'3) Release_Label'!$E:$E,'3) Release_Label'!$H:$H},2,0),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E598" s="92"/>
      <c r="F598" s="92"/>
      <c r="G598" s="125" t="str">
        <f t="array" ref="G598">ifs(or($F598="",$F598="Main Primary Artist"),$F598,not(iserror(vlookup($F598,'Reference info'!$J$5:$J$8,1,0))),"Key Artist",not(iserror(vlookup($F598,'Reference info'!$J$38:$J$405,1,0))),"Performer",not(iserror(vlookup($F598,'Reference info'!$J$10:$J$36,1,0))),"Producer &amp; Engineer")</f>
        <v/>
      </c>
    </row>
    <row r="599">
      <c r="A599" s="28"/>
      <c r="B599" s="97"/>
      <c r="C599" s="121" t="str">
        <f t="array" ref="C599">ifs(and(isblank($A599),isblank($B599)),"", not(iserror(vlookup($A599&amp;$B599,'3) Release_Label'!$D:$D&amp;'3) Release_Label'!$E:$E,1,0))),vlookup($A599&amp;$B599,{'3) Release_Label'!$D:$D&amp;'3) Release_Label'!$E:$E,'3) Release_Label'!$F:$F},2,0),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D599" s="121" t="str">
        <f t="array" ref="D599">ifs(and(isblank($A599),isblank($B599)),"", not(iserror(vlookup($A599&amp;$B599,'3) Release_Label'!$D:$D&amp;'3) Release_Label'!$E:$E,1,0))),vlookup($A599&amp;$B599,{'3) Release_Label'!$D:$D&amp;'3) Release_Label'!$E:$E,'3) Release_Label'!$H:$H},2,0),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E599" s="92"/>
      <c r="F599" s="92"/>
      <c r="G599" s="125" t="str">
        <f t="array" ref="G599">ifs(or($F599="",$F599="Main Primary Artist"),$F599,not(iserror(vlookup($F599,'Reference info'!$J$5:$J$8,1,0))),"Key Artist",not(iserror(vlookup($F599,'Reference info'!$J$38:$J$405,1,0))),"Performer",not(iserror(vlookup($F599,'Reference info'!$J$10:$J$36,1,0))),"Producer &amp; Engineer")</f>
        <v/>
      </c>
    </row>
    <row r="600">
      <c r="A600" s="28"/>
      <c r="B600" s="97"/>
      <c r="C600" s="121" t="str">
        <f t="array" ref="C600">ifs(and(isblank($A600),isblank($B600)),"", not(iserror(vlookup($A600&amp;$B600,'3) Release_Label'!$D:$D&amp;'3) Release_Label'!$E:$E,1,0))),vlookup($A600&amp;$B600,{'3) Release_Label'!$D:$D&amp;'3) Release_Label'!$E:$E,'3) Release_Label'!$F:$F},2,0),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D600" s="121" t="str">
        <f t="array" ref="D600">ifs(and(isblank($A600),isblank($B600)),"", not(iserror(vlookup($A600&amp;$B600,'3) Release_Label'!$D:$D&amp;'3) Release_Label'!$E:$E,1,0))),vlookup($A600&amp;$B600,{'3) Release_Label'!$D:$D&amp;'3) Release_Label'!$E:$E,'3) Release_Label'!$H:$H},2,0),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E600" s="92"/>
      <c r="F600" s="92"/>
      <c r="G600" s="125" t="str">
        <f t="array" ref="G600">ifs(or($F600="",$F600="Main Primary Artist"),$F600,not(iserror(vlookup($F600,'Reference info'!$J$5:$J$8,1,0))),"Key Artist",not(iserror(vlookup($F600,'Reference info'!$J$38:$J$405,1,0))),"Performer",not(iserror(vlookup($F600,'Reference info'!$J$10:$J$36,1,0))),"Producer &amp; Engineer")</f>
        <v/>
      </c>
    </row>
    <row r="601">
      <c r="A601" s="28"/>
      <c r="B601" s="97"/>
      <c r="C601" s="121" t="str">
        <f t="array" ref="C601">ifs(and(isblank($A601),isblank($B601)),"", not(iserror(vlookup($A601&amp;$B601,'3) Release_Label'!$D:$D&amp;'3) Release_Label'!$E:$E,1,0))),vlookup($A601&amp;$B601,{'3) Release_Label'!$D:$D&amp;'3) Release_Label'!$E:$E,'3) Release_Label'!$F:$F},2,0),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D601" s="121" t="str">
        <f t="array" ref="D601">ifs(and(isblank($A601),isblank($B601)),"", not(iserror(vlookup($A601&amp;$B601,'3) Release_Label'!$D:$D&amp;'3) Release_Label'!$E:$E,1,0))),vlookup($A601&amp;$B601,{'3) Release_Label'!$D:$D&amp;'3) Release_Label'!$E:$E,'3) Release_Label'!$H:$H},2,0),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E601" s="92"/>
      <c r="F601" s="92"/>
      <c r="G601" s="125" t="str">
        <f t="array" ref="G601">ifs(or($F601="",$F601="Main Primary Artist"),$F601,not(iserror(vlookup($F601,'Reference info'!$J$5:$J$8,1,0))),"Key Artist",not(iserror(vlookup($F601,'Reference info'!$J$38:$J$405,1,0))),"Performer",not(iserror(vlookup($F601,'Reference info'!$J$10:$J$36,1,0))),"Producer &amp; Engineer")</f>
        <v/>
      </c>
    </row>
    <row r="602">
      <c r="A602" s="28"/>
      <c r="B602" s="97"/>
      <c r="C602" s="121" t="str">
        <f t="array" ref="C602">ifs(and(isblank($A602),isblank($B602)),"", not(iserror(vlookup($A602&amp;$B602,'3) Release_Label'!$D:$D&amp;'3) Release_Label'!$E:$E,1,0))),vlookup($A602&amp;$B602,{'3) Release_Label'!$D:$D&amp;'3) Release_Label'!$E:$E,'3) Release_Label'!$F:$F},2,0),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D602" s="121" t="str">
        <f t="array" ref="D602">ifs(and(isblank($A602),isblank($B602)),"", not(iserror(vlookup($A602&amp;$B602,'3) Release_Label'!$D:$D&amp;'3) Release_Label'!$E:$E,1,0))),vlookup($A602&amp;$B602,{'3) Release_Label'!$D:$D&amp;'3) Release_Label'!$E:$E,'3) Release_Label'!$H:$H},2,0),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E602" s="92"/>
      <c r="F602" s="92"/>
      <c r="G602" s="125" t="str">
        <f t="array" ref="G602">ifs(or($F602="",$F602="Main Primary Artist"),$F602,not(iserror(vlookup($F602,'Reference info'!$J$5:$J$8,1,0))),"Key Artist",not(iserror(vlookup($F602,'Reference info'!$J$38:$J$405,1,0))),"Performer",not(iserror(vlookup($F602,'Reference info'!$J$10:$J$36,1,0))),"Producer &amp; Engineer")</f>
        <v/>
      </c>
    </row>
    <row r="603">
      <c r="A603" s="28"/>
      <c r="B603" s="97"/>
      <c r="C603" s="121" t="str">
        <f t="array" ref="C603">ifs(and(isblank($A603),isblank($B603)),"", not(iserror(vlookup($A603&amp;$B603,'3) Release_Label'!$D:$D&amp;'3) Release_Label'!$E:$E,1,0))),vlookup($A603&amp;$B603,{'3) Release_Label'!$D:$D&amp;'3) Release_Label'!$E:$E,'3) Release_Label'!$F:$F},2,0),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D603" s="121" t="str">
        <f t="array" ref="D603">ifs(and(isblank($A603),isblank($B603)),"", not(iserror(vlookup($A603&amp;$B603,'3) Release_Label'!$D:$D&amp;'3) Release_Label'!$E:$E,1,0))),vlookup($A603&amp;$B603,{'3) Release_Label'!$D:$D&amp;'3) Release_Label'!$E:$E,'3) Release_Label'!$H:$H},2,0),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E603" s="92"/>
      <c r="F603" s="92"/>
      <c r="G603" s="125" t="str">
        <f t="array" ref="G603">ifs(or($F603="",$F603="Main Primary Artist"),$F603,not(iserror(vlookup($F603,'Reference info'!$J$5:$J$8,1,0))),"Key Artist",not(iserror(vlookup($F603,'Reference info'!$J$38:$J$405,1,0))),"Performer",not(iserror(vlookup($F603,'Reference info'!$J$10:$J$36,1,0))),"Producer &amp; Engineer")</f>
        <v/>
      </c>
    </row>
    <row r="604">
      <c r="A604" s="28"/>
      <c r="B604" s="97"/>
      <c r="C604" s="121" t="str">
        <f t="array" ref="C604">ifs(and(isblank($A604),isblank($B604)),"", not(iserror(vlookup($A604&amp;$B604,'3) Release_Label'!$D:$D&amp;'3) Release_Label'!$E:$E,1,0))),vlookup($A604&amp;$B604,{'3) Release_Label'!$D:$D&amp;'3) Release_Label'!$E:$E,'3) Release_Label'!$F:$F},2,0),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D604" s="121" t="str">
        <f t="array" ref="D604">ifs(and(isblank($A604),isblank($B604)),"", not(iserror(vlookup($A604&amp;$B604,'3) Release_Label'!$D:$D&amp;'3) Release_Label'!$E:$E,1,0))),vlookup($A604&amp;$B604,{'3) Release_Label'!$D:$D&amp;'3) Release_Label'!$E:$E,'3) Release_Label'!$H:$H},2,0),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E604" s="92"/>
      <c r="F604" s="92"/>
      <c r="G604" s="125" t="str">
        <f t="array" ref="G604">ifs(or($F604="",$F604="Main Primary Artist"),$F604,not(iserror(vlookup($F604,'Reference info'!$J$5:$J$8,1,0))),"Key Artist",not(iserror(vlookup($F604,'Reference info'!$J$38:$J$405,1,0))),"Performer",not(iserror(vlookup($F604,'Reference info'!$J$10:$J$36,1,0))),"Producer &amp; Engineer")</f>
        <v/>
      </c>
    </row>
    <row r="605">
      <c r="A605" s="28"/>
      <c r="B605" s="97"/>
      <c r="C605" s="121" t="str">
        <f t="array" ref="C605">ifs(and(isblank($A605),isblank($B605)),"", not(iserror(vlookup($A605&amp;$B605,'3) Release_Label'!$D:$D&amp;'3) Release_Label'!$E:$E,1,0))),vlookup($A605&amp;$B605,{'3) Release_Label'!$D:$D&amp;'3) Release_Label'!$E:$E,'3) Release_Label'!$F:$F},2,0),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D605" s="121" t="str">
        <f t="array" ref="D605">ifs(and(isblank($A605),isblank($B605)),"", not(iserror(vlookup($A605&amp;$B605,'3) Release_Label'!$D:$D&amp;'3) Release_Label'!$E:$E,1,0))),vlookup($A605&amp;$B605,{'3) Release_Label'!$D:$D&amp;'3) Release_Label'!$E:$E,'3) Release_Label'!$H:$H},2,0),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E605" s="92"/>
      <c r="F605" s="92"/>
      <c r="G605" s="125" t="str">
        <f t="array" ref="G605">ifs(or($F605="",$F605="Main Primary Artist"),$F605,not(iserror(vlookup($F605,'Reference info'!$J$5:$J$8,1,0))),"Key Artist",not(iserror(vlookup($F605,'Reference info'!$J$38:$J$405,1,0))),"Performer",not(iserror(vlookup($F605,'Reference info'!$J$10:$J$36,1,0))),"Producer &amp; Engineer")</f>
        <v/>
      </c>
    </row>
    <row r="606">
      <c r="A606" s="28"/>
      <c r="B606" s="97"/>
      <c r="C606" s="121" t="str">
        <f t="array" ref="C606">ifs(and(isblank($A606),isblank($B606)),"", not(iserror(vlookup($A606&amp;$B606,'3) Release_Label'!$D:$D&amp;'3) Release_Label'!$E:$E,1,0))),vlookup($A606&amp;$B606,{'3) Release_Label'!$D:$D&amp;'3) Release_Label'!$E:$E,'3) Release_Label'!$F:$F},2,0),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D606" s="121" t="str">
        <f t="array" ref="D606">ifs(and(isblank($A606),isblank($B606)),"", not(iserror(vlookup($A606&amp;$B606,'3) Release_Label'!$D:$D&amp;'3) Release_Label'!$E:$E,1,0))),vlookup($A606&amp;$B606,{'3) Release_Label'!$D:$D&amp;'3) Release_Label'!$E:$E,'3) Release_Label'!$H:$H},2,0),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E606" s="92"/>
      <c r="F606" s="92"/>
      <c r="G606" s="125" t="str">
        <f t="array" ref="G606">ifs(or($F606="",$F606="Main Primary Artist"),$F606,not(iserror(vlookup($F606,'Reference info'!$J$5:$J$8,1,0))),"Key Artist",not(iserror(vlookup($F606,'Reference info'!$J$38:$J$405,1,0))),"Performer",not(iserror(vlookup($F606,'Reference info'!$J$10:$J$36,1,0))),"Producer &amp; Engineer")</f>
        <v/>
      </c>
    </row>
    <row r="607">
      <c r="A607" s="28"/>
      <c r="B607" s="97"/>
      <c r="C607" s="121" t="str">
        <f t="array" ref="C607">ifs(and(isblank($A607),isblank($B607)),"", not(iserror(vlookup($A607&amp;$B607,'3) Release_Label'!$D:$D&amp;'3) Release_Label'!$E:$E,1,0))),vlookup($A607&amp;$B607,{'3) Release_Label'!$D:$D&amp;'3) Release_Label'!$E:$E,'3) Release_Label'!$F:$F},2,0),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D607" s="121" t="str">
        <f t="array" ref="D607">ifs(and(isblank($A607),isblank($B607)),"", not(iserror(vlookup($A607&amp;$B607,'3) Release_Label'!$D:$D&amp;'3) Release_Label'!$E:$E,1,0))),vlookup($A607&amp;$B607,{'3) Release_Label'!$D:$D&amp;'3) Release_Label'!$E:$E,'3) Release_Label'!$H:$H},2,0),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E607" s="92"/>
      <c r="F607" s="92"/>
      <c r="G607" s="125" t="str">
        <f t="array" ref="G607">ifs(or($F607="",$F607="Main Primary Artist"),$F607,not(iserror(vlookup($F607,'Reference info'!$J$5:$J$8,1,0))),"Key Artist",not(iserror(vlookup($F607,'Reference info'!$J$38:$J$405,1,0))),"Performer",not(iserror(vlookup($F607,'Reference info'!$J$10:$J$36,1,0))),"Producer &amp; Engineer")</f>
        <v/>
      </c>
    </row>
    <row r="608">
      <c r="A608" s="28"/>
      <c r="B608" s="97"/>
      <c r="C608" s="121" t="str">
        <f t="array" ref="C608">ifs(and(isblank($A608),isblank($B608)),"", not(iserror(vlookup($A608&amp;$B608,'3) Release_Label'!$D:$D&amp;'3) Release_Label'!$E:$E,1,0))),vlookup($A608&amp;$B608,{'3) Release_Label'!$D:$D&amp;'3) Release_Label'!$E:$E,'3) Release_Label'!$F:$F},2,0),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D608" s="121" t="str">
        <f t="array" ref="D608">ifs(and(isblank($A608),isblank($B608)),"", not(iserror(vlookup($A608&amp;$B608,'3) Release_Label'!$D:$D&amp;'3) Release_Label'!$E:$E,1,0))),vlookup($A608&amp;$B608,{'3) Release_Label'!$D:$D&amp;'3) Release_Label'!$E:$E,'3) Release_Label'!$H:$H},2,0),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E608" s="92"/>
      <c r="F608" s="92"/>
      <c r="G608" s="125" t="str">
        <f t="array" ref="G608">ifs(or($F608="",$F608="Main Primary Artist"),$F608,not(iserror(vlookup($F608,'Reference info'!$J$5:$J$8,1,0))),"Key Artist",not(iserror(vlookup($F608,'Reference info'!$J$38:$J$405,1,0))),"Performer",not(iserror(vlookup($F608,'Reference info'!$J$10:$J$36,1,0))),"Producer &amp; Engineer")</f>
        <v/>
      </c>
    </row>
    <row r="609">
      <c r="A609" s="28"/>
      <c r="B609" s="97"/>
      <c r="C609" s="121" t="str">
        <f t="array" ref="C609">ifs(and(isblank($A609),isblank($B609)),"", not(iserror(vlookup($A609&amp;$B609,'3) Release_Label'!$D:$D&amp;'3) Release_Label'!$E:$E,1,0))),vlookup($A609&amp;$B609,{'3) Release_Label'!$D:$D&amp;'3) Release_Label'!$E:$E,'3) Release_Label'!$F:$F},2,0),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D609" s="121" t="str">
        <f t="array" ref="D609">ifs(and(isblank($A609),isblank($B609)),"", not(iserror(vlookup($A609&amp;$B609,'3) Release_Label'!$D:$D&amp;'3) Release_Label'!$E:$E,1,0))),vlookup($A609&amp;$B609,{'3) Release_Label'!$D:$D&amp;'3) Release_Label'!$E:$E,'3) Release_Label'!$H:$H},2,0),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E609" s="92"/>
      <c r="F609" s="92"/>
      <c r="G609" s="125" t="str">
        <f t="array" ref="G609">ifs(or($F609="",$F609="Main Primary Artist"),$F609,not(iserror(vlookup($F609,'Reference info'!$J$5:$J$8,1,0))),"Key Artist",not(iserror(vlookup($F609,'Reference info'!$J$38:$J$405,1,0))),"Performer",not(iserror(vlookup($F609,'Reference info'!$J$10:$J$36,1,0))),"Producer &amp; Engineer")</f>
        <v/>
      </c>
    </row>
    <row r="610">
      <c r="A610" s="28"/>
      <c r="B610" s="97"/>
      <c r="C610" s="121" t="str">
        <f t="array" ref="C610">ifs(and(isblank($A610),isblank($B610)),"", not(iserror(vlookup($A610&amp;$B610,'3) Release_Label'!$D:$D&amp;'3) Release_Label'!$E:$E,1,0))),vlookup($A610&amp;$B610,{'3) Release_Label'!$D:$D&amp;'3) Release_Label'!$E:$E,'3) Release_Label'!$F:$F},2,0),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D610" s="121" t="str">
        <f t="array" ref="D610">ifs(and(isblank($A610),isblank($B610)),"", not(iserror(vlookup($A610&amp;$B610,'3) Release_Label'!$D:$D&amp;'3) Release_Label'!$E:$E,1,0))),vlookup($A610&amp;$B610,{'3) Release_Label'!$D:$D&amp;'3) Release_Label'!$E:$E,'3) Release_Label'!$H:$H},2,0),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E610" s="92"/>
      <c r="F610" s="92"/>
      <c r="G610" s="125" t="str">
        <f t="array" ref="G610">ifs(or($F610="",$F610="Main Primary Artist"),$F610,not(iserror(vlookup($F610,'Reference info'!$J$5:$J$8,1,0))),"Key Artist",not(iserror(vlookup($F610,'Reference info'!$J$38:$J$405,1,0))),"Performer",not(iserror(vlookup($F610,'Reference info'!$J$10:$J$36,1,0))),"Producer &amp; Engineer")</f>
        <v/>
      </c>
    </row>
    <row r="611">
      <c r="A611" s="28"/>
      <c r="B611" s="97"/>
      <c r="C611" s="121" t="str">
        <f t="array" ref="C611">ifs(and(isblank($A611),isblank($B611)),"", not(iserror(vlookup($A611&amp;$B611,'3) Release_Label'!$D:$D&amp;'3) Release_Label'!$E:$E,1,0))),vlookup($A611&amp;$B611,{'3) Release_Label'!$D:$D&amp;'3) Release_Label'!$E:$E,'3) Release_Label'!$F:$F},2,0),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D611" s="121" t="str">
        <f t="array" ref="D611">ifs(and(isblank($A611),isblank($B611)),"", not(iserror(vlookup($A611&amp;$B611,'3) Release_Label'!$D:$D&amp;'3) Release_Label'!$E:$E,1,0))),vlookup($A611&amp;$B611,{'3) Release_Label'!$D:$D&amp;'3) Release_Label'!$E:$E,'3) Release_Label'!$H:$H},2,0),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E611" s="92"/>
      <c r="F611" s="92"/>
      <c r="G611" s="125" t="str">
        <f t="array" ref="G611">ifs(or($F611="",$F611="Main Primary Artist"),$F611,not(iserror(vlookup($F611,'Reference info'!$J$5:$J$8,1,0))),"Key Artist",not(iserror(vlookup($F611,'Reference info'!$J$38:$J$405,1,0))),"Performer",not(iserror(vlookup($F611,'Reference info'!$J$10:$J$36,1,0))),"Producer &amp; Engineer")</f>
        <v/>
      </c>
    </row>
    <row r="612">
      <c r="A612" s="28"/>
      <c r="B612" s="97"/>
      <c r="C612" s="121" t="str">
        <f t="array" ref="C612">ifs(and(isblank($A612),isblank($B612)),"", not(iserror(vlookup($A612&amp;$B612,'3) Release_Label'!$D:$D&amp;'3) Release_Label'!$E:$E,1,0))),vlookup($A612&amp;$B612,{'3) Release_Label'!$D:$D&amp;'3) Release_Label'!$E:$E,'3) Release_Label'!$F:$F},2,0),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D612" s="121" t="str">
        <f t="array" ref="D612">ifs(and(isblank($A612),isblank($B612)),"", not(iserror(vlookup($A612&amp;$B612,'3) Release_Label'!$D:$D&amp;'3) Release_Label'!$E:$E,1,0))),vlookup($A612&amp;$B612,{'3) Release_Label'!$D:$D&amp;'3) Release_Label'!$E:$E,'3) Release_Label'!$H:$H},2,0),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E612" s="92"/>
      <c r="F612" s="92"/>
      <c r="G612" s="125" t="str">
        <f t="array" ref="G612">ifs(or($F612="",$F612="Main Primary Artist"),$F612,not(iserror(vlookup($F612,'Reference info'!$J$5:$J$8,1,0))),"Key Artist",not(iserror(vlookup($F612,'Reference info'!$J$38:$J$405,1,0))),"Performer",not(iserror(vlookup($F612,'Reference info'!$J$10:$J$36,1,0))),"Producer &amp; Engineer")</f>
        <v/>
      </c>
    </row>
    <row r="613">
      <c r="A613" s="28"/>
      <c r="B613" s="97"/>
      <c r="C613" s="121" t="str">
        <f t="array" ref="C613">ifs(and(isblank($A613),isblank($B613)),"", not(iserror(vlookup($A613&amp;$B613,'3) Release_Label'!$D:$D&amp;'3) Release_Label'!$E:$E,1,0))),vlookup($A613&amp;$B613,{'3) Release_Label'!$D:$D&amp;'3) Release_Label'!$E:$E,'3) Release_Label'!$F:$F},2,0),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D613" s="121" t="str">
        <f t="array" ref="D613">ifs(and(isblank($A613),isblank($B613)),"", not(iserror(vlookup($A613&amp;$B613,'3) Release_Label'!$D:$D&amp;'3) Release_Label'!$E:$E,1,0))),vlookup($A613&amp;$B613,{'3) Release_Label'!$D:$D&amp;'3) Release_Label'!$E:$E,'3) Release_Label'!$H:$H},2,0),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E613" s="92"/>
      <c r="F613" s="92"/>
      <c r="G613" s="125" t="str">
        <f t="array" ref="G613">ifs(or($F613="",$F613="Main Primary Artist"),$F613,not(iserror(vlookup($F613,'Reference info'!$J$5:$J$8,1,0))),"Key Artist",not(iserror(vlookup($F613,'Reference info'!$J$38:$J$405,1,0))),"Performer",not(iserror(vlookup($F613,'Reference info'!$J$10:$J$36,1,0))),"Producer &amp; Engineer")</f>
        <v/>
      </c>
    </row>
    <row r="614">
      <c r="A614" s="28"/>
      <c r="B614" s="97"/>
      <c r="C614" s="121" t="str">
        <f t="array" ref="C614">ifs(and(isblank($A614),isblank($B614)),"", not(iserror(vlookup($A614&amp;$B614,'3) Release_Label'!$D:$D&amp;'3) Release_Label'!$E:$E,1,0))),vlookup($A614&amp;$B614,{'3) Release_Label'!$D:$D&amp;'3) Release_Label'!$E:$E,'3) Release_Label'!$F:$F},2,0),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D614" s="121" t="str">
        <f t="array" ref="D614">ifs(and(isblank($A614),isblank($B614)),"", not(iserror(vlookup($A614&amp;$B614,'3) Release_Label'!$D:$D&amp;'3) Release_Label'!$E:$E,1,0))),vlookup($A614&amp;$B614,{'3) Release_Label'!$D:$D&amp;'3) Release_Label'!$E:$E,'3) Release_Label'!$H:$H},2,0),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E614" s="92"/>
      <c r="F614" s="92"/>
      <c r="G614" s="125" t="str">
        <f t="array" ref="G614">ifs(or($F614="",$F614="Main Primary Artist"),$F614,not(iserror(vlookup($F614,'Reference info'!$J$5:$J$8,1,0))),"Key Artist",not(iserror(vlookup($F614,'Reference info'!$J$38:$J$405,1,0))),"Performer",not(iserror(vlookup($F614,'Reference info'!$J$10:$J$36,1,0))),"Producer &amp; Engineer")</f>
        <v/>
      </c>
    </row>
    <row r="615">
      <c r="A615" s="28"/>
      <c r="B615" s="97"/>
      <c r="C615" s="121" t="str">
        <f t="array" ref="C615">ifs(and(isblank($A615),isblank($B615)),"", not(iserror(vlookup($A615&amp;$B615,'3) Release_Label'!$D:$D&amp;'3) Release_Label'!$E:$E,1,0))),vlookup($A615&amp;$B615,{'3) Release_Label'!$D:$D&amp;'3) Release_Label'!$E:$E,'3) Release_Label'!$F:$F},2,0),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D615" s="121" t="str">
        <f t="array" ref="D615">ifs(and(isblank($A615),isblank($B615)),"", not(iserror(vlookup($A615&amp;$B615,'3) Release_Label'!$D:$D&amp;'3) Release_Label'!$E:$E,1,0))),vlookup($A615&amp;$B615,{'3) Release_Label'!$D:$D&amp;'3) Release_Label'!$E:$E,'3) Release_Label'!$H:$H},2,0),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E615" s="92"/>
      <c r="F615" s="92"/>
      <c r="G615" s="125" t="str">
        <f t="array" ref="G615">ifs(or($F615="",$F615="Main Primary Artist"),$F615,not(iserror(vlookup($F615,'Reference info'!$J$5:$J$8,1,0))),"Key Artist",not(iserror(vlookup($F615,'Reference info'!$J$38:$J$405,1,0))),"Performer",not(iserror(vlookup($F615,'Reference info'!$J$10:$J$36,1,0))),"Producer &amp; Engineer")</f>
        <v/>
      </c>
    </row>
    <row r="616">
      <c r="A616" s="28"/>
      <c r="B616" s="97"/>
      <c r="C616" s="121" t="str">
        <f t="array" ref="C616">ifs(and(isblank($A616),isblank($B616)),"", not(iserror(vlookup($A616&amp;$B616,'3) Release_Label'!$D:$D&amp;'3) Release_Label'!$E:$E,1,0))),vlookup($A616&amp;$B616,{'3) Release_Label'!$D:$D&amp;'3) Release_Label'!$E:$E,'3) Release_Label'!$F:$F},2,0),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D616" s="121" t="str">
        <f t="array" ref="D616">ifs(and(isblank($A616),isblank($B616)),"", not(iserror(vlookup($A616&amp;$B616,'3) Release_Label'!$D:$D&amp;'3) Release_Label'!$E:$E,1,0))),vlookup($A616&amp;$B616,{'3) Release_Label'!$D:$D&amp;'3) Release_Label'!$E:$E,'3) Release_Label'!$H:$H},2,0),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E616" s="92"/>
      <c r="F616" s="92"/>
      <c r="G616" s="125" t="str">
        <f t="array" ref="G616">ifs(or($F616="",$F616="Main Primary Artist"),$F616,not(iserror(vlookup($F616,'Reference info'!$J$5:$J$8,1,0))),"Key Artist",not(iserror(vlookup($F616,'Reference info'!$J$38:$J$405,1,0))),"Performer",not(iserror(vlookup($F616,'Reference info'!$J$10:$J$36,1,0))),"Producer &amp; Engineer")</f>
        <v/>
      </c>
    </row>
    <row r="617">
      <c r="A617" s="28"/>
      <c r="B617" s="97"/>
      <c r="C617" s="121" t="str">
        <f t="array" ref="C617">ifs(and(isblank($A617),isblank($B617)),"", not(iserror(vlookup($A617&amp;$B617,'3) Release_Label'!$D:$D&amp;'3) Release_Label'!$E:$E,1,0))),vlookup($A617&amp;$B617,{'3) Release_Label'!$D:$D&amp;'3) Release_Label'!$E:$E,'3) Release_Label'!$F:$F},2,0),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D617" s="121" t="str">
        <f t="array" ref="D617">ifs(and(isblank($A617),isblank($B617)),"", not(iserror(vlookup($A617&amp;$B617,'3) Release_Label'!$D:$D&amp;'3) Release_Label'!$E:$E,1,0))),vlookup($A617&amp;$B617,{'3) Release_Label'!$D:$D&amp;'3) Release_Label'!$E:$E,'3) Release_Label'!$H:$H},2,0),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E617" s="92"/>
      <c r="F617" s="92"/>
      <c r="G617" s="125" t="str">
        <f t="array" ref="G617">ifs(or($F617="",$F617="Main Primary Artist"),$F617,not(iserror(vlookup($F617,'Reference info'!$J$5:$J$8,1,0))),"Key Artist",not(iserror(vlookup($F617,'Reference info'!$J$38:$J$405,1,0))),"Performer",not(iserror(vlookup($F617,'Reference info'!$J$10:$J$36,1,0))),"Producer &amp; Engineer")</f>
        <v/>
      </c>
    </row>
    <row r="618">
      <c r="A618" s="28"/>
      <c r="B618" s="97"/>
      <c r="C618" s="121" t="str">
        <f t="array" ref="C618">ifs(and(isblank($A618),isblank($B618)),"", not(iserror(vlookup($A618&amp;$B618,'3) Release_Label'!$D:$D&amp;'3) Release_Label'!$E:$E,1,0))),vlookup($A618&amp;$B618,{'3) Release_Label'!$D:$D&amp;'3) Release_Label'!$E:$E,'3) Release_Label'!$F:$F},2,0), or(and(not(isblank($B618)),$B618=$B617,$A618&lt;&gt;$A617),and(not(isblank($A618)),$A618=$A617,$B618&lt;&gt;$B617)),"ID LISTS UNALIGNED",and($A618&lt;&gt;"",countif('3) Release_Label'!$D:$D,$A618)=0),"NO UPC MATCH in Release_Label",and($B618&lt;&gt;"",countif('3) Release_Label'!$E:$E,$B618)=0),"NO CATALOG ID MATCH in Release_Label",iserror(vlookup($A618&amp;$B618,'3) Release_Label'!$D:$D&amp;'3) Release_Label'!$E:$E,1,0)),"NO UPC-CATALOG ID pair MATCH in Release_Label" )</f>
        <v/>
      </c>
      <c r="D618" s="121" t="str">
        <f t="array" ref="D618">ifs(and(isblank($A618),isblank($B618)),"", not(iserror(vlookup($A618&amp;$B618,'3) Release_Label'!$D:$D&amp;'3) Release_Label'!$E:$E,1,0))),vlookup($A618&amp;$B618,{'3) Release_Label'!$D:$D&amp;'3) Release_Label'!$E:$E,'3) Release_Label'!$H:$H},2,0), or(and(not(isblank($B618)),$B618=$B617,$A618&lt;&gt;$A617),and(not(isblank($A618)),$A618=$A617,$B618&lt;&gt;$B617)),"ID LISTS UNALIGNED",and($A618&lt;&gt;"",countif('3) Release_Label'!$D:$D,$A618)=0),"NO UPC MATCH in Release_Label",and($B618&lt;&gt;"",countif('3) Release_Label'!$E:$E,$B618)=0),"NO CATALOG ID MATCH in Release_Label",iserror(vlookup($A618&amp;$B618,'3) Release_Label'!$D:$D&amp;'3) Release_Label'!$E:$E,1,0)),"NO UPC-CATALOG ID pair MATCH in Release_Label" )</f>
        <v/>
      </c>
      <c r="E618" s="92"/>
      <c r="F618" s="92"/>
      <c r="G618" s="125" t="str">
        <f t="array" ref="G618">ifs(or($F618="",$F618="Main Primary Artist"),$F618,not(iserror(vlookup($F618,'Reference info'!$J$5:$J$8,1,0))),"Key Artist",not(iserror(vlookup($F618,'Reference info'!$J$38:$J$405,1,0))),"Performer",not(iserror(vlookup($F618,'Reference info'!$J$10:$J$36,1,0))),"Producer &amp; Engineer")</f>
        <v/>
      </c>
    </row>
    <row r="619">
      <c r="A619" s="28"/>
      <c r="B619" s="97"/>
      <c r="C619" s="121" t="str">
        <f t="array" ref="C619">ifs(and(isblank($A619),isblank($B619)),"", not(iserror(vlookup($A619&amp;$B619,'3) Release_Label'!$D:$D&amp;'3) Release_Label'!$E:$E,1,0))),vlookup($A619&amp;$B619,{'3) Release_Label'!$D:$D&amp;'3) Release_Label'!$E:$E,'3) Release_Label'!$F:$F},2,0), or(and(not(isblank($B619)),$B619=$B618,$A619&lt;&gt;$A618),and(not(isblank($A619)),$A619=$A618,$B619&lt;&gt;$B618)),"ID LISTS UNALIGNED",and($A619&lt;&gt;"",countif('3) Release_Label'!$D:$D,$A619)=0),"NO UPC MATCH in Release_Label",and($B619&lt;&gt;"",countif('3) Release_Label'!$E:$E,$B619)=0),"NO CATALOG ID MATCH in Release_Label",iserror(vlookup($A619&amp;$B619,'3) Release_Label'!$D:$D&amp;'3) Release_Label'!$E:$E,1,0)),"NO UPC-CATALOG ID pair MATCH in Release_Label" )</f>
        <v/>
      </c>
      <c r="D619" s="121" t="str">
        <f t="array" ref="D619">ifs(and(isblank($A619),isblank($B619)),"", not(iserror(vlookup($A619&amp;$B619,'3) Release_Label'!$D:$D&amp;'3) Release_Label'!$E:$E,1,0))),vlookup($A619&amp;$B619,{'3) Release_Label'!$D:$D&amp;'3) Release_Label'!$E:$E,'3) Release_Label'!$H:$H},2,0), or(and(not(isblank($B619)),$B619=$B618,$A619&lt;&gt;$A618),and(not(isblank($A619)),$A619=$A618,$B619&lt;&gt;$B618)),"ID LISTS UNALIGNED",and($A619&lt;&gt;"",countif('3) Release_Label'!$D:$D,$A619)=0),"NO UPC MATCH in Release_Label",and($B619&lt;&gt;"",countif('3) Release_Label'!$E:$E,$B619)=0),"NO CATALOG ID MATCH in Release_Label",iserror(vlookup($A619&amp;$B619,'3) Release_Label'!$D:$D&amp;'3) Release_Label'!$E:$E,1,0)),"NO UPC-CATALOG ID pair MATCH in Release_Label" )</f>
        <v/>
      </c>
      <c r="E619" s="92"/>
      <c r="F619" s="92"/>
      <c r="G619" s="125" t="str">
        <f t="array" ref="G619">ifs(or($F619="",$F619="Main Primary Artist"),$F619,not(iserror(vlookup($F619,'Reference info'!$J$5:$J$8,1,0))),"Key Artist",not(iserror(vlookup($F619,'Reference info'!$J$38:$J$405,1,0))),"Performer",not(iserror(vlookup($F619,'Reference info'!$J$10:$J$36,1,0))),"Producer &amp; Engineer")</f>
        <v/>
      </c>
    </row>
    <row r="620">
      <c r="A620" s="28"/>
      <c r="B620" s="97"/>
      <c r="C620" s="121" t="str">
        <f t="array" ref="C620">ifs(and(isblank($A620),isblank($B620)),"", not(iserror(vlookup($A620&amp;$B620,'3) Release_Label'!$D:$D&amp;'3) Release_Label'!$E:$E,1,0))),vlookup($A620&amp;$B620,{'3) Release_Label'!$D:$D&amp;'3) Release_Label'!$E:$E,'3) Release_Label'!$F:$F},2,0), or(and(not(isblank($B620)),$B620=$B619,$A620&lt;&gt;$A619),and(not(isblank($A620)),$A620=$A619,$B620&lt;&gt;$B619)),"ID LISTS UNALIGNED",and($A620&lt;&gt;"",countif('3) Release_Label'!$D:$D,$A620)=0),"NO UPC MATCH in Release_Label",and($B620&lt;&gt;"",countif('3) Release_Label'!$E:$E,$B620)=0),"NO CATALOG ID MATCH in Release_Label",iserror(vlookup($A620&amp;$B620,'3) Release_Label'!$D:$D&amp;'3) Release_Label'!$E:$E,1,0)),"NO UPC-CATALOG ID pair MATCH in Release_Label" )</f>
        <v/>
      </c>
      <c r="D620" s="121" t="str">
        <f t="array" ref="D620">ifs(and(isblank($A620),isblank($B620)),"", not(iserror(vlookup($A620&amp;$B620,'3) Release_Label'!$D:$D&amp;'3) Release_Label'!$E:$E,1,0))),vlookup($A620&amp;$B620,{'3) Release_Label'!$D:$D&amp;'3) Release_Label'!$E:$E,'3) Release_Label'!$H:$H},2,0), or(and(not(isblank($B620)),$B620=$B619,$A620&lt;&gt;$A619),and(not(isblank($A620)),$A620=$A619,$B620&lt;&gt;$B619)),"ID LISTS UNALIGNED",and($A620&lt;&gt;"",countif('3) Release_Label'!$D:$D,$A620)=0),"NO UPC MATCH in Release_Label",and($B620&lt;&gt;"",countif('3) Release_Label'!$E:$E,$B620)=0),"NO CATALOG ID MATCH in Release_Label",iserror(vlookup($A620&amp;$B620,'3) Release_Label'!$D:$D&amp;'3) Release_Label'!$E:$E,1,0)),"NO UPC-CATALOG ID pair MATCH in Release_Label" )</f>
        <v/>
      </c>
      <c r="E620" s="92"/>
      <c r="F620" s="92"/>
      <c r="G620" s="125" t="str">
        <f t="array" ref="G620">ifs(or($F620="",$F620="Main Primary Artist"),$F620,not(iserror(vlookup($F620,'Reference info'!$J$5:$J$8,1,0))),"Key Artist",not(iserror(vlookup($F620,'Reference info'!$J$38:$J$405,1,0))),"Performer",not(iserror(vlookup($F620,'Reference info'!$J$10:$J$36,1,0))),"Producer &amp; Engineer")</f>
        <v/>
      </c>
    </row>
    <row r="621">
      <c r="A621" s="28"/>
      <c r="B621" s="97"/>
      <c r="C621" s="121" t="str">
        <f t="array" ref="C621">ifs(and(isblank($A621),isblank($B621)),"", not(iserror(vlookup($A621&amp;$B621,'3) Release_Label'!$D:$D&amp;'3) Release_Label'!$E:$E,1,0))),vlookup($A621&amp;$B621,{'3) Release_Label'!$D:$D&amp;'3) Release_Label'!$E:$E,'3) Release_Label'!$F:$F},2,0), or(and(not(isblank($B621)),$B621=$B620,$A621&lt;&gt;$A620),and(not(isblank($A621)),$A621=$A620,$B621&lt;&gt;$B620)),"ID LISTS UNALIGNED",and($A621&lt;&gt;"",countif('3) Release_Label'!$D:$D,$A621)=0),"NO UPC MATCH in Release_Label",and($B621&lt;&gt;"",countif('3) Release_Label'!$E:$E,$B621)=0),"NO CATALOG ID MATCH in Release_Label",iserror(vlookup($A621&amp;$B621,'3) Release_Label'!$D:$D&amp;'3) Release_Label'!$E:$E,1,0)),"NO UPC-CATALOG ID pair MATCH in Release_Label" )</f>
        <v/>
      </c>
      <c r="D621" s="121" t="str">
        <f t="array" ref="D621">ifs(and(isblank($A621),isblank($B621)),"", not(iserror(vlookup($A621&amp;$B621,'3) Release_Label'!$D:$D&amp;'3) Release_Label'!$E:$E,1,0))),vlookup($A621&amp;$B621,{'3) Release_Label'!$D:$D&amp;'3) Release_Label'!$E:$E,'3) Release_Label'!$H:$H},2,0), or(and(not(isblank($B621)),$B621=$B620,$A621&lt;&gt;$A620),and(not(isblank($A621)),$A621=$A620,$B621&lt;&gt;$B620)),"ID LISTS UNALIGNED",and($A621&lt;&gt;"",countif('3) Release_Label'!$D:$D,$A621)=0),"NO UPC MATCH in Release_Label",and($B621&lt;&gt;"",countif('3) Release_Label'!$E:$E,$B621)=0),"NO CATALOG ID MATCH in Release_Label",iserror(vlookup($A621&amp;$B621,'3) Release_Label'!$D:$D&amp;'3) Release_Label'!$E:$E,1,0)),"NO UPC-CATALOG ID pair MATCH in Release_Label" )</f>
        <v/>
      </c>
      <c r="E621" s="92"/>
      <c r="F621" s="92"/>
      <c r="G621" s="125" t="str">
        <f t="array" ref="G621">ifs(or($F621="",$F621="Main Primary Artist"),$F621,not(iserror(vlookup($F621,'Reference info'!$J$5:$J$8,1,0))),"Key Artist",not(iserror(vlookup($F621,'Reference info'!$J$38:$J$405,1,0))),"Performer",not(iserror(vlookup($F621,'Reference info'!$J$10:$J$36,1,0))),"Producer &amp; Engineer")</f>
        <v/>
      </c>
    </row>
    <row r="622">
      <c r="A622" s="28"/>
      <c r="B622" s="97"/>
      <c r="C622" s="121" t="str">
        <f t="array" ref="C622">ifs(and(isblank($A622),isblank($B622)),"", not(iserror(vlookup($A622&amp;$B622,'3) Release_Label'!$D:$D&amp;'3) Release_Label'!$E:$E,1,0))),vlookup($A622&amp;$B622,{'3) Release_Label'!$D:$D&amp;'3) Release_Label'!$E:$E,'3) Release_Label'!$F:$F},2,0), or(and(not(isblank($B622)),$B622=$B621,$A622&lt;&gt;$A621),and(not(isblank($A622)),$A622=$A621,$B622&lt;&gt;$B621)),"ID LISTS UNALIGNED",and($A622&lt;&gt;"",countif('3) Release_Label'!$D:$D,$A622)=0),"NO UPC MATCH in Release_Label",and($B622&lt;&gt;"",countif('3) Release_Label'!$E:$E,$B622)=0),"NO CATALOG ID MATCH in Release_Label",iserror(vlookup($A622&amp;$B622,'3) Release_Label'!$D:$D&amp;'3) Release_Label'!$E:$E,1,0)),"NO UPC-CATALOG ID pair MATCH in Release_Label" )</f>
        <v/>
      </c>
      <c r="D622" s="121" t="str">
        <f t="array" ref="D622">ifs(and(isblank($A622),isblank($B622)),"", not(iserror(vlookup($A622&amp;$B622,'3) Release_Label'!$D:$D&amp;'3) Release_Label'!$E:$E,1,0))),vlookup($A622&amp;$B622,{'3) Release_Label'!$D:$D&amp;'3) Release_Label'!$E:$E,'3) Release_Label'!$H:$H},2,0), or(and(not(isblank($B622)),$B622=$B621,$A622&lt;&gt;$A621),and(not(isblank($A622)),$A622=$A621,$B622&lt;&gt;$B621)),"ID LISTS UNALIGNED",and($A622&lt;&gt;"",countif('3) Release_Label'!$D:$D,$A622)=0),"NO UPC MATCH in Release_Label",and($B622&lt;&gt;"",countif('3) Release_Label'!$E:$E,$B622)=0),"NO CATALOG ID MATCH in Release_Label",iserror(vlookup($A622&amp;$B622,'3) Release_Label'!$D:$D&amp;'3) Release_Label'!$E:$E,1,0)),"NO UPC-CATALOG ID pair MATCH in Release_Label" )</f>
        <v/>
      </c>
      <c r="E622" s="92"/>
      <c r="F622" s="92"/>
      <c r="G622" s="125" t="str">
        <f t="array" ref="G622">ifs(or($F622="",$F622="Main Primary Artist"),$F622,not(iserror(vlookup($F622,'Reference info'!$J$5:$J$8,1,0))),"Key Artist",not(iserror(vlookup($F622,'Reference info'!$J$38:$J$405,1,0))),"Performer",not(iserror(vlookup($F622,'Reference info'!$J$10:$J$36,1,0))),"Producer &amp; Engineer")</f>
        <v/>
      </c>
    </row>
    <row r="623">
      <c r="A623" s="28"/>
      <c r="B623" s="97"/>
      <c r="C623" s="121" t="str">
        <f t="array" ref="C623">ifs(and(isblank($A623),isblank($B623)),"", not(iserror(vlookup($A623&amp;$B623,'3) Release_Label'!$D:$D&amp;'3) Release_Label'!$E:$E,1,0))),vlookup($A623&amp;$B623,{'3) Release_Label'!$D:$D&amp;'3) Release_Label'!$E:$E,'3) Release_Label'!$F:$F},2,0), or(and(not(isblank($B623)),$B623=$B622,$A623&lt;&gt;$A622),and(not(isblank($A623)),$A623=$A622,$B623&lt;&gt;$B622)),"ID LISTS UNALIGNED",and($A623&lt;&gt;"",countif('3) Release_Label'!$D:$D,$A623)=0),"NO UPC MATCH in Release_Label",and($B623&lt;&gt;"",countif('3) Release_Label'!$E:$E,$B623)=0),"NO CATALOG ID MATCH in Release_Label",iserror(vlookup($A623&amp;$B623,'3) Release_Label'!$D:$D&amp;'3) Release_Label'!$E:$E,1,0)),"NO UPC-CATALOG ID pair MATCH in Release_Label" )</f>
        <v/>
      </c>
      <c r="D623" s="121" t="str">
        <f t="array" ref="D623">ifs(and(isblank($A623),isblank($B623)),"", not(iserror(vlookup($A623&amp;$B623,'3) Release_Label'!$D:$D&amp;'3) Release_Label'!$E:$E,1,0))),vlookup($A623&amp;$B623,{'3) Release_Label'!$D:$D&amp;'3) Release_Label'!$E:$E,'3) Release_Label'!$H:$H},2,0), or(and(not(isblank($B623)),$B623=$B622,$A623&lt;&gt;$A622),and(not(isblank($A623)),$A623=$A622,$B623&lt;&gt;$B622)),"ID LISTS UNALIGNED",and($A623&lt;&gt;"",countif('3) Release_Label'!$D:$D,$A623)=0),"NO UPC MATCH in Release_Label",and($B623&lt;&gt;"",countif('3) Release_Label'!$E:$E,$B623)=0),"NO CATALOG ID MATCH in Release_Label",iserror(vlookup($A623&amp;$B623,'3) Release_Label'!$D:$D&amp;'3) Release_Label'!$E:$E,1,0)),"NO UPC-CATALOG ID pair MATCH in Release_Label" )</f>
        <v/>
      </c>
      <c r="E623" s="92"/>
      <c r="F623" s="92"/>
      <c r="G623" s="125" t="str">
        <f t="array" ref="G623">ifs(or($F623="",$F623="Main Primary Artist"),$F623,not(iserror(vlookup($F623,'Reference info'!$J$5:$J$8,1,0))),"Key Artist",not(iserror(vlookup($F623,'Reference info'!$J$38:$J$405,1,0))),"Performer",not(iserror(vlookup($F623,'Reference info'!$J$10:$J$36,1,0))),"Producer &amp; Engineer")</f>
        <v/>
      </c>
    </row>
    <row r="624">
      <c r="A624" s="28"/>
      <c r="B624" s="97"/>
      <c r="C624" s="121" t="str">
        <f t="array" ref="C624">ifs(and(isblank($A624),isblank($B624)),"", not(iserror(vlookup($A624&amp;$B624,'3) Release_Label'!$D:$D&amp;'3) Release_Label'!$E:$E,1,0))),vlookup($A624&amp;$B624,{'3) Release_Label'!$D:$D&amp;'3) Release_Label'!$E:$E,'3) Release_Label'!$F:$F},2,0), or(and(not(isblank($B624)),$B624=$B623,$A624&lt;&gt;$A623),and(not(isblank($A624)),$A624=$A623,$B624&lt;&gt;$B623)),"ID LISTS UNALIGNED",and($A624&lt;&gt;"",countif('3) Release_Label'!$D:$D,$A624)=0),"NO UPC MATCH in Release_Label",and($B624&lt;&gt;"",countif('3) Release_Label'!$E:$E,$B624)=0),"NO CATALOG ID MATCH in Release_Label",iserror(vlookup($A624&amp;$B624,'3) Release_Label'!$D:$D&amp;'3) Release_Label'!$E:$E,1,0)),"NO UPC-CATALOG ID pair MATCH in Release_Label" )</f>
        <v/>
      </c>
      <c r="D624" s="121" t="str">
        <f t="array" ref="D624">ifs(and(isblank($A624),isblank($B624)),"", not(iserror(vlookup($A624&amp;$B624,'3) Release_Label'!$D:$D&amp;'3) Release_Label'!$E:$E,1,0))),vlookup($A624&amp;$B624,{'3) Release_Label'!$D:$D&amp;'3) Release_Label'!$E:$E,'3) Release_Label'!$H:$H},2,0), or(and(not(isblank($B624)),$B624=$B623,$A624&lt;&gt;$A623),and(not(isblank($A624)),$A624=$A623,$B624&lt;&gt;$B623)),"ID LISTS UNALIGNED",and($A624&lt;&gt;"",countif('3) Release_Label'!$D:$D,$A624)=0),"NO UPC MATCH in Release_Label",and($B624&lt;&gt;"",countif('3) Release_Label'!$E:$E,$B624)=0),"NO CATALOG ID MATCH in Release_Label",iserror(vlookup($A624&amp;$B624,'3) Release_Label'!$D:$D&amp;'3) Release_Label'!$E:$E,1,0)),"NO UPC-CATALOG ID pair MATCH in Release_Label" )</f>
        <v/>
      </c>
      <c r="E624" s="92"/>
      <c r="F624" s="92"/>
      <c r="G624" s="125" t="str">
        <f t="array" ref="G624">ifs(or($F624="",$F624="Main Primary Artist"),$F624,not(iserror(vlookup($F624,'Reference info'!$J$5:$J$8,1,0))),"Key Artist",not(iserror(vlookup($F624,'Reference info'!$J$38:$J$405,1,0))),"Performer",not(iserror(vlookup($F624,'Reference info'!$J$10:$J$36,1,0))),"Producer &amp; Engineer")</f>
        <v/>
      </c>
    </row>
    <row r="625">
      <c r="A625" s="28"/>
      <c r="B625" s="97"/>
      <c r="C625" s="121" t="str">
        <f t="array" ref="C625">ifs(and(isblank($A625),isblank($B625)),"", not(iserror(vlookup($A625&amp;$B625,'3) Release_Label'!$D:$D&amp;'3) Release_Label'!$E:$E,1,0))),vlookup($A625&amp;$B625,{'3) Release_Label'!$D:$D&amp;'3) Release_Label'!$E:$E,'3) Release_Label'!$F:$F},2,0), or(and(not(isblank($B625)),$B625=$B624,$A625&lt;&gt;$A624),and(not(isblank($A625)),$A625=$A624,$B625&lt;&gt;$B624)),"ID LISTS UNALIGNED",and($A625&lt;&gt;"",countif('3) Release_Label'!$D:$D,$A625)=0),"NO UPC MATCH in Release_Label",and($B625&lt;&gt;"",countif('3) Release_Label'!$E:$E,$B625)=0),"NO CATALOG ID MATCH in Release_Label",iserror(vlookup($A625&amp;$B625,'3) Release_Label'!$D:$D&amp;'3) Release_Label'!$E:$E,1,0)),"NO UPC-CATALOG ID pair MATCH in Release_Label" )</f>
        <v/>
      </c>
      <c r="D625" s="121" t="str">
        <f t="array" ref="D625">ifs(and(isblank($A625),isblank($B625)),"", not(iserror(vlookup($A625&amp;$B625,'3) Release_Label'!$D:$D&amp;'3) Release_Label'!$E:$E,1,0))),vlookup($A625&amp;$B625,{'3) Release_Label'!$D:$D&amp;'3) Release_Label'!$E:$E,'3) Release_Label'!$H:$H},2,0), or(and(not(isblank($B625)),$B625=$B624,$A625&lt;&gt;$A624),and(not(isblank($A625)),$A625=$A624,$B625&lt;&gt;$B624)),"ID LISTS UNALIGNED",and($A625&lt;&gt;"",countif('3) Release_Label'!$D:$D,$A625)=0),"NO UPC MATCH in Release_Label",and($B625&lt;&gt;"",countif('3) Release_Label'!$E:$E,$B625)=0),"NO CATALOG ID MATCH in Release_Label",iserror(vlookup($A625&amp;$B625,'3) Release_Label'!$D:$D&amp;'3) Release_Label'!$E:$E,1,0)),"NO UPC-CATALOG ID pair MATCH in Release_Label" )</f>
        <v/>
      </c>
      <c r="E625" s="92"/>
      <c r="F625" s="92"/>
      <c r="G625" s="125" t="str">
        <f t="array" ref="G625">ifs(or($F625="",$F625="Main Primary Artist"),$F625,not(iserror(vlookup($F625,'Reference info'!$J$5:$J$8,1,0))),"Key Artist",not(iserror(vlookup($F625,'Reference info'!$J$38:$J$405,1,0))),"Performer",not(iserror(vlookup($F625,'Reference info'!$J$10:$J$36,1,0))),"Producer &amp; Engineer")</f>
        <v/>
      </c>
    </row>
    <row r="626">
      <c r="A626" s="28"/>
      <c r="B626" s="97"/>
      <c r="C626" s="121" t="str">
        <f t="array" ref="C626">ifs(and(isblank($A626),isblank($B626)),"", not(iserror(vlookup($A626&amp;$B626,'3) Release_Label'!$D:$D&amp;'3) Release_Label'!$E:$E,1,0))),vlookup($A626&amp;$B626,{'3) Release_Label'!$D:$D&amp;'3) Release_Label'!$E:$E,'3) Release_Label'!$F:$F},2,0), or(and(not(isblank($B626)),$B626=$B625,$A626&lt;&gt;$A625),and(not(isblank($A626)),$A626=$A625,$B626&lt;&gt;$B625)),"ID LISTS UNALIGNED",and($A626&lt;&gt;"",countif('3) Release_Label'!$D:$D,$A626)=0),"NO UPC MATCH in Release_Label",and($B626&lt;&gt;"",countif('3) Release_Label'!$E:$E,$B626)=0),"NO CATALOG ID MATCH in Release_Label",iserror(vlookup($A626&amp;$B626,'3) Release_Label'!$D:$D&amp;'3) Release_Label'!$E:$E,1,0)),"NO UPC-CATALOG ID pair MATCH in Release_Label" )</f>
        <v/>
      </c>
      <c r="D626" s="121" t="str">
        <f t="array" ref="D626">ifs(and(isblank($A626),isblank($B626)),"", not(iserror(vlookup($A626&amp;$B626,'3) Release_Label'!$D:$D&amp;'3) Release_Label'!$E:$E,1,0))),vlookup($A626&amp;$B626,{'3) Release_Label'!$D:$D&amp;'3) Release_Label'!$E:$E,'3) Release_Label'!$H:$H},2,0), or(and(not(isblank($B626)),$B626=$B625,$A626&lt;&gt;$A625),and(not(isblank($A626)),$A626=$A625,$B626&lt;&gt;$B625)),"ID LISTS UNALIGNED",and($A626&lt;&gt;"",countif('3) Release_Label'!$D:$D,$A626)=0),"NO UPC MATCH in Release_Label",and($B626&lt;&gt;"",countif('3) Release_Label'!$E:$E,$B626)=0),"NO CATALOG ID MATCH in Release_Label",iserror(vlookup($A626&amp;$B626,'3) Release_Label'!$D:$D&amp;'3) Release_Label'!$E:$E,1,0)),"NO UPC-CATALOG ID pair MATCH in Release_Label" )</f>
        <v/>
      </c>
      <c r="E626" s="92"/>
      <c r="F626" s="92"/>
      <c r="G626" s="125" t="str">
        <f t="array" ref="G626">ifs(or($F626="",$F626="Main Primary Artist"),$F626,not(iserror(vlookup($F626,'Reference info'!$J$5:$J$8,1,0))),"Key Artist",not(iserror(vlookup($F626,'Reference info'!$J$38:$J$405,1,0))),"Performer",not(iserror(vlookup($F626,'Reference info'!$J$10:$J$36,1,0))),"Producer &amp; Engineer")</f>
        <v/>
      </c>
    </row>
    <row r="627">
      <c r="A627" s="28"/>
      <c r="B627" s="97"/>
      <c r="C627" s="121" t="str">
        <f t="array" ref="C627">ifs(and(isblank($A627),isblank($B627)),"", not(iserror(vlookup($A627&amp;$B627,'3) Release_Label'!$D:$D&amp;'3) Release_Label'!$E:$E,1,0))),vlookup($A627&amp;$B627,{'3) Release_Label'!$D:$D&amp;'3) Release_Label'!$E:$E,'3) Release_Label'!$F:$F},2,0), or(and(not(isblank($B627)),$B627=$B626,$A627&lt;&gt;$A626),and(not(isblank($A627)),$A627=$A626,$B627&lt;&gt;$B626)),"ID LISTS UNALIGNED",and($A627&lt;&gt;"",countif('3) Release_Label'!$D:$D,$A627)=0),"NO UPC MATCH in Release_Label",and($B627&lt;&gt;"",countif('3) Release_Label'!$E:$E,$B627)=0),"NO CATALOG ID MATCH in Release_Label",iserror(vlookup($A627&amp;$B627,'3) Release_Label'!$D:$D&amp;'3) Release_Label'!$E:$E,1,0)),"NO UPC-CATALOG ID pair MATCH in Release_Label" )</f>
        <v/>
      </c>
      <c r="D627" s="121" t="str">
        <f t="array" ref="D627">ifs(and(isblank($A627),isblank($B627)),"", not(iserror(vlookup($A627&amp;$B627,'3) Release_Label'!$D:$D&amp;'3) Release_Label'!$E:$E,1,0))),vlookup($A627&amp;$B627,{'3) Release_Label'!$D:$D&amp;'3) Release_Label'!$E:$E,'3) Release_Label'!$H:$H},2,0), or(and(not(isblank($B627)),$B627=$B626,$A627&lt;&gt;$A626),and(not(isblank($A627)),$A627=$A626,$B627&lt;&gt;$B626)),"ID LISTS UNALIGNED",and($A627&lt;&gt;"",countif('3) Release_Label'!$D:$D,$A627)=0),"NO UPC MATCH in Release_Label",and($B627&lt;&gt;"",countif('3) Release_Label'!$E:$E,$B627)=0),"NO CATALOG ID MATCH in Release_Label",iserror(vlookup($A627&amp;$B627,'3) Release_Label'!$D:$D&amp;'3) Release_Label'!$E:$E,1,0)),"NO UPC-CATALOG ID pair MATCH in Release_Label" )</f>
        <v/>
      </c>
      <c r="E627" s="92"/>
      <c r="F627" s="92"/>
      <c r="G627" s="125" t="str">
        <f t="array" ref="G627">ifs(or($F627="",$F627="Main Primary Artist"),$F627,not(iserror(vlookup($F627,'Reference info'!$J$5:$J$8,1,0))),"Key Artist",not(iserror(vlookup($F627,'Reference info'!$J$38:$J$405,1,0))),"Performer",not(iserror(vlookup($F627,'Reference info'!$J$10:$J$36,1,0))),"Producer &amp; Engineer")</f>
        <v/>
      </c>
    </row>
    <row r="628">
      <c r="A628" s="28"/>
      <c r="B628" s="97"/>
      <c r="C628" s="121" t="str">
        <f t="array" ref="C628">ifs(and(isblank($A628),isblank($B628)),"", not(iserror(vlookup($A628&amp;$B628,'3) Release_Label'!$D:$D&amp;'3) Release_Label'!$E:$E,1,0))),vlookup($A628&amp;$B628,{'3) Release_Label'!$D:$D&amp;'3) Release_Label'!$E:$E,'3) Release_Label'!$F:$F},2,0), or(and(not(isblank($B628)),$B628=$B627,$A628&lt;&gt;$A627),and(not(isblank($A628)),$A628=$A627,$B628&lt;&gt;$B627)),"ID LISTS UNALIGNED",and($A628&lt;&gt;"",countif('3) Release_Label'!$D:$D,$A628)=0),"NO UPC MATCH in Release_Label",and($B628&lt;&gt;"",countif('3) Release_Label'!$E:$E,$B628)=0),"NO CATALOG ID MATCH in Release_Label",iserror(vlookup($A628&amp;$B628,'3) Release_Label'!$D:$D&amp;'3) Release_Label'!$E:$E,1,0)),"NO UPC-CATALOG ID pair MATCH in Release_Label" )</f>
        <v/>
      </c>
      <c r="D628" s="121" t="str">
        <f t="array" ref="D628">ifs(and(isblank($A628),isblank($B628)),"", not(iserror(vlookup($A628&amp;$B628,'3) Release_Label'!$D:$D&amp;'3) Release_Label'!$E:$E,1,0))),vlookup($A628&amp;$B628,{'3) Release_Label'!$D:$D&amp;'3) Release_Label'!$E:$E,'3) Release_Label'!$H:$H},2,0), or(and(not(isblank($B628)),$B628=$B627,$A628&lt;&gt;$A627),and(not(isblank($A628)),$A628=$A627,$B628&lt;&gt;$B627)),"ID LISTS UNALIGNED",and($A628&lt;&gt;"",countif('3) Release_Label'!$D:$D,$A628)=0),"NO UPC MATCH in Release_Label",and($B628&lt;&gt;"",countif('3) Release_Label'!$E:$E,$B628)=0),"NO CATALOG ID MATCH in Release_Label",iserror(vlookup($A628&amp;$B628,'3) Release_Label'!$D:$D&amp;'3) Release_Label'!$E:$E,1,0)),"NO UPC-CATALOG ID pair MATCH in Release_Label" )</f>
        <v/>
      </c>
      <c r="E628" s="92"/>
      <c r="F628" s="92"/>
      <c r="G628" s="125" t="str">
        <f t="array" ref="G628">ifs(or($F628="",$F628="Main Primary Artist"),$F628,not(iserror(vlookup($F628,'Reference info'!$J$5:$J$8,1,0))),"Key Artist",not(iserror(vlookup($F628,'Reference info'!$J$38:$J$405,1,0))),"Performer",not(iserror(vlookup($F628,'Reference info'!$J$10:$J$36,1,0))),"Producer &amp; Engineer")</f>
        <v/>
      </c>
    </row>
    <row r="629">
      <c r="A629" s="28"/>
      <c r="B629" s="97"/>
      <c r="C629" s="121" t="str">
        <f t="array" ref="C629">ifs(and(isblank($A629),isblank($B629)),"", not(iserror(vlookup($A629&amp;$B629,'3) Release_Label'!$D:$D&amp;'3) Release_Label'!$E:$E,1,0))),vlookup($A629&amp;$B629,{'3) Release_Label'!$D:$D&amp;'3) Release_Label'!$E:$E,'3) Release_Label'!$F:$F},2,0), or(and(not(isblank($B629)),$B629=$B628,$A629&lt;&gt;$A628),and(not(isblank($A629)),$A629=$A628,$B629&lt;&gt;$B628)),"ID LISTS UNALIGNED",and($A629&lt;&gt;"",countif('3) Release_Label'!$D:$D,$A629)=0),"NO UPC MATCH in Release_Label",and($B629&lt;&gt;"",countif('3) Release_Label'!$E:$E,$B629)=0),"NO CATALOG ID MATCH in Release_Label",iserror(vlookup($A629&amp;$B629,'3) Release_Label'!$D:$D&amp;'3) Release_Label'!$E:$E,1,0)),"NO UPC-CATALOG ID pair MATCH in Release_Label" )</f>
        <v/>
      </c>
      <c r="D629" s="121" t="str">
        <f t="array" ref="D629">ifs(and(isblank($A629),isblank($B629)),"", not(iserror(vlookup($A629&amp;$B629,'3) Release_Label'!$D:$D&amp;'3) Release_Label'!$E:$E,1,0))),vlookup($A629&amp;$B629,{'3) Release_Label'!$D:$D&amp;'3) Release_Label'!$E:$E,'3) Release_Label'!$H:$H},2,0), or(and(not(isblank($B629)),$B629=$B628,$A629&lt;&gt;$A628),and(not(isblank($A629)),$A629=$A628,$B629&lt;&gt;$B628)),"ID LISTS UNALIGNED",and($A629&lt;&gt;"",countif('3) Release_Label'!$D:$D,$A629)=0),"NO UPC MATCH in Release_Label",and($B629&lt;&gt;"",countif('3) Release_Label'!$E:$E,$B629)=0),"NO CATALOG ID MATCH in Release_Label",iserror(vlookup($A629&amp;$B629,'3) Release_Label'!$D:$D&amp;'3) Release_Label'!$E:$E,1,0)),"NO UPC-CATALOG ID pair MATCH in Release_Label" )</f>
        <v/>
      </c>
      <c r="E629" s="92"/>
      <c r="F629" s="92"/>
      <c r="G629" s="125" t="str">
        <f t="array" ref="G629">ifs(or($F629="",$F629="Main Primary Artist"),$F629,not(iserror(vlookup($F629,'Reference info'!$J$5:$J$8,1,0))),"Key Artist",not(iserror(vlookup($F629,'Reference info'!$J$38:$J$405,1,0))),"Performer",not(iserror(vlookup($F629,'Reference info'!$J$10:$J$36,1,0))),"Producer &amp; Engineer")</f>
        <v/>
      </c>
    </row>
    <row r="630">
      <c r="A630" s="28"/>
      <c r="B630" s="97"/>
      <c r="C630" s="121" t="str">
        <f t="array" ref="C630">ifs(and(isblank($A630),isblank($B630)),"", not(iserror(vlookup($A630&amp;$B630,'3) Release_Label'!$D:$D&amp;'3) Release_Label'!$E:$E,1,0))),vlookup($A630&amp;$B630,{'3) Release_Label'!$D:$D&amp;'3) Release_Label'!$E:$E,'3) Release_Label'!$F:$F},2,0), or(and(not(isblank($B630)),$B630=$B629,$A630&lt;&gt;$A629),and(not(isblank($A630)),$A630=$A629,$B630&lt;&gt;$B629)),"ID LISTS UNALIGNED",and($A630&lt;&gt;"",countif('3) Release_Label'!$D:$D,$A630)=0),"NO UPC MATCH in Release_Label",and($B630&lt;&gt;"",countif('3) Release_Label'!$E:$E,$B630)=0),"NO CATALOG ID MATCH in Release_Label",iserror(vlookup($A630&amp;$B630,'3) Release_Label'!$D:$D&amp;'3) Release_Label'!$E:$E,1,0)),"NO UPC-CATALOG ID pair MATCH in Release_Label" )</f>
        <v/>
      </c>
      <c r="D630" s="121" t="str">
        <f t="array" ref="D630">ifs(and(isblank($A630),isblank($B630)),"", not(iserror(vlookup($A630&amp;$B630,'3) Release_Label'!$D:$D&amp;'3) Release_Label'!$E:$E,1,0))),vlookup($A630&amp;$B630,{'3) Release_Label'!$D:$D&amp;'3) Release_Label'!$E:$E,'3) Release_Label'!$H:$H},2,0), or(and(not(isblank($B630)),$B630=$B629,$A630&lt;&gt;$A629),and(not(isblank($A630)),$A630=$A629,$B630&lt;&gt;$B629)),"ID LISTS UNALIGNED",and($A630&lt;&gt;"",countif('3) Release_Label'!$D:$D,$A630)=0),"NO UPC MATCH in Release_Label",and($B630&lt;&gt;"",countif('3) Release_Label'!$E:$E,$B630)=0),"NO CATALOG ID MATCH in Release_Label",iserror(vlookup($A630&amp;$B630,'3) Release_Label'!$D:$D&amp;'3) Release_Label'!$E:$E,1,0)),"NO UPC-CATALOG ID pair MATCH in Release_Label" )</f>
        <v/>
      </c>
      <c r="E630" s="92"/>
      <c r="F630" s="92"/>
      <c r="G630" s="125" t="str">
        <f t="array" ref="G630">ifs(or($F630="",$F630="Main Primary Artist"),$F630,not(iserror(vlookup($F630,'Reference info'!$J$5:$J$8,1,0))),"Key Artist",not(iserror(vlookup($F630,'Reference info'!$J$38:$J$405,1,0))),"Performer",not(iserror(vlookup($F630,'Reference info'!$J$10:$J$36,1,0))),"Producer &amp; Engineer")</f>
        <v/>
      </c>
    </row>
    <row r="631">
      <c r="A631" s="28"/>
      <c r="B631" s="97"/>
      <c r="C631" s="121" t="str">
        <f t="array" ref="C631">ifs(and(isblank($A631),isblank($B631)),"", not(iserror(vlookup($A631&amp;$B631,'3) Release_Label'!$D:$D&amp;'3) Release_Label'!$E:$E,1,0))),vlookup($A631&amp;$B631,{'3) Release_Label'!$D:$D&amp;'3) Release_Label'!$E:$E,'3) Release_Label'!$F:$F},2,0), or(and(not(isblank($B631)),$B631=$B630,$A631&lt;&gt;$A630),and(not(isblank($A631)),$A631=$A630,$B631&lt;&gt;$B630)),"ID LISTS UNALIGNED",and($A631&lt;&gt;"",countif('3) Release_Label'!$D:$D,$A631)=0),"NO UPC MATCH in Release_Label",and($B631&lt;&gt;"",countif('3) Release_Label'!$E:$E,$B631)=0),"NO CATALOG ID MATCH in Release_Label",iserror(vlookup($A631&amp;$B631,'3) Release_Label'!$D:$D&amp;'3) Release_Label'!$E:$E,1,0)),"NO UPC-CATALOG ID pair MATCH in Release_Label" )</f>
        <v/>
      </c>
      <c r="D631" s="121" t="str">
        <f t="array" ref="D631">ifs(and(isblank($A631),isblank($B631)),"", not(iserror(vlookup($A631&amp;$B631,'3) Release_Label'!$D:$D&amp;'3) Release_Label'!$E:$E,1,0))),vlookup($A631&amp;$B631,{'3) Release_Label'!$D:$D&amp;'3) Release_Label'!$E:$E,'3) Release_Label'!$H:$H},2,0), or(and(not(isblank($B631)),$B631=$B630,$A631&lt;&gt;$A630),and(not(isblank($A631)),$A631=$A630,$B631&lt;&gt;$B630)),"ID LISTS UNALIGNED",and($A631&lt;&gt;"",countif('3) Release_Label'!$D:$D,$A631)=0),"NO UPC MATCH in Release_Label",and($B631&lt;&gt;"",countif('3) Release_Label'!$E:$E,$B631)=0),"NO CATALOG ID MATCH in Release_Label",iserror(vlookup($A631&amp;$B631,'3) Release_Label'!$D:$D&amp;'3) Release_Label'!$E:$E,1,0)),"NO UPC-CATALOG ID pair MATCH in Release_Label" )</f>
        <v/>
      </c>
      <c r="E631" s="92"/>
      <c r="F631" s="92"/>
      <c r="G631" s="125" t="str">
        <f t="array" ref="G631">ifs(or($F631="",$F631="Main Primary Artist"),$F631,not(iserror(vlookup($F631,'Reference info'!$J$5:$J$8,1,0))),"Key Artist",not(iserror(vlookup($F631,'Reference info'!$J$38:$J$405,1,0))),"Performer",not(iserror(vlookup($F631,'Reference info'!$J$10:$J$36,1,0))),"Producer &amp; Engineer")</f>
        <v/>
      </c>
    </row>
    <row r="632">
      <c r="A632" s="28"/>
      <c r="B632" s="97"/>
      <c r="C632" s="121" t="str">
        <f t="array" ref="C632">ifs(and(isblank($A632),isblank($B632)),"", not(iserror(vlookup($A632&amp;$B632,'3) Release_Label'!$D:$D&amp;'3) Release_Label'!$E:$E,1,0))),vlookup($A632&amp;$B632,{'3) Release_Label'!$D:$D&amp;'3) Release_Label'!$E:$E,'3) Release_Label'!$F:$F},2,0), or(and(not(isblank($B632)),$B632=$B631,$A632&lt;&gt;$A631),and(not(isblank($A632)),$A632=$A631,$B632&lt;&gt;$B631)),"ID LISTS UNALIGNED",and($A632&lt;&gt;"",countif('3) Release_Label'!$D:$D,$A632)=0),"NO UPC MATCH in Release_Label",and($B632&lt;&gt;"",countif('3) Release_Label'!$E:$E,$B632)=0),"NO CATALOG ID MATCH in Release_Label",iserror(vlookup($A632&amp;$B632,'3) Release_Label'!$D:$D&amp;'3) Release_Label'!$E:$E,1,0)),"NO UPC-CATALOG ID pair MATCH in Release_Label" )</f>
        <v/>
      </c>
      <c r="D632" s="121" t="str">
        <f t="array" ref="D632">ifs(and(isblank($A632),isblank($B632)),"", not(iserror(vlookup($A632&amp;$B632,'3) Release_Label'!$D:$D&amp;'3) Release_Label'!$E:$E,1,0))),vlookup($A632&amp;$B632,{'3) Release_Label'!$D:$D&amp;'3) Release_Label'!$E:$E,'3) Release_Label'!$H:$H},2,0), or(and(not(isblank($B632)),$B632=$B631,$A632&lt;&gt;$A631),and(not(isblank($A632)),$A632=$A631,$B632&lt;&gt;$B631)),"ID LISTS UNALIGNED",and($A632&lt;&gt;"",countif('3) Release_Label'!$D:$D,$A632)=0),"NO UPC MATCH in Release_Label",and($B632&lt;&gt;"",countif('3) Release_Label'!$E:$E,$B632)=0),"NO CATALOG ID MATCH in Release_Label",iserror(vlookup($A632&amp;$B632,'3) Release_Label'!$D:$D&amp;'3) Release_Label'!$E:$E,1,0)),"NO UPC-CATALOG ID pair MATCH in Release_Label" )</f>
        <v/>
      </c>
      <c r="E632" s="92"/>
      <c r="F632" s="92"/>
      <c r="G632" s="125" t="str">
        <f t="array" ref="G632">ifs(or($F632="",$F632="Main Primary Artist"),$F632,not(iserror(vlookup($F632,'Reference info'!$J$5:$J$8,1,0))),"Key Artist",not(iserror(vlookup($F632,'Reference info'!$J$38:$J$405,1,0))),"Performer",not(iserror(vlookup($F632,'Reference info'!$J$10:$J$36,1,0))),"Producer &amp; Engineer")</f>
        <v/>
      </c>
    </row>
    <row r="633">
      <c r="A633" s="28"/>
      <c r="B633" s="97"/>
      <c r="C633" s="121" t="str">
        <f t="array" ref="C633">ifs(and(isblank($A633),isblank($B633)),"", not(iserror(vlookup($A633&amp;$B633,'3) Release_Label'!$D:$D&amp;'3) Release_Label'!$E:$E,1,0))),vlookup($A633&amp;$B633,{'3) Release_Label'!$D:$D&amp;'3) Release_Label'!$E:$E,'3) Release_Label'!$F:$F},2,0), or(and(not(isblank($B633)),$B633=$B632,$A633&lt;&gt;$A632),and(not(isblank($A633)),$A633=$A632,$B633&lt;&gt;$B632)),"ID LISTS UNALIGNED",and($A633&lt;&gt;"",countif('3) Release_Label'!$D:$D,$A633)=0),"NO UPC MATCH in Release_Label",and($B633&lt;&gt;"",countif('3) Release_Label'!$E:$E,$B633)=0),"NO CATALOG ID MATCH in Release_Label",iserror(vlookup($A633&amp;$B633,'3) Release_Label'!$D:$D&amp;'3) Release_Label'!$E:$E,1,0)),"NO UPC-CATALOG ID pair MATCH in Release_Label" )</f>
        <v/>
      </c>
      <c r="D633" s="121" t="str">
        <f t="array" ref="D633">ifs(and(isblank($A633),isblank($B633)),"", not(iserror(vlookup($A633&amp;$B633,'3) Release_Label'!$D:$D&amp;'3) Release_Label'!$E:$E,1,0))),vlookup($A633&amp;$B633,{'3) Release_Label'!$D:$D&amp;'3) Release_Label'!$E:$E,'3) Release_Label'!$H:$H},2,0), or(and(not(isblank($B633)),$B633=$B632,$A633&lt;&gt;$A632),and(not(isblank($A633)),$A633=$A632,$B633&lt;&gt;$B632)),"ID LISTS UNALIGNED",and($A633&lt;&gt;"",countif('3) Release_Label'!$D:$D,$A633)=0),"NO UPC MATCH in Release_Label",and($B633&lt;&gt;"",countif('3) Release_Label'!$E:$E,$B633)=0),"NO CATALOG ID MATCH in Release_Label",iserror(vlookup($A633&amp;$B633,'3) Release_Label'!$D:$D&amp;'3) Release_Label'!$E:$E,1,0)),"NO UPC-CATALOG ID pair MATCH in Release_Label" )</f>
        <v/>
      </c>
      <c r="E633" s="92"/>
      <c r="F633" s="92"/>
      <c r="G633" s="125" t="str">
        <f t="array" ref="G633">ifs(or($F633="",$F633="Main Primary Artist"),$F633,not(iserror(vlookup($F633,'Reference info'!$J$5:$J$8,1,0))),"Key Artist",not(iserror(vlookup($F633,'Reference info'!$J$38:$J$405,1,0))),"Performer",not(iserror(vlookup($F633,'Reference info'!$J$10:$J$36,1,0))),"Producer &amp; Engineer")</f>
        <v/>
      </c>
    </row>
    <row r="634">
      <c r="A634" s="28"/>
      <c r="B634" s="97"/>
      <c r="C634" s="121" t="str">
        <f t="array" ref="C634">ifs(and(isblank($A634),isblank($B634)),"", not(iserror(vlookup($A634&amp;$B634,'3) Release_Label'!$D:$D&amp;'3) Release_Label'!$E:$E,1,0))),vlookup($A634&amp;$B634,{'3) Release_Label'!$D:$D&amp;'3) Release_Label'!$E:$E,'3) Release_Label'!$F:$F},2,0), or(and(not(isblank($B634)),$B634=$B633,$A634&lt;&gt;$A633),and(not(isblank($A634)),$A634=$A633,$B634&lt;&gt;$B633)),"ID LISTS UNALIGNED",and($A634&lt;&gt;"",countif('3) Release_Label'!$D:$D,$A634)=0),"NO UPC MATCH in Release_Label",and($B634&lt;&gt;"",countif('3) Release_Label'!$E:$E,$B634)=0),"NO CATALOG ID MATCH in Release_Label",iserror(vlookup($A634&amp;$B634,'3) Release_Label'!$D:$D&amp;'3) Release_Label'!$E:$E,1,0)),"NO UPC-CATALOG ID pair MATCH in Release_Label" )</f>
        <v/>
      </c>
      <c r="D634" s="121" t="str">
        <f t="array" ref="D634">ifs(and(isblank($A634),isblank($B634)),"", not(iserror(vlookup($A634&amp;$B634,'3) Release_Label'!$D:$D&amp;'3) Release_Label'!$E:$E,1,0))),vlookup($A634&amp;$B634,{'3) Release_Label'!$D:$D&amp;'3) Release_Label'!$E:$E,'3) Release_Label'!$H:$H},2,0), or(and(not(isblank($B634)),$B634=$B633,$A634&lt;&gt;$A633),and(not(isblank($A634)),$A634=$A633,$B634&lt;&gt;$B633)),"ID LISTS UNALIGNED",and($A634&lt;&gt;"",countif('3) Release_Label'!$D:$D,$A634)=0),"NO UPC MATCH in Release_Label",and($B634&lt;&gt;"",countif('3) Release_Label'!$E:$E,$B634)=0),"NO CATALOG ID MATCH in Release_Label",iserror(vlookup($A634&amp;$B634,'3) Release_Label'!$D:$D&amp;'3) Release_Label'!$E:$E,1,0)),"NO UPC-CATALOG ID pair MATCH in Release_Label" )</f>
        <v/>
      </c>
      <c r="E634" s="92"/>
      <c r="F634" s="92"/>
      <c r="G634" s="125" t="str">
        <f t="array" ref="G634">ifs(or($F634="",$F634="Main Primary Artist"),$F634,not(iserror(vlookup($F634,'Reference info'!$J$5:$J$8,1,0))),"Key Artist",not(iserror(vlookup($F634,'Reference info'!$J$38:$J$405,1,0))),"Performer",not(iserror(vlookup($F634,'Reference info'!$J$10:$J$36,1,0))),"Producer &amp; Engineer")</f>
        <v/>
      </c>
    </row>
    <row r="635">
      <c r="A635" s="28"/>
      <c r="B635" s="97"/>
      <c r="C635" s="121" t="str">
        <f t="array" ref="C635">ifs(and(isblank($A635),isblank($B635)),"", not(iserror(vlookup($A635&amp;$B635,'3) Release_Label'!$D:$D&amp;'3) Release_Label'!$E:$E,1,0))),vlookup($A635&amp;$B635,{'3) Release_Label'!$D:$D&amp;'3) Release_Label'!$E:$E,'3) Release_Label'!$F:$F},2,0), or(and(not(isblank($B635)),$B635=$B634,$A635&lt;&gt;$A634),and(not(isblank($A635)),$A635=$A634,$B635&lt;&gt;$B634)),"ID LISTS UNALIGNED",and($A635&lt;&gt;"",countif('3) Release_Label'!$D:$D,$A635)=0),"NO UPC MATCH in Release_Label",and($B635&lt;&gt;"",countif('3) Release_Label'!$E:$E,$B635)=0),"NO CATALOG ID MATCH in Release_Label",iserror(vlookup($A635&amp;$B635,'3) Release_Label'!$D:$D&amp;'3) Release_Label'!$E:$E,1,0)),"NO UPC-CATALOG ID pair MATCH in Release_Label" )</f>
        <v/>
      </c>
      <c r="D635" s="121" t="str">
        <f t="array" ref="D635">ifs(and(isblank($A635),isblank($B635)),"", not(iserror(vlookup($A635&amp;$B635,'3) Release_Label'!$D:$D&amp;'3) Release_Label'!$E:$E,1,0))),vlookup($A635&amp;$B635,{'3) Release_Label'!$D:$D&amp;'3) Release_Label'!$E:$E,'3) Release_Label'!$H:$H},2,0), or(and(not(isblank($B635)),$B635=$B634,$A635&lt;&gt;$A634),and(not(isblank($A635)),$A635=$A634,$B635&lt;&gt;$B634)),"ID LISTS UNALIGNED",and($A635&lt;&gt;"",countif('3) Release_Label'!$D:$D,$A635)=0),"NO UPC MATCH in Release_Label",and($B635&lt;&gt;"",countif('3) Release_Label'!$E:$E,$B635)=0),"NO CATALOG ID MATCH in Release_Label",iserror(vlookup($A635&amp;$B635,'3) Release_Label'!$D:$D&amp;'3) Release_Label'!$E:$E,1,0)),"NO UPC-CATALOG ID pair MATCH in Release_Label" )</f>
        <v/>
      </c>
      <c r="E635" s="92"/>
      <c r="F635" s="92"/>
      <c r="G635" s="125" t="str">
        <f t="array" ref="G635">ifs(or($F635="",$F635="Main Primary Artist"),$F635,not(iserror(vlookup($F635,'Reference info'!$J$5:$J$8,1,0))),"Key Artist",not(iserror(vlookup($F635,'Reference info'!$J$38:$J$405,1,0))),"Performer",not(iserror(vlookup($F635,'Reference info'!$J$10:$J$36,1,0))),"Producer &amp; Engineer")</f>
        <v/>
      </c>
    </row>
    <row r="636">
      <c r="A636" s="28"/>
      <c r="B636" s="97"/>
      <c r="C636" s="121" t="str">
        <f t="array" ref="C636">ifs(and(isblank($A636),isblank($B636)),"", not(iserror(vlookup($A636&amp;$B636,'3) Release_Label'!$D:$D&amp;'3) Release_Label'!$E:$E,1,0))),vlookup($A636&amp;$B636,{'3) Release_Label'!$D:$D&amp;'3) Release_Label'!$E:$E,'3) Release_Label'!$F:$F},2,0), or(and(not(isblank($B636)),$B636=$B635,$A636&lt;&gt;$A635),and(not(isblank($A636)),$A636=$A635,$B636&lt;&gt;$B635)),"ID LISTS UNALIGNED",and($A636&lt;&gt;"",countif('3) Release_Label'!$D:$D,$A636)=0),"NO UPC MATCH in Release_Label",and($B636&lt;&gt;"",countif('3) Release_Label'!$E:$E,$B636)=0),"NO CATALOG ID MATCH in Release_Label",iserror(vlookup($A636&amp;$B636,'3) Release_Label'!$D:$D&amp;'3) Release_Label'!$E:$E,1,0)),"NO UPC-CATALOG ID pair MATCH in Release_Label" )</f>
        <v/>
      </c>
      <c r="D636" s="121" t="str">
        <f t="array" ref="D636">ifs(and(isblank($A636),isblank($B636)),"", not(iserror(vlookup($A636&amp;$B636,'3) Release_Label'!$D:$D&amp;'3) Release_Label'!$E:$E,1,0))),vlookup($A636&amp;$B636,{'3) Release_Label'!$D:$D&amp;'3) Release_Label'!$E:$E,'3) Release_Label'!$H:$H},2,0), or(and(not(isblank($B636)),$B636=$B635,$A636&lt;&gt;$A635),and(not(isblank($A636)),$A636=$A635,$B636&lt;&gt;$B635)),"ID LISTS UNALIGNED",and($A636&lt;&gt;"",countif('3) Release_Label'!$D:$D,$A636)=0),"NO UPC MATCH in Release_Label",and($B636&lt;&gt;"",countif('3) Release_Label'!$E:$E,$B636)=0),"NO CATALOG ID MATCH in Release_Label",iserror(vlookup($A636&amp;$B636,'3) Release_Label'!$D:$D&amp;'3) Release_Label'!$E:$E,1,0)),"NO UPC-CATALOG ID pair MATCH in Release_Label" )</f>
        <v/>
      </c>
      <c r="E636" s="92"/>
      <c r="F636" s="92"/>
      <c r="G636" s="125" t="str">
        <f t="array" ref="G636">ifs(or($F636="",$F636="Main Primary Artist"),$F636,not(iserror(vlookup($F636,'Reference info'!$J$5:$J$8,1,0))),"Key Artist",not(iserror(vlookup($F636,'Reference info'!$J$38:$J$405,1,0))),"Performer",not(iserror(vlookup($F636,'Reference info'!$J$10:$J$36,1,0))),"Producer &amp; Engineer")</f>
        <v/>
      </c>
    </row>
    <row r="637">
      <c r="A637" s="28"/>
      <c r="B637" s="97"/>
      <c r="C637" s="121" t="str">
        <f t="array" ref="C637">ifs(and(isblank($A637),isblank($B637)),"", not(iserror(vlookup($A637&amp;$B637,'3) Release_Label'!$D:$D&amp;'3) Release_Label'!$E:$E,1,0))),vlookup($A637&amp;$B637,{'3) Release_Label'!$D:$D&amp;'3) Release_Label'!$E:$E,'3) Release_Label'!$F:$F},2,0), or(and(not(isblank($B637)),$B637=$B636,$A637&lt;&gt;$A636),and(not(isblank($A637)),$A637=$A636,$B637&lt;&gt;$B636)),"ID LISTS UNALIGNED",and($A637&lt;&gt;"",countif('3) Release_Label'!$D:$D,$A637)=0),"NO UPC MATCH in Release_Label",and($B637&lt;&gt;"",countif('3) Release_Label'!$E:$E,$B637)=0),"NO CATALOG ID MATCH in Release_Label",iserror(vlookup($A637&amp;$B637,'3) Release_Label'!$D:$D&amp;'3) Release_Label'!$E:$E,1,0)),"NO UPC-CATALOG ID pair MATCH in Release_Label" )</f>
        <v/>
      </c>
      <c r="D637" s="121" t="str">
        <f t="array" ref="D637">ifs(and(isblank($A637),isblank($B637)),"", not(iserror(vlookup($A637&amp;$B637,'3) Release_Label'!$D:$D&amp;'3) Release_Label'!$E:$E,1,0))),vlookup($A637&amp;$B637,{'3) Release_Label'!$D:$D&amp;'3) Release_Label'!$E:$E,'3) Release_Label'!$H:$H},2,0), or(and(not(isblank($B637)),$B637=$B636,$A637&lt;&gt;$A636),and(not(isblank($A637)),$A637=$A636,$B637&lt;&gt;$B636)),"ID LISTS UNALIGNED",and($A637&lt;&gt;"",countif('3) Release_Label'!$D:$D,$A637)=0),"NO UPC MATCH in Release_Label",and($B637&lt;&gt;"",countif('3) Release_Label'!$E:$E,$B637)=0),"NO CATALOG ID MATCH in Release_Label",iserror(vlookup($A637&amp;$B637,'3) Release_Label'!$D:$D&amp;'3) Release_Label'!$E:$E,1,0)),"NO UPC-CATALOG ID pair MATCH in Release_Label" )</f>
        <v/>
      </c>
      <c r="E637" s="92"/>
      <c r="F637" s="92"/>
      <c r="G637" s="125" t="str">
        <f t="array" ref="G637">ifs(or($F637="",$F637="Main Primary Artist"),$F637,not(iserror(vlookup($F637,'Reference info'!$J$5:$J$8,1,0))),"Key Artist",not(iserror(vlookup($F637,'Reference info'!$J$38:$J$405,1,0))),"Performer",not(iserror(vlookup($F637,'Reference info'!$J$10:$J$36,1,0))),"Producer &amp; Engineer")</f>
        <v/>
      </c>
    </row>
    <row r="638">
      <c r="A638" s="28"/>
      <c r="B638" s="97"/>
      <c r="C638" s="121" t="str">
        <f t="array" ref="C638">ifs(and(isblank($A638),isblank($B638)),"", not(iserror(vlookup($A638&amp;$B638,'3) Release_Label'!$D:$D&amp;'3) Release_Label'!$E:$E,1,0))),vlookup($A638&amp;$B638,{'3) Release_Label'!$D:$D&amp;'3) Release_Label'!$E:$E,'3) Release_Label'!$F:$F},2,0), or(and(not(isblank($B638)),$B638=$B637,$A638&lt;&gt;$A637),and(not(isblank($A638)),$A638=$A637,$B638&lt;&gt;$B637)),"ID LISTS UNALIGNED",and($A638&lt;&gt;"",countif('3) Release_Label'!$D:$D,$A638)=0),"NO UPC MATCH in Release_Label",and($B638&lt;&gt;"",countif('3) Release_Label'!$E:$E,$B638)=0),"NO CATALOG ID MATCH in Release_Label",iserror(vlookup($A638&amp;$B638,'3) Release_Label'!$D:$D&amp;'3) Release_Label'!$E:$E,1,0)),"NO UPC-CATALOG ID pair MATCH in Release_Label" )</f>
        <v/>
      </c>
      <c r="D638" s="121" t="str">
        <f t="array" ref="D638">ifs(and(isblank($A638),isblank($B638)),"", not(iserror(vlookup($A638&amp;$B638,'3) Release_Label'!$D:$D&amp;'3) Release_Label'!$E:$E,1,0))),vlookup($A638&amp;$B638,{'3) Release_Label'!$D:$D&amp;'3) Release_Label'!$E:$E,'3) Release_Label'!$H:$H},2,0), or(and(not(isblank($B638)),$B638=$B637,$A638&lt;&gt;$A637),and(not(isblank($A638)),$A638=$A637,$B638&lt;&gt;$B637)),"ID LISTS UNALIGNED",and($A638&lt;&gt;"",countif('3) Release_Label'!$D:$D,$A638)=0),"NO UPC MATCH in Release_Label",and($B638&lt;&gt;"",countif('3) Release_Label'!$E:$E,$B638)=0),"NO CATALOG ID MATCH in Release_Label",iserror(vlookup($A638&amp;$B638,'3) Release_Label'!$D:$D&amp;'3) Release_Label'!$E:$E,1,0)),"NO UPC-CATALOG ID pair MATCH in Release_Label" )</f>
        <v/>
      </c>
      <c r="E638" s="92"/>
      <c r="F638" s="92"/>
      <c r="G638" s="125" t="str">
        <f t="array" ref="G638">ifs(or($F638="",$F638="Main Primary Artist"),$F638,not(iserror(vlookup($F638,'Reference info'!$J$5:$J$8,1,0))),"Key Artist",not(iserror(vlookup($F638,'Reference info'!$J$38:$J$405,1,0))),"Performer",not(iserror(vlookup($F638,'Reference info'!$J$10:$J$36,1,0))),"Producer &amp; Engineer")</f>
        <v/>
      </c>
    </row>
    <row r="639">
      <c r="A639" s="28"/>
      <c r="B639" s="97"/>
      <c r="C639" s="121" t="str">
        <f t="array" ref="C639">ifs(and(isblank($A639),isblank($B639)),"", not(iserror(vlookup($A639&amp;$B639,'3) Release_Label'!$D:$D&amp;'3) Release_Label'!$E:$E,1,0))),vlookup($A639&amp;$B639,{'3) Release_Label'!$D:$D&amp;'3) Release_Label'!$E:$E,'3) Release_Label'!$F:$F},2,0), or(and(not(isblank($B639)),$B639=$B638,$A639&lt;&gt;$A638),and(not(isblank($A639)),$A639=$A638,$B639&lt;&gt;$B638)),"ID LISTS UNALIGNED",and($A639&lt;&gt;"",countif('3) Release_Label'!$D:$D,$A639)=0),"NO UPC MATCH in Release_Label",and($B639&lt;&gt;"",countif('3) Release_Label'!$E:$E,$B639)=0),"NO CATALOG ID MATCH in Release_Label",iserror(vlookup($A639&amp;$B639,'3) Release_Label'!$D:$D&amp;'3) Release_Label'!$E:$E,1,0)),"NO UPC-CATALOG ID pair MATCH in Release_Label" )</f>
        <v/>
      </c>
      <c r="D639" s="121" t="str">
        <f t="array" ref="D639">ifs(and(isblank($A639),isblank($B639)),"", not(iserror(vlookup($A639&amp;$B639,'3) Release_Label'!$D:$D&amp;'3) Release_Label'!$E:$E,1,0))),vlookup($A639&amp;$B639,{'3) Release_Label'!$D:$D&amp;'3) Release_Label'!$E:$E,'3) Release_Label'!$H:$H},2,0), or(and(not(isblank($B639)),$B639=$B638,$A639&lt;&gt;$A638),and(not(isblank($A639)),$A639=$A638,$B639&lt;&gt;$B638)),"ID LISTS UNALIGNED",and($A639&lt;&gt;"",countif('3) Release_Label'!$D:$D,$A639)=0),"NO UPC MATCH in Release_Label",and($B639&lt;&gt;"",countif('3) Release_Label'!$E:$E,$B639)=0),"NO CATALOG ID MATCH in Release_Label",iserror(vlookup($A639&amp;$B639,'3) Release_Label'!$D:$D&amp;'3) Release_Label'!$E:$E,1,0)),"NO UPC-CATALOG ID pair MATCH in Release_Label" )</f>
        <v/>
      </c>
      <c r="E639" s="92"/>
      <c r="F639" s="92"/>
      <c r="G639" s="125" t="str">
        <f t="array" ref="G639">ifs(or($F639="",$F639="Main Primary Artist"),$F639,not(iserror(vlookup($F639,'Reference info'!$J$5:$J$8,1,0))),"Key Artist",not(iserror(vlookup($F639,'Reference info'!$J$38:$J$405,1,0))),"Performer",not(iserror(vlookup($F639,'Reference info'!$J$10:$J$36,1,0))),"Producer &amp; Engineer")</f>
        <v/>
      </c>
    </row>
    <row r="640">
      <c r="A640" s="28"/>
      <c r="B640" s="97"/>
      <c r="C640" s="121" t="str">
        <f t="array" ref="C640">ifs(and(isblank($A640),isblank($B640)),"", not(iserror(vlookup($A640&amp;$B640,'3) Release_Label'!$D:$D&amp;'3) Release_Label'!$E:$E,1,0))),vlookup($A640&amp;$B640,{'3) Release_Label'!$D:$D&amp;'3) Release_Label'!$E:$E,'3) Release_Label'!$F:$F},2,0), or(and(not(isblank($B640)),$B640=$B639,$A640&lt;&gt;$A639),and(not(isblank($A640)),$A640=$A639,$B640&lt;&gt;$B639)),"ID LISTS UNALIGNED",and($A640&lt;&gt;"",countif('3) Release_Label'!$D:$D,$A640)=0),"NO UPC MATCH in Release_Label",and($B640&lt;&gt;"",countif('3) Release_Label'!$E:$E,$B640)=0),"NO CATALOG ID MATCH in Release_Label",iserror(vlookup($A640&amp;$B640,'3) Release_Label'!$D:$D&amp;'3) Release_Label'!$E:$E,1,0)),"NO UPC-CATALOG ID pair MATCH in Release_Label" )</f>
        <v/>
      </c>
      <c r="D640" s="121" t="str">
        <f t="array" ref="D640">ifs(and(isblank($A640),isblank($B640)),"", not(iserror(vlookup($A640&amp;$B640,'3) Release_Label'!$D:$D&amp;'3) Release_Label'!$E:$E,1,0))),vlookup($A640&amp;$B640,{'3) Release_Label'!$D:$D&amp;'3) Release_Label'!$E:$E,'3) Release_Label'!$H:$H},2,0), or(and(not(isblank($B640)),$B640=$B639,$A640&lt;&gt;$A639),and(not(isblank($A640)),$A640=$A639,$B640&lt;&gt;$B639)),"ID LISTS UNALIGNED",and($A640&lt;&gt;"",countif('3) Release_Label'!$D:$D,$A640)=0),"NO UPC MATCH in Release_Label",and($B640&lt;&gt;"",countif('3) Release_Label'!$E:$E,$B640)=0),"NO CATALOG ID MATCH in Release_Label",iserror(vlookup($A640&amp;$B640,'3) Release_Label'!$D:$D&amp;'3) Release_Label'!$E:$E,1,0)),"NO UPC-CATALOG ID pair MATCH in Release_Label" )</f>
        <v/>
      </c>
      <c r="E640" s="92"/>
      <c r="F640" s="92"/>
      <c r="G640" s="125" t="str">
        <f t="array" ref="G640">ifs(or($F640="",$F640="Main Primary Artist"),$F640,not(iserror(vlookup($F640,'Reference info'!$J$5:$J$8,1,0))),"Key Artist",not(iserror(vlookup($F640,'Reference info'!$J$38:$J$405,1,0))),"Performer",not(iserror(vlookup($F640,'Reference info'!$J$10:$J$36,1,0))),"Producer &amp; Engineer")</f>
        <v/>
      </c>
    </row>
    <row r="641">
      <c r="A641" s="28"/>
      <c r="B641" s="97"/>
      <c r="C641" s="121" t="str">
        <f t="array" ref="C641">ifs(and(isblank($A641),isblank($B641)),"", not(iserror(vlookup($A641&amp;$B641,'3) Release_Label'!$D:$D&amp;'3) Release_Label'!$E:$E,1,0))),vlookup($A641&amp;$B641,{'3) Release_Label'!$D:$D&amp;'3) Release_Label'!$E:$E,'3) Release_Label'!$F:$F},2,0), or(and(not(isblank($B641)),$B641=$B640,$A641&lt;&gt;$A640),and(not(isblank($A641)),$A641=$A640,$B641&lt;&gt;$B640)),"ID LISTS UNALIGNED",and($A641&lt;&gt;"",countif('3) Release_Label'!$D:$D,$A641)=0),"NO UPC MATCH in Release_Label",and($B641&lt;&gt;"",countif('3) Release_Label'!$E:$E,$B641)=0),"NO CATALOG ID MATCH in Release_Label",iserror(vlookup($A641&amp;$B641,'3) Release_Label'!$D:$D&amp;'3) Release_Label'!$E:$E,1,0)),"NO UPC-CATALOG ID pair MATCH in Release_Label" )</f>
        <v/>
      </c>
      <c r="D641" s="121" t="str">
        <f t="array" ref="D641">ifs(and(isblank($A641),isblank($B641)),"", not(iserror(vlookup($A641&amp;$B641,'3) Release_Label'!$D:$D&amp;'3) Release_Label'!$E:$E,1,0))),vlookup($A641&amp;$B641,{'3) Release_Label'!$D:$D&amp;'3) Release_Label'!$E:$E,'3) Release_Label'!$H:$H},2,0), or(and(not(isblank($B641)),$B641=$B640,$A641&lt;&gt;$A640),and(not(isblank($A641)),$A641=$A640,$B641&lt;&gt;$B640)),"ID LISTS UNALIGNED",and($A641&lt;&gt;"",countif('3) Release_Label'!$D:$D,$A641)=0),"NO UPC MATCH in Release_Label",and($B641&lt;&gt;"",countif('3) Release_Label'!$E:$E,$B641)=0),"NO CATALOG ID MATCH in Release_Label",iserror(vlookup($A641&amp;$B641,'3) Release_Label'!$D:$D&amp;'3) Release_Label'!$E:$E,1,0)),"NO UPC-CATALOG ID pair MATCH in Release_Label" )</f>
        <v/>
      </c>
      <c r="E641" s="92"/>
      <c r="F641" s="92"/>
      <c r="G641" s="125" t="str">
        <f t="array" ref="G641">ifs(or($F641="",$F641="Main Primary Artist"),$F641,not(iserror(vlookup($F641,'Reference info'!$J$5:$J$8,1,0))),"Key Artist",not(iserror(vlookup($F641,'Reference info'!$J$38:$J$405,1,0))),"Performer",not(iserror(vlookup($F641,'Reference info'!$J$10:$J$36,1,0))),"Producer &amp; Engineer")</f>
        <v/>
      </c>
    </row>
    <row r="642">
      <c r="A642" s="28"/>
      <c r="B642" s="97"/>
      <c r="C642" s="121" t="str">
        <f t="array" ref="C642">ifs(and(isblank($A642),isblank($B642)),"", not(iserror(vlookup($A642&amp;$B642,'3) Release_Label'!$D:$D&amp;'3) Release_Label'!$E:$E,1,0))),vlookup($A642&amp;$B642,{'3) Release_Label'!$D:$D&amp;'3) Release_Label'!$E:$E,'3) Release_Label'!$F:$F},2,0), or(and(not(isblank($B642)),$B642=$B641,$A642&lt;&gt;$A641),and(not(isblank($A642)),$A642=$A641,$B642&lt;&gt;$B641)),"ID LISTS UNALIGNED",and($A642&lt;&gt;"",countif('3) Release_Label'!$D:$D,$A642)=0),"NO UPC MATCH in Release_Label",and($B642&lt;&gt;"",countif('3) Release_Label'!$E:$E,$B642)=0),"NO CATALOG ID MATCH in Release_Label",iserror(vlookup($A642&amp;$B642,'3) Release_Label'!$D:$D&amp;'3) Release_Label'!$E:$E,1,0)),"NO UPC-CATALOG ID pair MATCH in Release_Label" )</f>
        <v/>
      </c>
      <c r="D642" s="121" t="str">
        <f t="array" ref="D642">ifs(and(isblank($A642),isblank($B642)),"", not(iserror(vlookup($A642&amp;$B642,'3) Release_Label'!$D:$D&amp;'3) Release_Label'!$E:$E,1,0))),vlookup($A642&amp;$B642,{'3) Release_Label'!$D:$D&amp;'3) Release_Label'!$E:$E,'3) Release_Label'!$H:$H},2,0), or(and(not(isblank($B642)),$B642=$B641,$A642&lt;&gt;$A641),and(not(isblank($A642)),$A642=$A641,$B642&lt;&gt;$B641)),"ID LISTS UNALIGNED",and($A642&lt;&gt;"",countif('3) Release_Label'!$D:$D,$A642)=0),"NO UPC MATCH in Release_Label",and($B642&lt;&gt;"",countif('3) Release_Label'!$E:$E,$B642)=0),"NO CATALOG ID MATCH in Release_Label",iserror(vlookup($A642&amp;$B642,'3) Release_Label'!$D:$D&amp;'3) Release_Label'!$E:$E,1,0)),"NO UPC-CATALOG ID pair MATCH in Release_Label" )</f>
        <v/>
      </c>
      <c r="E642" s="92"/>
      <c r="F642" s="92"/>
      <c r="G642" s="125" t="str">
        <f t="array" ref="G642">ifs(or($F642="",$F642="Main Primary Artist"),$F642,not(iserror(vlookup($F642,'Reference info'!$J$5:$J$8,1,0))),"Key Artist",not(iserror(vlookup($F642,'Reference info'!$J$38:$J$405,1,0))),"Performer",not(iserror(vlookup($F642,'Reference info'!$J$10:$J$36,1,0))),"Producer &amp; Engineer")</f>
        <v/>
      </c>
    </row>
    <row r="643">
      <c r="A643" s="28"/>
      <c r="B643" s="97"/>
      <c r="C643" s="121" t="str">
        <f t="array" ref="C643">ifs(and(isblank($A643),isblank($B643)),"", not(iserror(vlookup($A643&amp;$B643,'3) Release_Label'!$D:$D&amp;'3) Release_Label'!$E:$E,1,0))),vlookup($A643&amp;$B643,{'3) Release_Label'!$D:$D&amp;'3) Release_Label'!$E:$E,'3) Release_Label'!$F:$F},2,0), or(and(not(isblank($B643)),$B643=$B642,$A643&lt;&gt;$A642),and(not(isblank($A643)),$A643=$A642,$B643&lt;&gt;$B642)),"ID LISTS UNALIGNED",and($A643&lt;&gt;"",countif('3) Release_Label'!$D:$D,$A643)=0),"NO UPC MATCH in Release_Label",and($B643&lt;&gt;"",countif('3) Release_Label'!$E:$E,$B643)=0),"NO CATALOG ID MATCH in Release_Label",iserror(vlookup($A643&amp;$B643,'3) Release_Label'!$D:$D&amp;'3) Release_Label'!$E:$E,1,0)),"NO UPC-CATALOG ID pair MATCH in Release_Label" )</f>
        <v/>
      </c>
      <c r="D643" s="121" t="str">
        <f t="array" ref="D643">ifs(and(isblank($A643),isblank($B643)),"", not(iserror(vlookup($A643&amp;$B643,'3) Release_Label'!$D:$D&amp;'3) Release_Label'!$E:$E,1,0))),vlookup($A643&amp;$B643,{'3) Release_Label'!$D:$D&amp;'3) Release_Label'!$E:$E,'3) Release_Label'!$H:$H},2,0), or(and(not(isblank($B643)),$B643=$B642,$A643&lt;&gt;$A642),and(not(isblank($A643)),$A643=$A642,$B643&lt;&gt;$B642)),"ID LISTS UNALIGNED",and($A643&lt;&gt;"",countif('3) Release_Label'!$D:$D,$A643)=0),"NO UPC MATCH in Release_Label",and($B643&lt;&gt;"",countif('3) Release_Label'!$E:$E,$B643)=0),"NO CATALOG ID MATCH in Release_Label",iserror(vlookup($A643&amp;$B643,'3) Release_Label'!$D:$D&amp;'3) Release_Label'!$E:$E,1,0)),"NO UPC-CATALOG ID pair MATCH in Release_Label" )</f>
        <v/>
      </c>
      <c r="E643" s="92"/>
      <c r="F643" s="92"/>
      <c r="G643" s="125" t="str">
        <f t="array" ref="G643">ifs(or($F643="",$F643="Main Primary Artist"),$F643,not(iserror(vlookup($F643,'Reference info'!$J$5:$J$8,1,0))),"Key Artist",not(iserror(vlookup($F643,'Reference info'!$J$38:$J$405,1,0))),"Performer",not(iserror(vlookup($F643,'Reference info'!$J$10:$J$36,1,0))),"Producer &amp; Engineer")</f>
        <v/>
      </c>
    </row>
    <row r="644">
      <c r="A644" s="28"/>
      <c r="B644" s="97"/>
      <c r="C644" s="121" t="str">
        <f t="array" ref="C644">ifs(and(isblank($A644),isblank($B644)),"", not(iserror(vlookup($A644&amp;$B644,'3) Release_Label'!$D:$D&amp;'3) Release_Label'!$E:$E,1,0))),vlookup($A644&amp;$B644,{'3) Release_Label'!$D:$D&amp;'3) Release_Label'!$E:$E,'3) Release_Label'!$F:$F},2,0), or(and(not(isblank($B644)),$B644=$B643,$A644&lt;&gt;$A643),and(not(isblank($A644)),$A644=$A643,$B644&lt;&gt;$B643)),"ID LISTS UNALIGNED",and($A644&lt;&gt;"",countif('3) Release_Label'!$D:$D,$A644)=0),"NO UPC MATCH in Release_Label",and($B644&lt;&gt;"",countif('3) Release_Label'!$E:$E,$B644)=0),"NO CATALOG ID MATCH in Release_Label",iserror(vlookup($A644&amp;$B644,'3) Release_Label'!$D:$D&amp;'3) Release_Label'!$E:$E,1,0)),"NO UPC-CATALOG ID pair MATCH in Release_Label" )</f>
        <v/>
      </c>
      <c r="D644" s="121" t="str">
        <f t="array" ref="D644">ifs(and(isblank($A644),isblank($B644)),"", not(iserror(vlookup($A644&amp;$B644,'3) Release_Label'!$D:$D&amp;'3) Release_Label'!$E:$E,1,0))),vlookup($A644&amp;$B644,{'3) Release_Label'!$D:$D&amp;'3) Release_Label'!$E:$E,'3) Release_Label'!$H:$H},2,0), or(and(not(isblank($B644)),$B644=$B643,$A644&lt;&gt;$A643),and(not(isblank($A644)),$A644=$A643,$B644&lt;&gt;$B643)),"ID LISTS UNALIGNED",and($A644&lt;&gt;"",countif('3) Release_Label'!$D:$D,$A644)=0),"NO UPC MATCH in Release_Label",and($B644&lt;&gt;"",countif('3) Release_Label'!$E:$E,$B644)=0),"NO CATALOG ID MATCH in Release_Label",iserror(vlookup($A644&amp;$B644,'3) Release_Label'!$D:$D&amp;'3) Release_Label'!$E:$E,1,0)),"NO UPC-CATALOG ID pair MATCH in Release_Label" )</f>
        <v/>
      </c>
      <c r="E644" s="92"/>
      <c r="F644" s="92"/>
      <c r="G644" s="125" t="str">
        <f t="array" ref="G644">ifs(or($F644="",$F644="Main Primary Artist"),$F644,not(iserror(vlookup($F644,'Reference info'!$J$5:$J$8,1,0))),"Key Artist",not(iserror(vlookup($F644,'Reference info'!$J$38:$J$405,1,0))),"Performer",not(iserror(vlookup($F644,'Reference info'!$J$10:$J$36,1,0))),"Producer &amp; Engineer")</f>
        <v/>
      </c>
    </row>
    <row r="645">
      <c r="A645" s="28"/>
      <c r="B645" s="97"/>
      <c r="C645" s="121" t="str">
        <f t="array" ref="C645">ifs(and(isblank($A645),isblank($B645)),"", not(iserror(vlookup($A645&amp;$B645,'3) Release_Label'!$D:$D&amp;'3) Release_Label'!$E:$E,1,0))),vlookup($A645&amp;$B645,{'3) Release_Label'!$D:$D&amp;'3) Release_Label'!$E:$E,'3) Release_Label'!$F:$F},2,0), or(and(not(isblank($B645)),$B645=$B644,$A645&lt;&gt;$A644),and(not(isblank($A645)),$A645=$A644,$B645&lt;&gt;$B644)),"ID LISTS UNALIGNED",and($A645&lt;&gt;"",countif('3) Release_Label'!$D:$D,$A645)=0),"NO UPC MATCH in Release_Label",and($B645&lt;&gt;"",countif('3) Release_Label'!$E:$E,$B645)=0),"NO CATALOG ID MATCH in Release_Label",iserror(vlookup($A645&amp;$B645,'3) Release_Label'!$D:$D&amp;'3) Release_Label'!$E:$E,1,0)),"NO UPC-CATALOG ID pair MATCH in Release_Label" )</f>
        <v/>
      </c>
      <c r="D645" s="121" t="str">
        <f t="array" ref="D645">ifs(and(isblank($A645),isblank($B645)),"", not(iserror(vlookup($A645&amp;$B645,'3) Release_Label'!$D:$D&amp;'3) Release_Label'!$E:$E,1,0))),vlookup($A645&amp;$B645,{'3) Release_Label'!$D:$D&amp;'3) Release_Label'!$E:$E,'3) Release_Label'!$H:$H},2,0), or(and(not(isblank($B645)),$B645=$B644,$A645&lt;&gt;$A644),and(not(isblank($A645)),$A645=$A644,$B645&lt;&gt;$B644)),"ID LISTS UNALIGNED",and($A645&lt;&gt;"",countif('3) Release_Label'!$D:$D,$A645)=0),"NO UPC MATCH in Release_Label",and($B645&lt;&gt;"",countif('3) Release_Label'!$E:$E,$B645)=0),"NO CATALOG ID MATCH in Release_Label",iserror(vlookup($A645&amp;$B645,'3) Release_Label'!$D:$D&amp;'3) Release_Label'!$E:$E,1,0)),"NO UPC-CATALOG ID pair MATCH in Release_Label" )</f>
        <v/>
      </c>
      <c r="E645" s="92"/>
      <c r="F645" s="92"/>
      <c r="G645" s="125" t="str">
        <f t="array" ref="G645">ifs(or($F645="",$F645="Main Primary Artist"),$F645,not(iserror(vlookup($F645,'Reference info'!$J$5:$J$8,1,0))),"Key Artist",not(iserror(vlookup($F645,'Reference info'!$J$38:$J$405,1,0))),"Performer",not(iserror(vlookup($F645,'Reference info'!$J$10:$J$36,1,0))),"Producer &amp; Engineer")</f>
        <v/>
      </c>
    </row>
    <row r="646">
      <c r="A646" s="28"/>
      <c r="B646" s="97"/>
      <c r="C646" s="121" t="str">
        <f t="array" ref="C646">ifs(and(isblank($A646),isblank($B646)),"", not(iserror(vlookup($A646&amp;$B646,'3) Release_Label'!$D:$D&amp;'3) Release_Label'!$E:$E,1,0))),vlookup($A646&amp;$B646,{'3) Release_Label'!$D:$D&amp;'3) Release_Label'!$E:$E,'3) Release_Label'!$F:$F},2,0), or(and(not(isblank($B646)),$B646=$B645,$A646&lt;&gt;$A645),and(not(isblank($A646)),$A646=$A645,$B646&lt;&gt;$B645)),"ID LISTS UNALIGNED",and($A646&lt;&gt;"",countif('3) Release_Label'!$D:$D,$A646)=0),"NO UPC MATCH in Release_Label",and($B646&lt;&gt;"",countif('3) Release_Label'!$E:$E,$B646)=0),"NO CATALOG ID MATCH in Release_Label",iserror(vlookup($A646&amp;$B646,'3) Release_Label'!$D:$D&amp;'3) Release_Label'!$E:$E,1,0)),"NO UPC-CATALOG ID pair MATCH in Release_Label" )</f>
        <v/>
      </c>
      <c r="D646" s="121" t="str">
        <f t="array" ref="D646">ifs(and(isblank($A646),isblank($B646)),"", not(iserror(vlookup($A646&amp;$B646,'3) Release_Label'!$D:$D&amp;'3) Release_Label'!$E:$E,1,0))),vlookup($A646&amp;$B646,{'3) Release_Label'!$D:$D&amp;'3) Release_Label'!$E:$E,'3) Release_Label'!$H:$H},2,0), or(and(not(isblank($B646)),$B646=$B645,$A646&lt;&gt;$A645),and(not(isblank($A646)),$A646=$A645,$B646&lt;&gt;$B645)),"ID LISTS UNALIGNED",and($A646&lt;&gt;"",countif('3) Release_Label'!$D:$D,$A646)=0),"NO UPC MATCH in Release_Label",and($B646&lt;&gt;"",countif('3) Release_Label'!$E:$E,$B646)=0),"NO CATALOG ID MATCH in Release_Label",iserror(vlookup($A646&amp;$B646,'3) Release_Label'!$D:$D&amp;'3) Release_Label'!$E:$E,1,0)),"NO UPC-CATALOG ID pair MATCH in Release_Label" )</f>
        <v/>
      </c>
      <c r="E646" s="92"/>
      <c r="F646" s="92"/>
      <c r="G646" s="125" t="str">
        <f t="array" ref="G646">ifs(or($F646="",$F646="Main Primary Artist"),$F646,not(iserror(vlookup($F646,'Reference info'!$J$5:$J$8,1,0))),"Key Artist",not(iserror(vlookup($F646,'Reference info'!$J$38:$J$405,1,0))),"Performer",not(iserror(vlookup($F646,'Reference info'!$J$10:$J$36,1,0))),"Producer &amp; Engineer")</f>
        <v/>
      </c>
    </row>
    <row r="647">
      <c r="A647" s="28"/>
      <c r="B647" s="97"/>
      <c r="C647" s="121" t="str">
        <f t="array" ref="C647">ifs(and(isblank($A647),isblank($B647)),"", not(iserror(vlookup($A647&amp;$B647,'3) Release_Label'!$D:$D&amp;'3) Release_Label'!$E:$E,1,0))),vlookup($A647&amp;$B647,{'3) Release_Label'!$D:$D&amp;'3) Release_Label'!$E:$E,'3) Release_Label'!$F:$F},2,0), or(and(not(isblank($B647)),$B647=$B646,$A647&lt;&gt;$A646),and(not(isblank($A647)),$A647=$A646,$B647&lt;&gt;$B646)),"ID LISTS UNALIGNED",and($A647&lt;&gt;"",countif('3) Release_Label'!$D:$D,$A647)=0),"NO UPC MATCH in Release_Label",and($B647&lt;&gt;"",countif('3) Release_Label'!$E:$E,$B647)=0),"NO CATALOG ID MATCH in Release_Label",iserror(vlookup($A647&amp;$B647,'3) Release_Label'!$D:$D&amp;'3) Release_Label'!$E:$E,1,0)),"NO UPC-CATALOG ID pair MATCH in Release_Label" )</f>
        <v/>
      </c>
      <c r="D647" s="121" t="str">
        <f t="array" ref="D647">ifs(and(isblank($A647),isblank($B647)),"", not(iserror(vlookup($A647&amp;$B647,'3) Release_Label'!$D:$D&amp;'3) Release_Label'!$E:$E,1,0))),vlookup($A647&amp;$B647,{'3) Release_Label'!$D:$D&amp;'3) Release_Label'!$E:$E,'3) Release_Label'!$H:$H},2,0), or(and(not(isblank($B647)),$B647=$B646,$A647&lt;&gt;$A646),and(not(isblank($A647)),$A647=$A646,$B647&lt;&gt;$B646)),"ID LISTS UNALIGNED",and($A647&lt;&gt;"",countif('3) Release_Label'!$D:$D,$A647)=0),"NO UPC MATCH in Release_Label",and($B647&lt;&gt;"",countif('3) Release_Label'!$E:$E,$B647)=0),"NO CATALOG ID MATCH in Release_Label",iserror(vlookup($A647&amp;$B647,'3) Release_Label'!$D:$D&amp;'3) Release_Label'!$E:$E,1,0)),"NO UPC-CATALOG ID pair MATCH in Release_Label" )</f>
        <v/>
      </c>
      <c r="E647" s="92"/>
      <c r="F647" s="92"/>
      <c r="G647" s="125" t="str">
        <f t="array" ref="G647">ifs(or($F647="",$F647="Main Primary Artist"),$F647,not(iserror(vlookup($F647,'Reference info'!$J$5:$J$8,1,0))),"Key Artist",not(iserror(vlookup($F647,'Reference info'!$J$38:$J$405,1,0))),"Performer",not(iserror(vlookup($F647,'Reference info'!$J$10:$J$36,1,0))),"Producer &amp; Engineer")</f>
        <v/>
      </c>
    </row>
    <row r="648">
      <c r="A648" s="28"/>
      <c r="B648" s="97"/>
      <c r="C648" s="121" t="str">
        <f t="array" ref="C648">ifs(and(isblank($A648),isblank($B648)),"", not(iserror(vlookup($A648&amp;$B648,'3) Release_Label'!$D:$D&amp;'3) Release_Label'!$E:$E,1,0))),vlookup($A648&amp;$B648,{'3) Release_Label'!$D:$D&amp;'3) Release_Label'!$E:$E,'3) Release_Label'!$F:$F},2,0), or(and(not(isblank($B648)),$B648=$B647,$A648&lt;&gt;$A647),and(not(isblank($A648)),$A648=$A647,$B648&lt;&gt;$B647)),"ID LISTS UNALIGNED",and($A648&lt;&gt;"",countif('3) Release_Label'!$D:$D,$A648)=0),"NO UPC MATCH in Release_Label",and($B648&lt;&gt;"",countif('3) Release_Label'!$E:$E,$B648)=0),"NO CATALOG ID MATCH in Release_Label",iserror(vlookup($A648&amp;$B648,'3) Release_Label'!$D:$D&amp;'3) Release_Label'!$E:$E,1,0)),"NO UPC-CATALOG ID pair MATCH in Release_Label" )</f>
        <v/>
      </c>
      <c r="D648" s="121" t="str">
        <f t="array" ref="D648">ifs(and(isblank($A648),isblank($B648)),"", not(iserror(vlookup($A648&amp;$B648,'3) Release_Label'!$D:$D&amp;'3) Release_Label'!$E:$E,1,0))),vlookup($A648&amp;$B648,{'3) Release_Label'!$D:$D&amp;'3) Release_Label'!$E:$E,'3) Release_Label'!$H:$H},2,0), or(and(not(isblank($B648)),$B648=$B647,$A648&lt;&gt;$A647),and(not(isblank($A648)),$A648=$A647,$B648&lt;&gt;$B647)),"ID LISTS UNALIGNED",and($A648&lt;&gt;"",countif('3) Release_Label'!$D:$D,$A648)=0),"NO UPC MATCH in Release_Label",and($B648&lt;&gt;"",countif('3) Release_Label'!$E:$E,$B648)=0),"NO CATALOG ID MATCH in Release_Label",iserror(vlookup($A648&amp;$B648,'3) Release_Label'!$D:$D&amp;'3) Release_Label'!$E:$E,1,0)),"NO UPC-CATALOG ID pair MATCH in Release_Label" )</f>
        <v/>
      </c>
      <c r="E648" s="92"/>
      <c r="F648" s="92"/>
      <c r="G648" s="125" t="str">
        <f t="array" ref="G648">ifs(or($F648="",$F648="Main Primary Artist"),$F648,not(iserror(vlookup($F648,'Reference info'!$J$5:$J$8,1,0))),"Key Artist",not(iserror(vlookup($F648,'Reference info'!$J$38:$J$405,1,0))),"Performer",not(iserror(vlookup($F648,'Reference info'!$J$10:$J$36,1,0))),"Producer &amp; Engineer")</f>
        <v/>
      </c>
    </row>
    <row r="649">
      <c r="A649" s="28"/>
      <c r="B649" s="97"/>
      <c r="C649" s="121" t="str">
        <f t="array" ref="C649">ifs(and(isblank($A649),isblank($B649)),"", not(iserror(vlookup($A649&amp;$B649,'3) Release_Label'!$D:$D&amp;'3) Release_Label'!$E:$E,1,0))),vlookup($A649&amp;$B649,{'3) Release_Label'!$D:$D&amp;'3) Release_Label'!$E:$E,'3) Release_Label'!$F:$F},2,0), or(and(not(isblank($B649)),$B649=$B648,$A649&lt;&gt;$A648),and(not(isblank($A649)),$A649=$A648,$B649&lt;&gt;$B648)),"ID LISTS UNALIGNED",and($A649&lt;&gt;"",countif('3) Release_Label'!$D:$D,$A649)=0),"NO UPC MATCH in Release_Label",and($B649&lt;&gt;"",countif('3) Release_Label'!$E:$E,$B649)=0),"NO CATALOG ID MATCH in Release_Label",iserror(vlookup($A649&amp;$B649,'3) Release_Label'!$D:$D&amp;'3) Release_Label'!$E:$E,1,0)),"NO UPC-CATALOG ID pair MATCH in Release_Label" )</f>
        <v/>
      </c>
      <c r="D649" s="121" t="str">
        <f t="array" ref="D649">ifs(and(isblank($A649),isblank($B649)),"", not(iserror(vlookup($A649&amp;$B649,'3) Release_Label'!$D:$D&amp;'3) Release_Label'!$E:$E,1,0))),vlookup($A649&amp;$B649,{'3) Release_Label'!$D:$D&amp;'3) Release_Label'!$E:$E,'3) Release_Label'!$H:$H},2,0), or(and(not(isblank($B649)),$B649=$B648,$A649&lt;&gt;$A648),and(not(isblank($A649)),$A649=$A648,$B649&lt;&gt;$B648)),"ID LISTS UNALIGNED",and($A649&lt;&gt;"",countif('3) Release_Label'!$D:$D,$A649)=0),"NO UPC MATCH in Release_Label",and($B649&lt;&gt;"",countif('3) Release_Label'!$E:$E,$B649)=0),"NO CATALOG ID MATCH in Release_Label",iserror(vlookup($A649&amp;$B649,'3) Release_Label'!$D:$D&amp;'3) Release_Label'!$E:$E,1,0)),"NO UPC-CATALOG ID pair MATCH in Release_Label" )</f>
        <v/>
      </c>
      <c r="E649" s="92"/>
      <c r="F649" s="92"/>
      <c r="G649" s="125" t="str">
        <f t="array" ref="G649">ifs(or($F649="",$F649="Main Primary Artist"),$F649,not(iserror(vlookup($F649,'Reference info'!$J$5:$J$8,1,0))),"Key Artist",not(iserror(vlookup($F649,'Reference info'!$J$38:$J$405,1,0))),"Performer",not(iserror(vlookup($F649,'Reference info'!$J$10:$J$36,1,0))),"Producer &amp; Engineer")</f>
        <v/>
      </c>
    </row>
    <row r="650">
      <c r="A650" s="28"/>
      <c r="B650" s="97"/>
      <c r="C650" s="121" t="str">
        <f t="array" ref="C650">ifs(and(isblank($A650),isblank($B650)),"", not(iserror(vlookup($A650&amp;$B650,'3) Release_Label'!$D:$D&amp;'3) Release_Label'!$E:$E,1,0))),vlookup($A650&amp;$B650,{'3) Release_Label'!$D:$D&amp;'3) Release_Label'!$E:$E,'3) Release_Label'!$F:$F},2,0), or(and(not(isblank($B650)),$B650=$B649,$A650&lt;&gt;$A649),and(not(isblank($A650)),$A650=$A649,$B650&lt;&gt;$B649)),"ID LISTS UNALIGNED",and($A650&lt;&gt;"",countif('3) Release_Label'!$D:$D,$A650)=0),"NO UPC MATCH in Release_Label",and($B650&lt;&gt;"",countif('3) Release_Label'!$E:$E,$B650)=0),"NO CATALOG ID MATCH in Release_Label",iserror(vlookup($A650&amp;$B650,'3) Release_Label'!$D:$D&amp;'3) Release_Label'!$E:$E,1,0)),"NO UPC-CATALOG ID pair MATCH in Release_Label" )</f>
        <v/>
      </c>
      <c r="D650" s="121" t="str">
        <f t="array" ref="D650">ifs(and(isblank($A650),isblank($B650)),"", not(iserror(vlookup($A650&amp;$B650,'3) Release_Label'!$D:$D&amp;'3) Release_Label'!$E:$E,1,0))),vlookup($A650&amp;$B650,{'3) Release_Label'!$D:$D&amp;'3) Release_Label'!$E:$E,'3) Release_Label'!$H:$H},2,0), or(and(not(isblank($B650)),$B650=$B649,$A650&lt;&gt;$A649),and(not(isblank($A650)),$A650=$A649,$B650&lt;&gt;$B649)),"ID LISTS UNALIGNED",and($A650&lt;&gt;"",countif('3) Release_Label'!$D:$D,$A650)=0),"NO UPC MATCH in Release_Label",and($B650&lt;&gt;"",countif('3) Release_Label'!$E:$E,$B650)=0),"NO CATALOG ID MATCH in Release_Label",iserror(vlookup($A650&amp;$B650,'3) Release_Label'!$D:$D&amp;'3) Release_Label'!$E:$E,1,0)),"NO UPC-CATALOG ID pair MATCH in Release_Label" )</f>
        <v/>
      </c>
      <c r="E650" s="92"/>
      <c r="F650" s="92"/>
      <c r="G650" s="125" t="str">
        <f t="array" ref="G650">ifs(or($F650="",$F650="Main Primary Artist"),$F650,not(iserror(vlookup($F650,'Reference info'!$J$5:$J$8,1,0))),"Key Artist",not(iserror(vlookup($F650,'Reference info'!$J$38:$J$405,1,0))),"Performer",not(iserror(vlookup($F650,'Reference info'!$J$10:$J$36,1,0))),"Producer &amp; Engineer")</f>
        <v/>
      </c>
    </row>
    <row r="651">
      <c r="A651" s="28"/>
      <c r="B651" s="97"/>
      <c r="C651" s="121" t="str">
        <f t="array" ref="C651">ifs(and(isblank($A651),isblank($B651)),"", not(iserror(vlookup($A651&amp;$B651,'3) Release_Label'!$D:$D&amp;'3) Release_Label'!$E:$E,1,0))),vlookup($A651&amp;$B651,{'3) Release_Label'!$D:$D&amp;'3) Release_Label'!$E:$E,'3) Release_Label'!$F:$F},2,0), or(and(not(isblank($B651)),$B651=$B650,$A651&lt;&gt;$A650),and(not(isblank($A651)),$A651=$A650,$B651&lt;&gt;$B650)),"ID LISTS UNALIGNED",and($A651&lt;&gt;"",countif('3) Release_Label'!$D:$D,$A651)=0),"NO UPC MATCH in Release_Label",and($B651&lt;&gt;"",countif('3) Release_Label'!$E:$E,$B651)=0),"NO CATALOG ID MATCH in Release_Label",iserror(vlookup($A651&amp;$B651,'3) Release_Label'!$D:$D&amp;'3) Release_Label'!$E:$E,1,0)),"NO UPC-CATALOG ID pair MATCH in Release_Label" )</f>
        <v/>
      </c>
      <c r="D651" s="121" t="str">
        <f t="array" ref="D651">ifs(and(isblank($A651),isblank($B651)),"", not(iserror(vlookup($A651&amp;$B651,'3) Release_Label'!$D:$D&amp;'3) Release_Label'!$E:$E,1,0))),vlookup($A651&amp;$B651,{'3) Release_Label'!$D:$D&amp;'3) Release_Label'!$E:$E,'3) Release_Label'!$H:$H},2,0), or(and(not(isblank($B651)),$B651=$B650,$A651&lt;&gt;$A650),and(not(isblank($A651)),$A651=$A650,$B651&lt;&gt;$B650)),"ID LISTS UNALIGNED",and($A651&lt;&gt;"",countif('3) Release_Label'!$D:$D,$A651)=0),"NO UPC MATCH in Release_Label",and($B651&lt;&gt;"",countif('3) Release_Label'!$E:$E,$B651)=0),"NO CATALOG ID MATCH in Release_Label",iserror(vlookup($A651&amp;$B651,'3) Release_Label'!$D:$D&amp;'3) Release_Label'!$E:$E,1,0)),"NO UPC-CATALOG ID pair MATCH in Release_Label" )</f>
        <v/>
      </c>
      <c r="E651" s="92"/>
      <c r="F651" s="92"/>
      <c r="G651" s="125" t="str">
        <f t="array" ref="G651">ifs(or($F651="",$F651="Main Primary Artist"),$F651,not(iserror(vlookup($F651,'Reference info'!$J$5:$J$8,1,0))),"Key Artist",not(iserror(vlookup($F651,'Reference info'!$J$38:$J$405,1,0))),"Performer",not(iserror(vlookup($F651,'Reference info'!$J$10:$J$36,1,0))),"Producer &amp; Engineer")</f>
        <v/>
      </c>
    </row>
    <row r="652">
      <c r="A652" s="28"/>
      <c r="B652" s="97"/>
      <c r="C652" s="121" t="str">
        <f t="array" ref="C652">ifs(and(isblank($A652),isblank($B652)),"", not(iserror(vlookup($A652&amp;$B652,'3) Release_Label'!$D:$D&amp;'3) Release_Label'!$E:$E,1,0))),vlookup($A652&amp;$B652,{'3) Release_Label'!$D:$D&amp;'3) Release_Label'!$E:$E,'3) Release_Label'!$F:$F},2,0), or(and(not(isblank($B652)),$B652=$B651,$A652&lt;&gt;$A651),and(not(isblank($A652)),$A652=$A651,$B652&lt;&gt;$B651)),"ID LISTS UNALIGNED",and($A652&lt;&gt;"",countif('3) Release_Label'!$D:$D,$A652)=0),"NO UPC MATCH in Release_Label",and($B652&lt;&gt;"",countif('3) Release_Label'!$E:$E,$B652)=0),"NO CATALOG ID MATCH in Release_Label",iserror(vlookup($A652&amp;$B652,'3) Release_Label'!$D:$D&amp;'3) Release_Label'!$E:$E,1,0)),"NO UPC-CATALOG ID pair MATCH in Release_Label" )</f>
        <v/>
      </c>
      <c r="D652" s="121" t="str">
        <f t="array" ref="D652">ifs(and(isblank($A652),isblank($B652)),"", not(iserror(vlookup($A652&amp;$B652,'3) Release_Label'!$D:$D&amp;'3) Release_Label'!$E:$E,1,0))),vlookup($A652&amp;$B652,{'3) Release_Label'!$D:$D&amp;'3) Release_Label'!$E:$E,'3) Release_Label'!$H:$H},2,0), or(and(not(isblank($B652)),$B652=$B651,$A652&lt;&gt;$A651),and(not(isblank($A652)),$A652=$A651,$B652&lt;&gt;$B651)),"ID LISTS UNALIGNED",and($A652&lt;&gt;"",countif('3) Release_Label'!$D:$D,$A652)=0),"NO UPC MATCH in Release_Label",and($B652&lt;&gt;"",countif('3) Release_Label'!$E:$E,$B652)=0),"NO CATALOG ID MATCH in Release_Label",iserror(vlookup($A652&amp;$B652,'3) Release_Label'!$D:$D&amp;'3) Release_Label'!$E:$E,1,0)),"NO UPC-CATALOG ID pair MATCH in Release_Label" )</f>
        <v/>
      </c>
      <c r="E652" s="92"/>
      <c r="F652" s="92"/>
      <c r="G652" s="125" t="str">
        <f t="array" ref="G652">ifs(or($F652="",$F652="Main Primary Artist"),$F652,not(iserror(vlookup($F652,'Reference info'!$J$5:$J$8,1,0))),"Key Artist",not(iserror(vlookup($F652,'Reference info'!$J$38:$J$405,1,0))),"Performer",not(iserror(vlookup($F652,'Reference info'!$J$10:$J$36,1,0))),"Producer &amp; Engineer")</f>
        <v/>
      </c>
    </row>
    <row r="653">
      <c r="A653" s="28"/>
      <c r="B653" s="97"/>
      <c r="C653" s="121" t="str">
        <f t="array" ref="C653">ifs(and(isblank($A653),isblank($B653)),"", not(iserror(vlookup($A653&amp;$B653,'3) Release_Label'!$D:$D&amp;'3) Release_Label'!$E:$E,1,0))),vlookup($A653&amp;$B653,{'3) Release_Label'!$D:$D&amp;'3) Release_Label'!$E:$E,'3) Release_Label'!$F:$F},2,0), or(and(not(isblank($B653)),$B653=$B652,$A653&lt;&gt;$A652),and(not(isblank($A653)),$A653=$A652,$B653&lt;&gt;$B652)),"ID LISTS UNALIGNED",and($A653&lt;&gt;"",countif('3) Release_Label'!$D:$D,$A653)=0),"NO UPC MATCH in Release_Label",and($B653&lt;&gt;"",countif('3) Release_Label'!$E:$E,$B653)=0),"NO CATALOG ID MATCH in Release_Label",iserror(vlookup($A653&amp;$B653,'3) Release_Label'!$D:$D&amp;'3) Release_Label'!$E:$E,1,0)),"NO UPC-CATALOG ID pair MATCH in Release_Label" )</f>
        <v/>
      </c>
      <c r="D653" s="121" t="str">
        <f t="array" ref="D653">ifs(and(isblank($A653),isblank($B653)),"", not(iserror(vlookup($A653&amp;$B653,'3) Release_Label'!$D:$D&amp;'3) Release_Label'!$E:$E,1,0))),vlookup($A653&amp;$B653,{'3) Release_Label'!$D:$D&amp;'3) Release_Label'!$E:$E,'3) Release_Label'!$H:$H},2,0), or(and(not(isblank($B653)),$B653=$B652,$A653&lt;&gt;$A652),and(not(isblank($A653)),$A653=$A652,$B653&lt;&gt;$B652)),"ID LISTS UNALIGNED",and($A653&lt;&gt;"",countif('3) Release_Label'!$D:$D,$A653)=0),"NO UPC MATCH in Release_Label",and($B653&lt;&gt;"",countif('3) Release_Label'!$E:$E,$B653)=0),"NO CATALOG ID MATCH in Release_Label",iserror(vlookup($A653&amp;$B653,'3) Release_Label'!$D:$D&amp;'3) Release_Label'!$E:$E,1,0)),"NO UPC-CATALOG ID pair MATCH in Release_Label" )</f>
        <v/>
      </c>
      <c r="E653" s="92"/>
      <c r="F653" s="92"/>
      <c r="G653" s="125" t="str">
        <f t="array" ref="G653">ifs(or($F653="",$F653="Main Primary Artist"),$F653,not(iserror(vlookup($F653,'Reference info'!$J$5:$J$8,1,0))),"Key Artist",not(iserror(vlookup($F653,'Reference info'!$J$38:$J$405,1,0))),"Performer",not(iserror(vlookup($F653,'Reference info'!$J$10:$J$36,1,0))),"Producer &amp; Engineer")</f>
        <v/>
      </c>
    </row>
    <row r="654">
      <c r="A654" s="28"/>
      <c r="B654" s="97"/>
      <c r="C654" s="121" t="str">
        <f t="array" ref="C654">ifs(and(isblank($A654),isblank($B654)),"", not(iserror(vlookup($A654&amp;$B654,'3) Release_Label'!$D:$D&amp;'3) Release_Label'!$E:$E,1,0))),vlookup($A654&amp;$B654,{'3) Release_Label'!$D:$D&amp;'3) Release_Label'!$E:$E,'3) Release_Label'!$F:$F},2,0), or(and(not(isblank($B654)),$B654=$B653,$A654&lt;&gt;$A653),and(not(isblank($A654)),$A654=$A653,$B654&lt;&gt;$B653)),"ID LISTS UNALIGNED",and($A654&lt;&gt;"",countif('3) Release_Label'!$D:$D,$A654)=0),"NO UPC MATCH in Release_Label",and($B654&lt;&gt;"",countif('3) Release_Label'!$E:$E,$B654)=0),"NO CATALOG ID MATCH in Release_Label",iserror(vlookup($A654&amp;$B654,'3) Release_Label'!$D:$D&amp;'3) Release_Label'!$E:$E,1,0)),"NO UPC-CATALOG ID pair MATCH in Release_Label" )</f>
        <v/>
      </c>
      <c r="D654" s="121" t="str">
        <f t="array" ref="D654">ifs(and(isblank($A654),isblank($B654)),"", not(iserror(vlookup($A654&amp;$B654,'3) Release_Label'!$D:$D&amp;'3) Release_Label'!$E:$E,1,0))),vlookup($A654&amp;$B654,{'3) Release_Label'!$D:$D&amp;'3) Release_Label'!$E:$E,'3) Release_Label'!$H:$H},2,0), or(and(not(isblank($B654)),$B654=$B653,$A654&lt;&gt;$A653),and(not(isblank($A654)),$A654=$A653,$B654&lt;&gt;$B653)),"ID LISTS UNALIGNED",and($A654&lt;&gt;"",countif('3) Release_Label'!$D:$D,$A654)=0),"NO UPC MATCH in Release_Label",and($B654&lt;&gt;"",countif('3) Release_Label'!$E:$E,$B654)=0),"NO CATALOG ID MATCH in Release_Label",iserror(vlookup($A654&amp;$B654,'3) Release_Label'!$D:$D&amp;'3) Release_Label'!$E:$E,1,0)),"NO UPC-CATALOG ID pair MATCH in Release_Label" )</f>
        <v/>
      </c>
      <c r="E654" s="92"/>
      <c r="F654" s="92"/>
      <c r="G654" s="125" t="str">
        <f t="array" ref="G654">ifs(or($F654="",$F654="Main Primary Artist"),$F654,not(iserror(vlookup($F654,'Reference info'!$J$5:$J$8,1,0))),"Key Artist",not(iserror(vlookup($F654,'Reference info'!$J$38:$J$405,1,0))),"Performer",not(iserror(vlookup($F654,'Reference info'!$J$10:$J$36,1,0))),"Producer &amp; Engineer")</f>
        <v/>
      </c>
    </row>
    <row r="655">
      <c r="A655" s="28"/>
      <c r="B655" s="97"/>
      <c r="C655" s="121" t="str">
        <f t="array" ref="C655">ifs(and(isblank($A655),isblank($B655)),"", not(iserror(vlookup($A655&amp;$B655,'3) Release_Label'!$D:$D&amp;'3) Release_Label'!$E:$E,1,0))),vlookup($A655&amp;$B655,{'3) Release_Label'!$D:$D&amp;'3) Release_Label'!$E:$E,'3) Release_Label'!$F:$F},2,0), or(and(not(isblank($B655)),$B655=$B654,$A655&lt;&gt;$A654),and(not(isblank($A655)),$A655=$A654,$B655&lt;&gt;$B654)),"ID LISTS UNALIGNED",and($A655&lt;&gt;"",countif('3) Release_Label'!$D:$D,$A655)=0),"NO UPC MATCH in Release_Label",and($B655&lt;&gt;"",countif('3) Release_Label'!$E:$E,$B655)=0),"NO CATALOG ID MATCH in Release_Label",iserror(vlookup($A655&amp;$B655,'3) Release_Label'!$D:$D&amp;'3) Release_Label'!$E:$E,1,0)),"NO UPC-CATALOG ID pair MATCH in Release_Label" )</f>
        <v/>
      </c>
      <c r="D655" s="121" t="str">
        <f t="array" ref="D655">ifs(and(isblank($A655),isblank($B655)),"", not(iserror(vlookup($A655&amp;$B655,'3) Release_Label'!$D:$D&amp;'3) Release_Label'!$E:$E,1,0))),vlookup($A655&amp;$B655,{'3) Release_Label'!$D:$D&amp;'3) Release_Label'!$E:$E,'3) Release_Label'!$H:$H},2,0), or(and(not(isblank($B655)),$B655=$B654,$A655&lt;&gt;$A654),and(not(isblank($A655)),$A655=$A654,$B655&lt;&gt;$B654)),"ID LISTS UNALIGNED",and($A655&lt;&gt;"",countif('3) Release_Label'!$D:$D,$A655)=0),"NO UPC MATCH in Release_Label",and($B655&lt;&gt;"",countif('3) Release_Label'!$E:$E,$B655)=0),"NO CATALOG ID MATCH in Release_Label",iserror(vlookup($A655&amp;$B655,'3) Release_Label'!$D:$D&amp;'3) Release_Label'!$E:$E,1,0)),"NO UPC-CATALOG ID pair MATCH in Release_Label" )</f>
        <v/>
      </c>
      <c r="E655" s="92"/>
      <c r="F655" s="92"/>
      <c r="G655" s="125" t="str">
        <f t="array" ref="G655">ifs(or($F655="",$F655="Main Primary Artist"),$F655,not(iserror(vlookup($F655,'Reference info'!$J$5:$J$8,1,0))),"Key Artist",not(iserror(vlookup($F655,'Reference info'!$J$38:$J$405,1,0))),"Performer",not(iserror(vlookup($F655,'Reference info'!$J$10:$J$36,1,0))),"Producer &amp; Engineer")</f>
        <v/>
      </c>
    </row>
    <row r="656">
      <c r="A656" s="28"/>
      <c r="B656" s="97"/>
      <c r="C656" s="121" t="str">
        <f t="array" ref="C656">ifs(and(isblank($A656),isblank($B656)),"", not(iserror(vlookup($A656&amp;$B656,'3) Release_Label'!$D:$D&amp;'3) Release_Label'!$E:$E,1,0))),vlookup($A656&amp;$B656,{'3) Release_Label'!$D:$D&amp;'3) Release_Label'!$E:$E,'3) Release_Label'!$F:$F},2,0), or(and(not(isblank($B656)),$B656=$B655,$A656&lt;&gt;$A655),and(not(isblank($A656)),$A656=$A655,$B656&lt;&gt;$B655)),"ID LISTS UNALIGNED",and($A656&lt;&gt;"",countif('3) Release_Label'!$D:$D,$A656)=0),"NO UPC MATCH in Release_Label",and($B656&lt;&gt;"",countif('3) Release_Label'!$E:$E,$B656)=0),"NO CATALOG ID MATCH in Release_Label",iserror(vlookup($A656&amp;$B656,'3) Release_Label'!$D:$D&amp;'3) Release_Label'!$E:$E,1,0)),"NO UPC-CATALOG ID pair MATCH in Release_Label" )</f>
        <v/>
      </c>
      <c r="D656" s="121" t="str">
        <f t="array" ref="D656">ifs(and(isblank($A656),isblank($B656)),"", not(iserror(vlookup($A656&amp;$B656,'3) Release_Label'!$D:$D&amp;'3) Release_Label'!$E:$E,1,0))),vlookup($A656&amp;$B656,{'3) Release_Label'!$D:$D&amp;'3) Release_Label'!$E:$E,'3) Release_Label'!$H:$H},2,0), or(and(not(isblank($B656)),$B656=$B655,$A656&lt;&gt;$A655),and(not(isblank($A656)),$A656=$A655,$B656&lt;&gt;$B655)),"ID LISTS UNALIGNED",and($A656&lt;&gt;"",countif('3) Release_Label'!$D:$D,$A656)=0),"NO UPC MATCH in Release_Label",and($B656&lt;&gt;"",countif('3) Release_Label'!$E:$E,$B656)=0),"NO CATALOG ID MATCH in Release_Label",iserror(vlookup($A656&amp;$B656,'3) Release_Label'!$D:$D&amp;'3) Release_Label'!$E:$E,1,0)),"NO UPC-CATALOG ID pair MATCH in Release_Label" )</f>
        <v/>
      </c>
      <c r="E656" s="92"/>
      <c r="F656" s="92"/>
      <c r="G656" s="125" t="str">
        <f t="array" ref="G656">ifs(or($F656="",$F656="Main Primary Artist"),$F656,not(iserror(vlookup($F656,'Reference info'!$J$5:$J$8,1,0))),"Key Artist",not(iserror(vlookup($F656,'Reference info'!$J$38:$J$405,1,0))),"Performer",not(iserror(vlookup($F656,'Reference info'!$J$10:$J$36,1,0))),"Producer &amp; Engineer")</f>
        <v/>
      </c>
    </row>
    <row r="657">
      <c r="A657" s="28"/>
      <c r="B657" s="97"/>
      <c r="C657" s="121" t="str">
        <f t="array" ref="C657">ifs(and(isblank($A657),isblank($B657)),"", not(iserror(vlookup($A657&amp;$B657,'3) Release_Label'!$D:$D&amp;'3) Release_Label'!$E:$E,1,0))),vlookup($A657&amp;$B657,{'3) Release_Label'!$D:$D&amp;'3) Release_Label'!$E:$E,'3) Release_Label'!$F:$F},2,0), or(and(not(isblank($B657)),$B657=$B656,$A657&lt;&gt;$A656),and(not(isblank($A657)),$A657=$A656,$B657&lt;&gt;$B656)),"ID LISTS UNALIGNED",and($A657&lt;&gt;"",countif('3) Release_Label'!$D:$D,$A657)=0),"NO UPC MATCH in Release_Label",and($B657&lt;&gt;"",countif('3) Release_Label'!$E:$E,$B657)=0),"NO CATALOG ID MATCH in Release_Label",iserror(vlookup($A657&amp;$B657,'3) Release_Label'!$D:$D&amp;'3) Release_Label'!$E:$E,1,0)),"NO UPC-CATALOG ID pair MATCH in Release_Label" )</f>
        <v/>
      </c>
      <c r="D657" s="121" t="str">
        <f t="array" ref="D657">ifs(and(isblank($A657),isblank($B657)),"", not(iserror(vlookup($A657&amp;$B657,'3) Release_Label'!$D:$D&amp;'3) Release_Label'!$E:$E,1,0))),vlookup($A657&amp;$B657,{'3) Release_Label'!$D:$D&amp;'3) Release_Label'!$E:$E,'3) Release_Label'!$H:$H},2,0), or(and(not(isblank($B657)),$B657=$B656,$A657&lt;&gt;$A656),and(not(isblank($A657)),$A657=$A656,$B657&lt;&gt;$B656)),"ID LISTS UNALIGNED",and($A657&lt;&gt;"",countif('3) Release_Label'!$D:$D,$A657)=0),"NO UPC MATCH in Release_Label",and($B657&lt;&gt;"",countif('3) Release_Label'!$E:$E,$B657)=0),"NO CATALOG ID MATCH in Release_Label",iserror(vlookup($A657&amp;$B657,'3) Release_Label'!$D:$D&amp;'3) Release_Label'!$E:$E,1,0)),"NO UPC-CATALOG ID pair MATCH in Release_Label" )</f>
        <v/>
      </c>
      <c r="E657" s="92"/>
      <c r="F657" s="92"/>
      <c r="G657" s="125" t="str">
        <f t="array" ref="G657">ifs(or($F657="",$F657="Main Primary Artist"),$F657,not(iserror(vlookup($F657,'Reference info'!$J$5:$J$8,1,0))),"Key Artist",not(iserror(vlookup($F657,'Reference info'!$J$38:$J$405,1,0))),"Performer",not(iserror(vlookup($F657,'Reference info'!$J$10:$J$36,1,0))),"Producer &amp; Engineer")</f>
        <v/>
      </c>
    </row>
    <row r="658">
      <c r="A658" s="28"/>
      <c r="B658" s="97"/>
      <c r="C658" s="121" t="str">
        <f t="array" ref="C658">ifs(and(isblank($A658),isblank($B658)),"", not(iserror(vlookup($A658&amp;$B658,'3) Release_Label'!$D:$D&amp;'3) Release_Label'!$E:$E,1,0))),vlookup($A658&amp;$B658,{'3) Release_Label'!$D:$D&amp;'3) Release_Label'!$E:$E,'3) Release_Label'!$F:$F},2,0), or(and(not(isblank($B658)),$B658=$B657,$A658&lt;&gt;$A657),and(not(isblank($A658)),$A658=$A657,$B658&lt;&gt;$B657)),"ID LISTS UNALIGNED",and($A658&lt;&gt;"",countif('3) Release_Label'!$D:$D,$A658)=0),"NO UPC MATCH in Release_Label",and($B658&lt;&gt;"",countif('3) Release_Label'!$E:$E,$B658)=0),"NO CATALOG ID MATCH in Release_Label",iserror(vlookup($A658&amp;$B658,'3) Release_Label'!$D:$D&amp;'3) Release_Label'!$E:$E,1,0)),"NO UPC-CATALOG ID pair MATCH in Release_Label" )</f>
        <v/>
      </c>
      <c r="D658" s="121" t="str">
        <f t="array" ref="D658">ifs(and(isblank($A658),isblank($B658)),"", not(iserror(vlookup($A658&amp;$B658,'3) Release_Label'!$D:$D&amp;'3) Release_Label'!$E:$E,1,0))),vlookup($A658&amp;$B658,{'3) Release_Label'!$D:$D&amp;'3) Release_Label'!$E:$E,'3) Release_Label'!$H:$H},2,0), or(and(not(isblank($B658)),$B658=$B657,$A658&lt;&gt;$A657),and(not(isblank($A658)),$A658=$A657,$B658&lt;&gt;$B657)),"ID LISTS UNALIGNED",and($A658&lt;&gt;"",countif('3) Release_Label'!$D:$D,$A658)=0),"NO UPC MATCH in Release_Label",and($B658&lt;&gt;"",countif('3) Release_Label'!$E:$E,$B658)=0),"NO CATALOG ID MATCH in Release_Label",iserror(vlookup($A658&amp;$B658,'3) Release_Label'!$D:$D&amp;'3) Release_Label'!$E:$E,1,0)),"NO UPC-CATALOG ID pair MATCH in Release_Label" )</f>
        <v/>
      </c>
      <c r="E658" s="92"/>
      <c r="F658" s="92"/>
      <c r="G658" s="125" t="str">
        <f t="array" ref="G658">ifs(or($F658="",$F658="Main Primary Artist"),$F658,not(iserror(vlookup($F658,'Reference info'!$J$5:$J$8,1,0))),"Key Artist",not(iserror(vlookup($F658,'Reference info'!$J$38:$J$405,1,0))),"Performer",not(iserror(vlookup($F658,'Reference info'!$J$10:$J$36,1,0))),"Producer &amp; Engineer")</f>
        <v/>
      </c>
    </row>
    <row r="659">
      <c r="A659" s="28"/>
      <c r="B659" s="97"/>
      <c r="C659" s="121" t="str">
        <f t="array" ref="C659">ifs(and(isblank($A659),isblank($B659)),"", not(iserror(vlookup($A659&amp;$B659,'3) Release_Label'!$D:$D&amp;'3) Release_Label'!$E:$E,1,0))),vlookup($A659&amp;$B659,{'3) Release_Label'!$D:$D&amp;'3) Release_Label'!$E:$E,'3) Release_Label'!$F:$F},2,0), or(and(not(isblank($B659)),$B659=$B658,$A659&lt;&gt;$A658),and(not(isblank($A659)),$A659=$A658,$B659&lt;&gt;$B658)),"ID LISTS UNALIGNED",and($A659&lt;&gt;"",countif('3) Release_Label'!$D:$D,$A659)=0),"NO UPC MATCH in Release_Label",and($B659&lt;&gt;"",countif('3) Release_Label'!$E:$E,$B659)=0),"NO CATALOG ID MATCH in Release_Label",iserror(vlookup($A659&amp;$B659,'3) Release_Label'!$D:$D&amp;'3) Release_Label'!$E:$E,1,0)),"NO UPC-CATALOG ID pair MATCH in Release_Label" )</f>
        <v/>
      </c>
      <c r="D659" s="121" t="str">
        <f t="array" ref="D659">ifs(and(isblank($A659),isblank($B659)),"", not(iserror(vlookup($A659&amp;$B659,'3) Release_Label'!$D:$D&amp;'3) Release_Label'!$E:$E,1,0))),vlookup($A659&amp;$B659,{'3) Release_Label'!$D:$D&amp;'3) Release_Label'!$E:$E,'3) Release_Label'!$H:$H},2,0), or(and(not(isblank($B659)),$B659=$B658,$A659&lt;&gt;$A658),and(not(isblank($A659)),$A659=$A658,$B659&lt;&gt;$B658)),"ID LISTS UNALIGNED",and($A659&lt;&gt;"",countif('3) Release_Label'!$D:$D,$A659)=0),"NO UPC MATCH in Release_Label",and($B659&lt;&gt;"",countif('3) Release_Label'!$E:$E,$B659)=0),"NO CATALOG ID MATCH in Release_Label",iserror(vlookup($A659&amp;$B659,'3) Release_Label'!$D:$D&amp;'3) Release_Label'!$E:$E,1,0)),"NO UPC-CATALOG ID pair MATCH in Release_Label" )</f>
        <v/>
      </c>
      <c r="E659" s="92"/>
      <c r="F659" s="92"/>
      <c r="G659" s="125" t="str">
        <f t="array" ref="G659">ifs(or($F659="",$F659="Main Primary Artist"),$F659,not(iserror(vlookup($F659,'Reference info'!$J$5:$J$8,1,0))),"Key Artist",not(iserror(vlookup($F659,'Reference info'!$J$38:$J$405,1,0))),"Performer",not(iserror(vlookup($F659,'Reference info'!$J$10:$J$36,1,0))),"Producer &amp; Engineer")</f>
        <v/>
      </c>
    </row>
    <row r="660">
      <c r="A660" s="28"/>
      <c r="B660" s="97"/>
      <c r="C660" s="121" t="str">
        <f t="array" ref="C660">ifs(and(isblank($A660),isblank($B660)),"", not(iserror(vlookup($A660&amp;$B660,'3) Release_Label'!$D:$D&amp;'3) Release_Label'!$E:$E,1,0))),vlookup($A660&amp;$B660,{'3) Release_Label'!$D:$D&amp;'3) Release_Label'!$E:$E,'3) Release_Label'!$F:$F},2,0), or(and(not(isblank($B660)),$B660=$B659,$A660&lt;&gt;$A659),and(not(isblank($A660)),$A660=$A659,$B660&lt;&gt;$B659)),"ID LISTS UNALIGNED",and($A660&lt;&gt;"",countif('3) Release_Label'!$D:$D,$A660)=0),"NO UPC MATCH in Release_Label",and($B660&lt;&gt;"",countif('3) Release_Label'!$E:$E,$B660)=0),"NO CATALOG ID MATCH in Release_Label",iserror(vlookup($A660&amp;$B660,'3) Release_Label'!$D:$D&amp;'3) Release_Label'!$E:$E,1,0)),"NO UPC-CATALOG ID pair MATCH in Release_Label" )</f>
        <v/>
      </c>
      <c r="D660" s="121" t="str">
        <f t="array" ref="D660">ifs(and(isblank($A660),isblank($B660)),"", not(iserror(vlookup($A660&amp;$B660,'3) Release_Label'!$D:$D&amp;'3) Release_Label'!$E:$E,1,0))),vlookup($A660&amp;$B660,{'3) Release_Label'!$D:$D&amp;'3) Release_Label'!$E:$E,'3) Release_Label'!$H:$H},2,0), or(and(not(isblank($B660)),$B660=$B659,$A660&lt;&gt;$A659),and(not(isblank($A660)),$A660=$A659,$B660&lt;&gt;$B659)),"ID LISTS UNALIGNED",and($A660&lt;&gt;"",countif('3) Release_Label'!$D:$D,$A660)=0),"NO UPC MATCH in Release_Label",and($B660&lt;&gt;"",countif('3) Release_Label'!$E:$E,$B660)=0),"NO CATALOG ID MATCH in Release_Label",iserror(vlookup($A660&amp;$B660,'3) Release_Label'!$D:$D&amp;'3) Release_Label'!$E:$E,1,0)),"NO UPC-CATALOG ID pair MATCH in Release_Label" )</f>
        <v/>
      </c>
      <c r="E660" s="92"/>
      <c r="F660" s="92"/>
      <c r="G660" s="125" t="str">
        <f t="array" ref="G660">ifs(or($F660="",$F660="Main Primary Artist"),$F660,not(iserror(vlookup($F660,'Reference info'!$J$5:$J$8,1,0))),"Key Artist",not(iserror(vlookup($F660,'Reference info'!$J$38:$J$405,1,0))),"Performer",not(iserror(vlookup($F660,'Reference info'!$J$10:$J$36,1,0))),"Producer &amp; Engineer")</f>
        <v/>
      </c>
    </row>
    <row r="661">
      <c r="A661" s="28"/>
      <c r="B661" s="97"/>
      <c r="C661" s="121" t="str">
        <f t="array" ref="C661">ifs(and(isblank($A661),isblank($B661)),"", not(iserror(vlookup($A661&amp;$B661,'3) Release_Label'!$D:$D&amp;'3) Release_Label'!$E:$E,1,0))),vlookup($A661&amp;$B661,{'3) Release_Label'!$D:$D&amp;'3) Release_Label'!$E:$E,'3) Release_Label'!$F:$F},2,0), or(and(not(isblank($B661)),$B661=$B660,$A661&lt;&gt;$A660),and(not(isblank($A661)),$A661=$A660,$B661&lt;&gt;$B660)),"ID LISTS UNALIGNED",and($A661&lt;&gt;"",countif('3) Release_Label'!$D:$D,$A661)=0),"NO UPC MATCH in Release_Label",and($B661&lt;&gt;"",countif('3) Release_Label'!$E:$E,$B661)=0),"NO CATALOG ID MATCH in Release_Label",iserror(vlookup($A661&amp;$B661,'3) Release_Label'!$D:$D&amp;'3) Release_Label'!$E:$E,1,0)),"NO UPC-CATALOG ID pair MATCH in Release_Label" )</f>
        <v/>
      </c>
      <c r="D661" s="121" t="str">
        <f t="array" ref="D661">ifs(and(isblank($A661),isblank($B661)),"", not(iserror(vlookup($A661&amp;$B661,'3) Release_Label'!$D:$D&amp;'3) Release_Label'!$E:$E,1,0))),vlookup($A661&amp;$B661,{'3) Release_Label'!$D:$D&amp;'3) Release_Label'!$E:$E,'3) Release_Label'!$H:$H},2,0), or(and(not(isblank($B661)),$B661=$B660,$A661&lt;&gt;$A660),and(not(isblank($A661)),$A661=$A660,$B661&lt;&gt;$B660)),"ID LISTS UNALIGNED",and($A661&lt;&gt;"",countif('3) Release_Label'!$D:$D,$A661)=0),"NO UPC MATCH in Release_Label",and($B661&lt;&gt;"",countif('3) Release_Label'!$E:$E,$B661)=0),"NO CATALOG ID MATCH in Release_Label",iserror(vlookup($A661&amp;$B661,'3) Release_Label'!$D:$D&amp;'3) Release_Label'!$E:$E,1,0)),"NO UPC-CATALOG ID pair MATCH in Release_Label" )</f>
        <v/>
      </c>
      <c r="E661" s="92"/>
      <c r="F661" s="92"/>
      <c r="G661" s="125" t="str">
        <f t="array" ref="G661">ifs(or($F661="",$F661="Main Primary Artist"),$F661,not(iserror(vlookup($F661,'Reference info'!$J$5:$J$8,1,0))),"Key Artist",not(iserror(vlookup($F661,'Reference info'!$J$38:$J$405,1,0))),"Performer",not(iserror(vlookup($F661,'Reference info'!$J$10:$J$36,1,0))),"Producer &amp; Engineer")</f>
        <v/>
      </c>
    </row>
    <row r="662">
      <c r="A662" s="28"/>
      <c r="B662" s="97"/>
      <c r="C662" s="121" t="str">
        <f t="array" ref="C662">ifs(and(isblank($A662),isblank($B662)),"", not(iserror(vlookup($A662&amp;$B662,'3) Release_Label'!$D:$D&amp;'3) Release_Label'!$E:$E,1,0))),vlookup($A662&amp;$B662,{'3) Release_Label'!$D:$D&amp;'3) Release_Label'!$E:$E,'3) Release_Label'!$F:$F},2,0), or(and(not(isblank($B662)),$B662=$B661,$A662&lt;&gt;$A661),and(not(isblank($A662)),$A662=$A661,$B662&lt;&gt;$B661)),"ID LISTS UNALIGNED",and($A662&lt;&gt;"",countif('3) Release_Label'!$D:$D,$A662)=0),"NO UPC MATCH in Release_Label",and($B662&lt;&gt;"",countif('3) Release_Label'!$E:$E,$B662)=0),"NO CATALOG ID MATCH in Release_Label",iserror(vlookup($A662&amp;$B662,'3) Release_Label'!$D:$D&amp;'3) Release_Label'!$E:$E,1,0)),"NO UPC-CATALOG ID pair MATCH in Release_Label" )</f>
        <v/>
      </c>
      <c r="D662" s="121" t="str">
        <f t="array" ref="D662">ifs(and(isblank($A662),isblank($B662)),"", not(iserror(vlookup($A662&amp;$B662,'3) Release_Label'!$D:$D&amp;'3) Release_Label'!$E:$E,1,0))),vlookup($A662&amp;$B662,{'3) Release_Label'!$D:$D&amp;'3) Release_Label'!$E:$E,'3) Release_Label'!$H:$H},2,0), or(and(not(isblank($B662)),$B662=$B661,$A662&lt;&gt;$A661),and(not(isblank($A662)),$A662=$A661,$B662&lt;&gt;$B661)),"ID LISTS UNALIGNED",and($A662&lt;&gt;"",countif('3) Release_Label'!$D:$D,$A662)=0),"NO UPC MATCH in Release_Label",and($B662&lt;&gt;"",countif('3) Release_Label'!$E:$E,$B662)=0),"NO CATALOG ID MATCH in Release_Label",iserror(vlookup($A662&amp;$B662,'3) Release_Label'!$D:$D&amp;'3) Release_Label'!$E:$E,1,0)),"NO UPC-CATALOG ID pair MATCH in Release_Label" )</f>
        <v/>
      </c>
      <c r="E662" s="92"/>
      <c r="F662" s="92"/>
      <c r="G662" s="125" t="str">
        <f t="array" ref="G662">ifs(or($F662="",$F662="Main Primary Artist"),$F662,not(iserror(vlookup($F662,'Reference info'!$J$5:$J$8,1,0))),"Key Artist",not(iserror(vlookup($F662,'Reference info'!$J$38:$J$405,1,0))),"Performer",not(iserror(vlookup($F662,'Reference info'!$J$10:$J$36,1,0))),"Producer &amp; Engineer")</f>
        <v/>
      </c>
    </row>
    <row r="663">
      <c r="A663" s="28"/>
      <c r="B663" s="97"/>
      <c r="C663" s="121" t="str">
        <f t="array" ref="C663">ifs(and(isblank($A663),isblank($B663)),"", not(iserror(vlookup($A663&amp;$B663,'3) Release_Label'!$D:$D&amp;'3) Release_Label'!$E:$E,1,0))),vlookup($A663&amp;$B663,{'3) Release_Label'!$D:$D&amp;'3) Release_Label'!$E:$E,'3) Release_Label'!$F:$F},2,0), or(and(not(isblank($B663)),$B663=$B662,$A663&lt;&gt;$A662),and(not(isblank($A663)),$A663=$A662,$B663&lt;&gt;$B662)),"ID LISTS UNALIGNED",and($A663&lt;&gt;"",countif('3) Release_Label'!$D:$D,$A663)=0),"NO UPC MATCH in Release_Label",and($B663&lt;&gt;"",countif('3) Release_Label'!$E:$E,$B663)=0),"NO CATALOG ID MATCH in Release_Label",iserror(vlookup($A663&amp;$B663,'3) Release_Label'!$D:$D&amp;'3) Release_Label'!$E:$E,1,0)),"NO UPC-CATALOG ID pair MATCH in Release_Label" )</f>
        <v/>
      </c>
      <c r="D663" s="121" t="str">
        <f t="array" ref="D663">ifs(and(isblank($A663),isblank($B663)),"", not(iserror(vlookup($A663&amp;$B663,'3) Release_Label'!$D:$D&amp;'3) Release_Label'!$E:$E,1,0))),vlookup($A663&amp;$B663,{'3) Release_Label'!$D:$D&amp;'3) Release_Label'!$E:$E,'3) Release_Label'!$H:$H},2,0), or(and(not(isblank($B663)),$B663=$B662,$A663&lt;&gt;$A662),and(not(isblank($A663)),$A663=$A662,$B663&lt;&gt;$B662)),"ID LISTS UNALIGNED",and($A663&lt;&gt;"",countif('3) Release_Label'!$D:$D,$A663)=0),"NO UPC MATCH in Release_Label",and($B663&lt;&gt;"",countif('3) Release_Label'!$E:$E,$B663)=0),"NO CATALOG ID MATCH in Release_Label",iserror(vlookup($A663&amp;$B663,'3) Release_Label'!$D:$D&amp;'3) Release_Label'!$E:$E,1,0)),"NO UPC-CATALOG ID pair MATCH in Release_Label" )</f>
        <v/>
      </c>
      <c r="E663" s="92"/>
      <c r="F663" s="92"/>
      <c r="G663" s="125" t="str">
        <f t="array" ref="G663">ifs(or($F663="",$F663="Main Primary Artist"),$F663,not(iserror(vlookup($F663,'Reference info'!$J$5:$J$8,1,0))),"Key Artist",not(iserror(vlookup($F663,'Reference info'!$J$38:$J$405,1,0))),"Performer",not(iserror(vlookup($F663,'Reference info'!$J$10:$J$36,1,0))),"Producer &amp; Engineer")</f>
        <v/>
      </c>
    </row>
    <row r="664">
      <c r="A664" s="28"/>
      <c r="B664" s="97"/>
      <c r="C664" s="121" t="str">
        <f t="array" ref="C664">ifs(and(isblank($A664),isblank($B664)),"", not(iserror(vlookup($A664&amp;$B664,'3) Release_Label'!$D:$D&amp;'3) Release_Label'!$E:$E,1,0))),vlookup($A664&amp;$B664,{'3) Release_Label'!$D:$D&amp;'3) Release_Label'!$E:$E,'3) Release_Label'!$F:$F},2,0), or(and(not(isblank($B664)),$B664=$B663,$A664&lt;&gt;$A663),and(not(isblank($A664)),$A664=$A663,$B664&lt;&gt;$B663)),"ID LISTS UNALIGNED",and($A664&lt;&gt;"",countif('3) Release_Label'!$D:$D,$A664)=0),"NO UPC MATCH in Release_Label",and($B664&lt;&gt;"",countif('3) Release_Label'!$E:$E,$B664)=0),"NO CATALOG ID MATCH in Release_Label",iserror(vlookup($A664&amp;$B664,'3) Release_Label'!$D:$D&amp;'3) Release_Label'!$E:$E,1,0)),"NO UPC-CATALOG ID pair MATCH in Release_Label" )</f>
        <v/>
      </c>
      <c r="D664" s="121" t="str">
        <f t="array" ref="D664">ifs(and(isblank($A664),isblank($B664)),"", not(iserror(vlookup($A664&amp;$B664,'3) Release_Label'!$D:$D&amp;'3) Release_Label'!$E:$E,1,0))),vlookup($A664&amp;$B664,{'3) Release_Label'!$D:$D&amp;'3) Release_Label'!$E:$E,'3) Release_Label'!$H:$H},2,0), or(and(not(isblank($B664)),$B664=$B663,$A664&lt;&gt;$A663),and(not(isblank($A664)),$A664=$A663,$B664&lt;&gt;$B663)),"ID LISTS UNALIGNED",and($A664&lt;&gt;"",countif('3) Release_Label'!$D:$D,$A664)=0),"NO UPC MATCH in Release_Label",and($B664&lt;&gt;"",countif('3) Release_Label'!$E:$E,$B664)=0),"NO CATALOG ID MATCH in Release_Label",iserror(vlookup($A664&amp;$B664,'3) Release_Label'!$D:$D&amp;'3) Release_Label'!$E:$E,1,0)),"NO UPC-CATALOG ID pair MATCH in Release_Label" )</f>
        <v/>
      </c>
      <c r="E664" s="92"/>
      <c r="F664" s="92"/>
      <c r="G664" s="125" t="str">
        <f t="array" ref="G664">ifs(or($F664="",$F664="Main Primary Artist"),$F664,not(iserror(vlookup($F664,'Reference info'!$J$5:$J$8,1,0))),"Key Artist",not(iserror(vlookup($F664,'Reference info'!$J$38:$J$405,1,0))),"Performer",not(iserror(vlookup($F664,'Reference info'!$J$10:$J$36,1,0))),"Producer &amp; Engineer")</f>
        <v/>
      </c>
    </row>
    <row r="665">
      <c r="A665" s="28"/>
      <c r="B665" s="97"/>
      <c r="C665" s="121" t="str">
        <f t="array" ref="C665">ifs(and(isblank($A665),isblank($B665)),"", not(iserror(vlookup($A665&amp;$B665,'3) Release_Label'!$D:$D&amp;'3) Release_Label'!$E:$E,1,0))),vlookup($A665&amp;$B665,{'3) Release_Label'!$D:$D&amp;'3) Release_Label'!$E:$E,'3) Release_Label'!$F:$F},2,0), or(and(not(isblank($B665)),$B665=$B664,$A665&lt;&gt;$A664),and(not(isblank($A665)),$A665=$A664,$B665&lt;&gt;$B664)),"ID LISTS UNALIGNED",and($A665&lt;&gt;"",countif('3) Release_Label'!$D:$D,$A665)=0),"NO UPC MATCH in Release_Label",and($B665&lt;&gt;"",countif('3) Release_Label'!$E:$E,$B665)=0),"NO CATALOG ID MATCH in Release_Label",iserror(vlookup($A665&amp;$B665,'3) Release_Label'!$D:$D&amp;'3) Release_Label'!$E:$E,1,0)),"NO UPC-CATALOG ID pair MATCH in Release_Label" )</f>
        <v/>
      </c>
      <c r="D665" s="121" t="str">
        <f t="array" ref="D665">ifs(and(isblank($A665),isblank($B665)),"", not(iserror(vlookup($A665&amp;$B665,'3) Release_Label'!$D:$D&amp;'3) Release_Label'!$E:$E,1,0))),vlookup($A665&amp;$B665,{'3) Release_Label'!$D:$D&amp;'3) Release_Label'!$E:$E,'3) Release_Label'!$H:$H},2,0), or(and(not(isblank($B665)),$B665=$B664,$A665&lt;&gt;$A664),and(not(isblank($A665)),$A665=$A664,$B665&lt;&gt;$B664)),"ID LISTS UNALIGNED",and($A665&lt;&gt;"",countif('3) Release_Label'!$D:$D,$A665)=0),"NO UPC MATCH in Release_Label",and($B665&lt;&gt;"",countif('3) Release_Label'!$E:$E,$B665)=0),"NO CATALOG ID MATCH in Release_Label",iserror(vlookup($A665&amp;$B665,'3) Release_Label'!$D:$D&amp;'3) Release_Label'!$E:$E,1,0)),"NO UPC-CATALOG ID pair MATCH in Release_Label" )</f>
        <v/>
      </c>
      <c r="E665" s="92"/>
      <c r="F665" s="92"/>
      <c r="G665" s="125" t="str">
        <f t="array" ref="G665">ifs(or($F665="",$F665="Main Primary Artist"),$F665,not(iserror(vlookup($F665,'Reference info'!$J$5:$J$8,1,0))),"Key Artist",not(iserror(vlookup($F665,'Reference info'!$J$38:$J$405,1,0))),"Performer",not(iserror(vlookup($F665,'Reference info'!$J$10:$J$36,1,0))),"Producer &amp; Engineer")</f>
        <v/>
      </c>
    </row>
    <row r="666">
      <c r="A666" s="28"/>
      <c r="B666" s="97"/>
      <c r="C666" s="121" t="str">
        <f t="array" ref="C666">ifs(and(isblank($A666),isblank($B666)),"", not(iserror(vlookup($A666&amp;$B666,'3) Release_Label'!$D:$D&amp;'3) Release_Label'!$E:$E,1,0))),vlookup($A666&amp;$B666,{'3) Release_Label'!$D:$D&amp;'3) Release_Label'!$E:$E,'3) Release_Label'!$F:$F},2,0), or(and(not(isblank($B666)),$B666=$B665,$A666&lt;&gt;$A665),and(not(isblank($A666)),$A666=$A665,$B666&lt;&gt;$B665)),"ID LISTS UNALIGNED",and($A666&lt;&gt;"",countif('3) Release_Label'!$D:$D,$A666)=0),"NO UPC MATCH in Release_Label",and($B666&lt;&gt;"",countif('3) Release_Label'!$E:$E,$B666)=0),"NO CATALOG ID MATCH in Release_Label",iserror(vlookup($A666&amp;$B666,'3) Release_Label'!$D:$D&amp;'3) Release_Label'!$E:$E,1,0)),"NO UPC-CATALOG ID pair MATCH in Release_Label" )</f>
        <v/>
      </c>
      <c r="D666" s="121" t="str">
        <f t="array" ref="D666">ifs(and(isblank($A666),isblank($B666)),"", not(iserror(vlookup($A666&amp;$B666,'3) Release_Label'!$D:$D&amp;'3) Release_Label'!$E:$E,1,0))),vlookup($A666&amp;$B666,{'3) Release_Label'!$D:$D&amp;'3) Release_Label'!$E:$E,'3) Release_Label'!$H:$H},2,0), or(and(not(isblank($B666)),$B666=$B665,$A666&lt;&gt;$A665),and(not(isblank($A666)),$A666=$A665,$B666&lt;&gt;$B665)),"ID LISTS UNALIGNED",and($A666&lt;&gt;"",countif('3) Release_Label'!$D:$D,$A666)=0),"NO UPC MATCH in Release_Label",and($B666&lt;&gt;"",countif('3) Release_Label'!$E:$E,$B666)=0),"NO CATALOG ID MATCH in Release_Label",iserror(vlookup($A666&amp;$B666,'3) Release_Label'!$D:$D&amp;'3) Release_Label'!$E:$E,1,0)),"NO UPC-CATALOG ID pair MATCH in Release_Label" )</f>
        <v/>
      </c>
      <c r="E666" s="92"/>
      <c r="F666" s="92"/>
      <c r="G666" s="125" t="str">
        <f t="array" ref="G666">ifs(or($F666="",$F666="Main Primary Artist"),$F666,not(iserror(vlookup($F666,'Reference info'!$J$5:$J$8,1,0))),"Key Artist",not(iserror(vlookup($F666,'Reference info'!$J$38:$J$405,1,0))),"Performer",not(iserror(vlookup($F666,'Reference info'!$J$10:$J$36,1,0))),"Producer &amp; Engineer")</f>
        <v/>
      </c>
    </row>
    <row r="667">
      <c r="A667" s="28"/>
      <c r="B667" s="97"/>
      <c r="C667" s="121" t="str">
        <f t="array" ref="C667">ifs(and(isblank($A667),isblank($B667)),"", not(iserror(vlookup($A667&amp;$B667,'3) Release_Label'!$D:$D&amp;'3) Release_Label'!$E:$E,1,0))),vlookup($A667&amp;$B667,{'3) Release_Label'!$D:$D&amp;'3) Release_Label'!$E:$E,'3) Release_Label'!$F:$F},2,0), or(and(not(isblank($B667)),$B667=$B666,$A667&lt;&gt;$A666),and(not(isblank($A667)),$A667=$A666,$B667&lt;&gt;$B666)),"ID LISTS UNALIGNED",and($A667&lt;&gt;"",countif('3) Release_Label'!$D:$D,$A667)=0),"NO UPC MATCH in Release_Label",and($B667&lt;&gt;"",countif('3) Release_Label'!$E:$E,$B667)=0),"NO CATALOG ID MATCH in Release_Label",iserror(vlookup($A667&amp;$B667,'3) Release_Label'!$D:$D&amp;'3) Release_Label'!$E:$E,1,0)),"NO UPC-CATALOG ID pair MATCH in Release_Label" )</f>
        <v/>
      </c>
      <c r="D667" s="121" t="str">
        <f t="array" ref="D667">ifs(and(isblank($A667),isblank($B667)),"", not(iserror(vlookup($A667&amp;$B667,'3) Release_Label'!$D:$D&amp;'3) Release_Label'!$E:$E,1,0))),vlookup($A667&amp;$B667,{'3) Release_Label'!$D:$D&amp;'3) Release_Label'!$E:$E,'3) Release_Label'!$H:$H},2,0), or(and(not(isblank($B667)),$B667=$B666,$A667&lt;&gt;$A666),and(not(isblank($A667)),$A667=$A666,$B667&lt;&gt;$B666)),"ID LISTS UNALIGNED",and($A667&lt;&gt;"",countif('3) Release_Label'!$D:$D,$A667)=0),"NO UPC MATCH in Release_Label",and($B667&lt;&gt;"",countif('3) Release_Label'!$E:$E,$B667)=0),"NO CATALOG ID MATCH in Release_Label",iserror(vlookup($A667&amp;$B667,'3) Release_Label'!$D:$D&amp;'3) Release_Label'!$E:$E,1,0)),"NO UPC-CATALOG ID pair MATCH in Release_Label" )</f>
        <v/>
      </c>
      <c r="E667" s="92"/>
      <c r="F667" s="92"/>
      <c r="G667" s="125" t="str">
        <f t="array" ref="G667">ifs(or($F667="",$F667="Main Primary Artist"),$F667,not(iserror(vlookup($F667,'Reference info'!$J$5:$J$8,1,0))),"Key Artist",not(iserror(vlookup($F667,'Reference info'!$J$38:$J$405,1,0))),"Performer",not(iserror(vlookup($F667,'Reference info'!$J$10:$J$36,1,0))),"Producer &amp; Engineer")</f>
        <v/>
      </c>
    </row>
    <row r="668">
      <c r="A668" s="28"/>
      <c r="B668" s="97"/>
      <c r="C668" s="121" t="str">
        <f t="array" ref="C668">ifs(and(isblank($A668),isblank($B668)),"", not(iserror(vlookup($A668&amp;$B668,'3) Release_Label'!$D:$D&amp;'3) Release_Label'!$E:$E,1,0))),vlookup($A668&amp;$B668,{'3) Release_Label'!$D:$D&amp;'3) Release_Label'!$E:$E,'3) Release_Label'!$F:$F},2,0), or(and(not(isblank($B668)),$B668=$B667,$A668&lt;&gt;$A667),and(not(isblank($A668)),$A668=$A667,$B668&lt;&gt;$B667)),"ID LISTS UNALIGNED",and($A668&lt;&gt;"",countif('3) Release_Label'!$D:$D,$A668)=0),"NO UPC MATCH in Release_Label",and($B668&lt;&gt;"",countif('3) Release_Label'!$E:$E,$B668)=0),"NO CATALOG ID MATCH in Release_Label",iserror(vlookup($A668&amp;$B668,'3) Release_Label'!$D:$D&amp;'3) Release_Label'!$E:$E,1,0)),"NO UPC-CATALOG ID pair MATCH in Release_Label" )</f>
        <v/>
      </c>
      <c r="D668" s="121" t="str">
        <f t="array" ref="D668">ifs(and(isblank($A668),isblank($B668)),"", not(iserror(vlookup($A668&amp;$B668,'3) Release_Label'!$D:$D&amp;'3) Release_Label'!$E:$E,1,0))),vlookup($A668&amp;$B668,{'3) Release_Label'!$D:$D&amp;'3) Release_Label'!$E:$E,'3) Release_Label'!$H:$H},2,0), or(and(not(isblank($B668)),$B668=$B667,$A668&lt;&gt;$A667),and(not(isblank($A668)),$A668=$A667,$B668&lt;&gt;$B667)),"ID LISTS UNALIGNED",and($A668&lt;&gt;"",countif('3) Release_Label'!$D:$D,$A668)=0),"NO UPC MATCH in Release_Label",and($B668&lt;&gt;"",countif('3) Release_Label'!$E:$E,$B668)=0),"NO CATALOG ID MATCH in Release_Label",iserror(vlookup($A668&amp;$B668,'3) Release_Label'!$D:$D&amp;'3) Release_Label'!$E:$E,1,0)),"NO UPC-CATALOG ID pair MATCH in Release_Label" )</f>
        <v/>
      </c>
      <c r="E668" s="92"/>
      <c r="F668" s="92"/>
      <c r="G668" s="125" t="str">
        <f t="array" ref="G668">ifs(or($F668="",$F668="Main Primary Artist"),$F668,not(iserror(vlookup($F668,'Reference info'!$J$5:$J$8,1,0))),"Key Artist",not(iserror(vlookup($F668,'Reference info'!$J$38:$J$405,1,0))),"Performer",not(iserror(vlookup($F668,'Reference info'!$J$10:$J$36,1,0))),"Producer &amp; Engineer")</f>
        <v/>
      </c>
    </row>
    <row r="669">
      <c r="A669" s="28"/>
      <c r="B669" s="97"/>
      <c r="C669" s="121" t="str">
        <f t="array" ref="C669">ifs(and(isblank($A669),isblank($B669)),"", not(iserror(vlookup($A669&amp;$B669,'3) Release_Label'!$D:$D&amp;'3) Release_Label'!$E:$E,1,0))),vlookup($A669&amp;$B669,{'3) Release_Label'!$D:$D&amp;'3) Release_Label'!$E:$E,'3) Release_Label'!$F:$F},2,0), or(and(not(isblank($B669)),$B669=$B668,$A669&lt;&gt;$A668),and(not(isblank($A669)),$A669=$A668,$B669&lt;&gt;$B668)),"ID LISTS UNALIGNED",and($A669&lt;&gt;"",countif('3) Release_Label'!$D:$D,$A669)=0),"NO UPC MATCH in Release_Label",and($B669&lt;&gt;"",countif('3) Release_Label'!$E:$E,$B669)=0),"NO CATALOG ID MATCH in Release_Label",iserror(vlookup($A669&amp;$B669,'3) Release_Label'!$D:$D&amp;'3) Release_Label'!$E:$E,1,0)),"NO UPC-CATALOG ID pair MATCH in Release_Label" )</f>
        <v/>
      </c>
      <c r="D669" s="121" t="str">
        <f t="array" ref="D669">ifs(and(isblank($A669),isblank($B669)),"", not(iserror(vlookup($A669&amp;$B669,'3) Release_Label'!$D:$D&amp;'3) Release_Label'!$E:$E,1,0))),vlookup($A669&amp;$B669,{'3) Release_Label'!$D:$D&amp;'3) Release_Label'!$E:$E,'3) Release_Label'!$H:$H},2,0), or(and(not(isblank($B669)),$B669=$B668,$A669&lt;&gt;$A668),and(not(isblank($A669)),$A669=$A668,$B669&lt;&gt;$B668)),"ID LISTS UNALIGNED",and($A669&lt;&gt;"",countif('3) Release_Label'!$D:$D,$A669)=0),"NO UPC MATCH in Release_Label",and($B669&lt;&gt;"",countif('3) Release_Label'!$E:$E,$B669)=0),"NO CATALOG ID MATCH in Release_Label",iserror(vlookup($A669&amp;$B669,'3) Release_Label'!$D:$D&amp;'3) Release_Label'!$E:$E,1,0)),"NO UPC-CATALOG ID pair MATCH in Release_Label" )</f>
        <v/>
      </c>
      <c r="E669" s="92"/>
      <c r="F669" s="92"/>
      <c r="G669" s="125" t="str">
        <f t="array" ref="G669">ifs(or($F669="",$F669="Main Primary Artist"),$F669,not(iserror(vlookup($F669,'Reference info'!$J$5:$J$8,1,0))),"Key Artist",not(iserror(vlookup($F669,'Reference info'!$J$38:$J$405,1,0))),"Performer",not(iserror(vlookup($F669,'Reference info'!$J$10:$J$36,1,0))),"Producer &amp; Engineer")</f>
        <v/>
      </c>
    </row>
    <row r="670">
      <c r="A670" s="28"/>
      <c r="B670" s="97"/>
      <c r="C670" s="121" t="str">
        <f t="array" ref="C670">ifs(and(isblank($A670),isblank($B670)),"", not(iserror(vlookup($A670&amp;$B670,'3) Release_Label'!$D:$D&amp;'3) Release_Label'!$E:$E,1,0))),vlookup($A670&amp;$B670,{'3) Release_Label'!$D:$D&amp;'3) Release_Label'!$E:$E,'3) Release_Label'!$F:$F},2,0), or(and(not(isblank($B670)),$B670=$B669,$A670&lt;&gt;$A669),and(not(isblank($A670)),$A670=$A669,$B670&lt;&gt;$B669)),"ID LISTS UNALIGNED",and($A670&lt;&gt;"",countif('3) Release_Label'!$D:$D,$A670)=0),"NO UPC MATCH in Release_Label",and($B670&lt;&gt;"",countif('3) Release_Label'!$E:$E,$B670)=0),"NO CATALOG ID MATCH in Release_Label",iserror(vlookup($A670&amp;$B670,'3) Release_Label'!$D:$D&amp;'3) Release_Label'!$E:$E,1,0)),"NO UPC-CATALOG ID pair MATCH in Release_Label" )</f>
        <v/>
      </c>
      <c r="D670" s="121" t="str">
        <f t="array" ref="D670">ifs(and(isblank($A670),isblank($B670)),"", not(iserror(vlookup($A670&amp;$B670,'3) Release_Label'!$D:$D&amp;'3) Release_Label'!$E:$E,1,0))),vlookup($A670&amp;$B670,{'3) Release_Label'!$D:$D&amp;'3) Release_Label'!$E:$E,'3) Release_Label'!$H:$H},2,0), or(and(not(isblank($B670)),$B670=$B669,$A670&lt;&gt;$A669),and(not(isblank($A670)),$A670=$A669,$B670&lt;&gt;$B669)),"ID LISTS UNALIGNED",and($A670&lt;&gt;"",countif('3) Release_Label'!$D:$D,$A670)=0),"NO UPC MATCH in Release_Label",and($B670&lt;&gt;"",countif('3) Release_Label'!$E:$E,$B670)=0),"NO CATALOG ID MATCH in Release_Label",iserror(vlookup($A670&amp;$B670,'3) Release_Label'!$D:$D&amp;'3) Release_Label'!$E:$E,1,0)),"NO UPC-CATALOG ID pair MATCH in Release_Label" )</f>
        <v/>
      </c>
      <c r="E670" s="92"/>
      <c r="F670" s="92"/>
      <c r="G670" s="125" t="str">
        <f t="array" ref="G670">ifs(or($F670="",$F670="Main Primary Artist"),$F670,not(iserror(vlookup($F670,'Reference info'!$J$5:$J$8,1,0))),"Key Artist",not(iserror(vlookup($F670,'Reference info'!$J$38:$J$405,1,0))),"Performer",not(iserror(vlookup($F670,'Reference info'!$J$10:$J$36,1,0))),"Producer &amp; Engineer")</f>
        <v/>
      </c>
    </row>
    <row r="671">
      <c r="A671" s="28"/>
      <c r="B671" s="97"/>
      <c r="C671" s="121" t="str">
        <f t="array" ref="C671">ifs(and(isblank($A671),isblank($B671)),"", not(iserror(vlookup($A671&amp;$B671,'3) Release_Label'!$D:$D&amp;'3) Release_Label'!$E:$E,1,0))),vlookup($A671&amp;$B671,{'3) Release_Label'!$D:$D&amp;'3) Release_Label'!$E:$E,'3) Release_Label'!$F:$F},2,0), or(and(not(isblank($B671)),$B671=$B670,$A671&lt;&gt;$A670),and(not(isblank($A671)),$A671=$A670,$B671&lt;&gt;$B670)),"ID LISTS UNALIGNED",and($A671&lt;&gt;"",countif('3) Release_Label'!$D:$D,$A671)=0),"NO UPC MATCH in Release_Label",and($B671&lt;&gt;"",countif('3) Release_Label'!$E:$E,$B671)=0),"NO CATALOG ID MATCH in Release_Label",iserror(vlookup($A671&amp;$B671,'3) Release_Label'!$D:$D&amp;'3) Release_Label'!$E:$E,1,0)),"NO UPC-CATALOG ID pair MATCH in Release_Label" )</f>
        <v/>
      </c>
      <c r="D671" s="121" t="str">
        <f t="array" ref="D671">ifs(and(isblank($A671),isblank($B671)),"", not(iserror(vlookup($A671&amp;$B671,'3) Release_Label'!$D:$D&amp;'3) Release_Label'!$E:$E,1,0))),vlookup($A671&amp;$B671,{'3) Release_Label'!$D:$D&amp;'3) Release_Label'!$E:$E,'3) Release_Label'!$H:$H},2,0), or(and(not(isblank($B671)),$B671=$B670,$A671&lt;&gt;$A670),and(not(isblank($A671)),$A671=$A670,$B671&lt;&gt;$B670)),"ID LISTS UNALIGNED",and($A671&lt;&gt;"",countif('3) Release_Label'!$D:$D,$A671)=0),"NO UPC MATCH in Release_Label",and($B671&lt;&gt;"",countif('3) Release_Label'!$E:$E,$B671)=0),"NO CATALOG ID MATCH in Release_Label",iserror(vlookup($A671&amp;$B671,'3) Release_Label'!$D:$D&amp;'3) Release_Label'!$E:$E,1,0)),"NO UPC-CATALOG ID pair MATCH in Release_Label" )</f>
        <v/>
      </c>
      <c r="E671" s="92"/>
      <c r="F671" s="92"/>
      <c r="G671" s="125" t="str">
        <f t="array" ref="G671">ifs(or($F671="",$F671="Main Primary Artist"),$F671,not(iserror(vlookup($F671,'Reference info'!$J$5:$J$8,1,0))),"Key Artist",not(iserror(vlookup($F671,'Reference info'!$J$38:$J$405,1,0))),"Performer",not(iserror(vlookup($F671,'Reference info'!$J$10:$J$36,1,0))),"Producer &amp; Engineer")</f>
        <v/>
      </c>
    </row>
    <row r="672">
      <c r="A672" s="28"/>
      <c r="B672" s="97"/>
      <c r="C672" s="121" t="str">
        <f t="array" ref="C672">ifs(and(isblank($A672),isblank($B672)),"", not(iserror(vlookup($A672&amp;$B672,'3) Release_Label'!$D:$D&amp;'3) Release_Label'!$E:$E,1,0))),vlookup($A672&amp;$B672,{'3) Release_Label'!$D:$D&amp;'3) Release_Label'!$E:$E,'3) Release_Label'!$F:$F},2,0), or(and(not(isblank($B672)),$B672=$B671,$A672&lt;&gt;$A671),and(not(isblank($A672)),$A672=$A671,$B672&lt;&gt;$B671)),"ID LISTS UNALIGNED",and($A672&lt;&gt;"",countif('3) Release_Label'!$D:$D,$A672)=0),"NO UPC MATCH in Release_Label",and($B672&lt;&gt;"",countif('3) Release_Label'!$E:$E,$B672)=0),"NO CATALOG ID MATCH in Release_Label",iserror(vlookup($A672&amp;$B672,'3) Release_Label'!$D:$D&amp;'3) Release_Label'!$E:$E,1,0)),"NO UPC-CATALOG ID pair MATCH in Release_Label" )</f>
        <v/>
      </c>
      <c r="D672" s="121" t="str">
        <f t="array" ref="D672">ifs(and(isblank($A672),isblank($B672)),"", not(iserror(vlookup($A672&amp;$B672,'3) Release_Label'!$D:$D&amp;'3) Release_Label'!$E:$E,1,0))),vlookup($A672&amp;$B672,{'3) Release_Label'!$D:$D&amp;'3) Release_Label'!$E:$E,'3) Release_Label'!$H:$H},2,0), or(and(not(isblank($B672)),$B672=$B671,$A672&lt;&gt;$A671),and(not(isblank($A672)),$A672=$A671,$B672&lt;&gt;$B671)),"ID LISTS UNALIGNED",and($A672&lt;&gt;"",countif('3) Release_Label'!$D:$D,$A672)=0),"NO UPC MATCH in Release_Label",and($B672&lt;&gt;"",countif('3) Release_Label'!$E:$E,$B672)=0),"NO CATALOG ID MATCH in Release_Label",iserror(vlookup($A672&amp;$B672,'3) Release_Label'!$D:$D&amp;'3) Release_Label'!$E:$E,1,0)),"NO UPC-CATALOG ID pair MATCH in Release_Label" )</f>
        <v/>
      </c>
      <c r="E672" s="92"/>
      <c r="F672" s="92"/>
      <c r="G672" s="125" t="str">
        <f t="array" ref="G672">ifs(or($F672="",$F672="Main Primary Artist"),$F672,not(iserror(vlookup($F672,'Reference info'!$J$5:$J$8,1,0))),"Key Artist",not(iserror(vlookup($F672,'Reference info'!$J$38:$J$405,1,0))),"Performer",not(iserror(vlookup($F672,'Reference info'!$J$10:$J$36,1,0))),"Producer &amp; Engineer")</f>
        <v/>
      </c>
    </row>
    <row r="673">
      <c r="A673" s="28"/>
      <c r="B673" s="97"/>
      <c r="C673" s="121" t="str">
        <f t="array" ref="C673">ifs(and(isblank($A673),isblank($B673)),"", not(iserror(vlookup($A673&amp;$B673,'3) Release_Label'!$D:$D&amp;'3) Release_Label'!$E:$E,1,0))),vlookup($A673&amp;$B673,{'3) Release_Label'!$D:$D&amp;'3) Release_Label'!$E:$E,'3) Release_Label'!$F:$F},2,0), or(and(not(isblank($B673)),$B673=$B672,$A673&lt;&gt;$A672),and(not(isblank($A673)),$A673=$A672,$B673&lt;&gt;$B672)),"ID LISTS UNALIGNED",and($A673&lt;&gt;"",countif('3) Release_Label'!$D:$D,$A673)=0),"NO UPC MATCH in Release_Label",and($B673&lt;&gt;"",countif('3) Release_Label'!$E:$E,$B673)=0),"NO CATALOG ID MATCH in Release_Label",iserror(vlookup($A673&amp;$B673,'3) Release_Label'!$D:$D&amp;'3) Release_Label'!$E:$E,1,0)),"NO UPC-CATALOG ID pair MATCH in Release_Label" )</f>
        <v/>
      </c>
      <c r="D673" s="121" t="str">
        <f t="array" ref="D673">ifs(and(isblank($A673),isblank($B673)),"", not(iserror(vlookup($A673&amp;$B673,'3) Release_Label'!$D:$D&amp;'3) Release_Label'!$E:$E,1,0))),vlookup($A673&amp;$B673,{'3) Release_Label'!$D:$D&amp;'3) Release_Label'!$E:$E,'3) Release_Label'!$H:$H},2,0), or(and(not(isblank($B673)),$B673=$B672,$A673&lt;&gt;$A672),and(not(isblank($A673)),$A673=$A672,$B673&lt;&gt;$B672)),"ID LISTS UNALIGNED",and($A673&lt;&gt;"",countif('3) Release_Label'!$D:$D,$A673)=0),"NO UPC MATCH in Release_Label",and($B673&lt;&gt;"",countif('3) Release_Label'!$E:$E,$B673)=0),"NO CATALOG ID MATCH in Release_Label",iserror(vlookup($A673&amp;$B673,'3) Release_Label'!$D:$D&amp;'3) Release_Label'!$E:$E,1,0)),"NO UPC-CATALOG ID pair MATCH in Release_Label" )</f>
        <v/>
      </c>
      <c r="E673" s="92"/>
      <c r="F673" s="92"/>
      <c r="G673" s="125" t="str">
        <f t="array" ref="G673">ifs(or($F673="",$F673="Main Primary Artist"),$F673,not(iserror(vlookup($F673,'Reference info'!$J$5:$J$8,1,0))),"Key Artist",not(iserror(vlookup($F673,'Reference info'!$J$38:$J$405,1,0))),"Performer",not(iserror(vlookup($F673,'Reference info'!$J$10:$J$36,1,0))),"Producer &amp; Engineer")</f>
        <v/>
      </c>
    </row>
    <row r="674">
      <c r="A674" s="28"/>
      <c r="B674" s="97"/>
      <c r="C674" s="121" t="str">
        <f t="array" ref="C674">ifs(and(isblank($A674),isblank($B674)),"", not(iserror(vlookup($A674&amp;$B674,'3) Release_Label'!$D:$D&amp;'3) Release_Label'!$E:$E,1,0))),vlookup($A674&amp;$B674,{'3) Release_Label'!$D:$D&amp;'3) Release_Label'!$E:$E,'3) Release_Label'!$F:$F},2,0), or(and(not(isblank($B674)),$B674=$B673,$A674&lt;&gt;$A673),and(not(isblank($A674)),$A674=$A673,$B674&lt;&gt;$B673)),"ID LISTS UNALIGNED",and($A674&lt;&gt;"",countif('3) Release_Label'!$D:$D,$A674)=0),"NO UPC MATCH in Release_Label",and($B674&lt;&gt;"",countif('3) Release_Label'!$E:$E,$B674)=0),"NO CATALOG ID MATCH in Release_Label",iserror(vlookup($A674&amp;$B674,'3) Release_Label'!$D:$D&amp;'3) Release_Label'!$E:$E,1,0)),"NO UPC-CATALOG ID pair MATCH in Release_Label" )</f>
        <v/>
      </c>
      <c r="D674" s="121" t="str">
        <f t="array" ref="D674">ifs(and(isblank($A674),isblank($B674)),"", not(iserror(vlookup($A674&amp;$B674,'3) Release_Label'!$D:$D&amp;'3) Release_Label'!$E:$E,1,0))),vlookup($A674&amp;$B674,{'3) Release_Label'!$D:$D&amp;'3) Release_Label'!$E:$E,'3) Release_Label'!$H:$H},2,0), or(and(not(isblank($B674)),$B674=$B673,$A674&lt;&gt;$A673),and(not(isblank($A674)),$A674=$A673,$B674&lt;&gt;$B673)),"ID LISTS UNALIGNED",and($A674&lt;&gt;"",countif('3) Release_Label'!$D:$D,$A674)=0),"NO UPC MATCH in Release_Label",and($B674&lt;&gt;"",countif('3) Release_Label'!$E:$E,$B674)=0),"NO CATALOG ID MATCH in Release_Label",iserror(vlookup($A674&amp;$B674,'3) Release_Label'!$D:$D&amp;'3) Release_Label'!$E:$E,1,0)),"NO UPC-CATALOG ID pair MATCH in Release_Label" )</f>
        <v/>
      </c>
      <c r="E674" s="92"/>
      <c r="F674" s="92"/>
      <c r="G674" s="125" t="str">
        <f t="array" ref="G674">ifs(or($F674="",$F674="Main Primary Artist"),$F674,not(iserror(vlookup($F674,'Reference info'!$J$5:$J$8,1,0))),"Key Artist",not(iserror(vlookup($F674,'Reference info'!$J$38:$J$405,1,0))),"Performer",not(iserror(vlookup($F674,'Reference info'!$J$10:$J$36,1,0))),"Producer &amp; Engineer")</f>
        <v/>
      </c>
    </row>
    <row r="675">
      <c r="A675" s="28"/>
      <c r="B675" s="97"/>
      <c r="C675" s="121" t="str">
        <f t="array" ref="C675">ifs(and(isblank($A675),isblank($B675)),"", not(iserror(vlookup($A675&amp;$B675,'3) Release_Label'!$D:$D&amp;'3) Release_Label'!$E:$E,1,0))),vlookup($A675&amp;$B675,{'3) Release_Label'!$D:$D&amp;'3) Release_Label'!$E:$E,'3) Release_Label'!$F:$F},2,0), or(and(not(isblank($B675)),$B675=$B674,$A675&lt;&gt;$A674),and(not(isblank($A675)),$A675=$A674,$B675&lt;&gt;$B674)),"ID LISTS UNALIGNED",and($A675&lt;&gt;"",countif('3) Release_Label'!$D:$D,$A675)=0),"NO UPC MATCH in Release_Label",and($B675&lt;&gt;"",countif('3) Release_Label'!$E:$E,$B675)=0),"NO CATALOG ID MATCH in Release_Label",iserror(vlookup($A675&amp;$B675,'3) Release_Label'!$D:$D&amp;'3) Release_Label'!$E:$E,1,0)),"NO UPC-CATALOG ID pair MATCH in Release_Label" )</f>
        <v/>
      </c>
      <c r="D675" s="121" t="str">
        <f t="array" ref="D675">ifs(and(isblank($A675),isblank($B675)),"", not(iserror(vlookup($A675&amp;$B675,'3) Release_Label'!$D:$D&amp;'3) Release_Label'!$E:$E,1,0))),vlookup($A675&amp;$B675,{'3) Release_Label'!$D:$D&amp;'3) Release_Label'!$E:$E,'3) Release_Label'!$H:$H},2,0), or(and(not(isblank($B675)),$B675=$B674,$A675&lt;&gt;$A674),and(not(isblank($A675)),$A675=$A674,$B675&lt;&gt;$B674)),"ID LISTS UNALIGNED",and($A675&lt;&gt;"",countif('3) Release_Label'!$D:$D,$A675)=0),"NO UPC MATCH in Release_Label",and($B675&lt;&gt;"",countif('3) Release_Label'!$E:$E,$B675)=0),"NO CATALOG ID MATCH in Release_Label",iserror(vlookup($A675&amp;$B675,'3) Release_Label'!$D:$D&amp;'3) Release_Label'!$E:$E,1,0)),"NO UPC-CATALOG ID pair MATCH in Release_Label" )</f>
        <v/>
      </c>
      <c r="E675" s="92"/>
      <c r="F675" s="92"/>
      <c r="G675" s="125" t="str">
        <f t="array" ref="G675">ifs(or($F675="",$F675="Main Primary Artist"),$F675,not(iserror(vlookup($F675,'Reference info'!$J$5:$J$8,1,0))),"Key Artist",not(iserror(vlookup($F675,'Reference info'!$J$38:$J$405,1,0))),"Performer",not(iserror(vlookup($F675,'Reference info'!$J$10:$J$36,1,0))),"Producer &amp; Engineer")</f>
        <v/>
      </c>
    </row>
    <row r="676">
      <c r="A676" s="28"/>
      <c r="B676" s="97"/>
      <c r="C676" s="121" t="str">
        <f t="array" ref="C676">ifs(and(isblank($A676),isblank($B676)),"", not(iserror(vlookup($A676&amp;$B676,'3) Release_Label'!$D:$D&amp;'3) Release_Label'!$E:$E,1,0))),vlookup($A676&amp;$B676,{'3) Release_Label'!$D:$D&amp;'3) Release_Label'!$E:$E,'3) Release_Label'!$F:$F},2,0), or(and(not(isblank($B676)),$B676=$B675,$A676&lt;&gt;$A675),and(not(isblank($A676)),$A676=$A675,$B676&lt;&gt;$B675)),"ID LISTS UNALIGNED",and($A676&lt;&gt;"",countif('3) Release_Label'!$D:$D,$A676)=0),"NO UPC MATCH in Release_Label",and($B676&lt;&gt;"",countif('3) Release_Label'!$E:$E,$B676)=0),"NO CATALOG ID MATCH in Release_Label",iserror(vlookup($A676&amp;$B676,'3) Release_Label'!$D:$D&amp;'3) Release_Label'!$E:$E,1,0)),"NO UPC-CATALOG ID pair MATCH in Release_Label" )</f>
        <v/>
      </c>
      <c r="D676" s="121" t="str">
        <f t="array" ref="D676">ifs(and(isblank($A676),isblank($B676)),"", not(iserror(vlookup($A676&amp;$B676,'3) Release_Label'!$D:$D&amp;'3) Release_Label'!$E:$E,1,0))),vlookup($A676&amp;$B676,{'3) Release_Label'!$D:$D&amp;'3) Release_Label'!$E:$E,'3) Release_Label'!$H:$H},2,0), or(and(not(isblank($B676)),$B676=$B675,$A676&lt;&gt;$A675),and(not(isblank($A676)),$A676=$A675,$B676&lt;&gt;$B675)),"ID LISTS UNALIGNED",and($A676&lt;&gt;"",countif('3) Release_Label'!$D:$D,$A676)=0),"NO UPC MATCH in Release_Label",and($B676&lt;&gt;"",countif('3) Release_Label'!$E:$E,$B676)=0),"NO CATALOG ID MATCH in Release_Label",iserror(vlookup($A676&amp;$B676,'3) Release_Label'!$D:$D&amp;'3) Release_Label'!$E:$E,1,0)),"NO UPC-CATALOG ID pair MATCH in Release_Label" )</f>
        <v/>
      </c>
      <c r="E676" s="92"/>
      <c r="F676" s="92"/>
      <c r="G676" s="125" t="str">
        <f t="array" ref="G676">ifs(or($F676="",$F676="Main Primary Artist"),$F676,not(iserror(vlookup($F676,'Reference info'!$J$5:$J$8,1,0))),"Key Artist",not(iserror(vlookup($F676,'Reference info'!$J$38:$J$405,1,0))),"Performer",not(iserror(vlookup($F676,'Reference info'!$J$10:$J$36,1,0))),"Producer &amp; Engineer")</f>
        <v/>
      </c>
    </row>
    <row r="677">
      <c r="A677" s="28"/>
      <c r="B677" s="97"/>
      <c r="C677" s="121" t="str">
        <f t="array" ref="C677">ifs(and(isblank($A677),isblank($B677)),"", not(iserror(vlookup($A677&amp;$B677,'3) Release_Label'!$D:$D&amp;'3) Release_Label'!$E:$E,1,0))),vlookup($A677&amp;$B677,{'3) Release_Label'!$D:$D&amp;'3) Release_Label'!$E:$E,'3) Release_Label'!$F:$F},2,0), or(and(not(isblank($B677)),$B677=$B676,$A677&lt;&gt;$A676),and(not(isblank($A677)),$A677=$A676,$B677&lt;&gt;$B676)),"ID LISTS UNALIGNED",and($A677&lt;&gt;"",countif('3) Release_Label'!$D:$D,$A677)=0),"NO UPC MATCH in Release_Label",and($B677&lt;&gt;"",countif('3) Release_Label'!$E:$E,$B677)=0),"NO CATALOG ID MATCH in Release_Label",iserror(vlookup($A677&amp;$B677,'3) Release_Label'!$D:$D&amp;'3) Release_Label'!$E:$E,1,0)),"NO UPC-CATALOG ID pair MATCH in Release_Label" )</f>
        <v/>
      </c>
      <c r="D677" s="121" t="str">
        <f t="array" ref="D677">ifs(and(isblank($A677),isblank($B677)),"", not(iserror(vlookup($A677&amp;$B677,'3) Release_Label'!$D:$D&amp;'3) Release_Label'!$E:$E,1,0))),vlookup($A677&amp;$B677,{'3) Release_Label'!$D:$D&amp;'3) Release_Label'!$E:$E,'3) Release_Label'!$H:$H},2,0), or(and(not(isblank($B677)),$B677=$B676,$A677&lt;&gt;$A676),and(not(isblank($A677)),$A677=$A676,$B677&lt;&gt;$B676)),"ID LISTS UNALIGNED",and($A677&lt;&gt;"",countif('3) Release_Label'!$D:$D,$A677)=0),"NO UPC MATCH in Release_Label",and($B677&lt;&gt;"",countif('3) Release_Label'!$E:$E,$B677)=0),"NO CATALOG ID MATCH in Release_Label",iserror(vlookup($A677&amp;$B677,'3) Release_Label'!$D:$D&amp;'3) Release_Label'!$E:$E,1,0)),"NO UPC-CATALOG ID pair MATCH in Release_Label" )</f>
        <v/>
      </c>
      <c r="E677" s="92"/>
      <c r="F677" s="92"/>
      <c r="G677" s="125" t="str">
        <f t="array" ref="G677">ifs(or($F677="",$F677="Main Primary Artist"),$F677,not(iserror(vlookup($F677,'Reference info'!$J$5:$J$8,1,0))),"Key Artist",not(iserror(vlookup($F677,'Reference info'!$J$38:$J$405,1,0))),"Performer",not(iserror(vlookup($F677,'Reference info'!$J$10:$J$36,1,0))),"Producer &amp; Engineer")</f>
        <v/>
      </c>
    </row>
    <row r="678">
      <c r="A678" s="28"/>
      <c r="B678" s="97"/>
      <c r="C678" s="121" t="str">
        <f t="array" ref="C678">ifs(and(isblank($A678),isblank($B678)),"", not(iserror(vlookup($A678&amp;$B678,'3) Release_Label'!$D:$D&amp;'3) Release_Label'!$E:$E,1,0))),vlookup($A678&amp;$B678,{'3) Release_Label'!$D:$D&amp;'3) Release_Label'!$E:$E,'3) Release_Label'!$F:$F},2,0), or(and(not(isblank($B678)),$B678=$B677,$A678&lt;&gt;$A677),and(not(isblank($A678)),$A678=$A677,$B678&lt;&gt;$B677)),"ID LISTS UNALIGNED",and($A678&lt;&gt;"",countif('3) Release_Label'!$D:$D,$A678)=0),"NO UPC MATCH in Release_Label",and($B678&lt;&gt;"",countif('3) Release_Label'!$E:$E,$B678)=0),"NO CATALOG ID MATCH in Release_Label",iserror(vlookup($A678&amp;$B678,'3) Release_Label'!$D:$D&amp;'3) Release_Label'!$E:$E,1,0)),"NO UPC-CATALOG ID pair MATCH in Release_Label" )</f>
        <v/>
      </c>
      <c r="D678" s="121" t="str">
        <f t="array" ref="D678">ifs(and(isblank($A678),isblank($B678)),"", not(iserror(vlookup($A678&amp;$B678,'3) Release_Label'!$D:$D&amp;'3) Release_Label'!$E:$E,1,0))),vlookup($A678&amp;$B678,{'3) Release_Label'!$D:$D&amp;'3) Release_Label'!$E:$E,'3) Release_Label'!$H:$H},2,0), or(and(not(isblank($B678)),$B678=$B677,$A678&lt;&gt;$A677),and(not(isblank($A678)),$A678=$A677,$B678&lt;&gt;$B677)),"ID LISTS UNALIGNED",and($A678&lt;&gt;"",countif('3) Release_Label'!$D:$D,$A678)=0),"NO UPC MATCH in Release_Label",and($B678&lt;&gt;"",countif('3) Release_Label'!$E:$E,$B678)=0),"NO CATALOG ID MATCH in Release_Label",iserror(vlookup($A678&amp;$B678,'3) Release_Label'!$D:$D&amp;'3) Release_Label'!$E:$E,1,0)),"NO UPC-CATALOG ID pair MATCH in Release_Label" )</f>
        <v/>
      </c>
      <c r="E678" s="92"/>
      <c r="F678" s="92"/>
      <c r="G678" s="125" t="str">
        <f t="array" ref="G678">ifs(or($F678="",$F678="Main Primary Artist"),$F678,not(iserror(vlookup($F678,'Reference info'!$J$5:$J$8,1,0))),"Key Artist",not(iserror(vlookup($F678,'Reference info'!$J$38:$J$405,1,0))),"Performer",not(iserror(vlookup($F678,'Reference info'!$J$10:$J$36,1,0))),"Producer &amp; Engineer")</f>
        <v/>
      </c>
    </row>
    <row r="679">
      <c r="A679" s="28"/>
      <c r="B679" s="97"/>
      <c r="C679" s="121" t="str">
        <f t="array" ref="C679">ifs(and(isblank($A679),isblank($B679)),"", not(iserror(vlookup($A679&amp;$B679,'3) Release_Label'!$D:$D&amp;'3) Release_Label'!$E:$E,1,0))),vlookup($A679&amp;$B679,{'3) Release_Label'!$D:$D&amp;'3) Release_Label'!$E:$E,'3) Release_Label'!$F:$F},2,0), or(and(not(isblank($B679)),$B679=$B678,$A679&lt;&gt;$A678),and(not(isblank($A679)),$A679=$A678,$B679&lt;&gt;$B678)),"ID LISTS UNALIGNED",and($A679&lt;&gt;"",countif('3) Release_Label'!$D:$D,$A679)=0),"NO UPC MATCH in Release_Label",and($B679&lt;&gt;"",countif('3) Release_Label'!$E:$E,$B679)=0),"NO CATALOG ID MATCH in Release_Label",iserror(vlookup($A679&amp;$B679,'3) Release_Label'!$D:$D&amp;'3) Release_Label'!$E:$E,1,0)),"NO UPC-CATALOG ID pair MATCH in Release_Label" )</f>
        <v/>
      </c>
      <c r="D679" s="121" t="str">
        <f t="array" ref="D679">ifs(and(isblank($A679),isblank($B679)),"", not(iserror(vlookup($A679&amp;$B679,'3) Release_Label'!$D:$D&amp;'3) Release_Label'!$E:$E,1,0))),vlookup($A679&amp;$B679,{'3) Release_Label'!$D:$D&amp;'3) Release_Label'!$E:$E,'3) Release_Label'!$H:$H},2,0), or(and(not(isblank($B679)),$B679=$B678,$A679&lt;&gt;$A678),and(not(isblank($A679)),$A679=$A678,$B679&lt;&gt;$B678)),"ID LISTS UNALIGNED",and($A679&lt;&gt;"",countif('3) Release_Label'!$D:$D,$A679)=0),"NO UPC MATCH in Release_Label",and($B679&lt;&gt;"",countif('3) Release_Label'!$E:$E,$B679)=0),"NO CATALOG ID MATCH in Release_Label",iserror(vlookup($A679&amp;$B679,'3) Release_Label'!$D:$D&amp;'3) Release_Label'!$E:$E,1,0)),"NO UPC-CATALOG ID pair MATCH in Release_Label" )</f>
        <v/>
      </c>
      <c r="E679" s="92"/>
      <c r="F679" s="92"/>
      <c r="G679" s="125" t="str">
        <f t="array" ref="G679">ifs(or($F679="",$F679="Main Primary Artist"),$F679,not(iserror(vlookup($F679,'Reference info'!$J$5:$J$8,1,0))),"Key Artist",not(iserror(vlookup($F679,'Reference info'!$J$38:$J$405,1,0))),"Performer",not(iserror(vlookup($F679,'Reference info'!$J$10:$J$36,1,0))),"Producer &amp; Engineer")</f>
        <v/>
      </c>
    </row>
    <row r="680">
      <c r="A680" s="28"/>
      <c r="B680" s="97"/>
      <c r="C680" s="121" t="str">
        <f t="array" ref="C680">ifs(and(isblank($A680),isblank($B680)),"", not(iserror(vlookup($A680&amp;$B680,'3) Release_Label'!$D:$D&amp;'3) Release_Label'!$E:$E,1,0))),vlookup($A680&amp;$B680,{'3) Release_Label'!$D:$D&amp;'3) Release_Label'!$E:$E,'3) Release_Label'!$F:$F},2,0), or(and(not(isblank($B680)),$B680=$B679,$A680&lt;&gt;$A679),and(not(isblank($A680)),$A680=$A679,$B680&lt;&gt;$B679)),"ID LISTS UNALIGNED",and($A680&lt;&gt;"",countif('3) Release_Label'!$D:$D,$A680)=0),"NO UPC MATCH in Release_Label",and($B680&lt;&gt;"",countif('3) Release_Label'!$E:$E,$B680)=0),"NO CATALOG ID MATCH in Release_Label",iserror(vlookup($A680&amp;$B680,'3) Release_Label'!$D:$D&amp;'3) Release_Label'!$E:$E,1,0)),"NO UPC-CATALOG ID pair MATCH in Release_Label" )</f>
        <v/>
      </c>
      <c r="D680" s="121" t="str">
        <f t="array" ref="D680">ifs(and(isblank($A680),isblank($B680)),"", not(iserror(vlookup($A680&amp;$B680,'3) Release_Label'!$D:$D&amp;'3) Release_Label'!$E:$E,1,0))),vlookup($A680&amp;$B680,{'3) Release_Label'!$D:$D&amp;'3) Release_Label'!$E:$E,'3) Release_Label'!$H:$H},2,0), or(and(not(isblank($B680)),$B680=$B679,$A680&lt;&gt;$A679),and(not(isblank($A680)),$A680=$A679,$B680&lt;&gt;$B679)),"ID LISTS UNALIGNED",and($A680&lt;&gt;"",countif('3) Release_Label'!$D:$D,$A680)=0),"NO UPC MATCH in Release_Label",and($B680&lt;&gt;"",countif('3) Release_Label'!$E:$E,$B680)=0),"NO CATALOG ID MATCH in Release_Label",iserror(vlookup($A680&amp;$B680,'3) Release_Label'!$D:$D&amp;'3) Release_Label'!$E:$E,1,0)),"NO UPC-CATALOG ID pair MATCH in Release_Label" )</f>
        <v/>
      </c>
      <c r="E680" s="92"/>
      <c r="F680" s="92"/>
      <c r="G680" s="125" t="str">
        <f t="array" ref="G680">ifs(or($F680="",$F680="Main Primary Artist"),$F680,not(iserror(vlookup($F680,'Reference info'!$J$5:$J$8,1,0))),"Key Artist",not(iserror(vlookup($F680,'Reference info'!$J$38:$J$405,1,0))),"Performer",not(iserror(vlookup($F680,'Reference info'!$J$10:$J$36,1,0))),"Producer &amp; Engineer")</f>
        <v/>
      </c>
    </row>
    <row r="681">
      <c r="A681" s="28"/>
      <c r="B681" s="97"/>
      <c r="C681" s="121" t="str">
        <f t="array" ref="C681">ifs(and(isblank($A681),isblank($B681)),"", not(iserror(vlookup($A681&amp;$B681,'3) Release_Label'!$D:$D&amp;'3) Release_Label'!$E:$E,1,0))),vlookup($A681&amp;$B681,{'3) Release_Label'!$D:$D&amp;'3) Release_Label'!$E:$E,'3) Release_Label'!$F:$F},2,0), or(and(not(isblank($B681)),$B681=$B680,$A681&lt;&gt;$A680),and(not(isblank($A681)),$A681=$A680,$B681&lt;&gt;$B680)),"ID LISTS UNALIGNED",and($A681&lt;&gt;"",countif('3) Release_Label'!$D:$D,$A681)=0),"NO UPC MATCH in Release_Label",and($B681&lt;&gt;"",countif('3) Release_Label'!$E:$E,$B681)=0),"NO CATALOG ID MATCH in Release_Label",iserror(vlookup($A681&amp;$B681,'3) Release_Label'!$D:$D&amp;'3) Release_Label'!$E:$E,1,0)),"NO UPC-CATALOG ID pair MATCH in Release_Label" )</f>
        <v/>
      </c>
      <c r="D681" s="121" t="str">
        <f t="array" ref="D681">ifs(and(isblank($A681),isblank($B681)),"", not(iserror(vlookup($A681&amp;$B681,'3) Release_Label'!$D:$D&amp;'3) Release_Label'!$E:$E,1,0))),vlookup($A681&amp;$B681,{'3) Release_Label'!$D:$D&amp;'3) Release_Label'!$E:$E,'3) Release_Label'!$H:$H},2,0), or(and(not(isblank($B681)),$B681=$B680,$A681&lt;&gt;$A680),and(not(isblank($A681)),$A681=$A680,$B681&lt;&gt;$B680)),"ID LISTS UNALIGNED",and($A681&lt;&gt;"",countif('3) Release_Label'!$D:$D,$A681)=0),"NO UPC MATCH in Release_Label",and($B681&lt;&gt;"",countif('3) Release_Label'!$E:$E,$B681)=0),"NO CATALOG ID MATCH in Release_Label",iserror(vlookup($A681&amp;$B681,'3) Release_Label'!$D:$D&amp;'3) Release_Label'!$E:$E,1,0)),"NO UPC-CATALOG ID pair MATCH in Release_Label" )</f>
        <v/>
      </c>
      <c r="E681" s="92"/>
      <c r="F681" s="92"/>
      <c r="G681" s="125" t="str">
        <f t="array" ref="G681">ifs(or($F681="",$F681="Main Primary Artist"),$F681,not(iserror(vlookup($F681,'Reference info'!$J$5:$J$8,1,0))),"Key Artist",not(iserror(vlookup($F681,'Reference info'!$J$38:$J$405,1,0))),"Performer",not(iserror(vlookup($F681,'Reference info'!$J$10:$J$36,1,0))),"Producer &amp; Engineer")</f>
        <v/>
      </c>
    </row>
    <row r="682">
      <c r="A682" s="28"/>
      <c r="B682" s="97"/>
      <c r="C682" s="121" t="str">
        <f t="array" ref="C682">ifs(and(isblank($A682),isblank($B682)),"", not(iserror(vlookup($A682&amp;$B682,'3) Release_Label'!$D:$D&amp;'3) Release_Label'!$E:$E,1,0))),vlookup($A682&amp;$B682,{'3) Release_Label'!$D:$D&amp;'3) Release_Label'!$E:$E,'3) Release_Label'!$F:$F},2,0), or(and(not(isblank($B682)),$B682=$B681,$A682&lt;&gt;$A681),and(not(isblank($A682)),$A682=$A681,$B682&lt;&gt;$B681)),"ID LISTS UNALIGNED",and($A682&lt;&gt;"",countif('3) Release_Label'!$D:$D,$A682)=0),"NO UPC MATCH in Release_Label",and($B682&lt;&gt;"",countif('3) Release_Label'!$E:$E,$B682)=0),"NO CATALOG ID MATCH in Release_Label",iserror(vlookup($A682&amp;$B682,'3) Release_Label'!$D:$D&amp;'3) Release_Label'!$E:$E,1,0)),"NO UPC-CATALOG ID pair MATCH in Release_Label" )</f>
        <v/>
      </c>
      <c r="D682" s="121" t="str">
        <f t="array" ref="D682">ifs(and(isblank($A682),isblank($B682)),"", not(iserror(vlookup($A682&amp;$B682,'3) Release_Label'!$D:$D&amp;'3) Release_Label'!$E:$E,1,0))),vlookup($A682&amp;$B682,{'3) Release_Label'!$D:$D&amp;'3) Release_Label'!$E:$E,'3) Release_Label'!$H:$H},2,0), or(and(not(isblank($B682)),$B682=$B681,$A682&lt;&gt;$A681),and(not(isblank($A682)),$A682=$A681,$B682&lt;&gt;$B681)),"ID LISTS UNALIGNED",and($A682&lt;&gt;"",countif('3) Release_Label'!$D:$D,$A682)=0),"NO UPC MATCH in Release_Label",and($B682&lt;&gt;"",countif('3) Release_Label'!$E:$E,$B682)=0),"NO CATALOG ID MATCH in Release_Label",iserror(vlookup($A682&amp;$B682,'3) Release_Label'!$D:$D&amp;'3) Release_Label'!$E:$E,1,0)),"NO UPC-CATALOG ID pair MATCH in Release_Label" )</f>
        <v/>
      </c>
      <c r="E682" s="92"/>
      <c r="F682" s="92"/>
      <c r="G682" s="125" t="str">
        <f t="array" ref="G682">ifs(or($F682="",$F682="Main Primary Artist"),$F682,not(iserror(vlookup($F682,'Reference info'!$J$5:$J$8,1,0))),"Key Artist",not(iserror(vlookup($F682,'Reference info'!$J$38:$J$405,1,0))),"Performer",not(iserror(vlookup($F682,'Reference info'!$J$10:$J$36,1,0))),"Producer &amp; Engineer")</f>
        <v/>
      </c>
    </row>
    <row r="683">
      <c r="A683" s="28"/>
      <c r="B683" s="97"/>
      <c r="C683" s="121" t="str">
        <f t="array" ref="C683">ifs(and(isblank($A683),isblank($B683)),"", not(iserror(vlookup($A683&amp;$B683,'3) Release_Label'!$D:$D&amp;'3) Release_Label'!$E:$E,1,0))),vlookup($A683&amp;$B683,{'3) Release_Label'!$D:$D&amp;'3) Release_Label'!$E:$E,'3) Release_Label'!$F:$F},2,0), or(and(not(isblank($B683)),$B683=$B682,$A683&lt;&gt;$A682),and(not(isblank($A683)),$A683=$A682,$B683&lt;&gt;$B682)),"ID LISTS UNALIGNED",and($A683&lt;&gt;"",countif('3) Release_Label'!$D:$D,$A683)=0),"NO UPC MATCH in Release_Label",and($B683&lt;&gt;"",countif('3) Release_Label'!$E:$E,$B683)=0),"NO CATALOG ID MATCH in Release_Label",iserror(vlookup($A683&amp;$B683,'3) Release_Label'!$D:$D&amp;'3) Release_Label'!$E:$E,1,0)),"NO UPC-CATALOG ID pair MATCH in Release_Label" )</f>
        <v/>
      </c>
      <c r="D683" s="121" t="str">
        <f t="array" ref="D683">ifs(and(isblank($A683),isblank($B683)),"", not(iserror(vlookup($A683&amp;$B683,'3) Release_Label'!$D:$D&amp;'3) Release_Label'!$E:$E,1,0))),vlookup($A683&amp;$B683,{'3) Release_Label'!$D:$D&amp;'3) Release_Label'!$E:$E,'3) Release_Label'!$H:$H},2,0), or(and(not(isblank($B683)),$B683=$B682,$A683&lt;&gt;$A682),and(not(isblank($A683)),$A683=$A682,$B683&lt;&gt;$B682)),"ID LISTS UNALIGNED",and($A683&lt;&gt;"",countif('3) Release_Label'!$D:$D,$A683)=0),"NO UPC MATCH in Release_Label",and($B683&lt;&gt;"",countif('3) Release_Label'!$E:$E,$B683)=0),"NO CATALOG ID MATCH in Release_Label",iserror(vlookup($A683&amp;$B683,'3) Release_Label'!$D:$D&amp;'3) Release_Label'!$E:$E,1,0)),"NO UPC-CATALOG ID pair MATCH in Release_Label" )</f>
        <v/>
      </c>
      <c r="E683" s="92"/>
      <c r="F683" s="92"/>
      <c r="G683" s="125" t="str">
        <f t="array" ref="G683">ifs(or($F683="",$F683="Main Primary Artist"),$F683,not(iserror(vlookup($F683,'Reference info'!$J$5:$J$8,1,0))),"Key Artist",not(iserror(vlookup($F683,'Reference info'!$J$38:$J$405,1,0))),"Performer",not(iserror(vlookup($F683,'Reference info'!$J$10:$J$36,1,0))),"Producer &amp; Engineer")</f>
        <v/>
      </c>
    </row>
    <row r="684">
      <c r="A684" s="28"/>
      <c r="B684" s="97"/>
      <c r="C684" s="121" t="str">
        <f t="array" ref="C684">ifs(and(isblank($A684),isblank($B684)),"", not(iserror(vlookup($A684&amp;$B684,'3) Release_Label'!$D:$D&amp;'3) Release_Label'!$E:$E,1,0))),vlookup($A684&amp;$B684,{'3) Release_Label'!$D:$D&amp;'3) Release_Label'!$E:$E,'3) Release_Label'!$F:$F},2,0), or(and(not(isblank($B684)),$B684=$B683,$A684&lt;&gt;$A683),and(not(isblank($A684)),$A684=$A683,$B684&lt;&gt;$B683)),"ID LISTS UNALIGNED",and($A684&lt;&gt;"",countif('3) Release_Label'!$D:$D,$A684)=0),"NO UPC MATCH in Release_Label",and($B684&lt;&gt;"",countif('3) Release_Label'!$E:$E,$B684)=0),"NO CATALOG ID MATCH in Release_Label",iserror(vlookup($A684&amp;$B684,'3) Release_Label'!$D:$D&amp;'3) Release_Label'!$E:$E,1,0)),"NO UPC-CATALOG ID pair MATCH in Release_Label" )</f>
        <v/>
      </c>
      <c r="D684" s="121" t="str">
        <f t="array" ref="D684">ifs(and(isblank($A684),isblank($B684)),"", not(iserror(vlookup($A684&amp;$B684,'3) Release_Label'!$D:$D&amp;'3) Release_Label'!$E:$E,1,0))),vlookup($A684&amp;$B684,{'3) Release_Label'!$D:$D&amp;'3) Release_Label'!$E:$E,'3) Release_Label'!$H:$H},2,0), or(and(not(isblank($B684)),$B684=$B683,$A684&lt;&gt;$A683),and(not(isblank($A684)),$A684=$A683,$B684&lt;&gt;$B683)),"ID LISTS UNALIGNED",and($A684&lt;&gt;"",countif('3) Release_Label'!$D:$D,$A684)=0),"NO UPC MATCH in Release_Label",and($B684&lt;&gt;"",countif('3) Release_Label'!$E:$E,$B684)=0),"NO CATALOG ID MATCH in Release_Label",iserror(vlookup($A684&amp;$B684,'3) Release_Label'!$D:$D&amp;'3) Release_Label'!$E:$E,1,0)),"NO UPC-CATALOG ID pair MATCH in Release_Label" )</f>
        <v/>
      </c>
      <c r="E684" s="92"/>
      <c r="F684" s="92"/>
      <c r="G684" s="125" t="str">
        <f t="array" ref="G684">ifs(or($F684="",$F684="Main Primary Artist"),$F684,not(iserror(vlookup($F684,'Reference info'!$J$5:$J$8,1,0))),"Key Artist",not(iserror(vlookup($F684,'Reference info'!$J$38:$J$405,1,0))),"Performer",not(iserror(vlookup($F684,'Reference info'!$J$10:$J$36,1,0))),"Producer &amp; Engineer")</f>
        <v/>
      </c>
    </row>
    <row r="685">
      <c r="A685" s="28"/>
      <c r="B685" s="97"/>
      <c r="C685" s="121" t="str">
        <f t="array" ref="C685">ifs(and(isblank($A685),isblank($B685)),"", not(iserror(vlookup($A685&amp;$B685,'3) Release_Label'!$D:$D&amp;'3) Release_Label'!$E:$E,1,0))),vlookup($A685&amp;$B685,{'3) Release_Label'!$D:$D&amp;'3) Release_Label'!$E:$E,'3) Release_Label'!$F:$F},2,0), or(and(not(isblank($B685)),$B685=$B684,$A685&lt;&gt;$A684),and(not(isblank($A685)),$A685=$A684,$B685&lt;&gt;$B684)),"ID LISTS UNALIGNED",and($A685&lt;&gt;"",countif('3) Release_Label'!$D:$D,$A685)=0),"NO UPC MATCH in Release_Label",and($B685&lt;&gt;"",countif('3) Release_Label'!$E:$E,$B685)=0),"NO CATALOG ID MATCH in Release_Label",iserror(vlookup($A685&amp;$B685,'3) Release_Label'!$D:$D&amp;'3) Release_Label'!$E:$E,1,0)),"NO UPC-CATALOG ID pair MATCH in Release_Label" )</f>
        <v/>
      </c>
      <c r="D685" s="121" t="str">
        <f t="array" ref="D685">ifs(and(isblank($A685),isblank($B685)),"", not(iserror(vlookup($A685&amp;$B685,'3) Release_Label'!$D:$D&amp;'3) Release_Label'!$E:$E,1,0))),vlookup($A685&amp;$B685,{'3) Release_Label'!$D:$D&amp;'3) Release_Label'!$E:$E,'3) Release_Label'!$H:$H},2,0), or(and(not(isblank($B685)),$B685=$B684,$A685&lt;&gt;$A684),and(not(isblank($A685)),$A685=$A684,$B685&lt;&gt;$B684)),"ID LISTS UNALIGNED",and($A685&lt;&gt;"",countif('3) Release_Label'!$D:$D,$A685)=0),"NO UPC MATCH in Release_Label",and($B685&lt;&gt;"",countif('3) Release_Label'!$E:$E,$B685)=0),"NO CATALOG ID MATCH in Release_Label",iserror(vlookup($A685&amp;$B685,'3) Release_Label'!$D:$D&amp;'3) Release_Label'!$E:$E,1,0)),"NO UPC-CATALOG ID pair MATCH in Release_Label" )</f>
        <v/>
      </c>
      <c r="E685" s="92"/>
      <c r="F685" s="92"/>
      <c r="G685" s="125" t="str">
        <f t="array" ref="G685">ifs(or($F685="",$F685="Main Primary Artist"),$F685,not(iserror(vlookup($F685,'Reference info'!$J$5:$J$8,1,0))),"Key Artist",not(iserror(vlookup($F685,'Reference info'!$J$38:$J$405,1,0))),"Performer",not(iserror(vlookup($F685,'Reference info'!$J$10:$J$36,1,0))),"Producer &amp; Engineer")</f>
        <v/>
      </c>
    </row>
    <row r="686">
      <c r="A686" s="28"/>
      <c r="B686" s="97"/>
      <c r="C686" s="121" t="str">
        <f t="array" ref="C686">ifs(and(isblank($A686),isblank($B686)),"", not(iserror(vlookup($A686&amp;$B686,'3) Release_Label'!$D:$D&amp;'3) Release_Label'!$E:$E,1,0))),vlookup($A686&amp;$B686,{'3) Release_Label'!$D:$D&amp;'3) Release_Label'!$E:$E,'3) Release_Label'!$F:$F},2,0), or(and(not(isblank($B686)),$B686=$B685,$A686&lt;&gt;$A685),and(not(isblank($A686)),$A686=$A685,$B686&lt;&gt;$B685)),"ID LISTS UNALIGNED",and($A686&lt;&gt;"",countif('3) Release_Label'!$D:$D,$A686)=0),"NO UPC MATCH in Release_Label",and($B686&lt;&gt;"",countif('3) Release_Label'!$E:$E,$B686)=0),"NO CATALOG ID MATCH in Release_Label",iserror(vlookup($A686&amp;$B686,'3) Release_Label'!$D:$D&amp;'3) Release_Label'!$E:$E,1,0)),"NO UPC-CATALOG ID pair MATCH in Release_Label" )</f>
        <v/>
      </c>
      <c r="D686" s="121" t="str">
        <f t="array" ref="D686">ifs(and(isblank($A686),isblank($B686)),"", not(iserror(vlookup($A686&amp;$B686,'3) Release_Label'!$D:$D&amp;'3) Release_Label'!$E:$E,1,0))),vlookup($A686&amp;$B686,{'3) Release_Label'!$D:$D&amp;'3) Release_Label'!$E:$E,'3) Release_Label'!$H:$H},2,0), or(and(not(isblank($B686)),$B686=$B685,$A686&lt;&gt;$A685),and(not(isblank($A686)),$A686=$A685,$B686&lt;&gt;$B685)),"ID LISTS UNALIGNED",and($A686&lt;&gt;"",countif('3) Release_Label'!$D:$D,$A686)=0),"NO UPC MATCH in Release_Label",and($B686&lt;&gt;"",countif('3) Release_Label'!$E:$E,$B686)=0),"NO CATALOG ID MATCH in Release_Label",iserror(vlookup($A686&amp;$B686,'3) Release_Label'!$D:$D&amp;'3) Release_Label'!$E:$E,1,0)),"NO UPC-CATALOG ID pair MATCH in Release_Label" )</f>
        <v/>
      </c>
      <c r="E686" s="92"/>
      <c r="F686" s="92"/>
      <c r="G686" s="125" t="str">
        <f t="array" ref="G686">ifs(or($F686="",$F686="Main Primary Artist"),$F686,not(iserror(vlookup($F686,'Reference info'!$J$5:$J$8,1,0))),"Key Artist",not(iserror(vlookup($F686,'Reference info'!$J$38:$J$405,1,0))),"Performer",not(iserror(vlookup($F686,'Reference info'!$J$10:$J$36,1,0))),"Producer &amp; Engineer")</f>
        <v/>
      </c>
    </row>
    <row r="687">
      <c r="A687" s="28"/>
      <c r="B687" s="97"/>
      <c r="C687" s="121" t="str">
        <f t="array" ref="C687">ifs(and(isblank($A687),isblank($B687)),"", not(iserror(vlookup($A687&amp;$B687,'3) Release_Label'!$D:$D&amp;'3) Release_Label'!$E:$E,1,0))),vlookup($A687&amp;$B687,{'3) Release_Label'!$D:$D&amp;'3) Release_Label'!$E:$E,'3) Release_Label'!$F:$F},2,0), or(and(not(isblank($B687)),$B687=$B686,$A687&lt;&gt;$A686),and(not(isblank($A687)),$A687=$A686,$B687&lt;&gt;$B686)),"ID LISTS UNALIGNED",and($A687&lt;&gt;"",countif('3) Release_Label'!$D:$D,$A687)=0),"NO UPC MATCH in Release_Label",and($B687&lt;&gt;"",countif('3) Release_Label'!$E:$E,$B687)=0),"NO CATALOG ID MATCH in Release_Label",iserror(vlookup($A687&amp;$B687,'3) Release_Label'!$D:$D&amp;'3) Release_Label'!$E:$E,1,0)),"NO UPC-CATALOG ID pair MATCH in Release_Label" )</f>
        <v/>
      </c>
      <c r="D687" s="121" t="str">
        <f t="array" ref="D687">ifs(and(isblank($A687),isblank($B687)),"", not(iserror(vlookup($A687&amp;$B687,'3) Release_Label'!$D:$D&amp;'3) Release_Label'!$E:$E,1,0))),vlookup($A687&amp;$B687,{'3) Release_Label'!$D:$D&amp;'3) Release_Label'!$E:$E,'3) Release_Label'!$H:$H},2,0), or(and(not(isblank($B687)),$B687=$B686,$A687&lt;&gt;$A686),and(not(isblank($A687)),$A687=$A686,$B687&lt;&gt;$B686)),"ID LISTS UNALIGNED",and($A687&lt;&gt;"",countif('3) Release_Label'!$D:$D,$A687)=0),"NO UPC MATCH in Release_Label",and($B687&lt;&gt;"",countif('3) Release_Label'!$E:$E,$B687)=0),"NO CATALOG ID MATCH in Release_Label",iserror(vlookup($A687&amp;$B687,'3) Release_Label'!$D:$D&amp;'3) Release_Label'!$E:$E,1,0)),"NO UPC-CATALOG ID pair MATCH in Release_Label" )</f>
        <v/>
      </c>
      <c r="E687" s="92"/>
      <c r="F687" s="92"/>
      <c r="G687" s="125" t="str">
        <f t="array" ref="G687">ifs(or($F687="",$F687="Main Primary Artist"),$F687,not(iserror(vlookup($F687,'Reference info'!$J$5:$J$8,1,0))),"Key Artist",not(iserror(vlookup($F687,'Reference info'!$J$38:$J$405,1,0))),"Performer",not(iserror(vlookup($F687,'Reference info'!$J$10:$J$36,1,0))),"Producer &amp; Engineer")</f>
        <v/>
      </c>
    </row>
    <row r="688">
      <c r="A688" s="28"/>
      <c r="B688" s="97"/>
      <c r="C688" s="121" t="str">
        <f t="array" ref="C688">ifs(and(isblank($A688),isblank($B688)),"", not(iserror(vlookup($A688&amp;$B688,'3) Release_Label'!$D:$D&amp;'3) Release_Label'!$E:$E,1,0))),vlookup($A688&amp;$B688,{'3) Release_Label'!$D:$D&amp;'3) Release_Label'!$E:$E,'3) Release_Label'!$F:$F},2,0), or(and(not(isblank($B688)),$B688=$B687,$A688&lt;&gt;$A687),and(not(isblank($A688)),$A688=$A687,$B688&lt;&gt;$B687)),"ID LISTS UNALIGNED",and($A688&lt;&gt;"",countif('3) Release_Label'!$D:$D,$A688)=0),"NO UPC MATCH in Release_Label",and($B688&lt;&gt;"",countif('3) Release_Label'!$E:$E,$B688)=0),"NO CATALOG ID MATCH in Release_Label",iserror(vlookup($A688&amp;$B688,'3) Release_Label'!$D:$D&amp;'3) Release_Label'!$E:$E,1,0)),"NO UPC-CATALOG ID pair MATCH in Release_Label" )</f>
        <v/>
      </c>
      <c r="D688" s="121" t="str">
        <f t="array" ref="D688">ifs(and(isblank($A688),isblank($B688)),"", not(iserror(vlookup($A688&amp;$B688,'3) Release_Label'!$D:$D&amp;'3) Release_Label'!$E:$E,1,0))),vlookup($A688&amp;$B688,{'3) Release_Label'!$D:$D&amp;'3) Release_Label'!$E:$E,'3) Release_Label'!$H:$H},2,0), or(and(not(isblank($B688)),$B688=$B687,$A688&lt;&gt;$A687),and(not(isblank($A688)),$A688=$A687,$B688&lt;&gt;$B687)),"ID LISTS UNALIGNED",and($A688&lt;&gt;"",countif('3) Release_Label'!$D:$D,$A688)=0),"NO UPC MATCH in Release_Label",and($B688&lt;&gt;"",countif('3) Release_Label'!$E:$E,$B688)=0),"NO CATALOG ID MATCH in Release_Label",iserror(vlookup($A688&amp;$B688,'3) Release_Label'!$D:$D&amp;'3) Release_Label'!$E:$E,1,0)),"NO UPC-CATALOG ID pair MATCH in Release_Label" )</f>
        <v/>
      </c>
      <c r="E688" s="92"/>
      <c r="F688" s="92"/>
      <c r="G688" s="125" t="str">
        <f t="array" ref="G688">ifs(or($F688="",$F688="Main Primary Artist"),$F688,not(iserror(vlookup($F688,'Reference info'!$J$5:$J$8,1,0))),"Key Artist",not(iserror(vlookup($F688,'Reference info'!$J$38:$J$405,1,0))),"Performer",not(iserror(vlookup($F688,'Reference info'!$J$10:$J$36,1,0))),"Producer &amp; Engineer")</f>
        <v/>
      </c>
    </row>
    <row r="689">
      <c r="A689" s="28"/>
      <c r="B689" s="97"/>
      <c r="C689" s="121" t="str">
        <f t="array" ref="C689">ifs(and(isblank($A689),isblank($B689)),"", not(iserror(vlookup($A689&amp;$B689,'3) Release_Label'!$D:$D&amp;'3) Release_Label'!$E:$E,1,0))),vlookup($A689&amp;$B689,{'3) Release_Label'!$D:$D&amp;'3) Release_Label'!$E:$E,'3) Release_Label'!$F:$F},2,0), or(and(not(isblank($B689)),$B689=$B688,$A689&lt;&gt;$A688),and(not(isblank($A689)),$A689=$A688,$B689&lt;&gt;$B688)),"ID LISTS UNALIGNED",and($A689&lt;&gt;"",countif('3) Release_Label'!$D:$D,$A689)=0),"NO UPC MATCH in Release_Label",and($B689&lt;&gt;"",countif('3) Release_Label'!$E:$E,$B689)=0),"NO CATALOG ID MATCH in Release_Label",iserror(vlookup($A689&amp;$B689,'3) Release_Label'!$D:$D&amp;'3) Release_Label'!$E:$E,1,0)),"NO UPC-CATALOG ID pair MATCH in Release_Label" )</f>
        <v/>
      </c>
      <c r="D689" s="121" t="str">
        <f t="array" ref="D689">ifs(and(isblank($A689),isblank($B689)),"", not(iserror(vlookup($A689&amp;$B689,'3) Release_Label'!$D:$D&amp;'3) Release_Label'!$E:$E,1,0))),vlookup($A689&amp;$B689,{'3) Release_Label'!$D:$D&amp;'3) Release_Label'!$E:$E,'3) Release_Label'!$H:$H},2,0), or(and(not(isblank($B689)),$B689=$B688,$A689&lt;&gt;$A688),and(not(isblank($A689)),$A689=$A688,$B689&lt;&gt;$B688)),"ID LISTS UNALIGNED",and($A689&lt;&gt;"",countif('3) Release_Label'!$D:$D,$A689)=0),"NO UPC MATCH in Release_Label",and($B689&lt;&gt;"",countif('3) Release_Label'!$E:$E,$B689)=0),"NO CATALOG ID MATCH in Release_Label",iserror(vlookup($A689&amp;$B689,'3) Release_Label'!$D:$D&amp;'3) Release_Label'!$E:$E,1,0)),"NO UPC-CATALOG ID pair MATCH in Release_Label" )</f>
        <v/>
      </c>
      <c r="E689" s="92"/>
      <c r="F689" s="92"/>
      <c r="G689" s="125" t="str">
        <f t="array" ref="G689">ifs(or($F689="",$F689="Main Primary Artist"),$F689,not(iserror(vlookup($F689,'Reference info'!$J$5:$J$8,1,0))),"Key Artist",not(iserror(vlookup($F689,'Reference info'!$J$38:$J$405,1,0))),"Performer",not(iserror(vlookup($F689,'Reference info'!$J$10:$J$36,1,0))),"Producer &amp; Engineer")</f>
        <v/>
      </c>
    </row>
    <row r="690">
      <c r="A690" s="28"/>
      <c r="B690" s="97"/>
      <c r="C690" s="121" t="str">
        <f t="array" ref="C690">ifs(and(isblank($A690),isblank($B690)),"", not(iserror(vlookup($A690&amp;$B690,'3) Release_Label'!$D:$D&amp;'3) Release_Label'!$E:$E,1,0))),vlookup($A690&amp;$B690,{'3) Release_Label'!$D:$D&amp;'3) Release_Label'!$E:$E,'3) Release_Label'!$F:$F},2,0), or(and(not(isblank($B690)),$B690=$B689,$A690&lt;&gt;$A689),and(not(isblank($A690)),$A690=$A689,$B690&lt;&gt;$B689)),"ID LISTS UNALIGNED",and($A690&lt;&gt;"",countif('3) Release_Label'!$D:$D,$A690)=0),"NO UPC MATCH in Release_Label",and($B690&lt;&gt;"",countif('3) Release_Label'!$E:$E,$B690)=0),"NO CATALOG ID MATCH in Release_Label",iserror(vlookup($A690&amp;$B690,'3) Release_Label'!$D:$D&amp;'3) Release_Label'!$E:$E,1,0)),"NO UPC-CATALOG ID pair MATCH in Release_Label" )</f>
        <v/>
      </c>
      <c r="D690" s="121" t="str">
        <f t="array" ref="D690">ifs(and(isblank($A690),isblank($B690)),"", not(iserror(vlookup($A690&amp;$B690,'3) Release_Label'!$D:$D&amp;'3) Release_Label'!$E:$E,1,0))),vlookup($A690&amp;$B690,{'3) Release_Label'!$D:$D&amp;'3) Release_Label'!$E:$E,'3) Release_Label'!$H:$H},2,0), or(and(not(isblank($B690)),$B690=$B689,$A690&lt;&gt;$A689),and(not(isblank($A690)),$A690=$A689,$B690&lt;&gt;$B689)),"ID LISTS UNALIGNED",and($A690&lt;&gt;"",countif('3) Release_Label'!$D:$D,$A690)=0),"NO UPC MATCH in Release_Label",and($B690&lt;&gt;"",countif('3) Release_Label'!$E:$E,$B690)=0),"NO CATALOG ID MATCH in Release_Label",iserror(vlookup($A690&amp;$B690,'3) Release_Label'!$D:$D&amp;'3) Release_Label'!$E:$E,1,0)),"NO UPC-CATALOG ID pair MATCH in Release_Label" )</f>
        <v/>
      </c>
      <c r="E690" s="92"/>
      <c r="F690" s="92"/>
      <c r="G690" s="125" t="str">
        <f t="array" ref="G690">ifs(or($F690="",$F690="Main Primary Artist"),$F690,not(iserror(vlookup($F690,'Reference info'!$J$5:$J$8,1,0))),"Key Artist",not(iserror(vlookup($F690,'Reference info'!$J$38:$J$405,1,0))),"Performer",not(iserror(vlookup($F690,'Reference info'!$J$10:$J$36,1,0))),"Producer &amp; Engineer")</f>
        <v/>
      </c>
    </row>
    <row r="691">
      <c r="A691" s="28"/>
      <c r="B691" s="97"/>
      <c r="C691" s="121" t="str">
        <f t="array" ref="C691">ifs(and(isblank($A691),isblank($B691)),"", not(iserror(vlookup($A691&amp;$B691,'3) Release_Label'!$D:$D&amp;'3) Release_Label'!$E:$E,1,0))),vlookup($A691&amp;$B691,{'3) Release_Label'!$D:$D&amp;'3) Release_Label'!$E:$E,'3) Release_Label'!$F:$F},2,0), or(and(not(isblank($B691)),$B691=$B690,$A691&lt;&gt;$A690),and(not(isblank($A691)),$A691=$A690,$B691&lt;&gt;$B690)),"ID LISTS UNALIGNED",and($A691&lt;&gt;"",countif('3) Release_Label'!$D:$D,$A691)=0),"NO UPC MATCH in Release_Label",and($B691&lt;&gt;"",countif('3) Release_Label'!$E:$E,$B691)=0),"NO CATALOG ID MATCH in Release_Label",iserror(vlookup($A691&amp;$B691,'3) Release_Label'!$D:$D&amp;'3) Release_Label'!$E:$E,1,0)),"NO UPC-CATALOG ID pair MATCH in Release_Label" )</f>
        <v/>
      </c>
      <c r="D691" s="121" t="str">
        <f t="array" ref="D691">ifs(and(isblank($A691),isblank($B691)),"", not(iserror(vlookup($A691&amp;$B691,'3) Release_Label'!$D:$D&amp;'3) Release_Label'!$E:$E,1,0))),vlookup($A691&amp;$B691,{'3) Release_Label'!$D:$D&amp;'3) Release_Label'!$E:$E,'3) Release_Label'!$H:$H},2,0), or(and(not(isblank($B691)),$B691=$B690,$A691&lt;&gt;$A690),and(not(isblank($A691)),$A691=$A690,$B691&lt;&gt;$B690)),"ID LISTS UNALIGNED",and($A691&lt;&gt;"",countif('3) Release_Label'!$D:$D,$A691)=0),"NO UPC MATCH in Release_Label",and($B691&lt;&gt;"",countif('3) Release_Label'!$E:$E,$B691)=0),"NO CATALOG ID MATCH in Release_Label",iserror(vlookup($A691&amp;$B691,'3) Release_Label'!$D:$D&amp;'3) Release_Label'!$E:$E,1,0)),"NO UPC-CATALOG ID pair MATCH in Release_Label" )</f>
        <v/>
      </c>
      <c r="E691" s="92"/>
      <c r="F691" s="92"/>
      <c r="G691" s="125" t="str">
        <f t="array" ref="G691">ifs(or($F691="",$F691="Main Primary Artist"),$F691,not(iserror(vlookup($F691,'Reference info'!$J$5:$J$8,1,0))),"Key Artist",not(iserror(vlookup($F691,'Reference info'!$J$38:$J$405,1,0))),"Performer",not(iserror(vlookup($F691,'Reference info'!$J$10:$J$36,1,0))),"Producer &amp; Engineer")</f>
        <v/>
      </c>
    </row>
    <row r="692">
      <c r="A692" s="28"/>
      <c r="B692" s="97"/>
      <c r="C692" s="121" t="str">
        <f t="array" ref="C692">ifs(and(isblank($A692),isblank($B692)),"", not(iserror(vlookup($A692&amp;$B692,'3) Release_Label'!$D:$D&amp;'3) Release_Label'!$E:$E,1,0))),vlookup($A692&amp;$B692,{'3) Release_Label'!$D:$D&amp;'3) Release_Label'!$E:$E,'3) Release_Label'!$F:$F},2,0), or(and(not(isblank($B692)),$B692=$B691,$A692&lt;&gt;$A691),and(not(isblank($A692)),$A692=$A691,$B692&lt;&gt;$B691)),"ID LISTS UNALIGNED",and($A692&lt;&gt;"",countif('3) Release_Label'!$D:$D,$A692)=0),"NO UPC MATCH in Release_Label",and($B692&lt;&gt;"",countif('3) Release_Label'!$E:$E,$B692)=0),"NO CATALOG ID MATCH in Release_Label",iserror(vlookup($A692&amp;$B692,'3) Release_Label'!$D:$D&amp;'3) Release_Label'!$E:$E,1,0)),"NO UPC-CATALOG ID pair MATCH in Release_Label" )</f>
        <v/>
      </c>
      <c r="D692" s="121" t="str">
        <f t="array" ref="D692">ifs(and(isblank($A692),isblank($B692)),"", not(iserror(vlookup($A692&amp;$B692,'3) Release_Label'!$D:$D&amp;'3) Release_Label'!$E:$E,1,0))),vlookup($A692&amp;$B692,{'3) Release_Label'!$D:$D&amp;'3) Release_Label'!$E:$E,'3) Release_Label'!$H:$H},2,0), or(and(not(isblank($B692)),$B692=$B691,$A692&lt;&gt;$A691),and(not(isblank($A692)),$A692=$A691,$B692&lt;&gt;$B691)),"ID LISTS UNALIGNED",and($A692&lt;&gt;"",countif('3) Release_Label'!$D:$D,$A692)=0),"NO UPC MATCH in Release_Label",and($B692&lt;&gt;"",countif('3) Release_Label'!$E:$E,$B692)=0),"NO CATALOG ID MATCH in Release_Label",iserror(vlookup($A692&amp;$B692,'3) Release_Label'!$D:$D&amp;'3) Release_Label'!$E:$E,1,0)),"NO UPC-CATALOG ID pair MATCH in Release_Label" )</f>
        <v/>
      </c>
      <c r="E692" s="92"/>
      <c r="F692" s="92"/>
      <c r="G692" s="125" t="str">
        <f t="array" ref="G692">ifs(or($F692="",$F692="Main Primary Artist"),$F692,not(iserror(vlookup($F692,'Reference info'!$J$5:$J$8,1,0))),"Key Artist",not(iserror(vlookup($F692,'Reference info'!$J$38:$J$405,1,0))),"Performer",not(iserror(vlookup($F692,'Reference info'!$J$10:$J$36,1,0))),"Producer &amp; Engineer")</f>
        <v/>
      </c>
    </row>
    <row r="693">
      <c r="A693" s="28"/>
      <c r="B693" s="97"/>
      <c r="C693" s="121" t="str">
        <f t="array" ref="C693">ifs(and(isblank($A693),isblank($B693)),"", not(iserror(vlookup($A693&amp;$B693,'3) Release_Label'!$D:$D&amp;'3) Release_Label'!$E:$E,1,0))),vlookup($A693&amp;$B693,{'3) Release_Label'!$D:$D&amp;'3) Release_Label'!$E:$E,'3) Release_Label'!$F:$F},2,0), or(and(not(isblank($B693)),$B693=$B692,$A693&lt;&gt;$A692),and(not(isblank($A693)),$A693=$A692,$B693&lt;&gt;$B692)),"ID LISTS UNALIGNED",and($A693&lt;&gt;"",countif('3) Release_Label'!$D:$D,$A693)=0),"NO UPC MATCH in Release_Label",and($B693&lt;&gt;"",countif('3) Release_Label'!$E:$E,$B693)=0),"NO CATALOG ID MATCH in Release_Label",iserror(vlookup($A693&amp;$B693,'3) Release_Label'!$D:$D&amp;'3) Release_Label'!$E:$E,1,0)),"NO UPC-CATALOG ID pair MATCH in Release_Label" )</f>
        <v/>
      </c>
      <c r="D693" s="121" t="str">
        <f t="array" ref="D693">ifs(and(isblank($A693),isblank($B693)),"", not(iserror(vlookup($A693&amp;$B693,'3) Release_Label'!$D:$D&amp;'3) Release_Label'!$E:$E,1,0))),vlookup($A693&amp;$B693,{'3) Release_Label'!$D:$D&amp;'3) Release_Label'!$E:$E,'3) Release_Label'!$H:$H},2,0), or(and(not(isblank($B693)),$B693=$B692,$A693&lt;&gt;$A692),and(not(isblank($A693)),$A693=$A692,$B693&lt;&gt;$B692)),"ID LISTS UNALIGNED",and($A693&lt;&gt;"",countif('3) Release_Label'!$D:$D,$A693)=0),"NO UPC MATCH in Release_Label",and($B693&lt;&gt;"",countif('3) Release_Label'!$E:$E,$B693)=0),"NO CATALOG ID MATCH in Release_Label",iserror(vlookup($A693&amp;$B693,'3) Release_Label'!$D:$D&amp;'3) Release_Label'!$E:$E,1,0)),"NO UPC-CATALOG ID pair MATCH in Release_Label" )</f>
        <v/>
      </c>
      <c r="E693" s="92"/>
      <c r="F693" s="92"/>
      <c r="G693" s="125" t="str">
        <f t="array" ref="G693">ifs(or($F693="",$F693="Main Primary Artist"),$F693,not(iserror(vlookup($F693,'Reference info'!$J$5:$J$8,1,0))),"Key Artist",not(iserror(vlookup($F693,'Reference info'!$J$38:$J$405,1,0))),"Performer",not(iserror(vlookup($F693,'Reference info'!$J$10:$J$36,1,0))),"Producer &amp; Engineer")</f>
        <v/>
      </c>
    </row>
    <row r="694">
      <c r="A694" s="28"/>
      <c r="B694" s="97"/>
      <c r="C694" s="121" t="str">
        <f t="array" ref="C694">ifs(and(isblank($A694),isblank($B694)),"", not(iserror(vlookup($A694&amp;$B694,'3) Release_Label'!$D:$D&amp;'3) Release_Label'!$E:$E,1,0))),vlookup($A694&amp;$B694,{'3) Release_Label'!$D:$D&amp;'3) Release_Label'!$E:$E,'3) Release_Label'!$F:$F},2,0), or(and(not(isblank($B694)),$B694=$B693,$A694&lt;&gt;$A693),and(not(isblank($A694)),$A694=$A693,$B694&lt;&gt;$B693)),"ID LISTS UNALIGNED",and($A694&lt;&gt;"",countif('3) Release_Label'!$D:$D,$A694)=0),"NO UPC MATCH in Release_Label",and($B694&lt;&gt;"",countif('3) Release_Label'!$E:$E,$B694)=0),"NO CATALOG ID MATCH in Release_Label",iserror(vlookup($A694&amp;$B694,'3) Release_Label'!$D:$D&amp;'3) Release_Label'!$E:$E,1,0)),"NO UPC-CATALOG ID pair MATCH in Release_Label" )</f>
        <v/>
      </c>
      <c r="D694" s="121" t="str">
        <f t="array" ref="D694">ifs(and(isblank($A694),isblank($B694)),"", not(iserror(vlookup($A694&amp;$B694,'3) Release_Label'!$D:$D&amp;'3) Release_Label'!$E:$E,1,0))),vlookup($A694&amp;$B694,{'3) Release_Label'!$D:$D&amp;'3) Release_Label'!$E:$E,'3) Release_Label'!$H:$H},2,0), or(and(not(isblank($B694)),$B694=$B693,$A694&lt;&gt;$A693),and(not(isblank($A694)),$A694=$A693,$B694&lt;&gt;$B693)),"ID LISTS UNALIGNED",and($A694&lt;&gt;"",countif('3) Release_Label'!$D:$D,$A694)=0),"NO UPC MATCH in Release_Label",and($B694&lt;&gt;"",countif('3) Release_Label'!$E:$E,$B694)=0),"NO CATALOG ID MATCH in Release_Label",iserror(vlookup($A694&amp;$B694,'3) Release_Label'!$D:$D&amp;'3) Release_Label'!$E:$E,1,0)),"NO UPC-CATALOG ID pair MATCH in Release_Label" )</f>
        <v/>
      </c>
      <c r="E694" s="92"/>
      <c r="F694" s="92"/>
      <c r="G694" s="125" t="str">
        <f t="array" ref="G694">ifs(or($F694="",$F694="Main Primary Artist"),$F694,not(iserror(vlookup($F694,'Reference info'!$J$5:$J$8,1,0))),"Key Artist",not(iserror(vlookup($F694,'Reference info'!$J$38:$J$405,1,0))),"Performer",not(iserror(vlookup($F694,'Reference info'!$J$10:$J$36,1,0))),"Producer &amp; Engineer")</f>
        <v/>
      </c>
    </row>
    <row r="695">
      <c r="A695" s="28"/>
      <c r="B695" s="97"/>
      <c r="C695" s="121" t="str">
        <f t="array" ref="C695">ifs(and(isblank($A695),isblank($B695)),"", not(iserror(vlookup($A695&amp;$B695,'3) Release_Label'!$D:$D&amp;'3) Release_Label'!$E:$E,1,0))),vlookup($A695&amp;$B695,{'3) Release_Label'!$D:$D&amp;'3) Release_Label'!$E:$E,'3) Release_Label'!$F:$F},2,0), or(and(not(isblank($B695)),$B695=$B694,$A695&lt;&gt;$A694),and(not(isblank($A695)),$A695=$A694,$B695&lt;&gt;$B694)),"ID LISTS UNALIGNED",and($A695&lt;&gt;"",countif('3) Release_Label'!$D:$D,$A695)=0),"NO UPC MATCH in Release_Label",and($B695&lt;&gt;"",countif('3) Release_Label'!$E:$E,$B695)=0),"NO CATALOG ID MATCH in Release_Label",iserror(vlookup($A695&amp;$B695,'3) Release_Label'!$D:$D&amp;'3) Release_Label'!$E:$E,1,0)),"NO UPC-CATALOG ID pair MATCH in Release_Label" )</f>
        <v/>
      </c>
      <c r="D695" s="121" t="str">
        <f t="array" ref="D695">ifs(and(isblank($A695),isblank($B695)),"", not(iserror(vlookup($A695&amp;$B695,'3) Release_Label'!$D:$D&amp;'3) Release_Label'!$E:$E,1,0))),vlookup($A695&amp;$B695,{'3) Release_Label'!$D:$D&amp;'3) Release_Label'!$E:$E,'3) Release_Label'!$H:$H},2,0), or(and(not(isblank($B695)),$B695=$B694,$A695&lt;&gt;$A694),and(not(isblank($A695)),$A695=$A694,$B695&lt;&gt;$B694)),"ID LISTS UNALIGNED",and($A695&lt;&gt;"",countif('3) Release_Label'!$D:$D,$A695)=0),"NO UPC MATCH in Release_Label",and($B695&lt;&gt;"",countif('3) Release_Label'!$E:$E,$B695)=0),"NO CATALOG ID MATCH in Release_Label",iserror(vlookup($A695&amp;$B695,'3) Release_Label'!$D:$D&amp;'3) Release_Label'!$E:$E,1,0)),"NO UPC-CATALOG ID pair MATCH in Release_Label" )</f>
        <v/>
      </c>
      <c r="E695" s="92"/>
      <c r="F695" s="92"/>
      <c r="G695" s="125" t="str">
        <f t="array" ref="G695">ifs(or($F695="",$F695="Main Primary Artist"),$F695,not(iserror(vlookup($F695,'Reference info'!$J$5:$J$8,1,0))),"Key Artist",not(iserror(vlookup($F695,'Reference info'!$J$38:$J$405,1,0))),"Performer",not(iserror(vlookup($F695,'Reference info'!$J$10:$J$36,1,0))),"Producer &amp; Engineer")</f>
        <v/>
      </c>
    </row>
    <row r="696">
      <c r="A696" s="28"/>
      <c r="B696" s="97"/>
      <c r="C696" s="121" t="str">
        <f t="array" ref="C696">ifs(and(isblank($A696),isblank($B696)),"", not(iserror(vlookup($A696&amp;$B696,'3) Release_Label'!$D:$D&amp;'3) Release_Label'!$E:$E,1,0))),vlookup($A696&amp;$B696,{'3) Release_Label'!$D:$D&amp;'3) Release_Label'!$E:$E,'3) Release_Label'!$F:$F},2,0), or(and(not(isblank($B696)),$B696=$B695,$A696&lt;&gt;$A695),and(not(isblank($A696)),$A696=$A695,$B696&lt;&gt;$B695)),"ID LISTS UNALIGNED",and($A696&lt;&gt;"",countif('3) Release_Label'!$D:$D,$A696)=0),"NO UPC MATCH in Release_Label",and($B696&lt;&gt;"",countif('3) Release_Label'!$E:$E,$B696)=0),"NO CATALOG ID MATCH in Release_Label",iserror(vlookup($A696&amp;$B696,'3) Release_Label'!$D:$D&amp;'3) Release_Label'!$E:$E,1,0)),"NO UPC-CATALOG ID pair MATCH in Release_Label" )</f>
        <v/>
      </c>
      <c r="D696" s="121" t="str">
        <f t="array" ref="D696">ifs(and(isblank($A696),isblank($B696)),"", not(iserror(vlookup($A696&amp;$B696,'3) Release_Label'!$D:$D&amp;'3) Release_Label'!$E:$E,1,0))),vlookup($A696&amp;$B696,{'3) Release_Label'!$D:$D&amp;'3) Release_Label'!$E:$E,'3) Release_Label'!$H:$H},2,0), or(and(not(isblank($B696)),$B696=$B695,$A696&lt;&gt;$A695),and(not(isblank($A696)),$A696=$A695,$B696&lt;&gt;$B695)),"ID LISTS UNALIGNED",and($A696&lt;&gt;"",countif('3) Release_Label'!$D:$D,$A696)=0),"NO UPC MATCH in Release_Label",and($B696&lt;&gt;"",countif('3) Release_Label'!$E:$E,$B696)=0),"NO CATALOG ID MATCH in Release_Label",iserror(vlookup($A696&amp;$B696,'3) Release_Label'!$D:$D&amp;'3) Release_Label'!$E:$E,1,0)),"NO UPC-CATALOG ID pair MATCH in Release_Label" )</f>
        <v/>
      </c>
      <c r="E696" s="92"/>
      <c r="F696" s="92"/>
      <c r="G696" s="125" t="str">
        <f t="array" ref="G696">ifs(or($F696="",$F696="Main Primary Artist"),$F696,not(iserror(vlookup($F696,'Reference info'!$J$5:$J$8,1,0))),"Key Artist",not(iserror(vlookup($F696,'Reference info'!$J$38:$J$405,1,0))),"Performer",not(iserror(vlookup($F696,'Reference info'!$J$10:$J$36,1,0))),"Producer &amp; Engineer")</f>
        <v/>
      </c>
    </row>
    <row r="697">
      <c r="A697" s="28"/>
      <c r="B697" s="97"/>
      <c r="C697" s="121" t="str">
        <f t="array" ref="C697">ifs(and(isblank($A697),isblank($B697)),"", not(iserror(vlookup($A697&amp;$B697,'3) Release_Label'!$D:$D&amp;'3) Release_Label'!$E:$E,1,0))),vlookup($A697&amp;$B697,{'3) Release_Label'!$D:$D&amp;'3) Release_Label'!$E:$E,'3) Release_Label'!$F:$F},2,0), or(and(not(isblank($B697)),$B697=$B696,$A697&lt;&gt;$A696),and(not(isblank($A697)),$A697=$A696,$B697&lt;&gt;$B696)),"ID LISTS UNALIGNED",and($A697&lt;&gt;"",countif('3) Release_Label'!$D:$D,$A697)=0),"NO UPC MATCH in Release_Label",and($B697&lt;&gt;"",countif('3) Release_Label'!$E:$E,$B697)=0),"NO CATALOG ID MATCH in Release_Label",iserror(vlookup($A697&amp;$B697,'3) Release_Label'!$D:$D&amp;'3) Release_Label'!$E:$E,1,0)),"NO UPC-CATALOG ID pair MATCH in Release_Label" )</f>
        <v/>
      </c>
      <c r="D697" s="121" t="str">
        <f t="array" ref="D697">ifs(and(isblank($A697),isblank($B697)),"", not(iserror(vlookup($A697&amp;$B697,'3) Release_Label'!$D:$D&amp;'3) Release_Label'!$E:$E,1,0))),vlookup($A697&amp;$B697,{'3) Release_Label'!$D:$D&amp;'3) Release_Label'!$E:$E,'3) Release_Label'!$H:$H},2,0), or(and(not(isblank($B697)),$B697=$B696,$A697&lt;&gt;$A696),and(not(isblank($A697)),$A697=$A696,$B697&lt;&gt;$B696)),"ID LISTS UNALIGNED",and($A697&lt;&gt;"",countif('3) Release_Label'!$D:$D,$A697)=0),"NO UPC MATCH in Release_Label",and($B697&lt;&gt;"",countif('3) Release_Label'!$E:$E,$B697)=0),"NO CATALOG ID MATCH in Release_Label",iserror(vlookup($A697&amp;$B697,'3) Release_Label'!$D:$D&amp;'3) Release_Label'!$E:$E,1,0)),"NO UPC-CATALOG ID pair MATCH in Release_Label" )</f>
        <v/>
      </c>
      <c r="E697" s="92"/>
      <c r="F697" s="92"/>
      <c r="G697" s="125" t="str">
        <f t="array" ref="G697">ifs(or($F697="",$F697="Main Primary Artist"),$F697,not(iserror(vlookup($F697,'Reference info'!$J$5:$J$8,1,0))),"Key Artist",not(iserror(vlookup($F697,'Reference info'!$J$38:$J$405,1,0))),"Performer",not(iserror(vlookup($F697,'Reference info'!$J$10:$J$36,1,0))),"Producer &amp; Engineer")</f>
        <v/>
      </c>
    </row>
    <row r="698">
      <c r="A698" s="28"/>
      <c r="B698" s="97"/>
      <c r="C698" s="121" t="str">
        <f t="array" ref="C698">ifs(and(isblank($A698),isblank($B698)),"", not(iserror(vlookup($A698&amp;$B698,'3) Release_Label'!$D:$D&amp;'3) Release_Label'!$E:$E,1,0))),vlookup($A698&amp;$B698,{'3) Release_Label'!$D:$D&amp;'3) Release_Label'!$E:$E,'3) Release_Label'!$F:$F},2,0), or(and(not(isblank($B698)),$B698=$B697,$A698&lt;&gt;$A697),and(not(isblank($A698)),$A698=$A697,$B698&lt;&gt;$B697)),"ID LISTS UNALIGNED",and($A698&lt;&gt;"",countif('3) Release_Label'!$D:$D,$A698)=0),"NO UPC MATCH in Release_Label",and($B698&lt;&gt;"",countif('3) Release_Label'!$E:$E,$B698)=0),"NO CATALOG ID MATCH in Release_Label",iserror(vlookup($A698&amp;$B698,'3) Release_Label'!$D:$D&amp;'3) Release_Label'!$E:$E,1,0)),"NO UPC-CATALOG ID pair MATCH in Release_Label" )</f>
        <v/>
      </c>
      <c r="D698" s="121" t="str">
        <f t="array" ref="D698">ifs(and(isblank($A698),isblank($B698)),"", not(iserror(vlookup($A698&amp;$B698,'3) Release_Label'!$D:$D&amp;'3) Release_Label'!$E:$E,1,0))),vlookup($A698&amp;$B698,{'3) Release_Label'!$D:$D&amp;'3) Release_Label'!$E:$E,'3) Release_Label'!$H:$H},2,0), or(and(not(isblank($B698)),$B698=$B697,$A698&lt;&gt;$A697),and(not(isblank($A698)),$A698=$A697,$B698&lt;&gt;$B697)),"ID LISTS UNALIGNED",and($A698&lt;&gt;"",countif('3) Release_Label'!$D:$D,$A698)=0),"NO UPC MATCH in Release_Label",and($B698&lt;&gt;"",countif('3) Release_Label'!$E:$E,$B698)=0),"NO CATALOG ID MATCH in Release_Label",iserror(vlookup($A698&amp;$B698,'3) Release_Label'!$D:$D&amp;'3) Release_Label'!$E:$E,1,0)),"NO UPC-CATALOG ID pair MATCH in Release_Label" )</f>
        <v/>
      </c>
      <c r="E698" s="92"/>
      <c r="F698" s="92"/>
      <c r="G698" s="125" t="str">
        <f t="array" ref="G698">ifs(or($F698="",$F698="Main Primary Artist"),$F698,not(iserror(vlookup($F698,'Reference info'!$J$5:$J$8,1,0))),"Key Artist",not(iserror(vlookup($F698,'Reference info'!$J$38:$J$405,1,0))),"Performer",not(iserror(vlookup($F698,'Reference info'!$J$10:$J$36,1,0))),"Producer &amp; Engineer")</f>
        <v/>
      </c>
    </row>
    <row r="699">
      <c r="A699" s="28"/>
      <c r="B699" s="97"/>
      <c r="C699" s="121" t="str">
        <f t="array" ref="C699">ifs(and(isblank($A699),isblank($B699)),"", not(iserror(vlookup($A699&amp;$B699,'3) Release_Label'!$D:$D&amp;'3) Release_Label'!$E:$E,1,0))),vlookup($A699&amp;$B699,{'3) Release_Label'!$D:$D&amp;'3) Release_Label'!$E:$E,'3) Release_Label'!$F:$F},2,0), or(and(not(isblank($B699)),$B699=$B698,$A699&lt;&gt;$A698),and(not(isblank($A699)),$A699=$A698,$B699&lt;&gt;$B698)),"ID LISTS UNALIGNED",and($A699&lt;&gt;"",countif('3) Release_Label'!$D:$D,$A699)=0),"NO UPC MATCH in Release_Label",and($B699&lt;&gt;"",countif('3) Release_Label'!$E:$E,$B699)=0),"NO CATALOG ID MATCH in Release_Label",iserror(vlookup($A699&amp;$B699,'3) Release_Label'!$D:$D&amp;'3) Release_Label'!$E:$E,1,0)),"NO UPC-CATALOG ID pair MATCH in Release_Label" )</f>
        <v/>
      </c>
      <c r="D699" s="121" t="str">
        <f t="array" ref="D699">ifs(and(isblank($A699),isblank($B699)),"", not(iserror(vlookup($A699&amp;$B699,'3) Release_Label'!$D:$D&amp;'3) Release_Label'!$E:$E,1,0))),vlookup($A699&amp;$B699,{'3) Release_Label'!$D:$D&amp;'3) Release_Label'!$E:$E,'3) Release_Label'!$H:$H},2,0), or(and(not(isblank($B699)),$B699=$B698,$A699&lt;&gt;$A698),and(not(isblank($A699)),$A699=$A698,$B699&lt;&gt;$B698)),"ID LISTS UNALIGNED",and($A699&lt;&gt;"",countif('3) Release_Label'!$D:$D,$A699)=0),"NO UPC MATCH in Release_Label",and($B699&lt;&gt;"",countif('3) Release_Label'!$E:$E,$B699)=0),"NO CATALOG ID MATCH in Release_Label",iserror(vlookup($A699&amp;$B699,'3) Release_Label'!$D:$D&amp;'3) Release_Label'!$E:$E,1,0)),"NO UPC-CATALOG ID pair MATCH in Release_Label" )</f>
        <v/>
      </c>
      <c r="E699" s="92"/>
      <c r="F699" s="92"/>
      <c r="G699" s="125" t="str">
        <f t="array" ref="G699">ifs(or($F699="",$F699="Main Primary Artist"),$F699,not(iserror(vlookup($F699,'Reference info'!$J$5:$J$8,1,0))),"Key Artist",not(iserror(vlookup($F699,'Reference info'!$J$38:$J$405,1,0))),"Performer",not(iserror(vlookup($F699,'Reference info'!$J$10:$J$36,1,0))),"Producer &amp; Engineer")</f>
        <v/>
      </c>
    </row>
    <row r="700">
      <c r="A700" s="28"/>
      <c r="B700" s="97"/>
      <c r="C700" s="121" t="str">
        <f t="array" ref="C700">ifs(and(isblank($A700),isblank($B700)),"", not(iserror(vlookup($A700&amp;$B700,'3) Release_Label'!$D:$D&amp;'3) Release_Label'!$E:$E,1,0))),vlookup($A700&amp;$B700,{'3) Release_Label'!$D:$D&amp;'3) Release_Label'!$E:$E,'3) Release_Label'!$F:$F},2,0), or(and(not(isblank($B700)),$B700=$B699,$A700&lt;&gt;$A699),and(not(isblank($A700)),$A700=$A699,$B700&lt;&gt;$B699)),"ID LISTS UNALIGNED",and($A700&lt;&gt;"",countif('3) Release_Label'!$D:$D,$A700)=0),"NO UPC MATCH in Release_Label",and($B700&lt;&gt;"",countif('3) Release_Label'!$E:$E,$B700)=0),"NO CATALOG ID MATCH in Release_Label",iserror(vlookup($A700&amp;$B700,'3) Release_Label'!$D:$D&amp;'3) Release_Label'!$E:$E,1,0)),"NO UPC-CATALOG ID pair MATCH in Release_Label" )</f>
        <v/>
      </c>
      <c r="D700" s="121" t="str">
        <f t="array" ref="D700">ifs(and(isblank($A700),isblank($B700)),"", not(iserror(vlookup($A700&amp;$B700,'3) Release_Label'!$D:$D&amp;'3) Release_Label'!$E:$E,1,0))),vlookup($A700&amp;$B700,{'3) Release_Label'!$D:$D&amp;'3) Release_Label'!$E:$E,'3) Release_Label'!$H:$H},2,0), or(and(not(isblank($B700)),$B700=$B699,$A700&lt;&gt;$A699),and(not(isblank($A700)),$A700=$A699,$B700&lt;&gt;$B699)),"ID LISTS UNALIGNED",and($A700&lt;&gt;"",countif('3) Release_Label'!$D:$D,$A700)=0),"NO UPC MATCH in Release_Label",and($B700&lt;&gt;"",countif('3) Release_Label'!$E:$E,$B700)=0),"NO CATALOG ID MATCH in Release_Label",iserror(vlookup($A700&amp;$B700,'3) Release_Label'!$D:$D&amp;'3) Release_Label'!$E:$E,1,0)),"NO UPC-CATALOG ID pair MATCH in Release_Label" )</f>
        <v/>
      </c>
      <c r="E700" s="92"/>
      <c r="F700" s="92"/>
      <c r="G700" s="125" t="str">
        <f t="array" ref="G700">ifs(or($F700="",$F700="Main Primary Artist"),$F700,not(iserror(vlookup($F700,'Reference info'!$J$5:$J$8,1,0))),"Key Artist",not(iserror(vlookup($F700,'Reference info'!$J$38:$J$405,1,0))),"Performer",not(iserror(vlookup($F700,'Reference info'!$J$10:$J$36,1,0))),"Producer &amp; Engineer")</f>
        <v/>
      </c>
    </row>
    <row r="701">
      <c r="A701" s="28"/>
      <c r="B701" s="97"/>
      <c r="C701" s="121" t="str">
        <f t="array" ref="C701">ifs(and(isblank($A701),isblank($B701)),"", not(iserror(vlookup($A701&amp;$B701,'3) Release_Label'!$D:$D&amp;'3) Release_Label'!$E:$E,1,0))),vlookup($A701&amp;$B701,{'3) Release_Label'!$D:$D&amp;'3) Release_Label'!$E:$E,'3) Release_Label'!$F:$F},2,0), or(and(not(isblank($B701)),$B701=$B700,$A701&lt;&gt;$A700),and(not(isblank($A701)),$A701=$A700,$B701&lt;&gt;$B700)),"ID LISTS UNALIGNED",and($A701&lt;&gt;"",countif('3) Release_Label'!$D:$D,$A701)=0),"NO UPC MATCH in Release_Label",and($B701&lt;&gt;"",countif('3) Release_Label'!$E:$E,$B701)=0),"NO CATALOG ID MATCH in Release_Label",iserror(vlookup($A701&amp;$B701,'3) Release_Label'!$D:$D&amp;'3) Release_Label'!$E:$E,1,0)),"NO UPC-CATALOG ID pair MATCH in Release_Label" )</f>
        <v/>
      </c>
      <c r="D701" s="121" t="str">
        <f t="array" ref="D701">ifs(and(isblank($A701),isblank($B701)),"", not(iserror(vlookup($A701&amp;$B701,'3) Release_Label'!$D:$D&amp;'3) Release_Label'!$E:$E,1,0))),vlookup($A701&amp;$B701,{'3) Release_Label'!$D:$D&amp;'3) Release_Label'!$E:$E,'3) Release_Label'!$H:$H},2,0), or(and(not(isblank($B701)),$B701=$B700,$A701&lt;&gt;$A700),and(not(isblank($A701)),$A701=$A700,$B701&lt;&gt;$B700)),"ID LISTS UNALIGNED",and($A701&lt;&gt;"",countif('3) Release_Label'!$D:$D,$A701)=0),"NO UPC MATCH in Release_Label",and($B701&lt;&gt;"",countif('3) Release_Label'!$E:$E,$B701)=0),"NO CATALOG ID MATCH in Release_Label",iserror(vlookup($A701&amp;$B701,'3) Release_Label'!$D:$D&amp;'3) Release_Label'!$E:$E,1,0)),"NO UPC-CATALOG ID pair MATCH in Release_Label" )</f>
        <v/>
      </c>
      <c r="E701" s="92"/>
      <c r="F701" s="92"/>
      <c r="G701" s="125" t="str">
        <f t="array" ref="G701">ifs(or($F701="",$F701="Main Primary Artist"),$F701,not(iserror(vlookup($F701,'Reference info'!$J$5:$J$8,1,0))),"Key Artist",not(iserror(vlookup($F701,'Reference info'!$J$38:$J$405,1,0))),"Performer",not(iserror(vlookup($F701,'Reference info'!$J$10:$J$36,1,0))),"Producer &amp; Engineer")</f>
        <v/>
      </c>
    </row>
    <row r="702">
      <c r="A702" s="28"/>
      <c r="B702" s="97"/>
      <c r="C702" s="121" t="str">
        <f t="array" ref="C702">ifs(and(isblank($A702),isblank($B702)),"", not(iserror(vlookup($A702&amp;$B702,'3) Release_Label'!$D:$D&amp;'3) Release_Label'!$E:$E,1,0))),vlookup($A702&amp;$B702,{'3) Release_Label'!$D:$D&amp;'3) Release_Label'!$E:$E,'3) Release_Label'!$F:$F},2,0), or(and(not(isblank($B702)),$B702=$B701,$A702&lt;&gt;$A701),and(not(isblank($A702)),$A702=$A701,$B702&lt;&gt;$B701)),"ID LISTS UNALIGNED",and($A702&lt;&gt;"",countif('3) Release_Label'!$D:$D,$A702)=0),"NO UPC MATCH in Release_Label",and($B702&lt;&gt;"",countif('3) Release_Label'!$E:$E,$B702)=0),"NO CATALOG ID MATCH in Release_Label",iserror(vlookup($A702&amp;$B702,'3) Release_Label'!$D:$D&amp;'3) Release_Label'!$E:$E,1,0)),"NO UPC-CATALOG ID pair MATCH in Release_Label" )</f>
        <v/>
      </c>
      <c r="D702" s="121" t="str">
        <f t="array" ref="D702">ifs(and(isblank($A702),isblank($B702)),"", not(iserror(vlookup($A702&amp;$B702,'3) Release_Label'!$D:$D&amp;'3) Release_Label'!$E:$E,1,0))),vlookup($A702&amp;$B702,{'3) Release_Label'!$D:$D&amp;'3) Release_Label'!$E:$E,'3) Release_Label'!$H:$H},2,0), or(and(not(isblank($B702)),$B702=$B701,$A702&lt;&gt;$A701),and(not(isblank($A702)),$A702=$A701,$B702&lt;&gt;$B701)),"ID LISTS UNALIGNED",and($A702&lt;&gt;"",countif('3) Release_Label'!$D:$D,$A702)=0),"NO UPC MATCH in Release_Label",and($B702&lt;&gt;"",countif('3) Release_Label'!$E:$E,$B702)=0),"NO CATALOG ID MATCH in Release_Label",iserror(vlookup($A702&amp;$B702,'3) Release_Label'!$D:$D&amp;'3) Release_Label'!$E:$E,1,0)),"NO UPC-CATALOG ID pair MATCH in Release_Label" )</f>
        <v/>
      </c>
      <c r="E702" s="92"/>
      <c r="F702" s="92"/>
      <c r="G702" s="125" t="str">
        <f t="array" ref="G702">ifs(or($F702="",$F702="Main Primary Artist"),$F702,not(iserror(vlookup($F702,'Reference info'!$J$5:$J$8,1,0))),"Key Artist",not(iserror(vlookup($F702,'Reference info'!$J$38:$J$405,1,0))),"Performer",not(iserror(vlookup($F702,'Reference info'!$J$10:$J$36,1,0))),"Producer &amp; Engineer")</f>
        <v/>
      </c>
    </row>
    <row r="703">
      <c r="A703" s="28"/>
      <c r="B703" s="97"/>
      <c r="C703" s="121" t="str">
        <f t="array" ref="C703">ifs(and(isblank($A703),isblank($B703)),"", not(iserror(vlookup($A703&amp;$B703,'3) Release_Label'!$D:$D&amp;'3) Release_Label'!$E:$E,1,0))),vlookup($A703&amp;$B703,{'3) Release_Label'!$D:$D&amp;'3) Release_Label'!$E:$E,'3) Release_Label'!$F:$F},2,0), or(and(not(isblank($B703)),$B703=$B702,$A703&lt;&gt;$A702),and(not(isblank($A703)),$A703=$A702,$B703&lt;&gt;$B702)),"ID LISTS UNALIGNED",and($A703&lt;&gt;"",countif('3) Release_Label'!$D:$D,$A703)=0),"NO UPC MATCH in Release_Label",and($B703&lt;&gt;"",countif('3) Release_Label'!$E:$E,$B703)=0),"NO CATALOG ID MATCH in Release_Label",iserror(vlookup($A703&amp;$B703,'3) Release_Label'!$D:$D&amp;'3) Release_Label'!$E:$E,1,0)),"NO UPC-CATALOG ID pair MATCH in Release_Label" )</f>
        <v/>
      </c>
      <c r="D703" s="121" t="str">
        <f t="array" ref="D703">ifs(and(isblank($A703),isblank($B703)),"", not(iserror(vlookup($A703&amp;$B703,'3) Release_Label'!$D:$D&amp;'3) Release_Label'!$E:$E,1,0))),vlookup($A703&amp;$B703,{'3) Release_Label'!$D:$D&amp;'3) Release_Label'!$E:$E,'3) Release_Label'!$H:$H},2,0), or(and(not(isblank($B703)),$B703=$B702,$A703&lt;&gt;$A702),and(not(isblank($A703)),$A703=$A702,$B703&lt;&gt;$B702)),"ID LISTS UNALIGNED",and($A703&lt;&gt;"",countif('3) Release_Label'!$D:$D,$A703)=0),"NO UPC MATCH in Release_Label",and($B703&lt;&gt;"",countif('3) Release_Label'!$E:$E,$B703)=0),"NO CATALOG ID MATCH in Release_Label",iserror(vlookup($A703&amp;$B703,'3) Release_Label'!$D:$D&amp;'3) Release_Label'!$E:$E,1,0)),"NO UPC-CATALOG ID pair MATCH in Release_Label" )</f>
        <v/>
      </c>
      <c r="E703" s="92"/>
      <c r="F703" s="92"/>
      <c r="G703" s="125" t="str">
        <f t="array" ref="G703">ifs(or($F703="",$F703="Main Primary Artist"),$F703,not(iserror(vlookup($F703,'Reference info'!$J$5:$J$8,1,0))),"Key Artist",not(iserror(vlookup($F703,'Reference info'!$J$38:$J$405,1,0))),"Performer",not(iserror(vlookup($F703,'Reference info'!$J$10:$J$36,1,0))),"Producer &amp; Engineer")</f>
        <v/>
      </c>
    </row>
    <row r="704">
      <c r="A704" s="28"/>
      <c r="B704" s="97"/>
      <c r="C704" s="121" t="str">
        <f t="array" ref="C704">ifs(and(isblank($A704),isblank($B704)),"", not(iserror(vlookup($A704&amp;$B704,'3) Release_Label'!$D:$D&amp;'3) Release_Label'!$E:$E,1,0))),vlookup($A704&amp;$B704,{'3) Release_Label'!$D:$D&amp;'3) Release_Label'!$E:$E,'3) Release_Label'!$F:$F},2,0), or(and(not(isblank($B704)),$B704=$B703,$A704&lt;&gt;$A703),and(not(isblank($A704)),$A704=$A703,$B704&lt;&gt;$B703)),"ID LISTS UNALIGNED",and($A704&lt;&gt;"",countif('3) Release_Label'!$D:$D,$A704)=0),"NO UPC MATCH in Release_Label",and($B704&lt;&gt;"",countif('3) Release_Label'!$E:$E,$B704)=0),"NO CATALOG ID MATCH in Release_Label",iserror(vlookup($A704&amp;$B704,'3) Release_Label'!$D:$D&amp;'3) Release_Label'!$E:$E,1,0)),"NO UPC-CATALOG ID pair MATCH in Release_Label" )</f>
        <v/>
      </c>
      <c r="D704" s="121" t="str">
        <f t="array" ref="D704">ifs(and(isblank($A704),isblank($B704)),"", not(iserror(vlookup($A704&amp;$B704,'3) Release_Label'!$D:$D&amp;'3) Release_Label'!$E:$E,1,0))),vlookup($A704&amp;$B704,{'3) Release_Label'!$D:$D&amp;'3) Release_Label'!$E:$E,'3) Release_Label'!$H:$H},2,0), or(and(not(isblank($B704)),$B704=$B703,$A704&lt;&gt;$A703),and(not(isblank($A704)),$A704=$A703,$B704&lt;&gt;$B703)),"ID LISTS UNALIGNED",and($A704&lt;&gt;"",countif('3) Release_Label'!$D:$D,$A704)=0),"NO UPC MATCH in Release_Label",and($B704&lt;&gt;"",countif('3) Release_Label'!$E:$E,$B704)=0),"NO CATALOG ID MATCH in Release_Label",iserror(vlookup($A704&amp;$B704,'3) Release_Label'!$D:$D&amp;'3) Release_Label'!$E:$E,1,0)),"NO UPC-CATALOG ID pair MATCH in Release_Label" )</f>
        <v/>
      </c>
      <c r="E704" s="92"/>
      <c r="F704" s="92"/>
      <c r="G704" s="125" t="str">
        <f t="array" ref="G704">ifs(or($F704="",$F704="Main Primary Artist"),$F704,not(iserror(vlookup($F704,'Reference info'!$J$5:$J$8,1,0))),"Key Artist",not(iserror(vlookup($F704,'Reference info'!$J$38:$J$405,1,0))),"Performer",not(iserror(vlookup($F704,'Reference info'!$J$10:$J$36,1,0))),"Producer &amp; Engineer")</f>
        <v/>
      </c>
    </row>
    <row r="705">
      <c r="A705" s="28"/>
      <c r="B705" s="97"/>
      <c r="C705" s="121" t="str">
        <f t="array" ref="C705">ifs(and(isblank($A705),isblank($B705)),"", not(iserror(vlookup($A705&amp;$B705,'3) Release_Label'!$D:$D&amp;'3) Release_Label'!$E:$E,1,0))),vlookup($A705&amp;$B705,{'3) Release_Label'!$D:$D&amp;'3) Release_Label'!$E:$E,'3) Release_Label'!$F:$F},2,0), or(and(not(isblank($B705)),$B705=$B704,$A705&lt;&gt;$A704),and(not(isblank($A705)),$A705=$A704,$B705&lt;&gt;$B704)),"ID LISTS UNALIGNED",and($A705&lt;&gt;"",countif('3) Release_Label'!$D:$D,$A705)=0),"NO UPC MATCH in Release_Label",and($B705&lt;&gt;"",countif('3) Release_Label'!$E:$E,$B705)=0),"NO CATALOG ID MATCH in Release_Label",iserror(vlookup($A705&amp;$B705,'3) Release_Label'!$D:$D&amp;'3) Release_Label'!$E:$E,1,0)),"NO UPC-CATALOG ID pair MATCH in Release_Label" )</f>
        <v/>
      </c>
      <c r="D705" s="121" t="str">
        <f t="array" ref="D705">ifs(and(isblank($A705),isblank($B705)),"", not(iserror(vlookup($A705&amp;$B705,'3) Release_Label'!$D:$D&amp;'3) Release_Label'!$E:$E,1,0))),vlookup($A705&amp;$B705,{'3) Release_Label'!$D:$D&amp;'3) Release_Label'!$E:$E,'3) Release_Label'!$H:$H},2,0), or(and(not(isblank($B705)),$B705=$B704,$A705&lt;&gt;$A704),and(not(isblank($A705)),$A705=$A704,$B705&lt;&gt;$B704)),"ID LISTS UNALIGNED",and($A705&lt;&gt;"",countif('3) Release_Label'!$D:$D,$A705)=0),"NO UPC MATCH in Release_Label",and($B705&lt;&gt;"",countif('3) Release_Label'!$E:$E,$B705)=0),"NO CATALOG ID MATCH in Release_Label",iserror(vlookup($A705&amp;$B705,'3) Release_Label'!$D:$D&amp;'3) Release_Label'!$E:$E,1,0)),"NO UPC-CATALOG ID pair MATCH in Release_Label" )</f>
        <v/>
      </c>
      <c r="E705" s="92"/>
      <c r="F705" s="92"/>
      <c r="G705" s="125" t="str">
        <f t="array" ref="G705">ifs(or($F705="",$F705="Main Primary Artist"),$F705,not(iserror(vlookup($F705,'Reference info'!$J$5:$J$8,1,0))),"Key Artist",not(iserror(vlookup($F705,'Reference info'!$J$38:$J$405,1,0))),"Performer",not(iserror(vlookup($F705,'Reference info'!$J$10:$J$36,1,0))),"Producer &amp; Engineer")</f>
        <v/>
      </c>
    </row>
    <row r="706">
      <c r="A706" s="28"/>
      <c r="B706" s="97"/>
      <c r="C706" s="121" t="str">
        <f t="array" ref="C706">ifs(and(isblank($A706),isblank($B706)),"", not(iserror(vlookup($A706&amp;$B706,'3) Release_Label'!$D:$D&amp;'3) Release_Label'!$E:$E,1,0))),vlookup($A706&amp;$B706,{'3) Release_Label'!$D:$D&amp;'3) Release_Label'!$E:$E,'3) Release_Label'!$F:$F},2,0), or(and(not(isblank($B706)),$B706=$B705,$A706&lt;&gt;$A705),and(not(isblank($A706)),$A706=$A705,$B706&lt;&gt;$B705)),"ID LISTS UNALIGNED",and($A706&lt;&gt;"",countif('3) Release_Label'!$D:$D,$A706)=0),"NO UPC MATCH in Release_Label",and($B706&lt;&gt;"",countif('3) Release_Label'!$E:$E,$B706)=0),"NO CATALOG ID MATCH in Release_Label",iserror(vlookup($A706&amp;$B706,'3) Release_Label'!$D:$D&amp;'3) Release_Label'!$E:$E,1,0)),"NO UPC-CATALOG ID pair MATCH in Release_Label" )</f>
        <v/>
      </c>
      <c r="D706" s="121" t="str">
        <f t="array" ref="D706">ifs(and(isblank($A706),isblank($B706)),"", not(iserror(vlookup($A706&amp;$B706,'3) Release_Label'!$D:$D&amp;'3) Release_Label'!$E:$E,1,0))),vlookup($A706&amp;$B706,{'3) Release_Label'!$D:$D&amp;'3) Release_Label'!$E:$E,'3) Release_Label'!$H:$H},2,0), or(and(not(isblank($B706)),$B706=$B705,$A706&lt;&gt;$A705),and(not(isblank($A706)),$A706=$A705,$B706&lt;&gt;$B705)),"ID LISTS UNALIGNED",and($A706&lt;&gt;"",countif('3) Release_Label'!$D:$D,$A706)=0),"NO UPC MATCH in Release_Label",and($B706&lt;&gt;"",countif('3) Release_Label'!$E:$E,$B706)=0),"NO CATALOG ID MATCH in Release_Label",iserror(vlookup($A706&amp;$B706,'3) Release_Label'!$D:$D&amp;'3) Release_Label'!$E:$E,1,0)),"NO UPC-CATALOG ID pair MATCH in Release_Label" )</f>
        <v/>
      </c>
      <c r="E706" s="92"/>
      <c r="F706" s="92"/>
      <c r="G706" s="125" t="str">
        <f t="array" ref="G706">ifs(or($F706="",$F706="Main Primary Artist"),$F706,not(iserror(vlookup($F706,'Reference info'!$J$5:$J$8,1,0))),"Key Artist",not(iserror(vlookup($F706,'Reference info'!$J$38:$J$405,1,0))),"Performer",not(iserror(vlookup($F706,'Reference info'!$J$10:$J$36,1,0))),"Producer &amp; Engineer")</f>
        <v/>
      </c>
    </row>
    <row r="707">
      <c r="A707" s="28"/>
      <c r="B707" s="97"/>
      <c r="C707" s="121" t="str">
        <f t="array" ref="C707">ifs(and(isblank($A707),isblank($B707)),"", not(iserror(vlookup($A707&amp;$B707,'3) Release_Label'!$D:$D&amp;'3) Release_Label'!$E:$E,1,0))),vlookup($A707&amp;$B707,{'3) Release_Label'!$D:$D&amp;'3) Release_Label'!$E:$E,'3) Release_Label'!$F:$F},2,0), or(and(not(isblank($B707)),$B707=$B706,$A707&lt;&gt;$A706),and(not(isblank($A707)),$A707=$A706,$B707&lt;&gt;$B706)),"ID LISTS UNALIGNED",and($A707&lt;&gt;"",countif('3) Release_Label'!$D:$D,$A707)=0),"NO UPC MATCH in Release_Label",and($B707&lt;&gt;"",countif('3) Release_Label'!$E:$E,$B707)=0),"NO CATALOG ID MATCH in Release_Label",iserror(vlookup($A707&amp;$B707,'3) Release_Label'!$D:$D&amp;'3) Release_Label'!$E:$E,1,0)),"NO UPC-CATALOG ID pair MATCH in Release_Label" )</f>
        <v/>
      </c>
      <c r="D707" s="121" t="str">
        <f t="array" ref="D707">ifs(and(isblank($A707),isblank($B707)),"", not(iserror(vlookup($A707&amp;$B707,'3) Release_Label'!$D:$D&amp;'3) Release_Label'!$E:$E,1,0))),vlookup($A707&amp;$B707,{'3) Release_Label'!$D:$D&amp;'3) Release_Label'!$E:$E,'3) Release_Label'!$H:$H},2,0), or(and(not(isblank($B707)),$B707=$B706,$A707&lt;&gt;$A706),and(not(isblank($A707)),$A707=$A706,$B707&lt;&gt;$B706)),"ID LISTS UNALIGNED",and($A707&lt;&gt;"",countif('3) Release_Label'!$D:$D,$A707)=0),"NO UPC MATCH in Release_Label",and($B707&lt;&gt;"",countif('3) Release_Label'!$E:$E,$B707)=0),"NO CATALOG ID MATCH in Release_Label",iserror(vlookup($A707&amp;$B707,'3) Release_Label'!$D:$D&amp;'3) Release_Label'!$E:$E,1,0)),"NO UPC-CATALOG ID pair MATCH in Release_Label" )</f>
        <v/>
      </c>
      <c r="E707" s="92"/>
      <c r="F707" s="92"/>
      <c r="G707" s="125" t="str">
        <f t="array" ref="G707">ifs(or($F707="",$F707="Main Primary Artist"),$F707,not(iserror(vlookup($F707,'Reference info'!$J$5:$J$8,1,0))),"Key Artist",not(iserror(vlookup($F707,'Reference info'!$J$38:$J$405,1,0))),"Performer",not(iserror(vlookup($F707,'Reference info'!$J$10:$J$36,1,0))),"Producer &amp; Engineer")</f>
        <v/>
      </c>
    </row>
    <row r="708">
      <c r="A708" s="28"/>
      <c r="B708" s="97"/>
      <c r="C708" s="121" t="str">
        <f t="array" ref="C708">ifs(and(isblank($A708),isblank($B708)),"", not(iserror(vlookup($A708&amp;$B708,'3) Release_Label'!$D:$D&amp;'3) Release_Label'!$E:$E,1,0))),vlookup($A708&amp;$B708,{'3) Release_Label'!$D:$D&amp;'3) Release_Label'!$E:$E,'3) Release_Label'!$F:$F},2,0), or(and(not(isblank($B708)),$B708=$B707,$A708&lt;&gt;$A707),and(not(isblank($A708)),$A708=$A707,$B708&lt;&gt;$B707)),"ID LISTS UNALIGNED",and($A708&lt;&gt;"",countif('3) Release_Label'!$D:$D,$A708)=0),"NO UPC MATCH in Release_Label",and($B708&lt;&gt;"",countif('3) Release_Label'!$E:$E,$B708)=0),"NO CATALOG ID MATCH in Release_Label",iserror(vlookup($A708&amp;$B708,'3) Release_Label'!$D:$D&amp;'3) Release_Label'!$E:$E,1,0)),"NO UPC-CATALOG ID pair MATCH in Release_Label" )</f>
        <v/>
      </c>
      <c r="D708" s="121" t="str">
        <f t="array" ref="D708">ifs(and(isblank($A708),isblank($B708)),"", not(iserror(vlookup($A708&amp;$B708,'3) Release_Label'!$D:$D&amp;'3) Release_Label'!$E:$E,1,0))),vlookup($A708&amp;$B708,{'3) Release_Label'!$D:$D&amp;'3) Release_Label'!$E:$E,'3) Release_Label'!$H:$H},2,0), or(and(not(isblank($B708)),$B708=$B707,$A708&lt;&gt;$A707),and(not(isblank($A708)),$A708=$A707,$B708&lt;&gt;$B707)),"ID LISTS UNALIGNED",and($A708&lt;&gt;"",countif('3) Release_Label'!$D:$D,$A708)=0),"NO UPC MATCH in Release_Label",and($B708&lt;&gt;"",countif('3) Release_Label'!$E:$E,$B708)=0),"NO CATALOG ID MATCH in Release_Label",iserror(vlookup($A708&amp;$B708,'3) Release_Label'!$D:$D&amp;'3) Release_Label'!$E:$E,1,0)),"NO UPC-CATALOG ID pair MATCH in Release_Label" )</f>
        <v/>
      </c>
      <c r="E708" s="92"/>
      <c r="F708" s="92"/>
      <c r="G708" s="125" t="str">
        <f t="array" ref="G708">ifs(or($F708="",$F708="Main Primary Artist"),$F708,not(iserror(vlookup($F708,'Reference info'!$J$5:$J$8,1,0))),"Key Artist",not(iserror(vlookup($F708,'Reference info'!$J$38:$J$405,1,0))),"Performer",not(iserror(vlookup($F708,'Reference info'!$J$10:$J$36,1,0))),"Producer &amp; Engineer")</f>
        <v/>
      </c>
    </row>
    <row r="709">
      <c r="A709" s="28"/>
      <c r="B709" s="97"/>
      <c r="C709" s="121" t="str">
        <f t="array" ref="C709">ifs(and(isblank($A709),isblank($B709)),"", not(iserror(vlookup($A709&amp;$B709,'3) Release_Label'!$D:$D&amp;'3) Release_Label'!$E:$E,1,0))),vlookup($A709&amp;$B709,{'3) Release_Label'!$D:$D&amp;'3) Release_Label'!$E:$E,'3) Release_Label'!$F:$F},2,0), or(and(not(isblank($B709)),$B709=$B708,$A709&lt;&gt;$A708),and(not(isblank($A709)),$A709=$A708,$B709&lt;&gt;$B708)),"ID LISTS UNALIGNED",and($A709&lt;&gt;"",countif('3) Release_Label'!$D:$D,$A709)=0),"NO UPC MATCH in Release_Label",and($B709&lt;&gt;"",countif('3) Release_Label'!$E:$E,$B709)=0),"NO CATALOG ID MATCH in Release_Label",iserror(vlookup($A709&amp;$B709,'3) Release_Label'!$D:$D&amp;'3) Release_Label'!$E:$E,1,0)),"NO UPC-CATALOG ID pair MATCH in Release_Label" )</f>
        <v/>
      </c>
      <c r="D709" s="121" t="str">
        <f t="array" ref="D709">ifs(and(isblank($A709),isblank($B709)),"", not(iserror(vlookup($A709&amp;$B709,'3) Release_Label'!$D:$D&amp;'3) Release_Label'!$E:$E,1,0))),vlookup($A709&amp;$B709,{'3) Release_Label'!$D:$D&amp;'3) Release_Label'!$E:$E,'3) Release_Label'!$H:$H},2,0), or(and(not(isblank($B709)),$B709=$B708,$A709&lt;&gt;$A708),and(not(isblank($A709)),$A709=$A708,$B709&lt;&gt;$B708)),"ID LISTS UNALIGNED",and($A709&lt;&gt;"",countif('3) Release_Label'!$D:$D,$A709)=0),"NO UPC MATCH in Release_Label",and($B709&lt;&gt;"",countif('3) Release_Label'!$E:$E,$B709)=0),"NO CATALOG ID MATCH in Release_Label",iserror(vlookup($A709&amp;$B709,'3) Release_Label'!$D:$D&amp;'3) Release_Label'!$E:$E,1,0)),"NO UPC-CATALOG ID pair MATCH in Release_Label" )</f>
        <v/>
      </c>
      <c r="E709" s="92"/>
      <c r="F709" s="92"/>
      <c r="G709" s="125" t="str">
        <f t="array" ref="G709">ifs(or($F709="",$F709="Main Primary Artist"),$F709,not(iserror(vlookup($F709,'Reference info'!$J$5:$J$8,1,0))),"Key Artist",not(iserror(vlookup($F709,'Reference info'!$J$38:$J$405,1,0))),"Performer",not(iserror(vlookup($F709,'Reference info'!$J$10:$J$36,1,0))),"Producer &amp; Engineer")</f>
        <v/>
      </c>
    </row>
    <row r="710">
      <c r="A710" s="28"/>
      <c r="B710" s="97"/>
      <c r="C710" s="121" t="str">
        <f t="array" ref="C710">ifs(and(isblank($A710),isblank($B710)),"", not(iserror(vlookup($A710&amp;$B710,'3) Release_Label'!$D:$D&amp;'3) Release_Label'!$E:$E,1,0))),vlookup($A710&amp;$B710,{'3) Release_Label'!$D:$D&amp;'3) Release_Label'!$E:$E,'3) Release_Label'!$F:$F},2,0), or(and(not(isblank($B710)),$B710=$B709,$A710&lt;&gt;$A709),and(not(isblank($A710)),$A710=$A709,$B710&lt;&gt;$B709)),"ID LISTS UNALIGNED",and($A710&lt;&gt;"",countif('3) Release_Label'!$D:$D,$A710)=0),"NO UPC MATCH in Release_Label",and($B710&lt;&gt;"",countif('3) Release_Label'!$E:$E,$B710)=0),"NO CATALOG ID MATCH in Release_Label",iserror(vlookup($A710&amp;$B710,'3) Release_Label'!$D:$D&amp;'3) Release_Label'!$E:$E,1,0)),"NO UPC-CATALOG ID pair MATCH in Release_Label" )</f>
        <v/>
      </c>
      <c r="D710" s="121" t="str">
        <f t="array" ref="D710">ifs(and(isblank($A710),isblank($B710)),"", not(iserror(vlookup($A710&amp;$B710,'3) Release_Label'!$D:$D&amp;'3) Release_Label'!$E:$E,1,0))),vlookup($A710&amp;$B710,{'3) Release_Label'!$D:$D&amp;'3) Release_Label'!$E:$E,'3) Release_Label'!$H:$H},2,0), or(and(not(isblank($B710)),$B710=$B709,$A710&lt;&gt;$A709),and(not(isblank($A710)),$A710=$A709,$B710&lt;&gt;$B709)),"ID LISTS UNALIGNED",and($A710&lt;&gt;"",countif('3) Release_Label'!$D:$D,$A710)=0),"NO UPC MATCH in Release_Label",and($B710&lt;&gt;"",countif('3) Release_Label'!$E:$E,$B710)=0),"NO CATALOG ID MATCH in Release_Label",iserror(vlookup($A710&amp;$B710,'3) Release_Label'!$D:$D&amp;'3) Release_Label'!$E:$E,1,0)),"NO UPC-CATALOG ID pair MATCH in Release_Label" )</f>
        <v/>
      </c>
      <c r="E710" s="92"/>
      <c r="F710" s="92"/>
      <c r="G710" s="125" t="str">
        <f t="array" ref="G710">ifs(or($F710="",$F710="Main Primary Artist"),$F710,not(iserror(vlookup($F710,'Reference info'!$J$5:$J$8,1,0))),"Key Artist",not(iserror(vlookup($F710,'Reference info'!$J$38:$J$405,1,0))),"Performer",not(iserror(vlookup($F710,'Reference info'!$J$10:$J$36,1,0))),"Producer &amp; Engineer")</f>
        <v/>
      </c>
    </row>
    <row r="711">
      <c r="A711" s="28"/>
      <c r="B711" s="97"/>
      <c r="C711" s="121" t="str">
        <f t="array" ref="C711">ifs(and(isblank($A711),isblank($B711)),"", not(iserror(vlookup($A711&amp;$B711,'3) Release_Label'!$D:$D&amp;'3) Release_Label'!$E:$E,1,0))),vlookup($A711&amp;$B711,{'3) Release_Label'!$D:$D&amp;'3) Release_Label'!$E:$E,'3) Release_Label'!$F:$F},2,0), or(and(not(isblank($B711)),$B711=$B710,$A711&lt;&gt;$A710),and(not(isblank($A711)),$A711=$A710,$B711&lt;&gt;$B710)),"ID LISTS UNALIGNED",and($A711&lt;&gt;"",countif('3) Release_Label'!$D:$D,$A711)=0),"NO UPC MATCH in Release_Label",and($B711&lt;&gt;"",countif('3) Release_Label'!$E:$E,$B711)=0),"NO CATALOG ID MATCH in Release_Label",iserror(vlookup($A711&amp;$B711,'3) Release_Label'!$D:$D&amp;'3) Release_Label'!$E:$E,1,0)),"NO UPC-CATALOG ID pair MATCH in Release_Label" )</f>
        <v/>
      </c>
      <c r="D711" s="121" t="str">
        <f t="array" ref="D711">ifs(and(isblank($A711),isblank($B711)),"", not(iserror(vlookup($A711&amp;$B711,'3) Release_Label'!$D:$D&amp;'3) Release_Label'!$E:$E,1,0))),vlookup($A711&amp;$B711,{'3) Release_Label'!$D:$D&amp;'3) Release_Label'!$E:$E,'3) Release_Label'!$H:$H},2,0), or(and(not(isblank($B711)),$B711=$B710,$A711&lt;&gt;$A710),and(not(isblank($A711)),$A711=$A710,$B711&lt;&gt;$B710)),"ID LISTS UNALIGNED",and($A711&lt;&gt;"",countif('3) Release_Label'!$D:$D,$A711)=0),"NO UPC MATCH in Release_Label",and($B711&lt;&gt;"",countif('3) Release_Label'!$E:$E,$B711)=0),"NO CATALOG ID MATCH in Release_Label",iserror(vlookup($A711&amp;$B711,'3) Release_Label'!$D:$D&amp;'3) Release_Label'!$E:$E,1,0)),"NO UPC-CATALOG ID pair MATCH in Release_Label" )</f>
        <v/>
      </c>
      <c r="E711" s="92"/>
      <c r="F711" s="92"/>
      <c r="G711" s="125" t="str">
        <f t="array" ref="G711">ifs(or($F711="",$F711="Main Primary Artist"),$F711,not(iserror(vlookup($F711,'Reference info'!$J$5:$J$8,1,0))),"Key Artist",not(iserror(vlookup($F711,'Reference info'!$J$38:$J$405,1,0))),"Performer",not(iserror(vlookup($F711,'Reference info'!$J$10:$J$36,1,0))),"Producer &amp; Engineer")</f>
        <v/>
      </c>
    </row>
    <row r="712">
      <c r="A712" s="28"/>
      <c r="B712" s="97"/>
      <c r="C712" s="121" t="str">
        <f t="array" ref="C712">ifs(and(isblank($A712),isblank($B712)),"", not(iserror(vlookup($A712&amp;$B712,'3) Release_Label'!$D:$D&amp;'3) Release_Label'!$E:$E,1,0))),vlookup($A712&amp;$B712,{'3) Release_Label'!$D:$D&amp;'3) Release_Label'!$E:$E,'3) Release_Label'!$F:$F},2,0), or(and(not(isblank($B712)),$B712=$B711,$A712&lt;&gt;$A711),and(not(isblank($A712)),$A712=$A711,$B712&lt;&gt;$B711)),"ID LISTS UNALIGNED",and($A712&lt;&gt;"",countif('3) Release_Label'!$D:$D,$A712)=0),"NO UPC MATCH in Release_Label",and($B712&lt;&gt;"",countif('3) Release_Label'!$E:$E,$B712)=0),"NO CATALOG ID MATCH in Release_Label",iserror(vlookup($A712&amp;$B712,'3) Release_Label'!$D:$D&amp;'3) Release_Label'!$E:$E,1,0)),"NO UPC-CATALOG ID pair MATCH in Release_Label" )</f>
        <v/>
      </c>
      <c r="D712" s="121" t="str">
        <f t="array" ref="D712">ifs(and(isblank($A712),isblank($B712)),"", not(iserror(vlookup($A712&amp;$B712,'3) Release_Label'!$D:$D&amp;'3) Release_Label'!$E:$E,1,0))),vlookup($A712&amp;$B712,{'3) Release_Label'!$D:$D&amp;'3) Release_Label'!$E:$E,'3) Release_Label'!$H:$H},2,0), or(and(not(isblank($B712)),$B712=$B711,$A712&lt;&gt;$A711),and(not(isblank($A712)),$A712=$A711,$B712&lt;&gt;$B711)),"ID LISTS UNALIGNED",and($A712&lt;&gt;"",countif('3) Release_Label'!$D:$D,$A712)=0),"NO UPC MATCH in Release_Label",and($B712&lt;&gt;"",countif('3) Release_Label'!$E:$E,$B712)=0),"NO CATALOG ID MATCH in Release_Label",iserror(vlookup($A712&amp;$B712,'3) Release_Label'!$D:$D&amp;'3) Release_Label'!$E:$E,1,0)),"NO UPC-CATALOG ID pair MATCH in Release_Label" )</f>
        <v/>
      </c>
      <c r="E712" s="92"/>
      <c r="F712" s="92"/>
      <c r="G712" s="125" t="str">
        <f t="array" ref="G712">ifs(or($F712="",$F712="Main Primary Artist"),$F712,not(iserror(vlookup($F712,'Reference info'!$J$5:$J$8,1,0))),"Key Artist",not(iserror(vlookup($F712,'Reference info'!$J$38:$J$405,1,0))),"Performer",not(iserror(vlookup($F712,'Reference info'!$J$10:$J$36,1,0))),"Producer &amp; Engineer")</f>
        <v/>
      </c>
    </row>
    <row r="713">
      <c r="A713" s="28"/>
      <c r="B713" s="97"/>
      <c r="C713" s="121" t="str">
        <f t="array" ref="C713">ifs(and(isblank($A713),isblank($B713)),"", not(iserror(vlookup($A713&amp;$B713,'3) Release_Label'!$D:$D&amp;'3) Release_Label'!$E:$E,1,0))),vlookup($A713&amp;$B713,{'3) Release_Label'!$D:$D&amp;'3) Release_Label'!$E:$E,'3) Release_Label'!$F:$F},2,0), or(and(not(isblank($B713)),$B713=$B712,$A713&lt;&gt;$A712),and(not(isblank($A713)),$A713=$A712,$B713&lt;&gt;$B712)),"ID LISTS UNALIGNED",and($A713&lt;&gt;"",countif('3) Release_Label'!$D:$D,$A713)=0),"NO UPC MATCH in Release_Label",and($B713&lt;&gt;"",countif('3) Release_Label'!$E:$E,$B713)=0),"NO CATALOG ID MATCH in Release_Label",iserror(vlookup($A713&amp;$B713,'3) Release_Label'!$D:$D&amp;'3) Release_Label'!$E:$E,1,0)),"NO UPC-CATALOG ID pair MATCH in Release_Label" )</f>
        <v/>
      </c>
      <c r="D713" s="121" t="str">
        <f t="array" ref="D713">ifs(and(isblank($A713),isblank($B713)),"", not(iserror(vlookup($A713&amp;$B713,'3) Release_Label'!$D:$D&amp;'3) Release_Label'!$E:$E,1,0))),vlookup($A713&amp;$B713,{'3) Release_Label'!$D:$D&amp;'3) Release_Label'!$E:$E,'3) Release_Label'!$H:$H},2,0), or(and(not(isblank($B713)),$B713=$B712,$A713&lt;&gt;$A712),and(not(isblank($A713)),$A713=$A712,$B713&lt;&gt;$B712)),"ID LISTS UNALIGNED",and($A713&lt;&gt;"",countif('3) Release_Label'!$D:$D,$A713)=0),"NO UPC MATCH in Release_Label",and($B713&lt;&gt;"",countif('3) Release_Label'!$E:$E,$B713)=0),"NO CATALOG ID MATCH in Release_Label",iserror(vlookup($A713&amp;$B713,'3) Release_Label'!$D:$D&amp;'3) Release_Label'!$E:$E,1,0)),"NO UPC-CATALOG ID pair MATCH in Release_Label" )</f>
        <v/>
      </c>
      <c r="E713" s="92"/>
      <c r="F713" s="92"/>
      <c r="G713" s="125" t="str">
        <f t="array" ref="G713">ifs(or($F713="",$F713="Main Primary Artist"),$F713,not(iserror(vlookup($F713,'Reference info'!$J$5:$J$8,1,0))),"Key Artist",not(iserror(vlookup($F713,'Reference info'!$J$38:$J$405,1,0))),"Performer",not(iserror(vlookup($F713,'Reference info'!$J$10:$J$36,1,0))),"Producer &amp; Engineer")</f>
        <v/>
      </c>
    </row>
    <row r="714">
      <c r="A714" s="28"/>
      <c r="B714" s="97"/>
      <c r="C714" s="121" t="str">
        <f t="array" ref="C714">ifs(and(isblank($A714),isblank($B714)),"", not(iserror(vlookup($A714&amp;$B714,'3) Release_Label'!$D:$D&amp;'3) Release_Label'!$E:$E,1,0))),vlookup($A714&amp;$B714,{'3) Release_Label'!$D:$D&amp;'3) Release_Label'!$E:$E,'3) Release_Label'!$F:$F},2,0), or(and(not(isblank($B714)),$B714=$B713,$A714&lt;&gt;$A713),and(not(isblank($A714)),$A714=$A713,$B714&lt;&gt;$B713)),"ID LISTS UNALIGNED",and($A714&lt;&gt;"",countif('3) Release_Label'!$D:$D,$A714)=0),"NO UPC MATCH in Release_Label",and($B714&lt;&gt;"",countif('3) Release_Label'!$E:$E,$B714)=0),"NO CATALOG ID MATCH in Release_Label",iserror(vlookup($A714&amp;$B714,'3) Release_Label'!$D:$D&amp;'3) Release_Label'!$E:$E,1,0)),"NO UPC-CATALOG ID pair MATCH in Release_Label" )</f>
        <v/>
      </c>
      <c r="D714" s="121" t="str">
        <f t="array" ref="D714">ifs(and(isblank($A714),isblank($B714)),"", not(iserror(vlookup($A714&amp;$B714,'3) Release_Label'!$D:$D&amp;'3) Release_Label'!$E:$E,1,0))),vlookup($A714&amp;$B714,{'3) Release_Label'!$D:$D&amp;'3) Release_Label'!$E:$E,'3) Release_Label'!$H:$H},2,0), or(and(not(isblank($B714)),$B714=$B713,$A714&lt;&gt;$A713),and(not(isblank($A714)),$A714=$A713,$B714&lt;&gt;$B713)),"ID LISTS UNALIGNED",and($A714&lt;&gt;"",countif('3) Release_Label'!$D:$D,$A714)=0),"NO UPC MATCH in Release_Label",and($B714&lt;&gt;"",countif('3) Release_Label'!$E:$E,$B714)=0),"NO CATALOG ID MATCH in Release_Label",iserror(vlookup($A714&amp;$B714,'3) Release_Label'!$D:$D&amp;'3) Release_Label'!$E:$E,1,0)),"NO UPC-CATALOG ID pair MATCH in Release_Label" )</f>
        <v/>
      </c>
      <c r="E714" s="92"/>
      <c r="F714" s="92"/>
      <c r="G714" s="125" t="str">
        <f t="array" ref="G714">ifs(or($F714="",$F714="Main Primary Artist"),$F714,not(iserror(vlookup($F714,'Reference info'!$J$5:$J$8,1,0))),"Key Artist",not(iserror(vlookup($F714,'Reference info'!$J$38:$J$405,1,0))),"Performer",not(iserror(vlookup($F714,'Reference info'!$J$10:$J$36,1,0))),"Producer &amp; Engineer")</f>
        <v/>
      </c>
    </row>
    <row r="715">
      <c r="A715" s="28"/>
      <c r="B715" s="97"/>
      <c r="C715" s="121" t="str">
        <f t="array" ref="C715">ifs(and(isblank($A715),isblank($B715)),"", not(iserror(vlookup($A715&amp;$B715,'3) Release_Label'!$D:$D&amp;'3) Release_Label'!$E:$E,1,0))),vlookup($A715&amp;$B715,{'3) Release_Label'!$D:$D&amp;'3) Release_Label'!$E:$E,'3) Release_Label'!$F:$F},2,0), or(and(not(isblank($B715)),$B715=$B714,$A715&lt;&gt;$A714),and(not(isblank($A715)),$A715=$A714,$B715&lt;&gt;$B714)),"ID LISTS UNALIGNED",and($A715&lt;&gt;"",countif('3) Release_Label'!$D:$D,$A715)=0),"NO UPC MATCH in Release_Label",and($B715&lt;&gt;"",countif('3) Release_Label'!$E:$E,$B715)=0),"NO CATALOG ID MATCH in Release_Label",iserror(vlookup($A715&amp;$B715,'3) Release_Label'!$D:$D&amp;'3) Release_Label'!$E:$E,1,0)),"NO UPC-CATALOG ID pair MATCH in Release_Label" )</f>
        <v/>
      </c>
      <c r="D715" s="121" t="str">
        <f t="array" ref="D715">ifs(and(isblank($A715),isblank($B715)),"", not(iserror(vlookup($A715&amp;$B715,'3) Release_Label'!$D:$D&amp;'3) Release_Label'!$E:$E,1,0))),vlookup($A715&amp;$B715,{'3) Release_Label'!$D:$D&amp;'3) Release_Label'!$E:$E,'3) Release_Label'!$H:$H},2,0), or(and(not(isblank($B715)),$B715=$B714,$A715&lt;&gt;$A714),and(not(isblank($A715)),$A715=$A714,$B715&lt;&gt;$B714)),"ID LISTS UNALIGNED",and($A715&lt;&gt;"",countif('3) Release_Label'!$D:$D,$A715)=0),"NO UPC MATCH in Release_Label",and($B715&lt;&gt;"",countif('3) Release_Label'!$E:$E,$B715)=0),"NO CATALOG ID MATCH in Release_Label",iserror(vlookup($A715&amp;$B715,'3) Release_Label'!$D:$D&amp;'3) Release_Label'!$E:$E,1,0)),"NO UPC-CATALOG ID pair MATCH in Release_Label" )</f>
        <v/>
      </c>
      <c r="E715" s="92"/>
      <c r="F715" s="92"/>
      <c r="G715" s="125" t="str">
        <f t="array" ref="G715">ifs(or($F715="",$F715="Main Primary Artist"),$F715,not(iserror(vlookup($F715,'Reference info'!$J$5:$J$8,1,0))),"Key Artist",not(iserror(vlookup($F715,'Reference info'!$J$38:$J$405,1,0))),"Performer",not(iserror(vlookup($F715,'Reference info'!$J$10:$J$36,1,0))),"Producer &amp; Engineer")</f>
        <v/>
      </c>
    </row>
    <row r="716">
      <c r="A716" s="28"/>
      <c r="B716" s="97"/>
      <c r="C716" s="121" t="str">
        <f t="array" ref="C716">ifs(and(isblank($A716),isblank($B716)),"", not(iserror(vlookup($A716&amp;$B716,'3) Release_Label'!$D:$D&amp;'3) Release_Label'!$E:$E,1,0))),vlookup($A716&amp;$B716,{'3) Release_Label'!$D:$D&amp;'3) Release_Label'!$E:$E,'3) Release_Label'!$F:$F},2,0), or(and(not(isblank($B716)),$B716=$B715,$A716&lt;&gt;$A715),and(not(isblank($A716)),$A716=$A715,$B716&lt;&gt;$B715)),"ID LISTS UNALIGNED",and($A716&lt;&gt;"",countif('3) Release_Label'!$D:$D,$A716)=0),"NO UPC MATCH in Release_Label",and($B716&lt;&gt;"",countif('3) Release_Label'!$E:$E,$B716)=0),"NO CATALOG ID MATCH in Release_Label",iserror(vlookup($A716&amp;$B716,'3) Release_Label'!$D:$D&amp;'3) Release_Label'!$E:$E,1,0)),"NO UPC-CATALOG ID pair MATCH in Release_Label" )</f>
        <v/>
      </c>
      <c r="D716" s="121" t="str">
        <f t="array" ref="D716">ifs(and(isblank($A716),isblank($B716)),"", not(iserror(vlookup($A716&amp;$B716,'3) Release_Label'!$D:$D&amp;'3) Release_Label'!$E:$E,1,0))),vlookup($A716&amp;$B716,{'3) Release_Label'!$D:$D&amp;'3) Release_Label'!$E:$E,'3) Release_Label'!$H:$H},2,0), or(and(not(isblank($B716)),$B716=$B715,$A716&lt;&gt;$A715),and(not(isblank($A716)),$A716=$A715,$B716&lt;&gt;$B715)),"ID LISTS UNALIGNED",and($A716&lt;&gt;"",countif('3) Release_Label'!$D:$D,$A716)=0),"NO UPC MATCH in Release_Label",and($B716&lt;&gt;"",countif('3) Release_Label'!$E:$E,$B716)=0),"NO CATALOG ID MATCH in Release_Label",iserror(vlookup($A716&amp;$B716,'3) Release_Label'!$D:$D&amp;'3) Release_Label'!$E:$E,1,0)),"NO UPC-CATALOG ID pair MATCH in Release_Label" )</f>
        <v/>
      </c>
      <c r="E716" s="92"/>
      <c r="F716" s="92"/>
      <c r="G716" s="125" t="str">
        <f t="array" ref="G716">ifs(or($F716="",$F716="Main Primary Artist"),$F716,not(iserror(vlookup($F716,'Reference info'!$J$5:$J$8,1,0))),"Key Artist",not(iserror(vlookup($F716,'Reference info'!$J$38:$J$405,1,0))),"Performer",not(iserror(vlookup($F716,'Reference info'!$J$10:$J$36,1,0))),"Producer &amp; Engineer")</f>
        <v/>
      </c>
    </row>
    <row r="717">
      <c r="A717" s="28"/>
      <c r="B717" s="97"/>
      <c r="C717" s="121" t="str">
        <f t="array" ref="C717">ifs(and(isblank($A717),isblank($B717)),"", not(iserror(vlookup($A717&amp;$B717,'3) Release_Label'!$D:$D&amp;'3) Release_Label'!$E:$E,1,0))),vlookup($A717&amp;$B717,{'3) Release_Label'!$D:$D&amp;'3) Release_Label'!$E:$E,'3) Release_Label'!$F:$F},2,0), or(and(not(isblank($B717)),$B717=$B716,$A717&lt;&gt;$A716),and(not(isblank($A717)),$A717=$A716,$B717&lt;&gt;$B716)),"ID LISTS UNALIGNED",and($A717&lt;&gt;"",countif('3) Release_Label'!$D:$D,$A717)=0),"NO UPC MATCH in Release_Label",and($B717&lt;&gt;"",countif('3) Release_Label'!$E:$E,$B717)=0),"NO CATALOG ID MATCH in Release_Label",iserror(vlookup($A717&amp;$B717,'3) Release_Label'!$D:$D&amp;'3) Release_Label'!$E:$E,1,0)),"NO UPC-CATALOG ID pair MATCH in Release_Label" )</f>
        <v/>
      </c>
      <c r="D717" s="121" t="str">
        <f t="array" ref="D717">ifs(and(isblank($A717),isblank($B717)),"", not(iserror(vlookup($A717&amp;$B717,'3) Release_Label'!$D:$D&amp;'3) Release_Label'!$E:$E,1,0))),vlookup($A717&amp;$B717,{'3) Release_Label'!$D:$D&amp;'3) Release_Label'!$E:$E,'3) Release_Label'!$H:$H},2,0), or(and(not(isblank($B717)),$B717=$B716,$A717&lt;&gt;$A716),and(not(isblank($A717)),$A717=$A716,$B717&lt;&gt;$B716)),"ID LISTS UNALIGNED",and($A717&lt;&gt;"",countif('3) Release_Label'!$D:$D,$A717)=0),"NO UPC MATCH in Release_Label",and($B717&lt;&gt;"",countif('3) Release_Label'!$E:$E,$B717)=0),"NO CATALOG ID MATCH in Release_Label",iserror(vlookup($A717&amp;$B717,'3) Release_Label'!$D:$D&amp;'3) Release_Label'!$E:$E,1,0)),"NO UPC-CATALOG ID pair MATCH in Release_Label" )</f>
        <v/>
      </c>
      <c r="E717" s="92"/>
      <c r="F717" s="92"/>
      <c r="G717" s="125" t="str">
        <f t="array" ref="G717">ifs(or($F717="",$F717="Main Primary Artist"),$F717,not(iserror(vlookup($F717,'Reference info'!$J$5:$J$8,1,0))),"Key Artist",not(iserror(vlookup($F717,'Reference info'!$J$38:$J$405,1,0))),"Performer",not(iserror(vlookup($F717,'Reference info'!$J$10:$J$36,1,0))),"Producer &amp; Engineer")</f>
        <v/>
      </c>
    </row>
    <row r="718">
      <c r="A718" s="28"/>
      <c r="B718" s="97"/>
      <c r="C718" s="121" t="str">
        <f t="array" ref="C718">ifs(and(isblank($A718),isblank($B718)),"", not(iserror(vlookup($A718&amp;$B718,'3) Release_Label'!$D:$D&amp;'3) Release_Label'!$E:$E,1,0))),vlookup($A718&amp;$B718,{'3) Release_Label'!$D:$D&amp;'3) Release_Label'!$E:$E,'3) Release_Label'!$F:$F},2,0), or(and(not(isblank($B718)),$B718=$B717,$A718&lt;&gt;$A717),and(not(isblank($A718)),$A718=$A717,$B718&lt;&gt;$B717)),"ID LISTS UNALIGNED",and($A718&lt;&gt;"",countif('3) Release_Label'!$D:$D,$A718)=0),"NO UPC MATCH in Release_Label",and($B718&lt;&gt;"",countif('3) Release_Label'!$E:$E,$B718)=0),"NO CATALOG ID MATCH in Release_Label",iserror(vlookup($A718&amp;$B718,'3) Release_Label'!$D:$D&amp;'3) Release_Label'!$E:$E,1,0)),"NO UPC-CATALOG ID pair MATCH in Release_Label" )</f>
        <v/>
      </c>
      <c r="D718" s="121" t="str">
        <f t="array" ref="D718">ifs(and(isblank($A718),isblank($B718)),"", not(iserror(vlookup($A718&amp;$B718,'3) Release_Label'!$D:$D&amp;'3) Release_Label'!$E:$E,1,0))),vlookup($A718&amp;$B718,{'3) Release_Label'!$D:$D&amp;'3) Release_Label'!$E:$E,'3) Release_Label'!$H:$H},2,0), or(and(not(isblank($B718)),$B718=$B717,$A718&lt;&gt;$A717),and(not(isblank($A718)),$A718=$A717,$B718&lt;&gt;$B717)),"ID LISTS UNALIGNED",and($A718&lt;&gt;"",countif('3) Release_Label'!$D:$D,$A718)=0),"NO UPC MATCH in Release_Label",and($B718&lt;&gt;"",countif('3) Release_Label'!$E:$E,$B718)=0),"NO CATALOG ID MATCH in Release_Label",iserror(vlookup($A718&amp;$B718,'3) Release_Label'!$D:$D&amp;'3) Release_Label'!$E:$E,1,0)),"NO UPC-CATALOG ID pair MATCH in Release_Label" )</f>
        <v/>
      </c>
      <c r="E718" s="92"/>
      <c r="F718" s="92"/>
      <c r="G718" s="125" t="str">
        <f t="array" ref="G718">ifs(or($F718="",$F718="Main Primary Artist"),$F718,not(iserror(vlookup($F718,'Reference info'!$J$5:$J$8,1,0))),"Key Artist",not(iserror(vlookup($F718,'Reference info'!$J$38:$J$405,1,0))),"Performer",not(iserror(vlookup($F718,'Reference info'!$J$10:$J$36,1,0))),"Producer &amp; Engineer")</f>
        <v/>
      </c>
    </row>
    <row r="719">
      <c r="A719" s="28"/>
      <c r="B719" s="97"/>
      <c r="C719" s="121" t="str">
        <f t="array" ref="C719">ifs(and(isblank($A719),isblank($B719)),"", not(iserror(vlookup($A719&amp;$B719,'3) Release_Label'!$D:$D&amp;'3) Release_Label'!$E:$E,1,0))),vlookup($A719&amp;$B719,{'3) Release_Label'!$D:$D&amp;'3) Release_Label'!$E:$E,'3) Release_Label'!$F:$F},2,0), or(and(not(isblank($B719)),$B719=$B718,$A719&lt;&gt;$A718),and(not(isblank($A719)),$A719=$A718,$B719&lt;&gt;$B718)),"ID LISTS UNALIGNED",and($A719&lt;&gt;"",countif('3) Release_Label'!$D:$D,$A719)=0),"NO UPC MATCH in Release_Label",and($B719&lt;&gt;"",countif('3) Release_Label'!$E:$E,$B719)=0),"NO CATALOG ID MATCH in Release_Label",iserror(vlookup($A719&amp;$B719,'3) Release_Label'!$D:$D&amp;'3) Release_Label'!$E:$E,1,0)),"NO UPC-CATALOG ID pair MATCH in Release_Label" )</f>
        <v/>
      </c>
      <c r="D719" s="121" t="str">
        <f t="array" ref="D719">ifs(and(isblank($A719),isblank($B719)),"", not(iserror(vlookup($A719&amp;$B719,'3) Release_Label'!$D:$D&amp;'3) Release_Label'!$E:$E,1,0))),vlookup($A719&amp;$B719,{'3) Release_Label'!$D:$D&amp;'3) Release_Label'!$E:$E,'3) Release_Label'!$H:$H},2,0), or(and(not(isblank($B719)),$B719=$B718,$A719&lt;&gt;$A718),and(not(isblank($A719)),$A719=$A718,$B719&lt;&gt;$B718)),"ID LISTS UNALIGNED",and($A719&lt;&gt;"",countif('3) Release_Label'!$D:$D,$A719)=0),"NO UPC MATCH in Release_Label",and($B719&lt;&gt;"",countif('3) Release_Label'!$E:$E,$B719)=0),"NO CATALOG ID MATCH in Release_Label",iserror(vlookup($A719&amp;$B719,'3) Release_Label'!$D:$D&amp;'3) Release_Label'!$E:$E,1,0)),"NO UPC-CATALOG ID pair MATCH in Release_Label" )</f>
        <v/>
      </c>
      <c r="E719" s="92"/>
      <c r="F719" s="92"/>
      <c r="G719" s="125" t="str">
        <f t="array" ref="G719">ifs(or($F719="",$F719="Main Primary Artist"),$F719,not(iserror(vlookup($F719,'Reference info'!$J$5:$J$8,1,0))),"Key Artist",not(iserror(vlookup($F719,'Reference info'!$J$38:$J$405,1,0))),"Performer",not(iserror(vlookup($F719,'Reference info'!$J$10:$J$36,1,0))),"Producer &amp; Engineer")</f>
        <v/>
      </c>
    </row>
    <row r="720">
      <c r="A720" s="28"/>
      <c r="B720" s="97"/>
      <c r="C720" s="121" t="str">
        <f t="array" ref="C720">ifs(and(isblank($A720),isblank($B720)),"", not(iserror(vlookup($A720&amp;$B720,'3) Release_Label'!$D:$D&amp;'3) Release_Label'!$E:$E,1,0))),vlookup($A720&amp;$B720,{'3) Release_Label'!$D:$D&amp;'3) Release_Label'!$E:$E,'3) Release_Label'!$F:$F},2,0), or(and(not(isblank($B720)),$B720=$B719,$A720&lt;&gt;$A719),and(not(isblank($A720)),$A720=$A719,$B720&lt;&gt;$B719)),"ID LISTS UNALIGNED",and($A720&lt;&gt;"",countif('3) Release_Label'!$D:$D,$A720)=0),"NO UPC MATCH in Release_Label",and($B720&lt;&gt;"",countif('3) Release_Label'!$E:$E,$B720)=0),"NO CATALOG ID MATCH in Release_Label",iserror(vlookup($A720&amp;$B720,'3) Release_Label'!$D:$D&amp;'3) Release_Label'!$E:$E,1,0)),"NO UPC-CATALOG ID pair MATCH in Release_Label" )</f>
        <v/>
      </c>
      <c r="D720" s="121" t="str">
        <f t="array" ref="D720">ifs(and(isblank($A720),isblank($B720)),"", not(iserror(vlookup($A720&amp;$B720,'3) Release_Label'!$D:$D&amp;'3) Release_Label'!$E:$E,1,0))),vlookup($A720&amp;$B720,{'3) Release_Label'!$D:$D&amp;'3) Release_Label'!$E:$E,'3) Release_Label'!$H:$H},2,0), or(and(not(isblank($B720)),$B720=$B719,$A720&lt;&gt;$A719),and(not(isblank($A720)),$A720=$A719,$B720&lt;&gt;$B719)),"ID LISTS UNALIGNED",and($A720&lt;&gt;"",countif('3) Release_Label'!$D:$D,$A720)=0),"NO UPC MATCH in Release_Label",and($B720&lt;&gt;"",countif('3) Release_Label'!$E:$E,$B720)=0),"NO CATALOG ID MATCH in Release_Label",iserror(vlookup($A720&amp;$B720,'3) Release_Label'!$D:$D&amp;'3) Release_Label'!$E:$E,1,0)),"NO UPC-CATALOG ID pair MATCH in Release_Label" )</f>
        <v/>
      </c>
      <c r="E720" s="92"/>
      <c r="F720" s="92"/>
      <c r="G720" s="125" t="str">
        <f t="array" ref="G720">ifs(or($F720="",$F720="Main Primary Artist"),$F720,not(iserror(vlookup($F720,'Reference info'!$J$5:$J$8,1,0))),"Key Artist",not(iserror(vlookup($F720,'Reference info'!$J$38:$J$405,1,0))),"Performer",not(iserror(vlookup($F720,'Reference info'!$J$10:$J$36,1,0))),"Producer &amp; Engineer")</f>
        <v/>
      </c>
    </row>
    <row r="721">
      <c r="A721" s="28"/>
      <c r="B721" s="97"/>
      <c r="C721" s="121" t="str">
        <f t="array" ref="C721">ifs(and(isblank($A721),isblank($B721)),"", not(iserror(vlookup($A721&amp;$B721,'3) Release_Label'!$D:$D&amp;'3) Release_Label'!$E:$E,1,0))),vlookup($A721&amp;$B721,{'3) Release_Label'!$D:$D&amp;'3) Release_Label'!$E:$E,'3) Release_Label'!$F:$F},2,0), or(and(not(isblank($B721)),$B721=$B720,$A721&lt;&gt;$A720),and(not(isblank($A721)),$A721=$A720,$B721&lt;&gt;$B720)),"ID LISTS UNALIGNED",and($A721&lt;&gt;"",countif('3) Release_Label'!$D:$D,$A721)=0),"NO UPC MATCH in Release_Label",and($B721&lt;&gt;"",countif('3) Release_Label'!$E:$E,$B721)=0),"NO CATALOG ID MATCH in Release_Label",iserror(vlookup($A721&amp;$B721,'3) Release_Label'!$D:$D&amp;'3) Release_Label'!$E:$E,1,0)),"NO UPC-CATALOG ID pair MATCH in Release_Label" )</f>
        <v/>
      </c>
      <c r="D721" s="121" t="str">
        <f t="array" ref="D721">ifs(and(isblank($A721),isblank($B721)),"", not(iserror(vlookup($A721&amp;$B721,'3) Release_Label'!$D:$D&amp;'3) Release_Label'!$E:$E,1,0))),vlookup($A721&amp;$B721,{'3) Release_Label'!$D:$D&amp;'3) Release_Label'!$E:$E,'3) Release_Label'!$H:$H},2,0), or(and(not(isblank($B721)),$B721=$B720,$A721&lt;&gt;$A720),and(not(isblank($A721)),$A721=$A720,$B721&lt;&gt;$B720)),"ID LISTS UNALIGNED",and($A721&lt;&gt;"",countif('3) Release_Label'!$D:$D,$A721)=0),"NO UPC MATCH in Release_Label",and($B721&lt;&gt;"",countif('3) Release_Label'!$E:$E,$B721)=0),"NO CATALOG ID MATCH in Release_Label",iserror(vlookup($A721&amp;$B721,'3) Release_Label'!$D:$D&amp;'3) Release_Label'!$E:$E,1,0)),"NO UPC-CATALOG ID pair MATCH in Release_Label" )</f>
        <v/>
      </c>
      <c r="E721" s="92"/>
      <c r="F721" s="92"/>
      <c r="G721" s="125" t="str">
        <f t="array" ref="G721">ifs(or($F721="",$F721="Main Primary Artist"),$F721,not(iserror(vlookup($F721,'Reference info'!$J$5:$J$8,1,0))),"Key Artist",not(iserror(vlookup($F721,'Reference info'!$J$38:$J$405,1,0))),"Performer",not(iserror(vlookup($F721,'Reference info'!$J$10:$J$36,1,0))),"Producer &amp; Engineer")</f>
        <v/>
      </c>
    </row>
    <row r="722">
      <c r="A722" s="28"/>
      <c r="B722" s="97"/>
      <c r="C722" s="121" t="str">
        <f t="array" ref="C722">ifs(and(isblank($A722),isblank($B722)),"", not(iserror(vlookup($A722&amp;$B722,'3) Release_Label'!$D:$D&amp;'3) Release_Label'!$E:$E,1,0))),vlookup($A722&amp;$B722,{'3) Release_Label'!$D:$D&amp;'3) Release_Label'!$E:$E,'3) Release_Label'!$F:$F},2,0), or(and(not(isblank($B722)),$B722=$B721,$A722&lt;&gt;$A721),and(not(isblank($A722)),$A722=$A721,$B722&lt;&gt;$B721)),"ID LISTS UNALIGNED",and($A722&lt;&gt;"",countif('3) Release_Label'!$D:$D,$A722)=0),"NO UPC MATCH in Release_Label",and($B722&lt;&gt;"",countif('3) Release_Label'!$E:$E,$B722)=0),"NO CATALOG ID MATCH in Release_Label",iserror(vlookup($A722&amp;$B722,'3) Release_Label'!$D:$D&amp;'3) Release_Label'!$E:$E,1,0)),"NO UPC-CATALOG ID pair MATCH in Release_Label" )</f>
        <v/>
      </c>
      <c r="D722" s="121" t="str">
        <f t="array" ref="D722">ifs(and(isblank($A722),isblank($B722)),"", not(iserror(vlookup($A722&amp;$B722,'3) Release_Label'!$D:$D&amp;'3) Release_Label'!$E:$E,1,0))),vlookup($A722&amp;$B722,{'3) Release_Label'!$D:$D&amp;'3) Release_Label'!$E:$E,'3) Release_Label'!$H:$H},2,0), or(and(not(isblank($B722)),$B722=$B721,$A722&lt;&gt;$A721),and(not(isblank($A722)),$A722=$A721,$B722&lt;&gt;$B721)),"ID LISTS UNALIGNED",and($A722&lt;&gt;"",countif('3) Release_Label'!$D:$D,$A722)=0),"NO UPC MATCH in Release_Label",and($B722&lt;&gt;"",countif('3) Release_Label'!$E:$E,$B722)=0),"NO CATALOG ID MATCH in Release_Label",iserror(vlookup($A722&amp;$B722,'3) Release_Label'!$D:$D&amp;'3) Release_Label'!$E:$E,1,0)),"NO UPC-CATALOG ID pair MATCH in Release_Label" )</f>
        <v/>
      </c>
      <c r="E722" s="92"/>
      <c r="F722" s="92"/>
      <c r="G722" s="125" t="str">
        <f t="array" ref="G722">ifs(or($F722="",$F722="Main Primary Artist"),$F722,not(iserror(vlookup($F722,'Reference info'!$J$5:$J$8,1,0))),"Key Artist",not(iserror(vlookup($F722,'Reference info'!$J$38:$J$405,1,0))),"Performer",not(iserror(vlookup($F722,'Reference info'!$J$10:$J$36,1,0))),"Producer &amp; Engineer")</f>
        <v/>
      </c>
    </row>
    <row r="723">
      <c r="A723" s="28"/>
      <c r="B723" s="97"/>
      <c r="C723" s="121" t="str">
        <f t="array" ref="C723">ifs(and(isblank($A723),isblank($B723)),"", not(iserror(vlookup($A723&amp;$B723,'3) Release_Label'!$D:$D&amp;'3) Release_Label'!$E:$E,1,0))),vlookup($A723&amp;$B723,{'3) Release_Label'!$D:$D&amp;'3) Release_Label'!$E:$E,'3) Release_Label'!$F:$F},2,0), or(and(not(isblank($B723)),$B723=$B722,$A723&lt;&gt;$A722),and(not(isblank($A723)),$A723=$A722,$B723&lt;&gt;$B722)),"ID LISTS UNALIGNED",and($A723&lt;&gt;"",countif('3) Release_Label'!$D:$D,$A723)=0),"NO UPC MATCH in Release_Label",and($B723&lt;&gt;"",countif('3) Release_Label'!$E:$E,$B723)=0),"NO CATALOG ID MATCH in Release_Label",iserror(vlookup($A723&amp;$B723,'3) Release_Label'!$D:$D&amp;'3) Release_Label'!$E:$E,1,0)),"NO UPC-CATALOG ID pair MATCH in Release_Label" )</f>
        <v/>
      </c>
      <c r="D723" s="121" t="str">
        <f t="array" ref="D723">ifs(and(isblank($A723),isblank($B723)),"", not(iserror(vlookup($A723&amp;$B723,'3) Release_Label'!$D:$D&amp;'3) Release_Label'!$E:$E,1,0))),vlookup($A723&amp;$B723,{'3) Release_Label'!$D:$D&amp;'3) Release_Label'!$E:$E,'3) Release_Label'!$H:$H},2,0), or(and(not(isblank($B723)),$B723=$B722,$A723&lt;&gt;$A722),and(not(isblank($A723)),$A723=$A722,$B723&lt;&gt;$B722)),"ID LISTS UNALIGNED",and($A723&lt;&gt;"",countif('3) Release_Label'!$D:$D,$A723)=0),"NO UPC MATCH in Release_Label",and($B723&lt;&gt;"",countif('3) Release_Label'!$E:$E,$B723)=0),"NO CATALOG ID MATCH in Release_Label",iserror(vlookup($A723&amp;$B723,'3) Release_Label'!$D:$D&amp;'3) Release_Label'!$E:$E,1,0)),"NO UPC-CATALOG ID pair MATCH in Release_Label" )</f>
        <v/>
      </c>
      <c r="E723" s="92"/>
      <c r="F723" s="92"/>
      <c r="G723" s="125" t="str">
        <f t="array" ref="G723">ifs(or($F723="",$F723="Main Primary Artist"),$F723,not(iserror(vlookup($F723,'Reference info'!$J$5:$J$8,1,0))),"Key Artist",not(iserror(vlookup($F723,'Reference info'!$J$38:$J$405,1,0))),"Performer",not(iserror(vlookup($F723,'Reference info'!$J$10:$J$36,1,0))),"Producer &amp; Engineer")</f>
        <v/>
      </c>
    </row>
    <row r="724">
      <c r="A724" s="28"/>
      <c r="B724" s="97"/>
      <c r="C724" s="121" t="str">
        <f t="array" ref="C724">ifs(and(isblank($A724),isblank($B724)),"", not(iserror(vlookup($A724&amp;$B724,'3) Release_Label'!$D:$D&amp;'3) Release_Label'!$E:$E,1,0))),vlookup($A724&amp;$B724,{'3) Release_Label'!$D:$D&amp;'3) Release_Label'!$E:$E,'3) Release_Label'!$F:$F},2,0), or(and(not(isblank($B724)),$B724=$B723,$A724&lt;&gt;$A723),and(not(isblank($A724)),$A724=$A723,$B724&lt;&gt;$B723)),"ID LISTS UNALIGNED",and($A724&lt;&gt;"",countif('3) Release_Label'!$D:$D,$A724)=0),"NO UPC MATCH in Release_Label",and($B724&lt;&gt;"",countif('3) Release_Label'!$E:$E,$B724)=0),"NO CATALOG ID MATCH in Release_Label",iserror(vlookup($A724&amp;$B724,'3) Release_Label'!$D:$D&amp;'3) Release_Label'!$E:$E,1,0)),"NO UPC-CATALOG ID pair MATCH in Release_Label" )</f>
        <v/>
      </c>
      <c r="D724" s="121" t="str">
        <f t="array" ref="D724">ifs(and(isblank($A724),isblank($B724)),"", not(iserror(vlookup($A724&amp;$B724,'3) Release_Label'!$D:$D&amp;'3) Release_Label'!$E:$E,1,0))),vlookup($A724&amp;$B724,{'3) Release_Label'!$D:$D&amp;'3) Release_Label'!$E:$E,'3) Release_Label'!$H:$H},2,0), or(and(not(isblank($B724)),$B724=$B723,$A724&lt;&gt;$A723),and(not(isblank($A724)),$A724=$A723,$B724&lt;&gt;$B723)),"ID LISTS UNALIGNED",and($A724&lt;&gt;"",countif('3) Release_Label'!$D:$D,$A724)=0),"NO UPC MATCH in Release_Label",and($B724&lt;&gt;"",countif('3) Release_Label'!$E:$E,$B724)=0),"NO CATALOG ID MATCH in Release_Label",iserror(vlookup($A724&amp;$B724,'3) Release_Label'!$D:$D&amp;'3) Release_Label'!$E:$E,1,0)),"NO UPC-CATALOG ID pair MATCH in Release_Label" )</f>
        <v/>
      </c>
      <c r="E724" s="92"/>
      <c r="F724" s="92"/>
      <c r="G724" s="125" t="str">
        <f t="array" ref="G724">ifs(or($F724="",$F724="Main Primary Artist"),$F724,not(iserror(vlookup($F724,'Reference info'!$J$5:$J$8,1,0))),"Key Artist",not(iserror(vlookup($F724,'Reference info'!$J$38:$J$405,1,0))),"Performer",not(iserror(vlookup($F724,'Reference info'!$J$10:$J$36,1,0))),"Producer &amp; Engineer")</f>
        <v/>
      </c>
    </row>
    <row r="725">
      <c r="A725" s="28"/>
      <c r="B725" s="97"/>
      <c r="C725" s="121" t="str">
        <f t="array" ref="C725">ifs(and(isblank($A725),isblank($B725)),"", not(iserror(vlookup($A725&amp;$B725,'3) Release_Label'!$D:$D&amp;'3) Release_Label'!$E:$E,1,0))),vlookup($A725&amp;$B725,{'3) Release_Label'!$D:$D&amp;'3) Release_Label'!$E:$E,'3) Release_Label'!$F:$F},2,0), or(and(not(isblank($B725)),$B725=$B724,$A725&lt;&gt;$A724),and(not(isblank($A725)),$A725=$A724,$B725&lt;&gt;$B724)),"ID LISTS UNALIGNED",and($A725&lt;&gt;"",countif('3) Release_Label'!$D:$D,$A725)=0),"NO UPC MATCH in Release_Label",and($B725&lt;&gt;"",countif('3) Release_Label'!$E:$E,$B725)=0),"NO CATALOG ID MATCH in Release_Label",iserror(vlookup($A725&amp;$B725,'3) Release_Label'!$D:$D&amp;'3) Release_Label'!$E:$E,1,0)),"NO UPC-CATALOG ID pair MATCH in Release_Label" )</f>
        <v/>
      </c>
      <c r="D725" s="121" t="str">
        <f t="array" ref="D725">ifs(and(isblank($A725),isblank($B725)),"", not(iserror(vlookup($A725&amp;$B725,'3) Release_Label'!$D:$D&amp;'3) Release_Label'!$E:$E,1,0))),vlookup($A725&amp;$B725,{'3) Release_Label'!$D:$D&amp;'3) Release_Label'!$E:$E,'3) Release_Label'!$H:$H},2,0), or(and(not(isblank($B725)),$B725=$B724,$A725&lt;&gt;$A724),and(not(isblank($A725)),$A725=$A724,$B725&lt;&gt;$B724)),"ID LISTS UNALIGNED",and($A725&lt;&gt;"",countif('3) Release_Label'!$D:$D,$A725)=0),"NO UPC MATCH in Release_Label",and($B725&lt;&gt;"",countif('3) Release_Label'!$E:$E,$B725)=0),"NO CATALOG ID MATCH in Release_Label",iserror(vlookup($A725&amp;$B725,'3) Release_Label'!$D:$D&amp;'3) Release_Label'!$E:$E,1,0)),"NO UPC-CATALOG ID pair MATCH in Release_Label" )</f>
        <v/>
      </c>
      <c r="E725" s="92"/>
      <c r="F725" s="92"/>
      <c r="G725" s="125" t="str">
        <f t="array" ref="G725">ifs(or($F725="",$F725="Main Primary Artist"),$F725,not(iserror(vlookup($F725,'Reference info'!$J$5:$J$8,1,0))),"Key Artist",not(iserror(vlookup($F725,'Reference info'!$J$38:$J$405,1,0))),"Performer",not(iserror(vlookup($F725,'Reference info'!$J$10:$J$36,1,0))),"Producer &amp; Engineer")</f>
        <v/>
      </c>
    </row>
    <row r="726">
      <c r="A726" s="28"/>
      <c r="B726" s="97"/>
      <c r="C726" s="121" t="str">
        <f t="array" ref="C726">ifs(and(isblank($A726),isblank($B726)),"", not(iserror(vlookup($A726&amp;$B726,'3) Release_Label'!$D:$D&amp;'3) Release_Label'!$E:$E,1,0))),vlookup($A726&amp;$B726,{'3) Release_Label'!$D:$D&amp;'3) Release_Label'!$E:$E,'3) Release_Label'!$F:$F},2,0), or(and(not(isblank($B726)),$B726=$B725,$A726&lt;&gt;$A725),and(not(isblank($A726)),$A726=$A725,$B726&lt;&gt;$B725)),"ID LISTS UNALIGNED",and($A726&lt;&gt;"",countif('3) Release_Label'!$D:$D,$A726)=0),"NO UPC MATCH in Release_Label",and($B726&lt;&gt;"",countif('3) Release_Label'!$E:$E,$B726)=0),"NO CATALOG ID MATCH in Release_Label",iserror(vlookup($A726&amp;$B726,'3) Release_Label'!$D:$D&amp;'3) Release_Label'!$E:$E,1,0)),"NO UPC-CATALOG ID pair MATCH in Release_Label" )</f>
        <v/>
      </c>
      <c r="D726" s="121" t="str">
        <f t="array" ref="D726">ifs(and(isblank($A726),isblank($B726)),"", not(iserror(vlookup($A726&amp;$B726,'3) Release_Label'!$D:$D&amp;'3) Release_Label'!$E:$E,1,0))),vlookup($A726&amp;$B726,{'3) Release_Label'!$D:$D&amp;'3) Release_Label'!$E:$E,'3) Release_Label'!$H:$H},2,0), or(and(not(isblank($B726)),$B726=$B725,$A726&lt;&gt;$A725),and(not(isblank($A726)),$A726=$A725,$B726&lt;&gt;$B725)),"ID LISTS UNALIGNED",and($A726&lt;&gt;"",countif('3) Release_Label'!$D:$D,$A726)=0),"NO UPC MATCH in Release_Label",and($B726&lt;&gt;"",countif('3) Release_Label'!$E:$E,$B726)=0),"NO CATALOG ID MATCH in Release_Label",iserror(vlookup($A726&amp;$B726,'3) Release_Label'!$D:$D&amp;'3) Release_Label'!$E:$E,1,0)),"NO UPC-CATALOG ID pair MATCH in Release_Label" )</f>
        <v/>
      </c>
      <c r="E726" s="92"/>
      <c r="F726" s="92"/>
      <c r="G726" s="125" t="str">
        <f t="array" ref="G726">ifs(or($F726="",$F726="Main Primary Artist"),$F726,not(iserror(vlookup($F726,'Reference info'!$J$5:$J$8,1,0))),"Key Artist",not(iserror(vlookup($F726,'Reference info'!$J$38:$J$405,1,0))),"Performer",not(iserror(vlookup($F726,'Reference info'!$J$10:$J$36,1,0))),"Producer &amp; Engineer")</f>
        <v/>
      </c>
    </row>
    <row r="727">
      <c r="A727" s="28"/>
      <c r="B727" s="97"/>
      <c r="C727" s="121" t="str">
        <f t="array" ref="C727">ifs(and(isblank($A727),isblank($B727)),"", not(iserror(vlookup($A727&amp;$B727,'3) Release_Label'!$D:$D&amp;'3) Release_Label'!$E:$E,1,0))),vlookup($A727&amp;$B727,{'3) Release_Label'!$D:$D&amp;'3) Release_Label'!$E:$E,'3) Release_Label'!$F:$F},2,0), or(and(not(isblank($B727)),$B727=$B726,$A727&lt;&gt;$A726),and(not(isblank($A727)),$A727=$A726,$B727&lt;&gt;$B726)),"ID LISTS UNALIGNED",and($A727&lt;&gt;"",countif('3) Release_Label'!$D:$D,$A727)=0),"NO UPC MATCH in Release_Label",and($B727&lt;&gt;"",countif('3) Release_Label'!$E:$E,$B727)=0),"NO CATALOG ID MATCH in Release_Label",iserror(vlookup($A727&amp;$B727,'3) Release_Label'!$D:$D&amp;'3) Release_Label'!$E:$E,1,0)),"NO UPC-CATALOG ID pair MATCH in Release_Label" )</f>
        <v/>
      </c>
      <c r="D727" s="121" t="str">
        <f t="array" ref="D727">ifs(and(isblank($A727),isblank($B727)),"", not(iserror(vlookup($A727&amp;$B727,'3) Release_Label'!$D:$D&amp;'3) Release_Label'!$E:$E,1,0))),vlookup($A727&amp;$B727,{'3) Release_Label'!$D:$D&amp;'3) Release_Label'!$E:$E,'3) Release_Label'!$H:$H},2,0), or(and(not(isblank($B727)),$B727=$B726,$A727&lt;&gt;$A726),and(not(isblank($A727)),$A727=$A726,$B727&lt;&gt;$B726)),"ID LISTS UNALIGNED",and($A727&lt;&gt;"",countif('3) Release_Label'!$D:$D,$A727)=0),"NO UPC MATCH in Release_Label",and($B727&lt;&gt;"",countif('3) Release_Label'!$E:$E,$B727)=0),"NO CATALOG ID MATCH in Release_Label",iserror(vlookup($A727&amp;$B727,'3) Release_Label'!$D:$D&amp;'3) Release_Label'!$E:$E,1,0)),"NO UPC-CATALOG ID pair MATCH in Release_Label" )</f>
        <v/>
      </c>
      <c r="E727" s="92"/>
      <c r="F727" s="92"/>
      <c r="G727" s="125" t="str">
        <f t="array" ref="G727">ifs(or($F727="",$F727="Main Primary Artist"),$F727,not(iserror(vlookup($F727,'Reference info'!$J$5:$J$8,1,0))),"Key Artist",not(iserror(vlookup($F727,'Reference info'!$J$38:$J$405,1,0))),"Performer",not(iserror(vlookup($F727,'Reference info'!$J$10:$J$36,1,0))),"Producer &amp; Engineer")</f>
        <v/>
      </c>
    </row>
    <row r="728">
      <c r="A728" s="28"/>
      <c r="B728" s="97"/>
      <c r="C728" s="121" t="str">
        <f t="array" ref="C728">ifs(and(isblank($A728),isblank($B728)),"", not(iserror(vlookup($A728&amp;$B728,'3) Release_Label'!$D:$D&amp;'3) Release_Label'!$E:$E,1,0))),vlookup($A728&amp;$B728,{'3) Release_Label'!$D:$D&amp;'3) Release_Label'!$E:$E,'3) Release_Label'!$F:$F},2,0), or(and(not(isblank($B728)),$B728=$B727,$A728&lt;&gt;$A727),and(not(isblank($A728)),$A728=$A727,$B728&lt;&gt;$B727)),"ID LISTS UNALIGNED",and($A728&lt;&gt;"",countif('3) Release_Label'!$D:$D,$A728)=0),"NO UPC MATCH in Release_Label",and($B728&lt;&gt;"",countif('3) Release_Label'!$E:$E,$B728)=0),"NO CATALOG ID MATCH in Release_Label",iserror(vlookup($A728&amp;$B728,'3) Release_Label'!$D:$D&amp;'3) Release_Label'!$E:$E,1,0)),"NO UPC-CATALOG ID pair MATCH in Release_Label" )</f>
        <v/>
      </c>
      <c r="D728" s="121" t="str">
        <f t="array" ref="D728">ifs(and(isblank($A728),isblank($B728)),"", not(iserror(vlookup($A728&amp;$B728,'3) Release_Label'!$D:$D&amp;'3) Release_Label'!$E:$E,1,0))),vlookup($A728&amp;$B728,{'3) Release_Label'!$D:$D&amp;'3) Release_Label'!$E:$E,'3) Release_Label'!$H:$H},2,0), or(and(not(isblank($B728)),$B728=$B727,$A728&lt;&gt;$A727),and(not(isblank($A728)),$A728=$A727,$B728&lt;&gt;$B727)),"ID LISTS UNALIGNED",and($A728&lt;&gt;"",countif('3) Release_Label'!$D:$D,$A728)=0),"NO UPC MATCH in Release_Label",and($B728&lt;&gt;"",countif('3) Release_Label'!$E:$E,$B728)=0),"NO CATALOG ID MATCH in Release_Label",iserror(vlookup($A728&amp;$B728,'3) Release_Label'!$D:$D&amp;'3) Release_Label'!$E:$E,1,0)),"NO UPC-CATALOG ID pair MATCH in Release_Label" )</f>
        <v/>
      </c>
      <c r="E728" s="92"/>
      <c r="F728" s="92"/>
      <c r="G728" s="125" t="str">
        <f t="array" ref="G728">ifs(or($F728="",$F728="Main Primary Artist"),$F728,not(iserror(vlookup($F728,'Reference info'!$J$5:$J$8,1,0))),"Key Artist",not(iserror(vlookup($F728,'Reference info'!$J$38:$J$405,1,0))),"Performer",not(iserror(vlookup($F728,'Reference info'!$J$10:$J$36,1,0))),"Producer &amp; Engineer")</f>
        <v/>
      </c>
    </row>
    <row r="729">
      <c r="A729" s="28"/>
      <c r="B729" s="97"/>
      <c r="C729" s="121" t="str">
        <f t="array" ref="C729">ifs(and(isblank($A729),isblank($B729)),"", not(iserror(vlookup($A729&amp;$B729,'3) Release_Label'!$D:$D&amp;'3) Release_Label'!$E:$E,1,0))),vlookup($A729&amp;$B729,{'3) Release_Label'!$D:$D&amp;'3) Release_Label'!$E:$E,'3) Release_Label'!$F:$F},2,0), or(and(not(isblank($B729)),$B729=$B728,$A729&lt;&gt;$A728),and(not(isblank($A729)),$A729=$A728,$B729&lt;&gt;$B728)),"ID LISTS UNALIGNED",and($A729&lt;&gt;"",countif('3) Release_Label'!$D:$D,$A729)=0),"NO UPC MATCH in Release_Label",and($B729&lt;&gt;"",countif('3) Release_Label'!$E:$E,$B729)=0),"NO CATALOG ID MATCH in Release_Label",iserror(vlookup($A729&amp;$B729,'3) Release_Label'!$D:$D&amp;'3) Release_Label'!$E:$E,1,0)),"NO UPC-CATALOG ID pair MATCH in Release_Label" )</f>
        <v/>
      </c>
      <c r="D729" s="121" t="str">
        <f t="array" ref="D729">ifs(and(isblank($A729),isblank($B729)),"", not(iserror(vlookup($A729&amp;$B729,'3) Release_Label'!$D:$D&amp;'3) Release_Label'!$E:$E,1,0))),vlookup($A729&amp;$B729,{'3) Release_Label'!$D:$D&amp;'3) Release_Label'!$E:$E,'3) Release_Label'!$H:$H},2,0), or(and(not(isblank($B729)),$B729=$B728,$A729&lt;&gt;$A728),and(not(isblank($A729)),$A729=$A728,$B729&lt;&gt;$B728)),"ID LISTS UNALIGNED",and($A729&lt;&gt;"",countif('3) Release_Label'!$D:$D,$A729)=0),"NO UPC MATCH in Release_Label",and($B729&lt;&gt;"",countif('3) Release_Label'!$E:$E,$B729)=0),"NO CATALOG ID MATCH in Release_Label",iserror(vlookup($A729&amp;$B729,'3) Release_Label'!$D:$D&amp;'3) Release_Label'!$E:$E,1,0)),"NO UPC-CATALOG ID pair MATCH in Release_Label" )</f>
        <v/>
      </c>
      <c r="E729" s="92"/>
      <c r="F729" s="92"/>
      <c r="G729" s="125" t="str">
        <f t="array" ref="G729">ifs(or($F729="",$F729="Main Primary Artist"),$F729,not(iserror(vlookup($F729,'Reference info'!$J$5:$J$8,1,0))),"Key Artist",not(iserror(vlookup($F729,'Reference info'!$J$38:$J$405,1,0))),"Performer",not(iserror(vlookup($F729,'Reference info'!$J$10:$J$36,1,0))),"Producer &amp; Engineer")</f>
        <v/>
      </c>
    </row>
    <row r="730">
      <c r="A730" s="28"/>
      <c r="B730" s="97"/>
      <c r="C730" s="121" t="str">
        <f t="array" ref="C730">ifs(and(isblank($A730),isblank($B730)),"", not(iserror(vlookup($A730&amp;$B730,'3) Release_Label'!$D:$D&amp;'3) Release_Label'!$E:$E,1,0))),vlookup($A730&amp;$B730,{'3) Release_Label'!$D:$D&amp;'3) Release_Label'!$E:$E,'3) Release_Label'!$F:$F},2,0), or(and(not(isblank($B730)),$B730=$B729,$A730&lt;&gt;$A729),and(not(isblank($A730)),$A730=$A729,$B730&lt;&gt;$B729)),"ID LISTS UNALIGNED",and($A730&lt;&gt;"",countif('3) Release_Label'!$D:$D,$A730)=0),"NO UPC MATCH in Release_Label",and($B730&lt;&gt;"",countif('3) Release_Label'!$E:$E,$B730)=0),"NO CATALOG ID MATCH in Release_Label",iserror(vlookup($A730&amp;$B730,'3) Release_Label'!$D:$D&amp;'3) Release_Label'!$E:$E,1,0)),"NO UPC-CATALOG ID pair MATCH in Release_Label" )</f>
        <v/>
      </c>
      <c r="D730" s="121" t="str">
        <f t="array" ref="D730">ifs(and(isblank($A730),isblank($B730)),"", not(iserror(vlookup($A730&amp;$B730,'3) Release_Label'!$D:$D&amp;'3) Release_Label'!$E:$E,1,0))),vlookup($A730&amp;$B730,{'3) Release_Label'!$D:$D&amp;'3) Release_Label'!$E:$E,'3) Release_Label'!$H:$H},2,0), or(and(not(isblank($B730)),$B730=$B729,$A730&lt;&gt;$A729),and(not(isblank($A730)),$A730=$A729,$B730&lt;&gt;$B729)),"ID LISTS UNALIGNED",and($A730&lt;&gt;"",countif('3) Release_Label'!$D:$D,$A730)=0),"NO UPC MATCH in Release_Label",and($B730&lt;&gt;"",countif('3) Release_Label'!$E:$E,$B730)=0),"NO CATALOG ID MATCH in Release_Label",iserror(vlookup($A730&amp;$B730,'3) Release_Label'!$D:$D&amp;'3) Release_Label'!$E:$E,1,0)),"NO UPC-CATALOG ID pair MATCH in Release_Label" )</f>
        <v/>
      </c>
      <c r="E730" s="92"/>
      <c r="F730" s="92"/>
      <c r="G730" s="125" t="str">
        <f t="array" ref="G730">ifs(or($F730="",$F730="Main Primary Artist"),$F730,not(iserror(vlookup($F730,'Reference info'!$J$5:$J$8,1,0))),"Key Artist",not(iserror(vlookup($F730,'Reference info'!$J$38:$J$405,1,0))),"Performer",not(iserror(vlookup($F730,'Reference info'!$J$10:$J$36,1,0))),"Producer &amp; Engineer")</f>
        <v/>
      </c>
    </row>
    <row r="731">
      <c r="A731" s="28"/>
      <c r="B731" s="97"/>
      <c r="C731" s="121" t="str">
        <f t="array" ref="C731">ifs(and(isblank($A731),isblank($B731)),"", not(iserror(vlookup($A731&amp;$B731,'3) Release_Label'!$D:$D&amp;'3) Release_Label'!$E:$E,1,0))),vlookup($A731&amp;$B731,{'3) Release_Label'!$D:$D&amp;'3) Release_Label'!$E:$E,'3) Release_Label'!$F:$F},2,0), or(and(not(isblank($B731)),$B731=$B730,$A731&lt;&gt;$A730),and(not(isblank($A731)),$A731=$A730,$B731&lt;&gt;$B730)),"ID LISTS UNALIGNED",and($A731&lt;&gt;"",countif('3) Release_Label'!$D:$D,$A731)=0),"NO UPC MATCH in Release_Label",and($B731&lt;&gt;"",countif('3) Release_Label'!$E:$E,$B731)=0),"NO CATALOG ID MATCH in Release_Label",iserror(vlookup($A731&amp;$B731,'3) Release_Label'!$D:$D&amp;'3) Release_Label'!$E:$E,1,0)),"NO UPC-CATALOG ID pair MATCH in Release_Label" )</f>
        <v/>
      </c>
      <c r="D731" s="121" t="str">
        <f t="array" ref="D731">ifs(and(isblank($A731),isblank($B731)),"", not(iserror(vlookup($A731&amp;$B731,'3) Release_Label'!$D:$D&amp;'3) Release_Label'!$E:$E,1,0))),vlookup($A731&amp;$B731,{'3) Release_Label'!$D:$D&amp;'3) Release_Label'!$E:$E,'3) Release_Label'!$H:$H},2,0), or(and(not(isblank($B731)),$B731=$B730,$A731&lt;&gt;$A730),and(not(isblank($A731)),$A731=$A730,$B731&lt;&gt;$B730)),"ID LISTS UNALIGNED",and($A731&lt;&gt;"",countif('3) Release_Label'!$D:$D,$A731)=0),"NO UPC MATCH in Release_Label",and($B731&lt;&gt;"",countif('3) Release_Label'!$E:$E,$B731)=0),"NO CATALOG ID MATCH in Release_Label",iserror(vlookup($A731&amp;$B731,'3) Release_Label'!$D:$D&amp;'3) Release_Label'!$E:$E,1,0)),"NO UPC-CATALOG ID pair MATCH in Release_Label" )</f>
        <v/>
      </c>
      <c r="E731" s="92"/>
      <c r="F731" s="92"/>
      <c r="G731" s="125" t="str">
        <f t="array" ref="G731">ifs(or($F731="",$F731="Main Primary Artist"),$F731,not(iserror(vlookup($F731,'Reference info'!$J$5:$J$8,1,0))),"Key Artist",not(iserror(vlookup($F731,'Reference info'!$J$38:$J$405,1,0))),"Performer",not(iserror(vlookup($F731,'Reference info'!$J$10:$J$36,1,0))),"Producer &amp; Engineer")</f>
        <v/>
      </c>
    </row>
    <row r="732">
      <c r="A732" s="28"/>
      <c r="B732" s="97"/>
      <c r="C732" s="121" t="str">
        <f t="array" ref="C732">ifs(and(isblank($A732),isblank($B732)),"", not(iserror(vlookup($A732&amp;$B732,'3) Release_Label'!$D:$D&amp;'3) Release_Label'!$E:$E,1,0))),vlookup($A732&amp;$B732,{'3) Release_Label'!$D:$D&amp;'3) Release_Label'!$E:$E,'3) Release_Label'!$F:$F},2,0), or(and(not(isblank($B732)),$B732=$B731,$A732&lt;&gt;$A731),and(not(isblank($A732)),$A732=$A731,$B732&lt;&gt;$B731)),"ID LISTS UNALIGNED",and($A732&lt;&gt;"",countif('3) Release_Label'!$D:$D,$A732)=0),"NO UPC MATCH in Release_Label",and($B732&lt;&gt;"",countif('3) Release_Label'!$E:$E,$B732)=0),"NO CATALOG ID MATCH in Release_Label",iserror(vlookup($A732&amp;$B732,'3) Release_Label'!$D:$D&amp;'3) Release_Label'!$E:$E,1,0)),"NO UPC-CATALOG ID pair MATCH in Release_Label" )</f>
        <v/>
      </c>
      <c r="D732" s="121" t="str">
        <f t="array" ref="D732">ifs(and(isblank($A732),isblank($B732)),"", not(iserror(vlookup($A732&amp;$B732,'3) Release_Label'!$D:$D&amp;'3) Release_Label'!$E:$E,1,0))),vlookup($A732&amp;$B732,{'3) Release_Label'!$D:$D&amp;'3) Release_Label'!$E:$E,'3) Release_Label'!$H:$H},2,0), or(and(not(isblank($B732)),$B732=$B731,$A732&lt;&gt;$A731),and(not(isblank($A732)),$A732=$A731,$B732&lt;&gt;$B731)),"ID LISTS UNALIGNED",and($A732&lt;&gt;"",countif('3) Release_Label'!$D:$D,$A732)=0),"NO UPC MATCH in Release_Label",and($B732&lt;&gt;"",countif('3) Release_Label'!$E:$E,$B732)=0),"NO CATALOG ID MATCH in Release_Label",iserror(vlookup($A732&amp;$B732,'3) Release_Label'!$D:$D&amp;'3) Release_Label'!$E:$E,1,0)),"NO UPC-CATALOG ID pair MATCH in Release_Label" )</f>
        <v/>
      </c>
      <c r="E732" s="92"/>
      <c r="F732" s="92"/>
      <c r="G732" s="125" t="str">
        <f t="array" ref="G732">ifs(or($F732="",$F732="Main Primary Artist"),$F732,not(iserror(vlookup($F732,'Reference info'!$J$5:$J$8,1,0))),"Key Artist",not(iserror(vlookup($F732,'Reference info'!$J$38:$J$405,1,0))),"Performer",not(iserror(vlookup($F732,'Reference info'!$J$10:$J$36,1,0))),"Producer &amp; Engineer")</f>
        <v/>
      </c>
    </row>
    <row r="733">
      <c r="A733" s="28"/>
      <c r="B733" s="97"/>
      <c r="C733" s="121" t="str">
        <f t="array" ref="C733">ifs(and(isblank($A733),isblank($B733)),"", not(iserror(vlookup($A733&amp;$B733,'3) Release_Label'!$D:$D&amp;'3) Release_Label'!$E:$E,1,0))),vlookup($A733&amp;$B733,{'3) Release_Label'!$D:$D&amp;'3) Release_Label'!$E:$E,'3) Release_Label'!$F:$F},2,0), or(and(not(isblank($B733)),$B733=$B732,$A733&lt;&gt;$A732),and(not(isblank($A733)),$A733=$A732,$B733&lt;&gt;$B732)),"ID LISTS UNALIGNED",and($A733&lt;&gt;"",countif('3) Release_Label'!$D:$D,$A733)=0),"NO UPC MATCH in Release_Label",and($B733&lt;&gt;"",countif('3) Release_Label'!$E:$E,$B733)=0),"NO CATALOG ID MATCH in Release_Label",iserror(vlookup($A733&amp;$B733,'3) Release_Label'!$D:$D&amp;'3) Release_Label'!$E:$E,1,0)),"NO UPC-CATALOG ID pair MATCH in Release_Label" )</f>
        <v/>
      </c>
      <c r="D733" s="121" t="str">
        <f t="array" ref="D733">ifs(and(isblank($A733),isblank($B733)),"", not(iserror(vlookup($A733&amp;$B733,'3) Release_Label'!$D:$D&amp;'3) Release_Label'!$E:$E,1,0))),vlookup($A733&amp;$B733,{'3) Release_Label'!$D:$D&amp;'3) Release_Label'!$E:$E,'3) Release_Label'!$H:$H},2,0), or(and(not(isblank($B733)),$B733=$B732,$A733&lt;&gt;$A732),and(not(isblank($A733)),$A733=$A732,$B733&lt;&gt;$B732)),"ID LISTS UNALIGNED",and($A733&lt;&gt;"",countif('3) Release_Label'!$D:$D,$A733)=0),"NO UPC MATCH in Release_Label",and($B733&lt;&gt;"",countif('3) Release_Label'!$E:$E,$B733)=0),"NO CATALOG ID MATCH in Release_Label",iserror(vlookup($A733&amp;$B733,'3) Release_Label'!$D:$D&amp;'3) Release_Label'!$E:$E,1,0)),"NO UPC-CATALOG ID pair MATCH in Release_Label" )</f>
        <v/>
      </c>
      <c r="E733" s="92"/>
      <c r="F733" s="92"/>
      <c r="G733" s="125" t="str">
        <f t="array" ref="G733">ifs(or($F733="",$F733="Main Primary Artist"),$F733,not(iserror(vlookup($F733,'Reference info'!$J$5:$J$8,1,0))),"Key Artist",not(iserror(vlookup($F733,'Reference info'!$J$38:$J$405,1,0))),"Performer",not(iserror(vlookup($F733,'Reference info'!$J$10:$J$36,1,0))),"Producer &amp; Engineer")</f>
        <v/>
      </c>
    </row>
    <row r="734">
      <c r="A734" s="28"/>
      <c r="B734" s="97"/>
      <c r="C734" s="121" t="str">
        <f t="array" ref="C734">ifs(and(isblank($A734),isblank($B734)),"", not(iserror(vlookup($A734&amp;$B734,'3) Release_Label'!$D:$D&amp;'3) Release_Label'!$E:$E,1,0))),vlookup($A734&amp;$B734,{'3) Release_Label'!$D:$D&amp;'3) Release_Label'!$E:$E,'3) Release_Label'!$F:$F},2,0), or(and(not(isblank($B734)),$B734=$B733,$A734&lt;&gt;$A733),and(not(isblank($A734)),$A734=$A733,$B734&lt;&gt;$B733)),"ID LISTS UNALIGNED",and($A734&lt;&gt;"",countif('3) Release_Label'!$D:$D,$A734)=0),"NO UPC MATCH in Release_Label",and($B734&lt;&gt;"",countif('3) Release_Label'!$E:$E,$B734)=0),"NO CATALOG ID MATCH in Release_Label",iserror(vlookup($A734&amp;$B734,'3) Release_Label'!$D:$D&amp;'3) Release_Label'!$E:$E,1,0)),"NO UPC-CATALOG ID pair MATCH in Release_Label" )</f>
        <v/>
      </c>
      <c r="D734" s="121" t="str">
        <f t="array" ref="D734">ifs(and(isblank($A734),isblank($B734)),"", not(iserror(vlookup($A734&amp;$B734,'3) Release_Label'!$D:$D&amp;'3) Release_Label'!$E:$E,1,0))),vlookup($A734&amp;$B734,{'3) Release_Label'!$D:$D&amp;'3) Release_Label'!$E:$E,'3) Release_Label'!$H:$H},2,0), or(and(not(isblank($B734)),$B734=$B733,$A734&lt;&gt;$A733),and(not(isblank($A734)),$A734=$A733,$B734&lt;&gt;$B733)),"ID LISTS UNALIGNED",and($A734&lt;&gt;"",countif('3) Release_Label'!$D:$D,$A734)=0),"NO UPC MATCH in Release_Label",and($B734&lt;&gt;"",countif('3) Release_Label'!$E:$E,$B734)=0),"NO CATALOG ID MATCH in Release_Label",iserror(vlookup($A734&amp;$B734,'3) Release_Label'!$D:$D&amp;'3) Release_Label'!$E:$E,1,0)),"NO UPC-CATALOG ID pair MATCH in Release_Label" )</f>
        <v/>
      </c>
      <c r="E734" s="92"/>
      <c r="F734" s="92"/>
      <c r="G734" s="125" t="str">
        <f t="array" ref="G734">ifs(or($F734="",$F734="Main Primary Artist"),$F734,not(iserror(vlookup($F734,'Reference info'!$J$5:$J$8,1,0))),"Key Artist",not(iserror(vlookup($F734,'Reference info'!$J$38:$J$405,1,0))),"Performer",not(iserror(vlookup($F734,'Reference info'!$J$10:$J$36,1,0))),"Producer &amp; Engineer")</f>
        <v/>
      </c>
    </row>
    <row r="735">
      <c r="A735" s="28"/>
      <c r="B735" s="97"/>
      <c r="C735" s="121" t="str">
        <f t="array" ref="C735">ifs(and(isblank($A735),isblank($B735)),"", not(iserror(vlookup($A735&amp;$B735,'3) Release_Label'!$D:$D&amp;'3) Release_Label'!$E:$E,1,0))),vlookup($A735&amp;$B735,{'3) Release_Label'!$D:$D&amp;'3) Release_Label'!$E:$E,'3) Release_Label'!$F:$F},2,0), or(and(not(isblank($B735)),$B735=$B734,$A735&lt;&gt;$A734),and(not(isblank($A735)),$A735=$A734,$B735&lt;&gt;$B734)),"ID LISTS UNALIGNED",and($A735&lt;&gt;"",countif('3) Release_Label'!$D:$D,$A735)=0),"NO UPC MATCH in Release_Label",and($B735&lt;&gt;"",countif('3) Release_Label'!$E:$E,$B735)=0),"NO CATALOG ID MATCH in Release_Label",iserror(vlookup($A735&amp;$B735,'3) Release_Label'!$D:$D&amp;'3) Release_Label'!$E:$E,1,0)),"NO UPC-CATALOG ID pair MATCH in Release_Label" )</f>
        <v/>
      </c>
      <c r="D735" s="121" t="str">
        <f t="array" ref="D735">ifs(and(isblank($A735),isblank($B735)),"", not(iserror(vlookup($A735&amp;$B735,'3) Release_Label'!$D:$D&amp;'3) Release_Label'!$E:$E,1,0))),vlookup($A735&amp;$B735,{'3) Release_Label'!$D:$D&amp;'3) Release_Label'!$E:$E,'3) Release_Label'!$H:$H},2,0), or(and(not(isblank($B735)),$B735=$B734,$A735&lt;&gt;$A734),and(not(isblank($A735)),$A735=$A734,$B735&lt;&gt;$B734)),"ID LISTS UNALIGNED",and($A735&lt;&gt;"",countif('3) Release_Label'!$D:$D,$A735)=0),"NO UPC MATCH in Release_Label",and($B735&lt;&gt;"",countif('3) Release_Label'!$E:$E,$B735)=0),"NO CATALOG ID MATCH in Release_Label",iserror(vlookup($A735&amp;$B735,'3) Release_Label'!$D:$D&amp;'3) Release_Label'!$E:$E,1,0)),"NO UPC-CATALOG ID pair MATCH in Release_Label" )</f>
        <v/>
      </c>
      <c r="E735" s="92"/>
      <c r="F735" s="92"/>
      <c r="G735" s="125" t="str">
        <f t="array" ref="G735">ifs(or($F735="",$F735="Main Primary Artist"),$F735,not(iserror(vlookup($F735,'Reference info'!$J$5:$J$8,1,0))),"Key Artist",not(iserror(vlookup($F735,'Reference info'!$J$38:$J$405,1,0))),"Performer",not(iserror(vlookup($F735,'Reference info'!$J$10:$J$36,1,0))),"Producer &amp; Engineer")</f>
        <v/>
      </c>
    </row>
    <row r="736">
      <c r="A736" s="28"/>
      <c r="B736" s="97"/>
      <c r="C736" s="121" t="str">
        <f t="array" ref="C736">ifs(and(isblank($A736),isblank($B736)),"", not(iserror(vlookup($A736&amp;$B736,'3) Release_Label'!$D:$D&amp;'3) Release_Label'!$E:$E,1,0))),vlookup($A736&amp;$B736,{'3) Release_Label'!$D:$D&amp;'3) Release_Label'!$E:$E,'3) Release_Label'!$F:$F},2,0), or(and(not(isblank($B736)),$B736=$B735,$A736&lt;&gt;$A735),and(not(isblank($A736)),$A736=$A735,$B736&lt;&gt;$B735)),"ID LISTS UNALIGNED",and($A736&lt;&gt;"",countif('3) Release_Label'!$D:$D,$A736)=0),"NO UPC MATCH in Release_Label",and($B736&lt;&gt;"",countif('3) Release_Label'!$E:$E,$B736)=0),"NO CATALOG ID MATCH in Release_Label",iserror(vlookup($A736&amp;$B736,'3) Release_Label'!$D:$D&amp;'3) Release_Label'!$E:$E,1,0)),"NO UPC-CATALOG ID pair MATCH in Release_Label" )</f>
        <v/>
      </c>
      <c r="D736" s="121" t="str">
        <f t="array" ref="D736">ifs(and(isblank($A736),isblank($B736)),"", not(iserror(vlookup($A736&amp;$B736,'3) Release_Label'!$D:$D&amp;'3) Release_Label'!$E:$E,1,0))),vlookup($A736&amp;$B736,{'3) Release_Label'!$D:$D&amp;'3) Release_Label'!$E:$E,'3) Release_Label'!$H:$H},2,0), or(and(not(isblank($B736)),$B736=$B735,$A736&lt;&gt;$A735),and(not(isblank($A736)),$A736=$A735,$B736&lt;&gt;$B735)),"ID LISTS UNALIGNED",and($A736&lt;&gt;"",countif('3) Release_Label'!$D:$D,$A736)=0),"NO UPC MATCH in Release_Label",and($B736&lt;&gt;"",countif('3) Release_Label'!$E:$E,$B736)=0),"NO CATALOG ID MATCH in Release_Label",iserror(vlookup($A736&amp;$B736,'3) Release_Label'!$D:$D&amp;'3) Release_Label'!$E:$E,1,0)),"NO UPC-CATALOG ID pair MATCH in Release_Label" )</f>
        <v/>
      </c>
      <c r="E736" s="92"/>
      <c r="F736" s="92"/>
      <c r="G736" s="125" t="str">
        <f t="array" ref="G736">ifs(or($F736="",$F736="Main Primary Artist"),$F736,not(iserror(vlookup($F736,'Reference info'!$J$5:$J$8,1,0))),"Key Artist",not(iserror(vlookup($F736,'Reference info'!$J$38:$J$405,1,0))),"Performer",not(iserror(vlookup($F736,'Reference info'!$J$10:$J$36,1,0))),"Producer &amp; Engineer")</f>
        <v/>
      </c>
    </row>
    <row r="737">
      <c r="A737" s="28"/>
      <c r="B737" s="97"/>
      <c r="C737" s="121" t="str">
        <f t="array" ref="C737">ifs(and(isblank($A737),isblank($B737)),"", not(iserror(vlookup($A737&amp;$B737,'3) Release_Label'!$D:$D&amp;'3) Release_Label'!$E:$E,1,0))),vlookup($A737&amp;$B737,{'3) Release_Label'!$D:$D&amp;'3) Release_Label'!$E:$E,'3) Release_Label'!$F:$F},2,0), or(and(not(isblank($B737)),$B737=$B736,$A737&lt;&gt;$A736),and(not(isblank($A737)),$A737=$A736,$B737&lt;&gt;$B736)),"ID LISTS UNALIGNED",and($A737&lt;&gt;"",countif('3) Release_Label'!$D:$D,$A737)=0),"NO UPC MATCH in Release_Label",and($B737&lt;&gt;"",countif('3) Release_Label'!$E:$E,$B737)=0),"NO CATALOG ID MATCH in Release_Label",iserror(vlookup($A737&amp;$B737,'3) Release_Label'!$D:$D&amp;'3) Release_Label'!$E:$E,1,0)),"NO UPC-CATALOG ID pair MATCH in Release_Label" )</f>
        <v/>
      </c>
      <c r="D737" s="121" t="str">
        <f t="array" ref="D737">ifs(and(isblank($A737),isblank($B737)),"", not(iserror(vlookup($A737&amp;$B737,'3) Release_Label'!$D:$D&amp;'3) Release_Label'!$E:$E,1,0))),vlookup($A737&amp;$B737,{'3) Release_Label'!$D:$D&amp;'3) Release_Label'!$E:$E,'3) Release_Label'!$H:$H},2,0), or(and(not(isblank($B737)),$B737=$B736,$A737&lt;&gt;$A736),and(not(isblank($A737)),$A737=$A736,$B737&lt;&gt;$B736)),"ID LISTS UNALIGNED",and($A737&lt;&gt;"",countif('3) Release_Label'!$D:$D,$A737)=0),"NO UPC MATCH in Release_Label",and($B737&lt;&gt;"",countif('3) Release_Label'!$E:$E,$B737)=0),"NO CATALOG ID MATCH in Release_Label",iserror(vlookup($A737&amp;$B737,'3) Release_Label'!$D:$D&amp;'3) Release_Label'!$E:$E,1,0)),"NO UPC-CATALOG ID pair MATCH in Release_Label" )</f>
        <v/>
      </c>
      <c r="E737" s="92"/>
      <c r="F737" s="92"/>
      <c r="G737" s="125" t="str">
        <f t="array" ref="G737">ifs(or($F737="",$F737="Main Primary Artist"),$F737,not(iserror(vlookup($F737,'Reference info'!$J$5:$J$8,1,0))),"Key Artist",not(iserror(vlookup($F737,'Reference info'!$J$38:$J$405,1,0))),"Performer",not(iserror(vlookup($F737,'Reference info'!$J$10:$J$36,1,0))),"Producer &amp; Engineer")</f>
        <v/>
      </c>
    </row>
    <row r="738">
      <c r="A738" s="28"/>
      <c r="B738" s="97"/>
      <c r="C738" s="121" t="str">
        <f t="array" ref="C738">ifs(and(isblank($A738),isblank($B738)),"", not(iserror(vlookup($A738&amp;$B738,'3) Release_Label'!$D:$D&amp;'3) Release_Label'!$E:$E,1,0))),vlookup($A738&amp;$B738,{'3) Release_Label'!$D:$D&amp;'3) Release_Label'!$E:$E,'3) Release_Label'!$F:$F},2,0), or(and(not(isblank($B738)),$B738=$B737,$A738&lt;&gt;$A737),and(not(isblank($A738)),$A738=$A737,$B738&lt;&gt;$B737)),"ID LISTS UNALIGNED",and($A738&lt;&gt;"",countif('3) Release_Label'!$D:$D,$A738)=0),"NO UPC MATCH in Release_Label",and($B738&lt;&gt;"",countif('3) Release_Label'!$E:$E,$B738)=0),"NO CATALOG ID MATCH in Release_Label",iserror(vlookup($A738&amp;$B738,'3) Release_Label'!$D:$D&amp;'3) Release_Label'!$E:$E,1,0)),"NO UPC-CATALOG ID pair MATCH in Release_Label" )</f>
        <v/>
      </c>
      <c r="D738" s="121" t="str">
        <f t="array" ref="D738">ifs(and(isblank($A738),isblank($B738)),"", not(iserror(vlookup($A738&amp;$B738,'3) Release_Label'!$D:$D&amp;'3) Release_Label'!$E:$E,1,0))),vlookup($A738&amp;$B738,{'3) Release_Label'!$D:$D&amp;'3) Release_Label'!$E:$E,'3) Release_Label'!$H:$H},2,0), or(and(not(isblank($B738)),$B738=$B737,$A738&lt;&gt;$A737),and(not(isblank($A738)),$A738=$A737,$B738&lt;&gt;$B737)),"ID LISTS UNALIGNED",and($A738&lt;&gt;"",countif('3) Release_Label'!$D:$D,$A738)=0),"NO UPC MATCH in Release_Label",and($B738&lt;&gt;"",countif('3) Release_Label'!$E:$E,$B738)=0),"NO CATALOG ID MATCH in Release_Label",iserror(vlookup($A738&amp;$B738,'3) Release_Label'!$D:$D&amp;'3) Release_Label'!$E:$E,1,0)),"NO UPC-CATALOG ID pair MATCH in Release_Label" )</f>
        <v/>
      </c>
      <c r="E738" s="92"/>
      <c r="F738" s="92"/>
      <c r="G738" s="125" t="str">
        <f t="array" ref="G738">ifs(or($F738="",$F738="Main Primary Artist"),$F738,not(iserror(vlookup($F738,'Reference info'!$J$5:$J$8,1,0))),"Key Artist",not(iserror(vlookup($F738,'Reference info'!$J$38:$J$405,1,0))),"Performer",not(iserror(vlookup($F738,'Reference info'!$J$10:$J$36,1,0))),"Producer &amp; Engineer")</f>
        <v/>
      </c>
    </row>
    <row r="739">
      <c r="A739" s="28"/>
      <c r="B739" s="97"/>
      <c r="C739" s="121" t="str">
        <f t="array" ref="C739">ifs(and(isblank($A739),isblank($B739)),"", not(iserror(vlookup($A739&amp;$B739,'3) Release_Label'!$D:$D&amp;'3) Release_Label'!$E:$E,1,0))),vlookup($A739&amp;$B739,{'3) Release_Label'!$D:$D&amp;'3) Release_Label'!$E:$E,'3) Release_Label'!$F:$F},2,0), or(and(not(isblank($B739)),$B739=$B738,$A739&lt;&gt;$A738),and(not(isblank($A739)),$A739=$A738,$B739&lt;&gt;$B738)),"ID LISTS UNALIGNED",and($A739&lt;&gt;"",countif('3) Release_Label'!$D:$D,$A739)=0),"NO UPC MATCH in Release_Label",and($B739&lt;&gt;"",countif('3) Release_Label'!$E:$E,$B739)=0),"NO CATALOG ID MATCH in Release_Label",iserror(vlookup($A739&amp;$B739,'3) Release_Label'!$D:$D&amp;'3) Release_Label'!$E:$E,1,0)),"NO UPC-CATALOG ID pair MATCH in Release_Label" )</f>
        <v/>
      </c>
      <c r="D739" s="121" t="str">
        <f t="array" ref="D739">ifs(and(isblank($A739),isblank($B739)),"", not(iserror(vlookup($A739&amp;$B739,'3) Release_Label'!$D:$D&amp;'3) Release_Label'!$E:$E,1,0))),vlookup($A739&amp;$B739,{'3) Release_Label'!$D:$D&amp;'3) Release_Label'!$E:$E,'3) Release_Label'!$H:$H},2,0), or(and(not(isblank($B739)),$B739=$B738,$A739&lt;&gt;$A738),and(not(isblank($A739)),$A739=$A738,$B739&lt;&gt;$B738)),"ID LISTS UNALIGNED",and($A739&lt;&gt;"",countif('3) Release_Label'!$D:$D,$A739)=0),"NO UPC MATCH in Release_Label",and($B739&lt;&gt;"",countif('3) Release_Label'!$E:$E,$B739)=0),"NO CATALOG ID MATCH in Release_Label",iserror(vlookup($A739&amp;$B739,'3) Release_Label'!$D:$D&amp;'3) Release_Label'!$E:$E,1,0)),"NO UPC-CATALOG ID pair MATCH in Release_Label" )</f>
        <v/>
      </c>
      <c r="E739" s="92"/>
      <c r="F739" s="92"/>
      <c r="G739" s="125" t="str">
        <f t="array" ref="G739">ifs(or($F739="",$F739="Main Primary Artist"),$F739,not(iserror(vlookup($F739,'Reference info'!$J$5:$J$8,1,0))),"Key Artist",not(iserror(vlookup($F739,'Reference info'!$J$38:$J$405,1,0))),"Performer",not(iserror(vlookup($F739,'Reference info'!$J$10:$J$36,1,0))),"Producer &amp; Engineer")</f>
        <v/>
      </c>
    </row>
    <row r="740">
      <c r="A740" s="28"/>
      <c r="B740" s="97"/>
      <c r="C740" s="121" t="str">
        <f t="array" ref="C740">ifs(and(isblank($A740),isblank($B740)),"", not(iserror(vlookup($A740&amp;$B740,'3) Release_Label'!$D:$D&amp;'3) Release_Label'!$E:$E,1,0))),vlookup($A740&amp;$B740,{'3) Release_Label'!$D:$D&amp;'3) Release_Label'!$E:$E,'3) Release_Label'!$F:$F},2,0), or(and(not(isblank($B740)),$B740=$B739,$A740&lt;&gt;$A739),and(not(isblank($A740)),$A740=$A739,$B740&lt;&gt;$B739)),"ID LISTS UNALIGNED",and($A740&lt;&gt;"",countif('3) Release_Label'!$D:$D,$A740)=0),"NO UPC MATCH in Release_Label",and($B740&lt;&gt;"",countif('3) Release_Label'!$E:$E,$B740)=0),"NO CATALOG ID MATCH in Release_Label",iserror(vlookup($A740&amp;$B740,'3) Release_Label'!$D:$D&amp;'3) Release_Label'!$E:$E,1,0)),"NO UPC-CATALOG ID pair MATCH in Release_Label" )</f>
        <v/>
      </c>
      <c r="D740" s="121" t="str">
        <f t="array" ref="D740">ifs(and(isblank($A740),isblank($B740)),"", not(iserror(vlookup($A740&amp;$B740,'3) Release_Label'!$D:$D&amp;'3) Release_Label'!$E:$E,1,0))),vlookup($A740&amp;$B740,{'3) Release_Label'!$D:$D&amp;'3) Release_Label'!$E:$E,'3) Release_Label'!$H:$H},2,0), or(and(not(isblank($B740)),$B740=$B739,$A740&lt;&gt;$A739),and(not(isblank($A740)),$A740=$A739,$B740&lt;&gt;$B739)),"ID LISTS UNALIGNED",and($A740&lt;&gt;"",countif('3) Release_Label'!$D:$D,$A740)=0),"NO UPC MATCH in Release_Label",and($B740&lt;&gt;"",countif('3) Release_Label'!$E:$E,$B740)=0),"NO CATALOG ID MATCH in Release_Label",iserror(vlookup($A740&amp;$B740,'3) Release_Label'!$D:$D&amp;'3) Release_Label'!$E:$E,1,0)),"NO UPC-CATALOG ID pair MATCH in Release_Label" )</f>
        <v/>
      </c>
      <c r="E740" s="92"/>
      <c r="F740" s="92"/>
      <c r="G740" s="125" t="str">
        <f t="array" ref="G740">ifs(or($F740="",$F740="Main Primary Artist"),$F740,not(iserror(vlookup($F740,'Reference info'!$J$5:$J$8,1,0))),"Key Artist",not(iserror(vlookup($F740,'Reference info'!$J$38:$J$405,1,0))),"Performer",not(iserror(vlookup($F740,'Reference info'!$J$10:$J$36,1,0))),"Producer &amp; Engineer")</f>
        <v/>
      </c>
    </row>
    <row r="741">
      <c r="A741" s="28"/>
      <c r="B741" s="97"/>
      <c r="C741" s="121" t="str">
        <f t="array" ref="C741">ifs(and(isblank($A741),isblank($B741)),"", not(iserror(vlookup($A741&amp;$B741,'3) Release_Label'!$D:$D&amp;'3) Release_Label'!$E:$E,1,0))),vlookup($A741&amp;$B741,{'3) Release_Label'!$D:$D&amp;'3) Release_Label'!$E:$E,'3) Release_Label'!$F:$F},2,0), or(and(not(isblank($B741)),$B741=$B740,$A741&lt;&gt;$A740),and(not(isblank($A741)),$A741=$A740,$B741&lt;&gt;$B740)),"ID LISTS UNALIGNED",and($A741&lt;&gt;"",countif('3) Release_Label'!$D:$D,$A741)=0),"NO UPC MATCH in Release_Label",and($B741&lt;&gt;"",countif('3) Release_Label'!$E:$E,$B741)=0),"NO CATALOG ID MATCH in Release_Label",iserror(vlookup($A741&amp;$B741,'3) Release_Label'!$D:$D&amp;'3) Release_Label'!$E:$E,1,0)),"NO UPC-CATALOG ID pair MATCH in Release_Label" )</f>
        <v/>
      </c>
      <c r="D741" s="121" t="str">
        <f t="array" ref="D741">ifs(and(isblank($A741),isblank($B741)),"", not(iserror(vlookup($A741&amp;$B741,'3) Release_Label'!$D:$D&amp;'3) Release_Label'!$E:$E,1,0))),vlookup($A741&amp;$B741,{'3) Release_Label'!$D:$D&amp;'3) Release_Label'!$E:$E,'3) Release_Label'!$H:$H},2,0), or(and(not(isblank($B741)),$B741=$B740,$A741&lt;&gt;$A740),and(not(isblank($A741)),$A741=$A740,$B741&lt;&gt;$B740)),"ID LISTS UNALIGNED",and($A741&lt;&gt;"",countif('3) Release_Label'!$D:$D,$A741)=0),"NO UPC MATCH in Release_Label",and($B741&lt;&gt;"",countif('3) Release_Label'!$E:$E,$B741)=0),"NO CATALOG ID MATCH in Release_Label",iserror(vlookup($A741&amp;$B741,'3) Release_Label'!$D:$D&amp;'3) Release_Label'!$E:$E,1,0)),"NO UPC-CATALOG ID pair MATCH in Release_Label" )</f>
        <v/>
      </c>
      <c r="E741" s="92"/>
      <c r="F741" s="92"/>
      <c r="G741" s="125" t="str">
        <f t="array" ref="G741">ifs(or($F741="",$F741="Main Primary Artist"),$F741,not(iserror(vlookup($F741,'Reference info'!$J$5:$J$8,1,0))),"Key Artist",not(iserror(vlookup($F741,'Reference info'!$J$38:$J$405,1,0))),"Performer",not(iserror(vlookup($F741,'Reference info'!$J$10:$J$36,1,0))),"Producer &amp; Engineer")</f>
        <v/>
      </c>
    </row>
    <row r="742">
      <c r="A742" s="28"/>
      <c r="B742" s="97"/>
      <c r="C742" s="121" t="str">
        <f t="array" ref="C742">ifs(and(isblank($A742),isblank($B742)),"", not(iserror(vlookup($A742&amp;$B742,'3) Release_Label'!$D:$D&amp;'3) Release_Label'!$E:$E,1,0))),vlookup($A742&amp;$B742,{'3) Release_Label'!$D:$D&amp;'3) Release_Label'!$E:$E,'3) Release_Label'!$F:$F},2,0), or(and(not(isblank($B742)),$B742=$B741,$A742&lt;&gt;$A741),and(not(isblank($A742)),$A742=$A741,$B742&lt;&gt;$B741)),"ID LISTS UNALIGNED",and($A742&lt;&gt;"",countif('3) Release_Label'!$D:$D,$A742)=0),"NO UPC MATCH in Release_Label",and($B742&lt;&gt;"",countif('3) Release_Label'!$E:$E,$B742)=0),"NO CATALOG ID MATCH in Release_Label",iserror(vlookup($A742&amp;$B742,'3) Release_Label'!$D:$D&amp;'3) Release_Label'!$E:$E,1,0)),"NO UPC-CATALOG ID pair MATCH in Release_Label" )</f>
        <v/>
      </c>
      <c r="D742" s="121" t="str">
        <f t="array" ref="D742">ifs(and(isblank($A742),isblank($B742)),"", not(iserror(vlookup($A742&amp;$B742,'3) Release_Label'!$D:$D&amp;'3) Release_Label'!$E:$E,1,0))),vlookup($A742&amp;$B742,{'3) Release_Label'!$D:$D&amp;'3) Release_Label'!$E:$E,'3) Release_Label'!$H:$H},2,0), or(and(not(isblank($B742)),$B742=$B741,$A742&lt;&gt;$A741),and(not(isblank($A742)),$A742=$A741,$B742&lt;&gt;$B741)),"ID LISTS UNALIGNED",and($A742&lt;&gt;"",countif('3) Release_Label'!$D:$D,$A742)=0),"NO UPC MATCH in Release_Label",and($B742&lt;&gt;"",countif('3) Release_Label'!$E:$E,$B742)=0),"NO CATALOG ID MATCH in Release_Label",iserror(vlookup($A742&amp;$B742,'3) Release_Label'!$D:$D&amp;'3) Release_Label'!$E:$E,1,0)),"NO UPC-CATALOG ID pair MATCH in Release_Label" )</f>
        <v/>
      </c>
      <c r="E742" s="92"/>
      <c r="F742" s="92"/>
      <c r="G742" s="125" t="str">
        <f t="array" ref="G742">ifs(or($F742="",$F742="Main Primary Artist"),$F742,not(iserror(vlookup($F742,'Reference info'!$J$5:$J$8,1,0))),"Key Artist",not(iserror(vlookup($F742,'Reference info'!$J$38:$J$405,1,0))),"Performer",not(iserror(vlookup($F742,'Reference info'!$J$10:$J$36,1,0))),"Producer &amp; Engineer")</f>
        <v/>
      </c>
    </row>
    <row r="743">
      <c r="A743" s="28"/>
      <c r="B743" s="97"/>
      <c r="C743" s="121" t="str">
        <f t="array" ref="C743">ifs(and(isblank($A743),isblank($B743)),"", not(iserror(vlookup($A743&amp;$B743,'3) Release_Label'!$D:$D&amp;'3) Release_Label'!$E:$E,1,0))),vlookup($A743&amp;$B743,{'3) Release_Label'!$D:$D&amp;'3) Release_Label'!$E:$E,'3) Release_Label'!$F:$F},2,0), or(and(not(isblank($B743)),$B743=$B742,$A743&lt;&gt;$A742),and(not(isblank($A743)),$A743=$A742,$B743&lt;&gt;$B742)),"ID LISTS UNALIGNED",and($A743&lt;&gt;"",countif('3) Release_Label'!$D:$D,$A743)=0),"NO UPC MATCH in Release_Label",and($B743&lt;&gt;"",countif('3) Release_Label'!$E:$E,$B743)=0),"NO CATALOG ID MATCH in Release_Label",iserror(vlookup($A743&amp;$B743,'3) Release_Label'!$D:$D&amp;'3) Release_Label'!$E:$E,1,0)),"NO UPC-CATALOG ID pair MATCH in Release_Label" )</f>
        <v/>
      </c>
      <c r="D743" s="121" t="str">
        <f t="array" ref="D743">ifs(and(isblank($A743),isblank($B743)),"", not(iserror(vlookup($A743&amp;$B743,'3) Release_Label'!$D:$D&amp;'3) Release_Label'!$E:$E,1,0))),vlookup($A743&amp;$B743,{'3) Release_Label'!$D:$D&amp;'3) Release_Label'!$E:$E,'3) Release_Label'!$H:$H},2,0), or(and(not(isblank($B743)),$B743=$B742,$A743&lt;&gt;$A742),and(not(isblank($A743)),$A743=$A742,$B743&lt;&gt;$B742)),"ID LISTS UNALIGNED",and($A743&lt;&gt;"",countif('3) Release_Label'!$D:$D,$A743)=0),"NO UPC MATCH in Release_Label",and($B743&lt;&gt;"",countif('3) Release_Label'!$E:$E,$B743)=0),"NO CATALOG ID MATCH in Release_Label",iserror(vlookup($A743&amp;$B743,'3) Release_Label'!$D:$D&amp;'3) Release_Label'!$E:$E,1,0)),"NO UPC-CATALOG ID pair MATCH in Release_Label" )</f>
        <v/>
      </c>
      <c r="E743" s="92"/>
      <c r="F743" s="92"/>
      <c r="G743" s="125" t="str">
        <f t="array" ref="G743">ifs(or($F743="",$F743="Main Primary Artist"),$F743,not(iserror(vlookup($F743,'Reference info'!$J$5:$J$8,1,0))),"Key Artist",not(iserror(vlookup($F743,'Reference info'!$J$38:$J$405,1,0))),"Performer",not(iserror(vlookup($F743,'Reference info'!$J$10:$J$36,1,0))),"Producer &amp; Engineer")</f>
        <v/>
      </c>
    </row>
    <row r="744">
      <c r="A744" s="28"/>
      <c r="B744" s="97"/>
      <c r="C744" s="121" t="str">
        <f t="array" ref="C744">ifs(and(isblank($A744),isblank($B744)),"", not(iserror(vlookup($A744&amp;$B744,'3) Release_Label'!$D:$D&amp;'3) Release_Label'!$E:$E,1,0))),vlookup($A744&amp;$B744,{'3) Release_Label'!$D:$D&amp;'3) Release_Label'!$E:$E,'3) Release_Label'!$F:$F},2,0), or(and(not(isblank($B744)),$B744=$B743,$A744&lt;&gt;$A743),and(not(isblank($A744)),$A744=$A743,$B744&lt;&gt;$B743)),"ID LISTS UNALIGNED",and($A744&lt;&gt;"",countif('3) Release_Label'!$D:$D,$A744)=0),"NO UPC MATCH in Release_Label",and($B744&lt;&gt;"",countif('3) Release_Label'!$E:$E,$B744)=0),"NO CATALOG ID MATCH in Release_Label",iserror(vlookup($A744&amp;$B744,'3) Release_Label'!$D:$D&amp;'3) Release_Label'!$E:$E,1,0)),"NO UPC-CATALOG ID pair MATCH in Release_Label" )</f>
        <v/>
      </c>
      <c r="D744" s="121" t="str">
        <f t="array" ref="D744">ifs(and(isblank($A744),isblank($B744)),"", not(iserror(vlookup($A744&amp;$B744,'3) Release_Label'!$D:$D&amp;'3) Release_Label'!$E:$E,1,0))),vlookup($A744&amp;$B744,{'3) Release_Label'!$D:$D&amp;'3) Release_Label'!$E:$E,'3) Release_Label'!$H:$H},2,0), or(and(not(isblank($B744)),$B744=$B743,$A744&lt;&gt;$A743),and(not(isblank($A744)),$A744=$A743,$B744&lt;&gt;$B743)),"ID LISTS UNALIGNED",and($A744&lt;&gt;"",countif('3) Release_Label'!$D:$D,$A744)=0),"NO UPC MATCH in Release_Label",and($B744&lt;&gt;"",countif('3) Release_Label'!$E:$E,$B744)=0),"NO CATALOG ID MATCH in Release_Label",iserror(vlookup($A744&amp;$B744,'3) Release_Label'!$D:$D&amp;'3) Release_Label'!$E:$E,1,0)),"NO UPC-CATALOG ID pair MATCH in Release_Label" )</f>
        <v/>
      </c>
      <c r="E744" s="92"/>
      <c r="F744" s="92"/>
      <c r="G744" s="125" t="str">
        <f t="array" ref="G744">ifs(or($F744="",$F744="Main Primary Artist"),$F744,not(iserror(vlookup($F744,'Reference info'!$J$5:$J$8,1,0))),"Key Artist",not(iserror(vlookup($F744,'Reference info'!$J$38:$J$405,1,0))),"Performer",not(iserror(vlookup($F744,'Reference info'!$J$10:$J$36,1,0))),"Producer &amp; Engineer")</f>
        <v/>
      </c>
    </row>
    <row r="745">
      <c r="A745" s="28"/>
      <c r="B745" s="97"/>
      <c r="C745" s="121" t="str">
        <f t="array" ref="C745">ifs(and(isblank($A745),isblank($B745)),"", not(iserror(vlookup($A745&amp;$B745,'3) Release_Label'!$D:$D&amp;'3) Release_Label'!$E:$E,1,0))),vlookup($A745&amp;$B745,{'3) Release_Label'!$D:$D&amp;'3) Release_Label'!$E:$E,'3) Release_Label'!$F:$F},2,0), or(and(not(isblank($B745)),$B745=$B744,$A745&lt;&gt;$A744),and(not(isblank($A745)),$A745=$A744,$B745&lt;&gt;$B744)),"ID LISTS UNALIGNED",and($A745&lt;&gt;"",countif('3) Release_Label'!$D:$D,$A745)=0),"NO UPC MATCH in Release_Label",and($B745&lt;&gt;"",countif('3) Release_Label'!$E:$E,$B745)=0),"NO CATALOG ID MATCH in Release_Label",iserror(vlookup($A745&amp;$B745,'3) Release_Label'!$D:$D&amp;'3) Release_Label'!$E:$E,1,0)),"NO UPC-CATALOG ID pair MATCH in Release_Label" )</f>
        <v/>
      </c>
      <c r="D745" s="121" t="str">
        <f t="array" ref="D745">ifs(and(isblank($A745),isblank($B745)),"", not(iserror(vlookup($A745&amp;$B745,'3) Release_Label'!$D:$D&amp;'3) Release_Label'!$E:$E,1,0))),vlookup($A745&amp;$B745,{'3) Release_Label'!$D:$D&amp;'3) Release_Label'!$E:$E,'3) Release_Label'!$H:$H},2,0), or(and(not(isblank($B745)),$B745=$B744,$A745&lt;&gt;$A744),and(not(isblank($A745)),$A745=$A744,$B745&lt;&gt;$B744)),"ID LISTS UNALIGNED",and($A745&lt;&gt;"",countif('3) Release_Label'!$D:$D,$A745)=0),"NO UPC MATCH in Release_Label",and($B745&lt;&gt;"",countif('3) Release_Label'!$E:$E,$B745)=0),"NO CATALOG ID MATCH in Release_Label",iserror(vlookup($A745&amp;$B745,'3) Release_Label'!$D:$D&amp;'3) Release_Label'!$E:$E,1,0)),"NO UPC-CATALOG ID pair MATCH in Release_Label" )</f>
        <v/>
      </c>
      <c r="E745" s="92"/>
      <c r="F745" s="92"/>
      <c r="G745" s="125" t="str">
        <f t="array" ref="G745">ifs(or($F745="",$F745="Main Primary Artist"),$F745,not(iserror(vlookup($F745,'Reference info'!$J$5:$J$8,1,0))),"Key Artist",not(iserror(vlookup($F745,'Reference info'!$J$38:$J$405,1,0))),"Performer",not(iserror(vlookup($F745,'Reference info'!$J$10:$J$36,1,0))),"Producer &amp; Engineer")</f>
        <v/>
      </c>
    </row>
    <row r="746">
      <c r="A746" s="28"/>
      <c r="B746" s="97"/>
      <c r="C746" s="121" t="str">
        <f t="array" ref="C746">ifs(and(isblank($A746),isblank($B746)),"", not(iserror(vlookup($A746&amp;$B746,'3) Release_Label'!$D:$D&amp;'3) Release_Label'!$E:$E,1,0))),vlookup($A746&amp;$B746,{'3) Release_Label'!$D:$D&amp;'3) Release_Label'!$E:$E,'3) Release_Label'!$F:$F},2,0), or(and(not(isblank($B746)),$B746=$B745,$A746&lt;&gt;$A745),and(not(isblank($A746)),$A746=$A745,$B746&lt;&gt;$B745)),"ID LISTS UNALIGNED",and($A746&lt;&gt;"",countif('3) Release_Label'!$D:$D,$A746)=0),"NO UPC MATCH in Release_Label",and($B746&lt;&gt;"",countif('3) Release_Label'!$E:$E,$B746)=0),"NO CATALOG ID MATCH in Release_Label",iserror(vlookup($A746&amp;$B746,'3) Release_Label'!$D:$D&amp;'3) Release_Label'!$E:$E,1,0)),"NO UPC-CATALOG ID pair MATCH in Release_Label" )</f>
        <v/>
      </c>
      <c r="D746" s="121" t="str">
        <f t="array" ref="D746">ifs(and(isblank($A746),isblank($B746)),"", not(iserror(vlookup($A746&amp;$B746,'3) Release_Label'!$D:$D&amp;'3) Release_Label'!$E:$E,1,0))),vlookup($A746&amp;$B746,{'3) Release_Label'!$D:$D&amp;'3) Release_Label'!$E:$E,'3) Release_Label'!$H:$H},2,0), or(and(not(isblank($B746)),$B746=$B745,$A746&lt;&gt;$A745),and(not(isblank($A746)),$A746=$A745,$B746&lt;&gt;$B745)),"ID LISTS UNALIGNED",and($A746&lt;&gt;"",countif('3) Release_Label'!$D:$D,$A746)=0),"NO UPC MATCH in Release_Label",and($B746&lt;&gt;"",countif('3) Release_Label'!$E:$E,$B746)=0),"NO CATALOG ID MATCH in Release_Label",iserror(vlookup($A746&amp;$B746,'3) Release_Label'!$D:$D&amp;'3) Release_Label'!$E:$E,1,0)),"NO UPC-CATALOG ID pair MATCH in Release_Label" )</f>
        <v/>
      </c>
      <c r="E746" s="92"/>
      <c r="F746" s="92"/>
      <c r="G746" s="125" t="str">
        <f t="array" ref="G746">ifs(or($F746="",$F746="Main Primary Artist"),$F746,not(iserror(vlookup($F746,'Reference info'!$J$5:$J$8,1,0))),"Key Artist",not(iserror(vlookup($F746,'Reference info'!$J$38:$J$405,1,0))),"Performer",not(iserror(vlookup($F746,'Reference info'!$J$10:$J$36,1,0))),"Producer &amp; Engineer")</f>
        <v/>
      </c>
    </row>
    <row r="747">
      <c r="A747" s="28"/>
      <c r="B747" s="97"/>
      <c r="C747" s="121" t="str">
        <f t="array" ref="C747">ifs(and(isblank($A747),isblank($B747)),"", not(iserror(vlookup($A747&amp;$B747,'3) Release_Label'!$D:$D&amp;'3) Release_Label'!$E:$E,1,0))),vlookup($A747&amp;$B747,{'3) Release_Label'!$D:$D&amp;'3) Release_Label'!$E:$E,'3) Release_Label'!$F:$F},2,0), or(and(not(isblank($B747)),$B747=$B746,$A747&lt;&gt;$A746),and(not(isblank($A747)),$A747=$A746,$B747&lt;&gt;$B746)),"ID LISTS UNALIGNED",and($A747&lt;&gt;"",countif('3) Release_Label'!$D:$D,$A747)=0),"NO UPC MATCH in Release_Label",and($B747&lt;&gt;"",countif('3) Release_Label'!$E:$E,$B747)=0),"NO CATALOG ID MATCH in Release_Label",iserror(vlookup($A747&amp;$B747,'3) Release_Label'!$D:$D&amp;'3) Release_Label'!$E:$E,1,0)),"NO UPC-CATALOG ID pair MATCH in Release_Label" )</f>
        <v/>
      </c>
      <c r="D747" s="121" t="str">
        <f t="array" ref="D747">ifs(and(isblank($A747),isblank($B747)),"", not(iserror(vlookup($A747&amp;$B747,'3) Release_Label'!$D:$D&amp;'3) Release_Label'!$E:$E,1,0))),vlookup($A747&amp;$B747,{'3) Release_Label'!$D:$D&amp;'3) Release_Label'!$E:$E,'3) Release_Label'!$H:$H},2,0), or(and(not(isblank($B747)),$B747=$B746,$A747&lt;&gt;$A746),and(not(isblank($A747)),$A747=$A746,$B747&lt;&gt;$B746)),"ID LISTS UNALIGNED",and($A747&lt;&gt;"",countif('3) Release_Label'!$D:$D,$A747)=0),"NO UPC MATCH in Release_Label",and($B747&lt;&gt;"",countif('3) Release_Label'!$E:$E,$B747)=0),"NO CATALOG ID MATCH in Release_Label",iserror(vlookup($A747&amp;$B747,'3) Release_Label'!$D:$D&amp;'3) Release_Label'!$E:$E,1,0)),"NO UPC-CATALOG ID pair MATCH in Release_Label" )</f>
        <v/>
      </c>
      <c r="E747" s="92"/>
      <c r="F747" s="92"/>
      <c r="G747" s="125" t="str">
        <f t="array" ref="G747">ifs(or($F747="",$F747="Main Primary Artist"),$F747,not(iserror(vlookup($F747,'Reference info'!$J$5:$J$8,1,0))),"Key Artist",not(iserror(vlookup($F747,'Reference info'!$J$38:$J$405,1,0))),"Performer",not(iserror(vlookup($F747,'Reference info'!$J$10:$J$36,1,0))),"Producer &amp; Engineer")</f>
        <v/>
      </c>
    </row>
    <row r="748">
      <c r="A748" s="28"/>
      <c r="B748" s="97"/>
      <c r="C748" s="121" t="str">
        <f t="array" ref="C748">ifs(and(isblank($A748),isblank($B748)),"", not(iserror(vlookup($A748&amp;$B748,'3) Release_Label'!$D:$D&amp;'3) Release_Label'!$E:$E,1,0))),vlookup($A748&amp;$B748,{'3) Release_Label'!$D:$D&amp;'3) Release_Label'!$E:$E,'3) Release_Label'!$F:$F},2,0), or(and(not(isblank($B748)),$B748=$B747,$A748&lt;&gt;$A747),and(not(isblank($A748)),$A748=$A747,$B748&lt;&gt;$B747)),"ID LISTS UNALIGNED",and($A748&lt;&gt;"",countif('3) Release_Label'!$D:$D,$A748)=0),"NO UPC MATCH in Release_Label",and($B748&lt;&gt;"",countif('3) Release_Label'!$E:$E,$B748)=0),"NO CATALOG ID MATCH in Release_Label",iserror(vlookup($A748&amp;$B748,'3) Release_Label'!$D:$D&amp;'3) Release_Label'!$E:$E,1,0)),"NO UPC-CATALOG ID pair MATCH in Release_Label" )</f>
        <v/>
      </c>
      <c r="D748" s="121" t="str">
        <f t="array" ref="D748">ifs(and(isblank($A748),isblank($B748)),"", not(iserror(vlookup($A748&amp;$B748,'3) Release_Label'!$D:$D&amp;'3) Release_Label'!$E:$E,1,0))),vlookup($A748&amp;$B748,{'3) Release_Label'!$D:$D&amp;'3) Release_Label'!$E:$E,'3) Release_Label'!$H:$H},2,0), or(and(not(isblank($B748)),$B748=$B747,$A748&lt;&gt;$A747),and(not(isblank($A748)),$A748=$A747,$B748&lt;&gt;$B747)),"ID LISTS UNALIGNED",and($A748&lt;&gt;"",countif('3) Release_Label'!$D:$D,$A748)=0),"NO UPC MATCH in Release_Label",and($B748&lt;&gt;"",countif('3) Release_Label'!$E:$E,$B748)=0),"NO CATALOG ID MATCH in Release_Label",iserror(vlookup($A748&amp;$B748,'3) Release_Label'!$D:$D&amp;'3) Release_Label'!$E:$E,1,0)),"NO UPC-CATALOG ID pair MATCH in Release_Label" )</f>
        <v/>
      </c>
      <c r="E748" s="92"/>
      <c r="F748" s="92"/>
      <c r="G748" s="125" t="str">
        <f t="array" ref="G748">ifs(or($F748="",$F748="Main Primary Artist"),$F748,not(iserror(vlookup($F748,'Reference info'!$J$5:$J$8,1,0))),"Key Artist",not(iserror(vlookup($F748,'Reference info'!$J$38:$J$405,1,0))),"Performer",not(iserror(vlookup($F748,'Reference info'!$J$10:$J$36,1,0))),"Producer &amp; Engineer")</f>
        <v/>
      </c>
    </row>
    <row r="749">
      <c r="A749" s="28"/>
      <c r="B749" s="97"/>
      <c r="C749" s="121" t="str">
        <f t="array" ref="C749">ifs(and(isblank($A749),isblank($B749)),"", not(iserror(vlookup($A749&amp;$B749,'3) Release_Label'!$D:$D&amp;'3) Release_Label'!$E:$E,1,0))),vlookup($A749&amp;$B749,{'3) Release_Label'!$D:$D&amp;'3) Release_Label'!$E:$E,'3) Release_Label'!$F:$F},2,0), or(and(not(isblank($B749)),$B749=$B748,$A749&lt;&gt;$A748),and(not(isblank($A749)),$A749=$A748,$B749&lt;&gt;$B748)),"ID LISTS UNALIGNED",and($A749&lt;&gt;"",countif('3) Release_Label'!$D:$D,$A749)=0),"NO UPC MATCH in Release_Label",and($B749&lt;&gt;"",countif('3) Release_Label'!$E:$E,$B749)=0),"NO CATALOG ID MATCH in Release_Label",iserror(vlookup($A749&amp;$B749,'3) Release_Label'!$D:$D&amp;'3) Release_Label'!$E:$E,1,0)),"NO UPC-CATALOG ID pair MATCH in Release_Label" )</f>
        <v/>
      </c>
      <c r="D749" s="121" t="str">
        <f t="array" ref="D749">ifs(and(isblank($A749),isblank($B749)),"", not(iserror(vlookup($A749&amp;$B749,'3) Release_Label'!$D:$D&amp;'3) Release_Label'!$E:$E,1,0))),vlookup($A749&amp;$B749,{'3) Release_Label'!$D:$D&amp;'3) Release_Label'!$E:$E,'3) Release_Label'!$H:$H},2,0), or(and(not(isblank($B749)),$B749=$B748,$A749&lt;&gt;$A748),and(not(isblank($A749)),$A749=$A748,$B749&lt;&gt;$B748)),"ID LISTS UNALIGNED",and($A749&lt;&gt;"",countif('3) Release_Label'!$D:$D,$A749)=0),"NO UPC MATCH in Release_Label",and($B749&lt;&gt;"",countif('3) Release_Label'!$E:$E,$B749)=0),"NO CATALOG ID MATCH in Release_Label",iserror(vlookup($A749&amp;$B749,'3) Release_Label'!$D:$D&amp;'3) Release_Label'!$E:$E,1,0)),"NO UPC-CATALOG ID pair MATCH in Release_Label" )</f>
        <v/>
      </c>
      <c r="E749" s="92"/>
      <c r="F749" s="92"/>
      <c r="G749" s="125" t="str">
        <f t="array" ref="G749">ifs(or($F749="",$F749="Main Primary Artist"),$F749,not(iserror(vlookup($F749,'Reference info'!$J$5:$J$8,1,0))),"Key Artist",not(iserror(vlookup($F749,'Reference info'!$J$38:$J$405,1,0))),"Performer",not(iserror(vlookup($F749,'Reference info'!$J$10:$J$36,1,0))),"Producer &amp; Engineer")</f>
        <v/>
      </c>
    </row>
    <row r="750">
      <c r="A750" s="28"/>
      <c r="B750" s="97"/>
      <c r="C750" s="121" t="str">
        <f t="array" ref="C750">ifs(and(isblank($A750),isblank($B750)),"", not(iserror(vlookup($A750&amp;$B750,'3) Release_Label'!$D:$D&amp;'3) Release_Label'!$E:$E,1,0))),vlookup($A750&amp;$B750,{'3) Release_Label'!$D:$D&amp;'3) Release_Label'!$E:$E,'3) Release_Label'!$F:$F},2,0), or(and(not(isblank($B750)),$B750=$B749,$A750&lt;&gt;$A749),and(not(isblank($A750)),$A750=$A749,$B750&lt;&gt;$B749)),"ID LISTS UNALIGNED",and($A750&lt;&gt;"",countif('3) Release_Label'!$D:$D,$A750)=0),"NO UPC MATCH in Release_Label",and($B750&lt;&gt;"",countif('3) Release_Label'!$E:$E,$B750)=0),"NO CATALOG ID MATCH in Release_Label",iserror(vlookup($A750&amp;$B750,'3) Release_Label'!$D:$D&amp;'3) Release_Label'!$E:$E,1,0)),"NO UPC-CATALOG ID pair MATCH in Release_Label" )</f>
        <v/>
      </c>
      <c r="D750" s="121" t="str">
        <f t="array" ref="D750">ifs(and(isblank($A750),isblank($B750)),"", not(iserror(vlookup($A750&amp;$B750,'3) Release_Label'!$D:$D&amp;'3) Release_Label'!$E:$E,1,0))),vlookup($A750&amp;$B750,{'3) Release_Label'!$D:$D&amp;'3) Release_Label'!$E:$E,'3) Release_Label'!$H:$H},2,0), or(and(not(isblank($B750)),$B750=$B749,$A750&lt;&gt;$A749),and(not(isblank($A750)),$A750=$A749,$B750&lt;&gt;$B749)),"ID LISTS UNALIGNED",and($A750&lt;&gt;"",countif('3) Release_Label'!$D:$D,$A750)=0),"NO UPC MATCH in Release_Label",and($B750&lt;&gt;"",countif('3) Release_Label'!$E:$E,$B750)=0),"NO CATALOG ID MATCH in Release_Label",iserror(vlookup($A750&amp;$B750,'3) Release_Label'!$D:$D&amp;'3) Release_Label'!$E:$E,1,0)),"NO UPC-CATALOG ID pair MATCH in Release_Label" )</f>
        <v/>
      </c>
      <c r="E750" s="92"/>
      <c r="F750" s="92"/>
      <c r="G750" s="125" t="str">
        <f t="array" ref="G750">ifs(or($F750="",$F750="Main Primary Artist"),$F750,not(iserror(vlookup($F750,'Reference info'!$J$5:$J$8,1,0))),"Key Artist",not(iserror(vlookup($F750,'Reference info'!$J$38:$J$405,1,0))),"Performer",not(iserror(vlookup($F750,'Reference info'!$J$10:$J$36,1,0))),"Producer &amp; Engineer")</f>
        <v/>
      </c>
    </row>
    <row r="751">
      <c r="A751" s="28"/>
      <c r="B751" s="97"/>
      <c r="C751" s="121" t="str">
        <f t="array" ref="C751">ifs(and(isblank($A751),isblank($B751)),"", not(iserror(vlookup($A751&amp;$B751,'3) Release_Label'!$D:$D&amp;'3) Release_Label'!$E:$E,1,0))),vlookup($A751&amp;$B751,{'3) Release_Label'!$D:$D&amp;'3) Release_Label'!$E:$E,'3) Release_Label'!$F:$F},2,0), or(and(not(isblank($B751)),$B751=$B750,$A751&lt;&gt;$A750),and(not(isblank($A751)),$A751=$A750,$B751&lt;&gt;$B750)),"ID LISTS UNALIGNED",and($A751&lt;&gt;"",countif('3) Release_Label'!$D:$D,$A751)=0),"NO UPC MATCH in Release_Label",and($B751&lt;&gt;"",countif('3) Release_Label'!$E:$E,$B751)=0),"NO CATALOG ID MATCH in Release_Label",iserror(vlookup($A751&amp;$B751,'3) Release_Label'!$D:$D&amp;'3) Release_Label'!$E:$E,1,0)),"NO UPC-CATALOG ID pair MATCH in Release_Label" )</f>
        <v/>
      </c>
      <c r="D751" s="121" t="str">
        <f t="array" ref="D751">ifs(and(isblank($A751),isblank($B751)),"", not(iserror(vlookup($A751&amp;$B751,'3) Release_Label'!$D:$D&amp;'3) Release_Label'!$E:$E,1,0))),vlookup($A751&amp;$B751,{'3) Release_Label'!$D:$D&amp;'3) Release_Label'!$E:$E,'3) Release_Label'!$H:$H},2,0), or(and(not(isblank($B751)),$B751=$B750,$A751&lt;&gt;$A750),and(not(isblank($A751)),$A751=$A750,$B751&lt;&gt;$B750)),"ID LISTS UNALIGNED",and($A751&lt;&gt;"",countif('3) Release_Label'!$D:$D,$A751)=0),"NO UPC MATCH in Release_Label",and($B751&lt;&gt;"",countif('3) Release_Label'!$E:$E,$B751)=0),"NO CATALOG ID MATCH in Release_Label",iserror(vlookup($A751&amp;$B751,'3) Release_Label'!$D:$D&amp;'3) Release_Label'!$E:$E,1,0)),"NO UPC-CATALOG ID pair MATCH in Release_Label" )</f>
        <v/>
      </c>
      <c r="E751" s="92"/>
      <c r="F751" s="92"/>
      <c r="G751" s="125" t="str">
        <f t="array" ref="G751">ifs(or($F751="",$F751="Main Primary Artist"),$F751,not(iserror(vlookup($F751,'Reference info'!$J$5:$J$8,1,0))),"Key Artist",not(iserror(vlookup($F751,'Reference info'!$J$38:$J$405,1,0))),"Performer",not(iserror(vlookup($F751,'Reference info'!$J$10:$J$36,1,0))),"Producer &amp; Engineer")</f>
        <v/>
      </c>
    </row>
    <row r="752">
      <c r="A752" s="28"/>
      <c r="B752" s="97"/>
      <c r="C752" s="121" t="str">
        <f t="array" ref="C752">ifs(and(isblank($A752),isblank($B752)),"", not(iserror(vlookup($A752&amp;$B752,'3) Release_Label'!$D:$D&amp;'3) Release_Label'!$E:$E,1,0))),vlookup($A752&amp;$B752,{'3) Release_Label'!$D:$D&amp;'3) Release_Label'!$E:$E,'3) Release_Label'!$F:$F},2,0), or(and(not(isblank($B752)),$B752=$B751,$A752&lt;&gt;$A751),and(not(isblank($A752)),$A752=$A751,$B752&lt;&gt;$B751)),"ID LISTS UNALIGNED",and($A752&lt;&gt;"",countif('3) Release_Label'!$D:$D,$A752)=0),"NO UPC MATCH in Release_Label",and($B752&lt;&gt;"",countif('3) Release_Label'!$E:$E,$B752)=0),"NO CATALOG ID MATCH in Release_Label",iserror(vlookup($A752&amp;$B752,'3) Release_Label'!$D:$D&amp;'3) Release_Label'!$E:$E,1,0)),"NO UPC-CATALOG ID pair MATCH in Release_Label" )</f>
        <v/>
      </c>
      <c r="D752" s="121" t="str">
        <f t="array" ref="D752">ifs(and(isblank($A752),isblank($B752)),"", not(iserror(vlookup($A752&amp;$B752,'3) Release_Label'!$D:$D&amp;'3) Release_Label'!$E:$E,1,0))),vlookup($A752&amp;$B752,{'3) Release_Label'!$D:$D&amp;'3) Release_Label'!$E:$E,'3) Release_Label'!$H:$H},2,0), or(and(not(isblank($B752)),$B752=$B751,$A752&lt;&gt;$A751),and(not(isblank($A752)),$A752=$A751,$B752&lt;&gt;$B751)),"ID LISTS UNALIGNED",and($A752&lt;&gt;"",countif('3) Release_Label'!$D:$D,$A752)=0),"NO UPC MATCH in Release_Label",and($B752&lt;&gt;"",countif('3) Release_Label'!$E:$E,$B752)=0),"NO CATALOG ID MATCH in Release_Label",iserror(vlookup($A752&amp;$B752,'3) Release_Label'!$D:$D&amp;'3) Release_Label'!$E:$E,1,0)),"NO UPC-CATALOG ID pair MATCH in Release_Label" )</f>
        <v/>
      </c>
      <c r="E752" s="92"/>
      <c r="F752" s="92"/>
      <c r="G752" s="125" t="str">
        <f t="array" ref="G752">ifs(or($F752="",$F752="Main Primary Artist"),$F752,not(iserror(vlookup($F752,'Reference info'!$J$5:$J$8,1,0))),"Key Artist",not(iserror(vlookup($F752,'Reference info'!$J$38:$J$405,1,0))),"Performer",not(iserror(vlookup($F752,'Reference info'!$J$10:$J$36,1,0))),"Producer &amp; Engineer")</f>
        <v/>
      </c>
    </row>
    <row r="753">
      <c r="A753" s="28"/>
      <c r="B753" s="97"/>
      <c r="C753" s="121" t="str">
        <f t="array" ref="C753">ifs(and(isblank($A753),isblank($B753)),"", not(iserror(vlookup($A753&amp;$B753,'3) Release_Label'!$D:$D&amp;'3) Release_Label'!$E:$E,1,0))),vlookup($A753&amp;$B753,{'3) Release_Label'!$D:$D&amp;'3) Release_Label'!$E:$E,'3) Release_Label'!$F:$F},2,0), or(and(not(isblank($B753)),$B753=$B752,$A753&lt;&gt;$A752),and(not(isblank($A753)),$A753=$A752,$B753&lt;&gt;$B752)),"ID LISTS UNALIGNED",and($A753&lt;&gt;"",countif('3) Release_Label'!$D:$D,$A753)=0),"NO UPC MATCH in Release_Label",and($B753&lt;&gt;"",countif('3) Release_Label'!$E:$E,$B753)=0),"NO CATALOG ID MATCH in Release_Label",iserror(vlookup($A753&amp;$B753,'3) Release_Label'!$D:$D&amp;'3) Release_Label'!$E:$E,1,0)),"NO UPC-CATALOG ID pair MATCH in Release_Label" )</f>
        <v/>
      </c>
      <c r="D753" s="121" t="str">
        <f t="array" ref="D753">ifs(and(isblank($A753),isblank($B753)),"", not(iserror(vlookup($A753&amp;$B753,'3) Release_Label'!$D:$D&amp;'3) Release_Label'!$E:$E,1,0))),vlookup($A753&amp;$B753,{'3) Release_Label'!$D:$D&amp;'3) Release_Label'!$E:$E,'3) Release_Label'!$H:$H},2,0), or(and(not(isblank($B753)),$B753=$B752,$A753&lt;&gt;$A752),and(not(isblank($A753)),$A753=$A752,$B753&lt;&gt;$B752)),"ID LISTS UNALIGNED",and($A753&lt;&gt;"",countif('3) Release_Label'!$D:$D,$A753)=0),"NO UPC MATCH in Release_Label",and($B753&lt;&gt;"",countif('3) Release_Label'!$E:$E,$B753)=0),"NO CATALOG ID MATCH in Release_Label",iserror(vlookup($A753&amp;$B753,'3) Release_Label'!$D:$D&amp;'3) Release_Label'!$E:$E,1,0)),"NO UPC-CATALOG ID pair MATCH in Release_Label" )</f>
        <v/>
      </c>
      <c r="E753" s="92"/>
      <c r="F753" s="92"/>
      <c r="G753" s="125" t="str">
        <f t="array" ref="G753">ifs(or($F753="",$F753="Main Primary Artist"),$F753,not(iserror(vlookup($F753,'Reference info'!$J$5:$J$8,1,0))),"Key Artist",not(iserror(vlookup($F753,'Reference info'!$J$38:$J$405,1,0))),"Performer",not(iserror(vlookup($F753,'Reference info'!$J$10:$J$36,1,0))),"Producer &amp; Engineer")</f>
        <v/>
      </c>
    </row>
    <row r="754">
      <c r="A754" s="28"/>
      <c r="B754" s="97"/>
      <c r="C754" s="121" t="str">
        <f t="array" ref="C754">ifs(and(isblank($A754),isblank($B754)),"", not(iserror(vlookup($A754&amp;$B754,'3) Release_Label'!$D:$D&amp;'3) Release_Label'!$E:$E,1,0))),vlookup($A754&amp;$B754,{'3) Release_Label'!$D:$D&amp;'3) Release_Label'!$E:$E,'3) Release_Label'!$F:$F},2,0), or(and(not(isblank($B754)),$B754=$B753,$A754&lt;&gt;$A753),and(not(isblank($A754)),$A754=$A753,$B754&lt;&gt;$B753)),"ID LISTS UNALIGNED",and($A754&lt;&gt;"",countif('3) Release_Label'!$D:$D,$A754)=0),"NO UPC MATCH in Release_Label",and($B754&lt;&gt;"",countif('3) Release_Label'!$E:$E,$B754)=0),"NO CATALOG ID MATCH in Release_Label",iserror(vlookup($A754&amp;$B754,'3) Release_Label'!$D:$D&amp;'3) Release_Label'!$E:$E,1,0)),"NO UPC-CATALOG ID pair MATCH in Release_Label" )</f>
        <v/>
      </c>
      <c r="D754" s="121" t="str">
        <f t="array" ref="D754">ifs(and(isblank($A754),isblank($B754)),"", not(iserror(vlookup($A754&amp;$B754,'3) Release_Label'!$D:$D&amp;'3) Release_Label'!$E:$E,1,0))),vlookup($A754&amp;$B754,{'3) Release_Label'!$D:$D&amp;'3) Release_Label'!$E:$E,'3) Release_Label'!$H:$H},2,0), or(and(not(isblank($B754)),$B754=$B753,$A754&lt;&gt;$A753),and(not(isblank($A754)),$A754=$A753,$B754&lt;&gt;$B753)),"ID LISTS UNALIGNED",and($A754&lt;&gt;"",countif('3) Release_Label'!$D:$D,$A754)=0),"NO UPC MATCH in Release_Label",and($B754&lt;&gt;"",countif('3) Release_Label'!$E:$E,$B754)=0),"NO CATALOG ID MATCH in Release_Label",iserror(vlookup($A754&amp;$B754,'3) Release_Label'!$D:$D&amp;'3) Release_Label'!$E:$E,1,0)),"NO UPC-CATALOG ID pair MATCH in Release_Label" )</f>
        <v/>
      </c>
      <c r="E754" s="92"/>
      <c r="F754" s="92"/>
      <c r="G754" s="125" t="str">
        <f t="array" ref="G754">ifs(or($F754="",$F754="Main Primary Artist"),$F754,not(iserror(vlookup($F754,'Reference info'!$J$5:$J$8,1,0))),"Key Artist",not(iserror(vlookup($F754,'Reference info'!$J$38:$J$405,1,0))),"Performer",not(iserror(vlookup($F754,'Reference info'!$J$10:$J$36,1,0))),"Producer &amp; Engineer")</f>
        <v/>
      </c>
    </row>
    <row r="755">
      <c r="A755" s="28"/>
      <c r="B755" s="97"/>
      <c r="C755" s="121" t="str">
        <f t="array" ref="C755">ifs(and(isblank($A755),isblank($B755)),"", not(iserror(vlookup($A755&amp;$B755,'3) Release_Label'!$D:$D&amp;'3) Release_Label'!$E:$E,1,0))),vlookup($A755&amp;$B755,{'3) Release_Label'!$D:$D&amp;'3) Release_Label'!$E:$E,'3) Release_Label'!$F:$F},2,0), or(and(not(isblank($B755)),$B755=$B754,$A755&lt;&gt;$A754),and(not(isblank($A755)),$A755=$A754,$B755&lt;&gt;$B754)),"ID LISTS UNALIGNED",and($A755&lt;&gt;"",countif('3) Release_Label'!$D:$D,$A755)=0),"NO UPC MATCH in Release_Label",and($B755&lt;&gt;"",countif('3) Release_Label'!$E:$E,$B755)=0),"NO CATALOG ID MATCH in Release_Label",iserror(vlookup($A755&amp;$B755,'3) Release_Label'!$D:$D&amp;'3) Release_Label'!$E:$E,1,0)),"NO UPC-CATALOG ID pair MATCH in Release_Label" )</f>
        <v/>
      </c>
      <c r="D755" s="121" t="str">
        <f t="array" ref="D755">ifs(and(isblank($A755),isblank($B755)),"", not(iserror(vlookup($A755&amp;$B755,'3) Release_Label'!$D:$D&amp;'3) Release_Label'!$E:$E,1,0))),vlookup($A755&amp;$B755,{'3) Release_Label'!$D:$D&amp;'3) Release_Label'!$E:$E,'3) Release_Label'!$H:$H},2,0), or(and(not(isblank($B755)),$B755=$B754,$A755&lt;&gt;$A754),and(not(isblank($A755)),$A755=$A754,$B755&lt;&gt;$B754)),"ID LISTS UNALIGNED",and($A755&lt;&gt;"",countif('3) Release_Label'!$D:$D,$A755)=0),"NO UPC MATCH in Release_Label",and($B755&lt;&gt;"",countif('3) Release_Label'!$E:$E,$B755)=0),"NO CATALOG ID MATCH in Release_Label",iserror(vlookup($A755&amp;$B755,'3) Release_Label'!$D:$D&amp;'3) Release_Label'!$E:$E,1,0)),"NO UPC-CATALOG ID pair MATCH in Release_Label" )</f>
        <v/>
      </c>
      <c r="E755" s="92"/>
      <c r="F755" s="92"/>
      <c r="G755" s="125" t="str">
        <f t="array" ref="G755">ifs(or($F755="",$F755="Main Primary Artist"),$F755,not(iserror(vlookup($F755,'Reference info'!$J$5:$J$8,1,0))),"Key Artist",not(iserror(vlookup($F755,'Reference info'!$J$38:$J$405,1,0))),"Performer",not(iserror(vlookup($F755,'Reference info'!$J$10:$J$36,1,0))),"Producer &amp; Engineer")</f>
        <v/>
      </c>
    </row>
    <row r="756">
      <c r="A756" s="28"/>
      <c r="B756" s="97"/>
      <c r="C756" s="121" t="str">
        <f t="array" ref="C756">ifs(and(isblank($A756),isblank($B756)),"", not(iserror(vlookup($A756&amp;$B756,'3) Release_Label'!$D:$D&amp;'3) Release_Label'!$E:$E,1,0))),vlookup($A756&amp;$B756,{'3) Release_Label'!$D:$D&amp;'3) Release_Label'!$E:$E,'3) Release_Label'!$F:$F},2,0), or(and(not(isblank($B756)),$B756=$B755,$A756&lt;&gt;$A755),and(not(isblank($A756)),$A756=$A755,$B756&lt;&gt;$B755)),"ID LISTS UNALIGNED",and($A756&lt;&gt;"",countif('3) Release_Label'!$D:$D,$A756)=0),"NO UPC MATCH in Release_Label",and($B756&lt;&gt;"",countif('3) Release_Label'!$E:$E,$B756)=0),"NO CATALOG ID MATCH in Release_Label",iserror(vlookup($A756&amp;$B756,'3) Release_Label'!$D:$D&amp;'3) Release_Label'!$E:$E,1,0)),"NO UPC-CATALOG ID pair MATCH in Release_Label" )</f>
        <v/>
      </c>
      <c r="D756" s="121" t="str">
        <f t="array" ref="D756">ifs(and(isblank($A756),isblank($B756)),"", not(iserror(vlookup($A756&amp;$B756,'3) Release_Label'!$D:$D&amp;'3) Release_Label'!$E:$E,1,0))),vlookup($A756&amp;$B756,{'3) Release_Label'!$D:$D&amp;'3) Release_Label'!$E:$E,'3) Release_Label'!$H:$H},2,0), or(and(not(isblank($B756)),$B756=$B755,$A756&lt;&gt;$A755),and(not(isblank($A756)),$A756=$A755,$B756&lt;&gt;$B755)),"ID LISTS UNALIGNED",and($A756&lt;&gt;"",countif('3) Release_Label'!$D:$D,$A756)=0),"NO UPC MATCH in Release_Label",and($B756&lt;&gt;"",countif('3) Release_Label'!$E:$E,$B756)=0),"NO CATALOG ID MATCH in Release_Label",iserror(vlookup($A756&amp;$B756,'3) Release_Label'!$D:$D&amp;'3) Release_Label'!$E:$E,1,0)),"NO UPC-CATALOG ID pair MATCH in Release_Label" )</f>
        <v/>
      </c>
      <c r="E756" s="92"/>
      <c r="F756" s="92"/>
      <c r="G756" s="125" t="str">
        <f t="array" ref="G756">ifs(or($F756="",$F756="Main Primary Artist"),$F756,not(iserror(vlookup($F756,'Reference info'!$J$5:$J$8,1,0))),"Key Artist",not(iserror(vlookup($F756,'Reference info'!$J$38:$J$405,1,0))),"Performer",not(iserror(vlookup($F756,'Reference info'!$J$10:$J$36,1,0))),"Producer &amp; Engineer")</f>
        <v/>
      </c>
    </row>
    <row r="757">
      <c r="A757" s="28"/>
      <c r="B757" s="97"/>
      <c r="C757" s="121" t="str">
        <f t="array" ref="C757">ifs(and(isblank($A757),isblank($B757)),"", not(iserror(vlookup($A757&amp;$B757,'3) Release_Label'!$D:$D&amp;'3) Release_Label'!$E:$E,1,0))),vlookup($A757&amp;$B757,{'3) Release_Label'!$D:$D&amp;'3) Release_Label'!$E:$E,'3) Release_Label'!$F:$F},2,0), or(and(not(isblank($B757)),$B757=$B756,$A757&lt;&gt;$A756),and(not(isblank($A757)),$A757=$A756,$B757&lt;&gt;$B756)),"ID LISTS UNALIGNED",and($A757&lt;&gt;"",countif('3) Release_Label'!$D:$D,$A757)=0),"NO UPC MATCH in Release_Label",and($B757&lt;&gt;"",countif('3) Release_Label'!$E:$E,$B757)=0),"NO CATALOG ID MATCH in Release_Label",iserror(vlookup($A757&amp;$B757,'3) Release_Label'!$D:$D&amp;'3) Release_Label'!$E:$E,1,0)),"NO UPC-CATALOG ID pair MATCH in Release_Label" )</f>
        <v/>
      </c>
      <c r="D757" s="121" t="str">
        <f t="array" ref="D757">ifs(and(isblank($A757),isblank($B757)),"", not(iserror(vlookup($A757&amp;$B757,'3) Release_Label'!$D:$D&amp;'3) Release_Label'!$E:$E,1,0))),vlookup($A757&amp;$B757,{'3) Release_Label'!$D:$D&amp;'3) Release_Label'!$E:$E,'3) Release_Label'!$H:$H},2,0), or(and(not(isblank($B757)),$B757=$B756,$A757&lt;&gt;$A756),and(not(isblank($A757)),$A757=$A756,$B757&lt;&gt;$B756)),"ID LISTS UNALIGNED",and($A757&lt;&gt;"",countif('3) Release_Label'!$D:$D,$A757)=0),"NO UPC MATCH in Release_Label",and($B757&lt;&gt;"",countif('3) Release_Label'!$E:$E,$B757)=0),"NO CATALOG ID MATCH in Release_Label",iserror(vlookup($A757&amp;$B757,'3) Release_Label'!$D:$D&amp;'3) Release_Label'!$E:$E,1,0)),"NO UPC-CATALOG ID pair MATCH in Release_Label" )</f>
        <v/>
      </c>
      <c r="E757" s="92"/>
      <c r="F757" s="92"/>
      <c r="G757" s="125" t="str">
        <f t="array" ref="G757">ifs(or($F757="",$F757="Main Primary Artist"),$F757,not(iserror(vlookup($F757,'Reference info'!$J$5:$J$8,1,0))),"Key Artist",not(iserror(vlookup($F757,'Reference info'!$J$38:$J$405,1,0))),"Performer",not(iserror(vlookup($F757,'Reference info'!$J$10:$J$36,1,0))),"Producer &amp; Engineer")</f>
        <v/>
      </c>
    </row>
    <row r="758">
      <c r="A758" s="28"/>
      <c r="B758" s="97"/>
      <c r="C758" s="121" t="str">
        <f t="array" ref="C758">ifs(and(isblank($A758),isblank($B758)),"", not(iserror(vlookup($A758&amp;$B758,'3) Release_Label'!$D:$D&amp;'3) Release_Label'!$E:$E,1,0))),vlookup($A758&amp;$B758,{'3) Release_Label'!$D:$D&amp;'3) Release_Label'!$E:$E,'3) Release_Label'!$F:$F},2,0), or(and(not(isblank($B758)),$B758=$B757,$A758&lt;&gt;$A757),and(not(isblank($A758)),$A758=$A757,$B758&lt;&gt;$B757)),"ID LISTS UNALIGNED",and($A758&lt;&gt;"",countif('3) Release_Label'!$D:$D,$A758)=0),"NO UPC MATCH in Release_Label",and($B758&lt;&gt;"",countif('3) Release_Label'!$E:$E,$B758)=0),"NO CATALOG ID MATCH in Release_Label",iserror(vlookup($A758&amp;$B758,'3) Release_Label'!$D:$D&amp;'3) Release_Label'!$E:$E,1,0)),"NO UPC-CATALOG ID pair MATCH in Release_Label" )</f>
        <v/>
      </c>
      <c r="D758" s="121" t="str">
        <f t="array" ref="D758">ifs(and(isblank($A758),isblank($B758)),"", not(iserror(vlookup($A758&amp;$B758,'3) Release_Label'!$D:$D&amp;'3) Release_Label'!$E:$E,1,0))),vlookup($A758&amp;$B758,{'3) Release_Label'!$D:$D&amp;'3) Release_Label'!$E:$E,'3) Release_Label'!$H:$H},2,0), or(and(not(isblank($B758)),$B758=$B757,$A758&lt;&gt;$A757),and(not(isblank($A758)),$A758=$A757,$B758&lt;&gt;$B757)),"ID LISTS UNALIGNED",and($A758&lt;&gt;"",countif('3) Release_Label'!$D:$D,$A758)=0),"NO UPC MATCH in Release_Label",and($B758&lt;&gt;"",countif('3) Release_Label'!$E:$E,$B758)=0),"NO CATALOG ID MATCH in Release_Label",iserror(vlookup($A758&amp;$B758,'3) Release_Label'!$D:$D&amp;'3) Release_Label'!$E:$E,1,0)),"NO UPC-CATALOG ID pair MATCH in Release_Label" )</f>
        <v/>
      </c>
      <c r="E758" s="92"/>
      <c r="F758" s="92"/>
      <c r="G758" s="125" t="str">
        <f t="array" ref="G758">ifs(or($F758="",$F758="Main Primary Artist"),$F758,not(iserror(vlookup($F758,'Reference info'!$J$5:$J$8,1,0))),"Key Artist",not(iserror(vlookup($F758,'Reference info'!$J$38:$J$405,1,0))),"Performer",not(iserror(vlookup($F758,'Reference info'!$J$10:$J$36,1,0))),"Producer &amp; Engineer")</f>
        <v/>
      </c>
    </row>
    <row r="759">
      <c r="A759" s="28"/>
      <c r="B759" s="97"/>
      <c r="C759" s="121" t="str">
        <f t="array" ref="C759">ifs(and(isblank($A759),isblank($B759)),"", not(iserror(vlookup($A759&amp;$B759,'3) Release_Label'!$D:$D&amp;'3) Release_Label'!$E:$E,1,0))),vlookup($A759&amp;$B759,{'3) Release_Label'!$D:$D&amp;'3) Release_Label'!$E:$E,'3) Release_Label'!$F:$F},2,0), or(and(not(isblank($B759)),$B759=$B758,$A759&lt;&gt;$A758),and(not(isblank($A759)),$A759=$A758,$B759&lt;&gt;$B758)),"ID LISTS UNALIGNED",and($A759&lt;&gt;"",countif('3) Release_Label'!$D:$D,$A759)=0),"NO UPC MATCH in Release_Label",and($B759&lt;&gt;"",countif('3) Release_Label'!$E:$E,$B759)=0),"NO CATALOG ID MATCH in Release_Label",iserror(vlookup($A759&amp;$B759,'3) Release_Label'!$D:$D&amp;'3) Release_Label'!$E:$E,1,0)),"NO UPC-CATALOG ID pair MATCH in Release_Label" )</f>
        <v/>
      </c>
      <c r="D759" s="121" t="str">
        <f t="array" ref="D759">ifs(and(isblank($A759),isblank($B759)),"", not(iserror(vlookup($A759&amp;$B759,'3) Release_Label'!$D:$D&amp;'3) Release_Label'!$E:$E,1,0))),vlookup($A759&amp;$B759,{'3) Release_Label'!$D:$D&amp;'3) Release_Label'!$E:$E,'3) Release_Label'!$H:$H},2,0), or(and(not(isblank($B759)),$B759=$B758,$A759&lt;&gt;$A758),and(not(isblank($A759)),$A759=$A758,$B759&lt;&gt;$B758)),"ID LISTS UNALIGNED",and($A759&lt;&gt;"",countif('3) Release_Label'!$D:$D,$A759)=0),"NO UPC MATCH in Release_Label",and($B759&lt;&gt;"",countif('3) Release_Label'!$E:$E,$B759)=0),"NO CATALOG ID MATCH in Release_Label",iserror(vlookup($A759&amp;$B759,'3) Release_Label'!$D:$D&amp;'3) Release_Label'!$E:$E,1,0)),"NO UPC-CATALOG ID pair MATCH in Release_Label" )</f>
        <v/>
      </c>
      <c r="E759" s="92"/>
      <c r="F759" s="92"/>
      <c r="G759" s="125" t="str">
        <f t="array" ref="G759">ifs(or($F759="",$F759="Main Primary Artist"),$F759,not(iserror(vlookup($F759,'Reference info'!$J$5:$J$8,1,0))),"Key Artist",not(iserror(vlookup($F759,'Reference info'!$J$38:$J$405,1,0))),"Performer",not(iserror(vlookup($F759,'Reference info'!$J$10:$J$36,1,0))),"Producer &amp; Engineer")</f>
        <v/>
      </c>
    </row>
    <row r="760">
      <c r="A760" s="28"/>
      <c r="B760" s="97"/>
      <c r="C760" s="121" t="str">
        <f t="array" ref="C760">ifs(and(isblank($A760),isblank($B760)),"", not(iserror(vlookup($A760&amp;$B760,'3) Release_Label'!$D:$D&amp;'3) Release_Label'!$E:$E,1,0))),vlookup($A760&amp;$B760,{'3) Release_Label'!$D:$D&amp;'3) Release_Label'!$E:$E,'3) Release_Label'!$F:$F},2,0), or(and(not(isblank($B760)),$B760=$B759,$A760&lt;&gt;$A759),and(not(isblank($A760)),$A760=$A759,$B760&lt;&gt;$B759)),"ID LISTS UNALIGNED",and($A760&lt;&gt;"",countif('3) Release_Label'!$D:$D,$A760)=0),"NO UPC MATCH in Release_Label",and($B760&lt;&gt;"",countif('3) Release_Label'!$E:$E,$B760)=0),"NO CATALOG ID MATCH in Release_Label",iserror(vlookup($A760&amp;$B760,'3) Release_Label'!$D:$D&amp;'3) Release_Label'!$E:$E,1,0)),"NO UPC-CATALOG ID pair MATCH in Release_Label" )</f>
        <v/>
      </c>
      <c r="D760" s="121" t="str">
        <f t="array" ref="D760">ifs(and(isblank($A760),isblank($B760)),"", not(iserror(vlookup($A760&amp;$B760,'3) Release_Label'!$D:$D&amp;'3) Release_Label'!$E:$E,1,0))),vlookup($A760&amp;$B760,{'3) Release_Label'!$D:$D&amp;'3) Release_Label'!$E:$E,'3) Release_Label'!$H:$H},2,0), or(and(not(isblank($B760)),$B760=$B759,$A760&lt;&gt;$A759),and(not(isblank($A760)),$A760=$A759,$B760&lt;&gt;$B759)),"ID LISTS UNALIGNED",and($A760&lt;&gt;"",countif('3) Release_Label'!$D:$D,$A760)=0),"NO UPC MATCH in Release_Label",and($B760&lt;&gt;"",countif('3) Release_Label'!$E:$E,$B760)=0),"NO CATALOG ID MATCH in Release_Label",iserror(vlookup($A760&amp;$B760,'3) Release_Label'!$D:$D&amp;'3) Release_Label'!$E:$E,1,0)),"NO UPC-CATALOG ID pair MATCH in Release_Label" )</f>
        <v/>
      </c>
      <c r="E760" s="92"/>
      <c r="F760" s="92"/>
      <c r="G760" s="125" t="str">
        <f t="array" ref="G760">ifs(or($F760="",$F760="Main Primary Artist"),$F760,not(iserror(vlookup($F760,'Reference info'!$J$5:$J$8,1,0))),"Key Artist",not(iserror(vlookup($F760,'Reference info'!$J$38:$J$405,1,0))),"Performer",not(iserror(vlookup($F760,'Reference info'!$J$10:$J$36,1,0))),"Producer &amp; Engineer")</f>
        <v/>
      </c>
    </row>
    <row r="761">
      <c r="A761" s="28"/>
      <c r="B761" s="97"/>
      <c r="C761" s="121" t="str">
        <f t="array" ref="C761">ifs(and(isblank($A761),isblank($B761)),"", not(iserror(vlookup($A761&amp;$B761,'3) Release_Label'!$D:$D&amp;'3) Release_Label'!$E:$E,1,0))),vlookup($A761&amp;$B761,{'3) Release_Label'!$D:$D&amp;'3) Release_Label'!$E:$E,'3) Release_Label'!$F:$F},2,0), or(and(not(isblank($B761)),$B761=$B760,$A761&lt;&gt;$A760),and(not(isblank($A761)),$A761=$A760,$B761&lt;&gt;$B760)),"ID LISTS UNALIGNED",and($A761&lt;&gt;"",countif('3) Release_Label'!$D:$D,$A761)=0),"NO UPC MATCH in Release_Label",and($B761&lt;&gt;"",countif('3) Release_Label'!$E:$E,$B761)=0),"NO CATALOG ID MATCH in Release_Label",iserror(vlookup($A761&amp;$B761,'3) Release_Label'!$D:$D&amp;'3) Release_Label'!$E:$E,1,0)),"NO UPC-CATALOG ID pair MATCH in Release_Label" )</f>
        <v/>
      </c>
      <c r="D761" s="121" t="str">
        <f t="array" ref="D761">ifs(and(isblank($A761),isblank($B761)),"", not(iserror(vlookup($A761&amp;$B761,'3) Release_Label'!$D:$D&amp;'3) Release_Label'!$E:$E,1,0))),vlookup($A761&amp;$B761,{'3) Release_Label'!$D:$D&amp;'3) Release_Label'!$E:$E,'3) Release_Label'!$H:$H},2,0), or(and(not(isblank($B761)),$B761=$B760,$A761&lt;&gt;$A760),and(not(isblank($A761)),$A761=$A760,$B761&lt;&gt;$B760)),"ID LISTS UNALIGNED",and($A761&lt;&gt;"",countif('3) Release_Label'!$D:$D,$A761)=0),"NO UPC MATCH in Release_Label",and($B761&lt;&gt;"",countif('3) Release_Label'!$E:$E,$B761)=0),"NO CATALOG ID MATCH in Release_Label",iserror(vlookup($A761&amp;$B761,'3) Release_Label'!$D:$D&amp;'3) Release_Label'!$E:$E,1,0)),"NO UPC-CATALOG ID pair MATCH in Release_Label" )</f>
        <v/>
      </c>
      <c r="E761" s="92"/>
      <c r="F761" s="92"/>
      <c r="G761" s="125" t="str">
        <f t="array" ref="G761">ifs(or($F761="",$F761="Main Primary Artist"),$F761,not(iserror(vlookup($F761,'Reference info'!$J$5:$J$8,1,0))),"Key Artist",not(iserror(vlookup($F761,'Reference info'!$J$38:$J$405,1,0))),"Performer",not(iserror(vlookup($F761,'Reference info'!$J$10:$J$36,1,0))),"Producer &amp; Engineer")</f>
        <v/>
      </c>
    </row>
    <row r="762">
      <c r="A762" s="28"/>
      <c r="B762" s="97"/>
      <c r="C762" s="121" t="str">
        <f t="array" ref="C762">ifs(and(isblank($A762),isblank($B762)),"", not(iserror(vlookup($A762&amp;$B762,'3) Release_Label'!$D:$D&amp;'3) Release_Label'!$E:$E,1,0))),vlookup($A762&amp;$B762,{'3) Release_Label'!$D:$D&amp;'3) Release_Label'!$E:$E,'3) Release_Label'!$F:$F},2,0), or(and(not(isblank($B762)),$B762=$B761,$A762&lt;&gt;$A761),and(not(isblank($A762)),$A762=$A761,$B762&lt;&gt;$B761)),"ID LISTS UNALIGNED",and($A762&lt;&gt;"",countif('3) Release_Label'!$D:$D,$A762)=0),"NO UPC MATCH in Release_Label",and($B762&lt;&gt;"",countif('3) Release_Label'!$E:$E,$B762)=0),"NO CATALOG ID MATCH in Release_Label",iserror(vlookup($A762&amp;$B762,'3) Release_Label'!$D:$D&amp;'3) Release_Label'!$E:$E,1,0)),"NO UPC-CATALOG ID pair MATCH in Release_Label" )</f>
        <v/>
      </c>
      <c r="D762" s="121" t="str">
        <f t="array" ref="D762">ifs(and(isblank($A762),isblank($B762)),"", not(iserror(vlookup($A762&amp;$B762,'3) Release_Label'!$D:$D&amp;'3) Release_Label'!$E:$E,1,0))),vlookup($A762&amp;$B762,{'3) Release_Label'!$D:$D&amp;'3) Release_Label'!$E:$E,'3) Release_Label'!$H:$H},2,0), or(and(not(isblank($B762)),$B762=$B761,$A762&lt;&gt;$A761),and(not(isblank($A762)),$A762=$A761,$B762&lt;&gt;$B761)),"ID LISTS UNALIGNED",and($A762&lt;&gt;"",countif('3) Release_Label'!$D:$D,$A762)=0),"NO UPC MATCH in Release_Label",and($B762&lt;&gt;"",countif('3) Release_Label'!$E:$E,$B762)=0),"NO CATALOG ID MATCH in Release_Label",iserror(vlookup($A762&amp;$B762,'3) Release_Label'!$D:$D&amp;'3) Release_Label'!$E:$E,1,0)),"NO UPC-CATALOG ID pair MATCH in Release_Label" )</f>
        <v/>
      </c>
      <c r="E762" s="92"/>
      <c r="F762" s="92"/>
      <c r="G762" s="125" t="str">
        <f t="array" ref="G762">ifs(or($F762="",$F762="Main Primary Artist"),$F762,not(iserror(vlookup($F762,'Reference info'!$J$5:$J$8,1,0))),"Key Artist",not(iserror(vlookup($F762,'Reference info'!$J$38:$J$405,1,0))),"Performer",not(iserror(vlookup($F762,'Reference info'!$J$10:$J$36,1,0))),"Producer &amp; Engineer")</f>
        <v/>
      </c>
    </row>
    <row r="763">
      <c r="A763" s="28"/>
      <c r="B763" s="97"/>
      <c r="C763" s="121" t="str">
        <f t="array" ref="C763">ifs(and(isblank($A763),isblank($B763)),"", not(iserror(vlookup($A763&amp;$B763,'3) Release_Label'!$D:$D&amp;'3) Release_Label'!$E:$E,1,0))),vlookup($A763&amp;$B763,{'3) Release_Label'!$D:$D&amp;'3) Release_Label'!$E:$E,'3) Release_Label'!$F:$F},2,0), or(and(not(isblank($B763)),$B763=$B762,$A763&lt;&gt;$A762),and(not(isblank($A763)),$A763=$A762,$B763&lt;&gt;$B762)),"ID LISTS UNALIGNED",and($A763&lt;&gt;"",countif('3) Release_Label'!$D:$D,$A763)=0),"NO UPC MATCH in Release_Label",and($B763&lt;&gt;"",countif('3) Release_Label'!$E:$E,$B763)=0),"NO CATALOG ID MATCH in Release_Label",iserror(vlookup($A763&amp;$B763,'3) Release_Label'!$D:$D&amp;'3) Release_Label'!$E:$E,1,0)),"NO UPC-CATALOG ID pair MATCH in Release_Label" )</f>
        <v/>
      </c>
      <c r="D763" s="121" t="str">
        <f t="array" ref="D763">ifs(and(isblank($A763),isblank($B763)),"", not(iserror(vlookup($A763&amp;$B763,'3) Release_Label'!$D:$D&amp;'3) Release_Label'!$E:$E,1,0))),vlookup($A763&amp;$B763,{'3) Release_Label'!$D:$D&amp;'3) Release_Label'!$E:$E,'3) Release_Label'!$H:$H},2,0), or(and(not(isblank($B763)),$B763=$B762,$A763&lt;&gt;$A762),and(not(isblank($A763)),$A763=$A762,$B763&lt;&gt;$B762)),"ID LISTS UNALIGNED",and($A763&lt;&gt;"",countif('3) Release_Label'!$D:$D,$A763)=0),"NO UPC MATCH in Release_Label",and($B763&lt;&gt;"",countif('3) Release_Label'!$E:$E,$B763)=0),"NO CATALOG ID MATCH in Release_Label",iserror(vlookup($A763&amp;$B763,'3) Release_Label'!$D:$D&amp;'3) Release_Label'!$E:$E,1,0)),"NO UPC-CATALOG ID pair MATCH in Release_Label" )</f>
        <v/>
      </c>
      <c r="E763" s="92"/>
      <c r="F763" s="92"/>
      <c r="G763" s="125" t="str">
        <f t="array" ref="G763">ifs(or($F763="",$F763="Main Primary Artist"),$F763,not(iserror(vlookup($F763,'Reference info'!$J$5:$J$8,1,0))),"Key Artist",not(iserror(vlookup($F763,'Reference info'!$J$38:$J$405,1,0))),"Performer",not(iserror(vlookup($F763,'Reference info'!$J$10:$J$36,1,0))),"Producer &amp; Engineer")</f>
        <v/>
      </c>
    </row>
    <row r="764">
      <c r="A764" s="28"/>
      <c r="B764" s="97"/>
      <c r="C764" s="121" t="str">
        <f t="array" ref="C764">ifs(and(isblank($A764),isblank($B764)),"", not(iserror(vlookup($A764&amp;$B764,'3) Release_Label'!$D:$D&amp;'3) Release_Label'!$E:$E,1,0))),vlookup($A764&amp;$B764,{'3) Release_Label'!$D:$D&amp;'3) Release_Label'!$E:$E,'3) Release_Label'!$F:$F},2,0), or(and(not(isblank($B764)),$B764=$B763,$A764&lt;&gt;$A763),and(not(isblank($A764)),$A764=$A763,$B764&lt;&gt;$B763)),"ID LISTS UNALIGNED",and($A764&lt;&gt;"",countif('3) Release_Label'!$D:$D,$A764)=0),"NO UPC MATCH in Release_Label",and($B764&lt;&gt;"",countif('3) Release_Label'!$E:$E,$B764)=0),"NO CATALOG ID MATCH in Release_Label",iserror(vlookup($A764&amp;$B764,'3) Release_Label'!$D:$D&amp;'3) Release_Label'!$E:$E,1,0)),"NO UPC-CATALOG ID pair MATCH in Release_Label" )</f>
        <v/>
      </c>
      <c r="D764" s="121" t="str">
        <f t="array" ref="D764">ifs(and(isblank($A764),isblank($B764)),"", not(iserror(vlookup($A764&amp;$B764,'3) Release_Label'!$D:$D&amp;'3) Release_Label'!$E:$E,1,0))),vlookup($A764&amp;$B764,{'3) Release_Label'!$D:$D&amp;'3) Release_Label'!$E:$E,'3) Release_Label'!$H:$H},2,0), or(and(not(isblank($B764)),$B764=$B763,$A764&lt;&gt;$A763),and(not(isblank($A764)),$A764=$A763,$B764&lt;&gt;$B763)),"ID LISTS UNALIGNED",and($A764&lt;&gt;"",countif('3) Release_Label'!$D:$D,$A764)=0),"NO UPC MATCH in Release_Label",and($B764&lt;&gt;"",countif('3) Release_Label'!$E:$E,$B764)=0),"NO CATALOG ID MATCH in Release_Label",iserror(vlookup($A764&amp;$B764,'3) Release_Label'!$D:$D&amp;'3) Release_Label'!$E:$E,1,0)),"NO UPC-CATALOG ID pair MATCH in Release_Label" )</f>
        <v/>
      </c>
      <c r="E764" s="92"/>
      <c r="F764" s="92"/>
      <c r="G764" s="125" t="str">
        <f t="array" ref="G764">ifs(or($F764="",$F764="Main Primary Artist"),$F764,not(iserror(vlookup($F764,'Reference info'!$J$5:$J$8,1,0))),"Key Artist",not(iserror(vlookup($F764,'Reference info'!$J$38:$J$405,1,0))),"Performer",not(iserror(vlookup($F764,'Reference info'!$J$10:$J$36,1,0))),"Producer &amp; Engineer")</f>
        <v/>
      </c>
    </row>
    <row r="765">
      <c r="A765" s="28"/>
      <c r="B765" s="97"/>
      <c r="C765" s="121" t="str">
        <f t="array" ref="C765">ifs(and(isblank($A765),isblank($B765)),"", not(iserror(vlookup($A765&amp;$B765,'3) Release_Label'!$D:$D&amp;'3) Release_Label'!$E:$E,1,0))),vlookup($A765&amp;$B765,{'3) Release_Label'!$D:$D&amp;'3) Release_Label'!$E:$E,'3) Release_Label'!$F:$F},2,0), or(and(not(isblank($B765)),$B765=$B764,$A765&lt;&gt;$A764),and(not(isblank($A765)),$A765=$A764,$B765&lt;&gt;$B764)),"ID LISTS UNALIGNED",and($A765&lt;&gt;"",countif('3) Release_Label'!$D:$D,$A765)=0),"NO UPC MATCH in Release_Label",and($B765&lt;&gt;"",countif('3) Release_Label'!$E:$E,$B765)=0),"NO CATALOG ID MATCH in Release_Label",iserror(vlookup($A765&amp;$B765,'3) Release_Label'!$D:$D&amp;'3) Release_Label'!$E:$E,1,0)),"NO UPC-CATALOG ID pair MATCH in Release_Label" )</f>
        <v/>
      </c>
      <c r="D765" s="121" t="str">
        <f t="array" ref="D765">ifs(and(isblank($A765),isblank($B765)),"", not(iserror(vlookup($A765&amp;$B765,'3) Release_Label'!$D:$D&amp;'3) Release_Label'!$E:$E,1,0))),vlookup($A765&amp;$B765,{'3) Release_Label'!$D:$D&amp;'3) Release_Label'!$E:$E,'3) Release_Label'!$H:$H},2,0), or(and(not(isblank($B765)),$B765=$B764,$A765&lt;&gt;$A764),and(not(isblank($A765)),$A765=$A764,$B765&lt;&gt;$B764)),"ID LISTS UNALIGNED",and($A765&lt;&gt;"",countif('3) Release_Label'!$D:$D,$A765)=0),"NO UPC MATCH in Release_Label",and($B765&lt;&gt;"",countif('3) Release_Label'!$E:$E,$B765)=0),"NO CATALOG ID MATCH in Release_Label",iserror(vlookup($A765&amp;$B765,'3) Release_Label'!$D:$D&amp;'3) Release_Label'!$E:$E,1,0)),"NO UPC-CATALOG ID pair MATCH in Release_Label" )</f>
        <v/>
      </c>
      <c r="E765" s="92"/>
      <c r="F765" s="92"/>
      <c r="G765" s="125" t="str">
        <f t="array" ref="G765">ifs(or($F765="",$F765="Main Primary Artist"),$F765,not(iserror(vlookup($F765,'Reference info'!$J$5:$J$8,1,0))),"Key Artist",not(iserror(vlookup($F765,'Reference info'!$J$38:$J$405,1,0))),"Performer",not(iserror(vlookup($F765,'Reference info'!$J$10:$J$36,1,0))),"Producer &amp; Engineer")</f>
        <v/>
      </c>
    </row>
    <row r="766">
      <c r="A766" s="28"/>
      <c r="B766" s="97"/>
      <c r="C766" s="121" t="str">
        <f t="array" ref="C766">ifs(and(isblank($A766),isblank($B766)),"", not(iserror(vlookup($A766&amp;$B766,'3) Release_Label'!$D:$D&amp;'3) Release_Label'!$E:$E,1,0))),vlookup($A766&amp;$B766,{'3) Release_Label'!$D:$D&amp;'3) Release_Label'!$E:$E,'3) Release_Label'!$F:$F},2,0), or(and(not(isblank($B766)),$B766=$B765,$A766&lt;&gt;$A765),and(not(isblank($A766)),$A766=$A765,$B766&lt;&gt;$B765)),"ID LISTS UNALIGNED",and($A766&lt;&gt;"",countif('3) Release_Label'!$D:$D,$A766)=0),"NO UPC MATCH in Release_Label",and($B766&lt;&gt;"",countif('3) Release_Label'!$E:$E,$B766)=0),"NO CATALOG ID MATCH in Release_Label",iserror(vlookup($A766&amp;$B766,'3) Release_Label'!$D:$D&amp;'3) Release_Label'!$E:$E,1,0)),"NO UPC-CATALOG ID pair MATCH in Release_Label" )</f>
        <v/>
      </c>
      <c r="D766" s="121" t="str">
        <f t="array" ref="D766">ifs(and(isblank($A766),isblank($B766)),"", not(iserror(vlookup($A766&amp;$B766,'3) Release_Label'!$D:$D&amp;'3) Release_Label'!$E:$E,1,0))),vlookup($A766&amp;$B766,{'3) Release_Label'!$D:$D&amp;'3) Release_Label'!$E:$E,'3) Release_Label'!$H:$H},2,0), or(and(not(isblank($B766)),$B766=$B765,$A766&lt;&gt;$A765),and(not(isblank($A766)),$A766=$A765,$B766&lt;&gt;$B765)),"ID LISTS UNALIGNED",and($A766&lt;&gt;"",countif('3) Release_Label'!$D:$D,$A766)=0),"NO UPC MATCH in Release_Label",and($B766&lt;&gt;"",countif('3) Release_Label'!$E:$E,$B766)=0),"NO CATALOG ID MATCH in Release_Label",iserror(vlookup($A766&amp;$B766,'3) Release_Label'!$D:$D&amp;'3) Release_Label'!$E:$E,1,0)),"NO UPC-CATALOG ID pair MATCH in Release_Label" )</f>
        <v/>
      </c>
      <c r="E766" s="92"/>
      <c r="F766" s="92"/>
      <c r="G766" s="125" t="str">
        <f t="array" ref="G766">ifs(or($F766="",$F766="Main Primary Artist"),$F766,not(iserror(vlookup($F766,'Reference info'!$J$5:$J$8,1,0))),"Key Artist",not(iserror(vlookup($F766,'Reference info'!$J$38:$J$405,1,0))),"Performer",not(iserror(vlookup($F766,'Reference info'!$J$10:$J$36,1,0))),"Producer &amp; Engineer")</f>
        <v/>
      </c>
    </row>
    <row r="767">
      <c r="A767" s="28"/>
      <c r="B767" s="97"/>
      <c r="C767" s="121" t="str">
        <f t="array" ref="C767">ifs(and(isblank($A767),isblank($B767)),"", not(iserror(vlookup($A767&amp;$B767,'3) Release_Label'!$D:$D&amp;'3) Release_Label'!$E:$E,1,0))),vlookup($A767&amp;$B767,{'3) Release_Label'!$D:$D&amp;'3) Release_Label'!$E:$E,'3) Release_Label'!$F:$F},2,0), or(and(not(isblank($B767)),$B767=$B766,$A767&lt;&gt;$A766),and(not(isblank($A767)),$A767=$A766,$B767&lt;&gt;$B766)),"ID LISTS UNALIGNED",and($A767&lt;&gt;"",countif('3) Release_Label'!$D:$D,$A767)=0),"NO UPC MATCH in Release_Label",and($B767&lt;&gt;"",countif('3) Release_Label'!$E:$E,$B767)=0),"NO CATALOG ID MATCH in Release_Label",iserror(vlookup($A767&amp;$B767,'3) Release_Label'!$D:$D&amp;'3) Release_Label'!$E:$E,1,0)),"NO UPC-CATALOG ID pair MATCH in Release_Label" )</f>
        <v/>
      </c>
      <c r="D767" s="121" t="str">
        <f t="array" ref="D767">ifs(and(isblank($A767),isblank($B767)),"", not(iserror(vlookup($A767&amp;$B767,'3) Release_Label'!$D:$D&amp;'3) Release_Label'!$E:$E,1,0))),vlookup($A767&amp;$B767,{'3) Release_Label'!$D:$D&amp;'3) Release_Label'!$E:$E,'3) Release_Label'!$H:$H},2,0), or(and(not(isblank($B767)),$B767=$B766,$A767&lt;&gt;$A766),and(not(isblank($A767)),$A767=$A766,$B767&lt;&gt;$B766)),"ID LISTS UNALIGNED",and($A767&lt;&gt;"",countif('3) Release_Label'!$D:$D,$A767)=0),"NO UPC MATCH in Release_Label",and($B767&lt;&gt;"",countif('3) Release_Label'!$E:$E,$B767)=0),"NO CATALOG ID MATCH in Release_Label",iserror(vlookup($A767&amp;$B767,'3) Release_Label'!$D:$D&amp;'3) Release_Label'!$E:$E,1,0)),"NO UPC-CATALOG ID pair MATCH in Release_Label" )</f>
        <v/>
      </c>
      <c r="E767" s="92"/>
      <c r="F767" s="92"/>
      <c r="G767" s="125" t="str">
        <f t="array" ref="G767">ifs(or($F767="",$F767="Main Primary Artist"),$F767,not(iserror(vlookup($F767,'Reference info'!$J$5:$J$8,1,0))),"Key Artist",not(iserror(vlookup($F767,'Reference info'!$J$38:$J$405,1,0))),"Performer",not(iserror(vlookup($F767,'Reference info'!$J$10:$J$36,1,0))),"Producer &amp; Engineer")</f>
        <v/>
      </c>
    </row>
    <row r="768">
      <c r="A768" s="28"/>
      <c r="B768" s="97"/>
      <c r="C768" s="121" t="str">
        <f t="array" ref="C768">ifs(and(isblank($A768),isblank($B768)),"", not(iserror(vlookup($A768&amp;$B768,'3) Release_Label'!$D:$D&amp;'3) Release_Label'!$E:$E,1,0))),vlookup($A768&amp;$B768,{'3) Release_Label'!$D:$D&amp;'3) Release_Label'!$E:$E,'3) Release_Label'!$F:$F},2,0), or(and(not(isblank($B768)),$B768=$B767,$A768&lt;&gt;$A767),and(not(isblank($A768)),$A768=$A767,$B768&lt;&gt;$B767)),"ID LISTS UNALIGNED",and($A768&lt;&gt;"",countif('3) Release_Label'!$D:$D,$A768)=0),"NO UPC MATCH in Release_Label",and($B768&lt;&gt;"",countif('3) Release_Label'!$E:$E,$B768)=0),"NO CATALOG ID MATCH in Release_Label",iserror(vlookup($A768&amp;$B768,'3) Release_Label'!$D:$D&amp;'3) Release_Label'!$E:$E,1,0)),"NO UPC-CATALOG ID pair MATCH in Release_Label" )</f>
        <v/>
      </c>
      <c r="D768" s="121" t="str">
        <f t="array" ref="D768">ifs(and(isblank($A768),isblank($B768)),"", not(iserror(vlookup($A768&amp;$B768,'3) Release_Label'!$D:$D&amp;'3) Release_Label'!$E:$E,1,0))),vlookup($A768&amp;$B768,{'3) Release_Label'!$D:$D&amp;'3) Release_Label'!$E:$E,'3) Release_Label'!$H:$H},2,0), or(and(not(isblank($B768)),$B768=$B767,$A768&lt;&gt;$A767),and(not(isblank($A768)),$A768=$A767,$B768&lt;&gt;$B767)),"ID LISTS UNALIGNED",and($A768&lt;&gt;"",countif('3) Release_Label'!$D:$D,$A768)=0),"NO UPC MATCH in Release_Label",and($B768&lt;&gt;"",countif('3) Release_Label'!$E:$E,$B768)=0),"NO CATALOG ID MATCH in Release_Label",iserror(vlookup($A768&amp;$B768,'3) Release_Label'!$D:$D&amp;'3) Release_Label'!$E:$E,1,0)),"NO UPC-CATALOG ID pair MATCH in Release_Label" )</f>
        <v/>
      </c>
      <c r="E768" s="92"/>
      <c r="F768" s="92"/>
      <c r="G768" s="125" t="str">
        <f t="array" ref="G768">ifs(or($F768="",$F768="Main Primary Artist"),$F768,not(iserror(vlookup($F768,'Reference info'!$J$5:$J$8,1,0))),"Key Artist",not(iserror(vlookup($F768,'Reference info'!$J$38:$J$405,1,0))),"Performer",not(iserror(vlookup($F768,'Reference info'!$J$10:$J$36,1,0))),"Producer &amp; Engineer")</f>
        <v/>
      </c>
    </row>
    <row r="769">
      <c r="A769" s="28"/>
      <c r="B769" s="97"/>
      <c r="C769" s="121" t="str">
        <f t="array" ref="C769">ifs(and(isblank($A769),isblank($B769)),"", not(iserror(vlookup($A769&amp;$B769,'3) Release_Label'!$D:$D&amp;'3) Release_Label'!$E:$E,1,0))),vlookup($A769&amp;$B769,{'3) Release_Label'!$D:$D&amp;'3) Release_Label'!$E:$E,'3) Release_Label'!$F:$F},2,0), or(and(not(isblank($B769)),$B769=$B768,$A769&lt;&gt;$A768),and(not(isblank($A769)),$A769=$A768,$B769&lt;&gt;$B768)),"ID LISTS UNALIGNED",and($A769&lt;&gt;"",countif('3) Release_Label'!$D:$D,$A769)=0),"NO UPC MATCH in Release_Label",and($B769&lt;&gt;"",countif('3) Release_Label'!$E:$E,$B769)=0),"NO CATALOG ID MATCH in Release_Label",iserror(vlookup($A769&amp;$B769,'3) Release_Label'!$D:$D&amp;'3) Release_Label'!$E:$E,1,0)),"NO UPC-CATALOG ID pair MATCH in Release_Label" )</f>
        <v/>
      </c>
      <c r="D769" s="121" t="str">
        <f t="array" ref="D769">ifs(and(isblank($A769),isblank($B769)),"", not(iserror(vlookup($A769&amp;$B769,'3) Release_Label'!$D:$D&amp;'3) Release_Label'!$E:$E,1,0))),vlookup($A769&amp;$B769,{'3) Release_Label'!$D:$D&amp;'3) Release_Label'!$E:$E,'3) Release_Label'!$H:$H},2,0), or(and(not(isblank($B769)),$B769=$B768,$A769&lt;&gt;$A768),and(not(isblank($A769)),$A769=$A768,$B769&lt;&gt;$B768)),"ID LISTS UNALIGNED",and($A769&lt;&gt;"",countif('3) Release_Label'!$D:$D,$A769)=0),"NO UPC MATCH in Release_Label",and($B769&lt;&gt;"",countif('3) Release_Label'!$E:$E,$B769)=0),"NO CATALOG ID MATCH in Release_Label",iserror(vlookup($A769&amp;$B769,'3) Release_Label'!$D:$D&amp;'3) Release_Label'!$E:$E,1,0)),"NO UPC-CATALOG ID pair MATCH in Release_Label" )</f>
        <v/>
      </c>
      <c r="E769" s="92"/>
      <c r="F769" s="92"/>
      <c r="G769" s="125" t="str">
        <f t="array" ref="G769">ifs(or($F769="",$F769="Main Primary Artist"),$F769,not(iserror(vlookup($F769,'Reference info'!$J$5:$J$8,1,0))),"Key Artist",not(iserror(vlookup($F769,'Reference info'!$J$38:$J$405,1,0))),"Performer",not(iserror(vlookup($F769,'Reference info'!$J$10:$J$36,1,0))),"Producer &amp; Engineer")</f>
        <v/>
      </c>
    </row>
    <row r="770">
      <c r="A770" s="28"/>
      <c r="B770" s="97"/>
      <c r="C770" s="121" t="str">
        <f t="array" ref="C770">ifs(and(isblank($A770),isblank($B770)),"", not(iserror(vlookup($A770&amp;$B770,'3) Release_Label'!$D:$D&amp;'3) Release_Label'!$E:$E,1,0))),vlookup($A770&amp;$B770,{'3) Release_Label'!$D:$D&amp;'3) Release_Label'!$E:$E,'3) Release_Label'!$F:$F},2,0), or(and(not(isblank($B770)),$B770=$B769,$A770&lt;&gt;$A769),and(not(isblank($A770)),$A770=$A769,$B770&lt;&gt;$B769)),"ID LISTS UNALIGNED",and($A770&lt;&gt;"",countif('3) Release_Label'!$D:$D,$A770)=0),"NO UPC MATCH in Release_Label",and($B770&lt;&gt;"",countif('3) Release_Label'!$E:$E,$B770)=0),"NO CATALOG ID MATCH in Release_Label",iserror(vlookup($A770&amp;$B770,'3) Release_Label'!$D:$D&amp;'3) Release_Label'!$E:$E,1,0)),"NO UPC-CATALOG ID pair MATCH in Release_Label" )</f>
        <v/>
      </c>
      <c r="D770" s="121" t="str">
        <f t="array" ref="D770">ifs(and(isblank($A770),isblank($B770)),"", not(iserror(vlookup($A770&amp;$B770,'3) Release_Label'!$D:$D&amp;'3) Release_Label'!$E:$E,1,0))),vlookup($A770&amp;$B770,{'3) Release_Label'!$D:$D&amp;'3) Release_Label'!$E:$E,'3) Release_Label'!$H:$H},2,0), or(and(not(isblank($B770)),$B770=$B769,$A770&lt;&gt;$A769),and(not(isblank($A770)),$A770=$A769,$B770&lt;&gt;$B769)),"ID LISTS UNALIGNED",and($A770&lt;&gt;"",countif('3) Release_Label'!$D:$D,$A770)=0),"NO UPC MATCH in Release_Label",and($B770&lt;&gt;"",countif('3) Release_Label'!$E:$E,$B770)=0),"NO CATALOG ID MATCH in Release_Label",iserror(vlookup($A770&amp;$B770,'3) Release_Label'!$D:$D&amp;'3) Release_Label'!$E:$E,1,0)),"NO UPC-CATALOG ID pair MATCH in Release_Label" )</f>
        <v/>
      </c>
      <c r="E770" s="92"/>
      <c r="F770" s="92"/>
      <c r="G770" s="125" t="str">
        <f t="array" ref="G770">ifs(or($F770="",$F770="Main Primary Artist"),$F770,not(iserror(vlookup($F770,'Reference info'!$J$5:$J$8,1,0))),"Key Artist",not(iserror(vlookup($F770,'Reference info'!$J$38:$J$405,1,0))),"Performer",not(iserror(vlookup($F770,'Reference info'!$J$10:$J$36,1,0))),"Producer &amp; Engineer")</f>
        <v/>
      </c>
    </row>
    <row r="771">
      <c r="A771" s="28"/>
      <c r="B771" s="97"/>
      <c r="C771" s="121" t="str">
        <f t="array" ref="C771">ifs(and(isblank($A771),isblank($B771)),"", not(iserror(vlookup($A771&amp;$B771,'3) Release_Label'!$D:$D&amp;'3) Release_Label'!$E:$E,1,0))),vlookup($A771&amp;$B771,{'3) Release_Label'!$D:$D&amp;'3) Release_Label'!$E:$E,'3) Release_Label'!$F:$F},2,0), or(and(not(isblank($B771)),$B771=$B770,$A771&lt;&gt;$A770),and(not(isblank($A771)),$A771=$A770,$B771&lt;&gt;$B770)),"ID LISTS UNALIGNED",and($A771&lt;&gt;"",countif('3) Release_Label'!$D:$D,$A771)=0),"NO UPC MATCH in Release_Label",and($B771&lt;&gt;"",countif('3) Release_Label'!$E:$E,$B771)=0),"NO CATALOG ID MATCH in Release_Label",iserror(vlookup($A771&amp;$B771,'3) Release_Label'!$D:$D&amp;'3) Release_Label'!$E:$E,1,0)),"NO UPC-CATALOG ID pair MATCH in Release_Label" )</f>
        <v/>
      </c>
      <c r="D771" s="121" t="str">
        <f t="array" ref="D771">ifs(and(isblank($A771),isblank($B771)),"", not(iserror(vlookup($A771&amp;$B771,'3) Release_Label'!$D:$D&amp;'3) Release_Label'!$E:$E,1,0))),vlookup($A771&amp;$B771,{'3) Release_Label'!$D:$D&amp;'3) Release_Label'!$E:$E,'3) Release_Label'!$H:$H},2,0), or(and(not(isblank($B771)),$B771=$B770,$A771&lt;&gt;$A770),and(not(isblank($A771)),$A771=$A770,$B771&lt;&gt;$B770)),"ID LISTS UNALIGNED",and($A771&lt;&gt;"",countif('3) Release_Label'!$D:$D,$A771)=0),"NO UPC MATCH in Release_Label",and($B771&lt;&gt;"",countif('3) Release_Label'!$E:$E,$B771)=0),"NO CATALOG ID MATCH in Release_Label",iserror(vlookup($A771&amp;$B771,'3) Release_Label'!$D:$D&amp;'3) Release_Label'!$E:$E,1,0)),"NO UPC-CATALOG ID pair MATCH in Release_Label" )</f>
        <v/>
      </c>
      <c r="E771" s="92"/>
      <c r="F771" s="92"/>
      <c r="G771" s="125" t="str">
        <f t="array" ref="G771">ifs(or($F771="",$F771="Main Primary Artist"),$F771,not(iserror(vlookup($F771,'Reference info'!$J$5:$J$8,1,0))),"Key Artist",not(iserror(vlookup($F771,'Reference info'!$J$38:$J$405,1,0))),"Performer",not(iserror(vlookup($F771,'Reference info'!$J$10:$J$36,1,0))),"Producer &amp; Engineer")</f>
        <v/>
      </c>
    </row>
    <row r="772">
      <c r="A772" s="28"/>
      <c r="B772" s="97"/>
      <c r="C772" s="121" t="str">
        <f t="array" ref="C772">ifs(and(isblank($A772),isblank($B772)),"", not(iserror(vlookup($A772&amp;$B772,'3) Release_Label'!$D:$D&amp;'3) Release_Label'!$E:$E,1,0))),vlookup($A772&amp;$B772,{'3) Release_Label'!$D:$D&amp;'3) Release_Label'!$E:$E,'3) Release_Label'!$F:$F},2,0), or(and(not(isblank($B772)),$B772=$B771,$A772&lt;&gt;$A771),and(not(isblank($A772)),$A772=$A771,$B772&lt;&gt;$B771)),"ID LISTS UNALIGNED",and($A772&lt;&gt;"",countif('3) Release_Label'!$D:$D,$A772)=0),"NO UPC MATCH in Release_Label",and($B772&lt;&gt;"",countif('3) Release_Label'!$E:$E,$B772)=0),"NO CATALOG ID MATCH in Release_Label",iserror(vlookup($A772&amp;$B772,'3) Release_Label'!$D:$D&amp;'3) Release_Label'!$E:$E,1,0)),"NO UPC-CATALOG ID pair MATCH in Release_Label" )</f>
        <v/>
      </c>
      <c r="D772" s="121" t="str">
        <f t="array" ref="D772">ifs(and(isblank($A772),isblank($B772)),"", not(iserror(vlookup($A772&amp;$B772,'3) Release_Label'!$D:$D&amp;'3) Release_Label'!$E:$E,1,0))),vlookup($A772&amp;$B772,{'3) Release_Label'!$D:$D&amp;'3) Release_Label'!$E:$E,'3) Release_Label'!$H:$H},2,0), or(and(not(isblank($B772)),$B772=$B771,$A772&lt;&gt;$A771),and(not(isblank($A772)),$A772=$A771,$B772&lt;&gt;$B771)),"ID LISTS UNALIGNED",and($A772&lt;&gt;"",countif('3) Release_Label'!$D:$D,$A772)=0),"NO UPC MATCH in Release_Label",and($B772&lt;&gt;"",countif('3) Release_Label'!$E:$E,$B772)=0),"NO CATALOG ID MATCH in Release_Label",iserror(vlookup($A772&amp;$B772,'3) Release_Label'!$D:$D&amp;'3) Release_Label'!$E:$E,1,0)),"NO UPC-CATALOG ID pair MATCH in Release_Label" )</f>
        <v/>
      </c>
      <c r="E772" s="92"/>
      <c r="F772" s="92"/>
      <c r="G772" s="125" t="str">
        <f t="array" ref="G772">ifs(or($F772="",$F772="Main Primary Artist"),$F772,not(iserror(vlookup($F772,'Reference info'!$J$5:$J$8,1,0))),"Key Artist",not(iserror(vlookup($F772,'Reference info'!$J$38:$J$405,1,0))),"Performer",not(iserror(vlookup($F772,'Reference info'!$J$10:$J$36,1,0))),"Producer &amp; Engineer")</f>
        <v/>
      </c>
    </row>
    <row r="773">
      <c r="A773" s="28"/>
      <c r="B773" s="97"/>
      <c r="C773" s="121" t="str">
        <f t="array" ref="C773">ifs(and(isblank($A773),isblank($B773)),"", not(iserror(vlookup($A773&amp;$B773,'3) Release_Label'!$D:$D&amp;'3) Release_Label'!$E:$E,1,0))),vlookup($A773&amp;$B773,{'3) Release_Label'!$D:$D&amp;'3) Release_Label'!$E:$E,'3) Release_Label'!$F:$F},2,0), or(and(not(isblank($B773)),$B773=$B772,$A773&lt;&gt;$A772),and(not(isblank($A773)),$A773=$A772,$B773&lt;&gt;$B772)),"ID LISTS UNALIGNED",and($A773&lt;&gt;"",countif('3) Release_Label'!$D:$D,$A773)=0),"NO UPC MATCH in Release_Label",and($B773&lt;&gt;"",countif('3) Release_Label'!$E:$E,$B773)=0),"NO CATALOG ID MATCH in Release_Label",iserror(vlookup($A773&amp;$B773,'3) Release_Label'!$D:$D&amp;'3) Release_Label'!$E:$E,1,0)),"NO UPC-CATALOG ID pair MATCH in Release_Label" )</f>
        <v/>
      </c>
      <c r="D773" s="121" t="str">
        <f t="array" ref="D773">ifs(and(isblank($A773),isblank($B773)),"", not(iserror(vlookup($A773&amp;$B773,'3) Release_Label'!$D:$D&amp;'3) Release_Label'!$E:$E,1,0))),vlookup($A773&amp;$B773,{'3) Release_Label'!$D:$D&amp;'3) Release_Label'!$E:$E,'3) Release_Label'!$H:$H},2,0), or(and(not(isblank($B773)),$B773=$B772,$A773&lt;&gt;$A772),and(not(isblank($A773)),$A773=$A772,$B773&lt;&gt;$B772)),"ID LISTS UNALIGNED",and($A773&lt;&gt;"",countif('3) Release_Label'!$D:$D,$A773)=0),"NO UPC MATCH in Release_Label",and($B773&lt;&gt;"",countif('3) Release_Label'!$E:$E,$B773)=0),"NO CATALOG ID MATCH in Release_Label",iserror(vlookup($A773&amp;$B773,'3) Release_Label'!$D:$D&amp;'3) Release_Label'!$E:$E,1,0)),"NO UPC-CATALOG ID pair MATCH in Release_Label" )</f>
        <v/>
      </c>
      <c r="E773" s="92"/>
      <c r="F773" s="92"/>
      <c r="G773" s="125" t="str">
        <f t="array" ref="G773">ifs(or($F773="",$F773="Main Primary Artist"),$F773,not(iserror(vlookup($F773,'Reference info'!$J$5:$J$8,1,0))),"Key Artist",not(iserror(vlookup($F773,'Reference info'!$J$38:$J$405,1,0))),"Performer",not(iserror(vlookup($F773,'Reference info'!$J$10:$J$36,1,0))),"Producer &amp; Engineer")</f>
        <v/>
      </c>
    </row>
    <row r="774">
      <c r="A774" s="28"/>
      <c r="B774" s="97"/>
      <c r="C774" s="121" t="str">
        <f t="array" ref="C774">ifs(and(isblank($A774),isblank($B774)),"", not(iserror(vlookup($A774&amp;$B774,'3) Release_Label'!$D:$D&amp;'3) Release_Label'!$E:$E,1,0))),vlookup($A774&amp;$B774,{'3) Release_Label'!$D:$D&amp;'3) Release_Label'!$E:$E,'3) Release_Label'!$F:$F},2,0), or(and(not(isblank($B774)),$B774=$B773,$A774&lt;&gt;$A773),and(not(isblank($A774)),$A774=$A773,$B774&lt;&gt;$B773)),"ID LISTS UNALIGNED",and($A774&lt;&gt;"",countif('3) Release_Label'!$D:$D,$A774)=0),"NO UPC MATCH in Release_Label",and($B774&lt;&gt;"",countif('3) Release_Label'!$E:$E,$B774)=0),"NO CATALOG ID MATCH in Release_Label",iserror(vlookup($A774&amp;$B774,'3) Release_Label'!$D:$D&amp;'3) Release_Label'!$E:$E,1,0)),"NO UPC-CATALOG ID pair MATCH in Release_Label" )</f>
        <v/>
      </c>
      <c r="D774" s="121" t="str">
        <f t="array" ref="D774">ifs(and(isblank($A774),isblank($B774)),"", not(iserror(vlookup($A774&amp;$B774,'3) Release_Label'!$D:$D&amp;'3) Release_Label'!$E:$E,1,0))),vlookup($A774&amp;$B774,{'3) Release_Label'!$D:$D&amp;'3) Release_Label'!$E:$E,'3) Release_Label'!$H:$H},2,0), or(and(not(isblank($B774)),$B774=$B773,$A774&lt;&gt;$A773),and(not(isblank($A774)),$A774=$A773,$B774&lt;&gt;$B773)),"ID LISTS UNALIGNED",and($A774&lt;&gt;"",countif('3) Release_Label'!$D:$D,$A774)=0),"NO UPC MATCH in Release_Label",and($B774&lt;&gt;"",countif('3) Release_Label'!$E:$E,$B774)=0),"NO CATALOG ID MATCH in Release_Label",iserror(vlookup($A774&amp;$B774,'3) Release_Label'!$D:$D&amp;'3) Release_Label'!$E:$E,1,0)),"NO UPC-CATALOG ID pair MATCH in Release_Label" )</f>
        <v/>
      </c>
      <c r="E774" s="92"/>
      <c r="F774" s="92"/>
      <c r="G774" s="125" t="str">
        <f t="array" ref="G774">ifs(or($F774="",$F774="Main Primary Artist"),$F774,not(iserror(vlookup($F774,'Reference info'!$J$5:$J$8,1,0))),"Key Artist",not(iserror(vlookup($F774,'Reference info'!$J$38:$J$405,1,0))),"Performer",not(iserror(vlookup($F774,'Reference info'!$J$10:$J$36,1,0))),"Producer &amp; Engineer")</f>
        <v/>
      </c>
    </row>
    <row r="775">
      <c r="A775" s="28"/>
      <c r="B775" s="97"/>
      <c r="C775" s="121" t="str">
        <f t="array" ref="C775">ifs(and(isblank($A775),isblank($B775)),"", not(iserror(vlookup($A775&amp;$B775,'3) Release_Label'!$D:$D&amp;'3) Release_Label'!$E:$E,1,0))),vlookup($A775&amp;$B775,{'3) Release_Label'!$D:$D&amp;'3) Release_Label'!$E:$E,'3) Release_Label'!$F:$F},2,0), or(and(not(isblank($B775)),$B775=$B774,$A775&lt;&gt;$A774),and(not(isblank($A775)),$A775=$A774,$B775&lt;&gt;$B774)),"ID LISTS UNALIGNED",and($A775&lt;&gt;"",countif('3) Release_Label'!$D:$D,$A775)=0),"NO UPC MATCH in Release_Label",and($B775&lt;&gt;"",countif('3) Release_Label'!$E:$E,$B775)=0),"NO CATALOG ID MATCH in Release_Label",iserror(vlookup($A775&amp;$B775,'3) Release_Label'!$D:$D&amp;'3) Release_Label'!$E:$E,1,0)),"NO UPC-CATALOG ID pair MATCH in Release_Label" )</f>
        <v/>
      </c>
      <c r="D775" s="121" t="str">
        <f t="array" ref="D775">ifs(and(isblank($A775),isblank($B775)),"", not(iserror(vlookup($A775&amp;$B775,'3) Release_Label'!$D:$D&amp;'3) Release_Label'!$E:$E,1,0))),vlookup($A775&amp;$B775,{'3) Release_Label'!$D:$D&amp;'3) Release_Label'!$E:$E,'3) Release_Label'!$H:$H},2,0), or(and(not(isblank($B775)),$B775=$B774,$A775&lt;&gt;$A774),and(not(isblank($A775)),$A775=$A774,$B775&lt;&gt;$B774)),"ID LISTS UNALIGNED",and($A775&lt;&gt;"",countif('3) Release_Label'!$D:$D,$A775)=0),"NO UPC MATCH in Release_Label",and($B775&lt;&gt;"",countif('3) Release_Label'!$E:$E,$B775)=0),"NO CATALOG ID MATCH in Release_Label",iserror(vlookup($A775&amp;$B775,'3) Release_Label'!$D:$D&amp;'3) Release_Label'!$E:$E,1,0)),"NO UPC-CATALOG ID pair MATCH in Release_Label" )</f>
        <v/>
      </c>
      <c r="E775" s="92"/>
      <c r="F775" s="92"/>
      <c r="G775" s="125" t="str">
        <f t="array" ref="G775">ifs(or($F775="",$F775="Main Primary Artist"),$F775,not(iserror(vlookup($F775,'Reference info'!$J$5:$J$8,1,0))),"Key Artist",not(iserror(vlookup($F775,'Reference info'!$J$38:$J$405,1,0))),"Performer",not(iserror(vlookup($F775,'Reference info'!$J$10:$J$36,1,0))),"Producer &amp; Engineer")</f>
        <v/>
      </c>
    </row>
    <row r="776">
      <c r="A776" s="28"/>
      <c r="B776" s="97"/>
      <c r="C776" s="121" t="str">
        <f t="array" ref="C776">ifs(and(isblank($A776),isblank($B776)),"", not(iserror(vlookup($A776&amp;$B776,'3) Release_Label'!$D:$D&amp;'3) Release_Label'!$E:$E,1,0))),vlookup($A776&amp;$B776,{'3) Release_Label'!$D:$D&amp;'3) Release_Label'!$E:$E,'3) Release_Label'!$F:$F},2,0), or(and(not(isblank($B776)),$B776=$B775,$A776&lt;&gt;$A775),and(not(isblank($A776)),$A776=$A775,$B776&lt;&gt;$B775)),"ID LISTS UNALIGNED",and($A776&lt;&gt;"",countif('3) Release_Label'!$D:$D,$A776)=0),"NO UPC MATCH in Release_Label",and($B776&lt;&gt;"",countif('3) Release_Label'!$E:$E,$B776)=0),"NO CATALOG ID MATCH in Release_Label",iserror(vlookup($A776&amp;$B776,'3) Release_Label'!$D:$D&amp;'3) Release_Label'!$E:$E,1,0)),"NO UPC-CATALOG ID pair MATCH in Release_Label" )</f>
        <v/>
      </c>
      <c r="D776" s="121" t="str">
        <f t="array" ref="D776">ifs(and(isblank($A776),isblank($B776)),"", not(iserror(vlookup($A776&amp;$B776,'3) Release_Label'!$D:$D&amp;'3) Release_Label'!$E:$E,1,0))),vlookup($A776&amp;$B776,{'3) Release_Label'!$D:$D&amp;'3) Release_Label'!$E:$E,'3) Release_Label'!$H:$H},2,0), or(and(not(isblank($B776)),$B776=$B775,$A776&lt;&gt;$A775),and(not(isblank($A776)),$A776=$A775,$B776&lt;&gt;$B775)),"ID LISTS UNALIGNED",and($A776&lt;&gt;"",countif('3) Release_Label'!$D:$D,$A776)=0),"NO UPC MATCH in Release_Label",and($B776&lt;&gt;"",countif('3) Release_Label'!$E:$E,$B776)=0),"NO CATALOG ID MATCH in Release_Label",iserror(vlookup($A776&amp;$B776,'3) Release_Label'!$D:$D&amp;'3) Release_Label'!$E:$E,1,0)),"NO UPC-CATALOG ID pair MATCH in Release_Label" )</f>
        <v/>
      </c>
      <c r="E776" s="92"/>
      <c r="F776" s="92"/>
      <c r="G776" s="125" t="str">
        <f t="array" ref="G776">ifs(or($F776="",$F776="Main Primary Artist"),$F776,not(iserror(vlookup($F776,'Reference info'!$J$5:$J$8,1,0))),"Key Artist",not(iserror(vlookup($F776,'Reference info'!$J$38:$J$405,1,0))),"Performer",not(iserror(vlookup($F776,'Reference info'!$J$10:$J$36,1,0))),"Producer &amp; Engineer")</f>
        <v/>
      </c>
    </row>
    <row r="777">
      <c r="A777" s="28"/>
      <c r="B777" s="97"/>
      <c r="C777" s="121" t="str">
        <f t="array" ref="C777">ifs(and(isblank($A777),isblank($B777)),"", not(iserror(vlookup($A777&amp;$B777,'3) Release_Label'!$D:$D&amp;'3) Release_Label'!$E:$E,1,0))),vlookup($A777&amp;$B777,{'3) Release_Label'!$D:$D&amp;'3) Release_Label'!$E:$E,'3) Release_Label'!$F:$F},2,0), or(and(not(isblank($B777)),$B777=$B776,$A777&lt;&gt;$A776),and(not(isblank($A777)),$A777=$A776,$B777&lt;&gt;$B776)),"ID LISTS UNALIGNED",and($A777&lt;&gt;"",countif('3) Release_Label'!$D:$D,$A777)=0),"NO UPC MATCH in Release_Label",and($B777&lt;&gt;"",countif('3) Release_Label'!$E:$E,$B777)=0),"NO CATALOG ID MATCH in Release_Label",iserror(vlookup($A777&amp;$B777,'3) Release_Label'!$D:$D&amp;'3) Release_Label'!$E:$E,1,0)),"NO UPC-CATALOG ID pair MATCH in Release_Label" )</f>
        <v/>
      </c>
      <c r="D777" s="121" t="str">
        <f t="array" ref="D777">ifs(and(isblank($A777),isblank($B777)),"", not(iserror(vlookup($A777&amp;$B777,'3) Release_Label'!$D:$D&amp;'3) Release_Label'!$E:$E,1,0))),vlookup($A777&amp;$B777,{'3) Release_Label'!$D:$D&amp;'3) Release_Label'!$E:$E,'3) Release_Label'!$H:$H},2,0), or(and(not(isblank($B777)),$B777=$B776,$A777&lt;&gt;$A776),and(not(isblank($A777)),$A777=$A776,$B777&lt;&gt;$B776)),"ID LISTS UNALIGNED",and($A777&lt;&gt;"",countif('3) Release_Label'!$D:$D,$A777)=0),"NO UPC MATCH in Release_Label",and($B777&lt;&gt;"",countif('3) Release_Label'!$E:$E,$B777)=0),"NO CATALOG ID MATCH in Release_Label",iserror(vlookup($A777&amp;$B777,'3) Release_Label'!$D:$D&amp;'3) Release_Label'!$E:$E,1,0)),"NO UPC-CATALOG ID pair MATCH in Release_Label" )</f>
        <v/>
      </c>
      <c r="E777" s="92"/>
      <c r="F777" s="92"/>
      <c r="G777" s="125" t="str">
        <f t="array" ref="G777">ifs(or($F777="",$F777="Main Primary Artist"),$F777,not(iserror(vlookup($F777,'Reference info'!$J$5:$J$8,1,0))),"Key Artist",not(iserror(vlookup($F777,'Reference info'!$J$38:$J$405,1,0))),"Performer",not(iserror(vlookup($F777,'Reference info'!$J$10:$J$36,1,0))),"Producer &amp; Engineer")</f>
        <v/>
      </c>
    </row>
    <row r="778">
      <c r="A778" s="28"/>
      <c r="B778" s="97"/>
      <c r="C778" s="121" t="str">
        <f t="array" ref="C778">ifs(and(isblank($A778),isblank($B778)),"", not(iserror(vlookup($A778&amp;$B778,'3) Release_Label'!$D:$D&amp;'3) Release_Label'!$E:$E,1,0))),vlookup($A778&amp;$B778,{'3) Release_Label'!$D:$D&amp;'3) Release_Label'!$E:$E,'3) Release_Label'!$F:$F},2,0), or(and(not(isblank($B778)),$B778=$B777,$A778&lt;&gt;$A777),and(not(isblank($A778)),$A778=$A777,$B778&lt;&gt;$B777)),"ID LISTS UNALIGNED",and($A778&lt;&gt;"",countif('3) Release_Label'!$D:$D,$A778)=0),"NO UPC MATCH in Release_Label",and($B778&lt;&gt;"",countif('3) Release_Label'!$E:$E,$B778)=0),"NO CATALOG ID MATCH in Release_Label",iserror(vlookup($A778&amp;$B778,'3) Release_Label'!$D:$D&amp;'3) Release_Label'!$E:$E,1,0)),"NO UPC-CATALOG ID pair MATCH in Release_Label" )</f>
        <v/>
      </c>
      <c r="D778" s="121" t="str">
        <f t="array" ref="D778">ifs(and(isblank($A778),isblank($B778)),"", not(iserror(vlookup($A778&amp;$B778,'3) Release_Label'!$D:$D&amp;'3) Release_Label'!$E:$E,1,0))),vlookup($A778&amp;$B778,{'3) Release_Label'!$D:$D&amp;'3) Release_Label'!$E:$E,'3) Release_Label'!$H:$H},2,0), or(and(not(isblank($B778)),$B778=$B777,$A778&lt;&gt;$A777),and(not(isblank($A778)),$A778=$A777,$B778&lt;&gt;$B777)),"ID LISTS UNALIGNED",and($A778&lt;&gt;"",countif('3) Release_Label'!$D:$D,$A778)=0),"NO UPC MATCH in Release_Label",and($B778&lt;&gt;"",countif('3) Release_Label'!$E:$E,$B778)=0),"NO CATALOG ID MATCH in Release_Label",iserror(vlookup($A778&amp;$B778,'3) Release_Label'!$D:$D&amp;'3) Release_Label'!$E:$E,1,0)),"NO UPC-CATALOG ID pair MATCH in Release_Label" )</f>
        <v/>
      </c>
      <c r="E778" s="92"/>
      <c r="F778" s="92"/>
      <c r="G778" s="125" t="str">
        <f t="array" ref="G778">ifs(or($F778="",$F778="Main Primary Artist"),$F778,not(iserror(vlookup($F778,'Reference info'!$J$5:$J$8,1,0))),"Key Artist",not(iserror(vlookup($F778,'Reference info'!$J$38:$J$405,1,0))),"Performer",not(iserror(vlookup($F778,'Reference info'!$J$10:$J$36,1,0))),"Producer &amp; Engineer")</f>
        <v/>
      </c>
    </row>
    <row r="779">
      <c r="A779" s="28"/>
      <c r="B779" s="97"/>
      <c r="C779" s="121" t="str">
        <f t="array" ref="C779">ifs(and(isblank($A779),isblank($B779)),"", not(iserror(vlookup($A779&amp;$B779,'3) Release_Label'!$D:$D&amp;'3) Release_Label'!$E:$E,1,0))),vlookup($A779&amp;$B779,{'3) Release_Label'!$D:$D&amp;'3) Release_Label'!$E:$E,'3) Release_Label'!$F:$F},2,0), or(and(not(isblank($B779)),$B779=$B778,$A779&lt;&gt;$A778),and(not(isblank($A779)),$A779=$A778,$B779&lt;&gt;$B778)),"ID LISTS UNALIGNED",and($A779&lt;&gt;"",countif('3) Release_Label'!$D:$D,$A779)=0),"NO UPC MATCH in Release_Label",and($B779&lt;&gt;"",countif('3) Release_Label'!$E:$E,$B779)=0),"NO CATALOG ID MATCH in Release_Label",iserror(vlookup($A779&amp;$B779,'3) Release_Label'!$D:$D&amp;'3) Release_Label'!$E:$E,1,0)),"NO UPC-CATALOG ID pair MATCH in Release_Label" )</f>
        <v/>
      </c>
      <c r="D779" s="121" t="str">
        <f t="array" ref="D779">ifs(and(isblank($A779),isblank($B779)),"", not(iserror(vlookup($A779&amp;$B779,'3) Release_Label'!$D:$D&amp;'3) Release_Label'!$E:$E,1,0))),vlookup($A779&amp;$B779,{'3) Release_Label'!$D:$D&amp;'3) Release_Label'!$E:$E,'3) Release_Label'!$H:$H},2,0), or(and(not(isblank($B779)),$B779=$B778,$A779&lt;&gt;$A778),and(not(isblank($A779)),$A779=$A778,$B779&lt;&gt;$B778)),"ID LISTS UNALIGNED",and($A779&lt;&gt;"",countif('3) Release_Label'!$D:$D,$A779)=0),"NO UPC MATCH in Release_Label",and($B779&lt;&gt;"",countif('3) Release_Label'!$E:$E,$B779)=0),"NO CATALOG ID MATCH in Release_Label",iserror(vlookup($A779&amp;$B779,'3) Release_Label'!$D:$D&amp;'3) Release_Label'!$E:$E,1,0)),"NO UPC-CATALOG ID pair MATCH in Release_Label" )</f>
        <v/>
      </c>
      <c r="E779" s="92"/>
      <c r="F779" s="92"/>
      <c r="G779" s="125" t="str">
        <f t="array" ref="G779">ifs(or($F779="",$F779="Main Primary Artist"),$F779,not(iserror(vlookup($F779,'Reference info'!$J$5:$J$8,1,0))),"Key Artist",not(iserror(vlookup($F779,'Reference info'!$J$38:$J$405,1,0))),"Performer",not(iserror(vlookup($F779,'Reference info'!$J$10:$J$36,1,0))),"Producer &amp; Engineer")</f>
        <v/>
      </c>
    </row>
    <row r="780">
      <c r="A780" s="28"/>
      <c r="B780" s="97"/>
      <c r="C780" s="121" t="str">
        <f t="array" ref="C780">ifs(and(isblank($A780),isblank($B780)),"", not(iserror(vlookup($A780&amp;$B780,'3) Release_Label'!$D:$D&amp;'3) Release_Label'!$E:$E,1,0))),vlookup($A780&amp;$B780,{'3) Release_Label'!$D:$D&amp;'3) Release_Label'!$E:$E,'3) Release_Label'!$F:$F},2,0), or(and(not(isblank($B780)),$B780=$B779,$A780&lt;&gt;$A779),and(not(isblank($A780)),$A780=$A779,$B780&lt;&gt;$B779)),"ID LISTS UNALIGNED",and($A780&lt;&gt;"",countif('3) Release_Label'!$D:$D,$A780)=0),"NO UPC MATCH in Release_Label",and($B780&lt;&gt;"",countif('3) Release_Label'!$E:$E,$B780)=0),"NO CATALOG ID MATCH in Release_Label",iserror(vlookup($A780&amp;$B780,'3) Release_Label'!$D:$D&amp;'3) Release_Label'!$E:$E,1,0)),"NO UPC-CATALOG ID pair MATCH in Release_Label" )</f>
        <v/>
      </c>
      <c r="D780" s="121" t="str">
        <f t="array" ref="D780">ifs(and(isblank($A780),isblank($B780)),"", not(iserror(vlookup($A780&amp;$B780,'3) Release_Label'!$D:$D&amp;'3) Release_Label'!$E:$E,1,0))),vlookup($A780&amp;$B780,{'3) Release_Label'!$D:$D&amp;'3) Release_Label'!$E:$E,'3) Release_Label'!$H:$H},2,0), or(and(not(isblank($B780)),$B780=$B779,$A780&lt;&gt;$A779),and(not(isblank($A780)),$A780=$A779,$B780&lt;&gt;$B779)),"ID LISTS UNALIGNED",and($A780&lt;&gt;"",countif('3) Release_Label'!$D:$D,$A780)=0),"NO UPC MATCH in Release_Label",and($B780&lt;&gt;"",countif('3) Release_Label'!$E:$E,$B780)=0),"NO CATALOG ID MATCH in Release_Label",iserror(vlookup($A780&amp;$B780,'3) Release_Label'!$D:$D&amp;'3) Release_Label'!$E:$E,1,0)),"NO UPC-CATALOG ID pair MATCH in Release_Label" )</f>
        <v/>
      </c>
      <c r="E780" s="92"/>
      <c r="F780" s="92"/>
      <c r="G780" s="125" t="str">
        <f t="array" ref="G780">ifs(or($F780="",$F780="Main Primary Artist"),$F780,not(iserror(vlookup($F780,'Reference info'!$J$5:$J$8,1,0))),"Key Artist",not(iserror(vlookup($F780,'Reference info'!$J$38:$J$405,1,0))),"Performer",not(iserror(vlookup($F780,'Reference info'!$J$10:$J$36,1,0))),"Producer &amp; Engineer")</f>
        <v/>
      </c>
    </row>
    <row r="781">
      <c r="A781" s="28"/>
      <c r="B781" s="97"/>
      <c r="C781" s="121" t="str">
        <f t="array" ref="C781">ifs(and(isblank($A781),isblank($B781)),"", not(iserror(vlookup($A781&amp;$B781,'3) Release_Label'!$D:$D&amp;'3) Release_Label'!$E:$E,1,0))),vlookup($A781&amp;$B781,{'3) Release_Label'!$D:$D&amp;'3) Release_Label'!$E:$E,'3) Release_Label'!$F:$F},2,0), or(and(not(isblank($B781)),$B781=$B780,$A781&lt;&gt;$A780),and(not(isblank($A781)),$A781=$A780,$B781&lt;&gt;$B780)),"ID LISTS UNALIGNED",and($A781&lt;&gt;"",countif('3) Release_Label'!$D:$D,$A781)=0),"NO UPC MATCH in Release_Label",and($B781&lt;&gt;"",countif('3) Release_Label'!$E:$E,$B781)=0),"NO CATALOG ID MATCH in Release_Label",iserror(vlookup($A781&amp;$B781,'3) Release_Label'!$D:$D&amp;'3) Release_Label'!$E:$E,1,0)),"NO UPC-CATALOG ID pair MATCH in Release_Label" )</f>
        <v/>
      </c>
      <c r="D781" s="121" t="str">
        <f t="array" ref="D781">ifs(and(isblank($A781),isblank($B781)),"", not(iserror(vlookup($A781&amp;$B781,'3) Release_Label'!$D:$D&amp;'3) Release_Label'!$E:$E,1,0))),vlookup($A781&amp;$B781,{'3) Release_Label'!$D:$D&amp;'3) Release_Label'!$E:$E,'3) Release_Label'!$H:$H},2,0), or(and(not(isblank($B781)),$B781=$B780,$A781&lt;&gt;$A780),and(not(isblank($A781)),$A781=$A780,$B781&lt;&gt;$B780)),"ID LISTS UNALIGNED",and($A781&lt;&gt;"",countif('3) Release_Label'!$D:$D,$A781)=0),"NO UPC MATCH in Release_Label",and($B781&lt;&gt;"",countif('3) Release_Label'!$E:$E,$B781)=0),"NO CATALOG ID MATCH in Release_Label",iserror(vlookup($A781&amp;$B781,'3) Release_Label'!$D:$D&amp;'3) Release_Label'!$E:$E,1,0)),"NO UPC-CATALOG ID pair MATCH in Release_Label" )</f>
        <v/>
      </c>
      <c r="E781" s="92"/>
      <c r="F781" s="92"/>
      <c r="G781" s="125" t="str">
        <f t="array" ref="G781">ifs(or($F781="",$F781="Main Primary Artist"),$F781,not(iserror(vlookup($F781,'Reference info'!$J$5:$J$8,1,0))),"Key Artist",not(iserror(vlookup($F781,'Reference info'!$J$38:$J$405,1,0))),"Performer",not(iserror(vlookup($F781,'Reference info'!$J$10:$J$36,1,0))),"Producer &amp; Engineer")</f>
        <v/>
      </c>
    </row>
    <row r="782">
      <c r="A782" s="28"/>
      <c r="B782" s="97"/>
      <c r="C782" s="121" t="str">
        <f t="array" ref="C782">ifs(and(isblank($A782),isblank($B782)),"", not(iserror(vlookup($A782&amp;$B782,'3) Release_Label'!$D:$D&amp;'3) Release_Label'!$E:$E,1,0))),vlookup($A782&amp;$B782,{'3) Release_Label'!$D:$D&amp;'3) Release_Label'!$E:$E,'3) Release_Label'!$F:$F},2,0), or(and(not(isblank($B782)),$B782=$B781,$A782&lt;&gt;$A781),and(not(isblank($A782)),$A782=$A781,$B782&lt;&gt;$B781)),"ID LISTS UNALIGNED",and($A782&lt;&gt;"",countif('3) Release_Label'!$D:$D,$A782)=0),"NO UPC MATCH in Release_Label",and($B782&lt;&gt;"",countif('3) Release_Label'!$E:$E,$B782)=0),"NO CATALOG ID MATCH in Release_Label",iserror(vlookup($A782&amp;$B782,'3) Release_Label'!$D:$D&amp;'3) Release_Label'!$E:$E,1,0)),"NO UPC-CATALOG ID pair MATCH in Release_Label" )</f>
        <v/>
      </c>
      <c r="D782" s="121" t="str">
        <f t="array" ref="D782">ifs(and(isblank($A782),isblank($B782)),"", not(iserror(vlookup($A782&amp;$B782,'3) Release_Label'!$D:$D&amp;'3) Release_Label'!$E:$E,1,0))),vlookup($A782&amp;$B782,{'3) Release_Label'!$D:$D&amp;'3) Release_Label'!$E:$E,'3) Release_Label'!$H:$H},2,0), or(and(not(isblank($B782)),$B782=$B781,$A782&lt;&gt;$A781),and(not(isblank($A782)),$A782=$A781,$B782&lt;&gt;$B781)),"ID LISTS UNALIGNED",and($A782&lt;&gt;"",countif('3) Release_Label'!$D:$D,$A782)=0),"NO UPC MATCH in Release_Label",and($B782&lt;&gt;"",countif('3) Release_Label'!$E:$E,$B782)=0),"NO CATALOG ID MATCH in Release_Label",iserror(vlookup($A782&amp;$B782,'3) Release_Label'!$D:$D&amp;'3) Release_Label'!$E:$E,1,0)),"NO UPC-CATALOG ID pair MATCH in Release_Label" )</f>
        <v/>
      </c>
      <c r="E782" s="92"/>
      <c r="F782" s="92"/>
      <c r="G782" s="125" t="str">
        <f t="array" ref="G782">ifs(or($F782="",$F782="Main Primary Artist"),$F782,not(iserror(vlookup($F782,'Reference info'!$J$5:$J$8,1,0))),"Key Artist",not(iserror(vlookup($F782,'Reference info'!$J$38:$J$405,1,0))),"Performer",not(iserror(vlookup($F782,'Reference info'!$J$10:$J$36,1,0))),"Producer &amp; Engineer")</f>
        <v/>
      </c>
    </row>
    <row r="783">
      <c r="A783" s="28"/>
      <c r="B783" s="97"/>
      <c r="C783" s="121" t="str">
        <f t="array" ref="C783">ifs(and(isblank($A783),isblank($B783)),"", not(iserror(vlookup($A783&amp;$B783,'3) Release_Label'!$D:$D&amp;'3) Release_Label'!$E:$E,1,0))),vlookup($A783&amp;$B783,{'3) Release_Label'!$D:$D&amp;'3) Release_Label'!$E:$E,'3) Release_Label'!$F:$F},2,0), or(and(not(isblank($B783)),$B783=$B782,$A783&lt;&gt;$A782),and(not(isblank($A783)),$A783=$A782,$B783&lt;&gt;$B782)),"ID LISTS UNALIGNED",and($A783&lt;&gt;"",countif('3) Release_Label'!$D:$D,$A783)=0),"NO UPC MATCH in Release_Label",and($B783&lt;&gt;"",countif('3) Release_Label'!$E:$E,$B783)=0),"NO CATALOG ID MATCH in Release_Label",iserror(vlookup($A783&amp;$B783,'3) Release_Label'!$D:$D&amp;'3) Release_Label'!$E:$E,1,0)),"NO UPC-CATALOG ID pair MATCH in Release_Label" )</f>
        <v/>
      </c>
      <c r="D783" s="121" t="str">
        <f t="array" ref="D783">ifs(and(isblank($A783),isblank($B783)),"", not(iserror(vlookup($A783&amp;$B783,'3) Release_Label'!$D:$D&amp;'3) Release_Label'!$E:$E,1,0))),vlookup($A783&amp;$B783,{'3) Release_Label'!$D:$D&amp;'3) Release_Label'!$E:$E,'3) Release_Label'!$H:$H},2,0), or(and(not(isblank($B783)),$B783=$B782,$A783&lt;&gt;$A782),and(not(isblank($A783)),$A783=$A782,$B783&lt;&gt;$B782)),"ID LISTS UNALIGNED",and($A783&lt;&gt;"",countif('3) Release_Label'!$D:$D,$A783)=0),"NO UPC MATCH in Release_Label",and($B783&lt;&gt;"",countif('3) Release_Label'!$E:$E,$B783)=0),"NO CATALOG ID MATCH in Release_Label",iserror(vlookup($A783&amp;$B783,'3) Release_Label'!$D:$D&amp;'3) Release_Label'!$E:$E,1,0)),"NO UPC-CATALOG ID pair MATCH in Release_Label" )</f>
        <v/>
      </c>
      <c r="E783" s="92"/>
      <c r="F783" s="92"/>
      <c r="G783" s="125" t="str">
        <f t="array" ref="G783">ifs(or($F783="",$F783="Main Primary Artist"),$F783,not(iserror(vlookup($F783,'Reference info'!$J$5:$J$8,1,0))),"Key Artist",not(iserror(vlookup($F783,'Reference info'!$J$38:$J$405,1,0))),"Performer",not(iserror(vlookup($F783,'Reference info'!$J$10:$J$36,1,0))),"Producer &amp; Engineer")</f>
        <v/>
      </c>
    </row>
    <row r="784">
      <c r="A784" s="28"/>
      <c r="B784" s="97"/>
      <c r="C784" s="121" t="str">
        <f t="array" ref="C784">ifs(and(isblank($A784),isblank($B784)),"", not(iserror(vlookup($A784&amp;$B784,'3) Release_Label'!$D:$D&amp;'3) Release_Label'!$E:$E,1,0))),vlookup($A784&amp;$B784,{'3) Release_Label'!$D:$D&amp;'3) Release_Label'!$E:$E,'3) Release_Label'!$F:$F},2,0), or(and(not(isblank($B784)),$B784=$B783,$A784&lt;&gt;$A783),and(not(isblank($A784)),$A784=$A783,$B784&lt;&gt;$B783)),"ID LISTS UNALIGNED",and($A784&lt;&gt;"",countif('3) Release_Label'!$D:$D,$A784)=0),"NO UPC MATCH in Release_Label",and($B784&lt;&gt;"",countif('3) Release_Label'!$E:$E,$B784)=0),"NO CATALOG ID MATCH in Release_Label",iserror(vlookup($A784&amp;$B784,'3) Release_Label'!$D:$D&amp;'3) Release_Label'!$E:$E,1,0)),"NO UPC-CATALOG ID pair MATCH in Release_Label" )</f>
        <v/>
      </c>
      <c r="D784" s="121" t="str">
        <f t="array" ref="D784">ifs(and(isblank($A784),isblank($B784)),"", not(iserror(vlookup($A784&amp;$B784,'3) Release_Label'!$D:$D&amp;'3) Release_Label'!$E:$E,1,0))),vlookup($A784&amp;$B784,{'3) Release_Label'!$D:$D&amp;'3) Release_Label'!$E:$E,'3) Release_Label'!$H:$H},2,0), or(and(not(isblank($B784)),$B784=$B783,$A784&lt;&gt;$A783),and(not(isblank($A784)),$A784=$A783,$B784&lt;&gt;$B783)),"ID LISTS UNALIGNED",and($A784&lt;&gt;"",countif('3) Release_Label'!$D:$D,$A784)=0),"NO UPC MATCH in Release_Label",and($B784&lt;&gt;"",countif('3) Release_Label'!$E:$E,$B784)=0),"NO CATALOG ID MATCH in Release_Label",iserror(vlookup($A784&amp;$B784,'3) Release_Label'!$D:$D&amp;'3) Release_Label'!$E:$E,1,0)),"NO UPC-CATALOG ID pair MATCH in Release_Label" )</f>
        <v/>
      </c>
      <c r="E784" s="92"/>
      <c r="F784" s="92"/>
      <c r="G784" s="125" t="str">
        <f t="array" ref="G784">ifs(or($F784="",$F784="Main Primary Artist"),$F784,not(iserror(vlookup($F784,'Reference info'!$J$5:$J$8,1,0))),"Key Artist",not(iserror(vlookup($F784,'Reference info'!$J$38:$J$405,1,0))),"Performer",not(iserror(vlookup($F784,'Reference info'!$J$10:$J$36,1,0))),"Producer &amp; Engineer")</f>
        <v/>
      </c>
    </row>
    <row r="785">
      <c r="A785" s="28"/>
      <c r="B785" s="97"/>
      <c r="C785" s="121" t="str">
        <f t="array" ref="C785">ifs(and(isblank($A785),isblank($B785)),"", not(iserror(vlookup($A785&amp;$B785,'3) Release_Label'!$D:$D&amp;'3) Release_Label'!$E:$E,1,0))),vlookup($A785&amp;$B785,{'3) Release_Label'!$D:$D&amp;'3) Release_Label'!$E:$E,'3) Release_Label'!$F:$F},2,0), or(and(not(isblank($B785)),$B785=$B784,$A785&lt;&gt;$A784),and(not(isblank($A785)),$A785=$A784,$B785&lt;&gt;$B784)),"ID LISTS UNALIGNED",and($A785&lt;&gt;"",countif('3) Release_Label'!$D:$D,$A785)=0),"NO UPC MATCH in Release_Label",and($B785&lt;&gt;"",countif('3) Release_Label'!$E:$E,$B785)=0),"NO CATALOG ID MATCH in Release_Label",iserror(vlookup($A785&amp;$B785,'3) Release_Label'!$D:$D&amp;'3) Release_Label'!$E:$E,1,0)),"NO UPC-CATALOG ID pair MATCH in Release_Label" )</f>
        <v/>
      </c>
      <c r="D785" s="121" t="str">
        <f t="array" ref="D785">ifs(and(isblank($A785),isblank($B785)),"", not(iserror(vlookup($A785&amp;$B785,'3) Release_Label'!$D:$D&amp;'3) Release_Label'!$E:$E,1,0))),vlookup($A785&amp;$B785,{'3) Release_Label'!$D:$D&amp;'3) Release_Label'!$E:$E,'3) Release_Label'!$H:$H},2,0), or(and(not(isblank($B785)),$B785=$B784,$A785&lt;&gt;$A784),and(not(isblank($A785)),$A785=$A784,$B785&lt;&gt;$B784)),"ID LISTS UNALIGNED",and($A785&lt;&gt;"",countif('3) Release_Label'!$D:$D,$A785)=0),"NO UPC MATCH in Release_Label",and($B785&lt;&gt;"",countif('3) Release_Label'!$E:$E,$B785)=0),"NO CATALOG ID MATCH in Release_Label",iserror(vlookup($A785&amp;$B785,'3) Release_Label'!$D:$D&amp;'3) Release_Label'!$E:$E,1,0)),"NO UPC-CATALOG ID pair MATCH in Release_Label" )</f>
        <v/>
      </c>
      <c r="E785" s="92"/>
      <c r="F785" s="92"/>
      <c r="G785" s="125" t="str">
        <f t="array" ref="G785">ifs(or($F785="",$F785="Main Primary Artist"),$F785,not(iserror(vlookup($F785,'Reference info'!$J$5:$J$8,1,0))),"Key Artist",not(iserror(vlookup($F785,'Reference info'!$J$38:$J$405,1,0))),"Performer",not(iserror(vlookup($F785,'Reference info'!$J$10:$J$36,1,0))),"Producer &amp; Engineer")</f>
        <v/>
      </c>
    </row>
    <row r="786">
      <c r="A786" s="28"/>
      <c r="B786" s="97"/>
      <c r="C786" s="121" t="str">
        <f t="array" ref="C786">ifs(and(isblank($A786),isblank($B786)),"", not(iserror(vlookup($A786&amp;$B786,'3) Release_Label'!$D:$D&amp;'3) Release_Label'!$E:$E,1,0))),vlookup($A786&amp;$B786,{'3) Release_Label'!$D:$D&amp;'3) Release_Label'!$E:$E,'3) Release_Label'!$F:$F},2,0), or(and(not(isblank($B786)),$B786=$B785,$A786&lt;&gt;$A785),and(not(isblank($A786)),$A786=$A785,$B786&lt;&gt;$B785)),"ID LISTS UNALIGNED",and($A786&lt;&gt;"",countif('3) Release_Label'!$D:$D,$A786)=0),"NO UPC MATCH in Release_Label",and($B786&lt;&gt;"",countif('3) Release_Label'!$E:$E,$B786)=0),"NO CATALOG ID MATCH in Release_Label",iserror(vlookup($A786&amp;$B786,'3) Release_Label'!$D:$D&amp;'3) Release_Label'!$E:$E,1,0)),"NO UPC-CATALOG ID pair MATCH in Release_Label" )</f>
        <v/>
      </c>
      <c r="D786" s="121" t="str">
        <f t="array" ref="D786">ifs(and(isblank($A786),isblank($B786)),"", not(iserror(vlookup($A786&amp;$B786,'3) Release_Label'!$D:$D&amp;'3) Release_Label'!$E:$E,1,0))),vlookup($A786&amp;$B786,{'3) Release_Label'!$D:$D&amp;'3) Release_Label'!$E:$E,'3) Release_Label'!$H:$H},2,0), or(and(not(isblank($B786)),$B786=$B785,$A786&lt;&gt;$A785),and(not(isblank($A786)),$A786=$A785,$B786&lt;&gt;$B785)),"ID LISTS UNALIGNED",and($A786&lt;&gt;"",countif('3) Release_Label'!$D:$D,$A786)=0),"NO UPC MATCH in Release_Label",and($B786&lt;&gt;"",countif('3) Release_Label'!$E:$E,$B786)=0),"NO CATALOG ID MATCH in Release_Label",iserror(vlookup($A786&amp;$B786,'3) Release_Label'!$D:$D&amp;'3) Release_Label'!$E:$E,1,0)),"NO UPC-CATALOG ID pair MATCH in Release_Label" )</f>
        <v/>
      </c>
      <c r="E786" s="92"/>
      <c r="F786" s="92"/>
      <c r="G786" s="125" t="str">
        <f t="array" ref="G786">ifs(or($F786="",$F786="Main Primary Artist"),$F786,not(iserror(vlookup($F786,'Reference info'!$J$5:$J$8,1,0))),"Key Artist",not(iserror(vlookup($F786,'Reference info'!$J$38:$J$405,1,0))),"Performer",not(iserror(vlookup($F786,'Reference info'!$J$10:$J$36,1,0))),"Producer &amp; Engineer")</f>
        <v/>
      </c>
    </row>
    <row r="787">
      <c r="A787" s="28"/>
      <c r="B787" s="97"/>
      <c r="C787" s="121" t="str">
        <f t="array" ref="C787">ifs(and(isblank($A787),isblank($B787)),"", not(iserror(vlookup($A787&amp;$B787,'3) Release_Label'!$D:$D&amp;'3) Release_Label'!$E:$E,1,0))),vlookup($A787&amp;$B787,{'3) Release_Label'!$D:$D&amp;'3) Release_Label'!$E:$E,'3) Release_Label'!$F:$F},2,0), or(and(not(isblank($B787)),$B787=$B786,$A787&lt;&gt;$A786),and(not(isblank($A787)),$A787=$A786,$B787&lt;&gt;$B786)),"ID LISTS UNALIGNED",and($A787&lt;&gt;"",countif('3) Release_Label'!$D:$D,$A787)=0),"NO UPC MATCH in Release_Label",and($B787&lt;&gt;"",countif('3) Release_Label'!$E:$E,$B787)=0),"NO CATALOG ID MATCH in Release_Label",iserror(vlookup($A787&amp;$B787,'3) Release_Label'!$D:$D&amp;'3) Release_Label'!$E:$E,1,0)),"NO UPC-CATALOG ID pair MATCH in Release_Label" )</f>
        <v/>
      </c>
      <c r="D787" s="121" t="str">
        <f t="array" ref="D787">ifs(and(isblank($A787),isblank($B787)),"", not(iserror(vlookup($A787&amp;$B787,'3) Release_Label'!$D:$D&amp;'3) Release_Label'!$E:$E,1,0))),vlookup($A787&amp;$B787,{'3) Release_Label'!$D:$D&amp;'3) Release_Label'!$E:$E,'3) Release_Label'!$H:$H},2,0), or(and(not(isblank($B787)),$B787=$B786,$A787&lt;&gt;$A786),and(not(isblank($A787)),$A787=$A786,$B787&lt;&gt;$B786)),"ID LISTS UNALIGNED",and($A787&lt;&gt;"",countif('3) Release_Label'!$D:$D,$A787)=0),"NO UPC MATCH in Release_Label",and($B787&lt;&gt;"",countif('3) Release_Label'!$E:$E,$B787)=0),"NO CATALOG ID MATCH in Release_Label",iserror(vlookup($A787&amp;$B787,'3) Release_Label'!$D:$D&amp;'3) Release_Label'!$E:$E,1,0)),"NO UPC-CATALOG ID pair MATCH in Release_Label" )</f>
        <v/>
      </c>
      <c r="E787" s="92"/>
      <c r="F787" s="92"/>
      <c r="G787" s="125" t="str">
        <f t="array" ref="G787">ifs(or($F787="",$F787="Main Primary Artist"),$F787,not(iserror(vlookup($F787,'Reference info'!$J$5:$J$8,1,0))),"Key Artist",not(iserror(vlookup($F787,'Reference info'!$J$38:$J$405,1,0))),"Performer",not(iserror(vlookup($F787,'Reference info'!$J$10:$J$36,1,0))),"Producer &amp; Engineer")</f>
        <v/>
      </c>
    </row>
    <row r="788">
      <c r="A788" s="28"/>
      <c r="B788" s="97"/>
      <c r="C788" s="121" t="str">
        <f t="array" ref="C788">ifs(and(isblank($A788),isblank($B788)),"", not(iserror(vlookup($A788&amp;$B788,'3) Release_Label'!$D:$D&amp;'3) Release_Label'!$E:$E,1,0))),vlookup($A788&amp;$B788,{'3) Release_Label'!$D:$D&amp;'3) Release_Label'!$E:$E,'3) Release_Label'!$F:$F},2,0), or(and(not(isblank($B788)),$B788=$B787,$A788&lt;&gt;$A787),and(not(isblank($A788)),$A788=$A787,$B788&lt;&gt;$B787)),"ID LISTS UNALIGNED",and($A788&lt;&gt;"",countif('3) Release_Label'!$D:$D,$A788)=0),"NO UPC MATCH in Release_Label",and($B788&lt;&gt;"",countif('3) Release_Label'!$E:$E,$B788)=0),"NO CATALOG ID MATCH in Release_Label",iserror(vlookup($A788&amp;$B788,'3) Release_Label'!$D:$D&amp;'3) Release_Label'!$E:$E,1,0)),"NO UPC-CATALOG ID pair MATCH in Release_Label" )</f>
        <v/>
      </c>
      <c r="D788" s="121" t="str">
        <f t="array" ref="D788">ifs(and(isblank($A788),isblank($B788)),"", not(iserror(vlookup($A788&amp;$B788,'3) Release_Label'!$D:$D&amp;'3) Release_Label'!$E:$E,1,0))),vlookup($A788&amp;$B788,{'3) Release_Label'!$D:$D&amp;'3) Release_Label'!$E:$E,'3) Release_Label'!$H:$H},2,0), or(and(not(isblank($B788)),$B788=$B787,$A788&lt;&gt;$A787),and(not(isblank($A788)),$A788=$A787,$B788&lt;&gt;$B787)),"ID LISTS UNALIGNED",and($A788&lt;&gt;"",countif('3) Release_Label'!$D:$D,$A788)=0),"NO UPC MATCH in Release_Label",and($B788&lt;&gt;"",countif('3) Release_Label'!$E:$E,$B788)=0),"NO CATALOG ID MATCH in Release_Label",iserror(vlookup($A788&amp;$B788,'3) Release_Label'!$D:$D&amp;'3) Release_Label'!$E:$E,1,0)),"NO UPC-CATALOG ID pair MATCH in Release_Label" )</f>
        <v/>
      </c>
      <c r="E788" s="92"/>
      <c r="F788" s="92"/>
      <c r="G788" s="125" t="str">
        <f t="array" ref="G788">ifs(or($F788="",$F788="Main Primary Artist"),$F788,not(iserror(vlookup($F788,'Reference info'!$J$5:$J$8,1,0))),"Key Artist",not(iserror(vlookup($F788,'Reference info'!$J$38:$J$405,1,0))),"Performer",not(iserror(vlookup($F788,'Reference info'!$J$10:$J$36,1,0))),"Producer &amp; Engineer")</f>
        <v/>
      </c>
    </row>
    <row r="789">
      <c r="A789" s="28"/>
      <c r="B789" s="97"/>
      <c r="C789" s="121" t="str">
        <f t="array" ref="C789">ifs(and(isblank($A789),isblank($B789)),"", not(iserror(vlookup($A789&amp;$B789,'3) Release_Label'!$D:$D&amp;'3) Release_Label'!$E:$E,1,0))),vlookup($A789&amp;$B789,{'3) Release_Label'!$D:$D&amp;'3) Release_Label'!$E:$E,'3) Release_Label'!$F:$F},2,0), or(and(not(isblank($B789)),$B789=$B788,$A789&lt;&gt;$A788),and(not(isblank($A789)),$A789=$A788,$B789&lt;&gt;$B788)),"ID LISTS UNALIGNED",and($A789&lt;&gt;"",countif('3) Release_Label'!$D:$D,$A789)=0),"NO UPC MATCH in Release_Label",and($B789&lt;&gt;"",countif('3) Release_Label'!$E:$E,$B789)=0),"NO CATALOG ID MATCH in Release_Label",iserror(vlookup($A789&amp;$B789,'3) Release_Label'!$D:$D&amp;'3) Release_Label'!$E:$E,1,0)),"NO UPC-CATALOG ID pair MATCH in Release_Label" )</f>
        <v/>
      </c>
      <c r="D789" s="121" t="str">
        <f t="array" ref="D789">ifs(and(isblank($A789),isblank($B789)),"", not(iserror(vlookup($A789&amp;$B789,'3) Release_Label'!$D:$D&amp;'3) Release_Label'!$E:$E,1,0))),vlookup($A789&amp;$B789,{'3) Release_Label'!$D:$D&amp;'3) Release_Label'!$E:$E,'3) Release_Label'!$H:$H},2,0), or(and(not(isblank($B789)),$B789=$B788,$A789&lt;&gt;$A788),and(not(isblank($A789)),$A789=$A788,$B789&lt;&gt;$B788)),"ID LISTS UNALIGNED",and($A789&lt;&gt;"",countif('3) Release_Label'!$D:$D,$A789)=0),"NO UPC MATCH in Release_Label",and($B789&lt;&gt;"",countif('3) Release_Label'!$E:$E,$B789)=0),"NO CATALOG ID MATCH in Release_Label",iserror(vlookup($A789&amp;$B789,'3) Release_Label'!$D:$D&amp;'3) Release_Label'!$E:$E,1,0)),"NO UPC-CATALOG ID pair MATCH in Release_Label" )</f>
        <v/>
      </c>
      <c r="E789" s="92"/>
      <c r="F789" s="92"/>
      <c r="G789" s="125" t="str">
        <f t="array" ref="G789">ifs(or($F789="",$F789="Main Primary Artist"),$F789,not(iserror(vlookup($F789,'Reference info'!$J$5:$J$8,1,0))),"Key Artist",not(iserror(vlookup($F789,'Reference info'!$J$38:$J$405,1,0))),"Performer",not(iserror(vlookup($F789,'Reference info'!$J$10:$J$36,1,0))),"Producer &amp; Engineer")</f>
        <v/>
      </c>
    </row>
    <row r="790">
      <c r="A790" s="28"/>
      <c r="B790" s="97"/>
      <c r="C790" s="121" t="str">
        <f t="array" ref="C790">ifs(and(isblank($A790),isblank($B790)),"", not(iserror(vlookup($A790&amp;$B790,'3) Release_Label'!$D:$D&amp;'3) Release_Label'!$E:$E,1,0))),vlookup($A790&amp;$B790,{'3) Release_Label'!$D:$D&amp;'3) Release_Label'!$E:$E,'3) Release_Label'!$F:$F},2,0), or(and(not(isblank($B790)),$B790=$B789,$A790&lt;&gt;$A789),and(not(isblank($A790)),$A790=$A789,$B790&lt;&gt;$B789)),"ID LISTS UNALIGNED",and($A790&lt;&gt;"",countif('3) Release_Label'!$D:$D,$A790)=0),"NO UPC MATCH in Release_Label",and($B790&lt;&gt;"",countif('3) Release_Label'!$E:$E,$B790)=0),"NO CATALOG ID MATCH in Release_Label",iserror(vlookup($A790&amp;$B790,'3) Release_Label'!$D:$D&amp;'3) Release_Label'!$E:$E,1,0)),"NO UPC-CATALOG ID pair MATCH in Release_Label" )</f>
        <v/>
      </c>
      <c r="D790" s="121" t="str">
        <f t="array" ref="D790">ifs(and(isblank($A790),isblank($B790)),"", not(iserror(vlookup($A790&amp;$B790,'3) Release_Label'!$D:$D&amp;'3) Release_Label'!$E:$E,1,0))),vlookup($A790&amp;$B790,{'3) Release_Label'!$D:$D&amp;'3) Release_Label'!$E:$E,'3) Release_Label'!$H:$H},2,0), or(and(not(isblank($B790)),$B790=$B789,$A790&lt;&gt;$A789),and(not(isblank($A790)),$A790=$A789,$B790&lt;&gt;$B789)),"ID LISTS UNALIGNED",and($A790&lt;&gt;"",countif('3) Release_Label'!$D:$D,$A790)=0),"NO UPC MATCH in Release_Label",and($B790&lt;&gt;"",countif('3) Release_Label'!$E:$E,$B790)=0),"NO CATALOG ID MATCH in Release_Label",iserror(vlookup($A790&amp;$B790,'3) Release_Label'!$D:$D&amp;'3) Release_Label'!$E:$E,1,0)),"NO UPC-CATALOG ID pair MATCH in Release_Label" )</f>
        <v/>
      </c>
      <c r="E790" s="92"/>
      <c r="F790" s="92"/>
      <c r="G790" s="125" t="str">
        <f t="array" ref="G790">ifs(or($F790="",$F790="Main Primary Artist"),$F790,not(iserror(vlookup($F790,'Reference info'!$J$5:$J$8,1,0))),"Key Artist",not(iserror(vlookup($F790,'Reference info'!$J$38:$J$405,1,0))),"Performer",not(iserror(vlookup($F790,'Reference info'!$J$10:$J$36,1,0))),"Producer &amp; Engineer")</f>
        <v/>
      </c>
    </row>
    <row r="791">
      <c r="A791" s="28"/>
      <c r="B791" s="97"/>
      <c r="C791" s="121" t="str">
        <f t="array" ref="C791">ifs(and(isblank($A791),isblank($B791)),"", not(iserror(vlookup($A791&amp;$B791,'3) Release_Label'!$D:$D&amp;'3) Release_Label'!$E:$E,1,0))),vlookup($A791&amp;$B791,{'3) Release_Label'!$D:$D&amp;'3) Release_Label'!$E:$E,'3) Release_Label'!$F:$F},2,0), or(and(not(isblank($B791)),$B791=$B790,$A791&lt;&gt;$A790),and(not(isblank($A791)),$A791=$A790,$B791&lt;&gt;$B790)),"ID LISTS UNALIGNED",and($A791&lt;&gt;"",countif('3) Release_Label'!$D:$D,$A791)=0),"NO UPC MATCH in Release_Label",and($B791&lt;&gt;"",countif('3) Release_Label'!$E:$E,$B791)=0),"NO CATALOG ID MATCH in Release_Label",iserror(vlookup($A791&amp;$B791,'3) Release_Label'!$D:$D&amp;'3) Release_Label'!$E:$E,1,0)),"NO UPC-CATALOG ID pair MATCH in Release_Label" )</f>
        <v/>
      </c>
      <c r="D791" s="121" t="str">
        <f t="array" ref="D791">ifs(and(isblank($A791),isblank($B791)),"", not(iserror(vlookup($A791&amp;$B791,'3) Release_Label'!$D:$D&amp;'3) Release_Label'!$E:$E,1,0))),vlookup($A791&amp;$B791,{'3) Release_Label'!$D:$D&amp;'3) Release_Label'!$E:$E,'3) Release_Label'!$H:$H},2,0), or(and(not(isblank($B791)),$B791=$B790,$A791&lt;&gt;$A790),and(not(isblank($A791)),$A791=$A790,$B791&lt;&gt;$B790)),"ID LISTS UNALIGNED",and($A791&lt;&gt;"",countif('3) Release_Label'!$D:$D,$A791)=0),"NO UPC MATCH in Release_Label",and($B791&lt;&gt;"",countif('3) Release_Label'!$E:$E,$B791)=0),"NO CATALOG ID MATCH in Release_Label",iserror(vlookup($A791&amp;$B791,'3) Release_Label'!$D:$D&amp;'3) Release_Label'!$E:$E,1,0)),"NO UPC-CATALOG ID pair MATCH in Release_Label" )</f>
        <v/>
      </c>
      <c r="E791" s="92"/>
      <c r="F791" s="92"/>
      <c r="G791" s="125" t="str">
        <f t="array" ref="G791">ifs(or($F791="",$F791="Main Primary Artist"),$F791,not(iserror(vlookup($F791,'Reference info'!$J$5:$J$8,1,0))),"Key Artist",not(iserror(vlookup($F791,'Reference info'!$J$38:$J$405,1,0))),"Performer",not(iserror(vlookup($F791,'Reference info'!$J$10:$J$36,1,0))),"Producer &amp; Engineer")</f>
        <v/>
      </c>
    </row>
    <row r="792">
      <c r="A792" s="28"/>
      <c r="B792" s="97"/>
      <c r="C792" s="121" t="str">
        <f t="array" ref="C792">ifs(and(isblank($A792),isblank($B792)),"", not(iserror(vlookup($A792&amp;$B792,'3) Release_Label'!$D:$D&amp;'3) Release_Label'!$E:$E,1,0))),vlookup($A792&amp;$B792,{'3) Release_Label'!$D:$D&amp;'3) Release_Label'!$E:$E,'3) Release_Label'!$F:$F},2,0), or(and(not(isblank($B792)),$B792=$B791,$A792&lt;&gt;$A791),and(not(isblank($A792)),$A792=$A791,$B792&lt;&gt;$B791)),"ID LISTS UNALIGNED",and($A792&lt;&gt;"",countif('3) Release_Label'!$D:$D,$A792)=0),"NO UPC MATCH in Release_Label",and($B792&lt;&gt;"",countif('3) Release_Label'!$E:$E,$B792)=0),"NO CATALOG ID MATCH in Release_Label",iserror(vlookup($A792&amp;$B792,'3) Release_Label'!$D:$D&amp;'3) Release_Label'!$E:$E,1,0)),"NO UPC-CATALOG ID pair MATCH in Release_Label" )</f>
        <v/>
      </c>
      <c r="D792" s="121" t="str">
        <f t="array" ref="D792">ifs(and(isblank($A792),isblank($B792)),"", not(iserror(vlookup($A792&amp;$B792,'3) Release_Label'!$D:$D&amp;'3) Release_Label'!$E:$E,1,0))),vlookup($A792&amp;$B792,{'3) Release_Label'!$D:$D&amp;'3) Release_Label'!$E:$E,'3) Release_Label'!$H:$H},2,0), or(and(not(isblank($B792)),$B792=$B791,$A792&lt;&gt;$A791),and(not(isblank($A792)),$A792=$A791,$B792&lt;&gt;$B791)),"ID LISTS UNALIGNED",and($A792&lt;&gt;"",countif('3) Release_Label'!$D:$D,$A792)=0),"NO UPC MATCH in Release_Label",and($B792&lt;&gt;"",countif('3) Release_Label'!$E:$E,$B792)=0),"NO CATALOG ID MATCH in Release_Label",iserror(vlookup($A792&amp;$B792,'3) Release_Label'!$D:$D&amp;'3) Release_Label'!$E:$E,1,0)),"NO UPC-CATALOG ID pair MATCH in Release_Label" )</f>
        <v/>
      </c>
      <c r="E792" s="92"/>
      <c r="F792" s="92"/>
      <c r="G792" s="125" t="str">
        <f t="array" ref="G792">ifs(or($F792="",$F792="Main Primary Artist"),$F792,not(iserror(vlookup($F792,'Reference info'!$J$5:$J$8,1,0))),"Key Artist",not(iserror(vlookup($F792,'Reference info'!$J$38:$J$405,1,0))),"Performer",not(iserror(vlookup($F792,'Reference info'!$J$10:$J$36,1,0))),"Producer &amp; Engineer")</f>
        <v/>
      </c>
    </row>
    <row r="793">
      <c r="A793" s="28"/>
      <c r="B793" s="97"/>
      <c r="C793" s="121" t="str">
        <f t="array" ref="C793">ifs(and(isblank($A793),isblank($B793)),"", not(iserror(vlookup($A793&amp;$B793,'3) Release_Label'!$D:$D&amp;'3) Release_Label'!$E:$E,1,0))),vlookup($A793&amp;$B793,{'3) Release_Label'!$D:$D&amp;'3) Release_Label'!$E:$E,'3) Release_Label'!$F:$F},2,0), or(and(not(isblank($B793)),$B793=$B792,$A793&lt;&gt;$A792),and(not(isblank($A793)),$A793=$A792,$B793&lt;&gt;$B792)),"ID LISTS UNALIGNED",and($A793&lt;&gt;"",countif('3) Release_Label'!$D:$D,$A793)=0),"NO UPC MATCH in Release_Label",and($B793&lt;&gt;"",countif('3) Release_Label'!$E:$E,$B793)=0),"NO CATALOG ID MATCH in Release_Label",iserror(vlookup($A793&amp;$B793,'3) Release_Label'!$D:$D&amp;'3) Release_Label'!$E:$E,1,0)),"NO UPC-CATALOG ID pair MATCH in Release_Label" )</f>
        <v/>
      </c>
      <c r="D793" s="121" t="str">
        <f t="array" ref="D793">ifs(and(isblank($A793),isblank($B793)),"", not(iserror(vlookup($A793&amp;$B793,'3) Release_Label'!$D:$D&amp;'3) Release_Label'!$E:$E,1,0))),vlookup($A793&amp;$B793,{'3) Release_Label'!$D:$D&amp;'3) Release_Label'!$E:$E,'3) Release_Label'!$H:$H},2,0), or(and(not(isblank($B793)),$B793=$B792,$A793&lt;&gt;$A792),and(not(isblank($A793)),$A793=$A792,$B793&lt;&gt;$B792)),"ID LISTS UNALIGNED",and($A793&lt;&gt;"",countif('3) Release_Label'!$D:$D,$A793)=0),"NO UPC MATCH in Release_Label",and($B793&lt;&gt;"",countif('3) Release_Label'!$E:$E,$B793)=0),"NO CATALOG ID MATCH in Release_Label",iserror(vlookup($A793&amp;$B793,'3) Release_Label'!$D:$D&amp;'3) Release_Label'!$E:$E,1,0)),"NO UPC-CATALOG ID pair MATCH in Release_Label" )</f>
        <v/>
      </c>
      <c r="E793" s="92"/>
      <c r="F793" s="92"/>
      <c r="G793" s="125" t="str">
        <f t="array" ref="G793">ifs(or($F793="",$F793="Main Primary Artist"),$F793,not(iserror(vlookup($F793,'Reference info'!$J$5:$J$8,1,0))),"Key Artist",not(iserror(vlookup($F793,'Reference info'!$J$38:$J$405,1,0))),"Performer",not(iserror(vlookup($F793,'Reference info'!$J$10:$J$36,1,0))),"Producer &amp; Engineer")</f>
        <v/>
      </c>
    </row>
    <row r="794">
      <c r="A794" s="28"/>
      <c r="B794" s="97"/>
      <c r="C794" s="121" t="str">
        <f t="array" ref="C794">ifs(and(isblank($A794),isblank($B794)),"", not(iserror(vlookup($A794&amp;$B794,'3) Release_Label'!$D:$D&amp;'3) Release_Label'!$E:$E,1,0))),vlookup($A794&amp;$B794,{'3) Release_Label'!$D:$D&amp;'3) Release_Label'!$E:$E,'3) Release_Label'!$F:$F},2,0), or(and(not(isblank($B794)),$B794=$B793,$A794&lt;&gt;$A793),and(not(isblank($A794)),$A794=$A793,$B794&lt;&gt;$B793)),"ID LISTS UNALIGNED",and($A794&lt;&gt;"",countif('3) Release_Label'!$D:$D,$A794)=0),"NO UPC MATCH in Release_Label",and($B794&lt;&gt;"",countif('3) Release_Label'!$E:$E,$B794)=0),"NO CATALOG ID MATCH in Release_Label",iserror(vlookup($A794&amp;$B794,'3) Release_Label'!$D:$D&amp;'3) Release_Label'!$E:$E,1,0)),"NO UPC-CATALOG ID pair MATCH in Release_Label" )</f>
        <v/>
      </c>
      <c r="D794" s="121" t="str">
        <f t="array" ref="D794">ifs(and(isblank($A794),isblank($B794)),"", not(iserror(vlookup($A794&amp;$B794,'3) Release_Label'!$D:$D&amp;'3) Release_Label'!$E:$E,1,0))),vlookup($A794&amp;$B794,{'3) Release_Label'!$D:$D&amp;'3) Release_Label'!$E:$E,'3) Release_Label'!$H:$H},2,0), or(and(not(isblank($B794)),$B794=$B793,$A794&lt;&gt;$A793),and(not(isblank($A794)),$A794=$A793,$B794&lt;&gt;$B793)),"ID LISTS UNALIGNED",and($A794&lt;&gt;"",countif('3) Release_Label'!$D:$D,$A794)=0),"NO UPC MATCH in Release_Label",and($B794&lt;&gt;"",countif('3) Release_Label'!$E:$E,$B794)=0),"NO CATALOG ID MATCH in Release_Label",iserror(vlookup($A794&amp;$B794,'3) Release_Label'!$D:$D&amp;'3) Release_Label'!$E:$E,1,0)),"NO UPC-CATALOG ID pair MATCH in Release_Label" )</f>
        <v/>
      </c>
      <c r="E794" s="92"/>
      <c r="F794" s="92"/>
      <c r="G794" s="125" t="str">
        <f t="array" ref="G794">ifs(or($F794="",$F794="Main Primary Artist"),$F794,not(iserror(vlookup($F794,'Reference info'!$J$5:$J$8,1,0))),"Key Artist",not(iserror(vlookup($F794,'Reference info'!$J$38:$J$405,1,0))),"Performer",not(iserror(vlookup($F794,'Reference info'!$J$10:$J$36,1,0))),"Producer &amp; Engineer")</f>
        <v/>
      </c>
    </row>
    <row r="795">
      <c r="A795" s="28"/>
      <c r="B795" s="97"/>
      <c r="C795" s="121" t="str">
        <f t="array" ref="C795">ifs(and(isblank($A795),isblank($B795)),"", not(iserror(vlookup($A795&amp;$B795,'3) Release_Label'!$D:$D&amp;'3) Release_Label'!$E:$E,1,0))),vlookup($A795&amp;$B795,{'3) Release_Label'!$D:$D&amp;'3) Release_Label'!$E:$E,'3) Release_Label'!$F:$F},2,0), or(and(not(isblank($B795)),$B795=$B794,$A795&lt;&gt;$A794),and(not(isblank($A795)),$A795=$A794,$B795&lt;&gt;$B794)),"ID LISTS UNALIGNED",and($A795&lt;&gt;"",countif('3) Release_Label'!$D:$D,$A795)=0),"NO UPC MATCH in Release_Label",and($B795&lt;&gt;"",countif('3) Release_Label'!$E:$E,$B795)=0),"NO CATALOG ID MATCH in Release_Label",iserror(vlookup($A795&amp;$B795,'3) Release_Label'!$D:$D&amp;'3) Release_Label'!$E:$E,1,0)),"NO UPC-CATALOG ID pair MATCH in Release_Label" )</f>
        <v/>
      </c>
      <c r="D795" s="121" t="str">
        <f t="array" ref="D795">ifs(and(isblank($A795),isblank($B795)),"", not(iserror(vlookup($A795&amp;$B795,'3) Release_Label'!$D:$D&amp;'3) Release_Label'!$E:$E,1,0))),vlookup($A795&amp;$B795,{'3) Release_Label'!$D:$D&amp;'3) Release_Label'!$E:$E,'3) Release_Label'!$H:$H},2,0), or(and(not(isblank($B795)),$B795=$B794,$A795&lt;&gt;$A794),and(not(isblank($A795)),$A795=$A794,$B795&lt;&gt;$B794)),"ID LISTS UNALIGNED",and($A795&lt;&gt;"",countif('3) Release_Label'!$D:$D,$A795)=0),"NO UPC MATCH in Release_Label",and($B795&lt;&gt;"",countif('3) Release_Label'!$E:$E,$B795)=0),"NO CATALOG ID MATCH in Release_Label",iserror(vlookup($A795&amp;$B795,'3) Release_Label'!$D:$D&amp;'3) Release_Label'!$E:$E,1,0)),"NO UPC-CATALOG ID pair MATCH in Release_Label" )</f>
        <v/>
      </c>
      <c r="E795" s="92"/>
      <c r="F795" s="92"/>
      <c r="G795" s="125" t="str">
        <f t="array" ref="G795">ifs(or($F795="",$F795="Main Primary Artist"),$F795,not(iserror(vlookup($F795,'Reference info'!$J$5:$J$8,1,0))),"Key Artist",not(iserror(vlookup($F795,'Reference info'!$J$38:$J$405,1,0))),"Performer",not(iserror(vlookup($F795,'Reference info'!$J$10:$J$36,1,0))),"Producer &amp; Engineer")</f>
        <v/>
      </c>
    </row>
    <row r="796">
      <c r="A796" s="28"/>
      <c r="B796" s="97"/>
      <c r="C796" s="121" t="str">
        <f t="array" ref="C796">ifs(and(isblank($A796),isblank($B796)),"", not(iserror(vlookup($A796&amp;$B796,'3) Release_Label'!$D:$D&amp;'3) Release_Label'!$E:$E,1,0))),vlookup($A796&amp;$B796,{'3) Release_Label'!$D:$D&amp;'3) Release_Label'!$E:$E,'3) Release_Label'!$F:$F},2,0), or(and(not(isblank($B796)),$B796=$B795,$A796&lt;&gt;$A795),and(not(isblank($A796)),$A796=$A795,$B796&lt;&gt;$B795)),"ID LISTS UNALIGNED",and($A796&lt;&gt;"",countif('3) Release_Label'!$D:$D,$A796)=0),"NO UPC MATCH in Release_Label",and($B796&lt;&gt;"",countif('3) Release_Label'!$E:$E,$B796)=0),"NO CATALOG ID MATCH in Release_Label",iserror(vlookup($A796&amp;$B796,'3) Release_Label'!$D:$D&amp;'3) Release_Label'!$E:$E,1,0)),"NO UPC-CATALOG ID pair MATCH in Release_Label" )</f>
        <v/>
      </c>
      <c r="D796" s="121" t="str">
        <f t="array" ref="D796">ifs(and(isblank($A796),isblank($B796)),"", not(iserror(vlookup($A796&amp;$B796,'3) Release_Label'!$D:$D&amp;'3) Release_Label'!$E:$E,1,0))),vlookup($A796&amp;$B796,{'3) Release_Label'!$D:$D&amp;'3) Release_Label'!$E:$E,'3) Release_Label'!$H:$H},2,0), or(and(not(isblank($B796)),$B796=$B795,$A796&lt;&gt;$A795),and(not(isblank($A796)),$A796=$A795,$B796&lt;&gt;$B795)),"ID LISTS UNALIGNED",and($A796&lt;&gt;"",countif('3) Release_Label'!$D:$D,$A796)=0),"NO UPC MATCH in Release_Label",and($B796&lt;&gt;"",countif('3) Release_Label'!$E:$E,$B796)=0),"NO CATALOG ID MATCH in Release_Label",iserror(vlookup($A796&amp;$B796,'3) Release_Label'!$D:$D&amp;'3) Release_Label'!$E:$E,1,0)),"NO UPC-CATALOG ID pair MATCH in Release_Label" )</f>
        <v/>
      </c>
      <c r="E796" s="92"/>
      <c r="F796" s="92"/>
      <c r="G796" s="125" t="str">
        <f t="array" ref="G796">ifs(or($F796="",$F796="Main Primary Artist"),$F796,not(iserror(vlookup($F796,'Reference info'!$J$5:$J$8,1,0))),"Key Artist",not(iserror(vlookup($F796,'Reference info'!$J$38:$J$405,1,0))),"Performer",not(iserror(vlookup($F796,'Reference info'!$J$10:$J$36,1,0))),"Producer &amp; Engineer")</f>
        <v/>
      </c>
    </row>
    <row r="797">
      <c r="A797" s="28"/>
      <c r="B797" s="97"/>
      <c r="C797" s="121" t="str">
        <f t="array" ref="C797">ifs(and(isblank($A797),isblank($B797)),"", not(iserror(vlookup($A797&amp;$B797,'3) Release_Label'!$D:$D&amp;'3) Release_Label'!$E:$E,1,0))),vlookup($A797&amp;$B797,{'3) Release_Label'!$D:$D&amp;'3) Release_Label'!$E:$E,'3) Release_Label'!$F:$F},2,0), or(and(not(isblank($B797)),$B797=$B796,$A797&lt;&gt;$A796),and(not(isblank($A797)),$A797=$A796,$B797&lt;&gt;$B796)),"ID LISTS UNALIGNED",and($A797&lt;&gt;"",countif('3) Release_Label'!$D:$D,$A797)=0),"NO UPC MATCH in Release_Label",and($B797&lt;&gt;"",countif('3) Release_Label'!$E:$E,$B797)=0),"NO CATALOG ID MATCH in Release_Label",iserror(vlookup($A797&amp;$B797,'3) Release_Label'!$D:$D&amp;'3) Release_Label'!$E:$E,1,0)),"NO UPC-CATALOG ID pair MATCH in Release_Label" )</f>
        <v/>
      </c>
      <c r="D797" s="121" t="str">
        <f t="array" ref="D797">ifs(and(isblank($A797),isblank($B797)),"", not(iserror(vlookup($A797&amp;$B797,'3) Release_Label'!$D:$D&amp;'3) Release_Label'!$E:$E,1,0))),vlookup($A797&amp;$B797,{'3) Release_Label'!$D:$D&amp;'3) Release_Label'!$E:$E,'3) Release_Label'!$H:$H},2,0), or(and(not(isblank($B797)),$B797=$B796,$A797&lt;&gt;$A796),and(not(isblank($A797)),$A797=$A796,$B797&lt;&gt;$B796)),"ID LISTS UNALIGNED",and($A797&lt;&gt;"",countif('3) Release_Label'!$D:$D,$A797)=0),"NO UPC MATCH in Release_Label",and($B797&lt;&gt;"",countif('3) Release_Label'!$E:$E,$B797)=0),"NO CATALOG ID MATCH in Release_Label",iserror(vlookup($A797&amp;$B797,'3) Release_Label'!$D:$D&amp;'3) Release_Label'!$E:$E,1,0)),"NO UPC-CATALOG ID pair MATCH in Release_Label" )</f>
        <v/>
      </c>
      <c r="E797" s="92"/>
      <c r="F797" s="92"/>
      <c r="G797" s="125" t="str">
        <f t="array" ref="G797">ifs(or($F797="",$F797="Main Primary Artist"),$F797,not(iserror(vlookup($F797,'Reference info'!$J$5:$J$8,1,0))),"Key Artist",not(iserror(vlookup($F797,'Reference info'!$J$38:$J$405,1,0))),"Performer",not(iserror(vlookup($F797,'Reference info'!$J$10:$J$36,1,0))),"Producer &amp; Engineer")</f>
        <v/>
      </c>
    </row>
    <row r="798">
      <c r="A798" s="28"/>
      <c r="B798" s="97"/>
      <c r="C798" s="121" t="str">
        <f t="array" ref="C798">ifs(and(isblank($A798),isblank($B798)),"", not(iserror(vlookup($A798&amp;$B798,'3) Release_Label'!$D:$D&amp;'3) Release_Label'!$E:$E,1,0))),vlookup($A798&amp;$B798,{'3) Release_Label'!$D:$D&amp;'3) Release_Label'!$E:$E,'3) Release_Label'!$F:$F},2,0), or(and(not(isblank($B798)),$B798=$B797,$A798&lt;&gt;$A797),and(not(isblank($A798)),$A798=$A797,$B798&lt;&gt;$B797)),"ID LISTS UNALIGNED",and($A798&lt;&gt;"",countif('3) Release_Label'!$D:$D,$A798)=0),"NO UPC MATCH in Release_Label",and($B798&lt;&gt;"",countif('3) Release_Label'!$E:$E,$B798)=0),"NO CATALOG ID MATCH in Release_Label",iserror(vlookup($A798&amp;$B798,'3) Release_Label'!$D:$D&amp;'3) Release_Label'!$E:$E,1,0)),"NO UPC-CATALOG ID pair MATCH in Release_Label" )</f>
        <v/>
      </c>
      <c r="D798" s="121" t="str">
        <f t="array" ref="D798">ifs(and(isblank($A798),isblank($B798)),"", not(iserror(vlookup($A798&amp;$B798,'3) Release_Label'!$D:$D&amp;'3) Release_Label'!$E:$E,1,0))),vlookup($A798&amp;$B798,{'3) Release_Label'!$D:$D&amp;'3) Release_Label'!$E:$E,'3) Release_Label'!$H:$H},2,0), or(and(not(isblank($B798)),$B798=$B797,$A798&lt;&gt;$A797),and(not(isblank($A798)),$A798=$A797,$B798&lt;&gt;$B797)),"ID LISTS UNALIGNED",and($A798&lt;&gt;"",countif('3) Release_Label'!$D:$D,$A798)=0),"NO UPC MATCH in Release_Label",and($B798&lt;&gt;"",countif('3) Release_Label'!$E:$E,$B798)=0),"NO CATALOG ID MATCH in Release_Label",iserror(vlookup($A798&amp;$B798,'3) Release_Label'!$D:$D&amp;'3) Release_Label'!$E:$E,1,0)),"NO UPC-CATALOG ID pair MATCH in Release_Label" )</f>
        <v/>
      </c>
      <c r="E798" s="92"/>
      <c r="F798" s="92"/>
      <c r="G798" s="125" t="str">
        <f t="array" ref="G798">ifs(or($F798="",$F798="Main Primary Artist"),$F798,not(iserror(vlookup($F798,'Reference info'!$J$5:$J$8,1,0))),"Key Artist",not(iserror(vlookup($F798,'Reference info'!$J$38:$J$405,1,0))),"Performer",not(iserror(vlookup($F798,'Reference info'!$J$10:$J$36,1,0))),"Producer &amp; Engineer")</f>
        <v/>
      </c>
    </row>
    <row r="799">
      <c r="A799" s="28"/>
      <c r="B799" s="97"/>
      <c r="C799" s="121" t="str">
        <f t="array" ref="C799">ifs(and(isblank($A799),isblank($B799)),"", not(iserror(vlookup($A799&amp;$B799,'3) Release_Label'!$D:$D&amp;'3) Release_Label'!$E:$E,1,0))),vlookup($A799&amp;$B799,{'3) Release_Label'!$D:$D&amp;'3) Release_Label'!$E:$E,'3) Release_Label'!$F:$F},2,0), or(and(not(isblank($B799)),$B799=$B798,$A799&lt;&gt;$A798),and(not(isblank($A799)),$A799=$A798,$B799&lt;&gt;$B798)),"ID LISTS UNALIGNED",and($A799&lt;&gt;"",countif('3) Release_Label'!$D:$D,$A799)=0),"NO UPC MATCH in Release_Label",and($B799&lt;&gt;"",countif('3) Release_Label'!$E:$E,$B799)=0),"NO CATALOG ID MATCH in Release_Label",iserror(vlookup($A799&amp;$B799,'3) Release_Label'!$D:$D&amp;'3) Release_Label'!$E:$E,1,0)),"NO UPC-CATALOG ID pair MATCH in Release_Label" )</f>
        <v/>
      </c>
      <c r="D799" s="121" t="str">
        <f t="array" ref="D799">ifs(and(isblank($A799),isblank($B799)),"", not(iserror(vlookup($A799&amp;$B799,'3) Release_Label'!$D:$D&amp;'3) Release_Label'!$E:$E,1,0))),vlookup($A799&amp;$B799,{'3) Release_Label'!$D:$D&amp;'3) Release_Label'!$E:$E,'3) Release_Label'!$H:$H},2,0), or(and(not(isblank($B799)),$B799=$B798,$A799&lt;&gt;$A798),and(not(isblank($A799)),$A799=$A798,$B799&lt;&gt;$B798)),"ID LISTS UNALIGNED",and($A799&lt;&gt;"",countif('3) Release_Label'!$D:$D,$A799)=0),"NO UPC MATCH in Release_Label",and($B799&lt;&gt;"",countif('3) Release_Label'!$E:$E,$B799)=0),"NO CATALOG ID MATCH in Release_Label",iserror(vlookup($A799&amp;$B799,'3) Release_Label'!$D:$D&amp;'3) Release_Label'!$E:$E,1,0)),"NO UPC-CATALOG ID pair MATCH in Release_Label" )</f>
        <v/>
      </c>
      <c r="E799" s="92"/>
      <c r="F799" s="92"/>
      <c r="G799" s="125" t="str">
        <f t="array" ref="G799">ifs(or($F799="",$F799="Main Primary Artist"),$F799,not(iserror(vlookup($F799,'Reference info'!$J$5:$J$8,1,0))),"Key Artist",not(iserror(vlookup($F799,'Reference info'!$J$38:$J$405,1,0))),"Performer",not(iserror(vlookup($F799,'Reference info'!$J$10:$J$36,1,0))),"Producer &amp; Engineer")</f>
        <v/>
      </c>
    </row>
    <row r="800">
      <c r="A800" s="28"/>
      <c r="B800" s="97"/>
      <c r="C800" s="121" t="str">
        <f t="array" ref="C800">ifs(and(isblank($A800),isblank($B800)),"", not(iserror(vlookup($A800&amp;$B800,'3) Release_Label'!$D:$D&amp;'3) Release_Label'!$E:$E,1,0))),vlookup($A800&amp;$B800,{'3) Release_Label'!$D:$D&amp;'3) Release_Label'!$E:$E,'3) Release_Label'!$F:$F},2,0), or(and(not(isblank($B800)),$B800=$B799,$A800&lt;&gt;$A799),and(not(isblank($A800)),$A800=$A799,$B800&lt;&gt;$B799)),"ID LISTS UNALIGNED",and($A800&lt;&gt;"",countif('3) Release_Label'!$D:$D,$A800)=0),"NO UPC MATCH in Release_Label",and($B800&lt;&gt;"",countif('3) Release_Label'!$E:$E,$B800)=0),"NO CATALOG ID MATCH in Release_Label",iserror(vlookup($A800&amp;$B800,'3) Release_Label'!$D:$D&amp;'3) Release_Label'!$E:$E,1,0)),"NO UPC-CATALOG ID pair MATCH in Release_Label" )</f>
        <v/>
      </c>
      <c r="D800" s="121" t="str">
        <f t="array" ref="D800">ifs(and(isblank($A800),isblank($B800)),"", not(iserror(vlookup($A800&amp;$B800,'3) Release_Label'!$D:$D&amp;'3) Release_Label'!$E:$E,1,0))),vlookup($A800&amp;$B800,{'3) Release_Label'!$D:$D&amp;'3) Release_Label'!$E:$E,'3) Release_Label'!$H:$H},2,0), or(and(not(isblank($B800)),$B800=$B799,$A800&lt;&gt;$A799),and(not(isblank($A800)),$A800=$A799,$B800&lt;&gt;$B799)),"ID LISTS UNALIGNED",and($A800&lt;&gt;"",countif('3) Release_Label'!$D:$D,$A800)=0),"NO UPC MATCH in Release_Label",and($B800&lt;&gt;"",countif('3) Release_Label'!$E:$E,$B800)=0),"NO CATALOG ID MATCH in Release_Label",iserror(vlookup($A800&amp;$B800,'3) Release_Label'!$D:$D&amp;'3) Release_Label'!$E:$E,1,0)),"NO UPC-CATALOG ID pair MATCH in Release_Label" )</f>
        <v/>
      </c>
      <c r="E800" s="92"/>
      <c r="F800" s="92"/>
      <c r="G800" s="125" t="str">
        <f t="array" ref="G800">ifs(or($F800="",$F800="Main Primary Artist"),$F800,not(iserror(vlookup($F800,'Reference info'!$J$5:$J$8,1,0))),"Key Artist",not(iserror(vlookup($F800,'Reference info'!$J$38:$J$405,1,0))),"Performer",not(iserror(vlookup($F800,'Reference info'!$J$10:$J$36,1,0))),"Producer &amp; Engineer")</f>
        <v/>
      </c>
    </row>
    <row r="801">
      <c r="A801" s="28"/>
      <c r="B801" s="97"/>
      <c r="C801" s="121" t="str">
        <f t="array" ref="C801">ifs(and(isblank($A801),isblank($B801)),"", not(iserror(vlookup($A801&amp;$B801,'3) Release_Label'!$D:$D&amp;'3) Release_Label'!$E:$E,1,0))),vlookup($A801&amp;$B801,{'3) Release_Label'!$D:$D&amp;'3) Release_Label'!$E:$E,'3) Release_Label'!$F:$F},2,0), or(and(not(isblank($B801)),$B801=$B800,$A801&lt;&gt;$A800),and(not(isblank($A801)),$A801=$A800,$B801&lt;&gt;$B800)),"ID LISTS UNALIGNED",and($A801&lt;&gt;"",countif('3) Release_Label'!$D:$D,$A801)=0),"NO UPC MATCH in Release_Label",and($B801&lt;&gt;"",countif('3) Release_Label'!$E:$E,$B801)=0),"NO CATALOG ID MATCH in Release_Label",iserror(vlookup($A801&amp;$B801,'3) Release_Label'!$D:$D&amp;'3) Release_Label'!$E:$E,1,0)),"NO UPC-CATALOG ID pair MATCH in Release_Label" )</f>
        <v/>
      </c>
      <c r="D801" s="121" t="str">
        <f t="array" ref="D801">ifs(and(isblank($A801),isblank($B801)),"", not(iserror(vlookup($A801&amp;$B801,'3) Release_Label'!$D:$D&amp;'3) Release_Label'!$E:$E,1,0))),vlookup($A801&amp;$B801,{'3) Release_Label'!$D:$D&amp;'3) Release_Label'!$E:$E,'3) Release_Label'!$H:$H},2,0), or(and(not(isblank($B801)),$B801=$B800,$A801&lt;&gt;$A800),and(not(isblank($A801)),$A801=$A800,$B801&lt;&gt;$B800)),"ID LISTS UNALIGNED",and($A801&lt;&gt;"",countif('3) Release_Label'!$D:$D,$A801)=0),"NO UPC MATCH in Release_Label",and($B801&lt;&gt;"",countif('3) Release_Label'!$E:$E,$B801)=0),"NO CATALOG ID MATCH in Release_Label",iserror(vlookup($A801&amp;$B801,'3) Release_Label'!$D:$D&amp;'3) Release_Label'!$E:$E,1,0)),"NO UPC-CATALOG ID pair MATCH in Release_Label" )</f>
        <v/>
      </c>
      <c r="E801" s="92"/>
      <c r="F801" s="92"/>
      <c r="G801" s="125" t="str">
        <f t="array" ref="G801">ifs(or($F801="",$F801="Main Primary Artist"),$F801,not(iserror(vlookup($F801,'Reference info'!$J$5:$J$8,1,0))),"Key Artist",not(iserror(vlookup($F801,'Reference info'!$J$38:$J$405,1,0))),"Performer",not(iserror(vlookup($F801,'Reference info'!$J$10:$J$36,1,0))),"Producer &amp; Engineer")</f>
        <v/>
      </c>
    </row>
    <row r="802">
      <c r="A802" s="28"/>
      <c r="B802" s="97"/>
      <c r="C802" s="121" t="str">
        <f t="array" ref="C802">ifs(and(isblank($A802),isblank($B802)),"", not(iserror(vlookup($A802&amp;$B802,'3) Release_Label'!$D:$D&amp;'3) Release_Label'!$E:$E,1,0))),vlookup($A802&amp;$B802,{'3) Release_Label'!$D:$D&amp;'3) Release_Label'!$E:$E,'3) Release_Label'!$F:$F},2,0), or(and(not(isblank($B802)),$B802=$B801,$A802&lt;&gt;$A801),and(not(isblank($A802)),$A802=$A801,$B802&lt;&gt;$B801)),"ID LISTS UNALIGNED",and($A802&lt;&gt;"",countif('3) Release_Label'!$D:$D,$A802)=0),"NO UPC MATCH in Release_Label",and($B802&lt;&gt;"",countif('3) Release_Label'!$E:$E,$B802)=0),"NO CATALOG ID MATCH in Release_Label",iserror(vlookup($A802&amp;$B802,'3) Release_Label'!$D:$D&amp;'3) Release_Label'!$E:$E,1,0)),"NO UPC-CATALOG ID pair MATCH in Release_Label" )</f>
        <v/>
      </c>
      <c r="D802" s="121" t="str">
        <f t="array" ref="D802">ifs(and(isblank($A802),isblank($B802)),"", not(iserror(vlookup($A802&amp;$B802,'3) Release_Label'!$D:$D&amp;'3) Release_Label'!$E:$E,1,0))),vlookup($A802&amp;$B802,{'3) Release_Label'!$D:$D&amp;'3) Release_Label'!$E:$E,'3) Release_Label'!$H:$H},2,0), or(and(not(isblank($B802)),$B802=$B801,$A802&lt;&gt;$A801),and(not(isblank($A802)),$A802=$A801,$B802&lt;&gt;$B801)),"ID LISTS UNALIGNED",and($A802&lt;&gt;"",countif('3) Release_Label'!$D:$D,$A802)=0),"NO UPC MATCH in Release_Label",and($B802&lt;&gt;"",countif('3) Release_Label'!$E:$E,$B802)=0),"NO CATALOG ID MATCH in Release_Label",iserror(vlookup($A802&amp;$B802,'3) Release_Label'!$D:$D&amp;'3) Release_Label'!$E:$E,1,0)),"NO UPC-CATALOG ID pair MATCH in Release_Label" )</f>
        <v/>
      </c>
      <c r="E802" s="92"/>
      <c r="F802" s="92"/>
      <c r="G802" s="125" t="str">
        <f t="array" ref="G802">ifs(or($F802="",$F802="Main Primary Artist"),$F802,not(iserror(vlookup($F802,'Reference info'!$J$5:$J$8,1,0))),"Key Artist",not(iserror(vlookup($F802,'Reference info'!$J$38:$J$405,1,0))),"Performer",not(iserror(vlookup($F802,'Reference info'!$J$10:$J$36,1,0))),"Producer &amp; Engineer")</f>
        <v/>
      </c>
    </row>
    <row r="803">
      <c r="A803" s="28"/>
      <c r="B803" s="97"/>
      <c r="C803" s="121" t="str">
        <f t="array" ref="C803">ifs(and(isblank($A803),isblank($B803)),"", not(iserror(vlookup($A803&amp;$B803,'3) Release_Label'!$D:$D&amp;'3) Release_Label'!$E:$E,1,0))),vlookup($A803&amp;$B803,{'3) Release_Label'!$D:$D&amp;'3) Release_Label'!$E:$E,'3) Release_Label'!$F:$F},2,0), or(and(not(isblank($B803)),$B803=$B802,$A803&lt;&gt;$A802),and(not(isblank($A803)),$A803=$A802,$B803&lt;&gt;$B802)),"ID LISTS UNALIGNED",and($A803&lt;&gt;"",countif('3) Release_Label'!$D:$D,$A803)=0),"NO UPC MATCH in Release_Label",and($B803&lt;&gt;"",countif('3) Release_Label'!$E:$E,$B803)=0),"NO CATALOG ID MATCH in Release_Label",iserror(vlookup($A803&amp;$B803,'3) Release_Label'!$D:$D&amp;'3) Release_Label'!$E:$E,1,0)),"NO UPC-CATALOG ID pair MATCH in Release_Label" )</f>
        <v/>
      </c>
      <c r="D803" s="121" t="str">
        <f t="array" ref="D803">ifs(and(isblank($A803),isblank($B803)),"", not(iserror(vlookup($A803&amp;$B803,'3) Release_Label'!$D:$D&amp;'3) Release_Label'!$E:$E,1,0))),vlookup($A803&amp;$B803,{'3) Release_Label'!$D:$D&amp;'3) Release_Label'!$E:$E,'3) Release_Label'!$H:$H},2,0), or(and(not(isblank($B803)),$B803=$B802,$A803&lt;&gt;$A802),and(not(isblank($A803)),$A803=$A802,$B803&lt;&gt;$B802)),"ID LISTS UNALIGNED",and($A803&lt;&gt;"",countif('3) Release_Label'!$D:$D,$A803)=0),"NO UPC MATCH in Release_Label",and($B803&lt;&gt;"",countif('3) Release_Label'!$E:$E,$B803)=0),"NO CATALOG ID MATCH in Release_Label",iserror(vlookup($A803&amp;$B803,'3) Release_Label'!$D:$D&amp;'3) Release_Label'!$E:$E,1,0)),"NO UPC-CATALOG ID pair MATCH in Release_Label" )</f>
        <v/>
      </c>
      <c r="E803" s="92"/>
      <c r="F803" s="92"/>
      <c r="G803" s="125" t="str">
        <f t="array" ref="G803">ifs(or($F803="",$F803="Main Primary Artist"),$F803,not(iserror(vlookup($F803,'Reference info'!$J$5:$J$8,1,0))),"Key Artist",not(iserror(vlookup($F803,'Reference info'!$J$38:$J$405,1,0))),"Performer",not(iserror(vlookup($F803,'Reference info'!$J$10:$J$36,1,0))),"Producer &amp; Engineer")</f>
        <v/>
      </c>
    </row>
    <row r="804">
      <c r="A804" s="28"/>
      <c r="B804" s="97"/>
      <c r="C804" s="121" t="str">
        <f t="array" ref="C804">ifs(and(isblank($A804),isblank($B804)),"", not(iserror(vlookup($A804&amp;$B804,'3) Release_Label'!$D:$D&amp;'3) Release_Label'!$E:$E,1,0))),vlookup($A804&amp;$B804,{'3) Release_Label'!$D:$D&amp;'3) Release_Label'!$E:$E,'3) Release_Label'!$F:$F},2,0), or(and(not(isblank($B804)),$B804=$B803,$A804&lt;&gt;$A803),and(not(isblank($A804)),$A804=$A803,$B804&lt;&gt;$B803)),"ID LISTS UNALIGNED",and($A804&lt;&gt;"",countif('3) Release_Label'!$D:$D,$A804)=0),"NO UPC MATCH in Release_Label",and($B804&lt;&gt;"",countif('3) Release_Label'!$E:$E,$B804)=0),"NO CATALOG ID MATCH in Release_Label",iserror(vlookup($A804&amp;$B804,'3) Release_Label'!$D:$D&amp;'3) Release_Label'!$E:$E,1,0)),"NO UPC-CATALOG ID pair MATCH in Release_Label" )</f>
        <v/>
      </c>
      <c r="D804" s="121" t="str">
        <f t="array" ref="D804">ifs(and(isblank($A804),isblank($B804)),"", not(iserror(vlookup($A804&amp;$B804,'3) Release_Label'!$D:$D&amp;'3) Release_Label'!$E:$E,1,0))),vlookup($A804&amp;$B804,{'3) Release_Label'!$D:$D&amp;'3) Release_Label'!$E:$E,'3) Release_Label'!$H:$H},2,0), or(and(not(isblank($B804)),$B804=$B803,$A804&lt;&gt;$A803),and(not(isblank($A804)),$A804=$A803,$B804&lt;&gt;$B803)),"ID LISTS UNALIGNED",and($A804&lt;&gt;"",countif('3) Release_Label'!$D:$D,$A804)=0),"NO UPC MATCH in Release_Label",and($B804&lt;&gt;"",countif('3) Release_Label'!$E:$E,$B804)=0),"NO CATALOG ID MATCH in Release_Label",iserror(vlookup($A804&amp;$B804,'3) Release_Label'!$D:$D&amp;'3) Release_Label'!$E:$E,1,0)),"NO UPC-CATALOG ID pair MATCH in Release_Label" )</f>
        <v/>
      </c>
      <c r="E804" s="92"/>
      <c r="F804" s="92"/>
      <c r="G804" s="125" t="str">
        <f t="array" ref="G804">ifs(or($F804="",$F804="Main Primary Artist"),$F804,not(iserror(vlookup($F804,'Reference info'!$J$5:$J$8,1,0))),"Key Artist",not(iserror(vlookup($F804,'Reference info'!$J$38:$J$405,1,0))),"Performer",not(iserror(vlookup($F804,'Reference info'!$J$10:$J$36,1,0))),"Producer &amp; Engineer")</f>
        <v/>
      </c>
    </row>
    <row r="805">
      <c r="A805" s="28"/>
      <c r="B805" s="97"/>
      <c r="C805" s="121" t="str">
        <f t="array" ref="C805">ifs(and(isblank($A805),isblank($B805)),"", not(iserror(vlookup($A805&amp;$B805,'3) Release_Label'!$D:$D&amp;'3) Release_Label'!$E:$E,1,0))),vlookup($A805&amp;$B805,{'3) Release_Label'!$D:$D&amp;'3) Release_Label'!$E:$E,'3) Release_Label'!$F:$F},2,0), or(and(not(isblank($B805)),$B805=$B804,$A805&lt;&gt;$A804),and(not(isblank($A805)),$A805=$A804,$B805&lt;&gt;$B804)),"ID LISTS UNALIGNED",and($A805&lt;&gt;"",countif('3) Release_Label'!$D:$D,$A805)=0),"NO UPC MATCH in Release_Label",and($B805&lt;&gt;"",countif('3) Release_Label'!$E:$E,$B805)=0),"NO CATALOG ID MATCH in Release_Label",iserror(vlookup($A805&amp;$B805,'3) Release_Label'!$D:$D&amp;'3) Release_Label'!$E:$E,1,0)),"NO UPC-CATALOG ID pair MATCH in Release_Label" )</f>
        <v/>
      </c>
      <c r="D805" s="121" t="str">
        <f t="array" ref="D805">ifs(and(isblank($A805),isblank($B805)),"", not(iserror(vlookup($A805&amp;$B805,'3) Release_Label'!$D:$D&amp;'3) Release_Label'!$E:$E,1,0))),vlookup($A805&amp;$B805,{'3) Release_Label'!$D:$D&amp;'3) Release_Label'!$E:$E,'3) Release_Label'!$H:$H},2,0), or(and(not(isblank($B805)),$B805=$B804,$A805&lt;&gt;$A804),and(not(isblank($A805)),$A805=$A804,$B805&lt;&gt;$B804)),"ID LISTS UNALIGNED",and($A805&lt;&gt;"",countif('3) Release_Label'!$D:$D,$A805)=0),"NO UPC MATCH in Release_Label",and($B805&lt;&gt;"",countif('3) Release_Label'!$E:$E,$B805)=0),"NO CATALOG ID MATCH in Release_Label",iserror(vlookup($A805&amp;$B805,'3) Release_Label'!$D:$D&amp;'3) Release_Label'!$E:$E,1,0)),"NO UPC-CATALOG ID pair MATCH in Release_Label" )</f>
        <v/>
      </c>
      <c r="E805" s="92"/>
      <c r="F805" s="92"/>
      <c r="G805" s="125" t="str">
        <f t="array" ref="G805">ifs(or($F805="",$F805="Main Primary Artist"),$F805,not(iserror(vlookup($F805,'Reference info'!$J$5:$J$8,1,0))),"Key Artist",not(iserror(vlookup($F805,'Reference info'!$J$38:$J$405,1,0))),"Performer",not(iserror(vlookup($F805,'Reference info'!$J$10:$J$36,1,0))),"Producer &amp; Engineer")</f>
        <v/>
      </c>
    </row>
    <row r="806">
      <c r="A806" s="28"/>
      <c r="B806" s="97"/>
      <c r="C806" s="121" t="str">
        <f t="array" ref="C806">ifs(and(isblank($A806),isblank($B806)),"", not(iserror(vlookup($A806&amp;$B806,'3) Release_Label'!$D:$D&amp;'3) Release_Label'!$E:$E,1,0))),vlookup($A806&amp;$B806,{'3) Release_Label'!$D:$D&amp;'3) Release_Label'!$E:$E,'3) Release_Label'!$F:$F},2,0), or(and(not(isblank($B806)),$B806=$B805,$A806&lt;&gt;$A805),and(not(isblank($A806)),$A806=$A805,$B806&lt;&gt;$B805)),"ID LISTS UNALIGNED",and($A806&lt;&gt;"",countif('3) Release_Label'!$D:$D,$A806)=0),"NO UPC MATCH in Release_Label",and($B806&lt;&gt;"",countif('3) Release_Label'!$E:$E,$B806)=0),"NO CATALOG ID MATCH in Release_Label",iserror(vlookup($A806&amp;$B806,'3) Release_Label'!$D:$D&amp;'3) Release_Label'!$E:$E,1,0)),"NO UPC-CATALOG ID pair MATCH in Release_Label" )</f>
        <v/>
      </c>
      <c r="D806" s="121" t="str">
        <f t="array" ref="D806">ifs(and(isblank($A806),isblank($B806)),"", not(iserror(vlookup($A806&amp;$B806,'3) Release_Label'!$D:$D&amp;'3) Release_Label'!$E:$E,1,0))),vlookup($A806&amp;$B806,{'3) Release_Label'!$D:$D&amp;'3) Release_Label'!$E:$E,'3) Release_Label'!$H:$H},2,0), or(and(not(isblank($B806)),$B806=$B805,$A806&lt;&gt;$A805),and(not(isblank($A806)),$A806=$A805,$B806&lt;&gt;$B805)),"ID LISTS UNALIGNED",and($A806&lt;&gt;"",countif('3) Release_Label'!$D:$D,$A806)=0),"NO UPC MATCH in Release_Label",and($B806&lt;&gt;"",countif('3) Release_Label'!$E:$E,$B806)=0),"NO CATALOG ID MATCH in Release_Label",iserror(vlookup($A806&amp;$B806,'3) Release_Label'!$D:$D&amp;'3) Release_Label'!$E:$E,1,0)),"NO UPC-CATALOG ID pair MATCH in Release_Label" )</f>
        <v/>
      </c>
      <c r="E806" s="92"/>
      <c r="F806" s="92"/>
      <c r="G806" s="125" t="str">
        <f t="array" ref="G806">ifs(or($F806="",$F806="Main Primary Artist"),$F806,not(iserror(vlookup($F806,'Reference info'!$J$5:$J$8,1,0))),"Key Artist",not(iserror(vlookup($F806,'Reference info'!$J$38:$J$405,1,0))),"Performer",not(iserror(vlookup($F806,'Reference info'!$J$10:$J$36,1,0))),"Producer &amp; Engineer")</f>
        <v/>
      </c>
    </row>
    <row r="807">
      <c r="A807" s="28"/>
      <c r="B807" s="97"/>
      <c r="C807" s="121" t="str">
        <f t="array" ref="C807">ifs(and(isblank($A807),isblank($B807)),"", not(iserror(vlookup($A807&amp;$B807,'3) Release_Label'!$D:$D&amp;'3) Release_Label'!$E:$E,1,0))),vlookup($A807&amp;$B807,{'3) Release_Label'!$D:$D&amp;'3) Release_Label'!$E:$E,'3) Release_Label'!$F:$F},2,0), or(and(not(isblank($B807)),$B807=$B806,$A807&lt;&gt;$A806),and(not(isblank($A807)),$A807=$A806,$B807&lt;&gt;$B806)),"ID LISTS UNALIGNED",and($A807&lt;&gt;"",countif('3) Release_Label'!$D:$D,$A807)=0),"NO UPC MATCH in Release_Label",and($B807&lt;&gt;"",countif('3) Release_Label'!$E:$E,$B807)=0),"NO CATALOG ID MATCH in Release_Label",iserror(vlookup($A807&amp;$B807,'3) Release_Label'!$D:$D&amp;'3) Release_Label'!$E:$E,1,0)),"NO UPC-CATALOG ID pair MATCH in Release_Label" )</f>
        <v/>
      </c>
      <c r="D807" s="121" t="str">
        <f t="array" ref="D807">ifs(and(isblank($A807),isblank($B807)),"", not(iserror(vlookup($A807&amp;$B807,'3) Release_Label'!$D:$D&amp;'3) Release_Label'!$E:$E,1,0))),vlookup($A807&amp;$B807,{'3) Release_Label'!$D:$D&amp;'3) Release_Label'!$E:$E,'3) Release_Label'!$H:$H},2,0), or(and(not(isblank($B807)),$B807=$B806,$A807&lt;&gt;$A806),and(not(isblank($A807)),$A807=$A806,$B807&lt;&gt;$B806)),"ID LISTS UNALIGNED",and($A807&lt;&gt;"",countif('3) Release_Label'!$D:$D,$A807)=0),"NO UPC MATCH in Release_Label",and($B807&lt;&gt;"",countif('3) Release_Label'!$E:$E,$B807)=0),"NO CATALOG ID MATCH in Release_Label",iserror(vlookup($A807&amp;$B807,'3) Release_Label'!$D:$D&amp;'3) Release_Label'!$E:$E,1,0)),"NO UPC-CATALOG ID pair MATCH in Release_Label" )</f>
        <v/>
      </c>
      <c r="E807" s="92"/>
      <c r="F807" s="92"/>
      <c r="G807" s="125" t="str">
        <f t="array" ref="G807">ifs(or($F807="",$F807="Main Primary Artist"),$F807,not(iserror(vlookup($F807,'Reference info'!$J$5:$J$8,1,0))),"Key Artist",not(iserror(vlookup($F807,'Reference info'!$J$38:$J$405,1,0))),"Performer",not(iserror(vlookup($F807,'Reference info'!$J$10:$J$36,1,0))),"Producer &amp; Engineer")</f>
        <v/>
      </c>
    </row>
    <row r="808">
      <c r="A808" s="28"/>
      <c r="B808" s="97"/>
      <c r="C808" s="121" t="str">
        <f t="array" ref="C808">ifs(and(isblank($A808),isblank($B808)),"", not(iserror(vlookup($A808&amp;$B808,'3) Release_Label'!$D:$D&amp;'3) Release_Label'!$E:$E,1,0))),vlookup($A808&amp;$B808,{'3) Release_Label'!$D:$D&amp;'3) Release_Label'!$E:$E,'3) Release_Label'!$F:$F},2,0), or(and(not(isblank($B808)),$B808=$B807,$A808&lt;&gt;$A807),and(not(isblank($A808)),$A808=$A807,$B808&lt;&gt;$B807)),"ID LISTS UNALIGNED",and($A808&lt;&gt;"",countif('3) Release_Label'!$D:$D,$A808)=0),"NO UPC MATCH in Release_Label",and($B808&lt;&gt;"",countif('3) Release_Label'!$E:$E,$B808)=0),"NO CATALOG ID MATCH in Release_Label",iserror(vlookup($A808&amp;$B808,'3) Release_Label'!$D:$D&amp;'3) Release_Label'!$E:$E,1,0)),"NO UPC-CATALOG ID pair MATCH in Release_Label" )</f>
        <v/>
      </c>
      <c r="D808" s="121" t="str">
        <f t="array" ref="D808">ifs(and(isblank($A808),isblank($B808)),"", not(iserror(vlookup($A808&amp;$B808,'3) Release_Label'!$D:$D&amp;'3) Release_Label'!$E:$E,1,0))),vlookup($A808&amp;$B808,{'3) Release_Label'!$D:$D&amp;'3) Release_Label'!$E:$E,'3) Release_Label'!$H:$H},2,0), or(and(not(isblank($B808)),$B808=$B807,$A808&lt;&gt;$A807),and(not(isblank($A808)),$A808=$A807,$B808&lt;&gt;$B807)),"ID LISTS UNALIGNED",and($A808&lt;&gt;"",countif('3) Release_Label'!$D:$D,$A808)=0),"NO UPC MATCH in Release_Label",and($B808&lt;&gt;"",countif('3) Release_Label'!$E:$E,$B808)=0),"NO CATALOG ID MATCH in Release_Label",iserror(vlookup($A808&amp;$B808,'3) Release_Label'!$D:$D&amp;'3) Release_Label'!$E:$E,1,0)),"NO UPC-CATALOG ID pair MATCH in Release_Label" )</f>
        <v/>
      </c>
      <c r="E808" s="92"/>
      <c r="F808" s="92"/>
      <c r="G808" s="125" t="str">
        <f t="array" ref="G808">ifs(or($F808="",$F808="Main Primary Artist"),$F808,not(iserror(vlookup($F808,'Reference info'!$J$5:$J$8,1,0))),"Key Artist",not(iserror(vlookup($F808,'Reference info'!$J$38:$J$405,1,0))),"Performer",not(iserror(vlookup($F808,'Reference info'!$J$10:$J$36,1,0))),"Producer &amp; Engineer")</f>
        <v/>
      </c>
    </row>
    <row r="809">
      <c r="A809" s="28"/>
      <c r="B809" s="97"/>
      <c r="C809" s="121" t="str">
        <f t="array" ref="C809">ifs(and(isblank($A809),isblank($B809)),"", not(iserror(vlookup($A809&amp;$B809,'3) Release_Label'!$D:$D&amp;'3) Release_Label'!$E:$E,1,0))),vlookup($A809&amp;$B809,{'3) Release_Label'!$D:$D&amp;'3) Release_Label'!$E:$E,'3) Release_Label'!$F:$F},2,0), or(and(not(isblank($B809)),$B809=$B808,$A809&lt;&gt;$A808),and(not(isblank($A809)),$A809=$A808,$B809&lt;&gt;$B808)),"ID LISTS UNALIGNED",and($A809&lt;&gt;"",countif('3) Release_Label'!$D:$D,$A809)=0),"NO UPC MATCH in Release_Label",and($B809&lt;&gt;"",countif('3) Release_Label'!$E:$E,$B809)=0),"NO CATALOG ID MATCH in Release_Label",iserror(vlookup($A809&amp;$B809,'3) Release_Label'!$D:$D&amp;'3) Release_Label'!$E:$E,1,0)),"NO UPC-CATALOG ID pair MATCH in Release_Label" )</f>
        <v/>
      </c>
      <c r="D809" s="121" t="str">
        <f t="array" ref="D809">ifs(and(isblank($A809),isblank($B809)),"", not(iserror(vlookup($A809&amp;$B809,'3) Release_Label'!$D:$D&amp;'3) Release_Label'!$E:$E,1,0))),vlookup($A809&amp;$B809,{'3) Release_Label'!$D:$D&amp;'3) Release_Label'!$E:$E,'3) Release_Label'!$H:$H},2,0), or(and(not(isblank($B809)),$B809=$B808,$A809&lt;&gt;$A808),and(not(isblank($A809)),$A809=$A808,$B809&lt;&gt;$B808)),"ID LISTS UNALIGNED",and($A809&lt;&gt;"",countif('3) Release_Label'!$D:$D,$A809)=0),"NO UPC MATCH in Release_Label",and($B809&lt;&gt;"",countif('3) Release_Label'!$E:$E,$B809)=0),"NO CATALOG ID MATCH in Release_Label",iserror(vlookup($A809&amp;$B809,'3) Release_Label'!$D:$D&amp;'3) Release_Label'!$E:$E,1,0)),"NO UPC-CATALOG ID pair MATCH in Release_Label" )</f>
        <v/>
      </c>
      <c r="E809" s="92"/>
      <c r="F809" s="92"/>
      <c r="G809" s="125" t="str">
        <f t="array" ref="G809">ifs(or($F809="",$F809="Main Primary Artist"),$F809,not(iserror(vlookup($F809,'Reference info'!$J$5:$J$8,1,0))),"Key Artist",not(iserror(vlookup($F809,'Reference info'!$J$38:$J$405,1,0))),"Performer",not(iserror(vlookup($F809,'Reference info'!$J$10:$J$36,1,0))),"Producer &amp; Engineer")</f>
        <v/>
      </c>
    </row>
    <row r="810">
      <c r="A810" s="28"/>
      <c r="B810" s="97"/>
      <c r="C810" s="121" t="str">
        <f t="array" ref="C810">ifs(and(isblank($A810),isblank($B810)),"", not(iserror(vlookup($A810&amp;$B810,'3) Release_Label'!$D:$D&amp;'3) Release_Label'!$E:$E,1,0))),vlookup($A810&amp;$B810,{'3) Release_Label'!$D:$D&amp;'3) Release_Label'!$E:$E,'3) Release_Label'!$F:$F},2,0), or(and(not(isblank($B810)),$B810=$B809,$A810&lt;&gt;$A809),and(not(isblank($A810)),$A810=$A809,$B810&lt;&gt;$B809)),"ID LISTS UNALIGNED",and($A810&lt;&gt;"",countif('3) Release_Label'!$D:$D,$A810)=0),"NO UPC MATCH in Release_Label",and($B810&lt;&gt;"",countif('3) Release_Label'!$E:$E,$B810)=0),"NO CATALOG ID MATCH in Release_Label",iserror(vlookup($A810&amp;$B810,'3) Release_Label'!$D:$D&amp;'3) Release_Label'!$E:$E,1,0)),"NO UPC-CATALOG ID pair MATCH in Release_Label" )</f>
        <v/>
      </c>
      <c r="D810" s="121" t="str">
        <f t="array" ref="D810">ifs(and(isblank($A810),isblank($B810)),"", not(iserror(vlookup($A810&amp;$B810,'3) Release_Label'!$D:$D&amp;'3) Release_Label'!$E:$E,1,0))),vlookup($A810&amp;$B810,{'3) Release_Label'!$D:$D&amp;'3) Release_Label'!$E:$E,'3) Release_Label'!$H:$H},2,0), or(and(not(isblank($B810)),$B810=$B809,$A810&lt;&gt;$A809),and(not(isblank($A810)),$A810=$A809,$B810&lt;&gt;$B809)),"ID LISTS UNALIGNED",and($A810&lt;&gt;"",countif('3) Release_Label'!$D:$D,$A810)=0),"NO UPC MATCH in Release_Label",and($B810&lt;&gt;"",countif('3) Release_Label'!$E:$E,$B810)=0),"NO CATALOG ID MATCH in Release_Label",iserror(vlookup($A810&amp;$B810,'3) Release_Label'!$D:$D&amp;'3) Release_Label'!$E:$E,1,0)),"NO UPC-CATALOG ID pair MATCH in Release_Label" )</f>
        <v/>
      </c>
      <c r="E810" s="92"/>
      <c r="F810" s="92"/>
      <c r="G810" s="125" t="str">
        <f t="array" ref="G810">ifs(or($F810="",$F810="Main Primary Artist"),$F810,not(iserror(vlookup($F810,'Reference info'!$J$5:$J$8,1,0))),"Key Artist",not(iserror(vlookup($F810,'Reference info'!$J$38:$J$405,1,0))),"Performer",not(iserror(vlookup($F810,'Reference info'!$J$10:$J$36,1,0))),"Producer &amp; Engineer")</f>
        <v/>
      </c>
    </row>
    <row r="811">
      <c r="A811" s="28"/>
      <c r="B811" s="97"/>
      <c r="C811" s="121" t="str">
        <f t="array" ref="C811">ifs(and(isblank($A811),isblank($B811)),"", not(iserror(vlookup($A811&amp;$B811,'3) Release_Label'!$D:$D&amp;'3) Release_Label'!$E:$E,1,0))),vlookup($A811&amp;$B811,{'3) Release_Label'!$D:$D&amp;'3) Release_Label'!$E:$E,'3) Release_Label'!$F:$F},2,0), or(and(not(isblank($B811)),$B811=$B810,$A811&lt;&gt;$A810),and(not(isblank($A811)),$A811=$A810,$B811&lt;&gt;$B810)),"ID LISTS UNALIGNED",and($A811&lt;&gt;"",countif('3) Release_Label'!$D:$D,$A811)=0),"NO UPC MATCH in Release_Label",and($B811&lt;&gt;"",countif('3) Release_Label'!$E:$E,$B811)=0),"NO CATALOG ID MATCH in Release_Label",iserror(vlookup($A811&amp;$B811,'3) Release_Label'!$D:$D&amp;'3) Release_Label'!$E:$E,1,0)),"NO UPC-CATALOG ID pair MATCH in Release_Label" )</f>
        <v/>
      </c>
      <c r="D811" s="121" t="str">
        <f t="array" ref="D811">ifs(and(isblank($A811),isblank($B811)),"", not(iserror(vlookup($A811&amp;$B811,'3) Release_Label'!$D:$D&amp;'3) Release_Label'!$E:$E,1,0))),vlookup($A811&amp;$B811,{'3) Release_Label'!$D:$D&amp;'3) Release_Label'!$E:$E,'3) Release_Label'!$H:$H},2,0), or(and(not(isblank($B811)),$B811=$B810,$A811&lt;&gt;$A810),and(not(isblank($A811)),$A811=$A810,$B811&lt;&gt;$B810)),"ID LISTS UNALIGNED",and($A811&lt;&gt;"",countif('3) Release_Label'!$D:$D,$A811)=0),"NO UPC MATCH in Release_Label",and($B811&lt;&gt;"",countif('3) Release_Label'!$E:$E,$B811)=0),"NO CATALOG ID MATCH in Release_Label",iserror(vlookup($A811&amp;$B811,'3) Release_Label'!$D:$D&amp;'3) Release_Label'!$E:$E,1,0)),"NO UPC-CATALOG ID pair MATCH in Release_Label" )</f>
        <v/>
      </c>
      <c r="E811" s="92"/>
      <c r="F811" s="92"/>
      <c r="G811" s="125" t="str">
        <f t="array" ref="G811">ifs(or($F811="",$F811="Main Primary Artist"),$F811,not(iserror(vlookup($F811,'Reference info'!$J$5:$J$8,1,0))),"Key Artist",not(iserror(vlookup($F811,'Reference info'!$J$38:$J$405,1,0))),"Performer",not(iserror(vlookup($F811,'Reference info'!$J$10:$J$36,1,0))),"Producer &amp; Engineer")</f>
        <v/>
      </c>
    </row>
    <row r="812">
      <c r="A812" s="28"/>
      <c r="B812" s="97"/>
      <c r="C812" s="121" t="str">
        <f t="array" ref="C812">ifs(and(isblank($A812),isblank($B812)),"", not(iserror(vlookup($A812&amp;$B812,'3) Release_Label'!$D:$D&amp;'3) Release_Label'!$E:$E,1,0))),vlookup($A812&amp;$B812,{'3) Release_Label'!$D:$D&amp;'3) Release_Label'!$E:$E,'3) Release_Label'!$F:$F},2,0), or(and(not(isblank($B812)),$B812=$B811,$A812&lt;&gt;$A811),and(not(isblank($A812)),$A812=$A811,$B812&lt;&gt;$B811)),"ID LISTS UNALIGNED",and($A812&lt;&gt;"",countif('3) Release_Label'!$D:$D,$A812)=0),"NO UPC MATCH in Release_Label",and($B812&lt;&gt;"",countif('3) Release_Label'!$E:$E,$B812)=0),"NO CATALOG ID MATCH in Release_Label",iserror(vlookup($A812&amp;$B812,'3) Release_Label'!$D:$D&amp;'3) Release_Label'!$E:$E,1,0)),"NO UPC-CATALOG ID pair MATCH in Release_Label" )</f>
        <v/>
      </c>
      <c r="D812" s="121" t="str">
        <f t="array" ref="D812">ifs(and(isblank($A812),isblank($B812)),"", not(iserror(vlookup($A812&amp;$B812,'3) Release_Label'!$D:$D&amp;'3) Release_Label'!$E:$E,1,0))),vlookup($A812&amp;$B812,{'3) Release_Label'!$D:$D&amp;'3) Release_Label'!$E:$E,'3) Release_Label'!$H:$H},2,0), or(and(not(isblank($B812)),$B812=$B811,$A812&lt;&gt;$A811),and(not(isblank($A812)),$A812=$A811,$B812&lt;&gt;$B811)),"ID LISTS UNALIGNED",and($A812&lt;&gt;"",countif('3) Release_Label'!$D:$D,$A812)=0),"NO UPC MATCH in Release_Label",and($B812&lt;&gt;"",countif('3) Release_Label'!$E:$E,$B812)=0),"NO CATALOG ID MATCH in Release_Label",iserror(vlookup($A812&amp;$B812,'3) Release_Label'!$D:$D&amp;'3) Release_Label'!$E:$E,1,0)),"NO UPC-CATALOG ID pair MATCH in Release_Label" )</f>
        <v/>
      </c>
      <c r="E812" s="92"/>
      <c r="F812" s="92"/>
      <c r="G812" s="125" t="str">
        <f t="array" ref="G812">ifs(or($F812="",$F812="Main Primary Artist"),$F812,not(iserror(vlookup($F812,'Reference info'!$J$5:$J$8,1,0))),"Key Artist",not(iserror(vlookup($F812,'Reference info'!$J$38:$J$405,1,0))),"Performer",not(iserror(vlookup($F812,'Reference info'!$J$10:$J$36,1,0))),"Producer &amp; Engineer")</f>
        <v/>
      </c>
    </row>
    <row r="813">
      <c r="A813" s="28"/>
      <c r="B813" s="97"/>
      <c r="C813" s="121" t="str">
        <f t="array" ref="C813">ifs(and(isblank($A813),isblank($B813)),"", not(iserror(vlookup($A813&amp;$B813,'3) Release_Label'!$D:$D&amp;'3) Release_Label'!$E:$E,1,0))),vlookup($A813&amp;$B813,{'3) Release_Label'!$D:$D&amp;'3) Release_Label'!$E:$E,'3) Release_Label'!$F:$F},2,0), or(and(not(isblank($B813)),$B813=$B812,$A813&lt;&gt;$A812),and(not(isblank($A813)),$A813=$A812,$B813&lt;&gt;$B812)),"ID LISTS UNALIGNED",and($A813&lt;&gt;"",countif('3) Release_Label'!$D:$D,$A813)=0),"NO UPC MATCH in Release_Label",and($B813&lt;&gt;"",countif('3) Release_Label'!$E:$E,$B813)=0),"NO CATALOG ID MATCH in Release_Label",iserror(vlookup($A813&amp;$B813,'3) Release_Label'!$D:$D&amp;'3) Release_Label'!$E:$E,1,0)),"NO UPC-CATALOG ID pair MATCH in Release_Label" )</f>
        <v/>
      </c>
      <c r="D813" s="121" t="str">
        <f t="array" ref="D813">ifs(and(isblank($A813),isblank($B813)),"", not(iserror(vlookup($A813&amp;$B813,'3) Release_Label'!$D:$D&amp;'3) Release_Label'!$E:$E,1,0))),vlookup($A813&amp;$B813,{'3) Release_Label'!$D:$D&amp;'3) Release_Label'!$E:$E,'3) Release_Label'!$H:$H},2,0), or(and(not(isblank($B813)),$B813=$B812,$A813&lt;&gt;$A812),and(not(isblank($A813)),$A813=$A812,$B813&lt;&gt;$B812)),"ID LISTS UNALIGNED",and($A813&lt;&gt;"",countif('3) Release_Label'!$D:$D,$A813)=0),"NO UPC MATCH in Release_Label",and($B813&lt;&gt;"",countif('3) Release_Label'!$E:$E,$B813)=0),"NO CATALOG ID MATCH in Release_Label",iserror(vlookup($A813&amp;$B813,'3) Release_Label'!$D:$D&amp;'3) Release_Label'!$E:$E,1,0)),"NO UPC-CATALOG ID pair MATCH in Release_Label" )</f>
        <v/>
      </c>
      <c r="E813" s="92"/>
      <c r="F813" s="92"/>
      <c r="G813" s="125" t="str">
        <f t="array" ref="G813">ifs(or($F813="",$F813="Main Primary Artist"),$F813,not(iserror(vlookup($F813,'Reference info'!$J$5:$J$8,1,0))),"Key Artist",not(iserror(vlookup($F813,'Reference info'!$J$38:$J$405,1,0))),"Performer",not(iserror(vlookup($F813,'Reference info'!$J$10:$J$36,1,0))),"Producer &amp; Engineer")</f>
        <v/>
      </c>
    </row>
    <row r="814">
      <c r="A814" s="28"/>
      <c r="B814" s="97"/>
      <c r="C814" s="121" t="str">
        <f t="array" ref="C814">ifs(and(isblank($A814),isblank($B814)),"", not(iserror(vlookup($A814&amp;$B814,'3) Release_Label'!$D:$D&amp;'3) Release_Label'!$E:$E,1,0))),vlookup($A814&amp;$B814,{'3) Release_Label'!$D:$D&amp;'3) Release_Label'!$E:$E,'3) Release_Label'!$F:$F},2,0), or(and(not(isblank($B814)),$B814=$B813,$A814&lt;&gt;$A813),and(not(isblank($A814)),$A814=$A813,$B814&lt;&gt;$B813)),"ID LISTS UNALIGNED",and($A814&lt;&gt;"",countif('3) Release_Label'!$D:$D,$A814)=0),"NO UPC MATCH in Release_Label",and($B814&lt;&gt;"",countif('3) Release_Label'!$E:$E,$B814)=0),"NO CATALOG ID MATCH in Release_Label",iserror(vlookup($A814&amp;$B814,'3) Release_Label'!$D:$D&amp;'3) Release_Label'!$E:$E,1,0)),"NO UPC-CATALOG ID pair MATCH in Release_Label" )</f>
        <v/>
      </c>
      <c r="D814" s="121" t="str">
        <f t="array" ref="D814">ifs(and(isblank($A814),isblank($B814)),"", not(iserror(vlookup($A814&amp;$B814,'3) Release_Label'!$D:$D&amp;'3) Release_Label'!$E:$E,1,0))),vlookup($A814&amp;$B814,{'3) Release_Label'!$D:$D&amp;'3) Release_Label'!$E:$E,'3) Release_Label'!$H:$H},2,0), or(and(not(isblank($B814)),$B814=$B813,$A814&lt;&gt;$A813),and(not(isblank($A814)),$A814=$A813,$B814&lt;&gt;$B813)),"ID LISTS UNALIGNED",and($A814&lt;&gt;"",countif('3) Release_Label'!$D:$D,$A814)=0),"NO UPC MATCH in Release_Label",and($B814&lt;&gt;"",countif('3) Release_Label'!$E:$E,$B814)=0),"NO CATALOG ID MATCH in Release_Label",iserror(vlookup($A814&amp;$B814,'3) Release_Label'!$D:$D&amp;'3) Release_Label'!$E:$E,1,0)),"NO UPC-CATALOG ID pair MATCH in Release_Label" )</f>
        <v/>
      </c>
      <c r="E814" s="92"/>
      <c r="F814" s="92"/>
      <c r="G814" s="125" t="str">
        <f t="array" ref="G814">ifs(or($F814="",$F814="Main Primary Artist"),$F814,not(iserror(vlookup($F814,'Reference info'!$J$5:$J$8,1,0))),"Key Artist",not(iserror(vlookup($F814,'Reference info'!$J$38:$J$405,1,0))),"Performer",not(iserror(vlookup($F814,'Reference info'!$J$10:$J$36,1,0))),"Producer &amp; Engineer")</f>
        <v/>
      </c>
    </row>
    <row r="815">
      <c r="A815" s="28"/>
      <c r="B815" s="97"/>
      <c r="C815" s="121" t="str">
        <f t="array" ref="C815">ifs(and(isblank($A815),isblank($B815)),"", not(iserror(vlookup($A815&amp;$B815,'3) Release_Label'!$D:$D&amp;'3) Release_Label'!$E:$E,1,0))),vlookup($A815&amp;$B815,{'3) Release_Label'!$D:$D&amp;'3) Release_Label'!$E:$E,'3) Release_Label'!$F:$F},2,0), or(and(not(isblank($B815)),$B815=$B814,$A815&lt;&gt;$A814),and(not(isblank($A815)),$A815=$A814,$B815&lt;&gt;$B814)),"ID LISTS UNALIGNED",and($A815&lt;&gt;"",countif('3) Release_Label'!$D:$D,$A815)=0),"NO UPC MATCH in Release_Label",and($B815&lt;&gt;"",countif('3) Release_Label'!$E:$E,$B815)=0),"NO CATALOG ID MATCH in Release_Label",iserror(vlookup($A815&amp;$B815,'3) Release_Label'!$D:$D&amp;'3) Release_Label'!$E:$E,1,0)),"NO UPC-CATALOG ID pair MATCH in Release_Label" )</f>
        <v/>
      </c>
      <c r="D815" s="121" t="str">
        <f t="array" ref="D815">ifs(and(isblank($A815),isblank($B815)),"", not(iserror(vlookup($A815&amp;$B815,'3) Release_Label'!$D:$D&amp;'3) Release_Label'!$E:$E,1,0))),vlookup($A815&amp;$B815,{'3) Release_Label'!$D:$D&amp;'3) Release_Label'!$E:$E,'3) Release_Label'!$H:$H},2,0), or(and(not(isblank($B815)),$B815=$B814,$A815&lt;&gt;$A814),and(not(isblank($A815)),$A815=$A814,$B815&lt;&gt;$B814)),"ID LISTS UNALIGNED",and($A815&lt;&gt;"",countif('3) Release_Label'!$D:$D,$A815)=0),"NO UPC MATCH in Release_Label",and($B815&lt;&gt;"",countif('3) Release_Label'!$E:$E,$B815)=0),"NO CATALOG ID MATCH in Release_Label",iserror(vlookup($A815&amp;$B815,'3) Release_Label'!$D:$D&amp;'3) Release_Label'!$E:$E,1,0)),"NO UPC-CATALOG ID pair MATCH in Release_Label" )</f>
        <v/>
      </c>
      <c r="E815" s="92"/>
      <c r="F815" s="92"/>
      <c r="G815" s="125" t="str">
        <f t="array" ref="G815">ifs(or($F815="",$F815="Main Primary Artist"),$F815,not(iserror(vlookup($F815,'Reference info'!$J$5:$J$8,1,0))),"Key Artist",not(iserror(vlookup($F815,'Reference info'!$J$38:$J$405,1,0))),"Performer",not(iserror(vlookup($F815,'Reference info'!$J$10:$J$36,1,0))),"Producer &amp; Engineer")</f>
        <v/>
      </c>
    </row>
    <row r="816">
      <c r="A816" s="28"/>
      <c r="B816" s="97"/>
      <c r="C816" s="121" t="str">
        <f t="array" ref="C816">ifs(and(isblank($A816),isblank($B816)),"", not(iserror(vlookup($A816&amp;$B816,'3) Release_Label'!$D:$D&amp;'3) Release_Label'!$E:$E,1,0))),vlookup($A816&amp;$B816,{'3) Release_Label'!$D:$D&amp;'3) Release_Label'!$E:$E,'3) Release_Label'!$F:$F},2,0), or(and(not(isblank($B816)),$B816=$B815,$A816&lt;&gt;$A815),and(not(isblank($A816)),$A816=$A815,$B816&lt;&gt;$B815)),"ID LISTS UNALIGNED",and($A816&lt;&gt;"",countif('3) Release_Label'!$D:$D,$A816)=0),"NO UPC MATCH in Release_Label",and($B816&lt;&gt;"",countif('3) Release_Label'!$E:$E,$B816)=0),"NO CATALOG ID MATCH in Release_Label",iserror(vlookup($A816&amp;$B816,'3) Release_Label'!$D:$D&amp;'3) Release_Label'!$E:$E,1,0)),"NO UPC-CATALOG ID pair MATCH in Release_Label" )</f>
        <v/>
      </c>
      <c r="D816" s="121" t="str">
        <f t="array" ref="D816">ifs(and(isblank($A816),isblank($B816)),"", not(iserror(vlookup($A816&amp;$B816,'3) Release_Label'!$D:$D&amp;'3) Release_Label'!$E:$E,1,0))),vlookup($A816&amp;$B816,{'3) Release_Label'!$D:$D&amp;'3) Release_Label'!$E:$E,'3) Release_Label'!$H:$H},2,0), or(and(not(isblank($B816)),$B816=$B815,$A816&lt;&gt;$A815),and(not(isblank($A816)),$A816=$A815,$B816&lt;&gt;$B815)),"ID LISTS UNALIGNED",and($A816&lt;&gt;"",countif('3) Release_Label'!$D:$D,$A816)=0),"NO UPC MATCH in Release_Label",and($B816&lt;&gt;"",countif('3) Release_Label'!$E:$E,$B816)=0),"NO CATALOG ID MATCH in Release_Label",iserror(vlookup($A816&amp;$B816,'3) Release_Label'!$D:$D&amp;'3) Release_Label'!$E:$E,1,0)),"NO UPC-CATALOG ID pair MATCH in Release_Label" )</f>
        <v/>
      </c>
      <c r="E816" s="92"/>
      <c r="F816" s="92"/>
      <c r="G816" s="125" t="str">
        <f t="array" ref="G816">ifs(or($F816="",$F816="Main Primary Artist"),$F816,not(iserror(vlookup($F816,'Reference info'!$J$5:$J$8,1,0))),"Key Artist",not(iserror(vlookup($F816,'Reference info'!$J$38:$J$405,1,0))),"Performer",not(iserror(vlookup($F816,'Reference info'!$J$10:$J$36,1,0))),"Producer &amp; Engineer")</f>
        <v/>
      </c>
    </row>
    <row r="817">
      <c r="A817" s="28"/>
      <c r="B817" s="97"/>
      <c r="C817" s="121" t="str">
        <f t="array" ref="C817">ifs(and(isblank($A817),isblank($B817)),"", not(iserror(vlookup($A817&amp;$B817,'3) Release_Label'!$D:$D&amp;'3) Release_Label'!$E:$E,1,0))),vlookup($A817&amp;$B817,{'3) Release_Label'!$D:$D&amp;'3) Release_Label'!$E:$E,'3) Release_Label'!$F:$F},2,0), or(and(not(isblank($B817)),$B817=$B816,$A817&lt;&gt;$A816),and(not(isblank($A817)),$A817=$A816,$B817&lt;&gt;$B816)),"ID LISTS UNALIGNED",and($A817&lt;&gt;"",countif('3) Release_Label'!$D:$D,$A817)=0),"NO UPC MATCH in Release_Label",and($B817&lt;&gt;"",countif('3) Release_Label'!$E:$E,$B817)=0),"NO CATALOG ID MATCH in Release_Label",iserror(vlookup($A817&amp;$B817,'3) Release_Label'!$D:$D&amp;'3) Release_Label'!$E:$E,1,0)),"NO UPC-CATALOG ID pair MATCH in Release_Label" )</f>
        <v/>
      </c>
      <c r="D817" s="121" t="str">
        <f t="array" ref="D817">ifs(and(isblank($A817),isblank($B817)),"", not(iserror(vlookup($A817&amp;$B817,'3) Release_Label'!$D:$D&amp;'3) Release_Label'!$E:$E,1,0))),vlookup($A817&amp;$B817,{'3) Release_Label'!$D:$D&amp;'3) Release_Label'!$E:$E,'3) Release_Label'!$H:$H},2,0), or(and(not(isblank($B817)),$B817=$B816,$A817&lt;&gt;$A816),and(not(isblank($A817)),$A817=$A816,$B817&lt;&gt;$B816)),"ID LISTS UNALIGNED",and($A817&lt;&gt;"",countif('3) Release_Label'!$D:$D,$A817)=0),"NO UPC MATCH in Release_Label",and($B817&lt;&gt;"",countif('3) Release_Label'!$E:$E,$B817)=0),"NO CATALOG ID MATCH in Release_Label",iserror(vlookup($A817&amp;$B817,'3) Release_Label'!$D:$D&amp;'3) Release_Label'!$E:$E,1,0)),"NO UPC-CATALOG ID pair MATCH in Release_Label" )</f>
        <v/>
      </c>
      <c r="E817" s="92"/>
      <c r="F817" s="92"/>
      <c r="G817" s="125" t="str">
        <f t="array" ref="G817">ifs(or($F817="",$F817="Main Primary Artist"),$F817,not(iserror(vlookup($F817,'Reference info'!$J$5:$J$8,1,0))),"Key Artist",not(iserror(vlookup($F817,'Reference info'!$J$38:$J$405,1,0))),"Performer",not(iserror(vlookup($F817,'Reference info'!$J$10:$J$36,1,0))),"Producer &amp; Engineer")</f>
        <v/>
      </c>
    </row>
    <row r="818">
      <c r="A818" s="28"/>
      <c r="B818" s="97"/>
      <c r="C818" s="121" t="str">
        <f t="array" ref="C818">ifs(and(isblank($A818),isblank($B818)),"", not(iserror(vlookup($A818&amp;$B818,'3) Release_Label'!$D:$D&amp;'3) Release_Label'!$E:$E,1,0))),vlookup($A818&amp;$B818,{'3) Release_Label'!$D:$D&amp;'3) Release_Label'!$E:$E,'3) Release_Label'!$F:$F},2,0), or(and(not(isblank($B818)),$B818=$B817,$A818&lt;&gt;$A817),and(not(isblank($A818)),$A818=$A817,$B818&lt;&gt;$B817)),"ID LISTS UNALIGNED",and($A818&lt;&gt;"",countif('3) Release_Label'!$D:$D,$A818)=0),"NO UPC MATCH in Release_Label",and($B818&lt;&gt;"",countif('3) Release_Label'!$E:$E,$B818)=0),"NO CATALOG ID MATCH in Release_Label",iserror(vlookup($A818&amp;$B818,'3) Release_Label'!$D:$D&amp;'3) Release_Label'!$E:$E,1,0)),"NO UPC-CATALOG ID pair MATCH in Release_Label" )</f>
        <v/>
      </c>
      <c r="D818" s="121" t="str">
        <f t="array" ref="D818">ifs(and(isblank($A818),isblank($B818)),"", not(iserror(vlookup($A818&amp;$B818,'3) Release_Label'!$D:$D&amp;'3) Release_Label'!$E:$E,1,0))),vlookup($A818&amp;$B818,{'3) Release_Label'!$D:$D&amp;'3) Release_Label'!$E:$E,'3) Release_Label'!$H:$H},2,0), or(and(not(isblank($B818)),$B818=$B817,$A818&lt;&gt;$A817),and(not(isblank($A818)),$A818=$A817,$B818&lt;&gt;$B817)),"ID LISTS UNALIGNED",and($A818&lt;&gt;"",countif('3) Release_Label'!$D:$D,$A818)=0),"NO UPC MATCH in Release_Label",and($B818&lt;&gt;"",countif('3) Release_Label'!$E:$E,$B818)=0),"NO CATALOG ID MATCH in Release_Label",iserror(vlookup($A818&amp;$B818,'3) Release_Label'!$D:$D&amp;'3) Release_Label'!$E:$E,1,0)),"NO UPC-CATALOG ID pair MATCH in Release_Label" )</f>
        <v/>
      </c>
      <c r="E818" s="92"/>
      <c r="F818" s="92"/>
      <c r="G818" s="125" t="str">
        <f t="array" ref="G818">ifs(or($F818="",$F818="Main Primary Artist"),$F818,not(iserror(vlookup($F818,'Reference info'!$J$5:$J$8,1,0))),"Key Artist",not(iserror(vlookup($F818,'Reference info'!$J$38:$J$405,1,0))),"Performer",not(iserror(vlookup($F818,'Reference info'!$J$10:$J$36,1,0))),"Producer &amp; Engineer")</f>
        <v/>
      </c>
    </row>
    <row r="819">
      <c r="A819" s="28"/>
      <c r="B819" s="97"/>
      <c r="C819" s="121" t="str">
        <f t="array" ref="C819">ifs(and(isblank($A819),isblank($B819)),"", not(iserror(vlookup($A819&amp;$B819,'3) Release_Label'!$D:$D&amp;'3) Release_Label'!$E:$E,1,0))),vlookup($A819&amp;$B819,{'3) Release_Label'!$D:$D&amp;'3) Release_Label'!$E:$E,'3) Release_Label'!$F:$F},2,0), or(and(not(isblank($B819)),$B819=$B818,$A819&lt;&gt;$A818),and(not(isblank($A819)),$A819=$A818,$B819&lt;&gt;$B818)),"ID LISTS UNALIGNED",and($A819&lt;&gt;"",countif('3) Release_Label'!$D:$D,$A819)=0),"NO UPC MATCH in Release_Label",and($B819&lt;&gt;"",countif('3) Release_Label'!$E:$E,$B819)=0),"NO CATALOG ID MATCH in Release_Label",iserror(vlookup($A819&amp;$B819,'3) Release_Label'!$D:$D&amp;'3) Release_Label'!$E:$E,1,0)),"NO UPC-CATALOG ID pair MATCH in Release_Label" )</f>
        <v/>
      </c>
      <c r="D819" s="121" t="str">
        <f t="array" ref="D819">ifs(and(isblank($A819),isblank($B819)),"", not(iserror(vlookup($A819&amp;$B819,'3) Release_Label'!$D:$D&amp;'3) Release_Label'!$E:$E,1,0))),vlookup($A819&amp;$B819,{'3) Release_Label'!$D:$D&amp;'3) Release_Label'!$E:$E,'3) Release_Label'!$H:$H},2,0), or(and(not(isblank($B819)),$B819=$B818,$A819&lt;&gt;$A818),and(not(isblank($A819)),$A819=$A818,$B819&lt;&gt;$B818)),"ID LISTS UNALIGNED",and($A819&lt;&gt;"",countif('3) Release_Label'!$D:$D,$A819)=0),"NO UPC MATCH in Release_Label",and($B819&lt;&gt;"",countif('3) Release_Label'!$E:$E,$B819)=0),"NO CATALOG ID MATCH in Release_Label",iserror(vlookup($A819&amp;$B819,'3) Release_Label'!$D:$D&amp;'3) Release_Label'!$E:$E,1,0)),"NO UPC-CATALOG ID pair MATCH in Release_Label" )</f>
        <v/>
      </c>
      <c r="E819" s="92"/>
      <c r="F819" s="92"/>
      <c r="G819" s="125" t="str">
        <f t="array" ref="G819">ifs(or($F819="",$F819="Main Primary Artist"),$F819,not(iserror(vlookup($F819,'Reference info'!$J$5:$J$8,1,0))),"Key Artist",not(iserror(vlookup($F819,'Reference info'!$J$38:$J$405,1,0))),"Performer",not(iserror(vlookup($F819,'Reference info'!$J$10:$J$36,1,0))),"Producer &amp; Engineer")</f>
        <v/>
      </c>
    </row>
    <row r="820">
      <c r="A820" s="28"/>
      <c r="B820" s="97"/>
      <c r="C820" s="121" t="str">
        <f t="array" ref="C820">ifs(and(isblank($A820),isblank($B820)),"", not(iserror(vlookup($A820&amp;$B820,'3) Release_Label'!$D:$D&amp;'3) Release_Label'!$E:$E,1,0))),vlookup($A820&amp;$B820,{'3) Release_Label'!$D:$D&amp;'3) Release_Label'!$E:$E,'3) Release_Label'!$F:$F},2,0), or(and(not(isblank($B820)),$B820=$B819,$A820&lt;&gt;$A819),and(not(isblank($A820)),$A820=$A819,$B820&lt;&gt;$B819)),"ID LISTS UNALIGNED",and($A820&lt;&gt;"",countif('3) Release_Label'!$D:$D,$A820)=0),"NO UPC MATCH in Release_Label",and($B820&lt;&gt;"",countif('3) Release_Label'!$E:$E,$B820)=0),"NO CATALOG ID MATCH in Release_Label",iserror(vlookup($A820&amp;$B820,'3) Release_Label'!$D:$D&amp;'3) Release_Label'!$E:$E,1,0)),"NO UPC-CATALOG ID pair MATCH in Release_Label" )</f>
        <v/>
      </c>
      <c r="D820" s="121" t="str">
        <f t="array" ref="D820">ifs(and(isblank($A820),isblank($B820)),"", not(iserror(vlookup($A820&amp;$B820,'3) Release_Label'!$D:$D&amp;'3) Release_Label'!$E:$E,1,0))),vlookup($A820&amp;$B820,{'3) Release_Label'!$D:$D&amp;'3) Release_Label'!$E:$E,'3) Release_Label'!$H:$H},2,0), or(and(not(isblank($B820)),$B820=$B819,$A820&lt;&gt;$A819),and(not(isblank($A820)),$A820=$A819,$B820&lt;&gt;$B819)),"ID LISTS UNALIGNED",and($A820&lt;&gt;"",countif('3) Release_Label'!$D:$D,$A820)=0),"NO UPC MATCH in Release_Label",and($B820&lt;&gt;"",countif('3) Release_Label'!$E:$E,$B820)=0),"NO CATALOG ID MATCH in Release_Label",iserror(vlookup($A820&amp;$B820,'3) Release_Label'!$D:$D&amp;'3) Release_Label'!$E:$E,1,0)),"NO UPC-CATALOG ID pair MATCH in Release_Label" )</f>
        <v/>
      </c>
      <c r="E820" s="92"/>
      <c r="F820" s="92"/>
      <c r="G820" s="125" t="str">
        <f t="array" ref="G820">ifs(or($F820="",$F820="Main Primary Artist"),$F820,not(iserror(vlookup($F820,'Reference info'!$J$5:$J$8,1,0))),"Key Artist",not(iserror(vlookup($F820,'Reference info'!$J$38:$J$405,1,0))),"Performer",not(iserror(vlookup($F820,'Reference info'!$J$10:$J$36,1,0))),"Producer &amp; Engineer")</f>
        <v/>
      </c>
    </row>
    <row r="821">
      <c r="A821" s="28"/>
      <c r="B821" s="97"/>
      <c r="C821" s="121" t="str">
        <f t="array" ref="C821">ifs(and(isblank($A821),isblank($B821)),"", not(iserror(vlookup($A821&amp;$B821,'3) Release_Label'!$D:$D&amp;'3) Release_Label'!$E:$E,1,0))),vlookup($A821&amp;$B821,{'3) Release_Label'!$D:$D&amp;'3) Release_Label'!$E:$E,'3) Release_Label'!$F:$F},2,0), or(and(not(isblank($B821)),$B821=$B820,$A821&lt;&gt;$A820),and(not(isblank($A821)),$A821=$A820,$B821&lt;&gt;$B820)),"ID LISTS UNALIGNED",and($A821&lt;&gt;"",countif('3) Release_Label'!$D:$D,$A821)=0),"NO UPC MATCH in Release_Label",and($B821&lt;&gt;"",countif('3) Release_Label'!$E:$E,$B821)=0),"NO CATALOG ID MATCH in Release_Label",iserror(vlookup($A821&amp;$B821,'3) Release_Label'!$D:$D&amp;'3) Release_Label'!$E:$E,1,0)),"NO UPC-CATALOG ID pair MATCH in Release_Label" )</f>
        <v/>
      </c>
      <c r="D821" s="121" t="str">
        <f t="array" ref="D821">ifs(and(isblank($A821),isblank($B821)),"", not(iserror(vlookup($A821&amp;$B821,'3) Release_Label'!$D:$D&amp;'3) Release_Label'!$E:$E,1,0))),vlookup($A821&amp;$B821,{'3) Release_Label'!$D:$D&amp;'3) Release_Label'!$E:$E,'3) Release_Label'!$H:$H},2,0), or(and(not(isblank($B821)),$B821=$B820,$A821&lt;&gt;$A820),and(not(isblank($A821)),$A821=$A820,$B821&lt;&gt;$B820)),"ID LISTS UNALIGNED",and($A821&lt;&gt;"",countif('3) Release_Label'!$D:$D,$A821)=0),"NO UPC MATCH in Release_Label",and($B821&lt;&gt;"",countif('3) Release_Label'!$E:$E,$B821)=0),"NO CATALOG ID MATCH in Release_Label",iserror(vlookup($A821&amp;$B821,'3) Release_Label'!$D:$D&amp;'3) Release_Label'!$E:$E,1,0)),"NO UPC-CATALOG ID pair MATCH in Release_Label" )</f>
        <v/>
      </c>
      <c r="E821" s="92"/>
      <c r="F821" s="92"/>
      <c r="G821" s="125" t="str">
        <f t="array" ref="G821">ifs(or($F821="",$F821="Main Primary Artist"),$F821,not(iserror(vlookup($F821,'Reference info'!$J$5:$J$8,1,0))),"Key Artist",not(iserror(vlookup($F821,'Reference info'!$J$38:$J$405,1,0))),"Performer",not(iserror(vlookup($F821,'Reference info'!$J$10:$J$36,1,0))),"Producer &amp; Engineer")</f>
        <v/>
      </c>
    </row>
    <row r="822">
      <c r="A822" s="28"/>
      <c r="B822" s="97"/>
      <c r="C822" s="121" t="str">
        <f t="array" ref="C822">ifs(and(isblank($A822),isblank($B822)),"", not(iserror(vlookup($A822&amp;$B822,'3) Release_Label'!$D:$D&amp;'3) Release_Label'!$E:$E,1,0))),vlookup($A822&amp;$B822,{'3) Release_Label'!$D:$D&amp;'3) Release_Label'!$E:$E,'3) Release_Label'!$F:$F},2,0), or(and(not(isblank($B822)),$B822=$B821,$A822&lt;&gt;$A821),and(not(isblank($A822)),$A822=$A821,$B822&lt;&gt;$B821)),"ID LISTS UNALIGNED",and($A822&lt;&gt;"",countif('3) Release_Label'!$D:$D,$A822)=0),"NO UPC MATCH in Release_Label",and($B822&lt;&gt;"",countif('3) Release_Label'!$E:$E,$B822)=0),"NO CATALOG ID MATCH in Release_Label",iserror(vlookup($A822&amp;$B822,'3) Release_Label'!$D:$D&amp;'3) Release_Label'!$E:$E,1,0)),"NO UPC-CATALOG ID pair MATCH in Release_Label" )</f>
        <v/>
      </c>
      <c r="D822" s="121" t="str">
        <f t="array" ref="D822">ifs(and(isblank($A822),isblank($B822)),"", not(iserror(vlookup($A822&amp;$B822,'3) Release_Label'!$D:$D&amp;'3) Release_Label'!$E:$E,1,0))),vlookup($A822&amp;$B822,{'3) Release_Label'!$D:$D&amp;'3) Release_Label'!$E:$E,'3) Release_Label'!$H:$H},2,0), or(and(not(isblank($B822)),$B822=$B821,$A822&lt;&gt;$A821),and(not(isblank($A822)),$A822=$A821,$B822&lt;&gt;$B821)),"ID LISTS UNALIGNED",and($A822&lt;&gt;"",countif('3) Release_Label'!$D:$D,$A822)=0),"NO UPC MATCH in Release_Label",and($B822&lt;&gt;"",countif('3) Release_Label'!$E:$E,$B822)=0),"NO CATALOG ID MATCH in Release_Label",iserror(vlookup($A822&amp;$B822,'3) Release_Label'!$D:$D&amp;'3) Release_Label'!$E:$E,1,0)),"NO UPC-CATALOG ID pair MATCH in Release_Label" )</f>
        <v/>
      </c>
      <c r="E822" s="92"/>
      <c r="F822" s="92"/>
      <c r="G822" s="125" t="str">
        <f t="array" ref="G822">ifs(or($F822="",$F822="Main Primary Artist"),$F822,not(iserror(vlookup($F822,'Reference info'!$J$5:$J$8,1,0))),"Key Artist",not(iserror(vlookup($F822,'Reference info'!$J$38:$J$405,1,0))),"Performer",not(iserror(vlookup($F822,'Reference info'!$J$10:$J$36,1,0))),"Producer &amp; Engineer")</f>
        <v/>
      </c>
    </row>
    <row r="823">
      <c r="A823" s="28"/>
      <c r="B823" s="97"/>
      <c r="C823" s="121" t="str">
        <f t="array" ref="C823">ifs(and(isblank($A823),isblank($B823)),"", not(iserror(vlookup($A823&amp;$B823,'3) Release_Label'!$D:$D&amp;'3) Release_Label'!$E:$E,1,0))),vlookup($A823&amp;$B823,{'3) Release_Label'!$D:$D&amp;'3) Release_Label'!$E:$E,'3) Release_Label'!$F:$F},2,0), or(and(not(isblank($B823)),$B823=$B822,$A823&lt;&gt;$A822),and(not(isblank($A823)),$A823=$A822,$B823&lt;&gt;$B822)),"ID LISTS UNALIGNED",and($A823&lt;&gt;"",countif('3) Release_Label'!$D:$D,$A823)=0),"NO UPC MATCH in Release_Label",and($B823&lt;&gt;"",countif('3) Release_Label'!$E:$E,$B823)=0),"NO CATALOG ID MATCH in Release_Label",iserror(vlookup($A823&amp;$B823,'3) Release_Label'!$D:$D&amp;'3) Release_Label'!$E:$E,1,0)),"NO UPC-CATALOG ID pair MATCH in Release_Label" )</f>
        <v/>
      </c>
      <c r="D823" s="121" t="str">
        <f t="array" ref="D823">ifs(and(isblank($A823),isblank($B823)),"", not(iserror(vlookup($A823&amp;$B823,'3) Release_Label'!$D:$D&amp;'3) Release_Label'!$E:$E,1,0))),vlookup($A823&amp;$B823,{'3) Release_Label'!$D:$D&amp;'3) Release_Label'!$E:$E,'3) Release_Label'!$H:$H},2,0), or(and(not(isblank($B823)),$B823=$B822,$A823&lt;&gt;$A822),and(not(isblank($A823)),$A823=$A822,$B823&lt;&gt;$B822)),"ID LISTS UNALIGNED",and($A823&lt;&gt;"",countif('3) Release_Label'!$D:$D,$A823)=0),"NO UPC MATCH in Release_Label",and($B823&lt;&gt;"",countif('3) Release_Label'!$E:$E,$B823)=0),"NO CATALOG ID MATCH in Release_Label",iserror(vlookup($A823&amp;$B823,'3) Release_Label'!$D:$D&amp;'3) Release_Label'!$E:$E,1,0)),"NO UPC-CATALOG ID pair MATCH in Release_Label" )</f>
        <v/>
      </c>
      <c r="E823" s="92"/>
      <c r="F823" s="92"/>
      <c r="G823" s="125" t="str">
        <f t="array" ref="G823">ifs(or($F823="",$F823="Main Primary Artist"),$F823,not(iserror(vlookup($F823,'Reference info'!$J$5:$J$8,1,0))),"Key Artist",not(iserror(vlookup($F823,'Reference info'!$J$38:$J$405,1,0))),"Performer",not(iserror(vlookup($F823,'Reference info'!$J$10:$J$36,1,0))),"Producer &amp; Engineer")</f>
        <v/>
      </c>
    </row>
    <row r="824">
      <c r="A824" s="28"/>
      <c r="B824" s="97"/>
      <c r="C824" s="121" t="str">
        <f t="array" ref="C824">ifs(and(isblank($A824),isblank($B824)),"", not(iserror(vlookup($A824&amp;$B824,'3) Release_Label'!$D:$D&amp;'3) Release_Label'!$E:$E,1,0))),vlookup($A824&amp;$B824,{'3) Release_Label'!$D:$D&amp;'3) Release_Label'!$E:$E,'3) Release_Label'!$F:$F},2,0), or(and(not(isblank($B824)),$B824=$B823,$A824&lt;&gt;$A823),and(not(isblank($A824)),$A824=$A823,$B824&lt;&gt;$B823)),"ID LISTS UNALIGNED",and($A824&lt;&gt;"",countif('3) Release_Label'!$D:$D,$A824)=0),"NO UPC MATCH in Release_Label",and($B824&lt;&gt;"",countif('3) Release_Label'!$E:$E,$B824)=0),"NO CATALOG ID MATCH in Release_Label",iserror(vlookup($A824&amp;$B824,'3) Release_Label'!$D:$D&amp;'3) Release_Label'!$E:$E,1,0)),"NO UPC-CATALOG ID pair MATCH in Release_Label" )</f>
        <v/>
      </c>
      <c r="D824" s="121" t="str">
        <f t="array" ref="D824">ifs(and(isblank($A824),isblank($B824)),"", not(iserror(vlookup($A824&amp;$B824,'3) Release_Label'!$D:$D&amp;'3) Release_Label'!$E:$E,1,0))),vlookup($A824&amp;$B824,{'3) Release_Label'!$D:$D&amp;'3) Release_Label'!$E:$E,'3) Release_Label'!$H:$H},2,0), or(and(not(isblank($B824)),$B824=$B823,$A824&lt;&gt;$A823),and(not(isblank($A824)),$A824=$A823,$B824&lt;&gt;$B823)),"ID LISTS UNALIGNED",and($A824&lt;&gt;"",countif('3) Release_Label'!$D:$D,$A824)=0),"NO UPC MATCH in Release_Label",and($B824&lt;&gt;"",countif('3) Release_Label'!$E:$E,$B824)=0),"NO CATALOG ID MATCH in Release_Label",iserror(vlookup($A824&amp;$B824,'3) Release_Label'!$D:$D&amp;'3) Release_Label'!$E:$E,1,0)),"NO UPC-CATALOG ID pair MATCH in Release_Label" )</f>
        <v/>
      </c>
      <c r="E824" s="92"/>
      <c r="F824" s="92"/>
      <c r="G824" s="125" t="str">
        <f t="array" ref="G824">ifs(or($F824="",$F824="Main Primary Artist"),$F824,not(iserror(vlookup($F824,'Reference info'!$J$5:$J$8,1,0))),"Key Artist",not(iserror(vlookup($F824,'Reference info'!$J$38:$J$405,1,0))),"Performer",not(iserror(vlookup($F824,'Reference info'!$J$10:$J$36,1,0))),"Producer &amp; Engineer")</f>
        <v/>
      </c>
    </row>
    <row r="825">
      <c r="A825" s="28"/>
      <c r="B825" s="97"/>
      <c r="C825" s="121" t="str">
        <f t="array" ref="C825">ifs(and(isblank($A825),isblank($B825)),"", not(iserror(vlookup($A825&amp;$B825,'3) Release_Label'!$D:$D&amp;'3) Release_Label'!$E:$E,1,0))),vlookup($A825&amp;$B825,{'3) Release_Label'!$D:$D&amp;'3) Release_Label'!$E:$E,'3) Release_Label'!$F:$F},2,0), or(and(not(isblank($B825)),$B825=$B824,$A825&lt;&gt;$A824),and(not(isblank($A825)),$A825=$A824,$B825&lt;&gt;$B824)),"ID LISTS UNALIGNED",and($A825&lt;&gt;"",countif('3) Release_Label'!$D:$D,$A825)=0),"NO UPC MATCH in Release_Label",and($B825&lt;&gt;"",countif('3) Release_Label'!$E:$E,$B825)=0),"NO CATALOG ID MATCH in Release_Label",iserror(vlookup($A825&amp;$B825,'3) Release_Label'!$D:$D&amp;'3) Release_Label'!$E:$E,1,0)),"NO UPC-CATALOG ID pair MATCH in Release_Label" )</f>
        <v/>
      </c>
      <c r="D825" s="121" t="str">
        <f t="array" ref="D825">ifs(and(isblank($A825),isblank($B825)),"", not(iserror(vlookup($A825&amp;$B825,'3) Release_Label'!$D:$D&amp;'3) Release_Label'!$E:$E,1,0))),vlookup($A825&amp;$B825,{'3) Release_Label'!$D:$D&amp;'3) Release_Label'!$E:$E,'3) Release_Label'!$H:$H},2,0), or(and(not(isblank($B825)),$B825=$B824,$A825&lt;&gt;$A824),and(not(isblank($A825)),$A825=$A824,$B825&lt;&gt;$B824)),"ID LISTS UNALIGNED",and($A825&lt;&gt;"",countif('3) Release_Label'!$D:$D,$A825)=0),"NO UPC MATCH in Release_Label",and($B825&lt;&gt;"",countif('3) Release_Label'!$E:$E,$B825)=0),"NO CATALOG ID MATCH in Release_Label",iserror(vlookup($A825&amp;$B825,'3) Release_Label'!$D:$D&amp;'3) Release_Label'!$E:$E,1,0)),"NO UPC-CATALOG ID pair MATCH in Release_Label" )</f>
        <v/>
      </c>
      <c r="E825" s="92"/>
      <c r="F825" s="92"/>
      <c r="G825" s="125" t="str">
        <f t="array" ref="G825">ifs(or($F825="",$F825="Main Primary Artist"),$F825,not(iserror(vlookup($F825,'Reference info'!$J$5:$J$8,1,0))),"Key Artist",not(iserror(vlookup($F825,'Reference info'!$J$38:$J$405,1,0))),"Performer",not(iserror(vlookup($F825,'Reference info'!$J$10:$J$36,1,0))),"Producer &amp; Engineer")</f>
        <v/>
      </c>
    </row>
    <row r="826">
      <c r="A826" s="28"/>
      <c r="B826" s="97"/>
      <c r="C826" s="121" t="str">
        <f t="array" ref="C826">ifs(and(isblank($A826),isblank($B826)),"", not(iserror(vlookup($A826&amp;$B826,'3) Release_Label'!$D:$D&amp;'3) Release_Label'!$E:$E,1,0))),vlookup($A826&amp;$B826,{'3) Release_Label'!$D:$D&amp;'3) Release_Label'!$E:$E,'3) Release_Label'!$F:$F},2,0), or(and(not(isblank($B826)),$B826=$B825,$A826&lt;&gt;$A825),and(not(isblank($A826)),$A826=$A825,$B826&lt;&gt;$B825)),"ID LISTS UNALIGNED",and($A826&lt;&gt;"",countif('3) Release_Label'!$D:$D,$A826)=0),"NO UPC MATCH in Release_Label",and($B826&lt;&gt;"",countif('3) Release_Label'!$E:$E,$B826)=0),"NO CATALOG ID MATCH in Release_Label",iserror(vlookup($A826&amp;$B826,'3) Release_Label'!$D:$D&amp;'3) Release_Label'!$E:$E,1,0)),"NO UPC-CATALOG ID pair MATCH in Release_Label" )</f>
        <v/>
      </c>
      <c r="D826" s="121" t="str">
        <f t="array" ref="D826">ifs(and(isblank($A826),isblank($B826)),"", not(iserror(vlookup($A826&amp;$B826,'3) Release_Label'!$D:$D&amp;'3) Release_Label'!$E:$E,1,0))),vlookup($A826&amp;$B826,{'3) Release_Label'!$D:$D&amp;'3) Release_Label'!$E:$E,'3) Release_Label'!$H:$H},2,0), or(and(not(isblank($B826)),$B826=$B825,$A826&lt;&gt;$A825),and(not(isblank($A826)),$A826=$A825,$B826&lt;&gt;$B825)),"ID LISTS UNALIGNED",and($A826&lt;&gt;"",countif('3) Release_Label'!$D:$D,$A826)=0),"NO UPC MATCH in Release_Label",and($B826&lt;&gt;"",countif('3) Release_Label'!$E:$E,$B826)=0),"NO CATALOG ID MATCH in Release_Label",iserror(vlookup($A826&amp;$B826,'3) Release_Label'!$D:$D&amp;'3) Release_Label'!$E:$E,1,0)),"NO UPC-CATALOG ID pair MATCH in Release_Label" )</f>
        <v/>
      </c>
      <c r="E826" s="92"/>
      <c r="F826" s="92"/>
      <c r="G826" s="125" t="str">
        <f t="array" ref="G826">ifs(or($F826="",$F826="Main Primary Artist"),$F826,not(iserror(vlookup($F826,'Reference info'!$J$5:$J$8,1,0))),"Key Artist",not(iserror(vlookup($F826,'Reference info'!$J$38:$J$405,1,0))),"Performer",not(iserror(vlookup($F826,'Reference info'!$J$10:$J$36,1,0))),"Producer &amp; Engineer")</f>
        <v/>
      </c>
    </row>
    <row r="827">
      <c r="A827" s="28"/>
      <c r="B827" s="97"/>
      <c r="C827" s="121" t="str">
        <f t="array" ref="C827">ifs(and(isblank($A827),isblank($B827)),"", not(iserror(vlookup($A827&amp;$B827,'3) Release_Label'!$D:$D&amp;'3) Release_Label'!$E:$E,1,0))),vlookup($A827&amp;$B827,{'3) Release_Label'!$D:$D&amp;'3) Release_Label'!$E:$E,'3) Release_Label'!$F:$F},2,0), or(and(not(isblank($B827)),$B827=$B826,$A827&lt;&gt;$A826),and(not(isblank($A827)),$A827=$A826,$B827&lt;&gt;$B826)),"ID LISTS UNALIGNED",and($A827&lt;&gt;"",countif('3) Release_Label'!$D:$D,$A827)=0),"NO UPC MATCH in Release_Label",and($B827&lt;&gt;"",countif('3) Release_Label'!$E:$E,$B827)=0),"NO CATALOG ID MATCH in Release_Label",iserror(vlookup($A827&amp;$B827,'3) Release_Label'!$D:$D&amp;'3) Release_Label'!$E:$E,1,0)),"NO UPC-CATALOG ID pair MATCH in Release_Label" )</f>
        <v/>
      </c>
      <c r="D827" s="121" t="str">
        <f t="array" ref="D827">ifs(and(isblank($A827),isblank($B827)),"", not(iserror(vlookup($A827&amp;$B827,'3) Release_Label'!$D:$D&amp;'3) Release_Label'!$E:$E,1,0))),vlookup($A827&amp;$B827,{'3) Release_Label'!$D:$D&amp;'3) Release_Label'!$E:$E,'3) Release_Label'!$H:$H},2,0), or(and(not(isblank($B827)),$B827=$B826,$A827&lt;&gt;$A826),and(not(isblank($A827)),$A827=$A826,$B827&lt;&gt;$B826)),"ID LISTS UNALIGNED",and($A827&lt;&gt;"",countif('3) Release_Label'!$D:$D,$A827)=0),"NO UPC MATCH in Release_Label",and($B827&lt;&gt;"",countif('3) Release_Label'!$E:$E,$B827)=0),"NO CATALOG ID MATCH in Release_Label",iserror(vlookup($A827&amp;$B827,'3) Release_Label'!$D:$D&amp;'3) Release_Label'!$E:$E,1,0)),"NO UPC-CATALOG ID pair MATCH in Release_Label" )</f>
        <v/>
      </c>
      <c r="E827" s="92"/>
      <c r="F827" s="92"/>
      <c r="G827" s="125" t="str">
        <f t="array" ref="G827">ifs(or($F827="",$F827="Main Primary Artist"),$F827,not(iserror(vlookup($F827,'Reference info'!$J$5:$J$8,1,0))),"Key Artist",not(iserror(vlookup($F827,'Reference info'!$J$38:$J$405,1,0))),"Performer",not(iserror(vlookup($F827,'Reference info'!$J$10:$J$36,1,0))),"Producer &amp; Engineer")</f>
        <v/>
      </c>
    </row>
    <row r="828">
      <c r="A828" s="28"/>
      <c r="B828" s="97"/>
      <c r="C828" s="121" t="str">
        <f t="array" ref="C828">ifs(and(isblank($A828),isblank($B828)),"", not(iserror(vlookup($A828&amp;$B828,'3) Release_Label'!$D:$D&amp;'3) Release_Label'!$E:$E,1,0))),vlookup($A828&amp;$B828,{'3) Release_Label'!$D:$D&amp;'3) Release_Label'!$E:$E,'3) Release_Label'!$F:$F},2,0), or(and(not(isblank($B828)),$B828=$B827,$A828&lt;&gt;$A827),and(not(isblank($A828)),$A828=$A827,$B828&lt;&gt;$B827)),"ID LISTS UNALIGNED",and($A828&lt;&gt;"",countif('3) Release_Label'!$D:$D,$A828)=0),"NO UPC MATCH in Release_Label",and($B828&lt;&gt;"",countif('3) Release_Label'!$E:$E,$B828)=0),"NO CATALOG ID MATCH in Release_Label",iserror(vlookup($A828&amp;$B828,'3) Release_Label'!$D:$D&amp;'3) Release_Label'!$E:$E,1,0)),"NO UPC-CATALOG ID pair MATCH in Release_Label" )</f>
        <v/>
      </c>
      <c r="D828" s="121" t="str">
        <f t="array" ref="D828">ifs(and(isblank($A828),isblank($B828)),"", not(iserror(vlookup($A828&amp;$B828,'3) Release_Label'!$D:$D&amp;'3) Release_Label'!$E:$E,1,0))),vlookup($A828&amp;$B828,{'3) Release_Label'!$D:$D&amp;'3) Release_Label'!$E:$E,'3) Release_Label'!$H:$H},2,0), or(and(not(isblank($B828)),$B828=$B827,$A828&lt;&gt;$A827),and(not(isblank($A828)),$A828=$A827,$B828&lt;&gt;$B827)),"ID LISTS UNALIGNED",and($A828&lt;&gt;"",countif('3) Release_Label'!$D:$D,$A828)=0),"NO UPC MATCH in Release_Label",and($B828&lt;&gt;"",countif('3) Release_Label'!$E:$E,$B828)=0),"NO CATALOG ID MATCH in Release_Label",iserror(vlookup($A828&amp;$B828,'3) Release_Label'!$D:$D&amp;'3) Release_Label'!$E:$E,1,0)),"NO UPC-CATALOG ID pair MATCH in Release_Label" )</f>
        <v/>
      </c>
      <c r="E828" s="92"/>
      <c r="F828" s="92"/>
      <c r="G828" s="125" t="str">
        <f t="array" ref="G828">ifs(or($F828="",$F828="Main Primary Artist"),$F828,not(iserror(vlookup($F828,'Reference info'!$J$5:$J$8,1,0))),"Key Artist",not(iserror(vlookup($F828,'Reference info'!$J$38:$J$405,1,0))),"Performer",not(iserror(vlookup($F828,'Reference info'!$J$10:$J$36,1,0))),"Producer &amp; Engineer")</f>
        <v/>
      </c>
    </row>
    <row r="829">
      <c r="A829" s="28"/>
      <c r="B829" s="97"/>
      <c r="C829" s="121" t="str">
        <f t="array" ref="C829">ifs(and(isblank($A829),isblank($B829)),"", not(iserror(vlookup($A829&amp;$B829,'3) Release_Label'!$D:$D&amp;'3) Release_Label'!$E:$E,1,0))),vlookup($A829&amp;$B829,{'3) Release_Label'!$D:$D&amp;'3) Release_Label'!$E:$E,'3) Release_Label'!$F:$F},2,0), or(and(not(isblank($B829)),$B829=$B828,$A829&lt;&gt;$A828),and(not(isblank($A829)),$A829=$A828,$B829&lt;&gt;$B828)),"ID LISTS UNALIGNED",and($A829&lt;&gt;"",countif('3) Release_Label'!$D:$D,$A829)=0),"NO UPC MATCH in Release_Label",and($B829&lt;&gt;"",countif('3) Release_Label'!$E:$E,$B829)=0),"NO CATALOG ID MATCH in Release_Label",iserror(vlookup($A829&amp;$B829,'3) Release_Label'!$D:$D&amp;'3) Release_Label'!$E:$E,1,0)),"NO UPC-CATALOG ID pair MATCH in Release_Label" )</f>
        <v/>
      </c>
      <c r="D829" s="121" t="str">
        <f t="array" ref="D829">ifs(and(isblank($A829),isblank($B829)),"", not(iserror(vlookup($A829&amp;$B829,'3) Release_Label'!$D:$D&amp;'3) Release_Label'!$E:$E,1,0))),vlookup($A829&amp;$B829,{'3) Release_Label'!$D:$D&amp;'3) Release_Label'!$E:$E,'3) Release_Label'!$H:$H},2,0), or(and(not(isblank($B829)),$B829=$B828,$A829&lt;&gt;$A828),and(not(isblank($A829)),$A829=$A828,$B829&lt;&gt;$B828)),"ID LISTS UNALIGNED",and($A829&lt;&gt;"",countif('3) Release_Label'!$D:$D,$A829)=0),"NO UPC MATCH in Release_Label",and($B829&lt;&gt;"",countif('3) Release_Label'!$E:$E,$B829)=0),"NO CATALOG ID MATCH in Release_Label",iserror(vlookup($A829&amp;$B829,'3) Release_Label'!$D:$D&amp;'3) Release_Label'!$E:$E,1,0)),"NO UPC-CATALOG ID pair MATCH in Release_Label" )</f>
        <v/>
      </c>
      <c r="E829" s="92"/>
      <c r="F829" s="92"/>
      <c r="G829" s="125" t="str">
        <f t="array" ref="G829">ifs(or($F829="",$F829="Main Primary Artist"),$F829,not(iserror(vlookup($F829,'Reference info'!$J$5:$J$8,1,0))),"Key Artist",not(iserror(vlookup($F829,'Reference info'!$J$38:$J$405,1,0))),"Performer",not(iserror(vlookup($F829,'Reference info'!$J$10:$J$36,1,0))),"Producer &amp; Engineer")</f>
        <v/>
      </c>
    </row>
    <row r="830">
      <c r="A830" s="28"/>
      <c r="B830" s="97"/>
      <c r="C830" s="121" t="str">
        <f t="array" ref="C830">ifs(and(isblank($A830),isblank($B830)),"", not(iserror(vlookup($A830&amp;$B830,'3) Release_Label'!$D:$D&amp;'3) Release_Label'!$E:$E,1,0))),vlookup($A830&amp;$B830,{'3) Release_Label'!$D:$D&amp;'3) Release_Label'!$E:$E,'3) Release_Label'!$F:$F},2,0), or(and(not(isblank($B830)),$B830=$B829,$A830&lt;&gt;$A829),and(not(isblank($A830)),$A830=$A829,$B830&lt;&gt;$B829)),"ID LISTS UNALIGNED",and($A830&lt;&gt;"",countif('3) Release_Label'!$D:$D,$A830)=0),"NO UPC MATCH in Release_Label",and($B830&lt;&gt;"",countif('3) Release_Label'!$E:$E,$B830)=0),"NO CATALOG ID MATCH in Release_Label",iserror(vlookup($A830&amp;$B830,'3) Release_Label'!$D:$D&amp;'3) Release_Label'!$E:$E,1,0)),"NO UPC-CATALOG ID pair MATCH in Release_Label" )</f>
        <v/>
      </c>
      <c r="D830" s="121" t="str">
        <f t="array" ref="D830">ifs(and(isblank($A830),isblank($B830)),"", not(iserror(vlookup($A830&amp;$B830,'3) Release_Label'!$D:$D&amp;'3) Release_Label'!$E:$E,1,0))),vlookup($A830&amp;$B830,{'3) Release_Label'!$D:$D&amp;'3) Release_Label'!$E:$E,'3) Release_Label'!$H:$H},2,0), or(and(not(isblank($B830)),$B830=$B829,$A830&lt;&gt;$A829),and(not(isblank($A830)),$A830=$A829,$B830&lt;&gt;$B829)),"ID LISTS UNALIGNED",and($A830&lt;&gt;"",countif('3) Release_Label'!$D:$D,$A830)=0),"NO UPC MATCH in Release_Label",and($B830&lt;&gt;"",countif('3) Release_Label'!$E:$E,$B830)=0),"NO CATALOG ID MATCH in Release_Label",iserror(vlookup($A830&amp;$B830,'3) Release_Label'!$D:$D&amp;'3) Release_Label'!$E:$E,1,0)),"NO UPC-CATALOG ID pair MATCH in Release_Label" )</f>
        <v/>
      </c>
      <c r="E830" s="92"/>
      <c r="F830" s="92"/>
      <c r="G830" s="125" t="str">
        <f t="array" ref="G830">ifs(or($F830="",$F830="Main Primary Artist"),$F830,not(iserror(vlookup($F830,'Reference info'!$J$5:$J$8,1,0))),"Key Artist",not(iserror(vlookup($F830,'Reference info'!$J$38:$J$405,1,0))),"Performer",not(iserror(vlookup($F830,'Reference info'!$J$10:$J$36,1,0))),"Producer &amp; Engineer")</f>
        <v/>
      </c>
    </row>
    <row r="831">
      <c r="A831" s="28"/>
      <c r="B831" s="97"/>
      <c r="C831" s="121" t="str">
        <f t="array" ref="C831">ifs(and(isblank($A831),isblank($B831)),"", not(iserror(vlookup($A831&amp;$B831,'3) Release_Label'!$D:$D&amp;'3) Release_Label'!$E:$E,1,0))),vlookup($A831&amp;$B831,{'3) Release_Label'!$D:$D&amp;'3) Release_Label'!$E:$E,'3) Release_Label'!$F:$F},2,0), or(and(not(isblank($B831)),$B831=$B830,$A831&lt;&gt;$A830),and(not(isblank($A831)),$A831=$A830,$B831&lt;&gt;$B830)),"ID LISTS UNALIGNED",and($A831&lt;&gt;"",countif('3) Release_Label'!$D:$D,$A831)=0),"NO UPC MATCH in Release_Label",and($B831&lt;&gt;"",countif('3) Release_Label'!$E:$E,$B831)=0),"NO CATALOG ID MATCH in Release_Label",iserror(vlookup($A831&amp;$B831,'3) Release_Label'!$D:$D&amp;'3) Release_Label'!$E:$E,1,0)),"NO UPC-CATALOG ID pair MATCH in Release_Label" )</f>
        <v/>
      </c>
      <c r="D831" s="121" t="str">
        <f t="array" ref="D831">ifs(and(isblank($A831),isblank($B831)),"", not(iserror(vlookup($A831&amp;$B831,'3) Release_Label'!$D:$D&amp;'3) Release_Label'!$E:$E,1,0))),vlookup($A831&amp;$B831,{'3) Release_Label'!$D:$D&amp;'3) Release_Label'!$E:$E,'3) Release_Label'!$H:$H},2,0), or(and(not(isblank($B831)),$B831=$B830,$A831&lt;&gt;$A830),and(not(isblank($A831)),$A831=$A830,$B831&lt;&gt;$B830)),"ID LISTS UNALIGNED",and($A831&lt;&gt;"",countif('3) Release_Label'!$D:$D,$A831)=0),"NO UPC MATCH in Release_Label",and($B831&lt;&gt;"",countif('3) Release_Label'!$E:$E,$B831)=0),"NO CATALOG ID MATCH in Release_Label",iserror(vlookup($A831&amp;$B831,'3) Release_Label'!$D:$D&amp;'3) Release_Label'!$E:$E,1,0)),"NO UPC-CATALOG ID pair MATCH in Release_Label" )</f>
        <v/>
      </c>
      <c r="E831" s="92"/>
      <c r="F831" s="92"/>
      <c r="G831" s="125" t="str">
        <f t="array" ref="G831">ifs(or($F831="",$F831="Main Primary Artist"),$F831,not(iserror(vlookup($F831,'Reference info'!$J$5:$J$8,1,0))),"Key Artist",not(iserror(vlookup($F831,'Reference info'!$J$38:$J$405,1,0))),"Performer",not(iserror(vlookup($F831,'Reference info'!$J$10:$J$36,1,0))),"Producer &amp; Engineer")</f>
        <v/>
      </c>
    </row>
    <row r="832">
      <c r="A832" s="28"/>
      <c r="B832" s="97"/>
      <c r="C832" s="121" t="str">
        <f t="array" ref="C832">ifs(and(isblank($A832),isblank($B832)),"", not(iserror(vlookup($A832&amp;$B832,'3) Release_Label'!$D:$D&amp;'3) Release_Label'!$E:$E,1,0))),vlookup($A832&amp;$B832,{'3) Release_Label'!$D:$D&amp;'3) Release_Label'!$E:$E,'3) Release_Label'!$F:$F},2,0), or(and(not(isblank($B832)),$B832=$B831,$A832&lt;&gt;$A831),and(not(isblank($A832)),$A832=$A831,$B832&lt;&gt;$B831)),"ID LISTS UNALIGNED",and($A832&lt;&gt;"",countif('3) Release_Label'!$D:$D,$A832)=0),"NO UPC MATCH in Release_Label",and($B832&lt;&gt;"",countif('3) Release_Label'!$E:$E,$B832)=0),"NO CATALOG ID MATCH in Release_Label",iserror(vlookup($A832&amp;$B832,'3) Release_Label'!$D:$D&amp;'3) Release_Label'!$E:$E,1,0)),"NO UPC-CATALOG ID pair MATCH in Release_Label" )</f>
        <v/>
      </c>
      <c r="D832" s="121" t="str">
        <f t="array" ref="D832">ifs(and(isblank($A832),isblank($B832)),"", not(iserror(vlookup($A832&amp;$B832,'3) Release_Label'!$D:$D&amp;'3) Release_Label'!$E:$E,1,0))),vlookup($A832&amp;$B832,{'3) Release_Label'!$D:$D&amp;'3) Release_Label'!$E:$E,'3) Release_Label'!$H:$H},2,0), or(and(not(isblank($B832)),$B832=$B831,$A832&lt;&gt;$A831),and(not(isblank($A832)),$A832=$A831,$B832&lt;&gt;$B831)),"ID LISTS UNALIGNED",and($A832&lt;&gt;"",countif('3) Release_Label'!$D:$D,$A832)=0),"NO UPC MATCH in Release_Label",and($B832&lt;&gt;"",countif('3) Release_Label'!$E:$E,$B832)=0),"NO CATALOG ID MATCH in Release_Label",iserror(vlookup($A832&amp;$B832,'3) Release_Label'!$D:$D&amp;'3) Release_Label'!$E:$E,1,0)),"NO UPC-CATALOG ID pair MATCH in Release_Label" )</f>
        <v/>
      </c>
      <c r="E832" s="92"/>
      <c r="F832" s="92"/>
      <c r="G832" s="125" t="str">
        <f t="array" ref="G832">ifs(or($F832="",$F832="Main Primary Artist"),$F832,not(iserror(vlookup($F832,'Reference info'!$J$5:$J$8,1,0))),"Key Artist",not(iserror(vlookup($F832,'Reference info'!$J$38:$J$405,1,0))),"Performer",not(iserror(vlookup($F832,'Reference info'!$J$10:$J$36,1,0))),"Producer &amp; Engineer")</f>
        <v/>
      </c>
    </row>
    <row r="833">
      <c r="A833" s="28"/>
      <c r="B833" s="97"/>
      <c r="C833" s="121" t="str">
        <f t="array" ref="C833">ifs(and(isblank($A833),isblank($B833)),"", not(iserror(vlookup($A833&amp;$B833,'3) Release_Label'!$D:$D&amp;'3) Release_Label'!$E:$E,1,0))),vlookup($A833&amp;$B833,{'3) Release_Label'!$D:$D&amp;'3) Release_Label'!$E:$E,'3) Release_Label'!$F:$F},2,0), or(and(not(isblank($B833)),$B833=$B832,$A833&lt;&gt;$A832),and(not(isblank($A833)),$A833=$A832,$B833&lt;&gt;$B832)),"ID LISTS UNALIGNED",and($A833&lt;&gt;"",countif('3) Release_Label'!$D:$D,$A833)=0),"NO UPC MATCH in Release_Label",and($B833&lt;&gt;"",countif('3) Release_Label'!$E:$E,$B833)=0),"NO CATALOG ID MATCH in Release_Label",iserror(vlookup($A833&amp;$B833,'3) Release_Label'!$D:$D&amp;'3) Release_Label'!$E:$E,1,0)),"NO UPC-CATALOG ID pair MATCH in Release_Label" )</f>
        <v/>
      </c>
      <c r="D833" s="121" t="str">
        <f t="array" ref="D833">ifs(and(isblank($A833),isblank($B833)),"", not(iserror(vlookup($A833&amp;$B833,'3) Release_Label'!$D:$D&amp;'3) Release_Label'!$E:$E,1,0))),vlookup($A833&amp;$B833,{'3) Release_Label'!$D:$D&amp;'3) Release_Label'!$E:$E,'3) Release_Label'!$H:$H},2,0), or(and(not(isblank($B833)),$B833=$B832,$A833&lt;&gt;$A832),and(not(isblank($A833)),$A833=$A832,$B833&lt;&gt;$B832)),"ID LISTS UNALIGNED",and($A833&lt;&gt;"",countif('3) Release_Label'!$D:$D,$A833)=0),"NO UPC MATCH in Release_Label",and($B833&lt;&gt;"",countif('3) Release_Label'!$E:$E,$B833)=0),"NO CATALOG ID MATCH in Release_Label",iserror(vlookup($A833&amp;$B833,'3) Release_Label'!$D:$D&amp;'3) Release_Label'!$E:$E,1,0)),"NO UPC-CATALOG ID pair MATCH in Release_Label" )</f>
        <v/>
      </c>
      <c r="E833" s="92"/>
      <c r="F833" s="92"/>
      <c r="G833" s="125" t="str">
        <f t="array" ref="G833">ifs(or($F833="",$F833="Main Primary Artist"),$F833,not(iserror(vlookup($F833,'Reference info'!$J$5:$J$8,1,0))),"Key Artist",not(iserror(vlookup($F833,'Reference info'!$J$38:$J$405,1,0))),"Performer",not(iserror(vlookup($F833,'Reference info'!$J$10:$J$36,1,0))),"Producer &amp; Engineer")</f>
        <v/>
      </c>
    </row>
    <row r="834">
      <c r="A834" s="28"/>
      <c r="B834" s="97"/>
      <c r="C834" s="121" t="str">
        <f t="array" ref="C834">ifs(and(isblank($A834),isblank($B834)),"", not(iserror(vlookup($A834&amp;$B834,'3) Release_Label'!$D:$D&amp;'3) Release_Label'!$E:$E,1,0))),vlookup($A834&amp;$B834,{'3) Release_Label'!$D:$D&amp;'3) Release_Label'!$E:$E,'3) Release_Label'!$F:$F},2,0), or(and(not(isblank($B834)),$B834=$B833,$A834&lt;&gt;$A833),and(not(isblank($A834)),$A834=$A833,$B834&lt;&gt;$B833)),"ID LISTS UNALIGNED",and($A834&lt;&gt;"",countif('3) Release_Label'!$D:$D,$A834)=0),"NO UPC MATCH in Release_Label",and($B834&lt;&gt;"",countif('3) Release_Label'!$E:$E,$B834)=0),"NO CATALOG ID MATCH in Release_Label",iserror(vlookup($A834&amp;$B834,'3) Release_Label'!$D:$D&amp;'3) Release_Label'!$E:$E,1,0)),"NO UPC-CATALOG ID pair MATCH in Release_Label" )</f>
        <v/>
      </c>
      <c r="D834" s="121" t="str">
        <f t="array" ref="D834">ifs(and(isblank($A834),isblank($B834)),"", not(iserror(vlookup($A834&amp;$B834,'3) Release_Label'!$D:$D&amp;'3) Release_Label'!$E:$E,1,0))),vlookup($A834&amp;$B834,{'3) Release_Label'!$D:$D&amp;'3) Release_Label'!$E:$E,'3) Release_Label'!$H:$H},2,0), or(and(not(isblank($B834)),$B834=$B833,$A834&lt;&gt;$A833),and(not(isblank($A834)),$A834=$A833,$B834&lt;&gt;$B833)),"ID LISTS UNALIGNED",and($A834&lt;&gt;"",countif('3) Release_Label'!$D:$D,$A834)=0),"NO UPC MATCH in Release_Label",and($B834&lt;&gt;"",countif('3) Release_Label'!$E:$E,$B834)=0),"NO CATALOG ID MATCH in Release_Label",iserror(vlookup($A834&amp;$B834,'3) Release_Label'!$D:$D&amp;'3) Release_Label'!$E:$E,1,0)),"NO UPC-CATALOG ID pair MATCH in Release_Label" )</f>
        <v/>
      </c>
      <c r="E834" s="92"/>
      <c r="F834" s="92"/>
      <c r="G834" s="125" t="str">
        <f t="array" ref="G834">ifs(or($F834="",$F834="Main Primary Artist"),$F834,not(iserror(vlookup($F834,'Reference info'!$J$5:$J$8,1,0))),"Key Artist",not(iserror(vlookup($F834,'Reference info'!$J$38:$J$405,1,0))),"Performer",not(iserror(vlookup($F834,'Reference info'!$J$10:$J$36,1,0))),"Producer &amp; Engineer")</f>
        <v/>
      </c>
    </row>
    <row r="835">
      <c r="A835" s="28"/>
      <c r="B835" s="97"/>
      <c r="C835" s="121" t="str">
        <f t="array" ref="C835">ifs(and(isblank($A835),isblank($B835)),"", not(iserror(vlookup($A835&amp;$B835,'3) Release_Label'!$D:$D&amp;'3) Release_Label'!$E:$E,1,0))),vlookup($A835&amp;$B835,{'3) Release_Label'!$D:$D&amp;'3) Release_Label'!$E:$E,'3) Release_Label'!$F:$F},2,0), or(and(not(isblank($B835)),$B835=$B834,$A835&lt;&gt;$A834),and(not(isblank($A835)),$A835=$A834,$B835&lt;&gt;$B834)),"ID LISTS UNALIGNED",and($A835&lt;&gt;"",countif('3) Release_Label'!$D:$D,$A835)=0),"NO UPC MATCH in Release_Label",and($B835&lt;&gt;"",countif('3) Release_Label'!$E:$E,$B835)=0),"NO CATALOG ID MATCH in Release_Label",iserror(vlookup($A835&amp;$B835,'3) Release_Label'!$D:$D&amp;'3) Release_Label'!$E:$E,1,0)),"NO UPC-CATALOG ID pair MATCH in Release_Label" )</f>
        <v/>
      </c>
      <c r="D835" s="121" t="str">
        <f t="array" ref="D835">ifs(and(isblank($A835),isblank($B835)),"", not(iserror(vlookup($A835&amp;$B835,'3) Release_Label'!$D:$D&amp;'3) Release_Label'!$E:$E,1,0))),vlookup($A835&amp;$B835,{'3) Release_Label'!$D:$D&amp;'3) Release_Label'!$E:$E,'3) Release_Label'!$H:$H},2,0), or(and(not(isblank($B835)),$B835=$B834,$A835&lt;&gt;$A834),and(not(isblank($A835)),$A835=$A834,$B835&lt;&gt;$B834)),"ID LISTS UNALIGNED",and($A835&lt;&gt;"",countif('3) Release_Label'!$D:$D,$A835)=0),"NO UPC MATCH in Release_Label",and($B835&lt;&gt;"",countif('3) Release_Label'!$E:$E,$B835)=0),"NO CATALOG ID MATCH in Release_Label",iserror(vlookup($A835&amp;$B835,'3) Release_Label'!$D:$D&amp;'3) Release_Label'!$E:$E,1,0)),"NO UPC-CATALOG ID pair MATCH in Release_Label" )</f>
        <v/>
      </c>
      <c r="E835" s="92"/>
      <c r="F835" s="92"/>
      <c r="G835" s="125" t="str">
        <f t="array" ref="G835">ifs(or($F835="",$F835="Main Primary Artist"),$F835,not(iserror(vlookup($F835,'Reference info'!$J$5:$J$8,1,0))),"Key Artist",not(iserror(vlookup($F835,'Reference info'!$J$38:$J$405,1,0))),"Performer",not(iserror(vlookup($F835,'Reference info'!$J$10:$J$36,1,0))),"Producer &amp; Engineer")</f>
        <v/>
      </c>
    </row>
    <row r="836">
      <c r="A836" s="28"/>
      <c r="B836" s="97"/>
      <c r="C836" s="121" t="str">
        <f t="array" ref="C836">ifs(and(isblank($A836),isblank($B836)),"", not(iserror(vlookup($A836&amp;$B836,'3) Release_Label'!$D:$D&amp;'3) Release_Label'!$E:$E,1,0))),vlookup($A836&amp;$B836,{'3) Release_Label'!$D:$D&amp;'3) Release_Label'!$E:$E,'3) Release_Label'!$F:$F},2,0), or(and(not(isblank($B836)),$B836=$B835,$A836&lt;&gt;$A835),and(not(isblank($A836)),$A836=$A835,$B836&lt;&gt;$B835)),"ID LISTS UNALIGNED",and($A836&lt;&gt;"",countif('3) Release_Label'!$D:$D,$A836)=0),"NO UPC MATCH in Release_Label",and($B836&lt;&gt;"",countif('3) Release_Label'!$E:$E,$B836)=0),"NO CATALOG ID MATCH in Release_Label",iserror(vlookup($A836&amp;$B836,'3) Release_Label'!$D:$D&amp;'3) Release_Label'!$E:$E,1,0)),"NO UPC-CATALOG ID pair MATCH in Release_Label" )</f>
        <v/>
      </c>
      <c r="D836" s="121" t="str">
        <f t="array" ref="D836">ifs(and(isblank($A836),isblank($B836)),"", not(iserror(vlookup($A836&amp;$B836,'3) Release_Label'!$D:$D&amp;'3) Release_Label'!$E:$E,1,0))),vlookup($A836&amp;$B836,{'3) Release_Label'!$D:$D&amp;'3) Release_Label'!$E:$E,'3) Release_Label'!$H:$H},2,0), or(and(not(isblank($B836)),$B836=$B835,$A836&lt;&gt;$A835),and(not(isblank($A836)),$A836=$A835,$B836&lt;&gt;$B835)),"ID LISTS UNALIGNED",and($A836&lt;&gt;"",countif('3) Release_Label'!$D:$D,$A836)=0),"NO UPC MATCH in Release_Label",and($B836&lt;&gt;"",countif('3) Release_Label'!$E:$E,$B836)=0),"NO CATALOG ID MATCH in Release_Label",iserror(vlookup($A836&amp;$B836,'3) Release_Label'!$D:$D&amp;'3) Release_Label'!$E:$E,1,0)),"NO UPC-CATALOG ID pair MATCH in Release_Label" )</f>
        <v/>
      </c>
      <c r="E836" s="92"/>
      <c r="F836" s="92"/>
      <c r="G836" s="125" t="str">
        <f t="array" ref="G836">ifs(or($F836="",$F836="Main Primary Artist"),$F836,not(iserror(vlookup($F836,'Reference info'!$J$5:$J$8,1,0))),"Key Artist",not(iserror(vlookup($F836,'Reference info'!$J$38:$J$405,1,0))),"Performer",not(iserror(vlookup($F836,'Reference info'!$J$10:$J$36,1,0))),"Producer &amp; Engineer")</f>
        <v/>
      </c>
    </row>
    <row r="837">
      <c r="A837" s="28"/>
      <c r="B837" s="97"/>
      <c r="C837" s="121" t="str">
        <f t="array" ref="C837">ifs(and(isblank($A837),isblank($B837)),"", not(iserror(vlookup($A837&amp;$B837,'3) Release_Label'!$D:$D&amp;'3) Release_Label'!$E:$E,1,0))),vlookup($A837&amp;$B837,{'3) Release_Label'!$D:$D&amp;'3) Release_Label'!$E:$E,'3) Release_Label'!$F:$F},2,0), or(and(not(isblank($B837)),$B837=$B836,$A837&lt;&gt;$A836),and(not(isblank($A837)),$A837=$A836,$B837&lt;&gt;$B836)),"ID LISTS UNALIGNED",and($A837&lt;&gt;"",countif('3) Release_Label'!$D:$D,$A837)=0),"NO UPC MATCH in Release_Label",and($B837&lt;&gt;"",countif('3) Release_Label'!$E:$E,$B837)=0),"NO CATALOG ID MATCH in Release_Label",iserror(vlookup($A837&amp;$B837,'3) Release_Label'!$D:$D&amp;'3) Release_Label'!$E:$E,1,0)),"NO UPC-CATALOG ID pair MATCH in Release_Label" )</f>
        <v/>
      </c>
      <c r="D837" s="121" t="str">
        <f t="array" ref="D837">ifs(and(isblank($A837),isblank($B837)),"", not(iserror(vlookup($A837&amp;$B837,'3) Release_Label'!$D:$D&amp;'3) Release_Label'!$E:$E,1,0))),vlookup($A837&amp;$B837,{'3) Release_Label'!$D:$D&amp;'3) Release_Label'!$E:$E,'3) Release_Label'!$H:$H},2,0), or(and(not(isblank($B837)),$B837=$B836,$A837&lt;&gt;$A836),and(not(isblank($A837)),$A837=$A836,$B837&lt;&gt;$B836)),"ID LISTS UNALIGNED",and($A837&lt;&gt;"",countif('3) Release_Label'!$D:$D,$A837)=0),"NO UPC MATCH in Release_Label",and($B837&lt;&gt;"",countif('3) Release_Label'!$E:$E,$B837)=0),"NO CATALOG ID MATCH in Release_Label",iserror(vlookup($A837&amp;$B837,'3) Release_Label'!$D:$D&amp;'3) Release_Label'!$E:$E,1,0)),"NO UPC-CATALOG ID pair MATCH in Release_Label" )</f>
        <v/>
      </c>
      <c r="E837" s="92"/>
      <c r="F837" s="92"/>
      <c r="G837" s="125" t="str">
        <f t="array" ref="G837">ifs(or($F837="",$F837="Main Primary Artist"),$F837,not(iserror(vlookup($F837,'Reference info'!$J$5:$J$8,1,0))),"Key Artist",not(iserror(vlookup($F837,'Reference info'!$J$38:$J$405,1,0))),"Performer",not(iserror(vlookup($F837,'Reference info'!$J$10:$J$36,1,0))),"Producer &amp; Engineer")</f>
        <v/>
      </c>
    </row>
    <row r="838">
      <c r="A838" s="28"/>
      <c r="B838" s="97"/>
      <c r="C838" s="121" t="str">
        <f t="array" ref="C838">ifs(and(isblank($A838),isblank($B838)),"", not(iserror(vlookup($A838&amp;$B838,'3) Release_Label'!$D:$D&amp;'3) Release_Label'!$E:$E,1,0))),vlookup($A838&amp;$B838,{'3) Release_Label'!$D:$D&amp;'3) Release_Label'!$E:$E,'3) Release_Label'!$F:$F},2,0), or(and(not(isblank($B838)),$B838=$B837,$A838&lt;&gt;$A837),and(not(isblank($A838)),$A838=$A837,$B838&lt;&gt;$B837)),"ID LISTS UNALIGNED",and($A838&lt;&gt;"",countif('3) Release_Label'!$D:$D,$A838)=0),"NO UPC MATCH in Release_Label",and($B838&lt;&gt;"",countif('3) Release_Label'!$E:$E,$B838)=0),"NO CATALOG ID MATCH in Release_Label",iserror(vlookup($A838&amp;$B838,'3) Release_Label'!$D:$D&amp;'3) Release_Label'!$E:$E,1,0)),"NO UPC-CATALOG ID pair MATCH in Release_Label" )</f>
        <v/>
      </c>
      <c r="D838" s="121" t="str">
        <f t="array" ref="D838">ifs(and(isblank($A838),isblank($B838)),"", not(iserror(vlookup($A838&amp;$B838,'3) Release_Label'!$D:$D&amp;'3) Release_Label'!$E:$E,1,0))),vlookup($A838&amp;$B838,{'3) Release_Label'!$D:$D&amp;'3) Release_Label'!$E:$E,'3) Release_Label'!$H:$H},2,0), or(and(not(isblank($B838)),$B838=$B837,$A838&lt;&gt;$A837),and(not(isblank($A838)),$A838=$A837,$B838&lt;&gt;$B837)),"ID LISTS UNALIGNED",and($A838&lt;&gt;"",countif('3) Release_Label'!$D:$D,$A838)=0),"NO UPC MATCH in Release_Label",and($B838&lt;&gt;"",countif('3) Release_Label'!$E:$E,$B838)=0),"NO CATALOG ID MATCH in Release_Label",iserror(vlookup($A838&amp;$B838,'3) Release_Label'!$D:$D&amp;'3) Release_Label'!$E:$E,1,0)),"NO UPC-CATALOG ID pair MATCH in Release_Label" )</f>
        <v/>
      </c>
      <c r="E838" s="92"/>
      <c r="F838" s="92"/>
      <c r="G838" s="125" t="str">
        <f t="array" ref="G838">ifs(or($F838="",$F838="Main Primary Artist"),$F838,not(iserror(vlookup($F838,'Reference info'!$J$5:$J$8,1,0))),"Key Artist",not(iserror(vlookup($F838,'Reference info'!$J$38:$J$405,1,0))),"Performer",not(iserror(vlookup($F838,'Reference info'!$J$10:$J$36,1,0))),"Producer &amp; Engineer")</f>
        <v/>
      </c>
    </row>
    <row r="839">
      <c r="A839" s="28"/>
      <c r="B839" s="97"/>
      <c r="C839" s="121" t="str">
        <f t="array" ref="C839">ifs(and(isblank($A839),isblank($B839)),"", not(iserror(vlookup($A839&amp;$B839,'3) Release_Label'!$D:$D&amp;'3) Release_Label'!$E:$E,1,0))),vlookup($A839&amp;$B839,{'3) Release_Label'!$D:$D&amp;'3) Release_Label'!$E:$E,'3) Release_Label'!$F:$F},2,0), or(and(not(isblank($B839)),$B839=$B838,$A839&lt;&gt;$A838),and(not(isblank($A839)),$A839=$A838,$B839&lt;&gt;$B838)),"ID LISTS UNALIGNED",and($A839&lt;&gt;"",countif('3) Release_Label'!$D:$D,$A839)=0),"NO UPC MATCH in Release_Label",and($B839&lt;&gt;"",countif('3) Release_Label'!$E:$E,$B839)=0),"NO CATALOG ID MATCH in Release_Label",iserror(vlookup($A839&amp;$B839,'3) Release_Label'!$D:$D&amp;'3) Release_Label'!$E:$E,1,0)),"NO UPC-CATALOG ID pair MATCH in Release_Label" )</f>
        <v/>
      </c>
      <c r="D839" s="121" t="str">
        <f t="array" ref="D839">ifs(and(isblank($A839),isblank($B839)),"", not(iserror(vlookup($A839&amp;$B839,'3) Release_Label'!$D:$D&amp;'3) Release_Label'!$E:$E,1,0))),vlookup($A839&amp;$B839,{'3) Release_Label'!$D:$D&amp;'3) Release_Label'!$E:$E,'3) Release_Label'!$H:$H},2,0), or(and(not(isblank($B839)),$B839=$B838,$A839&lt;&gt;$A838),and(not(isblank($A839)),$A839=$A838,$B839&lt;&gt;$B838)),"ID LISTS UNALIGNED",and($A839&lt;&gt;"",countif('3) Release_Label'!$D:$D,$A839)=0),"NO UPC MATCH in Release_Label",and($B839&lt;&gt;"",countif('3) Release_Label'!$E:$E,$B839)=0),"NO CATALOG ID MATCH in Release_Label",iserror(vlookup($A839&amp;$B839,'3) Release_Label'!$D:$D&amp;'3) Release_Label'!$E:$E,1,0)),"NO UPC-CATALOG ID pair MATCH in Release_Label" )</f>
        <v/>
      </c>
      <c r="E839" s="92"/>
      <c r="F839" s="92"/>
      <c r="G839" s="125" t="str">
        <f t="array" ref="G839">ifs(or($F839="",$F839="Main Primary Artist"),$F839,not(iserror(vlookup($F839,'Reference info'!$J$5:$J$8,1,0))),"Key Artist",not(iserror(vlookup($F839,'Reference info'!$J$38:$J$405,1,0))),"Performer",not(iserror(vlookup($F839,'Reference info'!$J$10:$J$36,1,0))),"Producer &amp; Engineer")</f>
        <v/>
      </c>
    </row>
    <row r="840">
      <c r="A840" s="28"/>
      <c r="B840" s="97"/>
      <c r="C840" s="121" t="str">
        <f t="array" ref="C840">ifs(and(isblank($A840),isblank($B840)),"", not(iserror(vlookup($A840&amp;$B840,'3) Release_Label'!$D:$D&amp;'3) Release_Label'!$E:$E,1,0))),vlookup($A840&amp;$B840,{'3) Release_Label'!$D:$D&amp;'3) Release_Label'!$E:$E,'3) Release_Label'!$F:$F},2,0), or(and(not(isblank($B840)),$B840=$B839,$A840&lt;&gt;$A839),and(not(isblank($A840)),$A840=$A839,$B840&lt;&gt;$B839)),"ID LISTS UNALIGNED",and($A840&lt;&gt;"",countif('3) Release_Label'!$D:$D,$A840)=0),"NO UPC MATCH in Release_Label",and($B840&lt;&gt;"",countif('3) Release_Label'!$E:$E,$B840)=0),"NO CATALOG ID MATCH in Release_Label",iserror(vlookup($A840&amp;$B840,'3) Release_Label'!$D:$D&amp;'3) Release_Label'!$E:$E,1,0)),"NO UPC-CATALOG ID pair MATCH in Release_Label" )</f>
        <v/>
      </c>
      <c r="D840" s="121" t="str">
        <f t="array" ref="D840">ifs(and(isblank($A840),isblank($B840)),"", not(iserror(vlookup($A840&amp;$B840,'3) Release_Label'!$D:$D&amp;'3) Release_Label'!$E:$E,1,0))),vlookup($A840&amp;$B840,{'3) Release_Label'!$D:$D&amp;'3) Release_Label'!$E:$E,'3) Release_Label'!$H:$H},2,0), or(and(not(isblank($B840)),$B840=$B839,$A840&lt;&gt;$A839),and(not(isblank($A840)),$A840=$A839,$B840&lt;&gt;$B839)),"ID LISTS UNALIGNED",and($A840&lt;&gt;"",countif('3) Release_Label'!$D:$D,$A840)=0),"NO UPC MATCH in Release_Label",and($B840&lt;&gt;"",countif('3) Release_Label'!$E:$E,$B840)=0),"NO CATALOG ID MATCH in Release_Label",iserror(vlookup($A840&amp;$B840,'3) Release_Label'!$D:$D&amp;'3) Release_Label'!$E:$E,1,0)),"NO UPC-CATALOG ID pair MATCH in Release_Label" )</f>
        <v/>
      </c>
      <c r="E840" s="92"/>
      <c r="F840" s="92"/>
      <c r="G840" s="125" t="str">
        <f t="array" ref="G840">ifs(or($F840="",$F840="Main Primary Artist"),$F840,not(iserror(vlookup($F840,'Reference info'!$J$5:$J$8,1,0))),"Key Artist",not(iserror(vlookup($F840,'Reference info'!$J$38:$J$405,1,0))),"Performer",not(iserror(vlookup($F840,'Reference info'!$J$10:$J$36,1,0))),"Producer &amp; Engineer")</f>
        <v/>
      </c>
    </row>
    <row r="841">
      <c r="A841" s="28"/>
      <c r="B841" s="97"/>
      <c r="C841" s="121" t="str">
        <f t="array" ref="C841">ifs(and(isblank($A841),isblank($B841)),"", not(iserror(vlookup($A841&amp;$B841,'3) Release_Label'!$D:$D&amp;'3) Release_Label'!$E:$E,1,0))),vlookup($A841&amp;$B841,{'3) Release_Label'!$D:$D&amp;'3) Release_Label'!$E:$E,'3) Release_Label'!$F:$F},2,0), or(and(not(isblank($B841)),$B841=$B840,$A841&lt;&gt;$A840),and(not(isblank($A841)),$A841=$A840,$B841&lt;&gt;$B840)),"ID LISTS UNALIGNED",and($A841&lt;&gt;"",countif('3) Release_Label'!$D:$D,$A841)=0),"NO UPC MATCH in Release_Label",and($B841&lt;&gt;"",countif('3) Release_Label'!$E:$E,$B841)=0),"NO CATALOG ID MATCH in Release_Label",iserror(vlookup($A841&amp;$B841,'3) Release_Label'!$D:$D&amp;'3) Release_Label'!$E:$E,1,0)),"NO UPC-CATALOG ID pair MATCH in Release_Label" )</f>
        <v/>
      </c>
      <c r="D841" s="121" t="str">
        <f t="array" ref="D841">ifs(and(isblank($A841),isblank($B841)),"", not(iserror(vlookup($A841&amp;$B841,'3) Release_Label'!$D:$D&amp;'3) Release_Label'!$E:$E,1,0))),vlookup($A841&amp;$B841,{'3) Release_Label'!$D:$D&amp;'3) Release_Label'!$E:$E,'3) Release_Label'!$H:$H},2,0), or(and(not(isblank($B841)),$B841=$B840,$A841&lt;&gt;$A840),and(not(isblank($A841)),$A841=$A840,$B841&lt;&gt;$B840)),"ID LISTS UNALIGNED",and($A841&lt;&gt;"",countif('3) Release_Label'!$D:$D,$A841)=0),"NO UPC MATCH in Release_Label",and($B841&lt;&gt;"",countif('3) Release_Label'!$E:$E,$B841)=0),"NO CATALOG ID MATCH in Release_Label",iserror(vlookup($A841&amp;$B841,'3) Release_Label'!$D:$D&amp;'3) Release_Label'!$E:$E,1,0)),"NO UPC-CATALOG ID pair MATCH in Release_Label" )</f>
        <v/>
      </c>
      <c r="E841" s="92"/>
      <c r="F841" s="92"/>
      <c r="G841" s="125" t="str">
        <f t="array" ref="G841">ifs(or($F841="",$F841="Main Primary Artist"),$F841,not(iserror(vlookup($F841,'Reference info'!$J$5:$J$8,1,0))),"Key Artist",not(iserror(vlookup($F841,'Reference info'!$J$38:$J$405,1,0))),"Performer",not(iserror(vlookup($F841,'Reference info'!$J$10:$J$36,1,0))),"Producer &amp; Engineer")</f>
        <v/>
      </c>
    </row>
    <row r="842">
      <c r="A842" s="28"/>
      <c r="B842" s="97"/>
      <c r="C842" s="121" t="str">
        <f t="array" ref="C842">ifs(and(isblank($A842),isblank($B842)),"", not(iserror(vlookup($A842&amp;$B842,'3) Release_Label'!$D:$D&amp;'3) Release_Label'!$E:$E,1,0))),vlookup($A842&amp;$B842,{'3) Release_Label'!$D:$D&amp;'3) Release_Label'!$E:$E,'3) Release_Label'!$F:$F},2,0), or(and(not(isblank($B842)),$B842=$B841,$A842&lt;&gt;$A841),and(not(isblank($A842)),$A842=$A841,$B842&lt;&gt;$B841)),"ID LISTS UNALIGNED",and($A842&lt;&gt;"",countif('3) Release_Label'!$D:$D,$A842)=0),"NO UPC MATCH in Release_Label",and($B842&lt;&gt;"",countif('3) Release_Label'!$E:$E,$B842)=0),"NO CATALOG ID MATCH in Release_Label",iserror(vlookup($A842&amp;$B842,'3) Release_Label'!$D:$D&amp;'3) Release_Label'!$E:$E,1,0)),"NO UPC-CATALOG ID pair MATCH in Release_Label" )</f>
        <v/>
      </c>
      <c r="D842" s="121" t="str">
        <f t="array" ref="D842">ifs(and(isblank($A842),isblank($B842)),"", not(iserror(vlookup($A842&amp;$B842,'3) Release_Label'!$D:$D&amp;'3) Release_Label'!$E:$E,1,0))),vlookup($A842&amp;$B842,{'3) Release_Label'!$D:$D&amp;'3) Release_Label'!$E:$E,'3) Release_Label'!$H:$H},2,0), or(and(not(isblank($B842)),$B842=$B841,$A842&lt;&gt;$A841),and(not(isblank($A842)),$A842=$A841,$B842&lt;&gt;$B841)),"ID LISTS UNALIGNED",and($A842&lt;&gt;"",countif('3) Release_Label'!$D:$D,$A842)=0),"NO UPC MATCH in Release_Label",and($B842&lt;&gt;"",countif('3) Release_Label'!$E:$E,$B842)=0),"NO CATALOG ID MATCH in Release_Label",iserror(vlookup($A842&amp;$B842,'3) Release_Label'!$D:$D&amp;'3) Release_Label'!$E:$E,1,0)),"NO UPC-CATALOG ID pair MATCH in Release_Label" )</f>
        <v/>
      </c>
      <c r="E842" s="92"/>
      <c r="F842" s="92"/>
      <c r="G842" s="125" t="str">
        <f t="array" ref="G842">ifs(or($F842="",$F842="Main Primary Artist"),$F842,not(iserror(vlookup($F842,'Reference info'!$J$5:$J$8,1,0))),"Key Artist",not(iserror(vlookup($F842,'Reference info'!$J$38:$J$405,1,0))),"Performer",not(iserror(vlookup($F842,'Reference info'!$J$10:$J$36,1,0))),"Producer &amp; Engineer")</f>
        <v/>
      </c>
    </row>
    <row r="843">
      <c r="A843" s="28"/>
      <c r="B843" s="97"/>
      <c r="C843" s="121" t="str">
        <f t="array" ref="C843">ifs(and(isblank($A843),isblank($B843)),"", not(iserror(vlookup($A843&amp;$B843,'3) Release_Label'!$D:$D&amp;'3) Release_Label'!$E:$E,1,0))),vlookup($A843&amp;$B843,{'3) Release_Label'!$D:$D&amp;'3) Release_Label'!$E:$E,'3) Release_Label'!$F:$F},2,0), or(and(not(isblank($B843)),$B843=$B842,$A843&lt;&gt;$A842),and(not(isblank($A843)),$A843=$A842,$B843&lt;&gt;$B842)),"ID LISTS UNALIGNED",and($A843&lt;&gt;"",countif('3) Release_Label'!$D:$D,$A843)=0),"NO UPC MATCH in Release_Label",and($B843&lt;&gt;"",countif('3) Release_Label'!$E:$E,$B843)=0),"NO CATALOG ID MATCH in Release_Label",iserror(vlookup($A843&amp;$B843,'3) Release_Label'!$D:$D&amp;'3) Release_Label'!$E:$E,1,0)),"NO UPC-CATALOG ID pair MATCH in Release_Label" )</f>
        <v/>
      </c>
      <c r="D843" s="121" t="str">
        <f t="array" ref="D843">ifs(and(isblank($A843),isblank($B843)),"", not(iserror(vlookup($A843&amp;$B843,'3) Release_Label'!$D:$D&amp;'3) Release_Label'!$E:$E,1,0))),vlookup($A843&amp;$B843,{'3) Release_Label'!$D:$D&amp;'3) Release_Label'!$E:$E,'3) Release_Label'!$H:$H},2,0), or(and(not(isblank($B843)),$B843=$B842,$A843&lt;&gt;$A842),and(not(isblank($A843)),$A843=$A842,$B843&lt;&gt;$B842)),"ID LISTS UNALIGNED",and($A843&lt;&gt;"",countif('3) Release_Label'!$D:$D,$A843)=0),"NO UPC MATCH in Release_Label",and($B843&lt;&gt;"",countif('3) Release_Label'!$E:$E,$B843)=0),"NO CATALOG ID MATCH in Release_Label",iserror(vlookup($A843&amp;$B843,'3) Release_Label'!$D:$D&amp;'3) Release_Label'!$E:$E,1,0)),"NO UPC-CATALOG ID pair MATCH in Release_Label" )</f>
        <v/>
      </c>
      <c r="E843" s="92"/>
      <c r="F843" s="92"/>
      <c r="G843" s="125" t="str">
        <f t="array" ref="G843">ifs(or($F843="",$F843="Main Primary Artist"),$F843,not(iserror(vlookup($F843,'Reference info'!$J$5:$J$8,1,0))),"Key Artist",not(iserror(vlookup($F843,'Reference info'!$J$38:$J$405,1,0))),"Performer",not(iserror(vlookup($F843,'Reference info'!$J$10:$J$36,1,0))),"Producer &amp; Engineer")</f>
        <v/>
      </c>
    </row>
    <row r="844">
      <c r="A844" s="28"/>
      <c r="B844" s="97"/>
      <c r="C844" s="121" t="str">
        <f t="array" ref="C844">ifs(and(isblank($A844),isblank($B844)),"", not(iserror(vlookup($A844&amp;$B844,'3) Release_Label'!$D:$D&amp;'3) Release_Label'!$E:$E,1,0))),vlookup($A844&amp;$B844,{'3) Release_Label'!$D:$D&amp;'3) Release_Label'!$E:$E,'3) Release_Label'!$F:$F},2,0), or(and(not(isblank($B844)),$B844=$B843,$A844&lt;&gt;$A843),and(not(isblank($A844)),$A844=$A843,$B844&lt;&gt;$B843)),"ID LISTS UNALIGNED",and($A844&lt;&gt;"",countif('3) Release_Label'!$D:$D,$A844)=0),"NO UPC MATCH in Release_Label",and($B844&lt;&gt;"",countif('3) Release_Label'!$E:$E,$B844)=0),"NO CATALOG ID MATCH in Release_Label",iserror(vlookup($A844&amp;$B844,'3) Release_Label'!$D:$D&amp;'3) Release_Label'!$E:$E,1,0)),"NO UPC-CATALOG ID pair MATCH in Release_Label" )</f>
        <v/>
      </c>
      <c r="D844" s="121" t="str">
        <f t="array" ref="D844">ifs(and(isblank($A844),isblank($B844)),"", not(iserror(vlookup($A844&amp;$B844,'3) Release_Label'!$D:$D&amp;'3) Release_Label'!$E:$E,1,0))),vlookup($A844&amp;$B844,{'3) Release_Label'!$D:$D&amp;'3) Release_Label'!$E:$E,'3) Release_Label'!$H:$H},2,0), or(and(not(isblank($B844)),$B844=$B843,$A844&lt;&gt;$A843),and(not(isblank($A844)),$A844=$A843,$B844&lt;&gt;$B843)),"ID LISTS UNALIGNED",and($A844&lt;&gt;"",countif('3) Release_Label'!$D:$D,$A844)=0),"NO UPC MATCH in Release_Label",and($B844&lt;&gt;"",countif('3) Release_Label'!$E:$E,$B844)=0),"NO CATALOG ID MATCH in Release_Label",iserror(vlookup($A844&amp;$B844,'3) Release_Label'!$D:$D&amp;'3) Release_Label'!$E:$E,1,0)),"NO UPC-CATALOG ID pair MATCH in Release_Label" )</f>
        <v/>
      </c>
      <c r="E844" s="92"/>
      <c r="F844" s="92"/>
      <c r="G844" s="125" t="str">
        <f t="array" ref="G844">ifs(or($F844="",$F844="Main Primary Artist"),$F844,not(iserror(vlookup($F844,'Reference info'!$J$5:$J$8,1,0))),"Key Artist",not(iserror(vlookup($F844,'Reference info'!$J$38:$J$405,1,0))),"Performer",not(iserror(vlookup($F844,'Reference info'!$J$10:$J$36,1,0))),"Producer &amp; Engineer")</f>
        <v/>
      </c>
    </row>
    <row r="845">
      <c r="A845" s="28"/>
      <c r="B845" s="97"/>
      <c r="C845" s="121" t="str">
        <f t="array" ref="C845">ifs(and(isblank($A845),isblank($B845)),"", not(iserror(vlookup($A845&amp;$B845,'3) Release_Label'!$D:$D&amp;'3) Release_Label'!$E:$E,1,0))),vlookup($A845&amp;$B845,{'3) Release_Label'!$D:$D&amp;'3) Release_Label'!$E:$E,'3) Release_Label'!$F:$F},2,0), or(and(not(isblank($B845)),$B845=$B844,$A845&lt;&gt;$A844),and(not(isblank($A845)),$A845=$A844,$B845&lt;&gt;$B844)),"ID LISTS UNALIGNED",and($A845&lt;&gt;"",countif('3) Release_Label'!$D:$D,$A845)=0),"NO UPC MATCH in Release_Label",and($B845&lt;&gt;"",countif('3) Release_Label'!$E:$E,$B845)=0),"NO CATALOG ID MATCH in Release_Label",iserror(vlookup($A845&amp;$B845,'3) Release_Label'!$D:$D&amp;'3) Release_Label'!$E:$E,1,0)),"NO UPC-CATALOG ID pair MATCH in Release_Label" )</f>
        <v/>
      </c>
      <c r="D845" s="121" t="str">
        <f t="array" ref="D845">ifs(and(isblank($A845),isblank($B845)),"", not(iserror(vlookup($A845&amp;$B845,'3) Release_Label'!$D:$D&amp;'3) Release_Label'!$E:$E,1,0))),vlookup($A845&amp;$B845,{'3) Release_Label'!$D:$D&amp;'3) Release_Label'!$E:$E,'3) Release_Label'!$H:$H},2,0), or(and(not(isblank($B845)),$B845=$B844,$A845&lt;&gt;$A844),and(not(isblank($A845)),$A845=$A844,$B845&lt;&gt;$B844)),"ID LISTS UNALIGNED",and($A845&lt;&gt;"",countif('3) Release_Label'!$D:$D,$A845)=0),"NO UPC MATCH in Release_Label",and($B845&lt;&gt;"",countif('3) Release_Label'!$E:$E,$B845)=0),"NO CATALOG ID MATCH in Release_Label",iserror(vlookup($A845&amp;$B845,'3) Release_Label'!$D:$D&amp;'3) Release_Label'!$E:$E,1,0)),"NO UPC-CATALOG ID pair MATCH in Release_Label" )</f>
        <v/>
      </c>
      <c r="E845" s="92"/>
      <c r="F845" s="92"/>
      <c r="G845" s="125" t="str">
        <f t="array" ref="G845">ifs(or($F845="",$F845="Main Primary Artist"),$F845,not(iserror(vlookup($F845,'Reference info'!$J$5:$J$8,1,0))),"Key Artist",not(iserror(vlookup($F845,'Reference info'!$J$38:$J$405,1,0))),"Performer",not(iserror(vlookup($F845,'Reference info'!$J$10:$J$36,1,0))),"Producer &amp; Engineer")</f>
        <v/>
      </c>
    </row>
    <row r="846">
      <c r="A846" s="28"/>
      <c r="B846" s="97"/>
      <c r="C846" s="121" t="str">
        <f t="array" ref="C846">ifs(and(isblank($A846),isblank($B846)),"", not(iserror(vlookup($A846&amp;$B846,'3) Release_Label'!$D:$D&amp;'3) Release_Label'!$E:$E,1,0))),vlookup($A846&amp;$B846,{'3) Release_Label'!$D:$D&amp;'3) Release_Label'!$E:$E,'3) Release_Label'!$F:$F},2,0), or(and(not(isblank($B846)),$B846=$B845,$A846&lt;&gt;$A845),and(not(isblank($A846)),$A846=$A845,$B846&lt;&gt;$B845)),"ID LISTS UNALIGNED",and($A846&lt;&gt;"",countif('3) Release_Label'!$D:$D,$A846)=0),"NO UPC MATCH in Release_Label",and($B846&lt;&gt;"",countif('3) Release_Label'!$E:$E,$B846)=0),"NO CATALOG ID MATCH in Release_Label",iserror(vlookup($A846&amp;$B846,'3) Release_Label'!$D:$D&amp;'3) Release_Label'!$E:$E,1,0)),"NO UPC-CATALOG ID pair MATCH in Release_Label" )</f>
        <v/>
      </c>
      <c r="D846" s="121" t="str">
        <f t="array" ref="D846">ifs(and(isblank($A846),isblank($B846)),"", not(iserror(vlookup($A846&amp;$B846,'3) Release_Label'!$D:$D&amp;'3) Release_Label'!$E:$E,1,0))),vlookup($A846&amp;$B846,{'3) Release_Label'!$D:$D&amp;'3) Release_Label'!$E:$E,'3) Release_Label'!$H:$H},2,0), or(and(not(isblank($B846)),$B846=$B845,$A846&lt;&gt;$A845),and(not(isblank($A846)),$A846=$A845,$B846&lt;&gt;$B845)),"ID LISTS UNALIGNED",and($A846&lt;&gt;"",countif('3) Release_Label'!$D:$D,$A846)=0),"NO UPC MATCH in Release_Label",and($B846&lt;&gt;"",countif('3) Release_Label'!$E:$E,$B846)=0),"NO CATALOG ID MATCH in Release_Label",iserror(vlookup($A846&amp;$B846,'3) Release_Label'!$D:$D&amp;'3) Release_Label'!$E:$E,1,0)),"NO UPC-CATALOG ID pair MATCH in Release_Label" )</f>
        <v/>
      </c>
      <c r="E846" s="92"/>
      <c r="F846" s="92"/>
      <c r="G846" s="125" t="str">
        <f t="array" ref="G846">ifs(or($F846="",$F846="Main Primary Artist"),$F846,not(iserror(vlookup($F846,'Reference info'!$J$5:$J$8,1,0))),"Key Artist",not(iserror(vlookup($F846,'Reference info'!$J$38:$J$405,1,0))),"Performer",not(iserror(vlookup($F846,'Reference info'!$J$10:$J$36,1,0))),"Producer &amp; Engineer")</f>
        <v/>
      </c>
    </row>
    <row r="847">
      <c r="A847" s="28"/>
      <c r="B847" s="97"/>
      <c r="C847" s="121" t="str">
        <f t="array" ref="C847">ifs(and(isblank($A847),isblank($B847)),"", not(iserror(vlookup($A847&amp;$B847,'3) Release_Label'!$D:$D&amp;'3) Release_Label'!$E:$E,1,0))),vlookup($A847&amp;$B847,{'3) Release_Label'!$D:$D&amp;'3) Release_Label'!$E:$E,'3) Release_Label'!$F:$F},2,0), or(and(not(isblank($B847)),$B847=$B846,$A847&lt;&gt;$A846),and(not(isblank($A847)),$A847=$A846,$B847&lt;&gt;$B846)),"ID LISTS UNALIGNED",and($A847&lt;&gt;"",countif('3) Release_Label'!$D:$D,$A847)=0),"NO UPC MATCH in Release_Label",and($B847&lt;&gt;"",countif('3) Release_Label'!$E:$E,$B847)=0),"NO CATALOG ID MATCH in Release_Label",iserror(vlookup($A847&amp;$B847,'3) Release_Label'!$D:$D&amp;'3) Release_Label'!$E:$E,1,0)),"NO UPC-CATALOG ID pair MATCH in Release_Label" )</f>
        <v/>
      </c>
      <c r="D847" s="121" t="str">
        <f t="array" ref="D847">ifs(and(isblank($A847),isblank($B847)),"", not(iserror(vlookup($A847&amp;$B847,'3) Release_Label'!$D:$D&amp;'3) Release_Label'!$E:$E,1,0))),vlookup($A847&amp;$B847,{'3) Release_Label'!$D:$D&amp;'3) Release_Label'!$E:$E,'3) Release_Label'!$H:$H},2,0), or(and(not(isblank($B847)),$B847=$B846,$A847&lt;&gt;$A846),and(not(isblank($A847)),$A847=$A846,$B847&lt;&gt;$B846)),"ID LISTS UNALIGNED",and($A847&lt;&gt;"",countif('3) Release_Label'!$D:$D,$A847)=0),"NO UPC MATCH in Release_Label",and($B847&lt;&gt;"",countif('3) Release_Label'!$E:$E,$B847)=0),"NO CATALOG ID MATCH in Release_Label",iserror(vlookup($A847&amp;$B847,'3) Release_Label'!$D:$D&amp;'3) Release_Label'!$E:$E,1,0)),"NO UPC-CATALOG ID pair MATCH in Release_Label" )</f>
        <v/>
      </c>
      <c r="E847" s="92"/>
      <c r="F847" s="92"/>
      <c r="G847" s="125" t="str">
        <f t="array" ref="G847">ifs(or($F847="",$F847="Main Primary Artist"),$F847,not(iserror(vlookup($F847,'Reference info'!$J$5:$J$8,1,0))),"Key Artist",not(iserror(vlookup($F847,'Reference info'!$J$38:$J$405,1,0))),"Performer",not(iserror(vlookup($F847,'Reference info'!$J$10:$J$36,1,0))),"Producer &amp; Engineer")</f>
        <v/>
      </c>
    </row>
    <row r="848">
      <c r="A848" s="28"/>
      <c r="B848" s="97"/>
      <c r="C848" s="121" t="str">
        <f t="array" ref="C848">ifs(and(isblank($A848),isblank($B848)),"", not(iserror(vlookup($A848&amp;$B848,'3) Release_Label'!$D:$D&amp;'3) Release_Label'!$E:$E,1,0))),vlookup($A848&amp;$B848,{'3) Release_Label'!$D:$D&amp;'3) Release_Label'!$E:$E,'3) Release_Label'!$F:$F},2,0), or(and(not(isblank($B848)),$B848=$B847,$A848&lt;&gt;$A847),and(not(isblank($A848)),$A848=$A847,$B848&lt;&gt;$B847)),"ID LISTS UNALIGNED",and($A848&lt;&gt;"",countif('3) Release_Label'!$D:$D,$A848)=0),"NO UPC MATCH in Release_Label",and($B848&lt;&gt;"",countif('3) Release_Label'!$E:$E,$B848)=0),"NO CATALOG ID MATCH in Release_Label",iserror(vlookup($A848&amp;$B848,'3) Release_Label'!$D:$D&amp;'3) Release_Label'!$E:$E,1,0)),"NO UPC-CATALOG ID pair MATCH in Release_Label" )</f>
        <v/>
      </c>
      <c r="D848" s="121" t="str">
        <f t="array" ref="D848">ifs(and(isblank($A848),isblank($B848)),"", not(iserror(vlookup($A848&amp;$B848,'3) Release_Label'!$D:$D&amp;'3) Release_Label'!$E:$E,1,0))),vlookup($A848&amp;$B848,{'3) Release_Label'!$D:$D&amp;'3) Release_Label'!$E:$E,'3) Release_Label'!$H:$H},2,0), or(and(not(isblank($B848)),$B848=$B847,$A848&lt;&gt;$A847),and(not(isblank($A848)),$A848=$A847,$B848&lt;&gt;$B847)),"ID LISTS UNALIGNED",and($A848&lt;&gt;"",countif('3) Release_Label'!$D:$D,$A848)=0),"NO UPC MATCH in Release_Label",and($B848&lt;&gt;"",countif('3) Release_Label'!$E:$E,$B848)=0),"NO CATALOG ID MATCH in Release_Label",iserror(vlookup($A848&amp;$B848,'3) Release_Label'!$D:$D&amp;'3) Release_Label'!$E:$E,1,0)),"NO UPC-CATALOG ID pair MATCH in Release_Label" )</f>
        <v/>
      </c>
      <c r="E848" s="92"/>
      <c r="F848" s="92"/>
      <c r="G848" s="125" t="str">
        <f t="array" ref="G848">ifs(or($F848="",$F848="Main Primary Artist"),$F848,not(iserror(vlookup($F848,'Reference info'!$J$5:$J$8,1,0))),"Key Artist",not(iserror(vlookup($F848,'Reference info'!$J$38:$J$405,1,0))),"Performer",not(iserror(vlookup($F848,'Reference info'!$J$10:$J$36,1,0))),"Producer &amp; Engineer")</f>
        <v/>
      </c>
    </row>
    <row r="849">
      <c r="A849" s="28"/>
      <c r="B849" s="97"/>
      <c r="C849" s="121" t="str">
        <f t="array" ref="C849">ifs(and(isblank($A849),isblank($B849)),"", not(iserror(vlookup($A849&amp;$B849,'3) Release_Label'!$D:$D&amp;'3) Release_Label'!$E:$E,1,0))),vlookup($A849&amp;$B849,{'3) Release_Label'!$D:$D&amp;'3) Release_Label'!$E:$E,'3) Release_Label'!$F:$F},2,0), or(and(not(isblank($B849)),$B849=$B848,$A849&lt;&gt;$A848),and(not(isblank($A849)),$A849=$A848,$B849&lt;&gt;$B848)),"ID LISTS UNALIGNED",and($A849&lt;&gt;"",countif('3) Release_Label'!$D:$D,$A849)=0),"NO UPC MATCH in Release_Label",and($B849&lt;&gt;"",countif('3) Release_Label'!$E:$E,$B849)=0),"NO CATALOG ID MATCH in Release_Label",iserror(vlookup($A849&amp;$B849,'3) Release_Label'!$D:$D&amp;'3) Release_Label'!$E:$E,1,0)),"NO UPC-CATALOG ID pair MATCH in Release_Label" )</f>
        <v/>
      </c>
      <c r="D849" s="121" t="str">
        <f t="array" ref="D849">ifs(and(isblank($A849),isblank($B849)),"", not(iserror(vlookup($A849&amp;$B849,'3) Release_Label'!$D:$D&amp;'3) Release_Label'!$E:$E,1,0))),vlookup($A849&amp;$B849,{'3) Release_Label'!$D:$D&amp;'3) Release_Label'!$E:$E,'3) Release_Label'!$H:$H},2,0), or(and(not(isblank($B849)),$B849=$B848,$A849&lt;&gt;$A848),and(not(isblank($A849)),$A849=$A848,$B849&lt;&gt;$B848)),"ID LISTS UNALIGNED",and($A849&lt;&gt;"",countif('3) Release_Label'!$D:$D,$A849)=0),"NO UPC MATCH in Release_Label",and($B849&lt;&gt;"",countif('3) Release_Label'!$E:$E,$B849)=0),"NO CATALOG ID MATCH in Release_Label",iserror(vlookup($A849&amp;$B849,'3) Release_Label'!$D:$D&amp;'3) Release_Label'!$E:$E,1,0)),"NO UPC-CATALOG ID pair MATCH in Release_Label" )</f>
        <v/>
      </c>
      <c r="E849" s="92"/>
      <c r="F849" s="92"/>
      <c r="G849" s="125" t="str">
        <f t="array" ref="G849">ifs(or($F849="",$F849="Main Primary Artist"),$F849,not(iserror(vlookup($F849,'Reference info'!$J$5:$J$8,1,0))),"Key Artist",not(iserror(vlookup($F849,'Reference info'!$J$38:$J$405,1,0))),"Performer",not(iserror(vlookup($F849,'Reference info'!$J$10:$J$36,1,0))),"Producer &amp; Engineer")</f>
        <v/>
      </c>
    </row>
    <row r="850">
      <c r="A850" s="28"/>
      <c r="B850" s="97"/>
      <c r="C850" s="121" t="str">
        <f t="array" ref="C850">ifs(and(isblank($A850),isblank($B850)),"", not(iserror(vlookup($A850&amp;$B850,'3) Release_Label'!$D:$D&amp;'3) Release_Label'!$E:$E,1,0))),vlookup($A850&amp;$B850,{'3) Release_Label'!$D:$D&amp;'3) Release_Label'!$E:$E,'3) Release_Label'!$F:$F},2,0), or(and(not(isblank($B850)),$B850=$B849,$A850&lt;&gt;$A849),and(not(isblank($A850)),$A850=$A849,$B850&lt;&gt;$B849)),"ID LISTS UNALIGNED",and($A850&lt;&gt;"",countif('3) Release_Label'!$D:$D,$A850)=0),"NO UPC MATCH in Release_Label",and($B850&lt;&gt;"",countif('3) Release_Label'!$E:$E,$B850)=0),"NO CATALOG ID MATCH in Release_Label",iserror(vlookup($A850&amp;$B850,'3) Release_Label'!$D:$D&amp;'3) Release_Label'!$E:$E,1,0)),"NO UPC-CATALOG ID pair MATCH in Release_Label" )</f>
        <v/>
      </c>
      <c r="D850" s="121" t="str">
        <f t="array" ref="D850">ifs(and(isblank($A850),isblank($B850)),"", not(iserror(vlookup($A850&amp;$B850,'3) Release_Label'!$D:$D&amp;'3) Release_Label'!$E:$E,1,0))),vlookup($A850&amp;$B850,{'3) Release_Label'!$D:$D&amp;'3) Release_Label'!$E:$E,'3) Release_Label'!$H:$H},2,0), or(and(not(isblank($B850)),$B850=$B849,$A850&lt;&gt;$A849),and(not(isblank($A850)),$A850=$A849,$B850&lt;&gt;$B849)),"ID LISTS UNALIGNED",and($A850&lt;&gt;"",countif('3) Release_Label'!$D:$D,$A850)=0),"NO UPC MATCH in Release_Label",and($B850&lt;&gt;"",countif('3) Release_Label'!$E:$E,$B850)=0),"NO CATALOG ID MATCH in Release_Label",iserror(vlookup($A850&amp;$B850,'3) Release_Label'!$D:$D&amp;'3) Release_Label'!$E:$E,1,0)),"NO UPC-CATALOG ID pair MATCH in Release_Label" )</f>
        <v/>
      </c>
      <c r="E850" s="92"/>
      <c r="F850" s="92"/>
      <c r="G850" s="125" t="str">
        <f t="array" ref="G850">ifs(or($F850="",$F850="Main Primary Artist"),$F850,not(iserror(vlookup($F850,'Reference info'!$J$5:$J$8,1,0))),"Key Artist",not(iserror(vlookup($F850,'Reference info'!$J$38:$J$405,1,0))),"Performer",not(iserror(vlookup($F850,'Reference info'!$J$10:$J$36,1,0))),"Producer &amp; Engineer")</f>
        <v/>
      </c>
    </row>
    <row r="851">
      <c r="A851" s="28"/>
      <c r="B851" s="97"/>
      <c r="C851" s="121" t="str">
        <f t="array" ref="C851">ifs(and(isblank($A851),isblank($B851)),"", not(iserror(vlookup($A851&amp;$B851,'3) Release_Label'!$D:$D&amp;'3) Release_Label'!$E:$E,1,0))),vlookup($A851&amp;$B851,{'3) Release_Label'!$D:$D&amp;'3) Release_Label'!$E:$E,'3) Release_Label'!$F:$F},2,0), or(and(not(isblank($B851)),$B851=$B850,$A851&lt;&gt;$A850),and(not(isblank($A851)),$A851=$A850,$B851&lt;&gt;$B850)),"ID LISTS UNALIGNED",and($A851&lt;&gt;"",countif('3) Release_Label'!$D:$D,$A851)=0),"NO UPC MATCH in Release_Label",and($B851&lt;&gt;"",countif('3) Release_Label'!$E:$E,$B851)=0),"NO CATALOG ID MATCH in Release_Label",iserror(vlookup($A851&amp;$B851,'3) Release_Label'!$D:$D&amp;'3) Release_Label'!$E:$E,1,0)),"NO UPC-CATALOG ID pair MATCH in Release_Label" )</f>
        <v/>
      </c>
      <c r="D851" s="121" t="str">
        <f t="array" ref="D851">ifs(and(isblank($A851),isblank($B851)),"", not(iserror(vlookup($A851&amp;$B851,'3) Release_Label'!$D:$D&amp;'3) Release_Label'!$E:$E,1,0))),vlookup($A851&amp;$B851,{'3) Release_Label'!$D:$D&amp;'3) Release_Label'!$E:$E,'3) Release_Label'!$H:$H},2,0), or(and(not(isblank($B851)),$B851=$B850,$A851&lt;&gt;$A850),and(not(isblank($A851)),$A851=$A850,$B851&lt;&gt;$B850)),"ID LISTS UNALIGNED",and($A851&lt;&gt;"",countif('3) Release_Label'!$D:$D,$A851)=0),"NO UPC MATCH in Release_Label",and($B851&lt;&gt;"",countif('3) Release_Label'!$E:$E,$B851)=0),"NO CATALOG ID MATCH in Release_Label",iserror(vlookup($A851&amp;$B851,'3) Release_Label'!$D:$D&amp;'3) Release_Label'!$E:$E,1,0)),"NO UPC-CATALOG ID pair MATCH in Release_Label" )</f>
        <v/>
      </c>
      <c r="E851" s="92"/>
      <c r="F851" s="92"/>
      <c r="G851" s="125" t="str">
        <f t="array" ref="G851">ifs(or($F851="",$F851="Main Primary Artist"),$F851,not(iserror(vlookup($F851,'Reference info'!$J$5:$J$8,1,0))),"Key Artist",not(iserror(vlookup($F851,'Reference info'!$J$38:$J$405,1,0))),"Performer",not(iserror(vlookup($F851,'Reference info'!$J$10:$J$36,1,0))),"Producer &amp; Engineer")</f>
        <v/>
      </c>
    </row>
    <row r="852">
      <c r="A852" s="28"/>
      <c r="B852" s="97"/>
      <c r="C852" s="121" t="str">
        <f t="array" ref="C852">ifs(and(isblank($A852),isblank($B852)),"", not(iserror(vlookup($A852&amp;$B852,'3) Release_Label'!$D:$D&amp;'3) Release_Label'!$E:$E,1,0))),vlookup($A852&amp;$B852,{'3) Release_Label'!$D:$D&amp;'3) Release_Label'!$E:$E,'3) Release_Label'!$F:$F},2,0), or(and(not(isblank($B852)),$B852=$B851,$A852&lt;&gt;$A851),and(not(isblank($A852)),$A852=$A851,$B852&lt;&gt;$B851)),"ID LISTS UNALIGNED",and($A852&lt;&gt;"",countif('3) Release_Label'!$D:$D,$A852)=0),"NO UPC MATCH in Release_Label",and($B852&lt;&gt;"",countif('3) Release_Label'!$E:$E,$B852)=0),"NO CATALOG ID MATCH in Release_Label",iserror(vlookup($A852&amp;$B852,'3) Release_Label'!$D:$D&amp;'3) Release_Label'!$E:$E,1,0)),"NO UPC-CATALOG ID pair MATCH in Release_Label" )</f>
        <v/>
      </c>
      <c r="D852" s="121" t="str">
        <f t="array" ref="D852">ifs(and(isblank($A852),isblank($B852)),"", not(iserror(vlookup($A852&amp;$B852,'3) Release_Label'!$D:$D&amp;'3) Release_Label'!$E:$E,1,0))),vlookup($A852&amp;$B852,{'3) Release_Label'!$D:$D&amp;'3) Release_Label'!$E:$E,'3) Release_Label'!$H:$H},2,0), or(and(not(isblank($B852)),$B852=$B851,$A852&lt;&gt;$A851),and(not(isblank($A852)),$A852=$A851,$B852&lt;&gt;$B851)),"ID LISTS UNALIGNED",and($A852&lt;&gt;"",countif('3) Release_Label'!$D:$D,$A852)=0),"NO UPC MATCH in Release_Label",and($B852&lt;&gt;"",countif('3) Release_Label'!$E:$E,$B852)=0),"NO CATALOG ID MATCH in Release_Label",iserror(vlookup($A852&amp;$B852,'3) Release_Label'!$D:$D&amp;'3) Release_Label'!$E:$E,1,0)),"NO UPC-CATALOG ID pair MATCH in Release_Label" )</f>
        <v/>
      </c>
      <c r="E852" s="92"/>
      <c r="F852" s="92"/>
      <c r="G852" s="125" t="str">
        <f t="array" ref="G852">ifs(or($F852="",$F852="Main Primary Artist"),$F852,not(iserror(vlookup($F852,'Reference info'!$J$5:$J$8,1,0))),"Key Artist",not(iserror(vlookup($F852,'Reference info'!$J$38:$J$405,1,0))),"Performer",not(iserror(vlookup($F852,'Reference info'!$J$10:$J$36,1,0))),"Producer &amp; Engineer")</f>
        <v/>
      </c>
    </row>
    <row r="853">
      <c r="A853" s="28"/>
      <c r="B853" s="97"/>
      <c r="C853" s="121" t="str">
        <f t="array" ref="C853">ifs(and(isblank($A853),isblank($B853)),"", not(iserror(vlookup($A853&amp;$B853,'3) Release_Label'!$D:$D&amp;'3) Release_Label'!$E:$E,1,0))),vlookup($A853&amp;$B853,{'3) Release_Label'!$D:$D&amp;'3) Release_Label'!$E:$E,'3) Release_Label'!$F:$F},2,0), or(and(not(isblank($B853)),$B853=$B852,$A853&lt;&gt;$A852),and(not(isblank($A853)),$A853=$A852,$B853&lt;&gt;$B852)),"ID LISTS UNALIGNED",and($A853&lt;&gt;"",countif('3) Release_Label'!$D:$D,$A853)=0),"NO UPC MATCH in Release_Label",and($B853&lt;&gt;"",countif('3) Release_Label'!$E:$E,$B853)=0),"NO CATALOG ID MATCH in Release_Label",iserror(vlookup($A853&amp;$B853,'3) Release_Label'!$D:$D&amp;'3) Release_Label'!$E:$E,1,0)),"NO UPC-CATALOG ID pair MATCH in Release_Label" )</f>
        <v/>
      </c>
      <c r="D853" s="121" t="str">
        <f t="array" ref="D853">ifs(and(isblank($A853),isblank($B853)),"", not(iserror(vlookup($A853&amp;$B853,'3) Release_Label'!$D:$D&amp;'3) Release_Label'!$E:$E,1,0))),vlookup($A853&amp;$B853,{'3) Release_Label'!$D:$D&amp;'3) Release_Label'!$E:$E,'3) Release_Label'!$H:$H},2,0), or(and(not(isblank($B853)),$B853=$B852,$A853&lt;&gt;$A852),and(not(isblank($A853)),$A853=$A852,$B853&lt;&gt;$B852)),"ID LISTS UNALIGNED",and($A853&lt;&gt;"",countif('3) Release_Label'!$D:$D,$A853)=0),"NO UPC MATCH in Release_Label",and($B853&lt;&gt;"",countif('3) Release_Label'!$E:$E,$B853)=0),"NO CATALOG ID MATCH in Release_Label",iserror(vlookup($A853&amp;$B853,'3) Release_Label'!$D:$D&amp;'3) Release_Label'!$E:$E,1,0)),"NO UPC-CATALOG ID pair MATCH in Release_Label" )</f>
        <v/>
      </c>
      <c r="E853" s="92"/>
      <c r="F853" s="92"/>
      <c r="G853" s="125" t="str">
        <f t="array" ref="G853">ifs(or($F853="",$F853="Main Primary Artist"),$F853,not(iserror(vlookup($F853,'Reference info'!$J$5:$J$8,1,0))),"Key Artist",not(iserror(vlookup($F853,'Reference info'!$J$38:$J$405,1,0))),"Performer",not(iserror(vlookup($F853,'Reference info'!$J$10:$J$36,1,0))),"Producer &amp; Engineer")</f>
        <v/>
      </c>
    </row>
    <row r="854">
      <c r="A854" s="28"/>
      <c r="B854" s="97"/>
      <c r="C854" s="121" t="str">
        <f t="array" ref="C854">ifs(and(isblank($A854),isblank($B854)),"", not(iserror(vlookup($A854&amp;$B854,'3) Release_Label'!$D:$D&amp;'3) Release_Label'!$E:$E,1,0))),vlookup($A854&amp;$B854,{'3) Release_Label'!$D:$D&amp;'3) Release_Label'!$E:$E,'3) Release_Label'!$F:$F},2,0), or(and(not(isblank($B854)),$B854=$B853,$A854&lt;&gt;$A853),and(not(isblank($A854)),$A854=$A853,$B854&lt;&gt;$B853)),"ID LISTS UNALIGNED",and($A854&lt;&gt;"",countif('3) Release_Label'!$D:$D,$A854)=0),"NO UPC MATCH in Release_Label",and($B854&lt;&gt;"",countif('3) Release_Label'!$E:$E,$B854)=0),"NO CATALOG ID MATCH in Release_Label",iserror(vlookup($A854&amp;$B854,'3) Release_Label'!$D:$D&amp;'3) Release_Label'!$E:$E,1,0)),"NO UPC-CATALOG ID pair MATCH in Release_Label" )</f>
        <v/>
      </c>
      <c r="D854" s="121" t="str">
        <f t="array" ref="D854">ifs(and(isblank($A854),isblank($B854)),"", not(iserror(vlookup($A854&amp;$B854,'3) Release_Label'!$D:$D&amp;'3) Release_Label'!$E:$E,1,0))),vlookup($A854&amp;$B854,{'3) Release_Label'!$D:$D&amp;'3) Release_Label'!$E:$E,'3) Release_Label'!$H:$H},2,0), or(and(not(isblank($B854)),$B854=$B853,$A854&lt;&gt;$A853),and(not(isblank($A854)),$A854=$A853,$B854&lt;&gt;$B853)),"ID LISTS UNALIGNED",and($A854&lt;&gt;"",countif('3) Release_Label'!$D:$D,$A854)=0),"NO UPC MATCH in Release_Label",and($B854&lt;&gt;"",countif('3) Release_Label'!$E:$E,$B854)=0),"NO CATALOG ID MATCH in Release_Label",iserror(vlookup($A854&amp;$B854,'3) Release_Label'!$D:$D&amp;'3) Release_Label'!$E:$E,1,0)),"NO UPC-CATALOG ID pair MATCH in Release_Label" )</f>
        <v/>
      </c>
      <c r="E854" s="92"/>
      <c r="F854" s="92"/>
      <c r="G854" s="125" t="str">
        <f t="array" ref="G854">ifs(or($F854="",$F854="Main Primary Artist"),$F854,not(iserror(vlookup($F854,'Reference info'!$J$5:$J$8,1,0))),"Key Artist",not(iserror(vlookup($F854,'Reference info'!$J$38:$J$405,1,0))),"Performer",not(iserror(vlookup($F854,'Reference info'!$J$10:$J$36,1,0))),"Producer &amp; Engineer")</f>
        <v/>
      </c>
    </row>
    <row r="855">
      <c r="A855" s="28"/>
      <c r="B855" s="97"/>
      <c r="C855" s="121" t="str">
        <f t="array" ref="C855">ifs(and(isblank($A855),isblank($B855)),"", not(iserror(vlookup($A855&amp;$B855,'3) Release_Label'!$D:$D&amp;'3) Release_Label'!$E:$E,1,0))),vlookup($A855&amp;$B855,{'3) Release_Label'!$D:$D&amp;'3) Release_Label'!$E:$E,'3) Release_Label'!$F:$F},2,0), or(and(not(isblank($B855)),$B855=$B854,$A855&lt;&gt;$A854),and(not(isblank($A855)),$A855=$A854,$B855&lt;&gt;$B854)),"ID LISTS UNALIGNED",and($A855&lt;&gt;"",countif('3) Release_Label'!$D:$D,$A855)=0),"NO UPC MATCH in Release_Label",and($B855&lt;&gt;"",countif('3) Release_Label'!$E:$E,$B855)=0),"NO CATALOG ID MATCH in Release_Label",iserror(vlookup($A855&amp;$B855,'3) Release_Label'!$D:$D&amp;'3) Release_Label'!$E:$E,1,0)),"NO UPC-CATALOG ID pair MATCH in Release_Label" )</f>
        <v/>
      </c>
      <c r="D855" s="121" t="str">
        <f t="array" ref="D855">ifs(and(isblank($A855),isblank($B855)),"", not(iserror(vlookup($A855&amp;$B855,'3) Release_Label'!$D:$D&amp;'3) Release_Label'!$E:$E,1,0))),vlookup($A855&amp;$B855,{'3) Release_Label'!$D:$D&amp;'3) Release_Label'!$E:$E,'3) Release_Label'!$H:$H},2,0), or(and(not(isblank($B855)),$B855=$B854,$A855&lt;&gt;$A854),and(not(isblank($A855)),$A855=$A854,$B855&lt;&gt;$B854)),"ID LISTS UNALIGNED",and($A855&lt;&gt;"",countif('3) Release_Label'!$D:$D,$A855)=0),"NO UPC MATCH in Release_Label",and($B855&lt;&gt;"",countif('3) Release_Label'!$E:$E,$B855)=0),"NO CATALOG ID MATCH in Release_Label",iserror(vlookup($A855&amp;$B855,'3) Release_Label'!$D:$D&amp;'3) Release_Label'!$E:$E,1,0)),"NO UPC-CATALOG ID pair MATCH in Release_Label" )</f>
        <v/>
      </c>
      <c r="E855" s="92"/>
      <c r="F855" s="92"/>
      <c r="G855" s="125" t="str">
        <f t="array" ref="G855">ifs(or($F855="",$F855="Main Primary Artist"),$F855,not(iserror(vlookup($F855,'Reference info'!$J$5:$J$8,1,0))),"Key Artist",not(iserror(vlookup($F855,'Reference info'!$J$38:$J$405,1,0))),"Performer",not(iserror(vlookup($F855,'Reference info'!$J$10:$J$36,1,0))),"Producer &amp; Engineer")</f>
        <v/>
      </c>
    </row>
    <row r="856">
      <c r="A856" s="28"/>
      <c r="B856" s="97"/>
      <c r="C856" s="121" t="str">
        <f t="array" ref="C856">ifs(and(isblank($A856),isblank($B856)),"", not(iserror(vlookup($A856&amp;$B856,'3) Release_Label'!$D:$D&amp;'3) Release_Label'!$E:$E,1,0))),vlookup($A856&amp;$B856,{'3) Release_Label'!$D:$D&amp;'3) Release_Label'!$E:$E,'3) Release_Label'!$F:$F},2,0), or(and(not(isblank($B856)),$B856=$B855,$A856&lt;&gt;$A855),and(not(isblank($A856)),$A856=$A855,$B856&lt;&gt;$B855)),"ID LISTS UNALIGNED",and($A856&lt;&gt;"",countif('3) Release_Label'!$D:$D,$A856)=0),"NO UPC MATCH in Release_Label",and($B856&lt;&gt;"",countif('3) Release_Label'!$E:$E,$B856)=0),"NO CATALOG ID MATCH in Release_Label",iserror(vlookup($A856&amp;$B856,'3) Release_Label'!$D:$D&amp;'3) Release_Label'!$E:$E,1,0)),"NO UPC-CATALOG ID pair MATCH in Release_Label" )</f>
        <v/>
      </c>
      <c r="D856" s="121" t="str">
        <f t="array" ref="D856">ifs(and(isblank($A856),isblank($B856)),"", not(iserror(vlookup($A856&amp;$B856,'3) Release_Label'!$D:$D&amp;'3) Release_Label'!$E:$E,1,0))),vlookup($A856&amp;$B856,{'3) Release_Label'!$D:$D&amp;'3) Release_Label'!$E:$E,'3) Release_Label'!$H:$H},2,0), or(and(not(isblank($B856)),$B856=$B855,$A856&lt;&gt;$A855),and(not(isblank($A856)),$A856=$A855,$B856&lt;&gt;$B855)),"ID LISTS UNALIGNED",and($A856&lt;&gt;"",countif('3) Release_Label'!$D:$D,$A856)=0),"NO UPC MATCH in Release_Label",and($B856&lt;&gt;"",countif('3) Release_Label'!$E:$E,$B856)=0),"NO CATALOG ID MATCH in Release_Label",iserror(vlookup($A856&amp;$B856,'3) Release_Label'!$D:$D&amp;'3) Release_Label'!$E:$E,1,0)),"NO UPC-CATALOG ID pair MATCH in Release_Label" )</f>
        <v/>
      </c>
      <c r="E856" s="92"/>
      <c r="F856" s="92"/>
      <c r="G856" s="125" t="str">
        <f t="array" ref="G856">ifs(or($F856="",$F856="Main Primary Artist"),$F856,not(iserror(vlookup($F856,'Reference info'!$J$5:$J$8,1,0))),"Key Artist",not(iserror(vlookup($F856,'Reference info'!$J$38:$J$405,1,0))),"Performer",not(iserror(vlookup($F856,'Reference info'!$J$10:$J$36,1,0))),"Producer &amp; Engineer")</f>
        <v/>
      </c>
    </row>
    <row r="857">
      <c r="A857" s="28"/>
      <c r="B857" s="97"/>
      <c r="C857" s="121" t="str">
        <f t="array" ref="C857">ifs(and(isblank($A857),isblank($B857)),"", not(iserror(vlookup($A857&amp;$B857,'3) Release_Label'!$D:$D&amp;'3) Release_Label'!$E:$E,1,0))),vlookup($A857&amp;$B857,{'3) Release_Label'!$D:$D&amp;'3) Release_Label'!$E:$E,'3) Release_Label'!$F:$F},2,0), or(and(not(isblank($B857)),$B857=$B856,$A857&lt;&gt;$A856),and(not(isblank($A857)),$A857=$A856,$B857&lt;&gt;$B856)),"ID LISTS UNALIGNED",and($A857&lt;&gt;"",countif('3) Release_Label'!$D:$D,$A857)=0),"NO UPC MATCH in Release_Label",and($B857&lt;&gt;"",countif('3) Release_Label'!$E:$E,$B857)=0),"NO CATALOG ID MATCH in Release_Label",iserror(vlookup($A857&amp;$B857,'3) Release_Label'!$D:$D&amp;'3) Release_Label'!$E:$E,1,0)),"NO UPC-CATALOG ID pair MATCH in Release_Label" )</f>
        <v/>
      </c>
      <c r="D857" s="121" t="str">
        <f t="array" ref="D857">ifs(and(isblank($A857),isblank($B857)),"", not(iserror(vlookup($A857&amp;$B857,'3) Release_Label'!$D:$D&amp;'3) Release_Label'!$E:$E,1,0))),vlookup($A857&amp;$B857,{'3) Release_Label'!$D:$D&amp;'3) Release_Label'!$E:$E,'3) Release_Label'!$H:$H},2,0), or(and(not(isblank($B857)),$B857=$B856,$A857&lt;&gt;$A856),and(not(isblank($A857)),$A857=$A856,$B857&lt;&gt;$B856)),"ID LISTS UNALIGNED",and($A857&lt;&gt;"",countif('3) Release_Label'!$D:$D,$A857)=0),"NO UPC MATCH in Release_Label",and($B857&lt;&gt;"",countif('3) Release_Label'!$E:$E,$B857)=0),"NO CATALOG ID MATCH in Release_Label",iserror(vlookup($A857&amp;$B857,'3) Release_Label'!$D:$D&amp;'3) Release_Label'!$E:$E,1,0)),"NO UPC-CATALOG ID pair MATCH in Release_Label" )</f>
        <v/>
      </c>
      <c r="E857" s="92"/>
      <c r="F857" s="92"/>
      <c r="G857" s="125" t="str">
        <f t="array" ref="G857">ifs(or($F857="",$F857="Main Primary Artist"),$F857,not(iserror(vlookup($F857,'Reference info'!$J$5:$J$8,1,0))),"Key Artist",not(iserror(vlookup($F857,'Reference info'!$J$38:$J$405,1,0))),"Performer",not(iserror(vlookup($F857,'Reference info'!$J$10:$J$36,1,0))),"Producer &amp; Engineer")</f>
        <v/>
      </c>
    </row>
    <row r="858">
      <c r="A858" s="28"/>
      <c r="B858" s="97"/>
      <c r="C858" s="121" t="str">
        <f t="array" ref="C858">ifs(and(isblank($A858),isblank($B858)),"", not(iserror(vlookup($A858&amp;$B858,'3) Release_Label'!$D:$D&amp;'3) Release_Label'!$E:$E,1,0))),vlookup($A858&amp;$B858,{'3) Release_Label'!$D:$D&amp;'3) Release_Label'!$E:$E,'3) Release_Label'!$F:$F},2,0), or(and(not(isblank($B858)),$B858=$B857,$A858&lt;&gt;$A857),and(not(isblank($A858)),$A858=$A857,$B858&lt;&gt;$B857)),"ID LISTS UNALIGNED",and($A858&lt;&gt;"",countif('3) Release_Label'!$D:$D,$A858)=0),"NO UPC MATCH in Release_Label",and($B858&lt;&gt;"",countif('3) Release_Label'!$E:$E,$B858)=0),"NO CATALOG ID MATCH in Release_Label",iserror(vlookup($A858&amp;$B858,'3) Release_Label'!$D:$D&amp;'3) Release_Label'!$E:$E,1,0)),"NO UPC-CATALOG ID pair MATCH in Release_Label" )</f>
        <v/>
      </c>
      <c r="D858" s="121" t="str">
        <f t="array" ref="D858">ifs(and(isblank($A858),isblank($B858)),"", not(iserror(vlookup($A858&amp;$B858,'3) Release_Label'!$D:$D&amp;'3) Release_Label'!$E:$E,1,0))),vlookup($A858&amp;$B858,{'3) Release_Label'!$D:$D&amp;'3) Release_Label'!$E:$E,'3) Release_Label'!$H:$H},2,0), or(and(not(isblank($B858)),$B858=$B857,$A858&lt;&gt;$A857),and(not(isblank($A858)),$A858=$A857,$B858&lt;&gt;$B857)),"ID LISTS UNALIGNED",and($A858&lt;&gt;"",countif('3) Release_Label'!$D:$D,$A858)=0),"NO UPC MATCH in Release_Label",and($B858&lt;&gt;"",countif('3) Release_Label'!$E:$E,$B858)=0),"NO CATALOG ID MATCH in Release_Label",iserror(vlookup($A858&amp;$B858,'3) Release_Label'!$D:$D&amp;'3) Release_Label'!$E:$E,1,0)),"NO UPC-CATALOG ID pair MATCH in Release_Label" )</f>
        <v/>
      </c>
      <c r="E858" s="92"/>
      <c r="F858" s="92"/>
      <c r="G858" s="125" t="str">
        <f t="array" ref="G858">ifs(or($F858="",$F858="Main Primary Artist"),$F858,not(iserror(vlookup($F858,'Reference info'!$J$5:$J$8,1,0))),"Key Artist",not(iserror(vlookup($F858,'Reference info'!$J$38:$J$405,1,0))),"Performer",not(iserror(vlookup($F858,'Reference info'!$J$10:$J$36,1,0))),"Producer &amp; Engineer")</f>
        <v/>
      </c>
    </row>
    <row r="859">
      <c r="A859" s="28"/>
      <c r="B859" s="97"/>
      <c r="C859" s="121" t="str">
        <f t="array" ref="C859">ifs(and(isblank($A859),isblank($B859)),"", not(iserror(vlookup($A859&amp;$B859,'3) Release_Label'!$D:$D&amp;'3) Release_Label'!$E:$E,1,0))),vlookup($A859&amp;$B859,{'3) Release_Label'!$D:$D&amp;'3) Release_Label'!$E:$E,'3) Release_Label'!$F:$F},2,0), or(and(not(isblank($B859)),$B859=$B858,$A859&lt;&gt;$A858),and(not(isblank($A859)),$A859=$A858,$B859&lt;&gt;$B858)),"ID LISTS UNALIGNED",and($A859&lt;&gt;"",countif('3) Release_Label'!$D:$D,$A859)=0),"NO UPC MATCH in Release_Label",and($B859&lt;&gt;"",countif('3) Release_Label'!$E:$E,$B859)=0),"NO CATALOG ID MATCH in Release_Label",iserror(vlookup($A859&amp;$B859,'3) Release_Label'!$D:$D&amp;'3) Release_Label'!$E:$E,1,0)),"NO UPC-CATALOG ID pair MATCH in Release_Label" )</f>
        <v/>
      </c>
      <c r="D859" s="121" t="str">
        <f t="array" ref="D859">ifs(and(isblank($A859),isblank($B859)),"", not(iserror(vlookup($A859&amp;$B859,'3) Release_Label'!$D:$D&amp;'3) Release_Label'!$E:$E,1,0))),vlookup($A859&amp;$B859,{'3) Release_Label'!$D:$D&amp;'3) Release_Label'!$E:$E,'3) Release_Label'!$H:$H},2,0), or(and(not(isblank($B859)),$B859=$B858,$A859&lt;&gt;$A858),and(not(isblank($A859)),$A859=$A858,$B859&lt;&gt;$B858)),"ID LISTS UNALIGNED",and($A859&lt;&gt;"",countif('3) Release_Label'!$D:$D,$A859)=0),"NO UPC MATCH in Release_Label",and($B859&lt;&gt;"",countif('3) Release_Label'!$E:$E,$B859)=0),"NO CATALOG ID MATCH in Release_Label",iserror(vlookup($A859&amp;$B859,'3) Release_Label'!$D:$D&amp;'3) Release_Label'!$E:$E,1,0)),"NO UPC-CATALOG ID pair MATCH in Release_Label" )</f>
        <v/>
      </c>
      <c r="E859" s="92"/>
      <c r="F859" s="92"/>
      <c r="G859" s="125" t="str">
        <f t="array" ref="G859">ifs(or($F859="",$F859="Main Primary Artist"),$F859,not(iserror(vlookup($F859,'Reference info'!$J$5:$J$8,1,0))),"Key Artist",not(iserror(vlookup($F859,'Reference info'!$J$38:$J$405,1,0))),"Performer",not(iserror(vlookup($F859,'Reference info'!$J$10:$J$36,1,0))),"Producer &amp; Engineer")</f>
        <v/>
      </c>
    </row>
    <row r="860">
      <c r="A860" s="28"/>
      <c r="B860" s="97"/>
      <c r="C860" s="121" t="str">
        <f t="array" ref="C860">ifs(and(isblank($A860),isblank($B860)),"", not(iserror(vlookup($A860&amp;$B860,'3) Release_Label'!$D:$D&amp;'3) Release_Label'!$E:$E,1,0))),vlookup($A860&amp;$B860,{'3) Release_Label'!$D:$D&amp;'3) Release_Label'!$E:$E,'3) Release_Label'!$F:$F},2,0), or(and(not(isblank($B860)),$B860=$B859,$A860&lt;&gt;$A859),and(not(isblank($A860)),$A860=$A859,$B860&lt;&gt;$B859)),"ID LISTS UNALIGNED",and($A860&lt;&gt;"",countif('3) Release_Label'!$D:$D,$A860)=0),"NO UPC MATCH in Release_Label",and($B860&lt;&gt;"",countif('3) Release_Label'!$E:$E,$B860)=0),"NO CATALOG ID MATCH in Release_Label",iserror(vlookup($A860&amp;$B860,'3) Release_Label'!$D:$D&amp;'3) Release_Label'!$E:$E,1,0)),"NO UPC-CATALOG ID pair MATCH in Release_Label" )</f>
        <v/>
      </c>
      <c r="D860" s="121" t="str">
        <f t="array" ref="D860">ifs(and(isblank($A860),isblank($B860)),"", not(iserror(vlookup($A860&amp;$B860,'3) Release_Label'!$D:$D&amp;'3) Release_Label'!$E:$E,1,0))),vlookup($A860&amp;$B860,{'3) Release_Label'!$D:$D&amp;'3) Release_Label'!$E:$E,'3) Release_Label'!$H:$H},2,0), or(and(not(isblank($B860)),$B860=$B859,$A860&lt;&gt;$A859),and(not(isblank($A860)),$A860=$A859,$B860&lt;&gt;$B859)),"ID LISTS UNALIGNED",and($A860&lt;&gt;"",countif('3) Release_Label'!$D:$D,$A860)=0),"NO UPC MATCH in Release_Label",and($B860&lt;&gt;"",countif('3) Release_Label'!$E:$E,$B860)=0),"NO CATALOG ID MATCH in Release_Label",iserror(vlookup($A860&amp;$B860,'3) Release_Label'!$D:$D&amp;'3) Release_Label'!$E:$E,1,0)),"NO UPC-CATALOG ID pair MATCH in Release_Label" )</f>
        <v/>
      </c>
      <c r="E860" s="92"/>
      <c r="F860" s="92"/>
      <c r="G860" s="125" t="str">
        <f t="array" ref="G860">ifs(or($F860="",$F860="Main Primary Artist"),$F860,not(iserror(vlookup($F860,'Reference info'!$J$5:$J$8,1,0))),"Key Artist",not(iserror(vlookup($F860,'Reference info'!$J$38:$J$405,1,0))),"Performer",not(iserror(vlookup($F860,'Reference info'!$J$10:$J$36,1,0))),"Producer &amp; Engineer")</f>
        <v/>
      </c>
    </row>
    <row r="861">
      <c r="A861" s="28"/>
      <c r="B861" s="97"/>
      <c r="C861" s="121" t="str">
        <f t="array" ref="C861">ifs(and(isblank($A861),isblank($B861)),"", not(iserror(vlookup($A861&amp;$B861,'3) Release_Label'!$D:$D&amp;'3) Release_Label'!$E:$E,1,0))),vlookup($A861&amp;$B861,{'3) Release_Label'!$D:$D&amp;'3) Release_Label'!$E:$E,'3) Release_Label'!$F:$F},2,0), or(and(not(isblank($B861)),$B861=$B860,$A861&lt;&gt;$A860),and(not(isblank($A861)),$A861=$A860,$B861&lt;&gt;$B860)),"ID LISTS UNALIGNED",and($A861&lt;&gt;"",countif('3) Release_Label'!$D:$D,$A861)=0),"NO UPC MATCH in Release_Label",and($B861&lt;&gt;"",countif('3) Release_Label'!$E:$E,$B861)=0),"NO CATALOG ID MATCH in Release_Label",iserror(vlookup($A861&amp;$B861,'3) Release_Label'!$D:$D&amp;'3) Release_Label'!$E:$E,1,0)),"NO UPC-CATALOG ID pair MATCH in Release_Label" )</f>
        <v/>
      </c>
      <c r="D861" s="121" t="str">
        <f t="array" ref="D861">ifs(and(isblank($A861),isblank($B861)),"", not(iserror(vlookup($A861&amp;$B861,'3) Release_Label'!$D:$D&amp;'3) Release_Label'!$E:$E,1,0))),vlookup($A861&amp;$B861,{'3) Release_Label'!$D:$D&amp;'3) Release_Label'!$E:$E,'3) Release_Label'!$H:$H},2,0), or(and(not(isblank($B861)),$B861=$B860,$A861&lt;&gt;$A860),and(not(isblank($A861)),$A861=$A860,$B861&lt;&gt;$B860)),"ID LISTS UNALIGNED",and($A861&lt;&gt;"",countif('3) Release_Label'!$D:$D,$A861)=0),"NO UPC MATCH in Release_Label",and($B861&lt;&gt;"",countif('3) Release_Label'!$E:$E,$B861)=0),"NO CATALOG ID MATCH in Release_Label",iserror(vlookup($A861&amp;$B861,'3) Release_Label'!$D:$D&amp;'3) Release_Label'!$E:$E,1,0)),"NO UPC-CATALOG ID pair MATCH in Release_Label" )</f>
        <v/>
      </c>
      <c r="E861" s="92"/>
      <c r="F861" s="92"/>
      <c r="G861" s="125" t="str">
        <f t="array" ref="G861">ifs(or($F861="",$F861="Main Primary Artist"),$F861,not(iserror(vlookup($F861,'Reference info'!$J$5:$J$8,1,0))),"Key Artist",not(iserror(vlookup($F861,'Reference info'!$J$38:$J$405,1,0))),"Performer",not(iserror(vlookup($F861,'Reference info'!$J$10:$J$36,1,0))),"Producer &amp; Engineer")</f>
        <v/>
      </c>
    </row>
    <row r="862">
      <c r="A862" s="28"/>
      <c r="B862" s="97"/>
      <c r="C862" s="121" t="str">
        <f t="array" ref="C862">ifs(and(isblank($A862),isblank($B862)),"", not(iserror(vlookup($A862&amp;$B862,'3) Release_Label'!$D:$D&amp;'3) Release_Label'!$E:$E,1,0))),vlookup($A862&amp;$B862,{'3) Release_Label'!$D:$D&amp;'3) Release_Label'!$E:$E,'3) Release_Label'!$F:$F},2,0), or(and(not(isblank($B862)),$B862=$B861,$A862&lt;&gt;$A861),and(not(isblank($A862)),$A862=$A861,$B862&lt;&gt;$B861)),"ID LISTS UNALIGNED",and($A862&lt;&gt;"",countif('3) Release_Label'!$D:$D,$A862)=0),"NO UPC MATCH in Release_Label",and($B862&lt;&gt;"",countif('3) Release_Label'!$E:$E,$B862)=0),"NO CATALOG ID MATCH in Release_Label",iserror(vlookup($A862&amp;$B862,'3) Release_Label'!$D:$D&amp;'3) Release_Label'!$E:$E,1,0)),"NO UPC-CATALOG ID pair MATCH in Release_Label" )</f>
        <v/>
      </c>
      <c r="D862" s="121" t="str">
        <f t="array" ref="D862">ifs(and(isblank($A862),isblank($B862)),"", not(iserror(vlookup($A862&amp;$B862,'3) Release_Label'!$D:$D&amp;'3) Release_Label'!$E:$E,1,0))),vlookup($A862&amp;$B862,{'3) Release_Label'!$D:$D&amp;'3) Release_Label'!$E:$E,'3) Release_Label'!$H:$H},2,0), or(and(not(isblank($B862)),$B862=$B861,$A862&lt;&gt;$A861),and(not(isblank($A862)),$A862=$A861,$B862&lt;&gt;$B861)),"ID LISTS UNALIGNED",and($A862&lt;&gt;"",countif('3) Release_Label'!$D:$D,$A862)=0),"NO UPC MATCH in Release_Label",and($B862&lt;&gt;"",countif('3) Release_Label'!$E:$E,$B862)=0),"NO CATALOG ID MATCH in Release_Label",iserror(vlookup($A862&amp;$B862,'3) Release_Label'!$D:$D&amp;'3) Release_Label'!$E:$E,1,0)),"NO UPC-CATALOG ID pair MATCH in Release_Label" )</f>
        <v/>
      </c>
      <c r="E862" s="92"/>
      <c r="F862" s="92"/>
      <c r="G862" s="125" t="str">
        <f t="array" ref="G862">ifs(or($F862="",$F862="Main Primary Artist"),$F862,not(iserror(vlookup($F862,'Reference info'!$J$5:$J$8,1,0))),"Key Artist",not(iserror(vlookup($F862,'Reference info'!$J$38:$J$405,1,0))),"Performer",not(iserror(vlookup($F862,'Reference info'!$J$10:$J$36,1,0))),"Producer &amp; Engineer")</f>
        <v/>
      </c>
    </row>
    <row r="863">
      <c r="A863" s="28"/>
      <c r="B863" s="97"/>
      <c r="C863" s="121" t="str">
        <f t="array" ref="C863">ifs(and(isblank($A863),isblank($B863)),"", not(iserror(vlookup($A863&amp;$B863,'3) Release_Label'!$D:$D&amp;'3) Release_Label'!$E:$E,1,0))),vlookup($A863&amp;$B863,{'3) Release_Label'!$D:$D&amp;'3) Release_Label'!$E:$E,'3) Release_Label'!$F:$F},2,0), or(and(not(isblank($B863)),$B863=$B862,$A863&lt;&gt;$A862),and(not(isblank($A863)),$A863=$A862,$B863&lt;&gt;$B862)),"ID LISTS UNALIGNED",and($A863&lt;&gt;"",countif('3) Release_Label'!$D:$D,$A863)=0),"NO UPC MATCH in Release_Label",and($B863&lt;&gt;"",countif('3) Release_Label'!$E:$E,$B863)=0),"NO CATALOG ID MATCH in Release_Label",iserror(vlookup($A863&amp;$B863,'3) Release_Label'!$D:$D&amp;'3) Release_Label'!$E:$E,1,0)),"NO UPC-CATALOG ID pair MATCH in Release_Label" )</f>
        <v/>
      </c>
      <c r="D863" s="121" t="str">
        <f t="array" ref="D863">ifs(and(isblank($A863),isblank($B863)),"", not(iserror(vlookup($A863&amp;$B863,'3) Release_Label'!$D:$D&amp;'3) Release_Label'!$E:$E,1,0))),vlookup($A863&amp;$B863,{'3) Release_Label'!$D:$D&amp;'3) Release_Label'!$E:$E,'3) Release_Label'!$H:$H},2,0), or(and(not(isblank($B863)),$B863=$B862,$A863&lt;&gt;$A862),and(not(isblank($A863)),$A863=$A862,$B863&lt;&gt;$B862)),"ID LISTS UNALIGNED",and($A863&lt;&gt;"",countif('3) Release_Label'!$D:$D,$A863)=0),"NO UPC MATCH in Release_Label",and($B863&lt;&gt;"",countif('3) Release_Label'!$E:$E,$B863)=0),"NO CATALOG ID MATCH in Release_Label",iserror(vlookup($A863&amp;$B863,'3) Release_Label'!$D:$D&amp;'3) Release_Label'!$E:$E,1,0)),"NO UPC-CATALOG ID pair MATCH in Release_Label" )</f>
        <v/>
      </c>
      <c r="E863" s="92"/>
      <c r="F863" s="92"/>
      <c r="G863" s="125" t="str">
        <f t="array" ref="G863">ifs(or($F863="",$F863="Main Primary Artist"),$F863,not(iserror(vlookup($F863,'Reference info'!$J$5:$J$8,1,0))),"Key Artist",not(iserror(vlookup($F863,'Reference info'!$J$38:$J$405,1,0))),"Performer",not(iserror(vlookup($F863,'Reference info'!$J$10:$J$36,1,0))),"Producer &amp; Engineer")</f>
        <v/>
      </c>
    </row>
    <row r="864">
      <c r="A864" s="28"/>
      <c r="B864" s="97"/>
      <c r="C864" s="121" t="str">
        <f t="array" ref="C864">ifs(and(isblank($A864),isblank($B864)),"", not(iserror(vlookup($A864&amp;$B864,'3) Release_Label'!$D:$D&amp;'3) Release_Label'!$E:$E,1,0))),vlookup($A864&amp;$B864,{'3) Release_Label'!$D:$D&amp;'3) Release_Label'!$E:$E,'3) Release_Label'!$F:$F},2,0), or(and(not(isblank($B864)),$B864=$B863,$A864&lt;&gt;$A863),and(not(isblank($A864)),$A864=$A863,$B864&lt;&gt;$B863)),"ID LISTS UNALIGNED",and($A864&lt;&gt;"",countif('3) Release_Label'!$D:$D,$A864)=0),"NO UPC MATCH in Release_Label",and($B864&lt;&gt;"",countif('3) Release_Label'!$E:$E,$B864)=0),"NO CATALOG ID MATCH in Release_Label",iserror(vlookup($A864&amp;$B864,'3) Release_Label'!$D:$D&amp;'3) Release_Label'!$E:$E,1,0)),"NO UPC-CATALOG ID pair MATCH in Release_Label" )</f>
        <v/>
      </c>
      <c r="D864" s="121" t="str">
        <f t="array" ref="D864">ifs(and(isblank($A864),isblank($B864)),"", not(iserror(vlookup($A864&amp;$B864,'3) Release_Label'!$D:$D&amp;'3) Release_Label'!$E:$E,1,0))),vlookup($A864&amp;$B864,{'3) Release_Label'!$D:$D&amp;'3) Release_Label'!$E:$E,'3) Release_Label'!$H:$H},2,0), or(and(not(isblank($B864)),$B864=$B863,$A864&lt;&gt;$A863),and(not(isblank($A864)),$A864=$A863,$B864&lt;&gt;$B863)),"ID LISTS UNALIGNED",and($A864&lt;&gt;"",countif('3) Release_Label'!$D:$D,$A864)=0),"NO UPC MATCH in Release_Label",and($B864&lt;&gt;"",countif('3) Release_Label'!$E:$E,$B864)=0),"NO CATALOG ID MATCH in Release_Label",iserror(vlookup($A864&amp;$B864,'3) Release_Label'!$D:$D&amp;'3) Release_Label'!$E:$E,1,0)),"NO UPC-CATALOG ID pair MATCH in Release_Label" )</f>
        <v/>
      </c>
      <c r="E864" s="92"/>
      <c r="F864" s="92"/>
      <c r="G864" s="125" t="str">
        <f t="array" ref="G864">ifs(or($F864="",$F864="Main Primary Artist"),$F864,not(iserror(vlookup($F864,'Reference info'!$J$5:$J$8,1,0))),"Key Artist",not(iserror(vlookup($F864,'Reference info'!$J$38:$J$405,1,0))),"Performer",not(iserror(vlookup($F864,'Reference info'!$J$10:$J$36,1,0))),"Producer &amp; Engineer")</f>
        <v/>
      </c>
    </row>
    <row r="865">
      <c r="A865" s="28"/>
      <c r="B865" s="97"/>
      <c r="C865" s="121" t="str">
        <f t="array" ref="C865">ifs(and(isblank($A865),isblank($B865)),"", not(iserror(vlookup($A865&amp;$B865,'3) Release_Label'!$D:$D&amp;'3) Release_Label'!$E:$E,1,0))),vlookup($A865&amp;$B865,{'3) Release_Label'!$D:$D&amp;'3) Release_Label'!$E:$E,'3) Release_Label'!$F:$F},2,0), or(and(not(isblank($B865)),$B865=$B864,$A865&lt;&gt;$A864),and(not(isblank($A865)),$A865=$A864,$B865&lt;&gt;$B864)),"ID LISTS UNALIGNED",and($A865&lt;&gt;"",countif('3) Release_Label'!$D:$D,$A865)=0),"NO UPC MATCH in Release_Label",and($B865&lt;&gt;"",countif('3) Release_Label'!$E:$E,$B865)=0),"NO CATALOG ID MATCH in Release_Label",iserror(vlookup($A865&amp;$B865,'3) Release_Label'!$D:$D&amp;'3) Release_Label'!$E:$E,1,0)),"NO UPC-CATALOG ID pair MATCH in Release_Label" )</f>
        <v/>
      </c>
      <c r="D865" s="121" t="str">
        <f t="array" ref="D865">ifs(and(isblank($A865),isblank($B865)),"", not(iserror(vlookup($A865&amp;$B865,'3) Release_Label'!$D:$D&amp;'3) Release_Label'!$E:$E,1,0))),vlookup($A865&amp;$B865,{'3) Release_Label'!$D:$D&amp;'3) Release_Label'!$E:$E,'3) Release_Label'!$H:$H},2,0), or(and(not(isblank($B865)),$B865=$B864,$A865&lt;&gt;$A864),and(not(isblank($A865)),$A865=$A864,$B865&lt;&gt;$B864)),"ID LISTS UNALIGNED",and($A865&lt;&gt;"",countif('3) Release_Label'!$D:$D,$A865)=0),"NO UPC MATCH in Release_Label",and($B865&lt;&gt;"",countif('3) Release_Label'!$E:$E,$B865)=0),"NO CATALOG ID MATCH in Release_Label",iserror(vlookup($A865&amp;$B865,'3) Release_Label'!$D:$D&amp;'3) Release_Label'!$E:$E,1,0)),"NO UPC-CATALOG ID pair MATCH in Release_Label" )</f>
        <v/>
      </c>
      <c r="E865" s="92"/>
      <c r="F865" s="92"/>
      <c r="G865" s="125" t="str">
        <f t="array" ref="G865">ifs(or($F865="",$F865="Main Primary Artist"),$F865,not(iserror(vlookup($F865,'Reference info'!$J$5:$J$8,1,0))),"Key Artist",not(iserror(vlookup($F865,'Reference info'!$J$38:$J$405,1,0))),"Performer",not(iserror(vlookup($F865,'Reference info'!$J$10:$J$36,1,0))),"Producer &amp; Engineer")</f>
        <v/>
      </c>
    </row>
    <row r="866">
      <c r="A866" s="28"/>
      <c r="B866" s="97"/>
      <c r="C866" s="121" t="str">
        <f t="array" ref="C866">ifs(and(isblank($A866),isblank($B866)),"", not(iserror(vlookup($A866&amp;$B866,'3) Release_Label'!$D:$D&amp;'3) Release_Label'!$E:$E,1,0))),vlookup($A866&amp;$B866,{'3) Release_Label'!$D:$D&amp;'3) Release_Label'!$E:$E,'3) Release_Label'!$F:$F},2,0), or(and(not(isblank($B866)),$B866=$B865,$A866&lt;&gt;$A865),and(not(isblank($A866)),$A866=$A865,$B866&lt;&gt;$B865)),"ID LISTS UNALIGNED",and($A866&lt;&gt;"",countif('3) Release_Label'!$D:$D,$A866)=0),"NO UPC MATCH in Release_Label",and($B866&lt;&gt;"",countif('3) Release_Label'!$E:$E,$B866)=0),"NO CATALOG ID MATCH in Release_Label",iserror(vlookup($A866&amp;$B866,'3) Release_Label'!$D:$D&amp;'3) Release_Label'!$E:$E,1,0)),"NO UPC-CATALOG ID pair MATCH in Release_Label" )</f>
        <v/>
      </c>
      <c r="D866" s="121" t="str">
        <f t="array" ref="D866">ifs(and(isblank($A866),isblank($B866)),"", not(iserror(vlookup($A866&amp;$B866,'3) Release_Label'!$D:$D&amp;'3) Release_Label'!$E:$E,1,0))),vlookup($A866&amp;$B866,{'3) Release_Label'!$D:$D&amp;'3) Release_Label'!$E:$E,'3) Release_Label'!$H:$H},2,0), or(and(not(isblank($B866)),$B866=$B865,$A866&lt;&gt;$A865),and(not(isblank($A866)),$A866=$A865,$B866&lt;&gt;$B865)),"ID LISTS UNALIGNED",and($A866&lt;&gt;"",countif('3) Release_Label'!$D:$D,$A866)=0),"NO UPC MATCH in Release_Label",and($B866&lt;&gt;"",countif('3) Release_Label'!$E:$E,$B866)=0),"NO CATALOG ID MATCH in Release_Label",iserror(vlookup($A866&amp;$B866,'3) Release_Label'!$D:$D&amp;'3) Release_Label'!$E:$E,1,0)),"NO UPC-CATALOG ID pair MATCH in Release_Label" )</f>
        <v/>
      </c>
      <c r="E866" s="92"/>
      <c r="F866" s="92"/>
      <c r="G866" s="125" t="str">
        <f t="array" ref="G866">ifs(or($F866="",$F866="Main Primary Artist"),$F866,not(iserror(vlookup($F866,'Reference info'!$J$5:$J$8,1,0))),"Key Artist",not(iserror(vlookup($F866,'Reference info'!$J$38:$J$405,1,0))),"Performer",not(iserror(vlookup($F866,'Reference info'!$J$10:$J$36,1,0))),"Producer &amp; Engineer")</f>
        <v/>
      </c>
    </row>
    <row r="867">
      <c r="A867" s="28"/>
      <c r="B867" s="97"/>
      <c r="C867" s="121" t="str">
        <f t="array" ref="C867">ifs(and(isblank($A867),isblank($B867)),"", not(iserror(vlookup($A867&amp;$B867,'3) Release_Label'!$D:$D&amp;'3) Release_Label'!$E:$E,1,0))),vlookup($A867&amp;$B867,{'3) Release_Label'!$D:$D&amp;'3) Release_Label'!$E:$E,'3) Release_Label'!$F:$F},2,0), or(and(not(isblank($B867)),$B867=$B866,$A867&lt;&gt;$A866),and(not(isblank($A867)),$A867=$A866,$B867&lt;&gt;$B866)),"ID LISTS UNALIGNED",and($A867&lt;&gt;"",countif('3) Release_Label'!$D:$D,$A867)=0),"NO UPC MATCH in Release_Label",and($B867&lt;&gt;"",countif('3) Release_Label'!$E:$E,$B867)=0),"NO CATALOG ID MATCH in Release_Label",iserror(vlookup($A867&amp;$B867,'3) Release_Label'!$D:$D&amp;'3) Release_Label'!$E:$E,1,0)),"NO UPC-CATALOG ID pair MATCH in Release_Label" )</f>
        <v/>
      </c>
      <c r="D867" s="121" t="str">
        <f t="array" ref="D867">ifs(and(isblank($A867),isblank($B867)),"", not(iserror(vlookup($A867&amp;$B867,'3) Release_Label'!$D:$D&amp;'3) Release_Label'!$E:$E,1,0))),vlookup($A867&amp;$B867,{'3) Release_Label'!$D:$D&amp;'3) Release_Label'!$E:$E,'3) Release_Label'!$H:$H},2,0), or(and(not(isblank($B867)),$B867=$B866,$A867&lt;&gt;$A866),and(not(isblank($A867)),$A867=$A866,$B867&lt;&gt;$B866)),"ID LISTS UNALIGNED",and($A867&lt;&gt;"",countif('3) Release_Label'!$D:$D,$A867)=0),"NO UPC MATCH in Release_Label",and($B867&lt;&gt;"",countif('3) Release_Label'!$E:$E,$B867)=0),"NO CATALOG ID MATCH in Release_Label",iserror(vlookup($A867&amp;$B867,'3) Release_Label'!$D:$D&amp;'3) Release_Label'!$E:$E,1,0)),"NO UPC-CATALOG ID pair MATCH in Release_Label" )</f>
        <v/>
      </c>
      <c r="E867" s="92"/>
      <c r="F867" s="92"/>
      <c r="G867" s="125" t="str">
        <f t="array" ref="G867">ifs(or($F867="",$F867="Main Primary Artist"),$F867,not(iserror(vlookup($F867,'Reference info'!$J$5:$J$8,1,0))),"Key Artist",not(iserror(vlookup($F867,'Reference info'!$J$38:$J$405,1,0))),"Performer",not(iserror(vlookup($F867,'Reference info'!$J$10:$J$36,1,0))),"Producer &amp; Engineer")</f>
        <v/>
      </c>
    </row>
    <row r="868">
      <c r="A868" s="28"/>
      <c r="B868" s="97"/>
      <c r="C868" s="121" t="str">
        <f t="array" ref="C868">ifs(and(isblank($A868),isblank($B868)),"", not(iserror(vlookup($A868&amp;$B868,'3) Release_Label'!$D:$D&amp;'3) Release_Label'!$E:$E,1,0))),vlookup($A868&amp;$B868,{'3) Release_Label'!$D:$D&amp;'3) Release_Label'!$E:$E,'3) Release_Label'!$F:$F},2,0), or(and(not(isblank($B868)),$B868=$B867,$A868&lt;&gt;$A867),and(not(isblank($A868)),$A868=$A867,$B868&lt;&gt;$B867)),"ID LISTS UNALIGNED",and($A868&lt;&gt;"",countif('3) Release_Label'!$D:$D,$A868)=0),"NO UPC MATCH in Release_Label",and($B868&lt;&gt;"",countif('3) Release_Label'!$E:$E,$B868)=0),"NO CATALOG ID MATCH in Release_Label",iserror(vlookup($A868&amp;$B868,'3) Release_Label'!$D:$D&amp;'3) Release_Label'!$E:$E,1,0)),"NO UPC-CATALOG ID pair MATCH in Release_Label" )</f>
        <v/>
      </c>
      <c r="D868" s="121" t="str">
        <f t="array" ref="D868">ifs(and(isblank($A868),isblank($B868)),"", not(iserror(vlookup($A868&amp;$B868,'3) Release_Label'!$D:$D&amp;'3) Release_Label'!$E:$E,1,0))),vlookup($A868&amp;$B868,{'3) Release_Label'!$D:$D&amp;'3) Release_Label'!$E:$E,'3) Release_Label'!$H:$H},2,0), or(and(not(isblank($B868)),$B868=$B867,$A868&lt;&gt;$A867),and(not(isblank($A868)),$A868=$A867,$B868&lt;&gt;$B867)),"ID LISTS UNALIGNED",and($A868&lt;&gt;"",countif('3) Release_Label'!$D:$D,$A868)=0),"NO UPC MATCH in Release_Label",and($B868&lt;&gt;"",countif('3) Release_Label'!$E:$E,$B868)=0),"NO CATALOG ID MATCH in Release_Label",iserror(vlookup($A868&amp;$B868,'3) Release_Label'!$D:$D&amp;'3) Release_Label'!$E:$E,1,0)),"NO UPC-CATALOG ID pair MATCH in Release_Label" )</f>
        <v/>
      </c>
      <c r="E868" s="92"/>
      <c r="F868" s="92"/>
      <c r="G868" s="125" t="str">
        <f t="array" ref="G868">ifs(or($F868="",$F868="Main Primary Artist"),$F868,not(iserror(vlookup($F868,'Reference info'!$J$5:$J$8,1,0))),"Key Artist",not(iserror(vlookup($F868,'Reference info'!$J$38:$J$405,1,0))),"Performer",not(iserror(vlookup($F868,'Reference info'!$J$10:$J$36,1,0))),"Producer &amp; Engineer")</f>
        <v/>
      </c>
    </row>
    <row r="869">
      <c r="A869" s="28"/>
      <c r="B869" s="97"/>
      <c r="C869" s="121" t="str">
        <f t="array" ref="C869">ifs(and(isblank($A869),isblank($B869)),"", not(iserror(vlookup($A869&amp;$B869,'3) Release_Label'!$D:$D&amp;'3) Release_Label'!$E:$E,1,0))),vlookup($A869&amp;$B869,{'3) Release_Label'!$D:$D&amp;'3) Release_Label'!$E:$E,'3) Release_Label'!$F:$F},2,0), or(and(not(isblank($B869)),$B869=$B868,$A869&lt;&gt;$A868),and(not(isblank($A869)),$A869=$A868,$B869&lt;&gt;$B868)),"ID LISTS UNALIGNED",and($A869&lt;&gt;"",countif('3) Release_Label'!$D:$D,$A869)=0),"NO UPC MATCH in Release_Label",and($B869&lt;&gt;"",countif('3) Release_Label'!$E:$E,$B869)=0),"NO CATALOG ID MATCH in Release_Label",iserror(vlookup($A869&amp;$B869,'3) Release_Label'!$D:$D&amp;'3) Release_Label'!$E:$E,1,0)),"NO UPC-CATALOG ID pair MATCH in Release_Label" )</f>
        <v/>
      </c>
      <c r="D869" s="121" t="str">
        <f t="array" ref="D869">ifs(and(isblank($A869),isblank($B869)),"", not(iserror(vlookup($A869&amp;$B869,'3) Release_Label'!$D:$D&amp;'3) Release_Label'!$E:$E,1,0))),vlookup($A869&amp;$B869,{'3) Release_Label'!$D:$D&amp;'3) Release_Label'!$E:$E,'3) Release_Label'!$H:$H},2,0), or(and(not(isblank($B869)),$B869=$B868,$A869&lt;&gt;$A868),and(not(isblank($A869)),$A869=$A868,$B869&lt;&gt;$B868)),"ID LISTS UNALIGNED",and($A869&lt;&gt;"",countif('3) Release_Label'!$D:$D,$A869)=0),"NO UPC MATCH in Release_Label",and($B869&lt;&gt;"",countif('3) Release_Label'!$E:$E,$B869)=0),"NO CATALOG ID MATCH in Release_Label",iserror(vlookup($A869&amp;$B869,'3) Release_Label'!$D:$D&amp;'3) Release_Label'!$E:$E,1,0)),"NO UPC-CATALOG ID pair MATCH in Release_Label" )</f>
        <v/>
      </c>
      <c r="E869" s="92"/>
      <c r="F869" s="92"/>
      <c r="G869" s="125" t="str">
        <f t="array" ref="G869">ifs(or($F869="",$F869="Main Primary Artist"),$F869,not(iserror(vlookup($F869,'Reference info'!$J$5:$J$8,1,0))),"Key Artist",not(iserror(vlookup($F869,'Reference info'!$J$38:$J$405,1,0))),"Performer",not(iserror(vlookup($F869,'Reference info'!$J$10:$J$36,1,0))),"Producer &amp; Engineer")</f>
        <v/>
      </c>
    </row>
    <row r="870">
      <c r="A870" s="28"/>
      <c r="B870" s="97"/>
      <c r="C870" s="121" t="str">
        <f t="array" ref="C870">ifs(and(isblank($A870),isblank($B870)),"", not(iserror(vlookup($A870&amp;$B870,'3) Release_Label'!$D:$D&amp;'3) Release_Label'!$E:$E,1,0))),vlookup($A870&amp;$B870,{'3) Release_Label'!$D:$D&amp;'3) Release_Label'!$E:$E,'3) Release_Label'!$F:$F},2,0), or(and(not(isblank($B870)),$B870=$B869,$A870&lt;&gt;$A869),and(not(isblank($A870)),$A870=$A869,$B870&lt;&gt;$B869)),"ID LISTS UNALIGNED",and($A870&lt;&gt;"",countif('3) Release_Label'!$D:$D,$A870)=0),"NO UPC MATCH in Release_Label",and($B870&lt;&gt;"",countif('3) Release_Label'!$E:$E,$B870)=0),"NO CATALOG ID MATCH in Release_Label",iserror(vlookup($A870&amp;$B870,'3) Release_Label'!$D:$D&amp;'3) Release_Label'!$E:$E,1,0)),"NO UPC-CATALOG ID pair MATCH in Release_Label" )</f>
        <v/>
      </c>
      <c r="D870" s="121" t="str">
        <f t="array" ref="D870">ifs(and(isblank($A870),isblank($B870)),"", not(iserror(vlookup($A870&amp;$B870,'3) Release_Label'!$D:$D&amp;'3) Release_Label'!$E:$E,1,0))),vlookup($A870&amp;$B870,{'3) Release_Label'!$D:$D&amp;'3) Release_Label'!$E:$E,'3) Release_Label'!$H:$H},2,0), or(and(not(isblank($B870)),$B870=$B869,$A870&lt;&gt;$A869),and(not(isblank($A870)),$A870=$A869,$B870&lt;&gt;$B869)),"ID LISTS UNALIGNED",and($A870&lt;&gt;"",countif('3) Release_Label'!$D:$D,$A870)=0),"NO UPC MATCH in Release_Label",and($B870&lt;&gt;"",countif('3) Release_Label'!$E:$E,$B870)=0),"NO CATALOG ID MATCH in Release_Label",iserror(vlookup($A870&amp;$B870,'3) Release_Label'!$D:$D&amp;'3) Release_Label'!$E:$E,1,0)),"NO UPC-CATALOG ID pair MATCH in Release_Label" )</f>
        <v/>
      </c>
      <c r="E870" s="92"/>
      <c r="F870" s="92"/>
      <c r="G870" s="125" t="str">
        <f t="array" ref="G870">ifs(or($F870="",$F870="Main Primary Artist"),$F870,not(iserror(vlookup($F870,'Reference info'!$J$5:$J$8,1,0))),"Key Artist",not(iserror(vlookup($F870,'Reference info'!$J$38:$J$405,1,0))),"Performer",not(iserror(vlookup($F870,'Reference info'!$J$10:$J$36,1,0))),"Producer &amp; Engineer")</f>
        <v/>
      </c>
    </row>
    <row r="871">
      <c r="A871" s="28"/>
      <c r="B871" s="97"/>
      <c r="C871" s="121" t="str">
        <f t="array" ref="C871">ifs(and(isblank($A871),isblank($B871)),"", not(iserror(vlookup($A871&amp;$B871,'3) Release_Label'!$D:$D&amp;'3) Release_Label'!$E:$E,1,0))),vlookup($A871&amp;$B871,{'3) Release_Label'!$D:$D&amp;'3) Release_Label'!$E:$E,'3) Release_Label'!$F:$F},2,0), or(and(not(isblank($B871)),$B871=$B870,$A871&lt;&gt;$A870),and(not(isblank($A871)),$A871=$A870,$B871&lt;&gt;$B870)),"ID LISTS UNALIGNED",and($A871&lt;&gt;"",countif('3) Release_Label'!$D:$D,$A871)=0),"NO UPC MATCH in Release_Label",and($B871&lt;&gt;"",countif('3) Release_Label'!$E:$E,$B871)=0),"NO CATALOG ID MATCH in Release_Label",iserror(vlookup($A871&amp;$B871,'3) Release_Label'!$D:$D&amp;'3) Release_Label'!$E:$E,1,0)),"NO UPC-CATALOG ID pair MATCH in Release_Label" )</f>
        <v/>
      </c>
      <c r="D871" s="121" t="str">
        <f t="array" ref="D871">ifs(and(isblank($A871),isblank($B871)),"", not(iserror(vlookup($A871&amp;$B871,'3) Release_Label'!$D:$D&amp;'3) Release_Label'!$E:$E,1,0))),vlookup($A871&amp;$B871,{'3) Release_Label'!$D:$D&amp;'3) Release_Label'!$E:$E,'3) Release_Label'!$H:$H},2,0), or(and(not(isblank($B871)),$B871=$B870,$A871&lt;&gt;$A870),and(not(isblank($A871)),$A871=$A870,$B871&lt;&gt;$B870)),"ID LISTS UNALIGNED",and($A871&lt;&gt;"",countif('3) Release_Label'!$D:$D,$A871)=0),"NO UPC MATCH in Release_Label",and($B871&lt;&gt;"",countif('3) Release_Label'!$E:$E,$B871)=0),"NO CATALOG ID MATCH in Release_Label",iserror(vlookup($A871&amp;$B871,'3) Release_Label'!$D:$D&amp;'3) Release_Label'!$E:$E,1,0)),"NO UPC-CATALOG ID pair MATCH in Release_Label" )</f>
        <v/>
      </c>
      <c r="E871" s="92"/>
      <c r="F871" s="92"/>
      <c r="G871" s="125" t="str">
        <f t="array" ref="G871">ifs(or($F871="",$F871="Main Primary Artist"),$F871,not(iserror(vlookup($F871,'Reference info'!$J$5:$J$8,1,0))),"Key Artist",not(iserror(vlookup($F871,'Reference info'!$J$38:$J$405,1,0))),"Performer",not(iserror(vlookup($F871,'Reference info'!$J$10:$J$36,1,0))),"Producer &amp; Engineer")</f>
        <v/>
      </c>
    </row>
    <row r="872">
      <c r="A872" s="28"/>
      <c r="B872" s="97"/>
      <c r="C872" s="121" t="str">
        <f t="array" ref="C872">ifs(and(isblank($A872),isblank($B872)),"", not(iserror(vlookup($A872&amp;$B872,'3) Release_Label'!$D:$D&amp;'3) Release_Label'!$E:$E,1,0))),vlookup($A872&amp;$B872,{'3) Release_Label'!$D:$D&amp;'3) Release_Label'!$E:$E,'3) Release_Label'!$F:$F},2,0), or(and(not(isblank($B872)),$B872=$B871,$A872&lt;&gt;$A871),and(not(isblank($A872)),$A872=$A871,$B872&lt;&gt;$B871)),"ID LISTS UNALIGNED",and($A872&lt;&gt;"",countif('3) Release_Label'!$D:$D,$A872)=0),"NO UPC MATCH in Release_Label",and($B872&lt;&gt;"",countif('3) Release_Label'!$E:$E,$B872)=0),"NO CATALOG ID MATCH in Release_Label",iserror(vlookup($A872&amp;$B872,'3) Release_Label'!$D:$D&amp;'3) Release_Label'!$E:$E,1,0)),"NO UPC-CATALOG ID pair MATCH in Release_Label" )</f>
        <v/>
      </c>
      <c r="D872" s="121" t="str">
        <f t="array" ref="D872">ifs(and(isblank($A872),isblank($B872)),"", not(iserror(vlookup($A872&amp;$B872,'3) Release_Label'!$D:$D&amp;'3) Release_Label'!$E:$E,1,0))),vlookup($A872&amp;$B872,{'3) Release_Label'!$D:$D&amp;'3) Release_Label'!$E:$E,'3) Release_Label'!$H:$H},2,0), or(and(not(isblank($B872)),$B872=$B871,$A872&lt;&gt;$A871),and(not(isblank($A872)),$A872=$A871,$B872&lt;&gt;$B871)),"ID LISTS UNALIGNED",and($A872&lt;&gt;"",countif('3) Release_Label'!$D:$D,$A872)=0),"NO UPC MATCH in Release_Label",and($B872&lt;&gt;"",countif('3) Release_Label'!$E:$E,$B872)=0),"NO CATALOG ID MATCH in Release_Label",iserror(vlookup($A872&amp;$B872,'3) Release_Label'!$D:$D&amp;'3) Release_Label'!$E:$E,1,0)),"NO UPC-CATALOG ID pair MATCH in Release_Label" )</f>
        <v/>
      </c>
      <c r="E872" s="92"/>
      <c r="F872" s="92"/>
      <c r="G872" s="125" t="str">
        <f t="array" ref="G872">ifs(or($F872="",$F872="Main Primary Artist"),$F872,not(iserror(vlookup($F872,'Reference info'!$J$5:$J$8,1,0))),"Key Artist",not(iserror(vlookup($F872,'Reference info'!$J$38:$J$405,1,0))),"Performer",not(iserror(vlookup($F872,'Reference info'!$J$10:$J$36,1,0))),"Producer &amp; Engineer")</f>
        <v/>
      </c>
    </row>
    <row r="873">
      <c r="A873" s="28"/>
      <c r="B873" s="97"/>
      <c r="C873" s="121" t="str">
        <f t="array" ref="C873">ifs(and(isblank($A873),isblank($B873)),"", not(iserror(vlookup($A873&amp;$B873,'3) Release_Label'!$D:$D&amp;'3) Release_Label'!$E:$E,1,0))),vlookup($A873&amp;$B873,{'3) Release_Label'!$D:$D&amp;'3) Release_Label'!$E:$E,'3) Release_Label'!$F:$F},2,0), or(and(not(isblank($B873)),$B873=$B872,$A873&lt;&gt;$A872),and(not(isblank($A873)),$A873=$A872,$B873&lt;&gt;$B872)),"ID LISTS UNALIGNED",and($A873&lt;&gt;"",countif('3) Release_Label'!$D:$D,$A873)=0),"NO UPC MATCH in Release_Label",and($B873&lt;&gt;"",countif('3) Release_Label'!$E:$E,$B873)=0),"NO CATALOG ID MATCH in Release_Label",iserror(vlookup($A873&amp;$B873,'3) Release_Label'!$D:$D&amp;'3) Release_Label'!$E:$E,1,0)),"NO UPC-CATALOG ID pair MATCH in Release_Label" )</f>
        <v/>
      </c>
      <c r="D873" s="121" t="str">
        <f t="array" ref="D873">ifs(and(isblank($A873),isblank($B873)),"", not(iserror(vlookup($A873&amp;$B873,'3) Release_Label'!$D:$D&amp;'3) Release_Label'!$E:$E,1,0))),vlookup($A873&amp;$B873,{'3) Release_Label'!$D:$D&amp;'3) Release_Label'!$E:$E,'3) Release_Label'!$H:$H},2,0), or(and(not(isblank($B873)),$B873=$B872,$A873&lt;&gt;$A872),and(not(isblank($A873)),$A873=$A872,$B873&lt;&gt;$B872)),"ID LISTS UNALIGNED",and($A873&lt;&gt;"",countif('3) Release_Label'!$D:$D,$A873)=0),"NO UPC MATCH in Release_Label",and($B873&lt;&gt;"",countif('3) Release_Label'!$E:$E,$B873)=0),"NO CATALOG ID MATCH in Release_Label",iserror(vlookup($A873&amp;$B873,'3) Release_Label'!$D:$D&amp;'3) Release_Label'!$E:$E,1,0)),"NO UPC-CATALOG ID pair MATCH in Release_Label" )</f>
        <v/>
      </c>
      <c r="E873" s="92"/>
      <c r="F873" s="92"/>
      <c r="G873" s="125" t="str">
        <f t="array" ref="G873">ifs(or($F873="",$F873="Main Primary Artist"),$F873,not(iserror(vlookup($F873,'Reference info'!$J$5:$J$8,1,0))),"Key Artist",not(iserror(vlookup($F873,'Reference info'!$J$38:$J$405,1,0))),"Performer",not(iserror(vlookup($F873,'Reference info'!$J$10:$J$36,1,0))),"Producer &amp; Engineer")</f>
        <v/>
      </c>
    </row>
    <row r="874">
      <c r="A874" s="28"/>
      <c r="B874" s="97"/>
      <c r="C874" s="121" t="str">
        <f t="array" ref="C874">ifs(and(isblank($A874),isblank($B874)),"", not(iserror(vlookup($A874&amp;$B874,'3) Release_Label'!$D:$D&amp;'3) Release_Label'!$E:$E,1,0))),vlookup($A874&amp;$B874,{'3) Release_Label'!$D:$D&amp;'3) Release_Label'!$E:$E,'3) Release_Label'!$F:$F},2,0), or(and(not(isblank($B874)),$B874=$B873,$A874&lt;&gt;$A873),and(not(isblank($A874)),$A874=$A873,$B874&lt;&gt;$B873)),"ID LISTS UNALIGNED",and($A874&lt;&gt;"",countif('3) Release_Label'!$D:$D,$A874)=0),"NO UPC MATCH in Release_Label",and($B874&lt;&gt;"",countif('3) Release_Label'!$E:$E,$B874)=0),"NO CATALOG ID MATCH in Release_Label",iserror(vlookup($A874&amp;$B874,'3) Release_Label'!$D:$D&amp;'3) Release_Label'!$E:$E,1,0)),"NO UPC-CATALOG ID pair MATCH in Release_Label" )</f>
        <v/>
      </c>
      <c r="D874" s="121" t="str">
        <f t="array" ref="D874">ifs(and(isblank($A874),isblank($B874)),"", not(iserror(vlookup($A874&amp;$B874,'3) Release_Label'!$D:$D&amp;'3) Release_Label'!$E:$E,1,0))),vlookup($A874&amp;$B874,{'3) Release_Label'!$D:$D&amp;'3) Release_Label'!$E:$E,'3) Release_Label'!$H:$H},2,0), or(and(not(isblank($B874)),$B874=$B873,$A874&lt;&gt;$A873),and(not(isblank($A874)),$A874=$A873,$B874&lt;&gt;$B873)),"ID LISTS UNALIGNED",and($A874&lt;&gt;"",countif('3) Release_Label'!$D:$D,$A874)=0),"NO UPC MATCH in Release_Label",and($B874&lt;&gt;"",countif('3) Release_Label'!$E:$E,$B874)=0),"NO CATALOG ID MATCH in Release_Label",iserror(vlookup($A874&amp;$B874,'3) Release_Label'!$D:$D&amp;'3) Release_Label'!$E:$E,1,0)),"NO UPC-CATALOG ID pair MATCH in Release_Label" )</f>
        <v/>
      </c>
      <c r="E874" s="92"/>
      <c r="F874" s="92"/>
      <c r="G874" s="125" t="str">
        <f t="array" ref="G874">ifs(or($F874="",$F874="Main Primary Artist"),$F874,not(iserror(vlookup($F874,'Reference info'!$J$5:$J$8,1,0))),"Key Artist",not(iserror(vlookup($F874,'Reference info'!$J$38:$J$405,1,0))),"Performer",not(iserror(vlookup($F874,'Reference info'!$J$10:$J$36,1,0))),"Producer &amp; Engineer")</f>
        <v/>
      </c>
    </row>
    <row r="875">
      <c r="A875" s="28"/>
      <c r="B875" s="97"/>
      <c r="C875" s="121" t="str">
        <f t="array" ref="C875">ifs(and(isblank($A875),isblank($B875)),"", not(iserror(vlookup($A875&amp;$B875,'3) Release_Label'!$D:$D&amp;'3) Release_Label'!$E:$E,1,0))),vlookup($A875&amp;$B875,{'3) Release_Label'!$D:$D&amp;'3) Release_Label'!$E:$E,'3) Release_Label'!$F:$F},2,0), or(and(not(isblank($B875)),$B875=$B874,$A875&lt;&gt;$A874),and(not(isblank($A875)),$A875=$A874,$B875&lt;&gt;$B874)),"ID LISTS UNALIGNED",and($A875&lt;&gt;"",countif('3) Release_Label'!$D:$D,$A875)=0),"NO UPC MATCH in Release_Label",and($B875&lt;&gt;"",countif('3) Release_Label'!$E:$E,$B875)=0),"NO CATALOG ID MATCH in Release_Label",iserror(vlookup($A875&amp;$B875,'3) Release_Label'!$D:$D&amp;'3) Release_Label'!$E:$E,1,0)),"NO UPC-CATALOG ID pair MATCH in Release_Label" )</f>
        <v/>
      </c>
      <c r="D875" s="121" t="str">
        <f t="array" ref="D875">ifs(and(isblank($A875),isblank($B875)),"", not(iserror(vlookup($A875&amp;$B875,'3) Release_Label'!$D:$D&amp;'3) Release_Label'!$E:$E,1,0))),vlookup($A875&amp;$B875,{'3) Release_Label'!$D:$D&amp;'3) Release_Label'!$E:$E,'3) Release_Label'!$H:$H},2,0), or(and(not(isblank($B875)),$B875=$B874,$A875&lt;&gt;$A874),and(not(isblank($A875)),$A875=$A874,$B875&lt;&gt;$B874)),"ID LISTS UNALIGNED",and($A875&lt;&gt;"",countif('3) Release_Label'!$D:$D,$A875)=0),"NO UPC MATCH in Release_Label",and($B875&lt;&gt;"",countif('3) Release_Label'!$E:$E,$B875)=0),"NO CATALOG ID MATCH in Release_Label",iserror(vlookup($A875&amp;$B875,'3) Release_Label'!$D:$D&amp;'3) Release_Label'!$E:$E,1,0)),"NO UPC-CATALOG ID pair MATCH in Release_Label" )</f>
        <v/>
      </c>
      <c r="E875" s="92"/>
      <c r="F875" s="92"/>
      <c r="G875" s="125" t="str">
        <f t="array" ref="G875">ifs(or($F875="",$F875="Main Primary Artist"),$F875,not(iserror(vlookup($F875,'Reference info'!$J$5:$J$8,1,0))),"Key Artist",not(iserror(vlookup($F875,'Reference info'!$J$38:$J$405,1,0))),"Performer",not(iserror(vlookup($F875,'Reference info'!$J$10:$J$36,1,0))),"Producer &amp; Engineer")</f>
        <v/>
      </c>
    </row>
    <row r="876">
      <c r="A876" s="28"/>
      <c r="B876" s="97"/>
      <c r="C876" s="121" t="str">
        <f t="array" ref="C876">ifs(and(isblank($A876),isblank($B876)),"", not(iserror(vlookup($A876&amp;$B876,'3) Release_Label'!$D:$D&amp;'3) Release_Label'!$E:$E,1,0))),vlookup($A876&amp;$B876,{'3) Release_Label'!$D:$D&amp;'3) Release_Label'!$E:$E,'3) Release_Label'!$F:$F},2,0), or(and(not(isblank($B876)),$B876=$B875,$A876&lt;&gt;$A875),and(not(isblank($A876)),$A876=$A875,$B876&lt;&gt;$B875)),"ID LISTS UNALIGNED",and($A876&lt;&gt;"",countif('3) Release_Label'!$D:$D,$A876)=0),"NO UPC MATCH in Release_Label",and($B876&lt;&gt;"",countif('3) Release_Label'!$E:$E,$B876)=0),"NO CATALOG ID MATCH in Release_Label",iserror(vlookup($A876&amp;$B876,'3) Release_Label'!$D:$D&amp;'3) Release_Label'!$E:$E,1,0)),"NO UPC-CATALOG ID pair MATCH in Release_Label" )</f>
        <v/>
      </c>
      <c r="D876" s="121" t="str">
        <f t="array" ref="D876">ifs(and(isblank($A876),isblank($B876)),"", not(iserror(vlookup($A876&amp;$B876,'3) Release_Label'!$D:$D&amp;'3) Release_Label'!$E:$E,1,0))),vlookup($A876&amp;$B876,{'3) Release_Label'!$D:$D&amp;'3) Release_Label'!$E:$E,'3) Release_Label'!$H:$H},2,0), or(and(not(isblank($B876)),$B876=$B875,$A876&lt;&gt;$A875),and(not(isblank($A876)),$A876=$A875,$B876&lt;&gt;$B875)),"ID LISTS UNALIGNED",and($A876&lt;&gt;"",countif('3) Release_Label'!$D:$D,$A876)=0),"NO UPC MATCH in Release_Label",and($B876&lt;&gt;"",countif('3) Release_Label'!$E:$E,$B876)=0),"NO CATALOG ID MATCH in Release_Label",iserror(vlookup($A876&amp;$B876,'3) Release_Label'!$D:$D&amp;'3) Release_Label'!$E:$E,1,0)),"NO UPC-CATALOG ID pair MATCH in Release_Label" )</f>
        <v/>
      </c>
      <c r="E876" s="92"/>
      <c r="F876" s="92"/>
      <c r="G876" s="125" t="str">
        <f t="array" ref="G876">ifs(or($F876="",$F876="Main Primary Artist"),$F876,not(iserror(vlookup($F876,'Reference info'!$J$5:$J$8,1,0))),"Key Artist",not(iserror(vlookup($F876,'Reference info'!$J$38:$J$405,1,0))),"Performer",not(iserror(vlookup($F876,'Reference info'!$J$10:$J$36,1,0))),"Producer &amp; Engineer")</f>
        <v/>
      </c>
    </row>
    <row r="877">
      <c r="A877" s="28"/>
      <c r="B877" s="97"/>
      <c r="C877" s="121" t="str">
        <f t="array" ref="C877">ifs(and(isblank($A877),isblank($B877)),"", not(iserror(vlookup($A877&amp;$B877,'3) Release_Label'!$D:$D&amp;'3) Release_Label'!$E:$E,1,0))),vlookup($A877&amp;$B877,{'3) Release_Label'!$D:$D&amp;'3) Release_Label'!$E:$E,'3) Release_Label'!$F:$F},2,0), or(and(not(isblank($B877)),$B877=$B876,$A877&lt;&gt;$A876),and(not(isblank($A877)),$A877=$A876,$B877&lt;&gt;$B876)),"ID LISTS UNALIGNED",and($A877&lt;&gt;"",countif('3) Release_Label'!$D:$D,$A877)=0),"NO UPC MATCH in Release_Label",and($B877&lt;&gt;"",countif('3) Release_Label'!$E:$E,$B877)=0),"NO CATALOG ID MATCH in Release_Label",iserror(vlookup($A877&amp;$B877,'3) Release_Label'!$D:$D&amp;'3) Release_Label'!$E:$E,1,0)),"NO UPC-CATALOG ID pair MATCH in Release_Label" )</f>
        <v/>
      </c>
      <c r="D877" s="121" t="str">
        <f t="array" ref="D877">ifs(and(isblank($A877),isblank($B877)),"", not(iserror(vlookup($A877&amp;$B877,'3) Release_Label'!$D:$D&amp;'3) Release_Label'!$E:$E,1,0))),vlookup($A877&amp;$B877,{'3) Release_Label'!$D:$D&amp;'3) Release_Label'!$E:$E,'3) Release_Label'!$H:$H},2,0), or(and(not(isblank($B877)),$B877=$B876,$A877&lt;&gt;$A876),and(not(isblank($A877)),$A877=$A876,$B877&lt;&gt;$B876)),"ID LISTS UNALIGNED",and($A877&lt;&gt;"",countif('3) Release_Label'!$D:$D,$A877)=0),"NO UPC MATCH in Release_Label",and($B877&lt;&gt;"",countif('3) Release_Label'!$E:$E,$B877)=0),"NO CATALOG ID MATCH in Release_Label",iserror(vlookup($A877&amp;$B877,'3) Release_Label'!$D:$D&amp;'3) Release_Label'!$E:$E,1,0)),"NO UPC-CATALOG ID pair MATCH in Release_Label" )</f>
        <v/>
      </c>
      <c r="E877" s="92"/>
      <c r="F877" s="92"/>
      <c r="G877" s="125" t="str">
        <f t="array" ref="G877">ifs(or($F877="",$F877="Main Primary Artist"),$F877,not(iserror(vlookup($F877,'Reference info'!$J$5:$J$8,1,0))),"Key Artist",not(iserror(vlookup($F877,'Reference info'!$J$38:$J$405,1,0))),"Performer",not(iserror(vlookup($F877,'Reference info'!$J$10:$J$36,1,0))),"Producer &amp; Engineer")</f>
        <v/>
      </c>
    </row>
    <row r="878">
      <c r="A878" s="28"/>
      <c r="B878" s="97"/>
      <c r="C878" s="121" t="str">
        <f t="array" ref="C878">ifs(and(isblank($A878),isblank($B878)),"", not(iserror(vlookup($A878&amp;$B878,'3) Release_Label'!$D:$D&amp;'3) Release_Label'!$E:$E,1,0))),vlookup($A878&amp;$B878,{'3) Release_Label'!$D:$D&amp;'3) Release_Label'!$E:$E,'3) Release_Label'!$F:$F},2,0), or(and(not(isblank($B878)),$B878=$B877,$A878&lt;&gt;$A877),and(not(isblank($A878)),$A878=$A877,$B878&lt;&gt;$B877)),"ID LISTS UNALIGNED",and($A878&lt;&gt;"",countif('3) Release_Label'!$D:$D,$A878)=0),"NO UPC MATCH in Release_Label",and($B878&lt;&gt;"",countif('3) Release_Label'!$E:$E,$B878)=0),"NO CATALOG ID MATCH in Release_Label",iserror(vlookup($A878&amp;$B878,'3) Release_Label'!$D:$D&amp;'3) Release_Label'!$E:$E,1,0)),"NO UPC-CATALOG ID pair MATCH in Release_Label" )</f>
        <v/>
      </c>
      <c r="D878" s="121" t="str">
        <f t="array" ref="D878">ifs(and(isblank($A878),isblank($B878)),"", not(iserror(vlookup($A878&amp;$B878,'3) Release_Label'!$D:$D&amp;'3) Release_Label'!$E:$E,1,0))),vlookup($A878&amp;$B878,{'3) Release_Label'!$D:$D&amp;'3) Release_Label'!$E:$E,'3) Release_Label'!$H:$H},2,0), or(and(not(isblank($B878)),$B878=$B877,$A878&lt;&gt;$A877),and(not(isblank($A878)),$A878=$A877,$B878&lt;&gt;$B877)),"ID LISTS UNALIGNED",and($A878&lt;&gt;"",countif('3) Release_Label'!$D:$D,$A878)=0),"NO UPC MATCH in Release_Label",and($B878&lt;&gt;"",countif('3) Release_Label'!$E:$E,$B878)=0),"NO CATALOG ID MATCH in Release_Label",iserror(vlookup($A878&amp;$B878,'3) Release_Label'!$D:$D&amp;'3) Release_Label'!$E:$E,1,0)),"NO UPC-CATALOG ID pair MATCH in Release_Label" )</f>
        <v/>
      </c>
      <c r="E878" s="92"/>
      <c r="F878" s="92"/>
      <c r="G878" s="125" t="str">
        <f t="array" ref="G878">ifs(or($F878="",$F878="Main Primary Artist"),$F878,not(iserror(vlookup($F878,'Reference info'!$J$5:$J$8,1,0))),"Key Artist",not(iserror(vlookup($F878,'Reference info'!$J$38:$J$405,1,0))),"Performer",not(iserror(vlookup($F878,'Reference info'!$J$10:$J$36,1,0))),"Producer &amp; Engineer")</f>
        <v/>
      </c>
    </row>
    <row r="879">
      <c r="A879" s="28"/>
      <c r="B879" s="97"/>
      <c r="C879" s="121" t="str">
        <f t="array" ref="C879">ifs(and(isblank($A879),isblank($B879)),"", not(iserror(vlookup($A879&amp;$B879,'3) Release_Label'!$D:$D&amp;'3) Release_Label'!$E:$E,1,0))),vlookup($A879&amp;$B879,{'3) Release_Label'!$D:$D&amp;'3) Release_Label'!$E:$E,'3) Release_Label'!$F:$F},2,0), or(and(not(isblank($B879)),$B879=$B878,$A879&lt;&gt;$A878),and(not(isblank($A879)),$A879=$A878,$B879&lt;&gt;$B878)),"ID LISTS UNALIGNED",and($A879&lt;&gt;"",countif('3) Release_Label'!$D:$D,$A879)=0),"NO UPC MATCH in Release_Label",and($B879&lt;&gt;"",countif('3) Release_Label'!$E:$E,$B879)=0),"NO CATALOG ID MATCH in Release_Label",iserror(vlookup($A879&amp;$B879,'3) Release_Label'!$D:$D&amp;'3) Release_Label'!$E:$E,1,0)),"NO UPC-CATALOG ID pair MATCH in Release_Label" )</f>
        <v/>
      </c>
      <c r="D879" s="121" t="str">
        <f t="array" ref="D879">ifs(and(isblank($A879),isblank($B879)),"", not(iserror(vlookup($A879&amp;$B879,'3) Release_Label'!$D:$D&amp;'3) Release_Label'!$E:$E,1,0))),vlookup($A879&amp;$B879,{'3) Release_Label'!$D:$D&amp;'3) Release_Label'!$E:$E,'3) Release_Label'!$H:$H},2,0), or(and(not(isblank($B879)),$B879=$B878,$A879&lt;&gt;$A878),and(not(isblank($A879)),$A879=$A878,$B879&lt;&gt;$B878)),"ID LISTS UNALIGNED",and($A879&lt;&gt;"",countif('3) Release_Label'!$D:$D,$A879)=0),"NO UPC MATCH in Release_Label",and($B879&lt;&gt;"",countif('3) Release_Label'!$E:$E,$B879)=0),"NO CATALOG ID MATCH in Release_Label",iserror(vlookup($A879&amp;$B879,'3) Release_Label'!$D:$D&amp;'3) Release_Label'!$E:$E,1,0)),"NO UPC-CATALOG ID pair MATCH in Release_Label" )</f>
        <v/>
      </c>
      <c r="E879" s="92"/>
      <c r="F879" s="92"/>
      <c r="G879" s="125" t="str">
        <f t="array" ref="G879">ifs(or($F879="",$F879="Main Primary Artist"),$F879,not(iserror(vlookup($F879,'Reference info'!$J$5:$J$8,1,0))),"Key Artist",not(iserror(vlookup($F879,'Reference info'!$J$38:$J$405,1,0))),"Performer",not(iserror(vlookup($F879,'Reference info'!$J$10:$J$36,1,0))),"Producer &amp; Engineer")</f>
        <v/>
      </c>
    </row>
    <row r="880">
      <c r="A880" s="28"/>
      <c r="B880" s="97"/>
      <c r="C880" s="121" t="str">
        <f t="array" ref="C880">ifs(and(isblank($A880),isblank($B880)),"", not(iserror(vlookup($A880&amp;$B880,'3) Release_Label'!$D:$D&amp;'3) Release_Label'!$E:$E,1,0))),vlookup($A880&amp;$B880,{'3) Release_Label'!$D:$D&amp;'3) Release_Label'!$E:$E,'3) Release_Label'!$F:$F},2,0), or(and(not(isblank($B880)),$B880=$B879,$A880&lt;&gt;$A879),and(not(isblank($A880)),$A880=$A879,$B880&lt;&gt;$B879)),"ID LISTS UNALIGNED",and($A880&lt;&gt;"",countif('3) Release_Label'!$D:$D,$A880)=0),"NO UPC MATCH in Release_Label",and($B880&lt;&gt;"",countif('3) Release_Label'!$E:$E,$B880)=0),"NO CATALOG ID MATCH in Release_Label",iserror(vlookup($A880&amp;$B880,'3) Release_Label'!$D:$D&amp;'3) Release_Label'!$E:$E,1,0)),"NO UPC-CATALOG ID pair MATCH in Release_Label" )</f>
        <v/>
      </c>
      <c r="D880" s="121" t="str">
        <f t="array" ref="D880">ifs(and(isblank($A880),isblank($B880)),"", not(iserror(vlookup($A880&amp;$B880,'3) Release_Label'!$D:$D&amp;'3) Release_Label'!$E:$E,1,0))),vlookup($A880&amp;$B880,{'3) Release_Label'!$D:$D&amp;'3) Release_Label'!$E:$E,'3) Release_Label'!$H:$H},2,0), or(and(not(isblank($B880)),$B880=$B879,$A880&lt;&gt;$A879),and(not(isblank($A880)),$A880=$A879,$B880&lt;&gt;$B879)),"ID LISTS UNALIGNED",and($A880&lt;&gt;"",countif('3) Release_Label'!$D:$D,$A880)=0),"NO UPC MATCH in Release_Label",and($B880&lt;&gt;"",countif('3) Release_Label'!$E:$E,$B880)=0),"NO CATALOG ID MATCH in Release_Label",iserror(vlookup($A880&amp;$B880,'3) Release_Label'!$D:$D&amp;'3) Release_Label'!$E:$E,1,0)),"NO UPC-CATALOG ID pair MATCH in Release_Label" )</f>
        <v/>
      </c>
      <c r="E880" s="92"/>
      <c r="F880" s="92"/>
      <c r="G880" s="125" t="str">
        <f t="array" ref="G880">ifs(or($F880="",$F880="Main Primary Artist"),$F880,not(iserror(vlookup($F880,'Reference info'!$J$5:$J$8,1,0))),"Key Artist",not(iserror(vlookup($F880,'Reference info'!$J$38:$J$405,1,0))),"Performer",not(iserror(vlookup($F880,'Reference info'!$J$10:$J$36,1,0))),"Producer &amp; Engineer")</f>
        <v/>
      </c>
    </row>
    <row r="881">
      <c r="A881" s="28"/>
      <c r="B881" s="97"/>
      <c r="C881" s="121" t="str">
        <f t="array" ref="C881">ifs(and(isblank($A881),isblank($B881)),"", not(iserror(vlookup($A881&amp;$B881,'3) Release_Label'!$D:$D&amp;'3) Release_Label'!$E:$E,1,0))),vlookup($A881&amp;$B881,{'3) Release_Label'!$D:$D&amp;'3) Release_Label'!$E:$E,'3) Release_Label'!$F:$F},2,0), or(and(not(isblank($B881)),$B881=$B880,$A881&lt;&gt;$A880),and(not(isblank($A881)),$A881=$A880,$B881&lt;&gt;$B880)),"ID LISTS UNALIGNED",and($A881&lt;&gt;"",countif('3) Release_Label'!$D:$D,$A881)=0),"NO UPC MATCH in Release_Label",and($B881&lt;&gt;"",countif('3) Release_Label'!$E:$E,$B881)=0),"NO CATALOG ID MATCH in Release_Label",iserror(vlookup($A881&amp;$B881,'3) Release_Label'!$D:$D&amp;'3) Release_Label'!$E:$E,1,0)),"NO UPC-CATALOG ID pair MATCH in Release_Label" )</f>
        <v/>
      </c>
      <c r="D881" s="121" t="str">
        <f t="array" ref="D881">ifs(and(isblank($A881),isblank($B881)),"", not(iserror(vlookup($A881&amp;$B881,'3) Release_Label'!$D:$D&amp;'3) Release_Label'!$E:$E,1,0))),vlookup($A881&amp;$B881,{'3) Release_Label'!$D:$D&amp;'3) Release_Label'!$E:$E,'3) Release_Label'!$H:$H},2,0), or(and(not(isblank($B881)),$B881=$B880,$A881&lt;&gt;$A880),and(not(isblank($A881)),$A881=$A880,$B881&lt;&gt;$B880)),"ID LISTS UNALIGNED",and($A881&lt;&gt;"",countif('3) Release_Label'!$D:$D,$A881)=0),"NO UPC MATCH in Release_Label",and($B881&lt;&gt;"",countif('3) Release_Label'!$E:$E,$B881)=0),"NO CATALOG ID MATCH in Release_Label",iserror(vlookup($A881&amp;$B881,'3) Release_Label'!$D:$D&amp;'3) Release_Label'!$E:$E,1,0)),"NO UPC-CATALOG ID pair MATCH in Release_Label" )</f>
        <v/>
      </c>
      <c r="E881" s="92"/>
      <c r="F881" s="92"/>
      <c r="G881" s="125" t="str">
        <f t="array" ref="G881">ifs(or($F881="",$F881="Main Primary Artist"),$F881,not(iserror(vlookup($F881,'Reference info'!$J$5:$J$8,1,0))),"Key Artist",not(iserror(vlookup($F881,'Reference info'!$J$38:$J$405,1,0))),"Performer",not(iserror(vlookup($F881,'Reference info'!$J$10:$J$36,1,0))),"Producer &amp; Engineer")</f>
        <v/>
      </c>
    </row>
    <row r="882">
      <c r="A882" s="28"/>
      <c r="B882" s="97"/>
      <c r="C882" s="121" t="str">
        <f t="array" ref="C882">ifs(and(isblank($A882),isblank($B882)),"", not(iserror(vlookup($A882&amp;$B882,'3) Release_Label'!$D:$D&amp;'3) Release_Label'!$E:$E,1,0))),vlookup($A882&amp;$B882,{'3) Release_Label'!$D:$D&amp;'3) Release_Label'!$E:$E,'3) Release_Label'!$F:$F},2,0), or(and(not(isblank($B882)),$B882=$B881,$A882&lt;&gt;$A881),and(not(isblank($A882)),$A882=$A881,$B882&lt;&gt;$B881)),"ID LISTS UNALIGNED",and($A882&lt;&gt;"",countif('3) Release_Label'!$D:$D,$A882)=0),"NO UPC MATCH in Release_Label",and($B882&lt;&gt;"",countif('3) Release_Label'!$E:$E,$B882)=0),"NO CATALOG ID MATCH in Release_Label",iserror(vlookup($A882&amp;$B882,'3) Release_Label'!$D:$D&amp;'3) Release_Label'!$E:$E,1,0)),"NO UPC-CATALOG ID pair MATCH in Release_Label" )</f>
        <v/>
      </c>
      <c r="D882" s="121" t="str">
        <f t="array" ref="D882">ifs(and(isblank($A882),isblank($B882)),"", not(iserror(vlookup($A882&amp;$B882,'3) Release_Label'!$D:$D&amp;'3) Release_Label'!$E:$E,1,0))),vlookup($A882&amp;$B882,{'3) Release_Label'!$D:$D&amp;'3) Release_Label'!$E:$E,'3) Release_Label'!$H:$H},2,0), or(and(not(isblank($B882)),$B882=$B881,$A882&lt;&gt;$A881),and(not(isblank($A882)),$A882=$A881,$B882&lt;&gt;$B881)),"ID LISTS UNALIGNED",and($A882&lt;&gt;"",countif('3) Release_Label'!$D:$D,$A882)=0),"NO UPC MATCH in Release_Label",and($B882&lt;&gt;"",countif('3) Release_Label'!$E:$E,$B882)=0),"NO CATALOG ID MATCH in Release_Label",iserror(vlookup($A882&amp;$B882,'3) Release_Label'!$D:$D&amp;'3) Release_Label'!$E:$E,1,0)),"NO UPC-CATALOG ID pair MATCH in Release_Label" )</f>
        <v/>
      </c>
      <c r="E882" s="92"/>
      <c r="F882" s="92"/>
      <c r="G882" s="125" t="str">
        <f t="array" ref="G882">ifs(or($F882="",$F882="Main Primary Artist"),$F882,not(iserror(vlookup($F882,'Reference info'!$J$5:$J$8,1,0))),"Key Artist",not(iserror(vlookup($F882,'Reference info'!$J$38:$J$405,1,0))),"Performer",not(iserror(vlookup($F882,'Reference info'!$J$10:$J$36,1,0))),"Producer &amp; Engineer")</f>
        <v/>
      </c>
    </row>
    <row r="883">
      <c r="A883" s="28"/>
      <c r="B883" s="97"/>
      <c r="C883" s="121" t="str">
        <f t="array" ref="C883">ifs(and(isblank($A883),isblank($B883)),"", not(iserror(vlookup($A883&amp;$B883,'3) Release_Label'!$D:$D&amp;'3) Release_Label'!$E:$E,1,0))),vlookup($A883&amp;$B883,{'3) Release_Label'!$D:$D&amp;'3) Release_Label'!$E:$E,'3) Release_Label'!$F:$F},2,0), or(and(not(isblank($B883)),$B883=$B882,$A883&lt;&gt;$A882),and(not(isblank($A883)),$A883=$A882,$B883&lt;&gt;$B882)),"ID LISTS UNALIGNED",and($A883&lt;&gt;"",countif('3) Release_Label'!$D:$D,$A883)=0),"NO UPC MATCH in Release_Label",and($B883&lt;&gt;"",countif('3) Release_Label'!$E:$E,$B883)=0),"NO CATALOG ID MATCH in Release_Label",iserror(vlookup($A883&amp;$B883,'3) Release_Label'!$D:$D&amp;'3) Release_Label'!$E:$E,1,0)),"NO UPC-CATALOG ID pair MATCH in Release_Label" )</f>
        <v/>
      </c>
      <c r="D883" s="121" t="str">
        <f t="array" ref="D883">ifs(and(isblank($A883),isblank($B883)),"", not(iserror(vlookup($A883&amp;$B883,'3) Release_Label'!$D:$D&amp;'3) Release_Label'!$E:$E,1,0))),vlookup($A883&amp;$B883,{'3) Release_Label'!$D:$D&amp;'3) Release_Label'!$E:$E,'3) Release_Label'!$H:$H},2,0), or(and(not(isblank($B883)),$B883=$B882,$A883&lt;&gt;$A882),and(not(isblank($A883)),$A883=$A882,$B883&lt;&gt;$B882)),"ID LISTS UNALIGNED",and($A883&lt;&gt;"",countif('3) Release_Label'!$D:$D,$A883)=0),"NO UPC MATCH in Release_Label",and($B883&lt;&gt;"",countif('3) Release_Label'!$E:$E,$B883)=0),"NO CATALOG ID MATCH in Release_Label",iserror(vlookup($A883&amp;$B883,'3) Release_Label'!$D:$D&amp;'3) Release_Label'!$E:$E,1,0)),"NO UPC-CATALOG ID pair MATCH in Release_Label" )</f>
        <v/>
      </c>
      <c r="E883" s="92"/>
      <c r="F883" s="92"/>
      <c r="G883" s="125" t="str">
        <f t="array" ref="G883">ifs(or($F883="",$F883="Main Primary Artist"),$F883,not(iserror(vlookup($F883,'Reference info'!$J$5:$J$8,1,0))),"Key Artist",not(iserror(vlookup($F883,'Reference info'!$J$38:$J$405,1,0))),"Performer",not(iserror(vlookup($F883,'Reference info'!$J$10:$J$36,1,0))),"Producer &amp; Engineer")</f>
        <v/>
      </c>
    </row>
    <row r="884">
      <c r="A884" s="28"/>
      <c r="B884" s="97"/>
      <c r="C884" s="121" t="str">
        <f t="array" ref="C884">ifs(and(isblank($A884),isblank($B884)),"", not(iserror(vlookup($A884&amp;$B884,'3) Release_Label'!$D:$D&amp;'3) Release_Label'!$E:$E,1,0))),vlookup($A884&amp;$B884,{'3) Release_Label'!$D:$D&amp;'3) Release_Label'!$E:$E,'3) Release_Label'!$F:$F},2,0), or(and(not(isblank($B884)),$B884=$B883,$A884&lt;&gt;$A883),and(not(isblank($A884)),$A884=$A883,$B884&lt;&gt;$B883)),"ID LISTS UNALIGNED",and($A884&lt;&gt;"",countif('3) Release_Label'!$D:$D,$A884)=0),"NO UPC MATCH in Release_Label",and($B884&lt;&gt;"",countif('3) Release_Label'!$E:$E,$B884)=0),"NO CATALOG ID MATCH in Release_Label",iserror(vlookup($A884&amp;$B884,'3) Release_Label'!$D:$D&amp;'3) Release_Label'!$E:$E,1,0)),"NO UPC-CATALOG ID pair MATCH in Release_Label" )</f>
        <v/>
      </c>
      <c r="D884" s="121" t="str">
        <f t="array" ref="D884">ifs(and(isblank($A884),isblank($B884)),"", not(iserror(vlookup($A884&amp;$B884,'3) Release_Label'!$D:$D&amp;'3) Release_Label'!$E:$E,1,0))),vlookup($A884&amp;$B884,{'3) Release_Label'!$D:$D&amp;'3) Release_Label'!$E:$E,'3) Release_Label'!$H:$H},2,0), or(and(not(isblank($B884)),$B884=$B883,$A884&lt;&gt;$A883),and(not(isblank($A884)),$A884=$A883,$B884&lt;&gt;$B883)),"ID LISTS UNALIGNED",and($A884&lt;&gt;"",countif('3) Release_Label'!$D:$D,$A884)=0),"NO UPC MATCH in Release_Label",and($B884&lt;&gt;"",countif('3) Release_Label'!$E:$E,$B884)=0),"NO CATALOG ID MATCH in Release_Label",iserror(vlookup($A884&amp;$B884,'3) Release_Label'!$D:$D&amp;'3) Release_Label'!$E:$E,1,0)),"NO UPC-CATALOG ID pair MATCH in Release_Label" )</f>
        <v/>
      </c>
      <c r="E884" s="92"/>
      <c r="F884" s="92"/>
      <c r="G884" s="125" t="str">
        <f t="array" ref="G884">ifs(or($F884="",$F884="Main Primary Artist"),$F884,not(iserror(vlookup($F884,'Reference info'!$J$5:$J$8,1,0))),"Key Artist",not(iserror(vlookup($F884,'Reference info'!$J$38:$J$405,1,0))),"Performer",not(iserror(vlookup($F884,'Reference info'!$J$10:$J$36,1,0))),"Producer &amp; Engineer")</f>
        <v/>
      </c>
    </row>
    <row r="885">
      <c r="A885" s="28"/>
      <c r="B885" s="97"/>
      <c r="C885" s="121" t="str">
        <f t="array" ref="C885">ifs(and(isblank($A885),isblank($B885)),"", not(iserror(vlookup($A885&amp;$B885,'3) Release_Label'!$D:$D&amp;'3) Release_Label'!$E:$E,1,0))),vlookup($A885&amp;$B885,{'3) Release_Label'!$D:$D&amp;'3) Release_Label'!$E:$E,'3) Release_Label'!$F:$F},2,0), or(and(not(isblank($B885)),$B885=$B884,$A885&lt;&gt;$A884),and(not(isblank($A885)),$A885=$A884,$B885&lt;&gt;$B884)),"ID LISTS UNALIGNED",and($A885&lt;&gt;"",countif('3) Release_Label'!$D:$D,$A885)=0),"NO UPC MATCH in Release_Label",and($B885&lt;&gt;"",countif('3) Release_Label'!$E:$E,$B885)=0),"NO CATALOG ID MATCH in Release_Label",iserror(vlookup($A885&amp;$B885,'3) Release_Label'!$D:$D&amp;'3) Release_Label'!$E:$E,1,0)),"NO UPC-CATALOG ID pair MATCH in Release_Label" )</f>
        <v/>
      </c>
      <c r="D885" s="121" t="str">
        <f t="array" ref="D885">ifs(and(isblank($A885),isblank($B885)),"", not(iserror(vlookup($A885&amp;$B885,'3) Release_Label'!$D:$D&amp;'3) Release_Label'!$E:$E,1,0))),vlookup($A885&amp;$B885,{'3) Release_Label'!$D:$D&amp;'3) Release_Label'!$E:$E,'3) Release_Label'!$H:$H},2,0), or(and(not(isblank($B885)),$B885=$B884,$A885&lt;&gt;$A884),and(not(isblank($A885)),$A885=$A884,$B885&lt;&gt;$B884)),"ID LISTS UNALIGNED",and($A885&lt;&gt;"",countif('3) Release_Label'!$D:$D,$A885)=0),"NO UPC MATCH in Release_Label",and($B885&lt;&gt;"",countif('3) Release_Label'!$E:$E,$B885)=0),"NO CATALOG ID MATCH in Release_Label",iserror(vlookup($A885&amp;$B885,'3) Release_Label'!$D:$D&amp;'3) Release_Label'!$E:$E,1,0)),"NO UPC-CATALOG ID pair MATCH in Release_Label" )</f>
        <v/>
      </c>
      <c r="E885" s="92"/>
      <c r="F885" s="92"/>
      <c r="G885" s="125" t="str">
        <f t="array" ref="G885">ifs(or($F885="",$F885="Main Primary Artist"),$F885,not(iserror(vlookup($F885,'Reference info'!$J$5:$J$8,1,0))),"Key Artist",not(iserror(vlookup($F885,'Reference info'!$J$38:$J$405,1,0))),"Performer",not(iserror(vlookup($F885,'Reference info'!$J$10:$J$36,1,0))),"Producer &amp; Engineer")</f>
        <v/>
      </c>
    </row>
    <row r="886">
      <c r="A886" s="28"/>
      <c r="B886" s="97"/>
      <c r="C886" s="121" t="str">
        <f t="array" ref="C886">ifs(and(isblank($A886),isblank($B886)),"", not(iserror(vlookup($A886&amp;$B886,'3) Release_Label'!$D:$D&amp;'3) Release_Label'!$E:$E,1,0))),vlookup($A886&amp;$B886,{'3) Release_Label'!$D:$D&amp;'3) Release_Label'!$E:$E,'3) Release_Label'!$F:$F},2,0), or(and(not(isblank($B886)),$B886=$B885,$A886&lt;&gt;$A885),and(not(isblank($A886)),$A886=$A885,$B886&lt;&gt;$B885)),"ID LISTS UNALIGNED",and($A886&lt;&gt;"",countif('3) Release_Label'!$D:$D,$A886)=0),"NO UPC MATCH in Release_Label",and($B886&lt;&gt;"",countif('3) Release_Label'!$E:$E,$B886)=0),"NO CATALOG ID MATCH in Release_Label",iserror(vlookup($A886&amp;$B886,'3) Release_Label'!$D:$D&amp;'3) Release_Label'!$E:$E,1,0)),"NO UPC-CATALOG ID pair MATCH in Release_Label" )</f>
        <v/>
      </c>
      <c r="D886" s="121" t="str">
        <f t="array" ref="D886">ifs(and(isblank($A886),isblank($B886)),"", not(iserror(vlookup($A886&amp;$B886,'3) Release_Label'!$D:$D&amp;'3) Release_Label'!$E:$E,1,0))),vlookup($A886&amp;$B886,{'3) Release_Label'!$D:$D&amp;'3) Release_Label'!$E:$E,'3) Release_Label'!$H:$H},2,0), or(and(not(isblank($B886)),$B886=$B885,$A886&lt;&gt;$A885),and(not(isblank($A886)),$A886=$A885,$B886&lt;&gt;$B885)),"ID LISTS UNALIGNED",and($A886&lt;&gt;"",countif('3) Release_Label'!$D:$D,$A886)=0),"NO UPC MATCH in Release_Label",and($B886&lt;&gt;"",countif('3) Release_Label'!$E:$E,$B886)=0),"NO CATALOG ID MATCH in Release_Label",iserror(vlookup($A886&amp;$B886,'3) Release_Label'!$D:$D&amp;'3) Release_Label'!$E:$E,1,0)),"NO UPC-CATALOG ID pair MATCH in Release_Label" )</f>
        <v/>
      </c>
      <c r="E886" s="92"/>
      <c r="F886" s="92"/>
      <c r="G886" s="125" t="str">
        <f t="array" ref="G886">ifs(or($F886="",$F886="Main Primary Artist"),$F886,not(iserror(vlookup($F886,'Reference info'!$J$5:$J$8,1,0))),"Key Artist",not(iserror(vlookup($F886,'Reference info'!$J$38:$J$405,1,0))),"Performer",not(iserror(vlookup($F886,'Reference info'!$J$10:$J$36,1,0))),"Producer &amp; Engineer")</f>
        <v/>
      </c>
    </row>
    <row r="887">
      <c r="A887" s="28"/>
      <c r="B887" s="97"/>
      <c r="C887" s="121" t="str">
        <f t="array" ref="C887">ifs(and(isblank($A887),isblank($B887)),"", not(iserror(vlookup($A887&amp;$B887,'3) Release_Label'!$D:$D&amp;'3) Release_Label'!$E:$E,1,0))),vlookup($A887&amp;$B887,{'3) Release_Label'!$D:$D&amp;'3) Release_Label'!$E:$E,'3) Release_Label'!$F:$F},2,0), or(and(not(isblank($B887)),$B887=$B886,$A887&lt;&gt;$A886),and(not(isblank($A887)),$A887=$A886,$B887&lt;&gt;$B886)),"ID LISTS UNALIGNED",and($A887&lt;&gt;"",countif('3) Release_Label'!$D:$D,$A887)=0),"NO UPC MATCH in Release_Label",and($B887&lt;&gt;"",countif('3) Release_Label'!$E:$E,$B887)=0),"NO CATALOG ID MATCH in Release_Label",iserror(vlookup($A887&amp;$B887,'3) Release_Label'!$D:$D&amp;'3) Release_Label'!$E:$E,1,0)),"NO UPC-CATALOG ID pair MATCH in Release_Label" )</f>
        <v/>
      </c>
      <c r="D887" s="121" t="str">
        <f t="array" ref="D887">ifs(and(isblank($A887),isblank($B887)),"", not(iserror(vlookup($A887&amp;$B887,'3) Release_Label'!$D:$D&amp;'3) Release_Label'!$E:$E,1,0))),vlookup($A887&amp;$B887,{'3) Release_Label'!$D:$D&amp;'3) Release_Label'!$E:$E,'3) Release_Label'!$H:$H},2,0), or(and(not(isblank($B887)),$B887=$B886,$A887&lt;&gt;$A886),and(not(isblank($A887)),$A887=$A886,$B887&lt;&gt;$B886)),"ID LISTS UNALIGNED",and($A887&lt;&gt;"",countif('3) Release_Label'!$D:$D,$A887)=0),"NO UPC MATCH in Release_Label",and($B887&lt;&gt;"",countif('3) Release_Label'!$E:$E,$B887)=0),"NO CATALOG ID MATCH in Release_Label",iserror(vlookup($A887&amp;$B887,'3) Release_Label'!$D:$D&amp;'3) Release_Label'!$E:$E,1,0)),"NO UPC-CATALOG ID pair MATCH in Release_Label" )</f>
        <v/>
      </c>
      <c r="E887" s="92"/>
      <c r="F887" s="92"/>
      <c r="G887" s="125" t="str">
        <f t="array" ref="G887">ifs(or($F887="",$F887="Main Primary Artist"),$F887,not(iserror(vlookup($F887,'Reference info'!$J$5:$J$8,1,0))),"Key Artist",not(iserror(vlookup($F887,'Reference info'!$J$38:$J$405,1,0))),"Performer",not(iserror(vlookup($F887,'Reference info'!$J$10:$J$36,1,0))),"Producer &amp; Engineer")</f>
        <v/>
      </c>
    </row>
    <row r="888">
      <c r="A888" s="28"/>
      <c r="B888" s="97"/>
      <c r="C888" s="121" t="str">
        <f t="array" ref="C888">ifs(and(isblank($A888),isblank($B888)),"", not(iserror(vlookup($A888&amp;$B888,'3) Release_Label'!$D:$D&amp;'3) Release_Label'!$E:$E,1,0))),vlookup($A888&amp;$B888,{'3) Release_Label'!$D:$D&amp;'3) Release_Label'!$E:$E,'3) Release_Label'!$F:$F},2,0), or(and(not(isblank($B888)),$B888=$B887,$A888&lt;&gt;$A887),and(not(isblank($A888)),$A888=$A887,$B888&lt;&gt;$B887)),"ID LISTS UNALIGNED",and($A888&lt;&gt;"",countif('3) Release_Label'!$D:$D,$A888)=0),"NO UPC MATCH in Release_Label",and($B888&lt;&gt;"",countif('3) Release_Label'!$E:$E,$B888)=0),"NO CATALOG ID MATCH in Release_Label",iserror(vlookup($A888&amp;$B888,'3) Release_Label'!$D:$D&amp;'3) Release_Label'!$E:$E,1,0)),"NO UPC-CATALOG ID pair MATCH in Release_Label" )</f>
        <v/>
      </c>
      <c r="D888" s="121" t="str">
        <f t="array" ref="D888">ifs(and(isblank($A888),isblank($B888)),"", not(iserror(vlookup($A888&amp;$B888,'3) Release_Label'!$D:$D&amp;'3) Release_Label'!$E:$E,1,0))),vlookup($A888&amp;$B888,{'3) Release_Label'!$D:$D&amp;'3) Release_Label'!$E:$E,'3) Release_Label'!$H:$H},2,0), or(and(not(isblank($B888)),$B888=$B887,$A888&lt;&gt;$A887),and(not(isblank($A888)),$A888=$A887,$B888&lt;&gt;$B887)),"ID LISTS UNALIGNED",and($A888&lt;&gt;"",countif('3) Release_Label'!$D:$D,$A888)=0),"NO UPC MATCH in Release_Label",and($B888&lt;&gt;"",countif('3) Release_Label'!$E:$E,$B888)=0),"NO CATALOG ID MATCH in Release_Label",iserror(vlookup($A888&amp;$B888,'3) Release_Label'!$D:$D&amp;'3) Release_Label'!$E:$E,1,0)),"NO UPC-CATALOG ID pair MATCH in Release_Label" )</f>
        <v/>
      </c>
      <c r="E888" s="92"/>
      <c r="F888" s="92"/>
      <c r="G888" s="125" t="str">
        <f t="array" ref="G888">ifs(or($F888="",$F888="Main Primary Artist"),$F888,not(iserror(vlookup($F888,'Reference info'!$J$5:$J$8,1,0))),"Key Artist",not(iserror(vlookup($F888,'Reference info'!$J$38:$J$405,1,0))),"Performer",not(iserror(vlookup($F888,'Reference info'!$J$10:$J$36,1,0))),"Producer &amp; Engineer")</f>
        <v/>
      </c>
    </row>
    <row r="889">
      <c r="A889" s="28"/>
      <c r="B889" s="97"/>
      <c r="C889" s="121" t="str">
        <f t="array" ref="C889">ifs(and(isblank($A889),isblank($B889)),"", not(iserror(vlookup($A889&amp;$B889,'3) Release_Label'!$D:$D&amp;'3) Release_Label'!$E:$E,1,0))),vlookup($A889&amp;$B889,{'3) Release_Label'!$D:$D&amp;'3) Release_Label'!$E:$E,'3) Release_Label'!$F:$F},2,0), or(and(not(isblank($B889)),$B889=$B888,$A889&lt;&gt;$A888),and(not(isblank($A889)),$A889=$A888,$B889&lt;&gt;$B888)),"ID LISTS UNALIGNED",and($A889&lt;&gt;"",countif('3) Release_Label'!$D:$D,$A889)=0),"NO UPC MATCH in Release_Label",and($B889&lt;&gt;"",countif('3) Release_Label'!$E:$E,$B889)=0),"NO CATALOG ID MATCH in Release_Label",iserror(vlookup($A889&amp;$B889,'3) Release_Label'!$D:$D&amp;'3) Release_Label'!$E:$E,1,0)),"NO UPC-CATALOG ID pair MATCH in Release_Label" )</f>
        <v/>
      </c>
      <c r="D889" s="121" t="str">
        <f t="array" ref="D889">ifs(and(isblank($A889),isblank($B889)),"", not(iserror(vlookup($A889&amp;$B889,'3) Release_Label'!$D:$D&amp;'3) Release_Label'!$E:$E,1,0))),vlookup($A889&amp;$B889,{'3) Release_Label'!$D:$D&amp;'3) Release_Label'!$E:$E,'3) Release_Label'!$H:$H},2,0), or(and(not(isblank($B889)),$B889=$B888,$A889&lt;&gt;$A888),and(not(isblank($A889)),$A889=$A888,$B889&lt;&gt;$B888)),"ID LISTS UNALIGNED",and($A889&lt;&gt;"",countif('3) Release_Label'!$D:$D,$A889)=0),"NO UPC MATCH in Release_Label",and($B889&lt;&gt;"",countif('3) Release_Label'!$E:$E,$B889)=0),"NO CATALOG ID MATCH in Release_Label",iserror(vlookup($A889&amp;$B889,'3) Release_Label'!$D:$D&amp;'3) Release_Label'!$E:$E,1,0)),"NO UPC-CATALOG ID pair MATCH in Release_Label" )</f>
        <v/>
      </c>
      <c r="E889" s="92"/>
      <c r="F889" s="92"/>
      <c r="G889" s="125" t="str">
        <f t="array" ref="G889">ifs(or($F889="",$F889="Main Primary Artist"),$F889,not(iserror(vlookup($F889,'Reference info'!$J$5:$J$8,1,0))),"Key Artist",not(iserror(vlookup($F889,'Reference info'!$J$38:$J$405,1,0))),"Performer",not(iserror(vlookup($F889,'Reference info'!$J$10:$J$36,1,0))),"Producer &amp; Engineer")</f>
        <v/>
      </c>
    </row>
    <row r="890">
      <c r="A890" s="28"/>
      <c r="B890" s="97"/>
      <c r="C890" s="121" t="str">
        <f t="array" ref="C890">ifs(and(isblank($A890),isblank($B890)),"", not(iserror(vlookup($A890&amp;$B890,'3) Release_Label'!$D:$D&amp;'3) Release_Label'!$E:$E,1,0))),vlookup($A890&amp;$B890,{'3) Release_Label'!$D:$D&amp;'3) Release_Label'!$E:$E,'3) Release_Label'!$F:$F},2,0), or(and(not(isblank($B890)),$B890=$B889,$A890&lt;&gt;$A889),and(not(isblank($A890)),$A890=$A889,$B890&lt;&gt;$B889)),"ID LISTS UNALIGNED",and($A890&lt;&gt;"",countif('3) Release_Label'!$D:$D,$A890)=0),"NO UPC MATCH in Release_Label",and($B890&lt;&gt;"",countif('3) Release_Label'!$E:$E,$B890)=0),"NO CATALOG ID MATCH in Release_Label",iserror(vlookup($A890&amp;$B890,'3) Release_Label'!$D:$D&amp;'3) Release_Label'!$E:$E,1,0)),"NO UPC-CATALOG ID pair MATCH in Release_Label" )</f>
        <v/>
      </c>
      <c r="D890" s="121" t="str">
        <f t="array" ref="D890">ifs(and(isblank($A890),isblank($B890)),"", not(iserror(vlookup($A890&amp;$B890,'3) Release_Label'!$D:$D&amp;'3) Release_Label'!$E:$E,1,0))),vlookup($A890&amp;$B890,{'3) Release_Label'!$D:$D&amp;'3) Release_Label'!$E:$E,'3) Release_Label'!$H:$H},2,0), or(and(not(isblank($B890)),$B890=$B889,$A890&lt;&gt;$A889),and(not(isblank($A890)),$A890=$A889,$B890&lt;&gt;$B889)),"ID LISTS UNALIGNED",and($A890&lt;&gt;"",countif('3) Release_Label'!$D:$D,$A890)=0),"NO UPC MATCH in Release_Label",and($B890&lt;&gt;"",countif('3) Release_Label'!$E:$E,$B890)=0),"NO CATALOG ID MATCH in Release_Label",iserror(vlookup($A890&amp;$B890,'3) Release_Label'!$D:$D&amp;'3) Release_Label'!$E:$E,1,0)),"NO UPC-CATALOG ID pair MATCH in Release_Label" )</f>
        <v/>
      </c>
      <c r="E890" s="92"/>
      <c r="F890" s="92"/>
      <c r="G890" s="125" t="str">
        <f t="array" ref="G890">ifs(or($F890="",$F890="Main Primary Artist"),$F890,not(iserror(vlookup($F890,'Reference info'!$J$5:$J$8,1,0))),"Key Artist",not(iserror(vlookup($F890,'Reference info'!$J$38:$J$405,1,0))),"Performer",not(iserror(vlookup($F890,'Reference info'!$J$10:$J$36,1,0))),"Producer &amp; Engineer")</f>
        <v/>
      </c>
    </row>
    <row r="891">
      <c r="A891" s="28"/>
      <c r="B891" s="97"/>
      <c r="C891" s="121" t="str">
        <f t="array" ref="C891">ifs(and(isblank($A891),isblank($B891)),"", not(iserror(vlookup($A891&amp;$B891,'3) Release_Label'!$D:$D&amp;'3) Release_Label'!$E:$E,1,0))),vlookup($A891&amp;$B891,{'3) Release_Label'!$D:$D&amp;'3) Release_Label'!$E:$E,'3) Release_Label'!$F:$F},2,0), or(and(not(isblank($B891)),$B891=$B890,$A891&lt;&gt;$A890),and(not(isblank($A891)),$A891=$A890,$B891&lt;&gt;$B890)),"ID LISTS UNALIGNED",and($A891&lt;&gt;"",countif('3) Release_Label'!$D:$D,$A891)=0),"NO UPC MATCH in Release_Label",and($B891&lt;&gt;"",countif('3) Release_Label'!$E:$E,$B891)=0),"NO CATALOG ID MATCH in Release_Label",iserror(vlookup($A891&amp;$B891,'3) Release_Label'!$D:$D&amp;'3) Release_Label'!$E:$E,1,0)),"NO UPC-CATALOG ID pair MATCH in Release_Label" )</f>
        <v/>
      </c>
      <c r="D891" s="121" t="str">
        <f t="array" ref="D891">ifs(and(isblank($A891),isblank($B891)),"", not(iserror(vlookup($A891&amp;$B891,'3) Release_Label'!$D:$D&amp;'3) Release_Label'!$E:$E,1,0))),vlookup($A891&amp;$B891,{'3) Release_Label'!$D:$D&amp;'3) Release_Label'!$E:$E,'3) Release_Label'!$H:$H},2,0), or(and(not(isblank($B891)),$B891=$B890,$A891&lt;&gt;$A890),and(not(isblank($A891)),$A891=$A890,$B891&lt;&gt;$B890)),"ID LISTS UNALIGNED",and($A891&lt;&gt;"",countif('3) Release_Label'!$D:$D,$A891)=0),"NO UPC MATCH in Release_Label",and($B891&lt;&gt;"",countif('3) Release_Label'!$E:$E,$B891)=0),"NO CATALOG ID MATCH in Release_Label",iserror(vlookup($A891&amp;$B891,'3) Release_Label'!$D:$D&amp;'3) Release_Label'!$E:$E,1,0)),"NO UPC-CATALOG ID pair MATCH in Release_Label" )</f>
        <v/>
      </c>
      <c r="E891" s="92"/>
      <c r="F891" s="92"/>
      <c r="G891" s="125" t="str">
        <f t="array" ref="G891">ifs(or($F891="",$F891="Main Primary Artist"),$F891,not(iserror(vlookup($F891,'Reference info'!$J$5:$J$8,1,0))),"Key Artist",not(iserror(vlookup($F891,'Reference info'!$J$38:$J$405,1,0))),"Performer",not(iserror(vlookup($F891,'Reference info'!$J$10:$J$36,1,0))),"Producer &amp; Engineer")</f>
        <v/>
      </c>
    </row>
    <row r="892">
      <c r="A892" s="28"/>
      <c r="B892" s="97"/>
      <c r="C892" s="121" t="str">
        <f t="array" ref="C892">ifs(and(isblank($A892),isblank($B892)),"", not(iserror(vlookup($A892&amp;$B892,'3) Release_Label'!$D:$D&amp;'3) Release_Label'!$E:$E,1,0))),vlookup($A892&amp;$B892,{'3) Release_Label'!$D:$D&amp;'3) Release_Label'!$E:$E,'3) Release_Label'!$F:$F},2,0), or(and(not(isblank($B892)),$B892=$B891,$A892&lt;&gt;$A891),and(not(isblank($A892)),$A892=$A891,$B892&lt;&gt;$B891)),"ID LISTS UNALIGNED",and($A892&lt;&gt;"",countif('3) Release_Label'!$D:$D,$A892)=0),"NO UPC MATCH in Release_Label",and($B892&lt;&gt;"",countif('3) Release_Label'!$E:$E,$B892)=0),"NO CATALOG ID MATCH in Release_Label",iserror(vlookup($A892&amp;$B892,'3) Release_Label'!$D:$D&amp;'3) Release_Label'!$E:$E,1,0)),"NO UPC-CATALOG ID pair MATCH in Release_Label" )</f>
        <v/>
      </c>
      <c r="D892" s="121" t="str">
        <f t="array" ref="D892">ifs(and(isblank($A892),isblank($B892)),"", not(iserror(vlookup($A892&amp;$B892,'3) Release_Label'!$D:$D&amp;'3) Release_Label'!$E:$E,1,0))),vlookup($A892&amp;$B892,{'3) Release_Label'!$D:$D&amp;'3) Release_Label'!$E:$E,'3) Release_Label'!$H:$H},2,0), or(and(not(isblank($B892)),$B892=$B891,$A892&lt;&gt;$A891),and(not(isblank($A892)),$A892=$A891,$B892&lt;&gt;$B891)),"ID LISTS UNALIGNED",and($A892&lt;&gt;"",countif('3) Release_Label'!$D:$D,$A892)=0),"NO UPC MATCH in Release_Label",and($B892&lt;&gt;"",countif('3) Release_Label'!$E:$E,$B892)=0),"NO CATALOG ID MATCH in Release_Label",iserror(vlookup($A892&amp;$B892,'3) Release_Label'!$D:$D&amp;'3) Release_Label'!$E:$E,1,0)),"NO UPC-CATALOG ID pair MATCH in Release_Label" )</f>
        <v/>
      </c>
      <c r="E892" s="92"/>
      <c r="F892" s="92"/>
      <c r="G892" s="125" t="str">
        <f t="array" ref="G892">ifs(or($F892="",$F892="Main Primary Artist"),$F892,not(iserror(vlookup($F892,'Reference info'!$J$5:$J$8,1,0))),"Key Artist",not(iserror(vlookup($F892,'Reference info'!$J$38:$J$405,1,0))),"Performer",not(iserror(vlookup($F892,'Reference info'!$J$10:$J$36,1,0))),"Producer &amp; Engineer")</f>
        <v/>
      </c>
    </row>
    <row r="893">
      <c r="A893" s="28"/>
      <c r="B893" s="97"/>
      <c r="C893" s="121" t="str">
        <f t="array" ref="C893">ifs(and(isblank($A893),isblank($B893)),"", not(iserror(vlookup($A893&amp;$B893,'3) Release_Label'!$D:$D&amp;'3) Release_Label'!$E:$E,1,0))),vlookup($A893&amp;$B893,{'3) Release_Label'!$D:$D&amp;'3) Release_Label'!$E:$E,'3) Release_Label'!$F:$F},2,0), or(and(not(isblank($B893)),$B893=$B892,$A893&lt;&gt;$A892),and(not(isblank($A893)),$A893=$A892,$B893&lt;&gt;$B892)),"ID LISTS UNALIGNED",and($A893&lt;&gt;"",countif('3) Release_Label'!$D:$D,$A893)=0),"NO UPC MATCH in Release_Label",and($B893&lt;&gt;"",countif('3) Release_Label'!$E:$E,$B893)=0),"NO CATALOG ID MATCH in Release_Label",iserror(vlookup($A893&amp;$B893,'3) Release_Label'!$D:$D&amp;'3) Release_Label'!$E:$E,1,0)),"NO UPC-CATALOG ID pair MATCH in Release_Label" )</f>
        <v/>
      </c>
      <c r="D893" s="121" t="str">
        <f t="array" ref="D893">ifs(and(isblank($A893),isblank($B893)),"", not(iserror(vlookup($A893&amp;$B893,'3) Release_Label'!$D:$D&amp;'3) Release_Label'!$E:$E,1,0))),vlookup($A893&amp;$B893,{'3) Release_Label'!$D:$D&amp;'3) Release_Label'!$E:$E,'3) Release_Label'!$H:$H},2,0), or(and(not(isblank($B893)),$B893=$B892,$A893&lt;&gt;$A892),and(not(isblank($A893)),$A893=$A892,$B893&lt;&gt;$B892)),"ID LISTS UNALIGNED",and($A893&lt;&gt;"",countif('3) Release_Label'!$D:$D,$A893)=0),"NO UPC MATCH in Release_Label",and($B893&lt;&gt;"",countif('3) Release_Label'!$E:$E,$B893)=0),"NO CATALOG ID MATCH in Release_Label",iserror(vlookup($A893&amp;$B893,'3) Release_Label'!$D:$D&amp;'3) Release_Label'!$E:$E,1,0)),"NO UPC-CATALOG ID pair MATCH in Release_Label" )</f>
        <v/>
      </c>
      <c r="E893" s="92"/>
      <c r="F893" s="92"/>
      <c r="G893" s="125" t="str">
        <f t="array" ref="G893">ifs(or($F893="",$F893="Main Primary Artist"),$F893,not(iserror(vlookup($F893,'Reference info'!$J$5:$J$8,1,0))),"Key Artist",not(iserror(vlookup($F893,'Reference info'!$J$38:$J$405,1,0))),"Performer",not(iserror(vlookup($F893,'Reference info'!$J$10:$J$36,1,0))),"Producer &amp; Engineer")</f>
        <v/>
      </c>
    </row>
    <row r="894">
      <c r="A894" s="28"/>
      <c r="B894" s="97"/>
      <c r="C894" s="121" t="str">
        <f t="array" ref="C894">ifs(and(isblank($A894),isblank($B894)),"", not(iserror(vlookup($A894&amp;$B894,'3) Release_Label'!$D:$D&amp;'3) Release_Label'!$E:$E,1,0))),vlookup($A894&amp;$B894,{'3) Release_Label'!$D:$D&amp;'3) Release_Label'!$E:$E,'3) Release_Label'!$F:$F},2,0), or(and(not(isblank($B894)),$B894=$B893,$A894&lt;&gt;$A893),and(not(isblank($A894)),$A894=$A893,$B894&lt;&gt;$B893)),"ID LISTS UNALIGNED",and($A894&lt;&gt;"",countif('3) Release_Label'!$D:$D,$A894)=0),"NO UPC MATCH in Release_Label",and($B894&lt;&gt;"",countif('3) Release_Label'!$E:$E,$B894)=0),"NO CATALOG ID MATCH in Release_Label",iserror(vlookup($A894&amp;$B894,'3) Release_Label'!$D:$D&amp;'3) Release_Label'!$E:$E,1,0)),"NO UPC-CATALOG ID pair MATCH in Release_Label" )</f>
        <v/>
      </c>
      <c r="D894" s="121" t="str">
        <f t="array" ref="D894">ifs(and(isblank($A894),isblank($B894)),"", not(iserror(vlookup($A894&amp;$B894,'3) Release_Label'!$D:$D&amp;'3) Release_Label'!$E:$E,1,0))),vlookup($A894&amp;$B894,{'3) Release_Label'!$D:$D&amp;'3) Release_Label'!$E:$E,'3) Release_Label'!$H:$H},2,0), or(and(not(isblank($B894)),$B894=$B893,$A894&lt;&gt;$A893),and(not(isblank($A894)),$A894=$A893,$B894&lt;&gt;$B893)),"ID LISTS UNALIGNED",and($A894&lt;&gt;"",countif('3) Release_Label'!$D:$D,$A894)=0),"NO UPC MATCH in Release_Label",and($B894&lt;&gt;"",countif('3) Release_Label'!$E:$E,$B894)=0),"NO CATALOG ID MATCH in Release_Label",iserror(vlookup($A894&amp;$B894,'3) Release_Label'!$D:$D&amp;'3) Release_Label'!$E:$E,1,0)),"NO UPC-CATALOG ID pair MATCH in Release_Label" )</f>
        <v/>
      </c>
      <c r="E894" s="92"/>
      <c r="F894" s="92"/>
      <c r="G894" s="125" t="str">
        <f t="array" ref="G894">ifs(or($F894="",$F894="Main Primary Artist"),$F894,not(iserror(vlookup($F894,'Reference info'!$J$5:$J$8,1,0))),"Key Artist",not(iserror(vlookup($F894,'Reference info'!$J$38:$J$405,1,0))),"Performer",not(iserror(vlookup($F894,'Reference info'!$J$10:$J$36,1,0))),"Producer &amp; Engineer")</f>
        <v/>
      </c>
    </row>
    <row r="895">
      <c r="A895" s="28"/>
      <c r="B895" s="97"/>
      <c r="C895" s="121" t="str">
        <f t="array" ref="C895">ifs(and(isblank($A895),isblank($B895)),"", not(iserror(vlookup($A895&amp;$B895,'3) Release_Label'!$D:$D&amp;'3) Release_Label'!$E:$E,1,0))),vlookup($A895&amp;$B895,{'3) Release_Label'!$D:$D&amp;'3) Release_Label'!$E:$E,'3) Release_Label'!$F:$F},2,0), or(and(not(isblank($B895)),$B895=$B894,$A895&lt;&gt;$A894),and(not(isblank($A895)),$A895=$A894,$B895&lt;&gt;$B894)),"ID LISTS UNALIGNED",and($A895&lt;&gt;"",countif('3) Release_Label'!$D:$D,$A895)=0),"NO UPC MATCH in Release_Label",and($B895&lt;&gt;"",countif('3) Release_Label'!$E:$E,$B895)=0),"NO CATALOG ID MATCH in Release_Label",iserror(vlookup($A895&amp;$B895,'3) Release_Label'!$D:$D&amp;'3) Release_Label'!$E:$E,1,0)),"NO UPC-CATALOG ID pair MATCH in Release_Label" )</f>
        <v/>
      </c>
      <c r="D895" s="121" t="str">
        <f t="array" ref="D895">ifs(and(isblank($A895),isblank($B895)),"", not(iserror(vlookup($A895&amp;$B895,'3) Release_Label'!$D:$D&amp;'3) Release_Label'!$E:$E,1,0))),vlookup($A895&amp;$B895,{'3) Release_Label'!$D:$D&amp;'3) Release_Label'!$E:$E,'3) Release_Label'!$H:$H},2,0), or(and(not(isblank($B895)),$B895=$B894,$A895&lt;&gt;$A894),and(not(isblank($A895)),$A895=$A894,$B895&lt;&gt;$B894)),"ID LISTS UNALIGNED",and($A895&lt;&gt;"",countif('3) Release_Label'!$D:$D,$A895)=0),"NO UPC MATCH in Release_Label",and($B895&lt;&gt;"",countif('3) Release_Label'!$E:$E,$B895)=0),"NO CATALOG ID MATCH in Release_Label",iserror(vlookup($A895&amp;$B895,'3) Release_Label'!$D:$D&amp;'3) Release_Label'!$E:$E,1,0)),"NO UPC-CATALOG ID pair MATCH in Release_Label" )</f>
        <v/>
      </c>
      <c r="E895" s="92"/>
      <c r="F895" s="92"/>
      <c r="G895" s="125" t="str">
        <f t="array" ref="G895">ifs(or($F895="",$F895="Main Primary Artist"),$F895,not(iserror(vlookup($F895,'Reference info'!$J$5:$J$8,1,0))),"Key Artist",not(iserror(vlookup($F895,'Reference info'!$J$38:$J$405,1,0))),"Performer",not(iserror(vlookup($F895,'Reference info'!$J$10:$J$36,1,0))),"Producer &amp; Engineer")</f>
        <v/>
      </c>
    </row>
    <row r="896">
      <c r="A896" s="28"/>
      <c r="B896" s="97"/>
      <c r="C896" s="121" t="str">
        <f t="array" ref="C896">ifs(and(isblank($A896),isblank($B896)),"", not(iserror(vlookup($A896&amp;$B896,'3) Release_Label'!$D:$D&amp;'3) Release_Label'!$E:$E,1,0))),vlookup($A896&amp;$B896,{'3) Release_Label'!$D:$D&amp;'3) Release_Label'!$E:$E,'3) Release_Label'!$F:$F},2,0), or(and(not(isblank($B896)),$B896=$B895,$A896&lt;&gt;$A895),and(not(isblank($A896)),$A896=$A895,$B896&lt;&gt;$B895)),"ID LISTS UNALIGNED",and($A896&lt;&gt;"",countif('3) Release_Label'!$D:$D,$A896)=0),"NO UPC MATCH in Release_Label",and($B896&lt;&gt;"",countif('3) Release_Label'!$E:$E,$B896)=0),"NO CATALOG ID MATCH in Release_Label",iserror(vlookup($A896&amp;$B896,'3) Release_Label'!$D:$D&amp;'3) Release_Label'!$E:$E,1,0)),"NO UPC-CATALOG ID pair MATCH in Release_Label" )</f>
        <v/>
      </c>
      <c r="D896" s="121" t="str">
        <f t="array" ref="D896">ifs(and(isblank($A896),isblank($B896)),"", not(iserror(vlookup($A896&amp;$B896,'3) Release_Label'!$D:$D&amp;'3) Release_Label'!$E:$E,1,0))),vlookup($A896&amp;$B896,{'3) Release_Label'!$D:$D&amp;'3) Release_Label'!$E:$E,'3) Release_Label'!$H:$H},2,0), or(and(not(isblank($B896)),$B896=$B895,$A896&lt;&gt;$A895),and(not(isblank($A896)),$A896=$A895,$B896&lt;&gt;$B895)),"ID LISTS UNALIGNED",and($A896&lt;&gt;"",countif('3) Release_Label'!$D:$D,$A896)=0),"NO UPC MATCH in Release_Label",and($B896&lt;&gt;"",countif('3) Release_Label'!$E:$E,$B896)=0),"NO CATALOG ID MATCH in Release_Label",iserror(vlookup($A896&amp;$B896,'3) Release_Label'!$D:$D&amp;'3) Release_Label'!$E:$E,1,0)),"NO UPC-CATALOG ID pair MATCH in Release_Label" )</f>
        <v/>
      </c>
      <c r="E896" s="92"/>
      <c r="F896" s="92"/>
      <c r="G896" s="125" t="str">
        <f t="array" ref="G896">ifs(or($F896="",$F896="Main Primary Artist"),$F896,not(iserror(vlookup($F896,'Reference info'!$J$5:$J$8,1,0))),"Key Artist",not(iserror(vlookup($F896,'Reference info'!$J$38:$J$405,1,0))),"Performer",not(iserror(vlookup($F896,'Reference info'!$J$10:$J$36,1,0))),"Producer &amp; Engineer")</f>
        <v/>
      </c>
    </row>
    <row r="897">
      <c r="A897" s="28"/>
      <c r="B897" s="97"/>
      <c r="C897" s="121" t="str">
        <f t="array" ref="C897">ifs(and(isblank($A897),isblank($B897)),"", not(iserror(vlookup($A897&amp;$B897,'3) Release_Label'!$D:$D&amp;'3) Release_Label'!$E:$E,1,0))),vlookup($A897&amp;$B897,{'3) Release_Label'!$D:$D&amp;'3) Release_Label'!$E:$E,'3) Release_Label'!$F:$F},2,0), or(and(not(isblank($B897)),$B897=$B896,$A897&lt;&gt;$A896),and(not(isblank($A897)),$A897=$A896,$B897&lt;&gt;$B896)),"ID LISTS UNALIGNED",and($A897&lt;&gt;"",countif('3) Release_Label'!$D:$D,$A897)=0),"NO UPC MATCH in Release_Label",and($B897&lt;&gt;"",countif('3) Release_Label'!$E:$E,$B897)=0),"NO CATALOG ID MATCH in Release_Label",iserror(vlookup($A897&amp;$B897,'3) Release_Label'!$D:$D&amp;'3) Release_Label'!$E:$E,1,0)),"NO UPC-CATALOG ID pair MATCH in Release_Label" )</f>
        <v/>
      </c>
      <c r="D897" s="121" t="str">
        <f t="array" ref="D897">ifs(and(isblank($A897),isblank($B897)),"", not(iserror(vlookup($A897&amp;$B897,'3) Release_Label'!$D:$D&amp;'3) Release_Label'!$E:$E,1,0))),vlookup($A897&amp;$B897,{'3) Release_Label'!$D:$D&amp;'3) Release_Label'!$E:$E,'3) Release_Label'!$H:$H},2,0), or(and(not(isblank($B897)),$B897=$B896,$A897&lt;&gt;$A896),and(not(isblank($A897)),$A897=$A896,$B897&lt;&gt;$B896)),"ID LISTS UNALIGNED",and($A897&lt;&gt;"",countif('3) Release_Label'!$D:$D,$A897)=0),"NO UPC MATCH in Release_Label",and($B897&lt;&gt;"",countif('3) Release_Label'!$E:$E,$B897)=0),"NO CATALOG ID MATCH in Release_Label",iserror(vlookup($A897&amp;$B897,'3) Release_Label'!$D:$D&amp;'3) Release_Label'!$E:$E,1,0)),"NO UPC-CATALOG ID pair MATCH in Release_Label" )</f>
        <v/>
      </c>
      <c r="E897" s="92"/>
      <c r="F897" s="92"/>
      <c r="G897" s="125" t="str">
        <f t="array" ref="G897">ifs(or($F897="",$F897="Main Primary Artist"),$F897,not(iserror(vlookup($F897,'Reference info'!$J$5:$J$8,1,0))),"Key Artist",not(iserror(vlookup($F897,'Reference info'!$J$38:$J$405,1,0))),"Performer",not(iserror(vlookup($F897,'Reference info'!$J$10:$J$36,1,0))),"Producer &amp; Engineer")</f>
        <v/>
      </c>
    </row>
    <row r="898">
      <c r="A898" s="28"/>
      <c r="B898" s="97"/>
      <c r="C898" s="121" t="str">
        <f t="array" ref="C898">ifs(and(isblank($A898),isblank($B898)),"", not(iserror(vlookup($A898&amp;$B898,'3) Release_Label'!$D:$D&amp;'3) Release_Label'!$E:$E,1,0))),vlookup($A898&amp;$B898,{'3) Release_Label'!$D:$D&amp;'3) Release_Label'!$E:$E,'3) Release_Label'!$F:$F},2,0), or(and(not(isblank($B898)),$B898=$B897,$A898&lt;&gt;$A897),and(not(isblank($A898)),$A898=$A897,$B898&lt;&gt;$B897)),"ID LISTS UNALIGNED",and($A898&lt;&gt;"",countif('3) Release_Label'!$D:$D,$A898)=0),"NO UPC MATCH in Release_Label",and($B898&lt;&gt;"",countif('3) Release_Label'!$E:$E,$B898)=0),"NO CATALOG ID MATCH in Release_Label",iserror(vlookup($A898&amp;$B898,'3) Release_Label'!$D:$D&amp;'3) Release_Label'!$E:$E,1,0)),"NO UPC-CATALOG ID pair MATCH in Release_Label" )</f>
        <v/>
      </c>
      <c r="D898" s="121" t="str">
        <f t="array" ref="D898">ifs(and(isblank($A898),isblank($B898)),"", not(iserror(vlookup($A898&amp;$B898,'3) Release_Label'!$D:$D&amp;'3) Release_Label'!$E:$E,1,0))),vlookup($A898&amp;$B898,{'3) Release_Label'!$D:$D&amp;'3) Release_Label'!$E:$E,'3) Release_Label'!$H:$H},2,0), or(and(not(isblank($B898)),$B898=$B897,$A898&lt;&gt;$A897),and(not(isblank($A898)),$A898=$A897,$B898&lt;&gt;$B897)),"ID LISTS UNALIGNED",and($A898&lt;&gt;"",countif('3) Release_Label'!$D:$D,$A898)=0),"NO UPC MATCH in Release_Label",and($B898&lt;&gt;"",countif('3) Release_Label'!$E:$E,$B898)=0),"NO CATALOG ID MATCH in Release_Label",iserror(vlookup($A898&amp;$B898,'3) Release_Label'!$D:$D&amp;'3) Release_Label'!$E:$E,1,0)),"NO UPC-CATALOG ID pair MATCH in Release_Label" )</f>
        <v/>
      </c>
      <c r="E898" s="92"/>
      <c r="F898" s="92"/>
      <c r="G898" s="125" t="str">
        <f t="array" ref="G898">ifs(or($F898="",$F898="Main Primary Artist"),$F898,not(iserror(vlookup($F898,'Reference info'!$J$5:$J$8,1,0))),"Key Artist",not(iserror(vlookup($F898,'Reference info'!$J$38:$J$405,1,0))),"Performer",not(iserror(vlookup($F898,'Reference info'!$J$10:$J$36,1,0))),"Producer &amp; Engineer")</f>
        <v/>
      </c>
    </row>
    <row r="899">
      <c r="A899" s="28"/>
      <c r="B899" s="97"/>
      <c r="C899" s="121" t="str">
        <f t="array" ref="C899">ifs(and(isblank($A899),isblank($B899)),"", not(iserror(vlookup($A899&amp;$B899,'3) Release_Label'!$D:$D&amp;'3) Release_Label'!$E:$E,1,0))),vlookup($A899&amp;$B899,{'3) Release_Label'!$D:$D&amp;'3) Release_Label'!$E:$E,'3) Release_Label'!$F:$F},2,0), or(and(not(isblank($B899)),$B899=$B898,$A899&lt;&gt;$A898),and(not(isblank($A899)),$A899=$A898,$B899&lt;&gt;$B898)),"ID LISTS UNALIGNED",and($A899&lt;&gt;"",countif('3) Release_Label'!$D:$D,$A899)=0),"NO UPC MATCH in Release_Label",and($B899&lt;&gt;"",countif('3) Release_Label'!$E:$E,$B899)=0),"NO CATALOG ID MATCH in Release_Label",iserror(vlookup($A899&amp;$B899,'3) Release_Label'!$D:$D&amp;'3) Release_Label'!$E:$E,1,0)),"NO UPC-CATALOG ID pair MATCH in Release_Label" )</f>
        <v/>
      </c>
      <c r="D899" s="121" t="str">
        <f t="array" ref="D899">ifs(and(isblank($A899),isblank($B899)),"", not(iserror(vlookup($A899&amp;$B899,'3) Release_Label'!$D:$D&amp;'3) Release_Label'!$E:$E,1,0))),vlookup($A899&amp;$B899,{'3) Release_Label'!$D:$D&amp;'3) Release_Label'!$E:$E,'3) Release_Label'!$H:$H},2,0), or(and(not(isblank($B899)),$B899=$B898,$A899&lt;&gt;$A898),and(not(isblank($A899)),$A899=$A898,$B899&lt;&gt;$B898)),"ID LISTS UNALIGNED",and($A899&lt;&gt;"",countif('3) Release_Label'!$D:$D,$A899)=0),"NO UPC MATCH in Release_Label",and($B899&lt;&gt;"",countif('3) Release_Label'!$E:$E,$B899)=0),"NO CATALOG ID MATCH in Release_Label",iserror(vlookup($A899&amp;$B899,'3) Release_Label'!$D:$D&amp;'3) Release_Label'!$E:$E,1,0)),"NO UPC-CATALOG ID pair MATCH in Release_Label" )</f>
        <v/>
      </c>
      <c r="E899" s="92"/>
      <c r="F899" s="92"/>
      <c r="G899" s="125" t="str">
        <f t="array" ref="G899">ifs(or($F899="",$F899="Main Primary Artist"),$F899,not(iserror(vlookup($F899,'Reference info'!$J$5:$J$8,1,0))),"Key Artist",not(iserror(vlookup($F899,'Reference info'!$J$38:$J$405,1,0))),"Performer",not(iserror(vlookup($F899,'Reference info'!$J$10:$J$36,1,0))),"Producer &amp; Engineer")</f>
        <v/>
      </c>
    </row>
    <row r="900">
      <c r="A900" s="28"/>
      <c r="B900" s="97"/>
      <c r="C900" s="121" t="str">
        <f t="array" ref="C900">ifs(and(isblank($A900),isblank($B900)),"", not(iserror(vlookup($A900&amp;$B900,'3) Release_Label'!$D:$D&amp;'3) Release_Label'!$E:$E,1,0))),vlookup($A900&amp;$B900,{'3) Release_Label'!$D:$D&amp;'3) Release_Label'!$E:$E,'3) Release_Label'!$F:$F},2,0), or(and(not(isblank($B900)),$B900=$B899,$A900&lt;&gt;$A899),and(not(isblank($A900)),$A900=$A899,$B900&lt;&gt;$B899)),"ID LISTS UNALIGNED",and($A900&lt;&gt;"",countif('3) Release_Label'!$D:$D,$A900)=0),"NO UPC MATCH in Release_Label",and($B900&lt;&gt;"",countif('3) Release_Label'!$E:$E,$B900)=0),"NO CATALOG ID MATCH in Release_Label",iserror(vlookup($A900&amp;$B900,'3) Release_Label'!$D:$D&amp;'3) Release_Label'!$E:$E,1,0)),"NO UPC-CATALOG ID pair MATCH in Release_Label" )</f>
        <v/>
      </c>
      <c r="D900" s="121" t="str">
        <f t="array" ref="D900">ifs(and(isblank($A900),isblank($B900)),"", not(iserror(vlookup($A900&amp;$B900,'3) Release_Label'!$D:$D&amp;'3) Release_Label'!$E:$E,1,0))),vlookup($A900&amp;$B900,{'3) Release_Label'!$D:$D&amp;'3) Release_Label'!$E:$E,'3) Release_Label'!$H:$H},2,0), or(and(not(isblank($B900)),$B900=$B899,$A900&lt;&gt;$A899),and(not(isblank($A900)),$A900=$A899,$B900&lt;&gt;$B899)),"ID LISTS UNALIGNED",and($A900&lt;&gt;"",countif('3) Release_Label'!$D:$D,$A900)=0),"NO UPC MATCH in Release_Label",and($B900&lt;&gt;"",countif('3) Release_Label'!$E:$E,$B900)=0),"NO CATALOG ID MATCH in Release_Label",iserror(vlookup($A900&amp;$B900,'3) Release_Label'!$D:$D&amp;'3) Release_Label'!$E:$E,1,0)),"NO UPC-CATALOG ID pair MATCH in Release_Label" )</f>
        <v/>
      </c>
      <c r="E900" s="92"/>
      <c r="F900" s="92"/>
      <c r="G900" s="125" t="str">
        <f t="array" ref="G900">ifs(or($F900="",$F900="Main Primary Artist"),$F900,not(iserror(vlookup($F900,'Reference info'!$J$5:$J$8,1,0))),"Key Artist",not(iserror(vlookup($F900,'Reference info'!$J$38:$J$405,1,0))),"Performer",not(iserror(vlookup($F900,'Reference info'!$J$10:$J$36,1,0))),"Producer &amp; Engineer")</f>
        <v/>
      </c>
    </row>
    <row r="901">
      <c r="A901" s="28"/>
      <c r="B901" s="97"/>
      <c r="C901" s="121" t="str">
        <f t="array" ref="C901">ifs(and(isblank($A901),isblank($B901)),"", not(iserror(vlookup($A901&amp;$B901,'3) Release_Label'!$D:$D&amp;'3) Release_Label'!$E:$E,1,0))),vlookup($A901&amp;$B901,{'3) Release_Label'!$D:$D&amp;'3) Release_Label'!$E:$E,'3) Release_Label'!$F:$F},2,0), or(and(not(isblank($B901)),$B901=$B900,$A901&lt;&gt;$A900),and(not(isblank($A901)),$A901=$A900,$B901&lt;&gt;$B900)),"ID LISTS UNALIGNED",and($A901&lt;&gt;"",countif('3) Release_Label'!$D:$D,$A901)=0),"NO UPC MATCH in Release_Label",and($B901&lt;&gt;"",countif('3) Release_Label'!$E:$E,$B901)=0),"NO CATALOG ID MATCH in Release_Label",iserror(vlookup($A901&amp;$B901,'3) Release_Label'!$D:$D&amp;'3) Release_Label'!$E:$E,1,0)),"NO UPC-CATALOG ID pair MATCH in Release_Label" )</f>
        <v/>
      </c>
      <c r="D901" s="121" t="str">
        <f t="array" ref="D901">ifs(and(isblank($A901),isblank($B901)),"", not(iserror(vlookup($A901&amp;$B901,'3) Release_Label'!$D:$D&amp;'3) Release_Label'!$E:$E,1,0))),vlookup($A901&amp;$B901,{'3) Release_Label'!$D:$D&amp;'3) Release_Label'!$E:$E,'3) Release_Label'!$H:$H},2,0), or(and(not(isblank($B901)),$B901=$B900,$A901&lt;&gt;$A900),and(not(isblank($A901)),$A901=$A900,$B901&lt;&gt;$B900)),"ID LISTS UNALIGNED",and($A901&lt;&gt;"",countif('3) Release_Label'!$D:$D,$A901)=0),"NO UPC MATCH in Release_Label",and($B901&lt;&gt;"",countif('3) Release_Label'!$E:$E,$B901)=0),"NO CATALOG ID MATCH in Release_Label",iserror(vlookup($A901&amp;$B901,'3) Release_Label'!$D:$D&amp;'3) Release_Label'!$E:$E,1,0)),"NO UPC-CATALOG ID pair MATCH in Release_Label" )</f>
        <v/>
      </c>
      <c r="E901" s="92"/>
      <c r="F901" s="92"/>
      <c r="G901" s="125" t="str">
        <f t="array" ref="G901">ifs(or($F901="",$F901="Main Primary Artist"),$F901,not(iserror(vlookup($F901,'Reference info'!$J$5:$J$8,1,0))),"Key Artist",not(iserror(vlookup($F901,'Reference info'!$J$38:$J$405,1,0))),"Performer",not(iserror(vlookup($F901,'Reference info'!$J$10:$J$36,1,0))),"Producer &amp; Engineer")</f>
        <v/>
      </c>
    </row>
    <row r="902">
      <c r="A902" s="28"/>
      <c r="B902" s="97"/>
      <c r="C902" s="121" t="str">
        <f t="array" ref="C902">ifs(and(isblank($A902),isblank($B902)),"", not(iserror(vlookup($A902&amp;$B902,'3) Release_Label'!$D:$D&amp;'3) Release_Label'!$E:$E,1,0))),vlookup($A902&amp;$B902,{'3) Release_Label'!$D:$D&amp;'3) Release_Label'!$E:$E,'3) Release_Label'!$F:$F},2,0), or(and(not(isblank($B902)),$B902=$B901,$A902&lt;&gt;$A901),and(not(isblank($A902)),$A902=$A901,$B902&lt;&gt;$B901)),"ID LISTS UNALIGNED",and($A902&lt;&gt;"",countif('3) Release_Label'!$D:$D,$A902)=0),"NO UPC MATCH in Release_Label",and($B902&lt;&gt;"",countif('3) Release_Label'!$E:$E,$B902)=0),"NO CATALOG ID MATCH in Release_Label",iserror(vlookup($A902&amp;$B902,'3) Release_Label'!$D:$D&amp;'3) Release_Label'!$E:$E,1,0)),"NO UPC-CATALOG ID pair MATCH in Release_Label" )</f>
        <v/>
      </c>
      <c r="D902" s="121" t="str">
        <f t="array" ref="D902">ifs(and(isblank($A902),isblank($B902)),"", not(iserror(vlookup($A902&amp;$B902,'3) Release_Label'!$D:$D&amp;'3) Release_Label'!$E:$E,1,0))),vlookup($A902&amp;$B902,{'3) Release_Label'!$D:$D&amp;'3) Release_Label'!$E:$E,'3) Release_Label'!$H:$H},2,0), or(and(not(isblank($B902)),$B902=$B901,$A902&lt;&gt;$A901),and(not(isblank($A902)),$A902=$A901,$B902&lt;&gt;$B901)),"ID LISTS UNALIGNED",and($A902&lt;&gt;"",countif('3) Release_Label'!$D:$D,$A902)=0),"NO UPC MATCH in Release_Label",and($B902&lt;&gt;"",countif('3) Release_Label'!$E:$E,$B902)=0),"NO CATALOG ID MATCH in Release_Label",iserror(vlookup($A902&amp;$B902,'3) Release_Label'!$D:$D&amp;'3) Release_Label'!$E:$E,1,0)),"NO UPC-CATALOG ID pair MATCH in Release_Label" )</f>
        <v/>
      </c>
      <c r="E902" s="92"/>
      <c r="F902" s="92"/>
      <c r="G902" s="125" t="str">
        <f t="array" ref="G902">ifs(or($F902="",$F902="Main Primary Artist"),$F902,not(iserror(vlookup($F902,'Reference info'!$J$5:$J$8,1,0))),"Key Artist",not(iserror(vlookup($F902,'Reference info'!$J$38:$J$405,1,0))),"Performer",not(iserror(vlookup($F902,'Reference info'!$J$10:$J$36,1,0))),"Producer &amp; Engineer")</f>
        <v/>
      </c>
    </row>
    <row r="903">
      <c r="A903" s="28"/>
      <c r="B903" s="97"/>
      <c r="C903" s="121" t="str">
        <f t="array" ref="C903">ifs(and(isblank($A903),isblank($B903)),"", not(iserror(vlookup($A903&amp;$B903,'3) Release_Label'!$D:$D&amp;'3) Release_Label'!$E:$E,1,0))),vlookup($A903&amp;$B903,{'3) Release_Label'!$D:$D&amp;'3) Release_Label'!$E:$E,'3) Release_Label'!$F:$F},2,0), or(and(not(isblank($B903)),$B903=$B902,$A903&lt;&gt;$A902),and(not(isblank($A903)),$A903=$A902,$B903&lt;&gt;$B902)),"ID LISTS UNALIGNED",and($A903&lt;&gt;"",countif('3) Release_Label'!$D:$D,$A903)=0),"NO UPC MATCH in Release_Label",and($B903&lt;&gt;"",countif('3) Release_Label'!$E:$E,$B903)=0),"NO CATALOG ID MATCH in Release_Label",iserror(vlookup($A903&amp;$B903,'3) Release_Label'!$D:$D&amp;'3) Release_Label'!$E:$E,1,0)),"NO UPC-CATALOG ID pair MATCH in Release_Label" )</f>
        <v/>
      </c>
      <c r="D903" s="121" t="str">
        <f t="array" ref="D903">ifs(and(isblank($A903),isblank($B903)),"", not(iserror(vlookup($A903&amp;$B903,'3) Release_Label'!$D:$D&amp;'3) Release_Label'!$E:$E,1,0))),vlookup($A903&amp;$B903,{'3) Release_Label'!$D:$D&amp;'3) Release_Label'!$E:$E,'3) Release_Label'!$H:$H},2,0), or(and(not(isblank($B903)),$B903=$B902,$A903&lt;&gt;$A902),and(not(isblank($A903)),$A903=$A902,$B903&lt;&gt;$B902)),"ID LISTS UNALIGNED",and($A903&lt;&gt;"",countif('3) Release_Label'!$D:$D,$A903)=0),"NO UPC MATCH in Release_Label",and($B903&lt;&gt;"",countif('3) Release_Label'!$E:$E,$B903)=0),"NO CATALOG ID MATCH in Release_Label",iserror(vlookup($A903&amp;$B903,'3) Release_Label'!$D:$D&amp;'3) Release_Label'!$E:$E,1,0)),"NO UPC-CATALOG ID pair MATCH in Release_Label" )</f>
        <v/>
      </c>
      <c r="E903" s="92"/>
      <c r="F903" s="92"/>
      <c r="G903" s="125" t="str">
        <f t="array" ref="G903">ifs(or($F903="",$F903="Main Primary Artist"),$F903,not(iserror(vlookup($F903,'Reference info'!$J$5:$J$8,1,0))),"Key Artist",not(iserror(vlookup($F903,'Reference info'!$J$38:$J$405,1,0))),"Performer",not(iserror(vlookup($F903,'Reference info'!$J$10:$J$36,1,0))),"Producer &amp; Engineer")</f>
        <v/>
      </c>
    </row>
    <row r="904">
      <c r="A904" s="28"/>
      <c r="B904" s="97"/>
      <c r="C904" s="121" t="str">
        <f t="array" ref="C904">ifs(and(isblank($A904),isblank($B904)),"", not(iserror(vlookup($A904&amp;$B904,'3) Release_Label'!$D:$D&amp;'3) Release_Label'!$E:$E,1,0))),vlookup($A904&amp;$B904,{'3) Release_Label'!$D:$D&amp;'3) Release_Label'!$E:$E,'3) Release_Label'!$F:$F},2,0), or(and(not(isblank($B904)),$B904=$B903,$A904&lt;&gt;$A903),and(not(isblank($A904)),$A904=$A903,$B904&lt;&gt;$B903)),"ID LISTS UNALIGNED",and($A904&lt;&gt;"",countif('3) Release_Label'!$D:$D,$A904)=0),"NO UPC MATCH in Release_Label",and($B904&lt;&gt;"",countif('3) Release_Label'!$E:$E,$B904)=0),"NO CATALOG ID MATCH in Release_Label",iserror(vlookup($A904&amp;$B904,'3) Release_Label'!$D:$D&amp;'3) Release_Label'!$E:$E,1,0)),"NO UPC-CATALOG ID pair MATCH in Release_Label" )</f>
        <v/>
      </c>
      <c r="D904" s="121" t="str">
        <f t="array" ref="D904">ifs(and(isblank($A904),isblank($B904)),"", not(iserror(vlookup($A904&amp;$B904,'3) Release_Label'!$D:$D&amp;'3) Release_Label'!$E:$E,1,0))),vlookup($A904&amp;$B904,{'3) Release_Label'!$D:$D&amp;'3) Release_Label'!$E:$E,'3) Release_Label'!$H:$H},2,0), or(and(not(isblank($B904)),$B904=$B903,$A904&lt;&gt;$A903),and(not(isblank($A904)),$A904=$A903,$B904&lt;&gt;$B903)),"ID LISTS UNALIGNED",and($A904&lt;&gt;"",countif('3) Release_Label'!$D:$D,$A904)=0),"NO UPC MATCH in Release_Label",and($B904&lt;&gt;"",countif('3) Release_Label'!$E:$E,$B904)=0),"NO CATALOG ID MATCH in Release_Label",iserror(vlookup($A904&amp;$B904,'3) Release_Label'!$D:$D&amp;'3) Release_Label'!$E:$E,1,0)),"NO UPC-CATALOG ID pair MATCH in Release_Label" )</f>
        <v/>
      </c>
      <c r="E904" s="92"/>
      <c r="F904" s="92"/>
      <c r="G904" s="125" t="str">
        <f t="array" ref="G904">ifs(or($F904="",$F904="Main Primary Artist"),$F904,not(iserror(vlookup($F904,'Reference info'!$J$5:$J$8,1,0))),"Key Artist",not(iserror(vlookup($F904,'Reference info'!$J$38:$J$405,1,0))),"Performer",not(iserror(vlookup($F904,'Reference info'!$J$10:$J$36,1,0))),"Producer &amp; Engineer")</f>
        <v/>
      </c>
    </row>
    <row r="905">
      <c r="A905" s="28"/>
      <c r="B905" s="97"/>
      <c r="C905" s="121" t="str">
        <f t="array" ref="C905">ifs(and(isblank($A905),isblank($B905)),"", not(iserror(vlookup($A905&amp;$B905,'3) Release_Label'!$D:$D&amp;'3) Release_Label'!$E:$E,1,0))),vlookup($A905&amp;$B905,{'3) Release_Label'!$D:$D&amp;'3) Release_Label'!$E:$E,'3) Release_Label'!$F:$F},2,0), or(and(not(isblank($B905)),$B905=$B904,$A905&lt;&gt;$A904),and(not(isblank($A905)),$A905=$A904,$B905&lt;&gt;$B904)),"ID LISTS UNALIGNED",and($A905&lt;&gt;"",countif('3) Release_Label'!$D:$D,$A905)=0),"NO UPC MATCH in Release_Label",and($B905&lt;&gt;"",countif('3) Release_Label'!$E:$E,$B905)=0),"NO CATALOG ID MATCH in Release_Label",iserror(vlookup($A905&amp;$B905,'3) Release_Label'!$D:$D&amp;'3) Release_Label'!$E:$E,1,0)),"NO UPC-CATALOG ID pair MATCH in Release_Label" )</f>
        <v/>
      </c>
      <c r="D905" s="121" t="str">
        <f t="array" ref="D905">ifs(and(isblank($A905),isblank($B905)),"", not(iserror(vlookup($A905&amp;$B905,'3) Release_Label'!$D:$D&amp;'3) Release_Label'!$E:$E,1,0))),vlookup($A905&amp;$B905,{'3) Release_Label'!$D:$D&amp;'3) Release_Label'!$E:$E,'3) Release_Label'!$H:$H},2,0), or(and(not(isblank($B905)),$B905=$B904,$A905&lt;&gt;$A904),and(not(isblank($A905)),$A905=$A904,$B905&lt;&gt;$B904)),"ID LISTS UNALIGNED",and($A905&lt;&gt;"",countif('3) Release_Label'!$D:$D,$A905)=0),"NO UPC MATCH in Release_Label",and($B905&lt;&gt;"",countif('3) Release_Label'!$E:$E,$B905)=0),"NO CATALOG ID MATCH in Release_Label",iserror(vlookup($A905&amp;$B905,'3) Release_Label'!$D:$D&amp;'3) Release_Label'!$E:$E,1,0)),"NO UPC-CATALOG ID pair MATCH in Release_Label" )</f>
        <v/>
      </c>
      <c r="E905" s="92"/>
      <c r="F905" s="92"/>
      <c r="G905" s="125" t="str">
        <f t="array" ref="G905">ifs(or($F905="",$F905="Main Primary Artist"),$F905,not(iserror(vlookup($F905,'Reference info'!$J$5:$J$8,1,0))),"Key Artist",not(iserror(vlookup($F905,'Reference info'!$J$38:$J$405,1,0))),"Performer",not(iserror(vlookup($F905,'Reference info'!$J$10:$J$36,1,0))),"Producer &amp; Engineer")</f>
        <v/>
      </c>
    </row>
    <row r="906">
      <c r="A906" s="28"/>
      <c r="B906" s="97"/>
      <c r="C906" s="121" t="str">
        <f t="array" ref="C906">ifs(and(isblank($A906),isblank($B906)),"", not(iserror(vlookup($A906&amp;$B906,'3) Release_Label'!$D:$D&amp;'3) Release_Label'!$E:$E,1,0))),vlookup($A906&amp;$B906,{'3) Release_Label'!$D:$D&amp;'3) Release_Label'!$E:$E,'3) Release_Label'!$F:$F},2,0), or(and(not(isblank($B906)),$B906=$B905,$A906&lt;&gt;$A905),and(not(isblank($A906)),$A906=$A905,$B906&lt;&gt;$B905)),"ID LISTS UNALIGNED",and($A906&lt;&gt;"",countif('3) Release_Label'!$D:$D,$A906)=0),"NO UPC MATCH in Release_Label",and($B906&lt;&gt;"",countif('3) Release_Label'!$E:$E,$B906)=0),"NO CATALOG ID MATCH in Release_Label",iserror(vlookup($A906&amp;$B906,'3) Release_Label'!$D:$D&amp;'3) Release_Label'!$E:$E,1,0)),"NO UPC-CATALOG ID pair MATCH in Release_Label" )</f>
        <v/>
      </c>
      <c r="D906" s="121" t="str">
        <f t="array" ref="D906">ifs(and(isblank($A906),isblank($B906)),"", not(iserror(vlookup($A906&amp;$B906,'3) Release_Label'!$D:$D&amp;'3) Release_Label'!$E:$E,1,0))),vlookup($A906&amp;$B906,{'3) Release_Label'!$D:$D&amp;'3) Release_Label'!$E:$E,'3) Release_Label'!$H:$H},2,0), or(and(not(isblank($B906)),$B906=$B905,$A906&lt;&gt;$A905),and(not(isblank($A906)),$A906=$A905,$B906&lt;&gt;$B905)),"ID LISTS UNALIGNED",and($A906&lt;&gt;"",countif('3) Release_Label'!$D:$D,$A906)=0),"NO UPC MATCH in Release_Label",and($B906&lt;&gt;"",countif('3) Release_Label'!$E:$E,$B906)=0),"NO CATALOG ID MATCH in Release_Label",iserror(vlookup($A906&amp;$B906,'3) Release_Label'!$D:$D&amp;'3) Release_Label'!$E:$E,1,0)),"NO UPC-CATALOG ID pair MATCH in Release_Label" )</f>
        <v/>
      </c>
      <c r="E906" s="92"/>
      <c r="F906" s="92"/>
      <c r="G906" s="125" t="str">
        <f t="array" ref="G906">ifs(or($F906="",$F906="Main Primary Artist"),$F906,not(iserror(vlookup($F906,'Reference info'!$J$5:$J$8,1,0))),"Key Artist",not(iserror(vlookup($F906,'Reference info'!$J$38:$J$405,1,0))),"Performer",not(iserror(vlookup($F906,'Reference info'!$J$10:$J$36,1,0))),"Producer &amp; Engineer")</f>
        <v/>
      </c>
    </row>
    <row r="907">
      <c r="A907" s="28"/>
      <c r="B907" s="97"/>
      <c r="C907" s="121" t="str">
        <f t="array" ref="C907">ifs(and(isblank($A907),isblank($B907)),"", not(iserror(vlookup($A907&amp;$B907,'3) Release_Label'!$D:$D&amp;'3) Release_Label'!$E:$E,1,0))),vlookup($A907&amp;$B907,{'3) Release_Label'!$D:$D&amp;'3) Release_Label'!$E:$E,'3) Release_Label'!$F:$F},2,0), or(and(not(isblank($B907)),$B907=$B906,$A907&lt;&gt;$A906),and(not(isblank($A907)),$A907=$A906,$B907&lt;&gt;$B906)),"ID LISTS UNALIGNED",and($A907&lt;&gt;"",countif('3) Release_Label'!$D:$D,$A907)=0),"NO UPC MATCH in Release_Label",and($B907&lt;&gt;"",countif('3) Release_Label'!$E:$E,$B907)=0),"NO CATALOG ID MATCH in Release_Label",iserror(vlookup($A907&amp;$B907,'3) Release_Label'!$D:$D&amp;'3) Release_Label'!$E:$E,1,0)),"NO UPC-CATALOG ID pair MATCH in Release_Label" )</f>
        <v/>
      </c>
      <c r="D907" s="121" t="str">
        <f t="array" ref="D907">ifs(and(isblank($A907),isblank($B907)),"", not(iserror(vlookup($A907&amp;$B907,'3) Release_Label'!$D:$D&amp;'3) Release_Label'!$E:$E,1,0))),vlookup($A907&amp;$B907,{'3) Release_Label'!$D:$D&amp;'3) Release_Label'!$E:$E,'3) Release_Label'!$H:$H},2,0), or(and(not(isblank($B907)),$B907=$B906,$A907&lt;&gt;$A906),and(not(isblank($A907)),$A907=$A906,$B907&lt;&gt;$B906)),"ID LISTS UNALIGNED",and($A907&lt;&gt;"",countif('3) Release_Label'!$D:$D,$A907)=0),"NO UPC MATCH in Release_Label",and($B907&lt;&gt;"",countif('3) Release_Label'!$E:$E,$B907)=0),"NO CATALOG ID MATCH in Release_Label",iserror(vlookup($A907&amp;$B907,'3) Release_Label'!$D:$D&amp;'3) Release_Label'!$E:$E,1,0)),"NO UPC-CATALOG ID pair MATCH in Release_Label" )</f>
        <v/>
      </c>
      <c r="E907" s="92"/>
      <c r="F907" s="92"/>
      <c r="G907" s="125" t="str">
        <f t="array" ref="G907">ifs(or($F907="",$F907="Main Primary Artist"),$F907,not(iserror(vlookup($F907,'Reference info'!$J$5:$J$8,1,0))),"Key Artist",not(iserror(vlookup($F907,'Reference info'!$J$38:$J$405,1,0))),"Performer",not(iserror(vlookup($F907,'Reference info'!$J$10:$J$36,1,0))),"Producer &amp; Engineer")</f>
        <v/>
      </c>
    </row>
    <row r="908">
      <c r="A908" s="28"/>
      <c r="B908" s="97"/>
      <c r="C908" s="121" t="str">
        <f t="array" ref="C908">ifs(and(isblank($A908),isblank($B908)),"", not(iserror(vlookup($A908&amp;$B908,'3) Release_Label'!$D:$D&amp;'3) Release_Label'!$E:$E,1,0))),vlookup($A908&amp;$B908,{'3) Release_Label'!$D:$D&amp;'3) Release_Label'!$E:$E,'3) Release_Label'!$F:$F},2,0), or(and(not(isblank($B908)),$B908=$B907,$A908&lt;&gt;$A907),and(not(isblank($A908)),$A908=$A907,$B908&lt;&gt;$B907)),"ID LISTS UNALIGNED",and($A908&lt;&gt;"",countif('3) Release_Label'!$D:$D,$A908)=0),"NO UPC MATCH in Release_Label",and($B908&lt;&gt;"",countif('3) Release_Label'!$E:$E,$B908)=0),"NO CATALOG ID MATCH in Release_Label",iserror(vlookup($A908&amp;$B908,'3) Release_Label'!$D:$D&amp;'3) Release_Label'!$E:$E,1,0)),"NO UPC-CATALOG ID pair MATCH in Release_Label" )</f>
        <v/>
      </c>
      <c r="D908" s="121" t="str">
        <f t="array" ref="D908">ifs(and(isblank($A908),isblank($B908)),"", not(iserror(vlookup($A908&amp;$B908,'3) Release_Label'!$D:$D&amp;'3) Release_Label'!$E:$E,1,0))),vlookup($A908&amp;$B908,{'3) Release_Label'!$D:$D&amp;'3) Release_Label'!$E:$E,'3) Release_Label'!$H:$H},2,0), or(and(not(isblank($B908)),$B908=$B907,$A908&lt;&gt;$A907),and(not(isblank($A908)),$A908=$A907,$B908&lt;&gt;$B907)),"ID LISTS UNALIGNED",and($A908&lt;&gt;"",countif('3) Release_Label'!$D:$D,$A908)=0),"NO UPC MATCH in Release_Label",and($B908&lt;&gt;"",countif('3) Release_Label'!$E:$E,$B908)=0),"NO CATALOG ID MATCH in Release_Label",iserror(vlookup($A908&amp;$B908,'3) Release_Label'!$D:$D&amp;'3) Release_Label'!$E:$E,1,0)),"NO UPC-CATALOG ID pair MATCH in Release_Label" )</f>
        <v/>
      </c>
      <c r="E908" s="92"/>
      <c r="F908" s="92"/>
      <c r="G908" s="125" t="str">
        <f t="array" ref="G908">ifs(or($F908="",$F908="Main Primary Artist"),$F908,not(iserror(vlookup($F908,'Reference info'!$J$5:$J$8,1,0))),"Key Artist",not(iserror(vlookup($F908,'Reference info'!$J$38:$J$405,1,0))),"Performer",not(iserror(vlookup($F908,'Reference info'!$J$10:$J$36,1,0))),"Producer &amp; Engineer")</f>
        <v/>
      </c>
    </row>
    <row r="909">
      <c r="A909" s="28"/>
      <c r="B909" s="97"/>
      <c r="C909" s="121" t="str">
        <f t="array" ref="C909">ifs(and(isblank($A909),isblank($B909)),"", not(iserror(vlookup($A909&amp;$B909,'3) Release_Label'!$D:$D&amp;'3) Release_Label'!$E:$E,1,0))),vlookup($A909&amp;$B909,{'3) Release_Label'!$D:$D&amp;'3) Release_Label'!$E:$E,'3) Release_Label'!$F:$F},2,0), or(and(not(isblank($B909)),$B909=$B908,$A909&lt;&gt;$A908),and(not(isblank($A909)),$A909=$A908,$B909&lt;&gt;$B908)),"ID LISTS UNALIGNED",and($A909&lt;&gt;"",countif('3) Release_Label'!$D:$D,$A909)=0),"NO UPC MATCH in Release_Label",and($B909&lt;&gt;"",countif('3) Release_Label'!$E:$E,$B909)=0),"NO CATALOG ID MATCH in Release_Label",iserror(vlookup($A909&amp;$B909,'3) Release_Label'!$D:$D&amp;'3) Release_Label'!$E:$E,1,0)),"NO UPC-CATALOG ID pair MATCH in Release_Label" )</f>
        <v/>
      </c>
      <c r="D909" s="121" t="str">
        <f t="array" ref="D909">ifs(and(isblank($A909),isblank($B909)),"", not(iserror(vlookup($A909&amp;$B909,'3) Release_Label'!$D:$D&amp;'3) Release_Label'!$E:$E,1,0))),vlookup($A909&amp;$B909,{'3) Release_Label'!$D:$D&amp;'3) Release_Label'!$E:$E,'3) Release_Label'!$H:$H},2,0), or(and(not(isblank($B909)),$B909=$B908,$A909&lt;&gt;$A908),and(not(isblank($A909)),$A909=$A908,$B909&lt;&gt;$B908)),"ID LISTS UNALIGNED",and($A909&lt;&gt;"",countif('3) Release_Label'!$D:$D,$A909)=0),"NO UPC MATCH in Release_Label",and($B909&lt;&gt;"",countif('3) Release_Label'!$E:$E,$B909)=0),"NO CATALOG ID MATCH in Release_Label",iserror(vlookup($A909&amp;$B909,'3) Release_Label'!$D:$D&amp;'3) Release_Label'!$E:$E,1,0)),"NO UPC-CATALOG ID pair MATCH in Release_Label" )</f>
        <v/>
      </c>
      <c r="E909" s="92"/>
      <c r="F909" s="92"/>
      <c r="G909" s="125" t="str">
        <f t="array" ref="G909">ifs(or($F909="",$F909="Main Primary Artist"),$F909,not(iserror(vlookup($F909,'Reference info'!$J$5:$J$8,1,0))),"Key Artist",not(iserror(vlookup($F909,'Reference info'!$J$38:$J$405,1,0))),"Performer",not(iserror(vlookup($F909,'Reference info'!$J$10:$J$36,1,0))),"Producer &amp; Engineer")</f>
        <v/>
      </c>
    </row>
    <row r="910">
      <c r="A910" s="28"/>
      <c r="B910" s="97"/>
      <c r="C910" s="121" t="str">
        <f t="array" ref="C910">ifs(and(isblank($A910),isblank($B910)),"", not(iserror(vlookup($A910&amp;$B910,'3) Release_Label'!$D:$D&amp;'3) Release_Label'!$E:$E,1,0))),vlookup($A910&amp;$B910,{'3) Release_Label'!$D:$D&amp;'3) Release_Label'!$E:$E,'3) Release_Label'!$F:$F},2,0), or(and(not(isblank($B910)),$B910=$B909,$A910&lt;&gt;$A909),and(not(isblank($A910)),$A910=$A909,$B910&lt;&gt;$B909)),"ID LISTS UNALIGNED",and($A910&lt;&gt;"",countif('3) Release_Label'!$D:$D,$A910)=0),"NO UPC MATCH in Release_Label",and($B910&lt;&gt;"",countif('3) Release_Label'!$E:$E,$B910)=0),"NO CATALOG ID MATCH in Release_Label",iserror(vlookup($A910&amp;$B910,'3) Release_Label'!$D:$D&amp;'3) Release_Label'!$E:$E,1,0)),"NO UPC-CATALOG ID pair MATCH in Release_Label" )</f>
        <v/>
      </c>
      <c r="D910" s="121" t="str">
        <f t="array" ref="D910">ifs(and(isblank($A910),isblank($B910)),"", not(iserror(vlookup($A910&amp;$B910,'3) Release_Label'!$D:$D&amp;'3) Release_Label'!$E:$E,1,0))),vlookup($A910&amp;$B910,{'3) Release_Label'!$D:$D&amp;'3) Release_Label'!$E:$E,'3) Release_Label'!$H:$H},2,0), or(and(not(isblank($B910)),$B910=$B909,$A910&lt;&gt;$A909),and(not(isblank($A910)),$A910=$A909,$B910&lt;&gt;$B909)),"ID LISTS UNALIGNED",and($A910&lt;&gt;"",countif('3) Release_Label'!$D:$D,$A910)=0),"NO UPC MATCH in Release_Label",and($B910&lt;&gt;"",countif('3) Release_Label'!$E:$E,$B910)=0),"NO CATALOG ID MATCH in Release_Label",iserror(vlookup($A910&amp;$B910,'3) Release_Label'!$D:$D&amp;'3) Release_Label'!$E:$E,1,0)),"NO UPC-CATALOG ID pair MATCH in Release_Label" )</f>
        <v/>
      </c>
      <c r="E910" s="92"/>
      <c r="F910" s="92"/>
      <c r="G910" s="125" t="str">
        <f t="array" ref="G910">ifs(or($F910="",$F910="Main Primary Artist"),$F910,not(iserror(vlookup($F910,'Reference info'!$J$5:$J$8,1,0))),"Key Artist",not(iserror(vlookup($F910,'Reference info'!$J$38:$J$405,1,0))),"Performer",not(iserror(vlookup($F910,'Reference info'!$J$10:$J$36,1,0))),"Producer &amp; Engineer")</f>
        <v/>
      </c>
    </row>
    <row r="911">
      <c r="A911" s="28"/>
      <c r="B911" s="97"/>
      <c r="C911" s="121" t="str">
        <f t="array" ref="C911">ifs(and(isblank($A911),isblank($B911)),"", not(iserror(vlookup($A911&amp;$B911,'3) Release_Label'!$D:$D&amp;'3) Release_Label'!$E:$E,1,0))),vlookup($A911&amp;$B911,{'3) Release_Label'!$D:$D&amp;'3) Release_Label'!$E:$E,'3) Release_Label'!$F:$F},2,0), or(and(not(isblank($B911)),$B911=$B910,$A911&lt;&gt;$A910),and(not(isblank($A911)),$A911=$A910,$B911&lt;&gt;$B910)),"ID LISTS UNALIGNED",and($A911&lt;&gt;"",countif('3) Release_Label'!$D:$D,$A911)=0),"NO UPC MATCH in Release_Label",and($B911&lt;&gt;"",countif('3) Release_Label'!$E:$E,$B911)=0),"NO CATALOG ID MATCH in Release_Label",iserror(vlookup($A911&amp;$B911,'3) Release_Label'!$D:$D&amp;'3) Release_Label'!$E:$E,1,0)),"NO UPC-CATALOG ID pair MATCH in Release_Label" )</f>
        <v/>
      </c>
      <c r="D911" s="121" t="str">
        <f t="array" ref="D911">ifs(and(isblank($A911),isblank($B911)),"", not(iserror(vlookup($A911&amp;$B911,'3) Release_Label'!$D:$D&amp;'3) Release_Label'!$E:$E,1,0))),vlookup($A911&amp;$B911,{'3) Release_Label'!$D:$D&amp;'3) Release_Label'!$E:$E,'3) Release_Label'!$H:$H},2,0), or(and(not(isblank($B911)),$B911=$B910,$A911&lt;&gt;$A910),and(not(isblank($A911)),$A911=$A910,$B911&lt;&gt;$B910)),"ID LISTS UNALIGNED",and($A911&lt;&gt;"",countif('3) Release_Label'!$D:$D,$A911)=0),"NO UPC MATCH in Release_Label",and($B911&lt;&gt;"",countif('3) Release_Label'!$E:$E,$B911)=0),"NO CATALOG ID MATCH in Release_Label",iserror(vlookup($A911&amp;$B911,'3) Release_Label'!$D:$D&amp;'3) Release_Label'!$E:$E,1,0)),"NO UPC-CATALOG ID pair MATCH in Release_Label" )</f>
        <v/>
      </c>
      <c r="E911" s="92"/>
      <c r="F911" s="92"/>
      <c r="G911" s="125" t="str">
        <f t="array" ref="G911">ifs(or($F911="",$F911="Main Primary Artist"),$F911,not(iserror(vlookup($F911,'Reference info'!$J$5:$J$8,1,0))),"Key Artist",not(iserror(vlookup($F911,'Reference info'!$J$38:$J$405,1,0))),"Performer",not(iserror(vlookup($F911,'Reference info'!$J$10:$J$36,1,0))),"Producer &amp; Engineer")</f>
        <v/>
      </c>
    </row>
    <row r="912">
      <c r="A912" s="28"/>
      <c r="B912" s="97"/>
      <c r="C912" s="121" t="str">
        <f t="array" ref="C912">ifs(and(isblank($A912),isblank($B912)),"", not(iserror(vlookup($A912&amp;$B912,'3) Release_Label'!$D:$D&amp;'3) Release_Label'!$E:$E,1,0))),vlookup($A912&amp;$B912,{'3) Release_Label'!$D:$D&amp;'3) Release_Label'!$E:$E,'3) Release_Label'!$F:$F},2,0), or(and(not(isblank($B912)),$B912=$B911,$A912&lt;&gt;$A911),and(not(isblank($A912)),$A912=$A911,$B912&lt;&gt;$B911)),"ID LISTS UNALIGNED",and($A912&lt;&gt;"",countif('3) Release_Label'!$D:$D,$A912)=0),"NO UPC MATCH in Release_Label",and($B912&lt;&gt;"",countif('3) Release_Label'!$E:$E,$B912)=0),"NO CATALOG ID MATCH in Release_Label",iserror(vlookup($A912&amp;$B912,'3) Release_Label'!$D:$D&amp;'3) Release_Label'!$E:$E,1,0)),"NO UPC-CATALOG ID pair MATCH in Release_Label" )</f>
        <v/>
      </c>
      <c r="D912" s="121" t="str">
        <f t="array" ref="D912">ifs(and(isblank($A912),isblank($B912)),"", not(iserror(vlookup($A912&amp;$B912,'3) Release_Label'!$D:$D&amp;'3) Release_Label'!$E:$E,1,0))),vlookup($A912&amp;$B912,{'3) Release_Label'!$D:$D&amp;'3) Release_Label'!$E:$E,'3) Release_Label'!$H:$H},2,0), or(and(not(isblank($B912)),$B912=$B911,$A912&lt;&gt;$A911),and(not(isblank($A912)),$A912=$A911,$B912&lt;&gt;$B911)),"ID LISTS UNALIGNED",and($A912&lt;&gt;"",countif('3) Release_Label'!$D:$D,$A912)=0),"NO UPC MATCH in Release_Label",and($B912&lt;&gt;"",countif('3) Release_Label'!$E:$E,$B912)=0),"NO CATALOG ID MATCH in Release_Label",iserror(vlookup($A912&amp;$B912,'3) Release_Label'!$D:$D&amp;'3) Release_Label'!$E:$E,1,0)),"NO UPC-CATALOG ID pair MATCH in Release_Label" )</f>
        <v/>
      </c>
      <c r="E912" s="92"/>
      <c r="F912" s="92"/>
      <c r="G912" s="125" t="str">
        <f t="array" ref="G912">ifs(or($F912="",$F912="Main Primary Artist"),$F912,not(iserror(vlookup($F912,'Reference info'!$J$5:$J$8,1,0))),"Key Artist",not(iserror(vlookup($F912,'Reference info'!$J$38:$J$405,1,0))),"Performer",not(iserror(vlookup($F912,'Reference info'!$J$10:$J$36,1,0))),"Producer &amp; Engineer")</f>
        <v/>
      </c>
    </row>
    <row r="913">
      <c r="A913" s="28"/>
      <c r="B913" s="97"/>
      <c r="C913" s="121" t="str">
        <f t="array" ref="C913">ifs(and(isblank($A913),isblank($B913)),"", not(iserror(vlookup($A913&amp;$B913,'3) Release_Label'!$D:$D&amp;'3) Release_Label'!$E:$E,1,0))),vlookup($A913&amp;$B913,{'3) Release_Label'!$D:$D&amp;'3) Release_Label'!$E:$E,'3) Release_Label'!$F:$F},2,0), or(and(not(isblank($B913)),$B913=$B912,$A913&lt;&gt;$A912),and(not(isblank($A913)),$A913=$A912,$B913&lt;&gt;$B912)),"ID LISTS UNALIGNED",and($A913&lt;&gt;"",countif('3) Release_Label'!$D:$D,$A913)=0),"NO UPC MATCH in Release_Label",and($B913&lt;&gt;"",countif('3) Release_Label'!$E:$E,$B913)=0),"NO CATALOG ID MATCH in Release_Label",iserror(vlookup($A913&amp;$B913,'3) Release_Label'!$D:$D&amp;'3) Release_Label'!$E:$E,1,0)),"NO UPC-CATALOG ID pair MATCH in Release_Label" )</f>
        <v/>
      </c>
      <c r="D913" s="121" t="str">
        <f t="array" ref="D913">ifs(and(isblank($A913),isblank($B913)),"", not(iserror(vlookup($A913&amp;$B913,'3) Release_Label'!$D:$D&amp;'3) Release_Label'!$E:$E,1,0))),vlookup($A913&amp;$B913,{'3) Release_Label'!$D:$D&amp;'3) Release_Label'!$E:$E,'3) Release_Label'!$H:$H},2,0), or(and(not(isblank($B913)),$B913=$B912,$A913&lt;&gt;$A912),and(not(isblank($A913)),$A913=$A912,$B913&lt;&gt;$B912)),"ID LISTS UNALIGNED",and($A913&lt;&gt;"",countif('3) Release_Label'!$D:$D,$A913)=0),"NO UPC MATCH in Release_Label",and($B913&lt;&gt;"",countif('3) Release_Label'!$E:$E,$B913)=0),"NO CATALOG ID MATCH in Release_Label",iserror(vlookup($A913&amp;$B913,'3) Release_Label'!$D:$D&amp;'3) Release_Label'!$E:$E,1,0)),"NO UPC-CATALOG ID pair MATCH in Release_Label" )</f>
        <v/>
      </c>
      <c r="E913" s="92"/>
      <c r="F913" s="92"/>
      <c r="G913" s="125" t="str">
        <f t="array" ref="G913">ifs(or($F913="",$F913="Main Primary Artist"),$F913,not(iserror(vlookup($F913,'Reference info'!$J$5:$J$8,1,0))),"Key Artist",not(iserror(vlookup($F913,'Reference info'!$J$38:$J$405,1,0))),"Performer",not(iserror(vlookup($F913,'Reference info'!$J$10:$J$36,1,0))),"Producer &amp; Engineer")</f>
        <v/>
      </c>
    </row>
    <row r="914">
      <c r="A914" s="28"/>
      <c r="B914" s="97"/>
      <c r="C914" s="121" t="str">
        <f t="array" ref="C914">ifs(and(isblank($A914),isblank($B914)),"", not(iserror(vlookup($A914&amp;$B914,'3) Release_Label'!$D:$D&amp;'3) Release_Label'!$E:$E,1,0))),vlookup($A914&amp;$B914,{'3) Release_Label'!$D:$D&amp;'3) Release_Label'!$E:$E,'3) Release_Label'!$F:$F},2,0), or(and(not(isblank($B914)),$B914=$B913,$A914&lt;&gt;$A913),and(not(isblank($A914)),$A914=$A913,$B914&lt;&gt;$B913)),"ID LISTS UNALIGNED",and($A914&lt;&gt;"",countif('3) Release_Label'!$D:$D,$A914)=0),"NO UPC MATCH in Release_Label",and($B914&lt;&gt;"",countif('3) Release_Label'!$E:$E,$B914)=0),"NO CATALOG ID MATCH in Release_Label",iserror(vlookup($A914&amp;$B914,'3) Release_Label'!$D:$D&amp;'3) Release_Label'!$E:$E,1,0)),"NO UPC-CATALOG ID pair MATCH in Release_Label" )</f>
        <v/>
      </c>
      <c r="D914" s="121" t="str">
        <f t="array" ref="D914">ifs(and(isblank($A914),isblank($B914)),"", not(iserror(vlookup($A914&amp;$B914,'3) Release_Label'!$D:$D&amp;'3) Release_Label'!$E:$E,1,0))),vlookup($A914&amp;$B914,{'3) Release_Label'!$D:$D&amp;'3) Release_Label'!$E:$E,'3) Release_Label'!$H:$H},2,0), or(and(not(isblank($B914)),$B914=$B913,$A914&lt;&gt;$A913),and(not(isblank($A914)),$A914=$A913,$B914&lt;&gt;$B913)),"ID LISTS UNALIGNED",and($A914&lt;&gt;"",countif('3) Release_Label'!$D:$D,$A914)=0),"NO UPC MATCH in Release_Label",and($B914&lt;&gt;"",countif('3) Release_Label'!$E:$E,$B914)=0),"NO CATALOG ID MATCH in Release_Label",iserror(vlookup($A914&amp;$B914,'3) Release_Label'!$D:$D&amp;'3) Release_Label'!$E:$E,1,0)),"NO UPC-CATALOG ID pair MATCH in Release_Label" )</f>
        <v/>
      </c>
      <c r="E914" s="92"/>
      <c r="F914" s="92"/>
      <c r="G914" s="125" t="str">
        <f t="array" ref="G914">ifs(or($F914="",$F914="Main Primary Artist"),$F914,not(iserror(vlookup($F914,'Reference info'!$J$5:$J$8,1,0))),"Key Artist",not(iserror(vlookup($F914,'Reference info'!$J$38:$J$405,1,0))),"Performer",not(iserror(vlookup($F914,'Reference info'!$J$10:$J$36,1,0))),"Producer &amp; Engineer")</f>
        <v/>
      </c>
    </row>
    <row r="915">
      <c r="A915" s="28"/>
      <c r="B915" s="97"/>
      <c r="C915" s="121" t="str">
        <f t="array" ref="C915">ifs(and(isblank($A915),isblank($B915)),"", not(iserror(vlookup($A915&amp;$B915,'3) Release_Label'!$D:$D&amp;'3) Release_Label'!$E:$E,1,0))),vlookup($A915&amp;$B915,{'3) Release_Label'!$D:$D&amp;'3) Release_Label'!$E:$E,'3) Release_Label'!$F:$F},2,0), or(and(not(isblank($B915)),$B915=$B914,$A915&lt;&gt;$A914),and(not(isblank($A915)),$A915=$A914,$B915&lt;&gt;$B914)),"ID LISTS UNALIGNED",and($A915&lt;&gt;"",countif('3) Release_Label'!$D:$D,$A915)=0),"NO UPC MATCH in Release_Label",and($B915&lt;&gt;"",countif('3) Release_Label'!$E:$E,$B915)=0),"NO CATALOG ID MATCH in Release_Label",iserror(vlookup($A915&amp;$B915,'3) Release_Label'!$D:$D&amp;'3) Release_Label'!$E:$E,1,0)),"NO UPC-CATALOG ID pair MATCH in Release_Label" )</f>
        <v/>
      </c>
      <c r="D915" s="121" t="str">
        <f t="array" ref="D915">ifs(and(isblank($A915),isblank($B915)),"", not(iserror(vlookup($A915&amp;$B915,'3) Release_Label'!$D:$D&amp;'3) Release_Label'!$E:$E,1,0))),vlookup($A915&amp;$B915,{'3) Release_Label'!$D:$D&amp;'3) Release_Label'!$E:$E,'3) Release_Label'!$H:$H},2,0), or(and(not(isblank($B915)),$B915=$B914,$A915&lt;&gt;$A914),and(not(isblank($A915)),$A915=$A914,$B915&lt;&gt;$B914)),"ID LISTS UNALIGNED",and($A915&lt;&gt;"",countif('3) Release_Label'!$D:$D,$A915)=0),"NO UPC MATCH in Release_Label",and($B915&lt;&gt;"",countif('3) Release_Label'!$E:$E,$B915)=0),"NO CATALOG ID MATCH in Release_Label",iserror(vlookup($A915&amp;$B915,'3) Release_Label'!$D:$D&amp;'3) Release_Label'!$E:$E,1,0)),"NO UPC-CATALOG ID pair MATCH in Release_Label" )</f>
        <v/>
      </c>
      <c r="E915" s="92"/>
      <c r="F915" s="92"/>
      <c r="G915" s="125" t="str">
        <f t="array" ref="G915">ifs(or($F915="",$F915="Main Primary Artist"),$F915,not(iserror(vlookup($F915,'Reference info'!$J$5:$J$8,1,0))),"Key Artist",not(iserror(vlookup($F915,'Reference info'!$J$38:$J$405,1,0))),"Performer",not(iserror(vlookup($F915,'Reference info'!$J$10:$J$36,1,0))),"Producer &amp; Engineer")</f>
        <v/>
      </c>
    </row>
    <row r="916">
      <c r="A916" s="28"/>
      <c r="B916" s="97"/>
      <c r="C916" s="121" t="str">
        <f t="array" ref="C916">ifs(and(isblank($A916),isblank($B916)),"", not(iserror(vlookup($A916&amp;$B916,'3) Release_Label'!$D:$D&amp;'3) Release_Label'!$E:$E,1,0))),vlookup($A916&amp;$B916,{'3) Release_Label'!$D:$D&amp;'3) Release_Label'!$E:$E,'3) Release_Label'!$F:$F},2,0), or(and(not(isblank($B916)),$B916=$B915,$A916&lt;&gt;$A915),and(not(isblank($A916)),$A916=$A915,$B916&lt;&gt;$B915)),"ID LISTS UNALIGNED",and($A916&lt;&gt;"",countif('3) Release_Label'!$D:$D,$A916)=0),"NO UPC MATCH in Release_Label",and($B916&lt;&gt;"",countif('3) Release_Label'!$E:$E,$B916)=0),"NO CATALOG ID MATCH in Release_Label",iserror(vlookup($A916&amp;$B916,'3) Release_Label'!$D:$D&amp;'3) Release_Label'!$E:$E,1,0)),"NO UPC-CATALOG ID pair MATCH in Release_Label" )</f>
        <v/>
      </c>
      <c r="D916" s="121" t="str">
        <f t="array" ref="D916">ifs(and(isblank($A916),isblank($B916)),"", not(iserror(vlookup($A916&amp;$B916,'3) Release_Label'!$D:$D&amp;'3) Release_Label'!$E:$E,1,0))),vlookup($A916&amp;$B916,{'3) Release_Label'!$D:$D&amp;'3) Release_Label'!$E:$E,'3) Release_Label'!$H:$H},2,0), or(and(not(isblank($B916)),$B916=$B915,$A916&lt;&gt;$A915),and(not(isblank($A916)),$A916=$A915,$B916&lt;&gt;$B915)),"ID LISTS UNALIGNED",and($A916&lt;&gt;"",countif('3) Release_Label'!$D:$D,$A916)=0),"NO UPC MATCH in Release_Label",and($B916&lt;&gt;"",countif('3) Release_Label'!$E:$E,$B916)=0),"NO CATALOG ID MATCH in Release_Label",iserror(vlookup($A916&amp;$B916,'3) Release_Label'!$D:$D&amp;'3) Release_Label'!$E:$E,1,0)),"NO UPC-CATALOG ID pair MATCH in Release_Label" )</f>
        <v/>
      </c>
      <c r="E916" s="92"/>
      <c r="F916" s="92"/>
      <c r="G916" s="125" t="str">
        <f t="array" ref="G916">ifs(or($F916="",$F916="Main Primary Artist"),$F916,not(iserror(vlookup($F916,'Reference info'!$J$5:$J$8,1,0))),"Key Artist",not(iserror(vlookup($F916,'Reference info'!$J$38:$J$405,1,0))),"Performer",not(iserror(vlookup($F916,'Reference info'!$J$10:$J$36,1,0))),"Producer &amp; Engineer")</f>
        <v/>
      </c>
    </row>
    <row r="917">
      <c r="A917" s="28"/>
      <c r="B917" s="97"/>
      <c r="C917" s="121" t="str">
        <f t="array" ref="C917">ifs(and(isblank($A917),isblank($B917)),"", not(iserror(vlookup($A917&amp;$B917,'3) Release_Label'!$D:$D&amp;'3) Release_Label'!$E:$E,1,0))),vlookup($A917&amp;$B917,{'3) Release_Label'!$D:$D&amp;'3) Release_Label'!$E:$E,'3) Release_Label'!$F:$F},2,0), or(and(not(isblank($B917)),$B917=$B916,$A917&lt;&gt;$A916),and(not(isblank($A917)),$A917=$A916,$B917&lt;&gt;$B916)),"ID LISTS UNALIGNED",and($A917&lt;&gt;"",countif('3) Release_Label'!$D:$D,$A917)=0),"NO UPC MATCH in Release_Label",and($B917&lt;&gt;"",countif('3) Release_Label'!$E:$E,$B917)=0),"NO CATALOG ID MATCH in Release_Label",iserror(vlookup($A917&amp;$B917,'3) Release_Label'!$D:$D&amp;'3) Release_Label'!$E:$E,1,0)),"NO UPC-CATALOG ID pair MATCH in Release_Label" )</f>
        <v/>
      </c>
      <c r="D917" s="121" t="str">
        <f t="array" ref="D917">ifs(and(isblank($A917),isblank($B917)),"", not(iserror(vlookup($A917&amp;$B917,'3) Release_Label'!$D:$D&amp;'3) Release_Label'!$E:$E,1,0))),vlookup($A917&amp;$B917,{'3) Release_Label'!$D:$D&amp;'3) Release_Label'!$E:$E,'3) Release_Label'!$H:$H},2,0), or(and(not(isblank($B917)),$B917=$B916,$A917&lt;&gt;$A916),and(not(isblank($A917)),$A917=$A916,$B917&lt;&gt;$B916)),"ID LISTS UNALIGNED",and($A917&lt;&gt;"",countif('3) Release_Label'!$D:$D,$A917)=0),"NO UPC MATCH in Release_Label",and($B917&lt;&gt;"",countif('3) Release_Label'!$E:$E,$B917)=0),"NO CATALOG ID MATCH in Release_Label",iserror(vlookup($A917&amp;$B917,'3) Release_Label'!$D:$D&amp;'3) Release_Label'!$E:$E,1,0)),"NO UPC-CATALOG ID pair MATCH in Release_Label" )</f>
        <v/>
      </c>
      <c r="E917" s="92"/>
      <c r="F917" s="92"/>
      <c r="G917" s="125" t="str">
        <f t="array" ref="G917">ifs(or($F917="",$F917="Main Primary Artist"),$F917,not(iserror(vlookup($F917,'Reference info'!$J$5:$J$8,1,0))),"Key Artist",not(iserror(vlookup($F917,'Reference info'!$J$38:$J$405,1,0))),"Performer",not(iserror(vlookup($F917,'Reference info'!$J$10:$J$36,1,0))),"Producer &amp; Engineer")</f>
        <v/>
      </c>
    </row>
    <row r="918">
      <c r="A918" s="28"/>
      <c r="B918" s="97"/>
      <c r="C918" s="121" t="str">
        <f t="array" ref="C918">ifs(and(isblank($A918),isblank($B918)),"", not(iserror(vlookup($A918&amp;$B918,'3) Release_Label'!$D:$D&amp;'3) Release_Label'!$E:$E,1,0))),vlookup($A918&amp;$B918,{'3) Release_Label'!$D:$D&amp;'3) Release_Label'!$E:$E,'3) Release_Label'!$F:$F},2,0), or(and(not(isblank($B918)),$B918=$B917,$A918&lt;&gt;$A917),and(not(isblank($A918)),$A918=$A917,$B918&lt;&gt;$B917)),"ID LISTS UNALIGNED",and($A918&lt;&gt;"",countif('3) Release_Label'!$D:$D,$A918)=0),"NO UPC MATCH in Release_Label",and($B918&lt;&gt;"",countif('3) Release_Label'!$E:$E,$B918)=0),"NO CATALOG ID MATCH in Release_Label",iserror(vlookup($A918&amp;$B918,'3) Release_Label'!$D:$D&amp;'3) Release_Label'!$E:$E,1,0)),"NO UPC-CATALOG ID pair MATCH in Release_Label" )</f>
        <v/>
      </c>
      <c r="D918" s="121" t="str">
        <f t="array" ref="D918">ifs(and(isblank($A918),isblank($B918)),"", not(iserror(vlookup($A918&amp;$B918,'3) Release_Label'!$D:$D&amp;'3) Release_Label'!$E:$E,1,0))),vlookup($A918&amp;$B918,{'3) Release_Label'!$D:$D&amp;'3) Release_Label'!$E:$E,'3) Release_Label'!$H:$H},2,0), or(and(not(isblank($B918)),$B918=$B917,$A918&lt;&gt;$A917),and(not(isblank($A918)),$A918=$A917,$B918&lt;&gt;$B917)),"ID LISTS UNALIGNED",and($A918&lt;&gt;"",countif('3) Release_Label'!$D:$D,$A918)=0),"NO UPC MATCH in Release_Label",and($B918&lt;&gt;"",countif('3) Release_Label'!$E:$E,$B918)=0),"NO CATALOG ID MATCH in Release_Label",iserror(vlookup($A918&amp;$B918,'3) Release_Label'!$D:$D&amp;'3) Release_Label'!$E:$E,1,0)),"NO UPC-CATALOG ID pair MATCH in Release_Label" )</f>
        <v/>
      </c>
      <c r="E918" s="92"/>
      <c r="F918" s="92"/>
      <c r="G918" s="125" t="str">
        <f t="array" ref="G918">ifs(or($F918="",$F918="Main Primary Artist"),$F918,not(iserror(vlookup($F918,'Reference info'!$J$5:$J$8,1,0))),"Key Artist",not(iserror(vlookup($F918,'Reference info'!$J$38:$J$405,1,0))),"Performer",not(iserror(vlookup($F918,'Reference info'!$J$10:$J$36,1,0))),"Producer &amp; Engineer")</f>
        <v/>
      </c>
    </row>
    <row r="919">
      <c r="A919" s="28"/>
      <c r="B919" s="97"/>
      <c r="C919" s="121" t="str">
        <f t="array" ref="C919">ifs(and(isblank($A919),isblank($B919)),"", not(iserror(vlookup($A919&amp;$B919,'3) Release_Label'!$D:$D&amp;'3) Release_Label'!$E:$E,1,0))),vlookup($A919&amp;$B919,{'3) Release_Label'!$D:$D&amp;'3) Release_Label'!$E:$E,'3) Release_Label'!$F:$F},2,0), or(and(not(isblank($B919)),$B919=$B918,$A919&lt;&gt;$A918),and(not(isblank($A919)),$A919=$A918,$B919&lt;&gt;$B918)),"ID LISTS UNALIGNED",and($A919&lt;&gt;"",countif('3) Release_Label'!$D:$D,$A919)=0),"NO UPC MATCH in Release_Label",and($B919&lt;&gt;"",countif('3) Release_Label'!$E:$E,$B919)=0),"NO CATALOG ID MATCH in Release_Label",iserror(vlookup($A919&amp;$B919,'3) Release_Label'!$D:$D&amp;'3) Release_Label'!$E:$E,1,0)),"NO UPC-CATALOG ID pair MATCH in Release_Label" )</f>
        <v/>
      </c>
      <c r="D919" s="121" t="str">
        <f t="array" ref="D919">ifs(and(isblank($A919),isblank($B919)),"", not(iserror(vlookup($A919&amp;$B919,'3) Release_Label'!$D:$D&amp;'3) Release_Label'!$E:$E,1,0))),vlookup($A919&amp;$B919,{'3) Release_Label'!$D:$D&amp;'3) Release_Label'!$E:$E,'3) Release_Label'!$H:$H},2,0), or(and(not(isblank($B919)),$B919=$B918,$A919&lt;&gt;$A918),and(not(isblank($A919)),$A919=$A918,$B919&lt;&gt;$B918)),"ID LISTS UNALIGNED",and($A919&lt;&gt;"",countif('3) Release_Label'!$D:$D,$A919)=0),"NO UPC MATCH in Release_Label",and($B919&lt;&gt;"",countif('3) Release_Label'!$E:$E,$B919)=0),"NO CATALOG ID MATCH in Release_Label",iserror(vlookup($A919&amp;$B919,'3) Release_Label'!$D:$D&amp;'3) Release_Label'!$E:$E,1,0)),"NO UPC-CATALOG ID pair MATCH in Release_Label" )</f>
        <v/>
      </c>
      <c r="E919" s="92"/>
      <c r="F919" s="92"/>
      <c r="G919" s="125" t="str">
        <f t="array" ref="G919">ifs(or($F919="",$F919="Main Primary Artist"),$F919,not(iserror(vlookup($F919,'Reference info'!$J$5:$J$8,1,0))),"Key Artist",not(iserror(vlookup($F919,'Reference info'!$J$38:$J$405,1,0))),"Performer",not(iserror(vlookup($F919,'Reference info'!$J$10:$J$36,1,0))),"Producer &amp; Engineer")</f>
        <v/>
      </c>
    </row>
    <row r="920">
      <c r="A920" s="28"/>
      <c r="B920" s="97"/>
      <c r="C920" s="121" t="str">
        <f t="array" ref="C920">ifs(and(isblank($A920),isblank($B920)),"", not(iserror(vlookup($A920&amp;$B920,'3) Release_Label'!$D:$D&amp;'3) Release_Label'!$E:$E,1,0))),vlookup($A920&amp;$B920,{'3) Release_Label'!$D:$D&amp;'3) Release_Label'!$E:$E,'3) Release_Label'!$F:$F},2,0), or(and(not(isblank($B920)),$B920=$B919,$A920&lt;&gt;$A919),and(not(isblank($A920)),$A920=$A919,$B920&lt;&gt;$B919)),"ID LISTS UNALIGNED",and($A920&lt;&gt;"",countif('3) Release_Label'!$D:$D,$A920)=0),"NO UPC MATCH in Release_Label",and($B920&lt;&gt;"",countif('3) Release_Label'!$E:$E,$B920)=0),"NO CATALOG ID MATCH in Release_Label",iserror(vlookup($A920&amp;$B920,'3) Release_Label'!$D:$D&amp;'3) Release_Label'!$E:$E,1,0)),"NO UPC-CATALOG ID pair MATCH in Release_Label" )</f>
        <v/>
      </c>
      <c r="D920" s="121" t="str">
        <f t="array" ref="D920">ifs(and(isblank($A920),isblank($B920)),"", not(iserror(vlookup($A920&amp;$B920,'3) Release_Label'!$D:$D&amp;'3) Release_Label'!$E:$E,1,0))),vlookup($A920&amp;$B920,{'3) Release_Label'!$D:$D&amp;'3) Release_Label'!$E:$E,'3) Release_Label'!$H:$H},2,0), or(and(not(isblank($B920)),$B920=$B919,$A920&lt;&gt;$A919),and(not(isblank($A920)),$A920=$A919,$B920&lt;&gt;$B919)),"ID LISTS UNALIGNED",and($A920&lt;&gt;"",countif('3) Release_Label'!$D:$D,$A920)=0),"NO UPC MATCH in Release_Label",and($B920&lt;&gt;"",countif('3) Release_Label'!$E:$E,$B920)=0),"NO CATALOG ID MATCH in Release_Label",iserror(vlookup($A920&amp;$B920,'3) Release_Label'!$D:$D&amp;'3) Release_Label'!$E:$E,1,0)),"NO UPC-CATALOG ID pair MATCH in Release_Label" )</f>
        <v/>
      </c>
      <c r="E920" s="92"/>
      <c r="F920" s="92"/>
      <c r="G920" s="125" t="str">
        <f t="array" ref="G920">ifs(or($F920="",$F920="Main Primary Artist"),$F920,not(iserror(vlookup($F920,'Reference info'!$J$5:$J$8,1,0))),"Key Artist",not(iserror(vlookup($F920,'Reference info'!$J$38:$J$405,1,0))),"Performer",not(iserror(vlookup($F920,'Reference info'!$J$10:$J$36,1,0))),"Producer &amp; Engineer")</f>
        <v/>
      </c>
    </row>
    <row r="921">
      <c r="A921" s="28"/>
      <c r="B921" s="97"/>
      <c r="C921" s="121" t="str">
        <f t="array" ref="C921">ifs(and(isblank($A921),isblank($B921)),"", not(iserror(vlookup($A921&amp;$B921,'3) Release_Label'!$D:$D&amp;'3) Release_Label'!$E:$E,1,0))),vlookup($A921&amp;$B921,{'3) Release_Label'!$D:$D&amp;'3) Release_Label'!$E:$E,'3) Release_Label'!$F:$F},2,0), or(and(not(isblank($B921)),$B921=$B920,$A921&lt;&gt;$A920),and(not(isblank($A921)),$A921=$A920,$B921&lt;&gt;$B920)),"ID LISTS UNALIGNED",and($A921&lt;&gt;"",countif('3) Release_Label'!$D:$D,$A921)=0),"NO UPC MATCH in Release_Label",and($B921&lt;&gt;"",countif('3) Release_Label'!$E:$E,$B921)=0),"NO CATALOG ID MATCH in Release_Label",iserror(vlookup($A921&amp;$B921,'3) Release_Label'!$D:$D&amp;'3) Release_Label'!$E:$E,1,0)),"NO UPC-CATALOG ID pair MATCH in Release_Label" )</f>
        <v/>
      </c>
      <c r="D921" s="121" t="str">
        <f t="array" ref="D921">ifs(and(isblank($A921),isblank($B921)),"", not(iserror(vlookup($A921&amp;$B921,'3) Release_Label'!$D:$D&amp;'3) Release_Label'!$E:$E,1,0))),vlookup($A921&amp;$B921,{'3) Release_Label'!$D:$D&amp;'3) Release_Label'!$E:$E,'3) Release_Label'!$H:$H},2,0), or(and(not(isblank($B921)),$B921=$B920,$A921&lt;&gt;$A920),and(not(isblank($A921)),$A921=$A920,$B921&lt;&gt;$B920)),"ID LISTS UNALIGNED",and($A921&lt;&gt;"",countif('3) Release_Label'!$D:$D,$A921)=0),"NO UPC MATCH in Release_Label",and($B921&lt;&gt;"",countif('3) Release_Label'!$E:$E,$B921)=0),"NO CATALOG ID MATCH in Release_Label",iserror(vlookup($A921&amp;$B921,'3) Release_Label'!$D:$D&amp;'3) Release_Label'!$E:$E,1,0)),"NO UPC-CATALOG ID pair MATCH in Release_Label" )</f>
        <v/>
      </c>
      <c r="E921" s="92"/>
      <c r="F921" s="92"/>
      <c r="G921" s="125" t="str">
        <f t="array" ref="G921">ifs(or($F921="",$F921="Main Primary Artist"),$F921,not(iserror(vlookup($F921,'Reference info'!$J$5:$J$8,1,0))),"Key Artist",not(iserror(vlookup($F921,'Reference info'!$J$38:$J$405,1,0))),"Performer",not(iserror(vlookup($F921,'Reference info'!$J$10:$J$36,1,0))),"Producer &amp; Engineer")</f>
        <v/>
      </c>
    </row>
    <row r="922">
      <c r="A922" s="28"/>
      <c r="B922" s="97"/>
      <c r="C922" s="121" t="str">
        <f t="array" ref="C922">ifs(and(isblank($A922),isblank($B922)),"", not(iserror(vlookup($A922&amp;$B922,'3) Release_Label'!$D:$D&amp;'3) Release_Label'!$E:$E,1,0))),vlookup($A922&amp;$B922,{'3) Release_Label'!$D:$D&amp;'3) Release_Label'!$E:$E,'3) Release_Label'!$F:$F},2,0), or(and(not(isblank($B922)),$B922=$B921,$A922&lt;&gt;$A921),and(not(isblank($A922)),$A922=$A921,$B922&lt;&gt;$B921)),"ID LISTS UNALIGNED",and($A922&lt;&gt;"",countif('3) Release_Label'!$D:$D,$A922)=0),"NO UPC MATCH in Release_Label",and($B922&lt;&gt;"",countif('3) Release_Label'!$E:$E,$B922)=0),"NO CATALOG ID MATCH in Release_Label",iserror(vlookup($A922&amp;$B922,'3) Release_Label'!$D:$D&amp;'3) Release_Label'!$E:$E,1,0)),"NO UPC-CATALOG ID pair MATCH in Release_Label" )</f>
        <v/>
      </c>
      <c r="D922" s="121" t="str">
        <f t="array" ref="D922">ifs(and(isblank($A922),isblank($B922)),"", not(iserror(vlookup($A922&amp;$B922,'3) Release_Label'!$D:$D&amp;'3) Release_Label'!$E:$E,1,0))),vlookup($A922&amp;$B922,{'3) Release_Label'!$D:$D&amp;'3) Release_Label'!$E:$E,'3) Release_Label'!$H:$H},2,0), or(and(not(isblank($B922)),$B922=$B921,$A922&lt;&gt;$A921),and(not(isblank($A922)),$A922=$A921,$B922&lt;&gt;$B921)),"ID LISTS UNALIGNED",and($A922&lt;&gt;"",countif('3) Release_Label'!$D:$D,$A922)=0),"NO UPC MATCH in Release_Label",and($B922&lt;&gt;"",countif('3) Release_Label'!$E:$E,$B922)=0),"NO CATALOG ID MATCH in Release_Label",iserror(vlookup($A922&amp;$B922,'3) Release_Label'!$D:$D&amp;'3) Release_Label'!$E:$E,1,0)),"NO UPC-CATALOG ID pair MATCH in Release_Label" )</f>
        <v/>
      </c>
      <c r="E922" s="92"/>
      <c r="F922" s="92"/>
      <c r="G922" s="125" t="str">
        <f t="array" ref="G922">ifs(or($F922="",$F922="Main Primary Artist"),$F922,not(iserror(vlookup($F922,'Reference info'!$J$5:$J$8,1,0))),"Key Artist",not(iserror(vlookup($F922,'Reference info'!$J$38:$J$405,1,0))),"Performer",not(iserror(vlookup($F922,'Reference info'!$J$10:$J$36,1,0))),"Producer &amp; Engineer")</f>
        <v/>
      </c>
    </row>
    <row r="923">
      <c r="A923" s="28"/>
      <c r="B923" s="97"/>
      <c r="C923" s="121" t="str">
        <f t="array" ref="C923">ifs(and(isblank($A923),isblank($B923)),"", not(iserror(vlookup($A923&amp;$B923,'3) Release_Label'!$D:$D&amp;'3) Release_Label'!$E:$E,1,0))),vlookup($A923&amp;$B923,{'3) Release_Label'!$D:$D&amp;'3) Release_Label'!$E:$E,'3) Release_Label'!$F:$F},2,0), or(and(not(isblank($B923)),$B923=$B922,$A923&lt;&gt;$A922),and(not(isblank($A923)),$A923=$A922,$B923&lt;&gt;$B922)),"ID LISTS UNALIGNED",and($A923&lt;&gt;"",countif('3) Release_Label'!$D:$D,$A923)=0),"NO UPC MATCH in Release_Label",and($B923&lt;&gt;"",countif('3) Release_Label'!$E:$E,$B923)=0),"NO CATALOG ID MATCH in Release_Label",iserror(vlookup($A923&amp;$B923,'3) Release_Label'!$D:$D&amp;'3) Release_Label'!$E:$E,1,0)),"NO UPC-CATALOG ID pair MATCH in Release_Label" )</f>
        <v/>
      </c>
      <c r="D923" s="121" t="str">
        <f t="array" ref="D923">ifs(and(isblank($A923),isblank($B923)),"", not(iserror(vlookup($A923&amp;$B923,'3) Release_Label'!$D:$D&amp;'3) Release_Label'!$E:$E,1,0))),vlookup($A923&amp;$B923,{'3) Release_Label'!$D:$D&amp;'3) Release_Label'!$E:$E,'3) Release_Label'!$H:$H},2,0), or(and(not(isblank($B923)),$B923=$B922,$A923&lt;&gt;$A922),and(not(isblank($A923)),$A923=$A922,$B923&lt;&gt;$B922)),"ID LISTS UNALIGNED",and($A923&lt;&gt;"",countif('3) Release_Label'!$D:$D,$A923)=0),"NO UPC MATCH in Release_Label",and($B923&lt;&gt;"",countif('3) Release_Label'!$E:$E,$B923)=0),"NO CATALOG ID MATCH in Release_Label",iserror(vlookup($A923&amp;$B923,'3) Release_Label'!$D:$D&amp;'3) Release_Label'!$E:$E,1,0)),"NO UPC-CATALOG ID pair MATCH in Release_Label" )</f>
        <v/>
      </c>
      <c r="E923" s="92"/>
      <c r="F923" s="92"/>
      <c r="G923" s="125" t="str">
        <f t="array" ref="G923">ifs(or($F923="",$F923="Main Primary Artist"),$F923,not(iserror(vlookup($F923,'Reference info'!$J$5:$J$8,1,0))),"Key Artist",not(iserror(vlookup($F923,'Reference info'!$J$38:$J$405,1,0))),"Performer",not(iserror(vlookup($F923,'Reference info'!$J$10:$J$36,1,0))),"Producer &amp; Engineer")</f>
        <v/>
      </c>
    </row>
    <row r="924">
      <c r="A924" s="28"/>
      <c r="B924" s="97"/>
      <c r="C924" s="121" t="str">
        <f t="array" ref="C924">ifs(and(isblank($A924),isblank($B924)),"", not(iserror(vlookup($A924&amp;$B924,'3) Release_Label'!$D:$D&amp;'3) Release_Label'!$E:$E,1,0))),vlookup($A924&amp;$B924,{'3) Release_Label'!$D:$D&amp;'3) Release_Label'!$E:$E,'3) Release_Label'!$F:$F},2,0), or(and(not(isblank($B924)),$B924=$B923,$A924&lt;&gt;$A923),and(not(isblank($A924)),$A924=$A923,$B924&lt;&gt;$B923)),"ID LISTS UNALIGNED",and($A924&lt;&gt;"",countif('3) Release_Label'!$D:$D,$A924)=0),"NO UPC MATCH in Release_Label",and($B924&lt;&gt;"",countif('3) Release_Label'!$E:$E,$B924)=0),"NO CATALOG ID MATCH in Release_Label",iserror(vlookup($A924&amp;$B924,'3) Release_Label'!$D:$D&amp;'3) Release_Label'!$E:$E,1,0)),"NO UPC-CATALOG ID pair MATCH in Release_Label" )</f>
        <v/>
      </c>
      <c r="D924" s="121" t="str">
        <f t="array" ref="D924">ifs(and(isblank($A924),isblank($B924)),"", not(iserror(vlookup($A924&amp;$B924,'3) Release_Label'!$D:$D&amp;'3) Release_Label'!$E:$E,1,0))),vlookup($A924&amp;$B924,{'3) Release_Label'!$D:$D&amp;'3) Release_Label'!$E:$E,'3) Release_Label'!$H:$H},2,0), or(and(not(isblank($B924)),$B924=$B923,$A924&lt;&gt;$A923),and(not(isblank($A924)),$A924=$A923,$B924&lt;&gt;$B923)),"ID LISTS UNALIGNED",and($A924&lt;&gt;"",countif('3) Release_Label'!$D:$D,$A924)=0),"NO UPC MATCH in Release_Label",and($B924&lt;&gt;"",countif('3) Release_Label'!$E:$E,$B924)=0),"NO CATALOG ID MATCH in Release_Label",iserror(vlookup($A924&amp;$B924,'3) Release_Label'!$D:$D&amp;'3) Release_Label'!$E:$E,1,0)),"NO UPC-CATALOG ID pair MATCH in Release_Label" )</f>
        <v/>
      </c>
      <c r="E924" s="92"/>
      <c r="F924" s="92"/>
      <c r="G924" s="125" t="str">
        <f t="array" ref="G924">ifs(or($F924="",$F924="Main Primary Artist"),$F924,not(iserror(vlookup($F924,'Reference info'!$J$5:$J$8,1,0))),"Key Artist",not(iserror(vlookup($F924,'Reference info'!$J$38:$J$405,1,0))),"Performer",not(iserror(vlookup($F924,'Reference info'!$J$10:$J$36,1,0))),"Producer &amp; Engineer")</f>
        <v/>
      </c>
    </row>
    <row r="925">
      <c r="A925" s="28"/>
      <c r="B925" s="97"/>
      <c r="C925" s="121" t="str">
        <f t="array" ref="C925">ifs(and(isblank($A925),isblank($B925)),"", not(iserror(vlookup($A925&amp;$B925,'3) Release_Label'!$D:$D&amp;'3) Release_Label'!$E:$E,1,0))),vlookup($A925&amp;$B925,{'3) Release_Label'!$D:$D&amp;'3) Release_Label'!$E:$E,'3) Release_Label'!$F:$F},2,0), or(and(not(isblank($B925)),$B925=$B924,$A925&lt;&gt;$A924),and(not(isblank($A925)),$A925=$A924,$B925&lt;&gt;$B924)),"ID LISTS UNALIGNED",and($A925&lt;&gt;"",countif('3) Release_Label'!$D:$D,$A925)=0),"NO UPC MATCH in Release_Label",and($B925&lt;&gt;"",countif('3) Release_Label'!$E:$E,$B925)=0),"NO CATALOG ID MATCH in Release_Label",iserror(vlookup($A925&amp;$B925,'3) Release_Label'!$D:$D&amp;'3) Release_Label'!$E:$E,1,0)),"NO UPC-CATALOG ID pair MATCH in Release_Label" )</f>
        <v/>
      </c>
      <c r="D925" s="121" t="str">
        <f t="array" ref="D925">ifs(and(isblank($A925),isblank($B925)),"", not(iserror(vlookup($A925&amp;$B925,'3) Release_Label'!$D:$D&amp;'3) Release_Label'!$E:$E,1,0))),vlookup($A925&amp;$B925,{'3) Release_Label'!$D:$D&amp;'3) Release_Label'!$E:$E,'3) Release_Label'!$H:$H},2,0), or(and(not(isblank($B925)),$B925=$B924,$A925&lt;&gt;$A924),and(not(isblank($A925)),$A925=$A924,$B925&lt;&gt;$B924)),"ID LISTS UNALIGNED",and($A925&lt;&gt;"",countif('3) Release_Label'!$D:$D,$A925)=0),"NO UPC MATCH in Release_Label",and($B925&lt;&gt;"",countif('3) Release_Label'!$E:$E,$B925)=0),"NO CATALOG ID MATCH in Release_Label",iserror(vlookup($A925&amp;$B925,'3) Release_Label'!$D:$D&amp;'3) Release_Label'!$E:$E,1,0)),"NO UPC-CATALOG ID pair MATCH in Release_Label" )</f>
        <v/>
      </c>
      <c r="E925" s="92"/>
      <c r="F925" s="92"/>
      <c r="G925" s="125" t="str">
        <f t="array" ref="G925">ifs(or($F925="",$F925="Main Primary Artist"),$F925,not(iserror(vlookup($F925,'Reference info'!$J$5:$J$8,1,0))),"Key Artist",not(iserror(vlookup($F925,'Reference info'!$J$38:$J$405,1,0))),"Performer",not(iserror(vlookup($F925,'Reference info'!$J$10:$J$36,1,0))),"Producer &amp; Engineer")</f>
        <v/>
      </c>
    </row>
    <row r="926">
      <c r="A926" s="28"/>
      <c r="B926" s="97"/>
      <c r="C926" s="121" t="str">
        <f t="array" ref="C926">ifs(and(isblank($A926),isblank($B926)),"", not(iserror(vlookup($A926&amp;$B926,'3) Release_Label'!$D:$D&amp;'3) Release_Label'!$E:$E,1,0))),vlookup($A926&amp;$B926,{'3) Release_Label'!$D:$D&amp;'3) Release_Label'!$E:$E,'3) Release_Label'!$F:$F},2,0), or(and(not(isblank($B926)),$B926=$B925,$A926&lt;&gt;$A925),and(not(isblank($A926)),$A926=$A925,$B926&lt;&gt;$B925)),"ID LISTS UNALIGNED",and($A926&lt;&gt;"",countif('3) Release_Label'!$D:$D,$A926)=0),"NO UPC MATCH in Release_Label",and($B926&lt;&gt;"",countif('3) Release_Label'!$E:$E,$B926)=0),"NO CATALOG ID MATCH in Release_Label",iserror(vlookup($A926&amp;$B926,'3) Release_Label'!$D:$D&amp;'3) Release_Label'!$E:$E,1,0)),"NO UPC-CATALOG ID pair MATCH in Release_Label" )</f>
        <v/>
      </c>
      <c r="D926" s="121" t="str">
        <f t="array" ref="D926">ifs(and(isblank($A926),isblank($B926)),"", not(iserror(vlookup($A926&amp;$B926,'3) Release_Label'!$D:$D&amp;'3) Release_Label'!$E:$E,1,0))),vlookup($A926&amp;$B926,{'3) Release_Label'!$D:$D&amp;'3) Release_Label'!$E:$E,'3) Release_Label'!$H:$H},2,0), or(and(not(isblank($B926)),$B926=$B925,$A926&lt;&gt;$A925),and(not(isblank($A926)),$A926=$A925,$B926&lt;&gt;$B925)),"ID LISTS UNALIGNED",and($A926&lt;&gt;"",countif('3) Release_Label'!$D:$D,$A926)=0),"NO UPC MATCH in Release_Label",and($B926&lt;&gt;"",countif('3) Release_Label'!$E:$E,$B926)=0),"NO CATALOG ID MATCH in Release_Label",iserror(vlookup($A926&amp;$B926,'3) Release_Label'!$D:$D&amp;'3) Release_Label'!$E:$E,1,0)),"NO UPC-CATALOG ID pair MATCH in Release_Label" )</f>
        <v/>
      </c>
      <c r="E926" s="92"/>
      <c r="F926" s="92"/>
      <c r="G926" s="125" t="str">
        <f t="array" ref="G926">ifs(or($F926="",$F926="Main Primary Artist"),$F926,not(iserror(vlookup($F926,'Reference info'!$J$5:$J$8,1,0))),"Key Artist",not(iserror(vlookup($F926,'Reference info'!$J$38:$J$405,1,0))),"Performer",not(iserror(vlookup($F926,'Reference info'!$J$10:$J$36,1,0))),"Producer &amp; Engineer")</f>
        <v/>
      </c>
    </row>
    <row r="927">
      <c r="A927" s="28"/>
      <c r="B927" s="97"/>
      <c r="C927" s="121" t="str">
        <f t="array" ref="C927">ifs(and(isblank($A927),isblank($B927)),"", not(iserror(vlookup($A927&amp;$B927,'3) Release_Label'!$D:$D&amp;'3) Release_Label'!$E:$E,1,0))),vlookup($A927&amp;$B927,{'3) Release_Label'!$D:$D&amp;'3) Release_Label'!$E:$E,'3) Release_Label'!$F:$F},2,0), or(and(not(isblank($B927)),$B927=$B926,$A927&lt;&gt;$A926),and(not(isblank($A927)),$A927=$A926,$B927&lt;&gt;$B926)),"ID LISTS UNALIGNED",and($A927&lt;&gt;"",countif('3) Release_Label'!$D:$D,$A927)=0),"NO UPC MATCH in Release_Label",and($B927&lt;&gt;"",countif('3) Release_Label'!$E:$E,$B927)=0),"NO CATALOG ID MATCH in Release_Label",iserror(vlookup($A927&amp;$B927,'3) Release_Label'!$D:$D&amp;'3) Release_Label'!$E:$E,1,0)),"NO UPC-CATALOG ID pair MATCH in Release_Label" )</f>
        <v/>
      </c>
      <c r="D927" s="121" t="str">
        <f t="array" ref="D927">ifs(and(isblank($A927),isblank($B927)),"", not(iserror(vlookup($A927&amp;$B927,'3) Release_Label'!$D:$D&amp;'3) Release_Label'!$E:$E,1,0))),vlookup($A927&amp;$B927,{'3) Release_Label'!$D:$D&amp;'3) Release_Label'!$E:$E,'3) Release_Label'!$H:$H},2,0), or(and(not(isblank($B927)),$B927=$B926,$A927&lt;&gt;$A926),and(not(isblank($A927)),$A927=$A926,$B927&lt;&gt;$B926)),"ID LISTS UNALIGNED",and($A927&lt;&gt;"",countif('3) Release_Label'!$D:$D,$A927)=0),"NO UPC MATCH in Release_Label",and($B927&lt;&gt;"",countif('3) Release_Label'!$E:$E,$B927)=0),"NO CATALOG ID MATCH in Release_Label",iserror(vlookup($A927&amp;$B927,'3) Release_Label'!$D:$D&amp;'3) Release_Label'!$E:$E,1,0)),"NO UPC-CATALOG ID pair MATCH in Release_Label" )</f>
        <v/>
      </c>
      <c r="E927" s="92"/>
      <c r="F927" s="92"/>
      <c r="G927" s="125" t="str">
        <f t="array" ref="G927">ifs(or($F927="",$F927="Main Primary Artist"),$F927,not(iserror(vlookup($F927,'Reference info'!$J$5:$J$8,1,0))),"Key Artist",not(iserror(vlookup($F927,'Reference info'!$J$38:$J$405,1,0))),"Performer",not(iserror(vlookup($F927,'Reference info'!$J$10:$J$36,1,0))),"Producer &amp; Engineer")</f>
        <v/>
      </c>
    </row>
    <row r="928">
      <c r="A928" s="28"/>
      <c r="B928" s="97"/>
      <c r="C928" s="121" t="str">
        <f t="array" ref="C928">ifs(and(isblank($A928),isblank($B928)),"", not(iserror(vlookup($A928&amp;$B928,'3) Release_Label'!$D:$D&amp;'3) Release_Label'!$E:$E,1,0))),vlookup($A928&amp;$B928,{'3) Release_Label'!$D:$D&amp;'3) Release_Label'!$E:$E,'3) Release_Label'!$F:$F},2,0), or(and(not(isblank($B928)),$B928=$B927,$A928&lt;&gt;$A927),and(not(isblank($A928)),$A928=$A927,$B928&lt;&gt;$B927)),"ID LISTS UNALIGNED",and($A928&lt;&gt;"",countif('3) Release_Label'!$D:$D,$A928)=0),"NO UPC MATCH in Release_Label",and($B928&lt;&gt;"",countif('3) Release_Label'!$E:$E,$B928)=0),"NO CATALOG ID MATCH in Release_Label",iserror(vlookup($A928&amp;$B928,'3) Release_Label'!$D:$D&amp;'3) Release_Label'!$E:$E,1,0)),"NO UPC-CATALOG ID pair MATCH in Release_Label" )</f>
        <v/>
      </c>
      <c r="D928" s="121" t="str">
        <f t="array" ref="D928">ifs(and(isblank($A928),isblank($B928)),"", not(iserror(vlookup($A928&amp;$B928,'3) Release_Label'!$D:$D&amp;'3) Release_Label'!$E:$E,1,0))),vlookup($A928&amp;$B928,{'3) Release_Label'!$D:$D&amp;'3) Release_Label'!$E:$E,'3) Release_Label'!$H:$H},2,0), or(and(not(isblank($B928)),$B928=$B927,$A928&lt;&gt;$A927),and(not(isblank($A928)),$A928=$A927,$B928&lt;&gt;$B927)),"ID LISTS UNALIGNED",and($A928&lt;&gt;"",countif('3) Release_Label'!$D:$D,$A928)=0),"NO UPC MATCH in Release_Label",and($B928&lt;&gt;"",countif('3) Release_Label'!$E:$E,$B928)=0),"NO CATALOG ID MATCH in Release_Label",iserror(vlookup($A928&amp;$B928,'3) Release_Label'!$D:$D&amp;'3) Release_Label'!$E:$E,1,0)),"NO UPC-CATALOG ID pair MATCH in Release_Label" )</f>
        <v/>
      </c>
      <c r="E928" s="92"/>
      <c r="F928" s="92"/>
      <c r="G928" s="125" t="str">
        <f t="array" ref="G928">ifs(or($F928="",$F928="Main Primary Artist"),$F928,not(iserror(vlookup($F928,'Reference info'!$J$5:$J$8,1,0))),"Key Artist",not(iserror(vlookup($F928,'Reference info'!$J$38:$J$405,1,0))),"Performer",not(iserror(vlookup($F928,'Reference info'!$J$10:$J$36,1,0))),"Producer &amp; Engineer")</f>
        <v/>
      </c>
    </row>
    <row r="929">
      <c r="A929" s="28"/>
      <c r="B929" s="97"/>
      <c r="C929" s="121" t="str">
        <f t="array" ref="C929">ifs(and(isblank($A929),isblank($B929)),"", not(iserror(vlookup($A929&amp;$B929,'3) Release_Label'!$D:$D&amp;'3) Release_Label'!$E:$E,1,0))),vlookup($A929&amp;$B929,{'3) Release_Label'!$D:$D&amp;'3) Release_Label'!$E:$E,'3) Release_Label'!$F:$F},2,0), or(and(not(isblank($B929)),$B929=$B928,$A929&lt;&gt;$A928),and(not(isblank($A929)),$A929=$A928,$B929&lt;&gt;$B928)),"ID LISTS UNALIGNED",and($A929&lt;&gt;"",countif('3) Release_Label'!$D:$D,$A929)=0),"NO UPC MATCH in Release_Label",and($B929&lt;&gt;"",countif('3) Release_Label'!$E:$E,$B929)=0),"NO CATALOG ID MATCH in Release_Label",iserror(vlookup($A929&amp;$B929,'3) Release_Label'!$D:$D&amp;'3) Release_Label'!$E:$E,1,0)),"NO UPC-CATALOG ID pair MATCH in Release_Label" )</f>
        <v/>
      </c>
      <c r="D929" s="121" t="str">
        <f t="array" ref="D929">ifs(and(isblank($A929),isblank($B929)),"", not(iserror(vlookup($A929&amp;$B929,'3) Release_Label'!$D:$D&amp;'3) Release_Label'!$E:$E,1,0))),vlookup($A929&amp;$B929,{'3) Release_Label'!$D:$D&amp;'3) Release_Label'!$E:$E,'3) Release_Label'!$H:$H},2,0), or(and(not(isblank($B929)),$B929=$B928,$A929&lt;&gt;$A928),and(not(isblank($A929)),$A929=$A928,$B929&lt;&gt;$B928)),"ID LISTS UNALIGNED",and($A929&lt;&gt;"",countif('3) Release_Label'!$D:$D,$A929)=0),"NO UPC MATCH in Release_Label",and($B929&lt;&gt;"",countif('3) Release_Label'!$E:$E,$B929)=0),"NO CATALOG ID MATCH in Release_Label",iserror(vlookup($A929&amp;$B929,'3) Release_Label'!$D:$D&amp;'3) Release_Label'!$E:$E,1,0)),"NO UPC-CATALOG ID pair MATCH in Release_Label" )</f>
        <v/>
      </c>
      <c r="E929" s="92"/>
      <c r="F929" s="92"/>
      <c r="G929" s="125" t="str">
        <f t="array" ref="G929">ifs(or($F929="",$F929="Main Primary Artist"),$F929,not(iserror(vlookup($F929,'Reference info'!$J$5:$J$8,1,0))),"Key Artist",not(iserror(vlookup($F929,'Reference info'!$J$38:$J$405,1,0))),"Performer",not(iserror(vlookup($F929,'Reference info'!$J$10:$J$36,1,0))),"Producer &amp; Engineer")</f>
        <v/>
      </c>
    </row>
    <row r="930">
      <c r="A930" s="28"/>
      <c r="B930" s="97"/>
      <c r="C930" s="121" t="str">
        <f t="array" ref="C930">ifs(and(isblank($A930),isblank($B930)),"", not(iserror(vlookup($A930&amp;$B930,'3) Release_Label'!$D:$D&amp;'3) Release_Label'!$E:$E,1,0))),vlookup($A930&amp;$B930,{'3) Release_Label'!$D:$D&amp;'3) Release_Label'!$E:$E,'3) Release_Label'!$F:$F},2,0), or(and(not(isblank($B930)),$B930=$B929,$A930&lt;&gt;$A929),and(not(isblank($A930)),$A930=$A929,$B930&lt;&gt;$B929)),"ID LISTS UNALIGNED",and($A930&lt;&gt;"",countif('3) Release_Label'!$D:$D,$A930)=0),"NO UPC MATCH in Release_Label",and($B930&lt;&gt;"",countif('3) Release_Label'!$E:$E,$B930)=0),"NO CATALOG ID MATCH in Release_Label",iserror(vlookup($A930&amp;$B930,'3) Release_Label'!$D:$D&amp;'3) Release_Label'!$E:$E,1,0)),"NO UPC-CATALOG ID pair MATCH in Release_Label" )</f>
        <v/>
      </c>
      <c r="D930" s="121" t="str">
        <f t="array" ref="D930">ifs(and(isblank($A930),isblank($B930)),"", not(iserror(vlookup($A930&amp;$B930,'3) Release_Label'!$D:$D&amp;'3) Release_Label'!$E:$E,1,0))),vlookup($A930&amp;$B930,{'3) Release_Label'!$D:$D&amp;'3) Release_Label'!$E:$E,'3) Release_Label'!$H:$H},2,0), or(and(not(isblank($B930)),$B930=$B929,$A930&lt;&gt;$A929),and(not(isblank($A930)),$A930=$A929,$B930&lt;&gt;$B929)),"ID LISTS UNALIGNED",and($A930&lt;&gt;"",countif('3) Release_Label'!$D:$D,$A930)=0),"NO UPC MATCH in Release_Label",and($B930&lt;&gt;"",countif('3) Release_Label'!$E:$E,$B930)=0),"NO CATALOG ID MATCH in Release_Label",iserror(vlookup($A930&amp;$B930,'3) Release_Label'!$D:$D&amp;'3) Release_Label'!$E:$E,1,0)),"NO UPC-CATALOG ID pair MATCH in Release_Label" )</f>
        <v/>
      </c>
      <c r="E930" s="92"/>
      <c r="F930" s="92"/>
      <c r="G930" s="125" t="str">
        <f t="array" ref="G930">ifs(or($F930="",$F930="Main Primary Artist"),$F930,not(iserror(vlookup($F930,'Reference info'!$J$5:$J$8,1,0))),"Key Artist",not(iserror(vlookup($F930,'Reference info'!$J$38:$J$405,1,0))),"Performer",not(iserror(vlookup($F930,'Reference info'!$J$10:$J$36,1,0))),"Producer &amp; Engineer")</f>
        <v/>
      </c>
    </row>
    <row r="931">
      <c r="A931" s="28"/>
      <c r="B931" s="97"/>
      <c r="C931" s="121" t="str">
        <f t="array" ref="C931">ifs(and(isblank($A931),isblank($B931)),"", not(iserror(vlookup($A931&amp;$B931,'3) Release_Label'!$D:$D&amp;'3) Release_Label'!$E:$E,1,0))),vlookup($A931&amp;$B931,{'3) Release_Label'!$D:$D&amp;'3) Release_Label'!$E:$E,'3) Release_Label'!$F:$F},2,0), or(and(not(isblank($B931)),$B931=$B930,$A931&lt;&gt;$A930),and(not(isblank($A931)),$A931=$A930,$B931&lt;&gt;$B930)),"ID LISTS UNALIGNED",and($A931&lt;&gt;"",countif('3) Release_Label'!$D:$D,$A931)=0),"NO UPC MATCH in Release_Label",and($B931&lt;&gt;"",countif('3) Release_Label'!$E:$E,$B931)=0),"NO CATALOG ID MATCH in Release_Label",iserror(vlookup($A931&amp;$B931,'3) Release_Label'!$D:$D&amp;'3) Release_Label'!$E:$E,1,0)),"NO UPC-CATALOG ID pair MATCH in Release_Label" )</f>
        <v/>
      </c>
      <c r="D931" s="121" t="str">
        <f t="array" ref="D931">ifs(and(isblank($A931),isblank($B931)),"", not(iserror(vlookup($A931&amp;$B931,'3) Release_Label'!$D:$D&amp;'3) Release_Label'!$E:$E,1,0))),vlookup($A931&amp;$B931,{'3) Release_Label'!$D:$D&amp;'3) Release_Label'!$E:$E,'3) Release_Label'!$H:$H},2,0), or(and(not(isblank($B931)),$B931=$B930,$A931&lt;&gt;$A930),and(not(isblank($A931)),$A931=$A930,$B931&lt;&gt;$B930)),"ID LISTS UNALIGNED",and($A931&lt;&gt;"",countif('3) Release_Label'!$D:$D,$A931)=0),"NO UPC MATCH in Release_Label",and($B931&lt;&gt;"",countif('3) Release_Label'!$E:$E,$B931)=0),"NO CATALOG ID MATCH in Release_Label",iserror(vlookup($A931&amp;$B931,'3) Release_Label'!$D:$D&amp;'3) Release_Label'!$E:$E,1,0)),"NO UPC-CATALOG ID pair MATCH in Release_Label" )</f>
        <v/>
      </c>
      <c r="E931" s="92"/>
      <c r="F931" s="92"/>
      <c r="G931" s="125" t="str">
        <f t="array" ref="G931">ifs(or($F931="",$F931="Main Primary Artist"),$F931,not(iserror(vlookup($F931,'Reference info'!$J$5:$J$8,1,0))),"Key Artist",not(iserror(vlookup($F931,'Reference info'!$J$38:$J$405,1,0))),"Performer",not(iserror(vlookup($F931,'Reference info'!$J$10:$J$36,1,0))),"Producer &amp; Engineer")</f>
        <v/>
      </c>
    </row>
    <row r="932">
      <c r="A932" s="28"/>
      <c r="B932" s="97"/>
      <c r="C932" s="121" t="str">
        <f t="array" ref="C932">ifs(and(isblank($A932),isblank($B932)),"", not(iserror(vlookup($A932&amp;$B932,'3) Release_Label'!$D:$D&amp;'3) Release_Label'!$E:$E,1,0))),vlookup($A932&amp;$B932,{'3) Release_Label'!$D:$D&amp;'3) Release_Label'!$E:$E,'3) Release_Label'!$F:$F},2,0), or(and(not(isblank($B932)),$B932=$B931,$A932&lt;&gt;$A931),and(not(isblank($A932)),$A932=$A931,$B932&lt;&gt;$B931)),"ID LISTS UNALIGNED",and($A932&lt;&gt;"",countif('3) Release_Label'!$D:$D,$A932)=0),"NO UPC MATCH in Release_Label",and($B932&lt;&gt;"",countif('3) Release_Label'!$E:$E,$B932)=0),"NO CATALOG ID MATCH in Release_Label",iserror(vlookup($A932&amp;$B932,'3) Release_Label'!$D:$D&amp;'3) Release_Label'!$E:$E,1,0)),"NO UPC-CATALOG ID pair MATCH in Release_Label" )</f>
        <v/>
      </c>
      <c r="D932" s="121" t="str">
        <f t="array" ref="D932">ifs(and(isblank($A932),isblank($B932)),"", not(iserror(vlookup($A932&amp;$B932,'3) Release_Label'!$D:$D&amp;'3) Release_Label'!$E:$E,1,0))),vlookup($A932&amp;$B932,{'3) Release_Label'!$D:$D&amp;'3) Release_Label'!$E:$E,'3) Release_Label'!$H:$H},2,0), or(and(not(isblank($B932)),$B932=$B931,$A932&lt;&gt;$A931),and(not(isblank($A932)),$A932=$A931,$B932&lt;&gt;$B931)),"ID LISTS UNALIGNED",and($A932&lt;&gt;"",countif('3) Release_Label'!$D:$D,$A932)=0),"NO UPC MATCH in Release_Label",and($B932&lt;&gt;"",countif('3) Release_Label'!$E:$E,$B932)=0),"NO CATALOG ID MATCH in Release_Label",iserror(vlookup($A932&amp;$B932,'3) Release_Label'!$D:$D&amp;'3) Release_Label'!$E:$E,1,0)),"NO UPC-CATALOG ID pair MATCH in Release_Label" )</f>
        <v/>
      </c>
      <c r="E932" s="92"/>
      <c r="F932" s="92"/>
      <c r="G932" s="125" t="str">
        <f t="array" ref="G932">ifs(or($F932="",$F932="Main Primary Artist"),$F932,not(iserror(vlookup($F932,'Reference info'!$J$5:$J$8,1,0))),"Key Artist",not(iserror(vlookup($F932,'Reference info'!$J$38:$J$405,1,0))),"Performer",not(iserror(vlookup($F932,'Reference info'!$J$10:$J$36,1,0))),"Producer &amp; Engineer")</f>
        <v/>
      </c>
    </row>
    <row r="933">
      <c r="A933" s="28"/>
      <c r="B933" s="97"/>
      <c r="C933" s="121" t="str">
        <f t="array" ref="C933">ifs(and(isblank($A933),isblank($B933)),"", not(iserror(vlookup($A933&amp;$B933,'3) Release_Label'!$D:$D&amp;'3) Release_Label'!$E:$E,1,0))),vlookup($A933&amp;$B933,{'3) Release_Label'!$D:$D&amp;'3) Release_Label'!$E:$E,'3) Release_Label'!$F:$F},2,0), or(and(not(isblank($B933)),$B933=$B932,$A933&lt;&gt;$A932),and(not(isblank($A933)),$A933=$A932,$B933&lt;&gt;$B932)),"ID LISTS UNALIGNED",and($A933&lt;&gt;"",countif('3) Release_Label'!$D:$D,$A933)=0),"NO UPC MATCH in Release_Label",and($B933&lt;&gt;"",countif('3) Release_Label'!$E:$E,$B933)=0),"NO CATALOG ID MATCH in Release_Label",iserror(vlookup($A933&amp;$B933,'3) Release_Label'!$D:$D&amp;'3) Release_Label'!$E:$E,1,0)),"NO UPC-CATALOG ID pair MATCH in Release_Label" )</f>
        <v/>
      </c>
      <c r="D933" s="121" t="str">
        <f t="array" ref="D933">ifs(and(isblank($A933),isblank($B933)),"", not(iserror(vlookup($A933&amp;$B933,'3) Release_Label'!$D:$D&amp;'3) Release_Label'!$E:$E,1,0))),vlookup($A933&amp;$B933,{'3) Release_Label'!$D:$D&amp;'3) Release_Label'!$E:$E,'3) Release_Label'!$H:$H},2,0), or(and(not(isblank($B933)),$B933=$B932,$A933&lt;&gt;$A932),and(not(isblank($A933)),$A933=$A932,$B933&lt;&gt;$B932)),"ID LISTS UNALIGNED",and($A933&lt;&gt;"",countif('3) Release_Label'!$D:$D,$A933)=0),"NO UPC MATCH in Release_Label",and($B933&lt;&gt;"",countif('3) Release_Label'!$E:$E,$B933)=0),"NO CATALOG ID MATCH in Release_Label",iserror(vlookup($A933&amp;$B933,'3) Release_Label'!$D:$D&amp;'3) Release_Label'!$E:$E,1,0)),"NO UPC-CATALOG ID pair MATCH in Release_Label" )</f>
        <v/>
      </c>
      <c r="E933" s="92"/>
      <c r="F933" s="92"/>
      <c r="G933" s="125" t="str">
        <f t="array" ref="G933">ifs(or($F933="",$F933="Main Primary Artist"),$F933,not(iserror(vlookup($F933,'Reference info'!$J$5:$J$8,1,0))),"Key Artist",not(iserror(vlookup($F933,'Reference info'!$J$38:$J$405,1,0))),"Performer",not(iserror(vlookup($F933,'Reference info'!$J$10:$J$36,1,0))),"Producer &amp; Engineer")</f>
        <v/>
      </c>
    </row>
    <row r="934">
      <c r="A934" s="28"/>
      <c r="B934" s="97"/>
      <c r="C934" s="121" t="str">
        <f t="array" ref="C934">ifs(and(isblank($A934),isblank($B934)),"", not(iserror(vlookup($A934&amp;$B934,'3) Release_Label'!$D:$D&amp;'3) Release_Label'!$E:$E,1,0))),vlookup($A934&amp;$B934,{'3) Release_Label'!$D:$D&amp;'3) Release_Label'!$E:$E,'3) Release_Label'!$F:$F},2,0), or(and(not(isblank($B934)),$B934=$B933,$A934&lt;&gt;$A933),and(not(isblank($A934)),$A934=$A933,$B934&lt;&gt;$B933)),"ID LISTS UNALIGNED",and($A934&lt;&gt;"",countif('3) Release_Label'!$D:$D,$A934)=0),"NO UPC MATCH in Release_Label",and($B934&lt;&gt;"",countif('3) Release_Label'!$E:$E,$B934)=0),"NO CATALOG ID MATCH in Release_Label",iserror(vlookup($A934&amp;$B934,'3) Release_Label'!$D:$D&amp;'3) Release_Label'!$E:$E,1,0)),"NO UPC-CATALOG ID pair MATCH in Release_Label" )</f>
        <v/>
      </c>
      <c r="D934" s="121" t="str">
        <f t="array" ref="D934">ifs(and(isblank($A934),isblank($B934)),"", not(iserror(vlookup($A934&amp;$B934,'3) Release_Label'!$D:$D&amp;'3) Release_Label'!$E:$E,1,0))),vlookup($A934&amp;$B934,{'3) Release_Label'!$D:$D&amp;'3) Release_Label'!$E:$E,'3) Release_Label'!$H:$H},2,0), or(and(not(isblank($B934)),$B934=$B933,$A934&lt;&gt;$A933),and(not(isblank($A934)),$A934=$A933,$B934&lt;&gt;$B933)),"ID LISTS UNALIGNED",and($A934&lt;&gt;"",countif('3) Release_Label'!$D:$D,$A934)=0),"NO UPC MATCH in Release_Label",and($B934&lt;&gt;"",countif('3) Release_Label'!$E:$E,$B934)=0),"NO CATALOG ID MATCH in Release_Label",iserror(vlookup($A934&amp;$B934,'3) Release_Label'!$D:$D&amp;'3) Release_Label'!$E:$E,1,0)),"NO UPC-CATALOG ID pair MATCH in Release_Label" )</f>
        <v/>
      </c>
      <c r="E934" s="92"/>
      <c r="F934" s="92"/>
      <c r="G934" s="125" t="str">
        <f t="array" ref="G934">ifs(or($F934="",$F934="Main Primary Artist"),$F934,not(iserror(vlookup($F934,'Reference info'!$J$5:$J$8,1,0))),"Key Artist",not(iserror(vlookup($F934,'Reference info'!$J$38:$J$405,1,0))),"Performer",not(iserror(vlookup($F934,'Reference info'!$J$10:$J$36,1,0))),"Producer &amp; Engineer")</f>
        <v/>
      </c>
    </row>
    <row r="935">
      <c r="A935" s="28"/>
      <c r="B935" s="97"/>
      <c r="C935" s="121" t="str">
        <f t="array" ref="C935">ifs(and(isblank($A935),isblank($B935)),"", not(iserror(vlookup($A935&amp;$B935,'3) Release_Label'!$D:$D&amp;'3) Release_Label'!$E:$E,1,0))),vlookup($A935&amp;$B935,{'3) Release_Label'!$D:$D&amp;'3) Release_Label'!$E:$E,'3) Release_Label'!$F:$F},2,0), or(and(not(isblank($B935)),$B935=$B934,$A935&lt;&gt;$A934),and(not(isblank($A935)),$A935=$A934,$B935&lt;&gt;$B934)),"ID LISTS UNALIGNED",and($A935&lt;&gt;"",countif('3) Release_Label'!$D:$D,$A935)=0),"NO UPC MATCH in Release_Label",and($B935&lt;&gt;"",countif('3) Release_Label'!$E:$E,$B935)=0),"NO CATALOG ID MATCH in Release_Label",iserror(vlookup($A935&amp;$B935,'3) Release_Label'!$D:$D&amp;'3) Release_Label'!$E:$E,1,0)),"NO UPC-CATALOG ID pair MATCH in Release_Label" )</f>
        <v/>
      </c>
      <c r="D935" s="121" t="str">
        <f t="array" ref="D935">ifs(and(isblank($A935),isblank($B935)),"", not(iserror(vlookup($A935&amp;$B935,'3) Release_Label'!$D:$D&amp;'3) Release_Label'!$E:$E,1,0))),vlookup($A935&amp;$B935,{'3) Release_Label'!$D:$D&amp;'3) Release_Label'!$E:$E,'3) Release_Label'!$H:$H},2,0), or(and(not(isblank($B935)),$B935=$B934,$A935&lt;&gt;$A934),and(not(isblank($A935)),$A935=$A934,$B935&lt;&gt;$B934)),"ID LISTS UNALIGNED",and($A935&lt;&gt;"",countif('3) Release_Label'!$D:$D,$A935)=0),"NO UPC MATCH in Release_Label",and($B935&lt;&gt;"",countif('3) Release_Label'!$E:$E,$B935)=0),"NO CATALOG ID MATCH in Release_Label",iserror(vlookup($A935&amp;$B935,'3) Release_Label'!$D:$D&amp;'3) Release_Label'!$E:$E,1,0)),"NO UPC-CATALOG ID pair MATCH in Release_Label" )</f>
        <v/>
      </c>
      <c r="E935" s="92"/>
      <c r="F935" s="92"/>
      <c r="G935" s="125" t="str">
        <f t="array" ref="G935">ifs(or($F935="",$F935="Main Primary Artist"),$F935,not(iserror(vlookup($F935,'Reference info'!$J$5:$J$8,1,0))),"Key Artist",not(iserror(vlookup($F935,'Reference info'!$J$38:$J$405,1,0))),"Performer",not(iserror(vlookup($F935,'Reference info'!$J$10:$J$36,1,0))),"Producer &amp; Engineer")</f>
        <v/>
      </c>
    </row>
    <row r="936">
      <c r="A936" s="28"/>
      <c r="B936" s="97"/>
      <c r="C936" s="121" t="str">
        <f t="array" ref="C936">ifs(and(isblank($A936),isblank($B936)),"", not(iserror(vlookup($A936&amp;$B936,'3) Release_Label'!$D:$D&amp;'3) Release_Label'!$E:$E,1,0))),vlookup($A936&amp;$B936,{'3) Release_Label'!$D:$D&amp;'3) Release_Label'!$E:$E,'3) Release_Label'!$F:$F},2,0), or(and(not(isblank($B936)),$B936=$B935,$A936&lt;&gt;$A935),and(not(isblank($A936)),$A936=$A935,$B936&lt;&gt;$B935)),"ID LISTS UNALIGNED",and($A936&lt;&gt;"",countif('3) Release_Label'!$D:$D,$A936)=0),"NO UPC MATCH in Release_Label",and($B936&lt;&gt;"",countif('3) Release_Label'!$E:$E,$B936)=0),"NO CATALOG ID MATCH in Release_Label",iserror(vlookup($A936&amp;$B936,'3) Release_Label'!$D:$D&amp;'3) Release_Label'!$E:$E,1,0)),"NO UPC-CATALOG ID pair MATCH in Release_Label" )</f>
        <v/>
      </c>
      <c r="D936" s="121" t="str">
        <f t="array" ref="D936">ifs(and(isblank($A936),isblank($B936)),"", not(iserror(vlookup($A936&amp;$B936,'3) Release_Label'!$D:$D&amp;'3) Release_Label'!$E:$E,1,0))),vlookup($A936&amp;$B936,{'3) Release_Label'!$D:$D&amp;'3) Release_Label'!$E:$E,'3) Release_Label'!$H:$H},2,0), or(and(not(isblank($B936)),$B936=$B935,$A936&lt;&gt;$A935),and(not(isblank($A936)),$A936=$A935,$B936&lt;&gt;$B935)),"ID LISTS UNALIGNED",and($A936&lt;&gt;"",countif('3) Release_Label'!$D:$D,$A936)=0),"NO UPC MATCH in Release_Label",and($B936&lt;&gt;"",countif('3) Release_Label'!$E:$E,$B936)=0),"NO CATALOG ID MATCH in Release_Label",iserror(vlookup($A936&amp;$B936,'3) Release_Label'!$D:$D&amp;'3) Release_Label'!$E:$E,1,0)),"NO UPC-CATALOG ID pair MATCH in Release_Label" )</f>
        <v/>
      </c>
      <c r="E936" s="92"/>
      <c r="F936" s="92"/>
      <c r="G936" s="125" t="str">
        <f t="array" ref="G936">ifs(or($F936="",$F936="Main Primary Artist"),$F936,not(iserror(vlookup($F936,'Reference info'!$J$5:$J$8,1,0))),"Key Artist",not(iserror(vlookup($F936,'Reference info'!$J$38:$J$405,1,0))),"Performer",not(iserror(vlookup($F936,'Reference info'!$J$10:$J$36,1,0))),"Producer &amp; Engineer")</f>
        <v/>
      </c>
    </row>
    <row r="937">
      <c r="A937" s="28"/>
      <c r="B937" s="97"/>
      <c r="C937" s="121" t="str">
        <f t="array" ref="C937">ifs(and(isblank($A937),isblank($B937)),"", not(iserror(vlookup($A937&amp;$B937,'3) Release_Label'!$D:$D&amp;'3) Release_Label'!$E:$E,1,0))),vlookup($A937&amp;$B937,{'3) Release_Label'!$D:$D&amp;'3) Release_Label'!$E:$E,'3) Release_Label'!$F:$F},2,0), or(and(not(isblank($B937)),$B937=$B936,$A937&lt;&gt;$A936),and(not(isblank($A937)),$A937=$A936,$B937&lt;&gt;$B936)),"ID LISTS UNALIGNED",and($A937&lt;&gt;"",countif('3) Release_Label'!$D:$D,$A937)=0),"NO UPC MATCH in Release_Label",and($B937&lt;&gt;"",countif('3) Release_Label'!$E:$E,$B937)=0),"NO CATALOG ID MATCH in Release_Label",iserror(vlookup($A937&amp;$B937,'3) Release_Label'!$D:$D&amp;'3) Release_Label'!$E:$E,1,0)),"NO UPC-CATALOG ID pair MATCH in Release_Label" )</f>
        <v/>
      </c>
      <c r="D937" s="121" t="str">
        <f t="array" ref="D937">ifs(and(isblank($A937),isblank($B937)),"", not(iserror(vlookup($A937&amp;$B937,'3) Release_Label'!$D:$D&amp;'3) Release_Label'!$E:$E,1,0))),vlookup($A937&amp;$B937,{'3) Release_Label'!$D:$D&amp;'3) Release_Label'!$E:$E,'3) Release_Label'!$H:$H},2,0), or(and(not(isblank($B937)),$B937=$B936,$A937&lt;&gt;$A936),and(not(isblank($A937)),$A937=$A936,$B937&lt;&gt;$B936)),"ID LISTS UNALIGNED",and($A937&lt;&gt;"",countif('3) Release_Label'!$D:$D,$A937)=0),"NO UPC MATCH in Release_Label",and($B937&lt;&gt;"",countif('3) Release_Label'!$E:$E,$B937)=0),"NO CATALOG ID MATCH in Release_Label",iserror(vlookup($A937&amp;$B937,'3) Release_Label'!$D:$D&amp;'3) Release_Label'!$E:$E,1,0)),"NO UPC-CATALOG ID pair MATCH in Release_Label" )</f>
        <v/>
      </c>
      <c r="E937" s="92"/>
      <c r="F937" s="92"/>
      <c r="G937" s="125" t="str">
        <f t="array" ref="G937">ifs(or($F937="",$F937="Main Primary Artist"),$F937,not(iserror(vlookup($F937,'Reference info'!$J$5:$J$8,1,0))),"Key Artist",not(iserror(vlookup($F937,'Reference info'!$J$38:$J$405,1,0))),"Performer",not(iserror(vlookup($F937,'Reference info'!$J$10:$J$36,1,0))),"Producer &amp; Engineer")</f>
        <v/>
      </c>
    </row>
    <row r="938">
      <c r="A938" s="28"/>
      <c r="B938" s="97"/>
      <c r="C938" s="121" t="str">
        <f t="array" ref="C938">ifs(and(isblank($A938),isblank($B938)),"", not(iserror(vlookup($A938&amp;$B938,'3) Release_Label'!$D:$D&amp;'3) Release_Label'!$E:$E,1,0))),vlookup($A938&amp;$B938,{'3) Release_Label'!$D:$D&amp;'3) Release_Label'!$E:$E,'3) Release_Label'!$F:$F},2,0), or(and(not(isblank($B938)),$B938=$B937,$A938&lt;&gt;$A937),and(not(isblank($A938)),$A938=$A937,$B938&lt;&gt;$B937)),"ID LISTS UNALIGNED",and($A938&lt;&gt;"",countif('3) Release_Label'!$D:$D,$A938)=0),"NO UPC MATCH in Release_Label",and($B938&lt;&gt;"",countif('3) Release_Label'!$E:$E,$B938)=0),"NO CATALOG ID MATCH in Release_Label",iserror(vlookup($A938&amp;$B938,'3) Release_Label'!$D:$D&amp;'3) Release_Label'!$E:$E,1,0)),"NO UPC-CATALOG ID pair MATCH in Release_Label" )</f>
        <v/>
      </c>
      <c r="D938" s="121" t="str">
        <f t="array" ref="D938">ifs(and(isblank($A938),isblank($B938)),"", not(iserror(vlookup($A938&amp;$B938,'3) Release_Label'!$D:$D&amp;'3) Release_Label'!$E:$E,1,0))),vlookup($A938&amp;$B938,{'3) Release_Label'!$D:$D&amp;'3) Release_Label'!$E:$E,'3) Release_Label'!$H:$H},2,0), or(and(not(isblank($B938)),$B938=$B937,$A938&lt;&gt;$A937),and(not(isblank($A938)),$A938=$A937,$B938&lt;&gt;$B937)),"ID LISTS UNALIGNED",and($A938&lt;&gt;"",countif('3) Release_Label'!$D:$D,$A938)=0),"NO UPC MATCH in Release_Label",and($B938&lt;&gt;"",countif('3) Release_Label'!$E:$E,$B938)=0),"NO CATALOG ID MATCH in Release_Label",iserror(vlookup($A938&amp;$B938,'3) Release_Label'!$D:$D&amp;'3) Release_Label'!$E:$E,1,0)),"NO UPC-CATALOG ID pair MATCH in Release_Label" )</f>
        <v/>
      </c>
      <c r="E938" s="92"/>
      <c r="F938" s="92"/>
      <c r="G938" s="125" t="str">
        <f t="array" ref="G938">ifs(or($F938="",$F938="Main Primary Artist"),$F938,not(iserror(vlookup($F938,'Reference info'!$J$5:$J$8,1,0))),"Key Artist",not(iserror(vlookup($F938,'Reference info'!$J$38:$J$405,1,0))),"Performer",not(iserror(vlookup($F938,'Reference info'!$J$10:$J$36,1,0))),"Producer &amp; Engineer")</f>
        <v/>
      </c>
    </row>
    <row r="939">
      <c r="A939" s="28"/>
      <c r="B939" s="97"/>
      <c r="C939" s="121" t="str">
        <f t="array" ref="C939">ifs(and(isblank($A939),isblank($B939)),"", not(iserror(vlookup($A939&amp;$B939,'3) Release_Label'!$D:$D&amp;'3) Release_Label'!$E:$E,1,0))),vlookup($A939&amp;$B939,{'3) Release_Label'!$D:$D&amp;'3) Release_Label'!$E:$E,'3) Release_Label'!$F:$F},2,0), or(and(not(isblank($B939)),$B939=$B938,$A939&lt;&gt;$A938),and(not(isblank($A939)),$A939=$A938,$B939&lt;&gt;$B938)),"ID LISTS UNALIGNED",and($A939&lt;&gt;"",countif('3) Release_Label'!$D:$D,$A939)=0),"NO UPC MATCH in Release_Label",and($B939&lt;&gt;"",countif('3) Release_Label'!$E:$E,$B939)=0),"NO CATALOG ID MATCH in Release_Label",iserror(vlookup($A939&amp;$B939,'3) Release_Label'!$D:$D&amp;'3) Release_Label'!$E:$E,1,0)),"NO UPC-CATALOG ID pair MATCH in Release_Label" )</f>
        <v/>
      </c>
      <c r="D939" s="121" t="str">
        <f t="array" ref="D939">ifs(and(isblank($A939),isblank($B939)),"", not(iserror(vlookup($A939&amp;$B939,'3) Release_Label'!$D:$D&amp;'3) Release_Label'!$E:$E,1,0))),vlookup($A939&amp;$B939,{'3) Release_Label'!$D:$D&amp;'3) Release_Label'!$E:$E,'3) Release_Label'!$H:$H},2,0), or(and(not(isblank($B939)),$B939=$B938,$A939&lt;&gt;$A938),and(not(isblank($A939)),$A939=$A938,$B939&lt;&gt;$B938)),"ID LISTS UNALIGNED",and($A939&lt;&gt;"",countif('3) Release_Label'!$D:$D,$A939)=0),"NO UPC MATCH in Release_Label",and($B939&lt;&gt;"",countif('3) Release_Label'!$E:$E,$B939)=0),"NO CATALOG ID MATCH in Release_Label",iserror(vlookup($A939&amp;$B939,'3) Release_Label'!$D:$D&amp;'3) Release_Label'!$E:$E,1,0)),"NO UPC-CATALOG ID pair MATCH in Release_Label" )</f>
        <v/>
      </c>
      <c r="E939" s="92"/>
      <c r="F939" s="92"/>
      <c r="G939" s="125" t="str">
        <f t="array" ref="G939">ifs(or($F939="",$F939="Main Primary Artist"),$F939,not(iserror(vlookup($F939,'Reference info'!$J$5:$J$8,1,0))),"Key Artist",not(iserror(vlookup($F939,'Reference info'!$J$38:$J$405,1,0))),"Performer",not(iserror(vlookup($F939,'Reference info'!$J$10:$J$36,1,0))),"Producer &amp; Engineer")</f>
        <v/>
      </c>
    </row>
    <row r="940">
      <c r="A940" s="28"/>
      <c r="B940" s="97"/>
      <c r="C940" s="121" t="str">
        <f t="array" ref="C940">ifs(and(isblank($A940),isblank($B940)),"", not(iserror(vlookup($A940&amp;$B940,'3) Release_Label'!$D:$D&amp;'3) Release_Label'!$E:$E,1,0))),vlookup($A940&amp;$B940,{'3) Release_Label'!$D:$D&amp;'3) Release_Label'!$E:$E,'3) Release_Label'!$F:$F},2,0), or(and(not(isblank($B940)),$B940=$B939,$A940&lt;&gt;$A939),and(not(isblank($A940)),$A940=$A939,$B940&lt;&gt;$B939)),"ID LISTS UNALIGNED",and($A940&lt;&gt;"",countif('3) Release_Label'!$D:$D,$A940)=0),"NO UPC MATCH in Release_Label",and($B940&lt;&gt;"",countif('3) Release_Label'!$E:$E,$B940)=0),"NO CATALOG ID MATCH in Release_Label",iserror(vlookup($A940&amp;$B940,'3) Release_Label'!$D:$D&amp;'3) Release_Label'!$E:$E,1,0)),"NO UPC-CATALOG ID pair MATCH in Release_Label" )</f>
        <v/>
      </c>
      <c r="D940" s="121" t="str">
        <f t="array" ref="D940">ifs(and(isblank($A940),isblank($B940)),"", not(iserror(vlookup($A940&amp;$B940,'3) Release_Label'!$D:$D&amp;'3) Release_Label'!$E:$E,1,0))),vlookup($A940&amp;$B940,{'3) Release_Label'!$D:$D&amp;'3) Release_Label'!$E:$E,'3) Release_Label'!$H:$H},2,0), or(and(not(isblank($B940)),$B940=$B939,$A940&lt;&gt;$A939),and(not(isblank($A940)),$A940=$A939,$B940&lt;&gt;$B939)),"ID LISTS UNALIGNED",and($A940&lt;&gt;"",countif('3) Release_Label'!$D:$D,$A940)=0),"NO UPC MATCH in Release_Label",and($B940&lt;&gt;"",countif('3) Release_Label'!$E:$E,$B940)=0),"NO CATALOG ID MATCH in Release_Label",iserror(vlookup($A940&amp;$B940,'3) Release_Label'!$D:$D&amp;'3) Release_Label'!$E:$E,1,0)),"NO UPC-CATALOG ID pair MATCH in Release_Label" )</f>
        <v/>
      </c>
      <c r="E940" s="92"/>
      <c r="F940" s="92"/>
      <c r="G940" s="125" t="str">
        <f t="array" ref="G940">ifs(or($F940="",$F940="Main Primary Artist"),$F940,not(iserror(vlookup($F940,'Reference info'!$J$5:$J$8,1,0))),"Key Artist",not(iserror(vlookup($F940,'Reference info'!$J$38:$J$405,1,0))),"Performer",not(iserror(vlookup($F940,'Reference info'!$J$10:$J$36,1,0))),"Producer &amp; Engineer")</f>
        <v/>
      </c>
    </row>
    <row r="941">
      <c r="A941" s="28"/>
      <c r="B941" s="97"/>
      <c r="C941" s="121" t="str">
        <f t="array" ref="C941">ifs(and(isblank($A941),isblank($B941)),"", not(iserror(vlookup($A941&amp;$B941,'3) Release_Label'!$D:$D&amp;'3) Release_Label'!$E:$E,1,0))),vlookup($A941&amp;$B941,{'3) Release_Label'!$D:$D&amp;'3) Release_Label'!$E:$E,'3) Release_Label'!$F:$F},2,0), or(and(not(isblank($B941)),$B941=$B940,$A941&lt;&gt;$A940),and(not(isblank($A941)),$A941=$A940,$B941&lt;&gt;$B940)),"ID LISTS UNALIGNED",and($A941&lt;&gt;"",countif('3) Release_Label'!$D:$D,$A941)=0),"NO UPC MATCH in Release_Label",and($B941&lt;&gt;"",countif('3) Release_Label'!$E:$E,$B941)=0),"NO CATALOG ID MATCH in Release_Label",iserror(vlookup($A941&amp;$B941,'3) Release_Label'!$D:$D&amp;'3) Release_Label'!$E:$E,1,0)),"NO UPC-CATALOG ID pair MATCH in Release_Label" )</f>
        <v/>
      </c>
      <c r="D941" s="121" t="str">
        <f t="array" ref="D941">ifs(and(isblank($A941),isblank($B941)),"", not(iserror(vlookup($A941&amp;$B941,'3) Release_Label'!$D:$D&amp;'3) Release_Label'!$E:$E,1,0))),vlookup($A941&amp;$B941,{'3) Release_Label'!$D:$D&amp;'3) Release_Label'!$E:$E,'3) Release_Label'!$H:$H},2,0), or(and(not(isblank($B941)),$B941=$B940,$A941&lt;&gt;$A940),and(not(isblank($A941)),$A941=$A940,$B941&lt;&gt;$B940)),"ID LISTS UNALIGNED",and($A941&lt;&gt;"",countif('3) Release_Label'!$D:$D,$A941)=0),"NO UPC MATCH in Release_Label",and($B941&lt;&gt;"",countif('3) Release_Label'!$E:$E,$B941)=0),"NO CATALOG ID MATCH in Release_Label",iserror(vlookup($A941&amp;$B941,'3) Release_Label'!$D:$D&amp;'3) Release_Label'!$E:$E,1,0)),"NO UPC-CATALOG ID pair MATCH in Release_Label" )</f>
        <v/>
      </c>
      <c r="E941" s="92"/>
      <c r="F941" s="92"/>
      <c r="G941" s="125" t="str">
        <f t="array" ref="G941">ifs(or($F941="",$F941="Main Primary Artist"),$F941,not(iserror(vlookup($F941,'Reference info'!$J$5:$J$8,1,0))),"Key Artist",not(iserror(vlookup($F941,'Reference info'!$J$38:$J$405,1,0))),"Performer",not(iserror(vlookup($F941,'Reference info'!$J$10:$J$36,1,0))),"Producer &amp; Engineer")</f>
        <v/>
      </c>
    </row>
    <row r="942">
      <c r="A942" s="28"/>
      <c r="B942" s="97"/>
      <c r="C942" s="121" t="str">
        <f t="array" ref="C942">ifs(and(isblank($A942),isblank($B942)),"", not(iserror(vlookup($A942&amp;$B942,'3) Release_Label'!$D:$D&amp;'3) Release_Label'!$E:$E,1,0))),vlookup($A942&amp;$B942,{'3) Release_Label'!$D:$D&amp;'3) Release_Label'!$E:$E,'3) Release_Label'!$F:$F},2,0), or(and(not(isblank($B942)),$B942=$B941,$A942&lt;&gt;$A941),and(not(isblank($A942)),$A942=$A941,$B942&lt;&gt;$B941)),"ID LISTS UNALIGNED",and($A942&lt;&gt;"",countif('3) Release_Label'!$D:$D,$A942)=0),"NO UPC MATCH in Release_Label",and($B942&lt;&gt;"",countif('3) Release_Label'!$E:$E,$B942)=0),"NO CATALOG ID MATCH in Release_Label",iserror(vlookup($A942&amp;$B942,'3) Release_Label'!$D:$D&amp;'3) Release_Label'!$E:$E,1,0)),"NO UPC-CATALOG ID pair MATCH in Release_Label" )</f>
        <v/>
      </c>
      <c r="D942" s="121" t="str">
        <f t="array" ref="D942">ifs(and(isblank($A942),isblank($B942)),"", not(iserror(vlookup($A942&amp;$B942,'3) Release_Label'!$D:$D&amp;'3) Release_Label'!$E:$E,1,0))),vlookup($A942&amp;$B942,{'3) Release_Label'!$D:$D&amp;'3) Release_Label'!$E:$E,'3) Release_Label'!$H:$H},2,0), or(and(not(isblank($B942)),$B942=$B941,$A942&lt;&gt;$A941),and(not(isblank($A942)),$A942=$A941,$B942&lt;&gt;$B941)),"ID LISTS UNALIGNED",and($A942&lt;&gt;"",countif('3) Release_Label'!$D:$D,$A942)=0),"NO UPC MATCH in Release_Label",and($B942&lt;&gt;"",countif('3) Release_Label'!$E:$E,$B942)=0),"NO CATALOG ID MATCH in Release_Label",iserror(vlookup($A942&amp;$B942,'3) Release_Label'!$D:$D&amp;'3) Release_Label'!$E:$E,1,0)),"NO UPC-CATALOG ID pair MATCH in Release_Label" )</f>
        <v/>
      </c>
      <c r="E942" s="92"/>
      <c r="F942" s="92"/>
      <c r="G942" s="125" t="str">
        <f t="array" ref="G942">ifs(or($F942="",$F942="Main Primary Artist"),$F942,not(iserror(vlookup($F942,'Reference info'!$J$5:$J$8,1,0))),"Key Artist",not(iserror(vlookup($F942,'Reference info'!$J$38:$J$405,1,0))),"Performer",not(iserror(vlookup($F942,'Reference info'!$J$10:$J$36,1,0))),"Producer &amp; Engineer")</f>
        <v/>
      </c>
    </row>
    <row r="943">
      <c r="A943" s="28"/>
      <c r="B943" s="97"/>
      <c r="C943" s="121" t="str">
        <f t="array" ref="C943">ifs(and(isblank($A943),isblank($B943)),"", not(iserror(vlookup($A943&amp;$B943,'3) Release_Label'!$D:$D&amp;'3) Release_Label'!$E:$E,1,0))),vlookup($A943&amp;$B943,{'3) Release_Label'!$D:$D&amp;'3) Release_Label'!$E:$E,'3) Release_Label'!$F:$F},2,0), or(and(not(isblank($B943)),$B943=$B942,$A943&lt;&gt;$A942),and(not(isblank($A943)),$A943=$A942,$B943&lt;&gt;$B942)),"ID LISTS UNALIGNED",and($A943&lt;&gt;"",countif('3) Release_Label'!$D:$D,$A943)=0),"NO UPC MATCH in Release_Label",and($B943&lt;&gt;"",countif('3) Release_Label'!$E:$E,$B943)=0),"NO CATALOG ID MATCH in Release_Label",iserror(vlookup($A943&amp;$B943,'3) Release_Label'!$D:$D&amp;'3) Release_Label'!$E:$E,1,0)),"NO UPC-CATALOG ID pair MATCH in Release_Label" )</f>
        <v/>
      </c>
      <c r="D943" s="121" t="str">
        <f t="array" ref="D943">ifs(and(isblank($A943),isblank($B943)),"", not(iserror(vlookup($A943&amp;$B943,'3) Release_Label'!$D:$D&amp;'3) Release_Label'!$E:$E,1,0))),vlookup($A943&amp;$B943,{'3) Release_Label'!$D:$D&amp;'3) Release_Label'!$E:$E,'3) Release_Label'!$H:$H},2,0), or(and(not(isblank($B943)),$B943=$B942,$A943&lt;&gt;$A942),and(not(isblank($A943)),$A943=$A942,$B943&lt;&gt;$B942)),"ID LISTS UNALIGNED",and($A943&lt;&gt;"",countif('3) Release_Label'!$D:$D,$A943)=0),"NO UPC MATCH in Release_Label",and($B943&lt;&gt;"",countif('3) Release_Label'!$E:$E,$B943)=0),"NO CATALOG ID MATCH in Release_Label",iserror(vlookup($A943&amp;$B943,'3) Release_Label'!$D:$D&amp;'3) Release_Label'!$E:$E,1,0)),"NO UPC-CATALOG ID pair MATCH in Release_Label" )</f>
        <v/>
      </c>
      <c r="E943" s="92"/>
      <c r="F943" s="92"/>
      <c r="G943" s="125" t="str">
        <f t="array" ref="G943">ifs(or($F943="",$F943="Main Primary Artist"),$F943,not(iserror(vlookup($F943,'Reference info'!$J$5:$J$8,1,0))),"Key Artist",not(iserror(vlookup($F943,'Reference info'!$J$38:$J$405,1,0))),"Performer",not(iserror(vlookup($F943,'Reference info'!$J$10:$J$36,1,0))),"Producer &amp; Engineer")</f>
        <v/>
      </c>
    </row>
    <row r="944">
      <c r="A944" s="28"/>
      <c r="B944" s="97"/>
      <c r="C944" s="121" t="str">
        <f t="array" ref="C944">ifs(and(isblank($A944),isblank($B944)),"", not(iserror(vlookup($A944&amp;$B944,'3) Release_Label'!$D:$D&amp;'3) Release_Label'!$E:$E,1,0))),vlookup($A944&amp;$B944,{'3) Release_Label'!$D:$D&amp;'3) Release_Label'!$E:$E,'3) Release_Label'!$F:$F},2,0), or(and(not(isblank($B944)),$B944=$B943,$A944&lt;&gt;$A943),and(not(isblank($A944)),$A944=$A943,$B944&lt;&gt;$B943)),"ID LISTS UNALIGNED",and($A944&lt;&gt;"",countif('3) Release_Label'!$D:$D,$A944)=0),"NO UPC MATCH in Release_Label",and($B944&lt;&gt;"",countif('3) Release_Label'!$E:$E,$B944)=0),"NO CATALOG ID MATCH in Release_Label",iserror(vlookup($A944&amp;$B944,'3) Release_Label'!$D:$D&amp;'3) Release_Label'!$E:$E,1,0)),"NO UPC-CATALOG ID pair MATCH in Release_Label" )</f>
        <v/>
      </c>
      <c r="D944" s="121" t="str">
        <f t="array" ref="D944">ifs(and(isblank($A944),isblank($B944)),"", not(iserror(vlookup($A944&amp;$B944,'3) Release_Label'!$D:$D&amp;'3) Release_Label'!$E:$E,1,0))),vlookup($A944&amp;$B944,{'3) Release_Label'!$D:$D&amp;'3) Release_Label'!$E:$E,'3) Release_Label'!$H:$H},2,0), or(and(not(isblank($B944)),$B944=$B943,$A944&lt;&gt;$A943),and(not(isblank($A944)),$A944=$A943,$B944&lt;&gt;$B943)),"ID LISTS UNALIGNED",and($A944&lt;&gt;"",countif('3) Release_Label'!$D:$D,$A944)=0),"NO UPC MATCH in Release_Label",and($B944&lt;&gt;"",countif('3) Release_Label'!$E:$E,$B944)=0),"NO CATALOG ID MATCH in Release_Label",iserror(vlookup($A944&amp;$B944,'3) Release_Label'!$D:$D&amp;'3) Release_Label'!$E:$E,1,0)),"NO UPC-CATALOG ID pair MATCH in Release_Label" )</f>
        <v/>
      </c>
      <c r="E944" s="92"/>
      <c r="F944" s="92"/>
      <c r="G944" s="125" t="str">
        <f t="array" ref="G944">ifs(or($F944="",$F944="Main Primary Artist"),$F944,not(iserror(vlookup($F944,'Reference info'!$J$5:$J$8,1,0))),"Key Artist",not(iserror(vlookup($F944,'Reference info'!$J$38:$J$405,1,0))),"Performer",not(iserror(vlookup($F944,'Reference info'!$J$10:$J$36,1,0))),"Producer &amp; Engineer")</f>
        <v/>
      </c>
    </row>
    <row r="945">
      <c r="A945" s="28"/>
      <c r="B945" s="97"/>
      <c r="C945" s="121" t="str">
        <f t="array" ref="C945">ifs(and(isblank($A945),isblank($B945)),"", not(iserror(vlookup($A945&amp;$B945,'3) Release_Label'!$D:$D&amp;'3) Release_Label'!$E:$E,1,0))),vlookup($A945&amp;$B945,{'3) Release_Label'!$D:$D&amp;'3) Release_Label'!$E:$E,'3) Release_Label'!$F:$F},2,0), or(and(not(isblank($B945)),$B945=$B944,$A945&lt;&gt;$A944),and(not(isblank($A945)),$A945=$A944,$B945&lt;&gt;$B944)),"ID LISTS UNALIGNED",and($A945&lt;&gt;"",countif('3) Release_Label'!$D:$D,$A945)=0),"NO UPC MATCH in Release_Label",and($B945&lt;&gt;"",countif('3) Release_Label'!$E:$E,$B945)=0),"NO CATALOG ID MATCH in Release_Label",iserror(vlookup($A945&amp;$B945,'3) Release_Label'!$D:$D&amp;'3) Release_Label'!$E:$E,1,0)),"NO UPC-CATALOG ID pair MATCH in Release_Label" )</f>
        <v/>
      </c>
      <c r="D945" s="121" t="str">
        <f t="array" ref="D945">ifs(and(isblank($A945),isblank($B945)),"", not(iserror(vlookup($A945&amp;$B945,'3) Release_Label'!$D:$D&amp;'3) Release_Label'!$E:$E,1,0))),vlookup($A945&amp;$B945,{'3) Release_Label'!$D:$D&amp;'3) Release_Label'!$E:$E,'3) Release_Label'!$H:$H},2,0), or(and(not(isblank($B945)),$B945=$B944,$A945&lt;&gt;$A944),and(not(isblank($A945)),$A945=$A944,$B945&lt;&gt;$B944)),"ID LISTS UNALIGNED",and($A945&lt;&gt;"",countif('3) Release_Label'!$D:$D,$A945)=0),"NO UPC MATCH in Release_Label",and($B945&lt;&gt;"",countif('3) Release_Label'!$E:$E,$B945)=0),"NO CATALOG ID MATCH in Release_Label",iserror(vlookup($A945&amp;$B945,'3) Release_Label'!$D:$D&amp;'3) Release_Label'!$E:$E,1,0)),"NO UPC-CATALOG ID pair MATCH in Release_Label" )</f>
        <v/>
      </c>
      <c r="E945" s="92"/>
      <c r="F945" s="92"/>
      <c r="G945" s="125" t="str">
        <f t="array" ref="G945">ifs(or($F945="",$F945="Main Primary Artist"),$F945,not(iserror(vlookup($F945,'Reference info'!$J$5:$J$8,1,0))),"Key Artist",not(iserror(vlookup($F945,'Reference info'!$J$38:$J$405,1,0))),"Performer",not(iserror(vlookup($F945,'Reference info'!$J$10:$J$36,1,0))),"Producer &amp; Engineer")</f>
        <v/>
      </c>
    </row>
    <row r="946">
      <c r="A946" s="28"/>
      <c r="B946" s="97"/>
      <c r="C946" s="121" t="str">
        <f t="array" ref="C946">ifs(and(isblank($A946),isblank($B946)),"", not(iserror(vlookup($A946&amp;$B946,'3) Release_Label'!$D:$D&amp;'3) Release_Label'!$E:$E,1,0))),vlookup($A946&amp;$B946,{'3) Release_Label'!$D:$D&amp;'3) Release_Label'!$E:$E,'3) Release_Label'!$F:$F},2,0), or(and(not(isblank($B946)),$B946=$B945,$A946&lt;&gt;$A945),and(not(isblank($A946)),$A946=$A945,$B946&lt;&gt;$B945)),"ID LISTS UNALIGNED",and($A946&lt;&gt;"",countif('3) Release_Label'!$D:$D,$A946)=0),"NO UPC MATCH in Release_Label",and($B946&lt;&gt;"",countif('3) Release_Label'!$E:$E,$B946)=0),"NO CATALOG ID MATCH in Release_Label",iserror(vlookup($A946&amp;$B946,'3) Release_Label'!$D:$D&amp;'3) Release_Label'!$E:$E,1,0)),"NO UPC-CATALOG ID pair MATCH in Release_Label" )</f>
        <v/>
      </c>
      <c r="D946" s="121" t="str">
        <f t="array" ref="D946">ifs(and(isblank($A946),isblank($B946)),"", not(iserror(vlookup($A946&amp;$B946,'3) Release_Label'!$D:$D&amp;'3) Release_Label'!$E:$E,1,0))),vlookup($A946&amp;$B946,{'3) Release_Label'!$D:$D&amp;'3) Release_Label'!$E:$E,'3) Release_Label'!$H:$H},2,0), or(and(not(isblank($B946)),$B946=$B945,$A946&lt;&gt;$A945),and(not(isblank($A946)),$A946=$A945,$B946&lt;&gt;$B945)),"ID LISTS UNALIGNED",and($A946&lt;&gt;"",countif('3) Release_Label'!$D:$D,$A946)=0),"NO UPC MATCH in Release_Label",and($B946&lt;&gt;"",countif('3) Release_Label'!$E:$E,$B946)=0),"NO CATALOG ID MATCH in Release_Label",iserror(vlookup($A946&amp;$B946,'3) Release_Label'!$D:$D&amp;'3) Release_Label'!$E:$E,1,0)),"NO UPC-CATALOG ID pair MATCH in Release_Label" )</f>
        <v/>
      </c>
      <c r="E946" s="92"/>
      <c r="F946" s="92"/>
      <c r="G946" s="125" t="str">
        <f t="array" ref="G946">ifs(or($F946="",$F946="Main Primary Artist"),$F946,not(iserror(vlookup($F946,'Reference info'!$J$5:$J$8,1,0))),"Key Artist",not(iserror(vlookup($F946,'Reference info'!$J$38:$J$405,1,0))),"Performer",not(iserror(vlookup($F946,'Reference info'!$J$10:$J$36,1,0))),"Producer &amp; Engineer")</f>
        <v/>
      </c>
    </row>
    <row r="947">
      <c r="A947" s="28"/>
      <c r="B947" s="97"/>
      <c r="C947" s="121" t="str">
        <f t="array" ref="C947">ifs(and(isblank($A947),isblank($B947)),"", not(iserror(vlookup($A947&amp;$B947,'3) Release_Label'!$D:$D&amp;'3) Release_Label'!$E:$E,1,0))),vlookup($A947&amp;$B947,{'3) Release_Label'!$D:$D&amp;'3) Release_Label'!$E:$E,'3) Release_Label'!$F:$F},2,0), or(and(not(isblank($B947)),$B947=$B946,$A947&lt;&gt;$A946),and(not(isblank($A947)),$A947=$A946,$B947&lt;&gt;$B946)),"ID LISTS UNALIGNED",and($A947&lt;&gt;"",countif('3) Release_Label'!$D:$D,$A947)=0),"NO UPC MATCH in Release_Label",and($B947&lt;&gt;"",countif('3) Release_Label'!$E:$E,$B947)=0),"NO CATALOG ID MATCH in Release_Label",iserror(vlookup($A947&amp;$B947,'3) Release_Label'!$D:$D&amp;'3) Release_Label'!$E:$E,1,0)),"NO UPC-CATALOG ID pair MATCH in Release_Label" )</f>
        <v/>
      </c>
      <c r="D947" s="121" t="str">
        <f t="array" ref="D947">ifs(and(isblank($A947),isblank($B947)),"", not(iserror(vlookup($A947&amp;$B947,'3) Release_Label'!$D:$D&amp;'3) Release_Label'!$E:$E,1,0))),vlookup($A947&amp;$B947,{'3) Release_Label'!$D:$D&amp;'3) Release_Label'!$E:$E,'3) Release_Label'!$H:$H},2,0), or(and(not(isblank($B947)),$B947=$B946,$A947&lt;&gt;$A946),and(not(isblank($A947)),$A947=$A946,$B947&lt;&gt;$B946)),"ID LISTS UNALIGNED",and($A947&lt;&gt;"",countif('3) Release_Label'!$D:$D,$A947)=0),"NO UPC MATCH in Release_Label",and($B947&lt;&gt;"",countif('3) Release_Label'!$E:$E,$B947)=0),"NO CATALOG ID MATCH in Release_Label",iserror(vlookup($A947&amp;$B947,'3) Release_Label'!$D:$D&amp;'3) Release_Label'!$E:$E,1,0)),"NO UPC-CATALOG ID pair MATCH in Release_Label" )</f>
        <v/>
      </c>
      <c r="E947" s="92"/>
      <c r="F947" s="92"/>
      <c r="G947" s="125" t="str">
        <f t="array" ref="G947">ifs(or($F947="",$F947="Main Primary Artist"),$F947,not(iserror(vlookup($F947,'Reference info'!$J$5:$J$8,1,0))),"Key Artist",not(iserror(vlookup($F947,'Reference info'!$J$38:$J$405,1,0))),"Performer",not(iserror(vlookup($F947,'Reference info'!$J$10:$J$36,1,0))),"Producer &amp; Engineer")</f>
        <v/>
      </c>
    </row>
    <row r="948">
      <c r="A948" s="28"/>
      <c r="B948" s="97"/>
      <c r="C948" s="121" t="str">
        <f t="array" ref="C948">ifs(and(isblank($A948),isblank($B948)),"", not(iserror(vlookup($A948&amp;$B948,'3) Release_Label'!$D:$D&amp;'3) Release_Label'!$E:$E,1,0))),vlookup($A948&amp;$B948,{'3) Release_Label'!$D:$D&amp;'3) Release_Label'!$E:$E,'3) Release_Label'!$F:$F},2,0), or(and(not(isblank($B948)),$B948=$B947,$A948&lt;&gt;$A947),and(not(isblank($A948)),$A948=$A947,$B948&lt;&gt;$B947)),"ID LISTS UNALIGNED",and($A948&lt;&gt;"",countif('3) Release_Label'!$D:$D,$A948)=0),"NO UPC MATCH in Release_Label",and($B948&lt;&gt;"",countif('3) Release_Label'!$E:$E,$B948)=0),"NO CATALOG ID MATCH in Release_Label",iserror(vlookup($A948&amp;$B948,'3) Release_Label'!$D:$D&amp;'3) Release_Label'!$E:$E,1,0)),"NO UPC-CATALOG ID pair MATCH in Release_Label" )</f>
        <v/>
      </c>
      <c r="D948" s="121" t="str">
        <f t="array" ref="D948">ifs(and(isblank($A948),isblank($B948)),"", not(iserror(vlookup($A948&amp;$B948,'3) Release_Label'!$D:$D&amp;'3) Release_Label'!$E:$E,1,0))),vlookup($A948&amp;$B948,{'3) Release_Label'!$D:$D&amp;'3) Release_Label'!$E:$E,'3) Release_Label'!$H:$H},2,0), or(and(not(isblank($B948)),$B948=$B947,$A948&lt;&gt;$A947),and(not(isblank($A948)),$A948=$A947,$B948&lt;&gt;$B947)),"ID LISTS UNALIGNED",and($A948&lt;&gt;"",countif('3) Release_Label'!$D:$D,$A948)=0),"NO UPC MATCH in Release_Label",and($B948&lt;&gt;"",countif('3) Release_Label'!$E:$E,$B948)=0),"NO CATALOG ID MATCH in Release_Label",iserror(vlookup($A948&amp;$B948,'3) Release_Label'!$D:$D&amp;'3) Release_Label'!$E:$E,1,0)),"NO UPC-CATALOG ID pair MATCH in Release_Label" )</f>
        <v/>
      </c>
      <c r="E948" s="92"/>
      <c r="F948" s="92"/>
      <c r="G948" s="125" t="str">
        <f t="array" ref="G948">ifs(or($F948="",$F948="Main Primary Artist"),$F948,not(iserror(vlookup($F948,'Reference info'!$J$5:$J$8,1,0))),"Key Artist",not(iserror(vlookup($F948,'Reference info'!$J$38:$J$405,1,0))),"Performer",not(iserror(vlookup($F948,'Reference info'!$J$10:$J$36,1,0))),"Producer &amp; Engineer")</f>
        <v/>
      </c>
    </row>
    <row r="949">
      <c r="A949" s="28"/>
      <c r="B949" s="97"/>
      <c r="C949" s="121" t="str">
        <f t="array" ref="C949">ifs(and(isblank($A949),isblank($B949)),"", not(iserror(vlookup($A949&amp;$B949,'3) Release_Label'!$D:$D&amp;'3) Release_Label'!$E:$E,1,0))),vlookup($A949&amp;$B949,{'3) Release_Label'!$D:$D&amp;'3) Release_Label'!$E:$E,'3) Release_Label'!$F:$F},2,0), or(and(not(isblank($B949)),$B949=$B948,$A949&lt;&gt;$A948),and(not(isblank($A949)),$A949=$A948,$B949&lt;&gt;$B948)),"ID LISTS UNALIGNED",and($A949&lt;&gt;"",countif('3) Release_Label'!$D:$D,$A949)=0),"NO UPC MATCH in Release_Label",and($B949&lt;&gt;"",countif('3) Release_Label'!$E:$E,$B949)=0),"NO CATALOG ID MATCH in Release_Label",iserror(vlookup($A949&amp;$B949,'3) Release_Label'!$D:$D&amp;'3) Release_Label'!$E:$E,1,0)),"NO UPC-CATALOG ID pair MATCH in Release_Label" )</f>
        <v/>
      </c>
      <c r="D949" s="121" t="str">
        <f t="array" ref="D949">ifs(and(isblank($A949),isblank($B949)),"", not(iserror(vlookup($A949&amp;$B949,'3) Release_Label'!$D:$D&amp;'3) Release_Label'!$E:$E,1,0))),vlookup($A949&amp;$B949,{'3) Release_Label'!$D:$D&amp;'3) Release_Label'!$E:$E,'3) Release_Label'!$H:$H},2,0), or(and(not(isblank($B949)),$B949=$B948,$A949&lt;&gt;$A948),and(not(isblank($A949)),$A949=$A948,$B949&lt;&gt;$B948)),"ID LISTS UNALIGNED",and($A949&lt;&gt;"",countif('3) Release_Label'!$D:$D,$A949)=0),"NO UPC MATCH in Release_Label",and($B949&lt;&gt;"",countif('3) Release_Label'!$E:$E,$B949)=0),"NO CATALOG ID MATCH in Release_Label",iserror(vlookup($A949&amp;$B949,'3) Release_Label'!$D:$D&amp;'3) Release_Label'!$E:$E,1,0)),"NO UPC-CATALOG ID pair MATCH in Release_Label" )</f>
        <v/>
      </c>
      <c r="E949" s="92"/>
      <c r="F949" s="92"/>
      <c r="G949" s="125" t="str">
        <f t="array" ref="G949">ifs(or($F949="",$F949="Main Primary Artist"),$F949,not(iserror(vlookup($F949,'Reference info'!$J$5:$J$8,1,0))),"Key Artist",not(iserror(vlookup($F949,'Reference info'!$J$38:$J$405,1,0))),"Performer",not(iserror(vlookup($F949,'Reference info'!$J$10:$J$36,1,0))),"Producer &amp; Engineer")</f>
        <v/>
      </c>
    </row>
    <row r="950">
      <c r="A950" s="28"/>
      <c r="B950" s="97"/>
      <c r="C950" s="121" t="str">
        <f t="array" ref="C950">ifs(and(isblank($A950),isblank($B950)),"", not(iserror(vlookup($A950&amp;$B950,'3) Release_Label'!$D:$D&amp;'3) Release_Label'!$E:$E,1,0))),vlookup($A950&amp;$B950,{'3) Release_Label'!$D:$D&amp;'3) Release_Label'!$E:$E,'3) Release_Label'!$F:$F},2,0), or(and(not(isblank($B950)),$B950=$B949,$A950&lt;&gt;$A949),and(not(isblank($A950)),$A950=$A949,$B950&lt;&gt;$B949)),"ID LISTS UNALIGNED",and($A950&lt;&gt;"",countif('3) Release_Label'!$D:$D,$A950)=0),"NO UPC MATCH in Release_Label",and($B950&lt;&gt;"",countif('3) Release_Label'!$E:$E,$B950)=0),"NO CATALOG ID MATCH in Release_Label",iserror(vlookup($A950&amp;$B950,'3) Release_Label'!$D:$D&amp;'3) Release_Label'!$E:$E,1,0)),"NO UPC-CATALOG ID pair MATCH in Release_Label" )</f>
        <v/>
      </c>
      <c r="D950" s="121" t="str">
        <f t="array" ref="D950">ifs(and(isblank($A950),isblank($B950)),"", not(iserror(vlookup($A950&amp;$B950,'3) Release_Label'!$D:$D&amp;'3) Release_Label'!$E:$E,1,0))),vlookup($A950&amp;$B950,{'3) Release_Label'!$D:$D&amp;'3) Release_Label'!$E:$E,'3) Release_Label'!$H:$H},2,0), or(and(not(isblank($B950)),$B950=$B949,$A950&lt;&gt;$A949),and(not(isblank($A950)),$A950=$A949,$B950&lt;&gt;$B949)),"ID LISTS UNALIGNED",and($A950&lt;&gt;"",countif('3) Release_Label'!$D:$D,$A950)=0),"NO UPC MATCH in Release_Label",and($B950&lt;&gt;"",countif('3) Release_Label'!$E:$E,$B950)=0),"NO CATALOG ID MATCH in Release_Label",iserror(vlookup($A950&amp;$B950,'3) Release_Label'!$D:$D&amp;'3) Release_Label'!$E:$E,1,0)),"NO UPC-CATALOG ID pair MATCH in Release_Label" )</f>
        <v/>
      </c>
      <c r="E950" s="92"/>
      <c r="F950" s="92"/>
      <c r="G950" s="125" t="str">
        <f t="array" ref="G950">ifs(or($F950="",$F950="Main Primary Artist"),$F950,not(iserror(vlookup($F950,'Reference info'!$J$5:$J$8,1,0))),"Key Artist",not(iserror(vlookup($F950,'Reference info'!$J$38:$J$405,1,0))),"Performer",not(iserror(vlookup($F950,'Reference info'!$J$10:$J$36,1,0))),"Producer &amp; Engineer")</f>
        <v/>
      </c>
    </row>
    <row r="951">
      <c r="A951" s="28"/>
      <c r="B951" s="97"/>
      <c r="C951" s="121" t="str">
        <f t="array" ref="C951">ifs(and(isblank($A951),isblank($B951)),"", not(iserror(vlookup($A951&amp;$B951,'3) Release_Label'!$D:$D&amp;'3) Release_Label'!$E:$E,1,0))),vlookup($A951&amp;$B951,{'3) Release_Label'!$D:$D&amp;'3) Release_Label'!$E:$E,'3) Release_Label'!$F:$F},2,0), or(and(not(isblank($B951)),$B951=$B950,$A951&lt;&gt;$A950),and(not(isblank($A951)),$A951=$A950,$B951&lt;&gt;$B950)),"ID LISTS UNALIGNED",and($A951&lt;&gt;"",countif('3) Release_Label'!$D:$D,$A951)=0),"NO UPC MATCH in Release_Label",and($B951&lt;&gt;"",countif('3) Release_Label'!$E:$E,$B951)=0),"NO CATALOG ID MATCH in Release_Label",iserror(vlookup($A951&amp;$B951,'3) Release_Label'!$D:$D&amp;'3) Release_Label'!$E:$E,1,0)),"NO UPC-CATALOG ID pair MATCH in Release_Label" )</f>
        <v/>
      </c>
      <c r="D951" s="121" t="str">
        <f t="array" ref="D951">ifs(and(isblank($A951),isblank($B951)),"", not(iserror(vlookup($A951&amp;$B951,'3) Release_Label'!$D:$D&amp;'3) Release_Label'!$E:$E,1,0))),vlookup($A951&amp;$B951,{'3) Release_Label'!$D:$D&amp;'3) Release_Label'!$E:$E,'3) Release_Label'!$H:$H},2,0), or(and(not(isblank($B951)),$B951=$B950,$A951&lt;&gt;$A950),and(not(isblank($A951)),$A951=$A950,$B951&lt;&gt;$B950)),"ID LISTS UNALIGNED",and($A951&lt;&gt;"",countif('3) Release_Label'!$D:$D,$A951)=0),"NO UPC MATCH in Release_Label",and($B951&lt;&gt;"",countif('3) Release_Label'!$E:$E,$B951)=0),"NO CATALOG ID MATCH in Release_Label",iserror(vlookup($A951&amp;$B951,'3) Release_Label'!$D:$D&amp;'3) Release_Label'!$E:$E,1,0)),"NO UPC-CATALOG ID pair MATCH in Release_Label" )</f>
        <v/>
      </c>
      <c r="E951" s="92"/>
      <c r="F951" s="92"/>
      <c r="G951" s="125" t="str">
        <f t="array" ref="G951">ifs(or($F951="",$F951="Main Primary Artist"),$F951,not(iserror(vlookup($F951,'Reference info'!$J$5:$J$8,1,0))),"Key Artist",not(iserror(vlookup($F951,'Reference info'!$J$38:$J$405,1,0))),"Performer",not(iserror(vlookup($F951,'Reference info'!$J$10:$J$36,1,0))),"Producer &amp; Engineer")</f>
        <v/>
      </c>
    </row>
    <row r="952">
      <c r="A952" s="28"/>
      <c r="B952" s="97"/>
      <c r="C952" s="121" t="str">
        <f t="array" ref="C952">ifs(and(isblank($A952),isblank($B952)),"", not(iserror(vlookup($A952&amp;$B952,'3) Release_Label'!$D:$D&amp;'3) Release_Label'!$E:$E,1,0))),vlookup($A952&amp;$B952,{'3) Release_Label'!$D:$D&amp;'3) Release_Label'!$E:$E,'3) Release_Label'!$F:$F},2,0), or(and(not(isblank($B952)),$B952=$B951,$A952&lt;&gt;$A951),and(not(isblank($A952)),$A952=$A951,$B952&lt;&gt;$B951)),"ID LISTS UNALIGNED",and($A952&lt;&gt;"",countif('3) Release_Label'!$D:$D,$A952)=0),"NO UPC MATCH in Release_Label",and($B952&lt;&gt;"",countif('3) Release_Label'!$E:$E,$B952)=0),"NO CATALOG ID MATCH in Release_Label",iserror(vlookup($A952&amp;$B952,'3) Release_Label'!$D:$D&amp;'3) Release_Label'!$E:$E,1,0)),"NO UPC-CATALOG ID pair MATCH in Release_Label" )</f>
        <v/>
      </c>
      <c r="D952" s="121" t="str">
        <f t="array" ref="D952">ifs(and(isblank($A952),isblank($B952)),"", not(iserror(vlookup($A952&amp;$B952,'3) Release_Label'!$D:$D&amp;'3) Release_Label'!$E:$E,1,0))),vlookup($A952&amp;$B952,{'3) Release_Label'!$D:$D&amp;'3) Release_Label'!$E:$E,'3) Release_Label'!$H:$H},2,0), or(and(not(isblank($B952)),$B952=$B951,$A952&lt;&gt;$A951),and(not(isblank($A952)),$A952=$A951,$B952&lt;&gt;$B951)),"ID LISTS UNALIGNED",and($A952&lt;&gt;"",countif('3) Release_Label'!$D:$D,$A952)=0),"NO UPC MATCH in Release_Label",and($B952&lt;&gt;"",countif('3) Release_Label'!$E:$E,$B952)=0),"NO CATALOG ID MATCH in Release_Label",iserror(vlookup($A952&amp;$B952,'3) Release_Label'!$D:$D&amp;'3) Release_Label'!$E:$E,1,0)),"NO UPC-CATALOG ID pair MATCH in Release_Label" )</f>
        <v/>
      </c>
      <c r="E952" s="92"/>
      <c r="F952" s="92"/>
      <c r="G952" s="125" t="str">
        <f t="array" ref="G952">ifs(or($F952="",$F952="Main Primary Artist"),$F952,not(iserror(vlookup($F952,'Reference info'!$J$5:$J$8,1,0))),"Key Artist",not(iserror(vlookup($F952,'Reference info'!$J$38:$J$405,1,0))),"Performer",not(iserror(vlookup($F952,'Reference info'!$J$10:$J$36,1,0))),"Producer &amp; Engineer")</f>
        <v/>
      </c>
    </row>
    <row r="953">
      <c r="A953" s="28"/>
      <c r="B953" s="97"/>
      <c r="C953" s="121" t="str">
        <f t="array" ref="C953">ifs(and(isblank($A953),isblank($B953)),"", not(iserror(vlookup($A953&amp;$B953,'3) Release_Label'!$D:$D&amp;'3) Release_Label'!$E:$E,1,0))),vlookup($A953&amp;$B953,{'3) Release_Label'!$D:$D&amp;'3) Release_Label'!$E:$E,'3) Release_Label'!$F:$F},2,0), or(and(not(isblank($B953)),$B953=$B952,$A953&lt;&gt;$A952),and(not(isblank($A953)),$A953=$A952,$B953&lt;&gt;$B952)),"ID LISTS UNALIGNED",and($A953&lt;&gt;"",countif('3) Release_Label'!$D:$D,$A953)=0),"NO UPC MATCH in Release_Label",and($B953&lt;&gt;"",countif('3) Release_Label'!$E:$E,$B953)=0),"NO CATALOG ID MATCH in Release_Label",iserror(vlookup($A953&amp;$B953,'3) Release_Label'!$D:$D&amp;'3) Release_Label'!$E:$E,1,0)),"NO UPC-CATALOG ID pair MATCH in Release_Label" )</f>
        <v/>
      </c>
      <c r="D953" s="121" t="str">
        <f t="array" ref="D953">ifs(and(isblank($A953),isblank($B953)),"", not(iserror(vlookup($A953&amp;$B953,'3) Release_Label'!$D:$D&amp;'3) Release_Label'!$E:$E,1,0))),vlookup($A953&amp;$B953,{'3) Release_Label'!$D:$D&amp;'3) Release_Label'!$E:$E,'3) Release_Label'!$H:$H},2,0), or(and(not(isblank($B953)),$B953=$B952,$A953&lt;&gt;$A952),and(not(isblank($A953)),$A953=$A952,$B953&lt;&gt;$B952)),"ID LISTS UNALIGNED",and($A953&lt;&gt;"",countif('3) Release_Label'!$D:$D,$A953)=0),"NO UPC MATCH in Release_Label",and($B953&lt;&gt;"",countif('3) Release_Label'!$E:$E,$B953)=0),"NO CATALOG ID MATCH in Release_Label",iserror(vlookup($A953&amp;$B953,'3) Release_Label'!$D:$D&amp;'3) Release_Label'!$E:$E,1,0)),"NO UPC-CATALOG ID pair MATCH in Release_Label" )</f>
        <v/>
      </c>
      <c r="E953" s="92"/>
      <c r="F953" s="92"/>
      <c r="G953" s="125" t="str">
        <f t="array" ref="G953">ifs(or($F953="",$F953="Main Primary Artist"),$F953,not(iserror(vlookup($F953,'Reference info'!$J$5:$J$8,1,0))),"Key Artist",not(iserror(vlookup($F953,'Reference info'!$J$38:$J$405,1,0))),"Performer",not(iserror(vlookup($F953,'Reference info'!$J$10:$J$36,1,0))),"Producer &amp; Engineer")</f>
        <v/>
      </c>
    </row>
    <row r="954">
      <c r="A954" s="28"/>
      <c r="B954" s="97"/>
      <c r="C954" s="121" t="str">
        <f t="array" ref="C954">ifs(and(isblank($A954),isblank($B954)),"", not(iserror(vlookup($A954&amp;$B954,'3) Release_Label'!$D:$D&amp;'3) Release_Label'!$E:$E,1,0))),vlookup($A954&amp;$B954,{'3) Release_Label'!$D:$D&amp;'3) Release_Label'!$E:$E,'3) Release_Label'!$F:$F},2,0), or(and(not(isblank($B954)),$B954=$B953,$A954&lt;&gt;$A953),and(not(isblank($A954)),$A954=$A953,$B954&lt;&gt;$B953)),"ID LISTS UNALIGNED",and($A954&lt;&gt;"",countif('3) Release_Label'!$D:$D,$A954)=0),"NO UPC MATCH in Release_Label",and($B954&lt;&gt;"",countif('3) Release_Label'!$E:$E,$B954)=0),"NO CATALOG ID MATCH in Release_Label",iserror(vlookup($A954&amp;$B954,'3) Release_Label'!$D:$D&amp;'3) Release_Label'!$E:$E,1,0)),"NO UPC-CATALOG ID pair MATCH in Release_Label" )</f>
        <v/>
      </c>
      <c r="D954" s="121" t="str">
        <f t="array" ref="D954">ifs(and(isblank($A954),isblank($B954)),"", not(iserror(vlookup($A954&amp;$B954,'3) Release_Label'!$D:$D&amp;'3) Release_Label'!$E:$E,1,0))),vlookup($A954&amp;$B954,{'3) Release_Label'!$D:$D&amp;'3) Release_Label'!$E:$E,'3) Release_Label'!$H:$H},2,0), or(and(not(isblank($B954)),$B954=$B953,$A954&lt;&gt;$A953),and(not(isblank($A954)),$A954=$A953,$B954&lt;&gt;$B953)),"ID LISTS UNALIGNED",and($A954&lt;&gt;"",countif('3) Release_Label'!$D:$D,$A954)=0),"NO UPC MATCH in Release_Label",and($B954&lt;&gt;"",countif('3) Release_Label'!$E:$E,$B954)=0),"NO CATALOG ID MATCH in Release_Label",iserror(vlookup($A954&amp;$B954,'3) Release_Label'!$D:$D&amp;'3) Release_Label'!$E:$E,1,0)),"NO UPC-CATALOG ID pair MATCH in Release_Label" )</f>
        <v/>
      </c>
      <c r="E954" s="92"/>
      <c r="F954" s="92"/>
      <c r="G954" s="125" t="str">
        <f t="array" ref="G954">ifs(or($F954="",$F954="Main Primary Artist"),$F954,not(iserror(vlookup($F954,'Reference info'!$J$5:$J$8,1,0))),"Key Artist",not(iserror(vlookup($F954,'Reference info'!$J$38:$J$405,1,0))),"Performer",not(iserror(vlookup($F954,'Reference info'!$J$10:$J$36,1,0))),"Producer &amp; Engineer")</f>
        <v/>
      </c>
    </row>
    <row r="955">
      <c r="A955" s="28"/>
      <c r="B955" s="97"/>
      <c r="C955" s="121" t="str">
        <f t="array" ref="C955">ifs(and(isblank($A955),isblank($B955)),"", not(iserror(vlookup($A955&amp;$B955,'3) Release_Label'!$D:$D&amp;'3) Release_Label'!$E:$E,1,0))),vlookup($A955&amp;$B955,{'3) Release_Label'!$D:$D&amp;'3) Release_Label'!$E:$E,'3) Release_Label'!$F:$F},2,0), or(and(not(isblank($B955)),$B955=$B954,$A955&lt;&gt;$A954),and(not(isblank($A955)),$A955=$A954,$B955&lt;&gt;$B954)),"ID LISTS UNALIGNED",and($A955&lt;&gt;"",countif('3) Release_Label'!$D:$D,$A955)=0),"NO UPC MATCH in Release_Label",and($B955&lt;&gt;"",countif('3) Release_Label'!$E:$E,$B955)=0),"NO CATALOG ID MATCH in Release_Label",iserror(vlookup($A955&amp;$B955,'3) Release_Label'!$D:$D&amp;'3) Release_Label'!$E:$E,1,0)),"NO UPC-CATALOG ID pair MATCH in Release_Label" )</f>
        <v/>
      </c>
      <c r="D955" s="121" t="str">
        <f t="array" ref="D955">ifs(and(isblank($A955),isblank($B955)),"", not(iserror(vlookup($A955&amp;$B955,'3) Release_Label'!$D:$D&amp;'3) Release_Label'!$E:$E,1,0))),vlookup($A955&amp;$B955,{'3) Release_Label'!$D:$D&amp;'3) Release_Label'!$E:$E,'3) Release_Label'!$H:$H},2,0), or(and(not(isblank($B955)),$B955=$B954,$A955&lt;&gt;$A954),and(not(isblank($A955)),$A955=$A954,$B955&lt;&gt;$B954)),"ID LISTS UNALIGNED",and($A955&lt;&gt;"",countif('3) Release_Label'!$D:$D,$A955)=0),"NO UPC MATCH in Release_Label",and($B955&lt;&gt;"",countif('3) Release_Label'!$E:$E,$B955)=0),"NO CATALOG ID MATCH in Release_Label",iserror(vlookup($A955&amp;$B955,'3) Release_Label'!$D:$D&amp;'3) Release_Label'!$E:$E,1,0)),"NO UPC-CATALOG ID pair MATCH in Release_Label" )</f>
        <v/>
      </c>
      <c r="E955" s="92"/>
      <c r="F955" s="92"/>
      <c r="G955" s="125" t="str">
        <f t="array" ref="G955">ifs(or($F955="",$F955="Main Primary Artist"),$F955,not(iserror(vlookup($F955,'Reference info'!$J$5:$J$8,1,0))),"Key Artist",not(iserror(vlookup($F955,'Reference info'!$J$38:$J$405,1,0))),"Performer",not(iserror(vlookup($F955,'Reference info'!$J$10:$J$36,1,0))),"Producer &amp; Engineer")</f>
        <v/>
      </c>
    </row>
    <row r="956">
      <c r="A956" s="28"/>
      <c r="B956" s="97"/>
      <c r="C956" s="121" t="str">
        <f t="array" ref="C956">ifs(and(isblank($A956),isblank($B956)),"", not(iserror(vlookup($A956&amp;$B956,'3) Release_Label'!$D:$D&amp;'3) Release_Label'!$E:$E,1,0))),vlookup($A956&amp;$B956,{'3) Release_Label'!$D:$D&amp;'3) Release_Label'!$E:$E,'3) Release_Label'!$F:$F},2,0), or(and(not(isblank($B956)),$B956=$B955,$A956&lt;&gt;$A955),and(not(isblank($A956)),$A956=$A955,$B956&lt;&gt;$B955)),"ID LISTS UNALIGNED",and($A956&lt;&gt;"",countif('3) Release_Label'!$D:$D,$A956)=0),"NO UPC MATCH in Release_Label",and($B956&lt;&gt;"",countif('3) Release_Label'!$E:$E,$B956)=0),"NO CATALOG ID MATCH in Release_Label",iserror(vlookup($A956&amp;$B956,'3) Release_Label'!$D:$D&amp;'3) Release_Label'!$E:$E,1,0)),"NO UPC-CATALOG ID pair MATCH in Release_Label" )</f>
        <v/>
      </c>
      <c r="D956" s="121" t="str">
        <f t="array" ref="D956">ifs(and(isblank($A956),isblank($B956)),"", not(iserror(vlookup($A956&amp;$B956,'3) Release_Label'!$D:$D&amp;'3) Release_Label'!$E:$E,1,0))),vlookup($A956&amp;$B956,{'3) Release_Label'!$D:$D&amp;'3) Release_Label'!$E:$E,'3) Release_Label'!$H:$H},2,0), or(and(not(isblank($B956)),$B956=$B955,$A956&lt;&gt;$A955),and(not(isblank($A956)),$A956=$A955,$B956&lt;&gt;$B955)),"ID LISTS UNALIGNED",and($A956&lt;&gt;"",countif('3) Release_Label'!$D:$D,$A956)=0),"NO UPC MATCH in Release_Label",and($B956&lt;&gt;"",countif('3) Release_Label'!$E:$E,$B956)=0),"NO CATALOG ID MATCH in Release_Label",iserror(vlookup($A956&amp;$B956,'3) Release_Label'!$D:$D&amp;'3) Release_Label'!$E:$E,1,0)),"NO UPC-CATALOG ID pair MATCH in Release_Label" )</f>
        <v/>
      </c>
      <c r="E956" s="92"/>
      <c r="F956" s="92"/>
      <c r="G956" s="125" t="str">
        <f t="array" ref="G956">ifs(or($F956="",$F956="Main Primary Artist"),$F956,not(iserror(vlookup($F956,'Reference info'!$J$5:$J$8,1,0))),"Key Artist",not(iserror(vlookup($F956,'Reference info'!$J$38:$J$405,1,0))),"Performer",not(iserror(vlookup($F956,'Reference info'!$J$10:$J$36,1,0))),"Producer &amp; Engineer")</f>
        <v/>
      </c>
    </row>
    <row r="957">
      <c r="A957" s="28"/>
      <c r="B957" s="97"/>
      <c r="C957" s="121" t="str">
        <f t="array" ref="C957">ifs(and(isblank($A957),isblank($B957)),"", not(iserror(vlookup($A957&amp;$B957,'3) Release_Label'!$D:$D&amp;'3) Release_Label'!$E:$E,1,0))),vlookup($A957&amp;$B957,{'3) Release_Label'!$D:$D&amp;'3) Release_Label'!$E:$E,'3) Release_Label'!$F:$F},2,0), or(and(not(isblank($B957)),$B957=$B956,$A957&lt;&gt;$A956),and(not(isblank($A957)),$A957=$A956,$B957&lt;&gt;$B956)),"ID LISTS UNALIGNED",and($A957&lt;&gt;"",countif('3) Release_Label'!$D:$D,$A957)=0),"NO UPC MATCH in Release_Label",and($B957&lt;&gt;"",countif('3) Release_Label'!$E:$E,$B957)=0),"NO CATALOG ID MATCH in Release_Label",iserror(vlookup($A957&amp;$B957,'3) Release_Label'!$D:$D&amp;'3) Release_Label'!$E:$E,1,0)),"NO UPC-CATALOG ID pair MATCH in Release_Label" )</f>
        <v/>
      </c>
      <c r="D957" s="121" t="str">
        <f t="array" ref="D957">ifs(and(isblank($A957),isblank($B957)),"", not(iserror(vlookup($A957&amp;$B957,'3) Release_Label'!$D:$D&amp;'3) Release_Label'!$E:$E,1,0))),vlookup($A957&amp;$B957,{'3) Release_Label'!$D:$D&amp;'3) Release_Label'!$E:$E,'3) Release_Label'!$H:$H},2,0), or(and(not(isblank($B957)),$B957=$B956,$A957&lt;&gt;$A956),and(not(isblank($A957)),$A957=$A956,$B957&lt;&gt;$B956)),"ID LISTS UNALIGNED",and($A957&lt;&gt;"",countif('3) Release_Label'!$D:$D,$A957)=0),"NO UPC MATCH in Release_Label",and($B957&lt;&gt;"",countif('3) Release_Label'!$E:$E,$B957)=0),"NO CATALOG ID MATCH in Release_Label",iserror(vlookup($A957&amp;$B957,'3) Release_Label'!$D:$D&amp;'3) Release_Label'!$E:$E,1,0)),"NO UPC-CATALOG ID pair MATCH in Release_Label" )</f>
        <v/>
      </c>
      <c r="E957" s="92"/>
      <c r="F957" s="92"/>
      <c r="G957" s="125" t="str">
        <f t="array" ref="G957">ifs(or($F957="",$F957="Main Primary Artist"),$F957,not(iserror(vlookup($F957,'Reference info'!$J$5:$J$8,1,0))),"Key Artist",not(iserror(vlookup($F957,'Reference info'!$J$38:$J$405,1,0))),"Performer",not(iserror(vlookup($F957,'Reference info'!$J$10:$J$36,1,0))),"Producer &amp; Engineer")</f>
        <v/>
      </c>
    </row>
    <row r="958">
      <c r="A958" s="28"/>
      <c r="B958" s="97"/>
      <c r="C958" s="121" t="str">
        <f t="array" ref="C958">ifs(and(isblank($A958),isblank($B958)),"", not(iserror(vlookup($A958&amp;$B958,'3) Release_Label'!$D:$D&amp;'3) Release_Label'!$E:$E,1,0))),vlookup($A958&amp;$B958,{'3) Release_Label'!$D:$D&amp;'3) Release_Label'!$E:$E,'3) Release_Label'!$F:$F},2,0), or(and(not(isblank($B958)),$B958=$B957,$A958&lt;&gt;$A957),and(not(isblank($A958)),$A958=$A957,$B958&lt;&gt;$B957)),"ID LISTS UNALIGNED",and($A958&lt;&gt;"",countif('3) Release_Label'!$D:$D,$A958)=0),"NO UPC MATCH in Release_Label",and($B958&lt;&gt;"",countif('3) Release_Label'!$E:$E,$B958)=0),"NO CATALOG ID MATCH in Release_Label",iserror(vlookup($A958&amp;$B958,'3) Release_Label'!$D:$D&amp;'3) Release_Label'!$E:$E,1,0)),"NO UPC-CATALOG ID pair MATCH in Release_Label" )</f>
        <v/>
      </c>
      <c r="D958" s="121" t="str">
        <f t="array" ref="D958">ifs(and(isblank($A958),isblank($B958)),"", not(iserror(vlookup($A958&amp;$B958,'3) Release_Label'!$D:$D&amp;'3) Release_Label'!$E:$E,1,0))),vlookup($A958&amp;$B958,{'3) Release_Label'!$D:$D&amp;'3) Release_Label'!$E:$E,'3) Release_Label'!$H:$H},2,0), or(and(not(isblank($B958)),$B958=$B957,$A958&lt;&gt;$A957),and(not(isblank($A958)),$A958=$A957,$B958&lt;&gt;$B957)),"ID LISTS UNALIGNED",and($A958&lt;&gt;"",countif('3) Release_Label'!$D:$D,$A958)=0),"NO UPC MATCH in Release_Label",and($B958&lt;&gt;"",countif('3) Release_Label'!$E:$E,$B958)=0),"NO CATALOG ID MATCH in Release_Label",iserror(vlookup($A958&amp;$B958,'3) Release_Label'!$D:$D&amp;'3) Release_Label'!$E:$E,1,0)),"NO UPC-CATALOG ID pair MATCH in Release_Label" )</f>
        <v/>
      </c>
      <c r="E958" s="92"/>
      <c r="F958" s="92"/>
      <c r="G958" s="125" t="str">
        <f t="array" ref="G958">ifs(or($F958="",$F958="Main Primary Artist"),$F958,not(iserror(vlookup($F958,'Reference info'!$J$5:$J$8,1,0))),"Key Artist",not(iserror(vlookup($F958,'Reference info'!$J$38:$J$405,1,0))),"Performer",not(iserror(vlookup($F958,'Reference info'!$J$10:$J$36,1,0))),"Producer &amp; Engineer")</f>
        <v/>
      </c>
    </row>
    <row r="959">
      <c r="A959" s="28"/>
      <c r="B959" s="97"/>
      <c r="C959" s="121" t="str">
        <f t="array" ref="C959">ifs(and(isblank($A959),isblank($B959)),"", not(iserror(vlookup($A959&amp;$B959,'3) Release_Label'!$D:$D&amp;'3) Release_Label'!$E:$E,1,0))),vlookup($A959&amp;$B959,{'3) Release_Label'!$D:$D&amp;'3) Release_Label'!$E:$E,'3) Release_Label'!$F:$F},2,0), or(and(not(isblank($B959)),$B959=$B958,$A959&lt;&gt;$A958),and(not(isblank($A959)),$A959=$A958,$B959&lt;&gt;$B958)),"ID LISTS UNALIGNED",and($A959&lt;&gt;"",countif('3) Release_Label'!$D:$D,$A959)=0),"NO UPC MATCH in Release_Label",and($B959&lt;&gt;"",countif('3) Release_Label'!$E:$E,$B959)=0),"NO CATALOG ID MATCH in Release_Label",iserror(vlookup($A959&amp;$B959,'3) Release_Label'!$D:$D&amp;'3) Release_Label'!$E:$E,1,0)),"NO UPC-CATALOG ID pair MATCH in Release_Label" )</f>
        <v/>
      </c>
      <c r="D959" s="121" t="str">
        <f t="array" ref="D959">ifs(and(isblank($A959),isblank($B959)),"", not(iserror(vlookup($A959&amp;$B959,'3) Release_Label'!$D:$D&amp;'3) Release_Label'!$E:$E,1,0))),vlookup($A959&amp;$B959,{'3) Release_Label'!$D:$D&amp;'3) Release_Label'!$E:$E,'3) Release_Label'!$H:$H},2,0), or(and(not(isblank($B959)),$B959=$B958,$A959&lt;&gt;$A958),and(not(isblank($A959)),$A959=$A958,$B959&lt;&gt;$B958)),"ID LISTS UNALIGNED",and($A959&lt;&gt;"",countif('3) Release_Label'!$D:$D,$A959)=0),"NO UPC MATCH in Release_Label",and($B959&lt;&gt;"",countif('3) Release_Label'!$E:$E,$B959)=0),"NO CATALOG ID MATCH in Release_Label",iserror(vlookup($A959&amp;$B959,'3) Release_Label'!$D:$D&amp;'3) Release_Label'!$E:$E,1,0)),"NO UPC-CATALOG ID pair MATCH in Release_Label" )</f>
        <v/>
      </c>
      <c r="E959" s="92"/>
      <c r="F959" s="92"/>
      <c r="G959" s="125" t="str">
        <f t="array" ref="G959">ifs(or($F959="",$F959="Main Primary Artist"),$F959,not(iserror(vlookup($F959,'Reference info'!$J$5:$J$8,1,0))),"Key Artist",not(iserror(vlookup($F959,'Reference info'!$J$38:$J$405,1,0))),"Performer",not(iserror(vlookup($F959,'Reference info'!$J$10:$J$36,1,0))),"Producer &amp; Engineer")</f>
        <v/>
      </c>
    </row>
    <row r="960">
      <c r="A960" s="28"/>
      <c r="B960" s="97"/>
      <c r="C960" s="121" t="str">
        <f t="array" ref="C960">ifs(and(isblank($A960),isblank($B960)),"", not(iserror(vlookup($A960&amp;$B960,'3) Release_Label'!$D:$D&amp;'3) Release_Label'!$E:$E,1,0))),vlookup($A960&amp;$B960,{'3) Release_Label'!$D:$D&amp;'3) Release_Label'!$E:$E,'3) Release_Label'!$F:$F},2,0), or(and(not(isblank($B960)),$B960=$B959,$A960&lt;&gt;$A959),and(not(isblank($A960)),$A960=$A959,$B960&lt;&gt;$B959)),"ID LISTS UNALIGNED",and($A960&lt;&gt;"",countif('3) Release_Label'!$D:$D,$A960)=0),"NO UPC MATCH in Release_Label",and($B960&lt;&gt;"",countif('3) Release_Label'!$E:$E,$B960)=0),"NO CATALOG ID MATCH in Release_Label",iserror(vlookup($A960&amp;$B960,'3) Release_Label'!$D:$D&amp;'3) Release_Label'!$E:$E,1,0)),"NO UPC-CATALOG ID pair MATCH in Release_Label" )</f>
        <v/>
      </c>
      <c r="D960" s="121" t="str">
        <f t="array" ref="D960">ifs(and(isblank($A960),isblank($B960)),"", not(iserror(vlookup($A960&amp;$B960,'3) Release_Label'!$D:$D&amp;'3) Release_Label'!$E:$E,1,0))),vlookup($A960&amp;$B960,{'3) Release_Label'!$D:$D&amp;'3) Release_Label'!$E:$E,'3) Release_Label'!$H:$H},2,0), or(and(not(isblank($B960)),$B960=$B959,$A960&lt;&gt;$A959),and(not(isblank($A960)),$A960=$A959,$B960&lt;&gt;$B959)),"ID LISTS UNALIGNED",and($A960&lt;&gt;"",countif('3) Release_Label'!$D:$D,$A960)=0),"NO UPC MATCH in Release_Label",and($B960&lt;&gt;"",countif('3) Release_Label'!$E:$E,$B960)=0),"NO CATALOG ID MATCH in Release_Label",iserror(vlookup($A960&amp;$B960,'3) Release_Label'!$D:$D&amp;'3) Release_Label'!$E:$E,1,0)),"NO UPC-CATALOG ID pair MATCH in Release_Label" )</f>
        <v/>
      </c>
      <c r="E960" s="92"/>
      <c r="F960" s="92"/>
      <c r="G960" s="125" t="str">
        <f t="array" ref="G960">ifs(or($F960="",$F960="Main Primary Artist"),$F960,not(iserror(vlookup($F960,'Reference info'!$J$5:$J$8,1,0))),"Key Artist",not(iserror(vlookup($F960,'Reference info'!$J$38:$J$405,1,0))),"Performer",not(iserror(vlookup($F960,'Reference info'!$J$10:$J$36,1,0))),"Producer &amp; Engineer")</f>
        <v/>
      </c>
    </row>
    <row r="961">
      <c r="A961" s="28"/>
      <c r="B961" s="97"/>
      <c r="C961" s="121" t="str">
        <f t="array" ref="C961">ifs(and(isblank($A961),isblank($B961)),"", not(iserror(vlookup($A961&amp;$B961,'3) Release_Label'!$D:$D&amp;'3) Release_Label'!$E:$E,1,0))),vlookup($A961&amp;$B961,{'3) Release_Label'!$D:$D&amp;'3) Release_Label'!$E:$E,'3) Release_Label'!$F:$F},2,0), or(and(not(isblank($B961)),$B961=$B960,$A961&lt;&gt;$A960),and(not(isblank($A961)),$A961=$A960,$B961&lt;&gt;$B960)),"ID LISTS UNALIGNED",and($A961&lt;&gt;"",countif('3) Release_Label'!$D:$D,$A961)=0),"NO UPC MATCH in Release_Label",and($B961&lt;&gt;"",countif('3) Release_Label'!$E:$E,$B961)=0),"NO CATALOG ID MATCH in Release_Label",iserror(vlookup($A961&amp;$B961,'3) Release_Label'!$D:$D&amp;'3) Release_Label'!$E:$E,1,0)),"NO UPC-CATALOG ID pair MATCH in Release_Label" )</f>
        <v/>
      </c>
      <c r="D961" s="121" t="str">
        <f t="array" ref="D961">ifs(and(isblank($A961),isblank($B961)),"", not(iserror(vlookup($A961&amp;$B961,'3) Release_Label'!$D:$D&amp;'3) Release_Label'!$E:$E,1,0))),vlookup($A961&amp;$B961,{'3) Release_Label'!$D:$D&amp;'3) Release_Label'!$E:$E,'3) Release_Label'!$H:$H},2,0), or(and(not(isblank($B961)),$B961=$B960,$A961&lt;&gt;$A960),and(not(isblank($A961)),$A961=$A960,$B961&lt;&gt;$B960)),"ID LISTS UNALIGNED",and($A961&lt;&gt;"",countif('3) Release_Label'!$D:$D,$A961)=0),"NO UPC MATCH in Release_Label",and($B961&lt;&gt;"",countif('3) Release_Label'!$E:$E,$B961)=0),"NO CATALOG ID MATCH in Release_Label",iserror(vlookup($A961&amp;$B961,'3) Release_Label'!$D:$D&amp;'3) Release_Label'!$E:$E,1,0)),"NO UPC-CATALOG ID pair MATCH in Release_Label" )</f>
        <v/>
      </c>
      <c r="E961" s="92"/>
      <c r="F961" s="92"/>
      <c r="G961" s="125" t="str">
        <f t="array" ref="G961">ifs(or($F961="",$F961="Main Primary Artist"),$F961,not(iserror(vlookup($F961,'Reference info'!$J$5:$J$8,1,0))),"Key Artist",not(iserror(vlookup($F961,'Reference info'!$J$38:$J$405,1,0))),"Performer",not(iserror(vlookup($F961,'Reference info'!$J$10:$J$36,1,0))),"Producer &amp; Engineer")</f>
        <v/>
      </c>
    </row>
    <row r="962">
      <c r="A962" s="28"/>
      <c r="B962" s="97"/>
      <c r="C962" s="121" t="str">
        <f t="array" ref="C962">ifs(and(isblank($A962),isblank($B962)),"", not(iserror(vlookup($A962&amp;$B962,'3) Release_Label'!$D:$D&amp;'3) Release_Label'!$E:$E,1,0))),vlookup($A962&amp;$B962,{'3) Release_Label'!$D:$D&amp;'3) Release_Label'!$E:$E,'3) Release_Label'!$F:$F},2,0), or(and(not(isblank($B962)),$B962=$B961,$A962&lt;&gt;$A961),and(not(isblank($A962)),$A962=$A961,$B962&lt;&gt;$B961)),"ID LISTS UNALIGNED",and($A962&lt;&gt;"",countif('3) Release_Label'!$D:$D,$A962)=0),"NO UPC MATCH in Release_Label",and($B962&lt;&gt;"",countif('3) Release_Label'!$E:$E,$B962)=0),"NO CATALOG ID MATCH in Release_Label",iserror(vlookup($A962&amp;$B962,'3) Release_Label'!$D:$D&amp;'3) Release_Label'!$E:$E,1,0)),"NO UPC-CATALOG ID pair MATCH in Release_Label" )</f>
        <v/>
      </c>
      <c r="D962" s="121" t="str">
        <f t="array" ref="D962">ifs(and(isblank($A962),isblank($B962)),"", not(iserror(vlookup($A962&amp;$B962,'3) Release_Label'!$D:$D&amp;'3) Release_Label'!$E:$E,1,0))),vlookup($A962&amp;$B962,{'3) Release_Label'!$D:$D&amp;'3) Release_Label'!$E:$E,'3) Release_Label'!$H:$H},2,0), or(and(not(isblank($B962)),$B962=$B961,$A962&lt;&gt;$A961),and(not(isblank($A962)),$A962=$A961,$B962&lt;&gt;$B961)),"ID LISTS UNALIGNED",and($A962&lt;&gt;"",countif('3) Release_Label'!$D:$D,$A962)=0),"NO UPC MATCH in Release_Label",and($B962&lt;&gt;"",countif('3) Release_Label'!$E:$E,$B962)=0),"NO CATALOG ID MATCH in Release_Label",iserror(vlookup($A962&amp;$B962,'3) Release_Label'!$D:$D&amp;'3) Release_Label'!$E:$E,1,0)),"NO UPC-CATALOG ID pair MATCH in Release_Label" )</f>
        <v/>
      </c>
      <c r="E962" s="92"/>
      <c r="F962" s="92"/>
      <c r="G962" s="125" t="str">
        <f t="array" ref="G962">ifs(or($F962="",$F962="Main Primary Artist"),$F962,not(iserror(vlookup($F962,'Reference info'!$J$5:$J$8,1,0))),"Key Artist",not(iserror(vlookup($F962,'Reference info'!$J$38:$J$405,1,0))),"Performer",not(iserror(vlookup($F962,'Reference info'!$J$10:$J$36,1,0))),"Producer &amp; Engineer")</f>
        <v/>
      </c>
    </row>
    <row r="963">
      <c r="A963" s="28"/>
      <c r="B963" s="97"/>
      <c r="C963" s="121" t="str">
        <f t="array" ref="C963">ifs(and(isblank($A963),isblank($B963)),"", not(iserror(vlookup($A963&amp;$B963,'3) Release_Label'!$D:$D&amp;'3) Release_Label'!$E:$E,1,0))),vlookup($A963&amp;$B963,{'3) Release_Label'!$D:$D&amp;'3) Release_Label'!$E:$E,'3) Release_Label'!$F:$F},2,0), or(and(not(isblank($B963)),$B963=$B962,$A963&lt;&gt;$A962),and(not(isblank($A963)),$A963=$A962,$B963&lt;&gt;$B962)),"ID LISTS UNALIGNED",and($A963&lt;&gt;"",countif('3) Release_Label'!$D:$D,$A963)=0),"NO UPC MATCH in Release_Label",and($B963&lt;&gt;"",countif('3) Release_Label'!$E:$E,$B963)=0),"NO CATALOG ID MATCH in Release_Label",iserror(vlookup($A963&amp;$B963,'3) Release_Label'!$D:$D&amp;'3) Release_Label'!$E:$E,1,0)),"NO UPC-CATALOG ID pair MATCH in Release_Label" )</f>
        <v/>
      </c>
      <c r="D963" s="121" t="str">
        <f t="array" ref="D963">ifs(and(isblank($A963),isblank($B963)),"", not(iserror(vlookup($A963&amp;$B963,'3) Release_Label'!$D:$D&amp;'3) Release_Label'!$E:$E,1,0))),vlookup($A963&amp;$B963,{'3) Release_Label'!$D:$D&amp;'3) Release_Label'!$E:$E,'3) Release_Label'!$H:$H},2,0), or(and(not(isblank($B963)),$B963=$B962,$A963&lt;&gt;$A962),and(not(isblank($A963)),$A963=$A962,$B963&lt;&gt;$B962)),"ID LISTS UNALIGNED",and($A963&lt;&gt;"",countif('3) Release_Label'!$D:$D,$A963)=0),"NO UPC MATCH in Release_Label",and($B963&lt;&gt;"",countif('3) Release_Label'!$E:$E,$B963)=0),"NO CATALOG ID MATCH in Release_Label",iserror(vlookup($A963&amp;$B963,'3) Release_Label'!$D:$D&amp;'3) Release_Label'!$E:$E,1,0)),"NO UPC-CATALOG ID pair MATCH in Release_Label" )</f>
        <v/>
      </c>
      <c r="E963" s="92"/>
      <c r="F963" s="92"/>
      <c r="G963" s="125" t="str">
        <f t="array" ref="G963">ifs(or($F963="",$F963="Main Primary Artist"),$F963,not(iserror(vlookup($F963,'Reference info'!$J$5:$J$8,1,0))),"Key Artist",not(iserror(vlookup($F963,'Reference info'!$J$38:$J$405,1,0))),"Performer",not(iserror(vlookup($F963,'Reference info'!$J$10:$J$36,1,0))),"Producer &amp; Engineer")</f>
        <v/>
      </c>
    </row>
    <row r="964">
      <c r="A964" s="28"/>
      <c r="B964" s="97"/>
      <c r="C964" s="121" t="str">
        <f t="array" ref="C964">ifs(and(isblank($A964),isblank($B964)),"", not(iserror(vlookup($A964&amp;$B964,'3) Release_Label'!$D:$D&amp;'3) Release_Label'!$E:$E,1,0))),vlookup($A964&amp;$B964,{'3) Release_Label'!$D:$D&amp;'3) Release_Label'!$E:$E,'3) Release_Label'!$F:$F},2,0), or(and(not(isblank($B964)),$B964=$B963,$A964&lt;&gt;$A963),and(not(isblank($A964)),$A964=$A963,$B964&lt;&gt;$B963)),"ID LISTS UNALIGNED",and($A964&lt;&gt;"",countif('3) Release_Label'!$D:$D,$A964)=0),"NO UPC MATCH in Release_Label",and($B964&lt;&gt;"",countif('3) Release_Label'!$E:$E,$B964)=0),"NO CATALOG ID MATCH in Release_Label",iserror(vlookup($A964&amp;$B964,'3) Release_Label'!$D:$D&amp;'3) Release_Label'!$E:$E,1,0)),"NO UPC-CATALOG ID pair MATCH in Release_Label" )</f>
        <v/>
      </c>
      <c r="D964" s="121" t="str">
        <f t="array" ref="D964">ifs(and(isblank($A964),isblank($B964)),"", not(iserror(vlookup($A964&amp;$B964,'3) Release_Label'!$D:$D&amp;'3) Release_Label'!$E:$E,1,0))),vlookup($A964&amp;$B964,{'3) Release_Label'!$D:$D&amp;'3) Release_Label'!$E:$E,'3) Release_Label'!$H:$H},2,0), or(and(not(isblank($B964)),$B964=$B963,$A964&lt;&gt;$A963),and(not(isblank($A964)),$A964=$A963,$B964&lt;&gt;$B963)),"ID LISTS UNALIGNED",and($A964&lt;&gt;"",countif('3) Release_Label'!$D:$D,$A964)=0),"NO UPC MATCH in Release_Label",and($B964&lt;&gt;"",countif('3) Release_Label'!$E:$E,$B964)=0),"NO CATALOG ID MATCH in Release_Label",iserror(vlookup($A964&amp;$B964,'3) Release_Label'!$D:$D&amp;'3) Release_Label'!$E:$E,1,0)),"NO UPC-CATALOG ID pair MATCH in Release_Label" )</f>
        <v/>
      </c>
      <c r="E964" s="92"/>
      <c r="F964" s="92"/>
      <c r="G964" s="125" t="str">
        <f t="array" ref="G964">ifs(or($F964="",$F964="Main Primary Artist"),$F964,not(iserror(vlookup($F964,'Reference info'!$J$5:$J$8,1,0))),"Key Artist",not(iserror(vlookup($F964,'Reference info'!$J$38:$J$405,1,0))),"Performer",not(iserror(vlookup($F964,'Reference info'!$J$10:$J$36,1,0))),"Producer &amp; Engineer")</f>
        <v/>
      </c>
    </row>
    <row r="965">
      <c r="A965" s="28"/>
      <c r="B965" s="97"/>
      <c r="C965" s="121" t="str">
        <f t="array" ref="C965">ifs(and(isblank($A965),isblank($B965)),"", not(iserror(vlookup($A965&amp;$B965,'3) Release_Label'!$D:$D&amp;'3) Release_Label'!$E:$E,1,0))),vlookup($A965&amp;$B965,{'3) Release_Label'!$D:$D&amp;'3) Release_Label'!$E:$E,'3) Release_Label'!$F:$F},2,0), or(and(not(isblank($B965)),$B965=$B964,$A965&lt;&gt;$A964),and(not(isblank($A965)),$A965=$A964,$B965&lt;&gt;$B964)),"ID LISTS UNALIGNED",and($A965&lt;&gt;"",countif('3) Release_Label'!$D:$D,$A965)=0),"NO UPC MATCH in Release_Label",and($B965&lt;&gt;"",countif('3) Release_Label'!$E:$E,$B965)=0),"NO CATALOG ID MATCH in Release_Label",iserror(vlookup($A965&amp;$B965,'3) Release_Label'!$D:$D&amp;'3) Release_Label'!$E:$E,1,0)),"NO UPC-CATALOG ID pair MATCH in Release_Label" )</f>
        <v/>
      </c>
      <c r="D965" s="121" t="str">
        <f t="array" ref="D965">ifs(and(isblank($A965),isblank($B965)),"", not(iserror(vlookup($A965&amp;$B965,'3) Release_Label'!$D:$D&amp;'3) Release_Label'!$E:$E,1,0))),vlookup($A965&amp;$B965,{'3) Release_Label'!$D:$D&amp;'3) Release_Label'!$E:$E,'3) Release_Label'!$H:$H},2,0), or(and(not(isblank($B965)),$B965=$B964,$A965&lt;&gt;$A964),and(not(isblank($A965)),$A965=$A964,$B965&lt;&gt;$B964)),"ID LISTS UNALIGNED",and($A965&lt;&gt;"",countif('3) Release_Label'!$D:$D,$A965)=0),"NO UPC MATCH in Release_Label",and($B965&lt;&gt;"",countif('3) Release_Label'!$E:$E,$B965)=0),"NO CATALOG ID MATCH in Release_Label",iserror(vlookup($A965&amp;$B965,'3) Release_Label'!$D:$D&amp;'3) Release_Label'!$E:$E,1,0)),"NO UPC-CATALOG ID pair MATCH in Release_Label" )</f>
        <v/>
      </c>
      <c r="E965" s="92"/>
      <c r="F965" s="92"/>
      <c r="G965" s="125" t="str">
        <f t="array" ref="G965">ifs(or($F965="",$F965="Main Primary Artist"),$F965,not(iserror(vlookup($F965,'Reference info'!$J$5:$J$8,1,0))),"Key Artist",not(iserror(vlookup($F965,'Reference info'!$J$38:$J$405,1,0))),"Performer",not(iserror(vlookup($F965,'Reference info'!$J$10:$J$36,1,0))),"Producer &amp; Engineer")</f>
        <v/>
      </c>
    </row>
    <row r="966">
      <c r="A966" s="28"/>
      <c r="B966" s="97"/>
      <c r="C966" s="121" t="str">
        <f t="array" ref="C966">ifs(and(isblank($A966),isblank($B966)),"", not(iserror(vlookup($A966&amp;$B966,'3) Release_Label'!$D:$D&amp;'3) Release_Label'!$E:$E,1,0))),vlookup($A966&amp;$B966,{'3) Release_Label'!$D:$D&amp;'3) Release_Label'!$E:$E,'3) Release_Label'!$F:$F},2,0), or(and(not(isblank($B966)),$B966=$B965,$A966&lt;&gt;$A965),and(not(isblank($A966)),$A966=$A965,$B966&lt;&gt;$B965)),"ID LISTS UNALIGNED",and($A966&lt;&gt;"",countif('3) Release_Label'!$D:$D,$A966)=0),"NO UPC MATCH in Release_Label",and($B966&lt;&gt;"",countif('3) Release_Label'!$E:$E,$B966)=0),"NO CATALOG ID MATCH in Release_Label",iserror(vlookup($A966&amp;$B966,'3) Release_Label'!$D:$D&amp;'3) Release_Label'!$E:$E,1,0)),"NO UPC-CATALOG ID pair MATCH in Release_Label" )</f>
        <v/>
      </c>
      <c r="D966" s="121" t="str">
        <f t="array" ref="D966">ifs(and(isblank($A966),isblank($B966)),"", not(iserror(vlookup($A966&amp;$B966,'3) Release_Label'!$D:$D&amp;'3) Release_Label'!$E:$E,1,0))),vlookup($A966&amp;$B966,{'3) Release_Label'!$D:$D&amp;'3) Release_Label'!$E:$E,'3) Release_Label'!$H:$H},2,0), or(and(not(isblank($B966)),$B966=$B965,$A966&lt;&gt;$A965),and(not(isblank($A966)),$A966=$A965,$B966&lt;&gt;$B965)),"ID LISTS UNALIGNED",and($A966&lt;&gt;"",countif('3) Release_Label'!$D:$D,$A966)=0),"NO UPC MATCH in Release_Label",and($B966&lt;&gt;"",countif('3) Release_Label'!$E:$E,$B966)=0),"NO CATALOG ID MATCH in Release_Label",iserror(vlookup($A966&amp;$B966,'3) Release_Label'!$D:$D&amp;'3) Release_Label'!$E:$E,1,0)),"NO UPC-CATALOG ID pair MATCH in Release_Label" )</f>
        <v/>
      </c>
      <c r="E966" s="92"/>
      <c r="F966" s="92"/>
      <c r="G966" s="125" t="str">
        <f t="array" ref="G966">ifs(or($F966="",$F966="Main Primary Artist"),$F966,not(iserror(vlookup($F966,'Reference info'!$J$5:$J$8,1,0))),"Key Artist",not(iserror(vlookup($F966,'Reference info'!$J$38:$J$405,1,0))),"Performer",not(iserror(vlookup($F966,'Reference info'!$J$10:$J$36,1,0))),"Producer &amp; Engineer")</f>
        <v/>
      </c>
    </row>
    <row r="967">
      <c r="A967" s="28"/>
      <c r="B967" s="97"/>
      <c r="C967" s="121" t="str">
        <f t="array" ref="C967">ifs(and(isblank($A967),isblank($B967)),"", not(iserror(vlookup($A967&amp;$B967,'3) Release_Label'!$D:$D&amp;'3) Release_Label'!$E:$E,1,0))),vlookup($A967&amp;$B967,{'3) Release_Label'!$D:$D&amp;'3) Release_Label'!$E:$E,'3) Release_Label'!$F:$F},2,0), or(and(not(isblank($B967)),$B967=$B966,$A967&lt;&gt;$A966),and(not(isblank($A967)),$A967=$A966,$B967&lt;&gt;$B966)),"ID LISTS UNALIGNED",and($A967&lt;&gt;"",countif('3) Release_Label'!$D:$D,$A967)=0),"NO UPC MATCH in Release_Label",and($B967&lt;&gt;"",countif('3) Release_Label'!$E:$E,$B967)=0),"NO CATALOG ID MATCH in Release_Label",iserror(vlookup($A967&amp;$B967,'3) Release_Label'!$D:$D&amp;'3) Release_Label'!$E:$E,1,0)),"NO UPC-CATALOG ID pair MATCH in Release_Label" )</f>
        <v/>
      </c>
      <c r="D967" s="121" t="str">
        <f t="array" ref="D967">ifs(and(isblank($A967),isblank($B967)),"", not(iserror(vlookup($A967&amp;$B967,'3) Release_Label'!$D:$D&amp;'3) Release_Label'!$E:$E,1,0))),vlookup($A967&amp;$B967,{'3) Release_Label'!$D:$D&amp;'3) Release_Label'!$E:$E,'3) Release_Label'!$H:$H},2,0), or(and(not(isblank($B967)),$B967=$B966,$A967&lt;&gt;$A966),and(not(isblank($A967)),$A967=$A966,$B967&lt;&gt;$B966)),"ID LISTS UNALIGNED",and($A967&lt;&gt;"",countif('3) Release_Label'!$D:$D,$A967)=0),"NO UPC MATCH in Release_Label",and($B967&lt;&gt;"",countif('3) Release_Label'!$E:$E,$B967)=0),"NO CATALOG ID MATCH in Release_Label",iserror(vlookup($A967&amp;$B967,'3) Release_Label'!$D:$D&amp;'3) Release_Label'!$E:$E,1,0)),"NO UPC-CATALOG ID pair MATCH in Release_Label" )</f>
        <v/>
      </c>
      <c r="E967" s="92"/>
      <c r="F967" s="92"/>
      <c r="G967" s="125" t="str">
        <f t="array" ref="G967">ifs(or($F967="",$F967="Main Primary Artist"),$F967,not(iserror(vlookup($F967,'Reference info'!$J$5:$J$8,1,0))),"Key Artist",not(iserror(vlookup($F967,'Reference info'!$J$38:$J$405,1,0))),"Performer",not(iserror(vlookup($F967,'Reference info'!$J$10:$J$36,1,0))),"Producer &amp; Engineer")</f>
        <v/>
      </c>
    </row>
    <row r="968">
      <c r="A968" s="28"/>
      <c r="B968" s="97"/>
      <c r="C968" s="121" t="str">
        <f t="array" ref="C968">ifs(and(isblank($A968),isblank($B968)),"", not(iserror(vlookup($A968&amp;$B968,'3) Release_Label'!$D:$D&amp;'3) Release_Label'!$E:$E,1,0))),vlookup($A968&amp;$B968,{'3) Release_Label'!$D:$D&amp;'3) Release_Label'!$E:$E,'3) Release_Label'!$F:$F},2,0), or(and(not(isblank($B968)),$B968=$B967,$A968&lt;&gt;$A967),and(not(isblank($A968)),$A968=$A967,$B968&lt;&gt;$B967)),"ID LISTS UNALIGNED",and($A968&lt;&gt;"",countif('3) Release_Label'!$D:$D,$A968)=0),"NO UPC MATCH in Release_Label",and($B968&lt;&gt;"",countif('3) Release_Label'!$E:$E,$B968)=0),"NO CATALOG ID MATCH in Release_Label",iserror(vlookup($A968&amp;$B968,'3) Release_Label'!$D:$D&amp;'3) Release_Label'!$E:$E,1,0)),"NO UPC-CATALOG ID pair MATCH in Release_Label" )</f>
        <v/>
      </c>
      <c r="D968" s="121" t="str">
        <f t="array" ref="D968">ifs(and(isblank($A968),isblank($B968)),"", not(iserror(vlookup($A968&amp;$B968,'3) Release_Label'!$D:$D&amp;'3) Release_Label'!$E:$E,1,0))),vlookup($A968&amp;$B968,{'3) Release_Label'!$D:$D&amp;'3) Release_Label'!$E:$E,'3) Release_Label'!$H:$H},2,0), or(and(not(isblank($B968)),$B968=$B967,$A968&lt;&gt;$A967),and(not(isblank($A968)),$A968=$A967,$B968&lt;&gt;$B967)),"ID LISTS UNALIGNED",and($A968&lt;&gt;"",countif('3) Release_Label'!$D:$D,$A968)=0),"NO UPC MATCH in Release_Label",and($B968&lt;&gt;"",countif('3) Release_Label'!$E:$E,$B968)=0),"NO CATALOG ID MATCH in Release_Label",iserror(vlookup($A968&amp;$B968,'3) Release_Label'!$D:$D&amp;'3) Release_Label'!$E:$E,1,0)),"NO UPC-CATALOG ID pair MATCH in Release_Label" )</f>
        <v/>
      </c>
      <c r="E968" s="92"/>
      <c r="F968" s="92"/>
      <c r="G968" s="125" t="str">
        <f t="array" ref="G968">ifs(or($F968="",$F968="Main Primary Artist"),$F968,not(iserror(vlookup($F968,'Reference info'!$J$5:$J$8,1,0))),"Key Artist",not(iserror(vlookup($F968,'Reference info'!$J$38:$J$405,1,0))),"Performer",not(iserror(vlookup($F968,'Reference info'!$J$10:$J$36,1,0))),"Producer &amp; Engineer")</f>
        <v/>
      </c>
    </row>
    <row r="969">
      <c r="A969" s="28"/>
      <c r="B969" s="97"/>
      <c r="C969" s="121" t="str">
        <f t="array" ref="C969">ifs(and(isblank($A969),isblank($B969)),"", not(iserror(vlookup($A969&amp;$B969,'3) Release_Label'!$D:$D&amp;'3) Release_Label'!$E:$E,1,0))),vlookup($A969&amp;$B969,{'3) Release_Label'!$D:$D&amp;'3) Release_Label'!$E:$E,'3) Release_Label'!$F:$F},2,0), or(and(not(isblank($B969)),$B969=$B968,$A969&lt;&gt;$A968),and(not(isblank($A969)),$A969=$A968,$B969&lt;&gt;$B968)),"ID LISTS UNALIGNED",and($A969&lt;&gt;"",countif('3) Release_Label'!$D:$D,$A969)=0),"NO UPC MATCH in Release_Label",and($B969&lt;&gt;"",countif('3) Release_Label'!$E:$E,$B969)=0),"NO CATALOG ID MATCH in Release_Label",iserror(vlookup($A969&amp;$B969,'3) Release_Label'!$D:$D&amp;'3) Release_Label'!$E:$E,1,0)),"NO UPC-CATALOG ID pair MATCH in Release_Label" )</f>
        <v/>
      </c>
      <c r="D969" s="121" t="str">
        <f t="array" ref="D969">ifs(and(isblank($A969),isblank($B969)),"", not(iserror(vlookup($A969&amp;$B969,'3) Release_Label'!$D:$D&amp;'3) Release_Label'!$E:$E,1,0))),vlookup($A969&amp;$B969,{'3) Release_Label'!$D:$D&amp;'3) Release_Label'!$E:$E,'3) Release_Label'!$H:$H},2,0), or(and(not(isblank($B969)),$B969=$B968,$A969&lt;&gt;$A968),and(not(isblank($A969)),$A969=$A968,$B969&lt;&gt;$B968)),"ID LISTS UNALIGNED",and($A969&lt;&gt;"",countif('3) Release_Label'!$D:$D,$A969)=0),"NO UPC MATCH in Release_Label",and($B969&lt;&gt;"",countif('3) Release_Label'!$E:$E,$B969)=0),"NO CATALOG ID MATCH in Release_Label",iserror(vlookup($A969&amp;$B969,'3) Release_Label'!$D:$D&amp;'3) Release_Label'!$E:$E,1,0)),"NO UPC-CATALOG ID pair MATCH in Release_Label" )</f>
        <v/>
      </c>
      <c r="E969" s="92"/>
      <c r="F969" s="92"/>
      <c r="G969" s="125" t="str">
        <f t="array" ref="G969">ifs(or($F969="",$F969="Main Primary Artist"),$F969,not(iserror(vlookup($F969,'Reference info'!$J$5:$J$8,1,0))),"Key Artist",not(iserror(vlookup($F969,'Reference info'!$J$38:$J$405,1,0))),"Performer",not(iserror(vlookup($F969,'Reference info'!$J$10:$J$36,1,0))),"Producer &amp; Engineer")</f>
        <v/>
      </c>
    </row>
    <row r="970">
      <c r="A970" s="28"/>
      <c r="B970" s="97"/>
      <c r="C970" s="121" t="str">
        <f t="array" ref="C970">ifs(and(isblank($A970),isblank($B970)),"", not(iserror(vlookup($A970&amp;$B970,'3) Release_Label'!$D:$D&amp;'3) Release_Label'!$E:$E,1,0))),vlookup($A970&amp;$B970,{'3) Release_Label'!$D:$D&amp;'3) Release_Label'!$E:$E,'3) Release_Label'!$F:$F},2,0), or(and(not(isblank($B970)),$B970=$B969,$A970&lt;&gt;$A969),and(not(isblank($A970)),$A970=$A969,$B970&lt;&gt;$B969)),"ID LISTS UNALIGNED",and($A970&lt;&gt;"",countif('3) Release_Label'!$D:$D,$A970)=0),"NO UPC MATCH in Release_Label",and($B970&lt;&gt;"",countif('3) Release_Label'!$E:$E,$B970)=0),"NO CATALOG ID MATCH in Release_Label",iserror(vlookup($A970&amp;$B970,'3) Release_Label'!$D:$D&amp;'3) Release_Label'!$E:$E,1,0)),"NO UPC-CATALOG ID pair MATCH in Release_Label" )</f>
        <v/>
      </c>
      <c r="D970" s="121" t="str">
        <f t="array" ref="D970">ifs(and(isblank($A970),isblank($B970)),"", not(iserror(vlookup($A970&amp;$B970,'3) Release_Label'!$D:$D&amp;'3) Release_Label'!$E:$E,1,0))),vlookup($A970&amp;$B970,{'3) Release_Label'!$D:$D&amp;'3) Release_Label'!$E:$E,'3) Release_Label'!$H:$H},2,0), or(and(not(isblank($B970)),$B970=$B969,$A970&lt;&gt;$A969),and(not(isblank($A970)),$A970=$A969,$B970&lt;&gt;$B969)),"ID LISTS UNALIGNED",and($A970&lt;&gt;"",countif('3) Release_Label'!$D:$D,$A970)=0),"NO UPC MATCH in Release_Label",and($B970&lt;&gt;"",countif('3) Release_Label'!$E:$E,$B970)=0),"NO CATALOG ID MATCH in Release_Label",iserror(vlookup($A970&amp;$B970,'3) Release_Label'!$D:$D&amp;'3) Release_Label'!$E:$E,1,0)),"NO UPC-CATALOG ID pair MATCH in Release_Label" )</f>
        <v/>
      </c>
      <c r="E970" s="92"/>
      <c r="F970" s="92"/>
      <c r="G970" s="125" t="str">
        <f t="array" ref="G970">ifs(or($F970="",$F970="Main Primary Artist"),$F970,not(iserror(vlookup($F970,'Reference info'!$J$5:$J$8,1,0))),"Key Artist",not(iserror(vlookup($F970,'Reference info'!$J$38:$J$405,1,0))),"Performer",not(iserror(vlookup($F970,'Reference info'!$J$10:$J$36,1,0))),"Producer &amp; Engineer")</f>
        <v/>
      </c>
    </row>
    <row r="971">
      <c r="A971" s="28"/>
      <c r="B971" s="97"/>
      <c r="C971" s="121" t="str">
        <f t="array" ref="C971">ifs(and(isblank($A971),isblank($B971)),"", not(iserror(vlookup($A971&amp;$B971,'3) Release_Label'!$D:$D&amp;'3) Release_Label'!$E:$E,1,0))),vlookup($A971&amp;$B971,{'3) Release_Label'!$D:$D&amp;'3) Release_Label'!$E:$E,'3) Release_Label'!$F:$F},2,0), or(and(not(isblank($B971)),$B971=$B970,$A971&lt;&gt;$A970),and(not(isblank($A971)),$A971=$A970,$B971&lt;&gt;$B970)),"ID LISTS UNALIGNED",and($A971&lt;&gt;"",countif('3) Release_Label'!$D:$D,$A971)=0),"NO UPC MATCH in Release_Label",and($B971&lt;&gt;"",countif('3) Release_Label'!$E:$E,$B971)=0),"NO CATALOG ID MATCH in Release_Label",iserror(vlookup($A971&amp;$B971,'3) Release_Label'!$D:$D&amp;'3) Release_Label'!$E:$E,1,0)),"NO UPC-CATALOG ID pair MATCH in Release_Label" )</f>
        <v/>
      </c>
      <c r="D971" s="121" t="str">
        <f t="array" ref="D971">ifs(and(isblank($A971),isblank($B971)),"", not(iserror(vlookup($A971&amp;$B971,'3) Release_Label'!$D:$D&amp;'3) Release_Label'!$E:$E,1,0))),vlookup($A971&amp;$B971,{'3) Release_Label'!$D:$D&amp;'3) Release_Label'!$E:$E,'3) Release_Label'!$H:$H},2,0), or(and(not(isblank($B971)),$B971=$B970,$A971&lt;&gt;$A970),and(not(isblank($A971)),$A971=$A970,$B971&lt;&gt;$B970)),"ID LISTS UNALIGNED",and($A971&lt;&gt;"",countif('3) Release_Label'!$D:$D,$A971)=0),"NO UPC MATCH in Release_Label",and($B971&lt;&gt;"",countif('3) Release_Label'!$E:$E,$B971)=0),"NO CATALOG ID MATCH in Release_Label",iserror(vlookup($A971&amp;$B971,'3) Release_Label'!$D:$D&amp;'3) Release_Label'!$E:$E,1,0)),"NO UPC-CATALOG ID pair MATCH in Release_Label" )</f>
        <v/>
      </c>
      <c r="E971" s="92"/>
      <c r="F971" s="92"/>
      <c r="G971" s="125" t="str">
        <f t="array" ref="G971">ifs(or($F971="",$F971="Main Primary Artist"),$F971,not(iserror(vlookup($F971,'Reference info'!$J$5:$J$8,1,0))),"Key Artist",not(iserror(vlookup($F971,'Reference info'!$J$38:$J$405,1,0))),"Performer",not(iserror(vlookup($F971,'Reference info'!$J$10:$J$36,1,0))),"Producer &amp; Engineer")</f>
        <v/>
      </c>
    </row>
    <row r="972">
      <c r="A972" s="28"/>
      <c r="B972" s="97"/>
      <c r="C972" s="121" t="str">
        <f t="array" ref="C972">ifs(and(isblank($A972),isblank($B972)),"", not(iserror(vlookup($A972&amp;$B972,'3) Release_Label'!$D:$D&amp;'3) Release_Label'!$E:$E,1,0))),vlookup($A972&amp;$B972,{'3) Release_Label'!$D:$D&amp;'3) Release_Label'!$E:$E,'3) Release_Label'!$F:$F},2,0), or(and(not(isblank($B972)),$B972=$B971,$A972&lt;&gt;$A971),and(not(isblank($A972)),$A972=$A971,$B972&lt;&gt;$B971)),"ID LISTS UNALIGNED",and($A972&lt;&gt;"",countif('3) Release_Label'!$D:$D,$A972)=0),"NO UPC MATCH in Release_Label",and($B972&lt;&gt;"",countif('3) Release_Label'!$E:$E,$B972)=0),"NO CATALOG ID MATCH in Release_Label",iserror(vlookup($A972&amp;$B972,'3) Release_Label'!$D:$D&amp;'3) Release_Label'!$E:$E,1,0)),"NO UPC-CATALOG ID pair MATCH in Release_Label" )</f>
        <v/>
      </c>
      <c r="D972" s="121" t="str">
        <f t="array" ref="D972">ifs(and(isblank($A972),isblank($B972)),"", not(iserror(vlookup($A972&amp;$B972,'3) Release_Label'!$D:$D&amp;'3) Release_Label'!$E:$E,1,0))),vlookup($A972&amp;$B972,{'3) Release_Label'!$D:$D&amp;'3) Release_Label'!$E:$E,'3) Release_Label'!$H:$H},2,0), or(and(not(isblank($B972)),$B972=$B971,$A972&lt;&gt;$A971),and(not(isblank($A972)),$A972=$A971,$B972&lt;&gt;$B971)),"ID LISTS UNALIGNED",and($A972&lt;&gt;"",countif('3) Release_Label'!$D:$D,$A972)=0),"NO UPC MATCH in Release_Label",and($B972&lt;&gt;"",countif('3) Release_Label'!$E:$E,$B972)=0),"NO CATALOG ID MATCH in Release_Label",iserror(vlookup($A972&amp;$B972,'3) Release_Label'!$D:$D&amp;'3) Release_Label'!$E:$E,1,0)),"NO UPC-CATALOG ID pair MATCH in Release_Label" )</f>
        <v/>
      </c>
      <c r="E972" s="92"/>
      <c r="F972" s="92"/>
      <c r="G972" s="125" t="str">
        <f t="array" ref="G972">ifs(or($F972="",$F972="Main Primary Artist"),$F972,not(iserror(vlookup($F972,'Reference info'!$J$5:$J$8,1,0))),"Key Artist",not(iserror(vlookup($F972,'Reference info'!$J$38:$J$405,1,0))),"Performer",not(iserror(vlookup($F972,'Reference info'!$J$10:$J$36,1,0))),"Producer &amp; Engineer")</f>
        <v/>
      </c>
    </row>
    <row r="973">
      <c r="A973" s="28"/>
      <c r="B973" s="97"/>
      <c r="C973" s="121" t="str">
        <f t="array" ref="C973">ifs(and(isblank($A973),isblank($B973)),"", not(iserror(vlookup($A973&amp;$B973,'3) Release_Label'!$D:$D&amp;'3) Release_Label'!$E:$E,1,0))),vlookup($A973&amp;$B973,{'3) Release_Label'!$D:$D&amp;'3) Release_Label'!$E:$E,'3) Release_Label'!$F:$F},2,0), or(and(not(isblank($B973)),$B973=$B972,$A973&lt;&gt;$A972),and(not(isblank($A973)),$A973=$A972,$B973&lt;&gt;$B972)),"ID LISTS UNALIGNED",and($A973&lt;&gt;"",countif('3) Release_Label'!$D:$D,$A973)=0),"NO UPC MATCH in Release_Label",and($B973&lt;&gt;"",countif('3) Release_Label'!$E:$E,$B973)=0),"NO CATALOG ID MATCH in Release_Label",iserror(vlookup($A973&amp;$B973,'3) Release_Label'!$D:$D&amp;'3) Release_Label'!$E:$E,1,0)),"NO UPC-CATALOG ID pair MATCH in Release_Label" )</f>
        <v/>
      </c>
      <c r="D973" s="121" t="str">
        <f t="array" ref="D973">ifs(and(isblank($A973),isblank($B973)),"", not(iserror(vlookup($A973&amp;$B973,'3) Release_Label'!$D:$D&amp;'3) Release_Label'!$E:$E,1,0))),vlookup($A973&amp;$B973,{'3) Release_Label'!$D:$D&amp;'3) Release_Label'!$E:$E,'3) Release_Label'!$H:$H},2,0), or(and(not(isblank($B973)),$B973=$B972,$A973&lt;&gt;$A972),and(not(isblank($A973)),$A973=$A972,$B973&lt;&gt;$B972)),"ID LISTS UNALIGNED",and($A973&lt;&gt;"",countif('3) Release_Label'!$D:$D,$A973)=0),"NO UPC MATCH in Release_Label",and($B973&lt;&gt;"",countif('3) Release_Label'!$E:$E,$B973)=0),"NO CATALOG ID MATCH in Release_Label",iserror(vlookup($A973&amp;$B973,'3) Release_Label'!$D:$D&amp;'3) Release_Label'!$E:$E,1,0)),"NO UPC-CATALOG ID pair MATCH in Release_Label" )</f>
        <v/>
      </c>
      <c r="E973" s="92"/>
      <c r="F973" s="92"/>
      <c r="G973" s="125" t="str">
        <f t="array" ref="G973">ifs(or($F973="",$F973="Main Primary Artist"),$F973,not(iserror(vlookup($F973,'Reference info'!$J$5:$J$8,1,0))),"Key Artist",not(iserror(vlookup($F973,'Reference info'!$J$38:$J$405,1,0))),"Performer",not(iserror(vlookup($F973,'Reference info'!$J$10:$J$36,1,0))),"Producer &amp; Engineer")</f>
        <v/>
      </c>
    </row>
    <row r="974">
      <c r="A974" s="28"/>
      <c r="B974" s="97"/>
      <c r="C974" s="121" t="str">
        <f t="array" ref="C974">ifs(and(isblank($A974),isblank($B974)),"", not(iserror(vlookup($A974&amp;$B974,'3) Release_Label'!$D:$D&amp;'3) Release_Label'!$E:$E,1,0))),vlookup($A974&amp;$B974,{'3) Release_Label'!$D:$D&amp;'3) Release_Label'!$E:$E,'3) Release_Label'!$F:$F},2,0), or(and(not(isblank($B974)),$B974=$B973,$A974&lt;&gt;$A973),and(not(isblank($A974)),$A974=$A973,$B974&lt;&gt;$B973)),"ID LISTS UNALIGNED",and($A974&lt;&gt;"",countif('3) Release_Label'!$D:$D,$A974)=0),"NO UPC MATCH in Release_Label",and($B974&lt;&gt;"",countif('3) Release_Label'!$E:$E,$B974)=0),"NO CATALOG ID MATCH in Release_Label",iserror(vlookup($A974&amp;$B974,'3) Release_Label'!$D:$D&amp;'3) Release_Label'!$E:$E,1,0)),"NO UPC-CATALOG ID pair MATCH in Release_Label" )</f>
        <v/>
      </c>
      <c r="D974" s="121" t="str">
        <f t="array" ref="D974">ifs(and(isblank($A974),isblank($B974)),"", not(iserror(vlookup($A974&amp;$B974,'3) Release_Label'!$D:$D&amp;'3) Release_Label'!$E:$E,1,0))),vlookup($A974&amp;$B974,{'3) Release_Label'!$D:$D&amp;'3) Release_Label'!$E:$E,'3) Release_Label'!$H:$H},2,0), or(and(not(isblank($B974)),$B974=$B973,$A974&lt;&gt;$A973),and(not(isblank($A974)),$A974=$A973,$B974&lt;&gt;$B973)),"ID LISTS UNALIGNED",and($A974&lt;&gt;"",countif('3) Release_Label'!$D:$D,$A974)=0),"NO UPC MATCH in Release_Label",and($B974&lt;&gt;"",countif('3) Release_Label'!$E:$E,$B974)=0),"NO CATALOG ID MATCH in Release_Label",iserror(vlookup($A974&amp;$B974,'3) Release_Label'!$D:$D&amp;'3) Release_Label'!$E:$E,1,0)),"NO UPC-CATALOG ID pair MATCH in Release_Label" )</f>
        <v/>
      </c>
      <c r="E974" s="92"/>
      <c r="F974" s="92"/>
      <c r="G974" s="125" t="str">
        <f t="array" ref="G974">ifs(or($F974="",$F974="Main Primary Artist"),$F974,not(iserror(vlookup($F974,'Reference info'!$J$5:$J$8,1,0))),"Key Artist",not(iserror(vlookup($F974,'Reference info'!$J$38:$J$405,1,0))),"Performer",not(iserror(vlookup($F974,'Reference info'!$J$10:$J$36,1,0))),"Producer &amp; Engineer")</f>
        <v/>
      </c>
    </row>
    <row r="975">
      <c r="A975" s="28"/>
      <c r="B975" s="97"/>
      <c r="C975" s="121" t="str">
        <f t="array" ref="C975">ifs(and(isblank($A975),isblank($B975)),"", not(iserror(vlookup($A975&amp;$B975,'3) Release_Label'!$D:$D&amp;'3) Release_Label'!$E:$E,1,0))),vlookup($A975&amp;$B975,{'3) Release_Label'!$D:$D&amp;'3) Release_Label'!$E:$E,'3) Release_Label'!$F:$F},2,0), or(and(not(isblank($B975)),$B975=$B974,$A975&lt;&gt;$A974),and(not(isblank($A975)),$A975=$A974,$B975&lt;&gt;$B974)),"ID LISTS UNALIGNED",and($A975&lt;&gt;"",countif('3) Release_Label'!$D:$D,$A975)=0),"NO UPC MATCH in Release_Label",and($B975&lt;&gt;"",countif('3) Release_Label'!$E:$E,$B975)=0),"NO CATALOG ID MATCH in Release_Label",iserror(vlookup($A975&amp;$B975,'3) Release_Label'!$D:$D&amp;'3) Release_Label'!$E:$E,1,0)),"NO UPC-CATALOG ID pair MATCH in Release_Label" )</f>
        <v/>
      </c>
      <c r="D975" s="121" t="str">
        <f t="array" ref="D975">ifs(and(isblank($A975),isblank($B975)),"", not(iserror(vlookup($A975&amp;$B975,'3) Release_Label'!$D:$D&amp;'3) Release_Label'!$E:$E,1,0))),vlookup($A975&amp;$B975,{'3) Release_Label'!$D:$D&amp;'3) Release_Label'!$E:$E,'3) Release_Label'!$H:$H},2,0), or(and(not(isblank($B975)),$B975=$B974,$A975&lt;&gt;$A974),and(not(isblank($A975)),$A975=$A974,$B975&lt;&gt;$B974)),"ID LISTS UNALIGNED",and($A975&lt;&gt;"",countif('3) Release_Label'!$D:$D,$A975)=0),"NO UPC MATCH in Release_Label",and($B975&lt;&gt;"",countif('3) Release_Label'!$E:$E,$B975)=0),"NO CATALOG ID MATCH in Release_Label",iserror(vlookup($A975&amp;$B975,'3) Release_Label'!$D:$D&amp;'3) Release_Label'!$E:$E,1,0)),"NO UPC-CATALOG ID pair MATCH in Release_Label" )</f>
        <v/>
      </c>
      <c r="E975" s="92"/>
      <c r="F975" s="92"/>
      <c r="G975" s="125" t="str">
        <f t="array" ref="G975">ifs(or($F975="",$F975="Main Primary Artist"),$F975,not(iserror(vlookup($F975,'Reference info'!$J$5:$J$8,1,0))),"Key Artist",not(iserror(vlookup($F975,'Reference info'!$J$38:$J$405,1,0))),"Performer",not(iserror(vlookup($F975,'Reference info'!$J$10:$J$36,1,0))),"Producer &amp; Engineer")</f>
        <v/>
      </c>
    </row>
    <row r="976">
      <c r="A976" s="28"/>
      <c r="B976" s="97"/>
      <c r="C976" s="121" t="str">
        <f t="array" ref="C976">ifs(and(isblank($A976),isblank($B976)),"", not(iserror(vlookup($A976&amp;$B976,'3) Release_Label'!$D:$D&amp;'3) Release_Label'!$E:$E,1,0))),vlookup($A976&amp;$B976,{'3) Release_Label'!$D:$D&amp;'3) Release_Label'!$E:$E,'3) Release_Label'!$F:$F},2,0), or(and(not(isblank($B976)),$B976=$B975,$A976&lt;&gt;$A975),and(not(isblank($A976)),$A976=$A975,$B976&lt;&gt;$B975)),"ID LISTS UNALIGNED",and($A976&lt;&gt;"",countif('3) Release_Label'!$D:$D,$A976)=0),"NO UPC MATCH in Release_Label",and($B976&lt;&gt;"",countif('3) Release_Label'!$E:$E,$B976)=0),"NO CATALOG ID MATCH in Release_Label",iserror(vlookup($A976&amp;$B976,'3) Release_Label'!$D:$D&amp;'3) Release_Label'!$E:$E,1,0)),"NO UPC-CATALOG ID pair MATCH in Release_Label" )</f>
        <v/>
      </c>
      <c r="D976" s="121" t="str">
        <f t="array" ref="D976">ifs(and(isblank($A976),isblank($B976)),"", not(iserror(vlookup($A976&amp;$B976,'3) Release_Label'!$D:$D&amp;'3) Release_Label'!$E:$E,1,0))),vlookup($A976&amp;$B976,{'3) Release_Label'!$D:$D&amp;'3) Release_Label'!$E:$E,'3) Release_Label'!$H:$H},2,0), or(and(not(isblank($B976)),$B976=$B975,$A976&lt;&gt;$A975),and(not(isblank($A976)),$A976=$A975,$B976&lt;&gt;$B975)),"ID LISTS UNALIGNED",and($A976&lt;&gt;"",countif('3) Release_Label'!$D:$D,$A976)=0),"NO UPC MATCH in Release_Label",and($B976&lt;&gt;"",countif('3) Release_Label'!$E:$E,$B976)=0),"NO CATALOG ID MATCH in Release_Label",iserror(vlookup($A976&amp;$B976,'3) Release_Label'!$D:$D&amp;'3) Release_Label'!$E:$E,1,0)),"NO UPC-CATALOG ID pair MATCH in Release_Label" )</f>
        <v/>
      </c>
      <c r="E976" s="92"/>
      <c r="F976" s="92"/>
      <c r="G976" s="125" t="str">
        <f t="array" ref="G976">ifs(or($F976="",$F976="Main Primary Artist"),$F976,not(iserror(vlookup($F976,'Reference info'!$J$5:$J$8,1,0))),"Key Artist",not(iserror(vlookup($F976,'Reference info'!$J$38:$J$405,1,0))),"Performer",not(iserror(vlookup($F976,'Reference info'!$J$10:$J$36,1,0))),"Producer &amp; Engineer")</f>
        <v/>
      </c>
    </row>
    <row r="977">
      <c r="A977" s="28"/>
      <c r="B977" s="97"/>
      <c r="C977" s="121" t="str">
        <f t="array" ref="C977">ifs(and(isblank($A977),isblank($B977)),"", not(iserror(vlookup($A977&amp;$B977,'3) Release_Label'!$D:$D&amp;'3) Release_Label'!$E:$E,1,0))),vlookup($A977&amp;$B977,{'3) Release_Label'!$D:$D&amp;'3) Release_Label'!$E:$E,'3) Release_Label'!$F:$F},2,0), or(and(not(isblank($B977)),$B977=$B976,$A977&lt;&gt;$A976),and(not(isblank($A977)),$A977=$A976,$B977&lt;&gt;$B976)),"ID LISTS UNALIGNED",and($A977&lt;&gt;"",countif('3) Release_Label'!$D:$D,$A977)=0),"NO UPC MATCH in Release_Label",and($B977&lt;&gt;"",countif('3) Release_Label'!$E:$E,$B977)=0),"NO CATALOG ID MATCH in Release_Label",iserror(vlookup($A977&amp;$B977,'3) Release_Label'!$D:$D&amp;'3) Release_Label'!$E:$E,1,0)),"NO UPC-CATALOG ID pair MATCH in Release_Label" )</f>
        <v/>
      </c>
      <c r="D977" s="121" t="str">
        <f t="array" ref="D977">ifs(and(isblank($A977),isblank($B977)),"", not(iserror(vlookup($A977&amp;$B977,'3) Release_Label'!$D:$D&amp;'3) Release_Label'!$E:$E,1,0))),vlookup($A977&amp;$B977,{'3) Release_Label'!$D:$D&amp;'3) Release_Label'!$E:$E,'3) Release_Label'!$H:$H},2,0), or(and(not(isblank($B977)),$B977=$B976,$A977&lt;&gt;$A976),and(not(isblank($A977)),$A977=$A976,$B977&lt;&gt;$B976)),"ID LISTS UNALIGNED",and($A977&lt;&gt;"",countif('3) Release_Label'!$D:$D,$A977)=0),"NO UPC MATCH in Release_Label",and($B977&lt;&gt;"",countif('3) Release_Label'!$E:$E,$B977)=0),"NO CATALOG ID MATCH in Release_Label",iserror(vlookup($A977&amp;$B977,'3) Release_Label'!$D:$D&amp;'3) Release_Label'!$E:$E,1,0)),"NO UPC-CATALOG ID pair MATCH in Release_Label" )</f>
        <v/>
      </c>
      <c r="E977" s="92"/>
      <c r="F977" s="92"/>
      <c r="G977" s="125" t="str">
        <f t="array" ref="G977">ifs(or($F977="",$F977="Main Primary Artist"),$F977,not(iserror(vlookup($F977,'Reference info'!$J$5:$J$8,1,0))),"Key Artist",not(iserror(vlookup($F977,'Reference info'!$J$38:$J$405,1,0))),"Performer",not(iserror(vlookup($F977,'Reference info'!$J$10:$J$36,1,0))),"Producer &amp; Engineer")</f>
        <v/>
      </c>
    </row>
    <row r="978">
      <c r="A978" s="28"/>
      <c r="B978" s="97"/>
      <c r="C978" s="121" t="str">
        <f t="array" ref="C978">ifs(and(isblank($A978),isblank($B978)),"", not(iserror(vlookup($A978&amp;$B978,'3) Release_Label'!$D:$D&amp;'3) Release_Label'!$E:$E,1,0))),vlookup($A978&amp;$B978,{'3) Release_Label'!$D:$D&amp;'3) Release_Label'!$E:$E,'3) Release_Label'!$F:$F},2,0), or(and(not(isblank($B978)),$B978=$B977,$A978&lt;&gt;$A977),and(not(isblank($A978)),$A978=$A977,$B978&lt;&gt;$B977)),"ID LISTS UNALIGNED",and($A978&lt;&gt;"",countif('3) Release_Label'!$D:$D,$A978)=0),"NO UPC MATCH in Release_Label",and($B978&lt;&gt;"",countif('3) Release_Label'!$E:$E,$B978)=0),"NO CATALOG ID MATCH in Release_Label",iserror(vlookup($A978&amp;$B978,'3) Release_Label'!$D:$D&amp;'3) Release_Label'!$E:$E,1,0)),"NO UPC-CATALOG ID pair MATCH in Release_Label" )</f>
        <v/>
      </c>
      <c r="D978" s="121" t="str">
        <f t="array" ref="D978">ifs(and(isblank($A978),isblank($B978)),"", not(iserror(vlookup($A978&amp;$B978,'3) Release_Label'!$D:$D&amp;'3) Release_Label'!$E:$E,1,0))),vlookup($A978&amp;$B978,{'3) Release_Label'!$D:$D&amp;'3) Release_Label'!$E:$E,'3) Release_Label'!$H:$H},2,0), or(and(not(isblank($B978)),$B978=$B977,$A978&lt;&gt;$A977),and(not(isblank($A978)),$A978=$A977,$B978&lt;&gt;$B977)),"ID LISTS UNALIGNED",and($A978&lt;&gt;"",countif('3) Release_Label'!$D:$D,$A978)=0),"NO UPC MATCH in Release_Label",and($B978&lt;&gt;"",countif('3) Release_Label'!$E:$E,$B978)=0),"NO CATALOG ID MATCH in Release_Label",iserror(vlookup($A978&amp;$B978,'3) Release_Label'!$D:$D&amp;'3) Release_Label'!$E:$E,1,0)),"NO UPC-CATALOG ID pair MATCH in Release_Label" )</f>
        <v/>
      </c>
      <c r="E978" s="92"/>
      <c r="F978" s="92"/>
      <c r="G978" s="125" t="str">
        <f t="array" ref="G978">ifs(or($F978="",$F978="Main Primary Artist"),$F978,not(iserror(vlookup($F978,'Reference info'!$J$5:$J$8,1,0))),"Key Artist",not(iserror(vlookup($F978,'Reference info'!$J$38:$J$405,1,0))),"Performer",not(iserror(vlookup($F978,'Reference info'!$J$10:$J$36,1,0))),"Producer &amp; Engineer")</f>
        <v/>
      </c>
    </row>
    <row r="979">
      <c r="A979" s="28"/>
      <c r="B979" s="97"/>
      <c r="C979" s="121" t="str">
        <f t="array" ref="C979">ifs(and(isblank($A979),isblank($B979)),"", not(iserror(vlookup($A979&amp;$B979,'3) Release_Label'!$D:$D&amp;'3) Release_Label'!$E:$E,1,0))),vlookup($A979&amp;$B979,{'3) Release_Label'!$D:$D&amp;'3) Release_Label'!$E:$E,'3) Release_Label'!$F:$F},2,0), or(and(not(isblank($B979)),$B979=$B978,$A979&lt;&gt;$A978),and(not(isblank($A979)),$A979=$A978,$B979&lt;&gt;$B978)),"ID LISTS UNALIGNED",and($A979&lt;&gt;"",countif('3) Release_Label'!$D:$D,$A979)=0),"NO UPC MATCH in Release_Label",and($B979&lt;&gt;"",countif('3) Release_Label'!$E:$E,$B979)=0),"NO CATALOG ID MATCH in Release_Label",iserror(vlookup($A979&amp;$B979,'3) Release_Label'!$D:$D&amp;'3) Release_Label'!$E:$E,1,0)),"NO UPC-CATALOG ID pair MATCH in Release_Label" )</f>
        <v/>
      </c>
      <c r="D979" s="121" t="str">
        <f t="array" ref="D979">ifs(and(isblank($A979),isblank($B979)),"", not(iserror(vlookup($A979&amp;$B979,'3) Release_Label'!$D:$D&amp;'3) Release_Label'!$E:$E,1,0))),vlookup($A979&amp;$B979,{'3) Release_Label'!$D:$D&amp;'3) Release_Label'!$E:$E,'3) Release_Label'!$H:$H},2,0), or(and(not(isblank($B979)),$B979=$B978,$A979&lt;&gt;$A978),and(not(isblank($A979)),$A979=$A978,$B979&lt;&gt;$B978)),"ID LISTS UNALIGNED",and($A979&lt;&gt;"",countif('3) Release_Label'!$D:$D,$A979)=0),"NO UPC MATCH in Release_Label",and($B979&lt;&gt;"",countif('3) Release_Label'!$E:$E,$B979)=0),"NO CATALOG ID MATCH in Release_Label",iserror(vlookup($A979&amp;$B979,'3) Release_Label'!$D:$D&amp;'3) Release_Label'!$E:$E,1,0)),"NO UPC-CATALOG ID pair MATCH in Release_Label" )</f>
        <v/>
      </c>
      <c r="E979" s="92"/>
      <c r="F979" s="92"/>
      <c r="G979" s="125" t="str">
        <f t="array" ref="G979">ifs(or($F979="",$F979="Main Primary Artist"),$F979,not(iserror(vlookup($F979,'Reference info'!$J$5:$J$8,1,0))),"Key Artist",not(iserror(vlookup($F979,'Reference info'!$J$38:$J$405,1,0))),"Performer",not(iserror(vlookup($F979,'Reference info'!$J$10:$J$36,1,0))),"Producer &amp; Engineer")</f>
        <v/>
      </c>
    </row>
    <row r="980">
      <c r="A980" s="28"/>
      <c r="B980" s="97"/>
      <c r="C980" s="121" t="str">
        <f t="array" ref="C980">ifs(and(isblank($A980),isblank($B980)),"", not(iserror(vlookup($A980&amp;$B980,'3) Release_Label'!$D:$D&amp;'3) Release_Label'!$E:$E,1,0))),vlookup($A980&amp;$B980,{'3) Release_Label'!$D:$D&amp;'3) Release_Label'!$E:$E,'3) Release_Label'!$F:$F},2,0), or(and(not(isblank($B980)),$B980=$B979,$A980&lt;&gt;$A979),and(not(isblank($A980)),$A980=$A979,$B980&lt;&gt;$B979)),"ID LISTS UNALIGNED",and($A980&lt;&gt;"",countif('3) Release_Label'!$D:$D,$A980)=0),"NO UPC MATCH in Release_Label",and($B980&lt;&gt;"",countif('3) Release_Label'!$E:$E,$B980)=0),"NO CATALOG ID MATCH in Release_Label",iserror(vlookup($A980&amp;$B980,'3) Release_Label'!$D:$D&amp;'3) Release_Label'!$E:$E,1,0)),"NO UPC-CATALOG ID pair MATCH in Release_Label" )</f>
        <v/>
      </c>
      <c r="D980" s="121" t="str">
        <f t="array" ref="D980">ifs(and(isblank($A980),isblank($B980)),"", not(iserror(vlookup($A980&amp;$B980,'3) Release_Label'!$D:$D&amp;'3) Release_Label'!$E:$E,1,0))),vlookup($A980&amp;$B980,{'3) Release_Label'!$D:$D&amp;'3) Release_Label'!$E:$E,'3) Release_Label'!$H:$H},2,0), or(and(not(isblank($B980)),$B980=$B979,$A980&lt;&gt;$A979),and(not(isblank($A980)),$A980=$A979,$B980&lt;&gt;$B979)),"ID LISTS UNALIGNED",and($A980&lt;&gt;"",countif('3) Release_Label'!$D:$D,$A980)=0),"NO UPC MATCH in Release_Label",and($B980&lt;&gt;"",countif('3) Release_Label'!$E:$E,$B980)=0),"NO CATALOG ID MATCH in Release_Label",iserror(vlookup($A980&amp;$B980,'3) Release_Label'!$D:$D&amp;'3) Release_Label'!$E:$E,1,0)),"NO UPC-CATALOG ID pair MATCH in Release_Label" )</f>
        <v/>
      </c>
      <c r="E980" s="92"/>
      <c r="F980" s="92"/>
      <c r="G980" s="125" t="str">
        <f t="array" ref="G980">ifs(or($F980="",$F980="Main Primary Artist"),$F980,not(iserror(vlookup($F980,'Reference info'!$J$5:$J$8,1,0))),"Key Artist",not(iserror(vlookup($F980,'Reference info'!$J$38:$J$405,1,0))),"Performer",not(iserror(vlookup($F980,'Reference info'!$J$10:$J$36,1,0))),"Producer &amp; Engineer")</f>
        <v/>
      </c>
    </row>
    <row r="981">
      <c r="A981" s="28"/>
      <c r="B981" s="97"/>
      <c r="C981" s="121" t="str">
        <f t="array" ref="C981">ifs(and(isblank($A981),isblank($B981)),"", not(iserror(vlookup($A981&amp;$B981,'3) Release_Label'!$D:$D&amp;'3) Release_Label'!$E:$E,1,0))),vlookup($A981&amp;$B981,{'3) Release_Label'!$D:$D&amp;'3) Release_Label'!$E:$E,'3) Release_Label'!$F:$F},2,0), or(and(not(isblank($B981)),$B981=$B980,$A981&lt;&gt;$A980),and(not(isblank($A981)),$A981=$A980,$B981&lt;&gt;$B980)),"ID LISTS UNALIGNED",and($A981&lt;&gt;"",countif('3) Release_Label'!$D:$D,$A981)=0),"NO UPC MATCH in Release_Label",and($B981&lt;&gt;"",countif('3) Release_Label'!$E:$E,$B981)=0),"NO CATALOG ID MATCH in Release_Label",iserror(vlookup($A981&amp;$B981,'3) Release_Label'!$D:$D&amp;'3) Release_Label'!$E:$E,1,0)),"NO UPC-CATALOG ID pair MATCH in Release_Label" )</f>
        <v/>
      </c>
      <c r="D981" s="121" t="str">
        <f t="array" ref="D981">ifs(and(isblank($A981),isblank($B981)),"", not(iserror(vlookup($A981&amp;$B981,'3) Release_Label'!$D:$D&amp;'3) Release_Label'!$E:$E,1,0))),vlookup($A981&amp;$B981,{'3) Release_Label'!$D:$D&amp;'3) Release_Label'!$E:$E,'3) Release_Label'!$H:$H},2,0), or(and(not(isblank($B981)),$B981=$B980,$A981&lt;&gt;$A980),and(not(isblank($A981)),$A981=$A980,$B981&lt;&gt;$B980)),"ID LISTS UNALIGNED",and($A981&lt;&gt;"",countif('3) Release_Label'!$D:$D,$A981)=0),"NO UPC MATCH in Release_Label",and($B981&lt;&gt;"",countif('3) Release_Label'!$E:$E,$B981)=0),"NO CATALOG ID MATCH in Release_Label",iserror(vlookup($A981&amp;$B981,'3) Release_Label'!$D:$D&amp;'3) Release_Label'!$E:$E,1,0)),"NO UPC-CATALOG ID pair MATCH in Release_Label" )</f>
        <v/>
      </c>
      <c r="E981" s="92"/>
      <c r="F981" s="92"/>
      <c r="G981" s="125" t="str">
        <f t="array" ref="G981">ifs(or($F981="",$F981="Main Primary Artist"),$F981,not(iserror(vlookup($F981,'Reference info'!$J$5:$J$8,1,0))),"Key Artist",not(iserror(vlookup($F981,'Reference info'!$J$38:$J$405,1,0))),"Performer",not(iserror(vlookup($F981,'Reference info'!$J$10:$J$36,1,0))),"Producer &amp; Engineer")</f>
        <v/>
      </c>
    </row>
    <row r="982">
      <c r="A982" s="28"/>
      <c r="B982" s="97"/>
      <c r="C982" s="121" t="str">
        <f t="array" ref="C982">ifs(and(isblank($A982),isblank($B982)),"", not(iserror(vlookup($A982&amp;$B982,'3) Release_Label'!$D:$D&amp;'3) Release_Label'!$E:$E,1,0))),vlookup($A982&amp;$B982,{'3) Release_Label'!$D:$D&amp;'3) Release_Label'!$E:$E,'3) Release_Label'!$F:$F},2,0), or(and(not(isblank($B982)),$B982=$B981,$A982&lt;&gt;$A981),and(not(isblank($A982)),$A982=$A981,$B982&lt;&gt;$B981)),"ID LISTS UNALIGNED",and($A982&lt;&gt;"",countif('3) Release_Label'!$D:$D,$A982)=0),"NO UPC MATCH in Release_Label",and($B982&lt;&gt;"",countif('3) Release_Label'!$E:$E,$B982)=0),"NO CATALOG ID MATCH in Release_Label",iserror(vlookup($A982&amp;$B982,'3) Release_Label'!$D:$D&amp;'3) Release_Label'!$E:$E,1,0)),"NO UPC-CATALOG ID pair MATCH in Release_Label" )</f>
        <v/>
      </c>
      <c r="D982" s="121" t="str">
        <f t="array" ref="D982">ifs(and(isblank($A982),isblank($B982)),"", not(iserror(vlookup($A982&amp;$B982,'3) Release_Label'!$D:$D&amp;'3) Release_Label'!$E:$E,1,0))),vlookup($A982&amp;$B982,{'3) Release_Label'!$D:$D&amp;'3) Release_Label'!$E:$E,'3) Release_Label'!$H:$H},2,0), or(and(not(isblank($B982)),$B982=$B981,$A982&lt;&gt;$A981),and(not(isblank($A982)),$A982=$A981,$B982&lt;&gt;$B981)),"ID LISTS UNALIGNED",and($A982&lt;&gt;"",countif('3) Release_Label'!$D:$D,$A982)=0),"NO UPC MATCH in Release_Label",and($B982&lt;&gt;"",countif('3) Release_Label'!$E:$E,$B982)=0),"NO CATALOG ID MATCH in Release_Label",iserror(vlookup($A982&amp;$B982,'3) Release_Label'!$D:$D&amp;'3) Release_Label'!$E:$E,1,0)),"NO UPC-CATALOG ID pair MATCH in Release_Label" )</f>
        <v/>
      </c>
      <c r="E982" s="92"/>
      <c r="F982" s="92"/>
      <c r="G982" s="125" t="str">
        <f t="array" ref="G982">ifs(or($F982="",$F982="Main Primary Artist"),$F982,not(iserror(vlookup($F982,'Reference info'!$J$5:$J$8,1,0))),"Key Artist",not(iserror(vlookup($F982,'Reference info'!$J$38:$J$405,1,0))),"Performer",not(iserror(vlookup($F982,'Reference info'!$J$10:$J$36,1,0))),"Producer &amp; Engineer")</f>
        <v/>
      </c>
    </row>
    <row r="983">
      <c r="A983" s="28"/>
      <c r="B983" s="97"/>
      <c r="C983" s="121" t="str">
        <f t="array" ref="C983">ifs(and(isblank($A983),isblank($B983)),"", not(iserror(vlookup($A983&amp;$B983,'3) Release_Label'!$D:$D&amp;'3) Release_Label'!$E:$E,1,0))),vlookup($A983&amp;$B983,{'3) Release_Label'!$D:$D&amp;'3) Release_Label'!$E:$E,'3) Release_Label'!$F:$F},2,0), or(and(not(isblank($B983)),$B983=$B982,$A983&lt;&gt;$A982),and(not(isblank($A983)),$A983=$A982,$B983&lt;&gt;$B982)),"ID LISTS UNALIGNED",and($A983&lt;&gt;"",countif('3) Release_Label'!$D:$D,$A983)=0),"NO UPC MATCH in Release_Label",and($B983&lt;&gt;"",countif('3) Release_Label'!$E:$E,$B983)=0),"NO CATALOG ID MATCH in Release_Label",iserror(vlookup($A983&amp;$B983,'3) Release_Label'!$D:$D&amp;'3) Release_Label'!$E:$E,1,0)),"NO UPC-CATALOG ID pair MATCH in Release_Label" )</f>
        <v/>
      </c>
      <c r="D983" s="121" t="str">
        <f t="array" ref="D983">ifs(and(isblank($A983),isblank($B983)),"", not(iserror(vlookup($A983&amp;$B983,'3) Release_Label'!$D:$D&amp;'3) Release_Label'!$E:$E,1,0))),vlookup($A983&amp;$B983,{'3) Release_Label'!$D:$D&amp;'3) Release_Label'!$E:$E,'3) Release_Label'!$H:$H},2,0), or(and(not(isblank($B983)),$B983=$B982,$A983&lt;&gt;$A982),and(not(isblank($A983)),$A983=$A982,$B983&lt;&gt;$B982)),"ID LISTS UNALIGNED",and($A983&lt;&gt;"",countif('3) Release_Label'!$D:$D,$A983)=0),"NO UPC MATCH in Release_Label",and($B983&lt;&gt;"",countif('3) Release_Label'!$E:$E,$B983)=0),"NO CATALOG ID MATCH in Release_Label",iserror(vlookup($A983&amp;$B983,'3) Release_Label'!$D:$D&amp;'3) Release_Label'!$E:$E,1,0)),"NO UPC-CATALOG ID pair MATCH in Release_Label" )</f>
        <v/>
      </c>
      <c r="E983" s="92"/>
      <c r="F983" s="92"/>
      <c r="G983" s="125" t="str">
        <f t="array" ref="G983">ifs(or($F983="",$F983="Main Primary Artist"),$F983,not(iserror(vlookup($F983,'Reference info'!$J$5:$J$8,1,0))),"Key Artist",not(iserror(vlookup($F983,'Reference info'!$J$38:$J$405,1,0))),"Performer",not(iserror(vlookup($F983,'Reference info'!$J$10:$J$36,1,0))),"Producer &amp; Engineer")</f>
        <v/>
      </c>
    </row>
    <row r="984">
      <c r="A984" s="28"/>
      <c r="B984" s="97"/>
      <c r="C984" s="121" t="str">
        <f t="array" ref="C984">ifs(and(isblank($A984),isblank($B984)),"", not(iserror(vlookup($A984&amp;$B984,'3) Release_Label'!$D:$D&amp;'3) Release_Label'!$E:$E,1,0))),vlookup($A984&amp;$B984,{'3) Release_Label'!$D:$D&amp;'3) Release_Label'!$E:$E,'3) Release_Label'!$F:$F},2,0), or(and(not(isblank($B984)),$B984=$B983,$A984&lt;&gt;$A983),and(not(isblank($A984)),$A984=$A983,$B984&lt;&gt;$B983)),"ID LISTS UNALIGNED",and($A984&lt;&gt;"",countif('3) Release_Label'!$D:$D,$A984)=0),"NO UPC MATCH in Release_Label",and($B984&lt;&gt;"",countif('3) Release_Label'!$E:$E,$B984)=0),"NO CATALOG ID MATCH in Release_Label",iserror(vlookup($A984&amp;$B984,'3) Release_Label'!$D:$D&amp;'3) Release_Label'!$E:$E,1,0)),"NO UPC-CATALOG ID pair MATCH in Release_Label" )</f>
        <v/>
      </c>
      <c r="D984" s="121" t="str">
        <f t="array" ref="D984">ifs(and(isblank($A984),isblank($B984)),"", not(iserror(vlookup($A984&amp;$B984,'3) Release_Label'!$D:$D&amp;'3) Release_Label'!$E:$E,1,0))),vlookup($A984&amp;$B984,{'3) Release_Label'!$D:$D&amp;'3) Release_Label'!$E:$E,'3) Release_Label'!$H:$H},2,0), or(and(not(isblank($B984)),$B984=$B983,$A984&lt;&gt;$A983),and(not(isblank($A984)),$A984=$A983,$B984&lt;&gt;$B983)),"ID LISTS UNALIGNED",and($A984&lt;&gt;"",countif('3) Release_Label'!$D:$D,$A984)=0),"NO UPC MATCH in Release_Label",and($B984&lt;&gt;"",countif('3) Release_Label'!$E:$E,$B984)=0),"NO CATALOG ID MATCH in Release_Label",iserror(vlookup($A984&amp;$B984,'3) Release_Label'!$D:$D&amp;'3) Release_Label'!$E:$E,1,0)),"NO UPC-CATALOG ID pair MATCH in Release_Label" )</f>
        <v/>
      </c>
      <c r="E984" s="92"/>
      <c r="F984" s="92"/>
      <c r="G984" s="125" t="str">
        <f t="array" ref="G984">ifs(or($F984="",$F984="Main Primary Artist"),$F984,not(iserror(vlookup($F984,'Reference info'!$J$5:$J$8,1,0))),"Key Artist",not(iserror(vlookup($F984,'Reference info'!$J$38:$J$405,1,0))),"Performer",not(iserror(vlookup($F984,'Reference info'!$J$10:$J$36,1,0))),"Producer &amp; Engineer")</f>
        <v/>
      </c>
    </row>
    <row r="985">
      <c r="A985" s="28"/>
      <c r="B985" s="97"/>
      <c r="C985" s="121" t="str">
        <f t="array" ref="C985">ifs(and(isblank($A985),isblank($B985)),"", not(iserror(vlookup($A985&amp;$B985,'3) Release_Label'!$D:$D&amp;'3) Release_Label'!$E:$E,1,0))),vlookup($A985&amp;$B985,{'3) Release_Label'!$D:$D&amp;'3) Release_Label'!$E:$E,'3) Release_Label'!$F:$F},2,0), or(and(not(isblank($B985)),$B985=$B984,$A985&lt;&gt;$A984),and(not(isblank($A985)),$A985=$A984,$B985&lt;&gt;$B984)),"ID LISTS UNALIGNED",and($A985&lt;&gt;"",countif('3) Release_Label'!$D:$D,$A985)=0),"NO UPC MATCH in Release_Label",and($B985&lt;&gt;"",countif('3) Release_Label'!$E:$E,$B985)=0),"NO CATALOG ID MATCH in Release_Label",iserror(vlookup($A985&amp;$B985,'3) Release_Label'!$D:$D&amp;'3) Release_Label'!$E:$E,1,0)),"NO UPC-CATALOG ID pair MATCH in Release_Label" )</f>
        <v/>
      </c>
      <c r="D985" s="121" t="str">
        <f t="array" ref="D985">ifs(and(isblank($A985),isblank($B985)),"", not(iserror(vlookup($A985&amp;$B985,'3) Release_Label'!$D:$D&amp;'3) Release_Label'!$E:$E,1,0))),vlookup($A985&amp;$B985,{'3) Release_Label'!$D:$D&amp;'3) Release_Label'!$E:$E,'3) Release_Label'!$H:$H},2,0), or(and(not(isblank($B985)),$B985=$B984,$A985&lt;&gt;$A984),and(not(isblank($A985)),$A985=$A984,$B985&lt;&gt;$B984)),"ID LISTS UNALIGNED",and($A985&lt;&gt;"",countif('3) Release_Label'!$D:$D,$A985)=0),"NO UPC MATCH in Release_Label",and($B985&lt;&gt;"",countif('3) Release_Label'!$E:$E,$B985)=0),"NO CATALOG ID MATCH in Release_Label",iserror(vlookup($A985&amp;$B985,'3) Release_Label'!$D:$D&amp;'3) Release_Label'!$E:$E,1,0)),"NO UPC-CATALOG ID pair MATCH in Release_Label" )</f>
        <v/>
      </c>
      <c r="E985" s="92"/>
      <c r="F985" s="92"/>
      <c r="G985" s="125" t="str">
        <f t="array" ref="G985">ifs(or($F985="",$F985="Main Primary Artist"),$F985,not(iserror(vlookup($F985,'Reference info'!$J$5:$J$8,1,0))),"Key Artist",not(iserror(vlookup($F985,'Reference info'!$J$38:$J$405,1,0))),"Performer",not(iserror(vlookup($F985,'Reference info'!$J$10:$J$36,1,0))),"Producer &amp; Engineer")</f>
        <v/>
      </c>
    </row>
    <row r="986">
      <c r="A986" s="28"/>
      <c r="B986" s="97"/>
      <c r="C986" s="121" t="str">
        <f t="array" ref="C986">ifs(and(isblank($A986),isblank($B986)),"", not(iserror(vlookup($A986&amp;$B986,'3) Release_Label'!$D:$D&amp;'3) Release_Label'!$E:$E,1,0))),vlookup($A986&amp;$B986,{'3) Release_Label'!$D:$D&amp;'3) Release_Label'!$E:$E,'3) Release_Label'!$F:$F},2,0), or(and(not(isblank($B986)),$B986=$B985,$A986&lt;&gt;$A985),and(not(isblank($A986)),$A986=$A985,$B986&lt;&gt;$B985)),"ID LISTS UNALIGNED",and($A986&lt;&gt;"",countif('3) Release_Label'!$D:$D,$A986)=0),"NO UPC MATCH in Release_Label",and($B986&lt;&gt;"",countif('3) Release_Label'!$E:$E,$B986)=0),"NO CATALOG ID MATCH in Release_Label",iserror(vlookup($A986&amp;$B986,'3) Release_Label'!$D:$D&amp;'3) Release_Label'!$E:$E,1,0)),"NO UPC-CATALOG ID pair MATCH in Release_Label" )</f>
        <v/>
      </c>
      <c r="D986" s="121" t="str">
        <f t="array" ref="D986">ifs(and(isblank($A986),isblank($B986)),"", not(iserror(vlookup($A986&amp;$B986,'3) Release_Label'!$D:$D&amp;'3) Release_Label'!$E:$E,1,0))),vlookup($A986&amp;$B986,{'3) Release_Label'!$D:$D&amp;'3) Release_Label'!$E:$E,'3) Release_Label'!$H:$H},2,0), or(and(not(isblank($B986)),$B986=$B985,$A986&lt;&gt;$A985),and(not(isblank($A986)),$A986=$A985,$B986&lt;&gt;$B985)),"ID LISTS UNALIGNED",and($A986&lt;&gt;"",countif('3) Release_Label'!$D:$D,$A986)=0),"NO UPC MATCH in Release_Label",and($B986&lt;&gt;"",countif('3) Release_Label'!$E:$E,$B986)=0),"NO CATALOG ID MATCH in Release_Label",iserror(vlookup($A986&amp;$B986,'3) Release_Label'!$D:$D&amp;'3) Release_Label'!$E:$E,1,0)),"NO UPC-CATALOG ID pair MATCH in Release_Label" )</f>
        <v/>
      </c>
      <c r="E986" s="92"/>
      <c r="F986" s="92"/>
      <c r="G986" s="125" t="str">
        <f t="array" ref="G986">ifs(or($F986="",$F986="Main Primary Artist"),$F986,not(iserror(vlookup($F986,'Reference info'!$J$5:$J$8,1,0))),"Key Artist",not(iserror(vlookup($F986,'Reference info'!$J$38:$J$405,1,0))),"Performer",not(iserror(vlookup($F986,'Reference info'!$J$10:$J$36,1,0))),"Producer &amp; Engineer")</f>
        <v/>
      </c>
    </row>
    <row r="987">
      <c r="A987" s="28"/>
      <c r="B987" s="97"/>
      <c r="C987" s="121" t="str">
        <f t="array" ref="C987">ifs(and(isblank($A987),isblank($B987)),"", not(iserror(vlookup($A987&amp;$B987,'3) Release_Label'!$D:$D&amp;'3) Release_Label'!$E:$E,1,0))),vlookup($A987&amp;$B987,{'3) Release_Label'!$D:$D&amp;'3) Release_Label'!$E:$E,'3) Release_Label'!$F:$F},2,0), or(and(not(isblank($B987)),$B987=$B986,$A987&lt;&gt;$A986),and(not(isblank($A987)),$A987=$A986,$B987&lt;&gt;$B986)),"ID LISTS UNALIGNED",and($A987&lt;&gt;"",countif('3) Release_Label'!$D:$D,$A987)=0),"NO UPC MATCH in Release_Label",and($B987&lt;&gt;"",countif('3) Release_Label'!$E:$E,$B987)=0),"NO CATALOG ID MATCH in Release_Label",iserror(vlookup($A987&amp;$B987,'3) Release_Label'!$D:$D&amp;'3) Release_Label'!$E:$E,1,0)),"NO UPC-CATALOG ID pair MATCH in Release_Label" )</f>
        <v/>
      </c>
      <c r="D987" s="121" t="str">
        <f t="array" ref="D987">ifs(and(isblank($A987),isblank($B987)),"", not(iserror(vlookup($A987&amp;$B987,'3) Release_Label'!$D:$D&amp;'3) Release_Label'!$E:$E,1,0))),vlookup($A987&amp;$B987,{'3) Release_Label'!$D:$D&amp;'3) Release_Label'!$E:$E,'3) Release_Label'!$H:$H},2,0), or(and(not(isblank($B987)),$B987=$B986,$A987&lt;&gt;$A986),and(not(isblank($A987)),$A987=$A986,$B987&lt;&gt;$B986)),"ID LISTS UNALIGNED",and($A987&lt;&gt;"",countif('3) Release_Label'!$D:$D,$A987)=0),"NO UPC MATCH in Release_Label",and($B987&lt;&gt;"",countif('3) Release_Label'!$E:$E,$B987)=0),"NO CATALOG ID MATCH in Release_Label",iserror(vlookup($A987&amp;$B987,'3) Release_Label'!$D:$D&amp;'3) Release_Label'!$E:$E,1,0)),"NO UPC-CATALOG ID pair MATCH in Release_Label" )</f>
        <v/>
      </c>
      <c r="E987" s="92"/>
      <c r="F987" s="92"/>
      <c r="G987" s="125" t="str">
        <f t="array" ref="G987">ifs(or($F987="",$F987="Main Primary Artist"),$F987,not(iserror(vlookup($F987,'Reference info'!$J$5:$J$8,1,0))),"Key Artist",not(iserror(vlookup($F987,'Reference info'!$J$38:$J$405,1,0))),"Performer",not(iserror(vlookup($F987,'Reference info'!$J$10:$J$36,1,0))),"Producer &amp; Engineer")</f>
        <v/>
      </c>
    </row>
    <row r="988">
      <c r="A988" s="28"/>
      <c r="B988" s="97"/>
      <c r="C988" s="121" t="str">
        <f t="array" ref="C988">ifs(and(isblank($A988),isblank($B988)),"", not(iserror(vlookup($A988&amp;$B988,'3) Release_Label'!$D:$D&amp;'3) Release_Label'!$E:$E,1,0))),vlookup($A988&amp;$B988,{'3) Release_Label'!$D:$D&amp;'3) Release_Label'!$E:$E,'3) Release_Label'!$F:$F},2,0), or(and(not(isblank($B988)),$B988=$B987,$A988&lt;&gt;$A987),and(not(isblank($A988)),$A988=$A987,$B988&lt;&gt;$B987)),"ID LISTS UNALIGNED",and($A988&lt;&gt;"",countif('3) Release_Label'!$D:$D,$A988)=0),"NO UPC MATCH in Release_Label",and($B988&lt;&gt;"",countif('3) Release_Label'!$E:$E,$B988)=0),"NO CATALOG ID MATCH in Release_Label",iserror(vlookup($A988&amp;$B988,'3) Release_Label'!$D:$D&amp;'3) Release_Label'!$E:$E,1,0)),"NO UPC-CATALOG ID pair MATCH in Release_Label" )</f>
        <v/>
      </c>
      <c r="D988" s="121" t="str">
        <f t="array" ref="D988">ifs(and(isblank($A988),isblank($B988)),"", not(iserror(vlookup($A988&amp;$B988,'3) Release_Label'!$D:$D&amp;'3) Release_Label'!$E:$E,1,0))),vlookup($A988&amp;$B988,{'3) Release_Label'!$D:$D&amp;'3) Release_Label'!$E:$E,'3) Release_Label'!$H:$H},2,0), or(and(not(isblank($B988)),$B988=$B987,$A988&lt;&gt;$A987),and(not(isblank($A988)),$A988=$A987,$B988&lt;&gt;$B987)),"ID LISTS UNALIGNED",and($A988&lt;&gt;"",countif('3) Release_Label'!$D:$D,$A988)=0),"NO UPC MATCH in Release_Label",and($B988&lt;&gt;"",countif('3) Release_Label'!$E:$E,$B988)=0),"NO CATALOG ID MATCH in Release_Label",iserror(vlookup($A988&amp;$B988,'3) Release_Label'!$D:$D&amp;'3) Release_Label'!$E:$E,1,0)),"NO UPC-CATALOG ID pair MATCH in Release_Label" )</f>
        <v/>
      </c>
      <c r="E988" s="92"/>
      <c r="F988" s="92"/>
      <c r="G988" s="125" t="str">
        <f t="array" ref="G988">ifs(or($F988="",$F988="Main Primary Artist"),$F988,not(iserror(vlookup($F988,'Reference info'!$J$5:$J$8,1,0))),"Key Artist",not(iserror(vlookup($F988,'Reference info'!$J$38:$J$405,1,0))),"Performer",not(iserror(vlookup($F988,'Reference info'!$J$10:$J$36,1,0))),"Producer &amp; Engineer")</f>
        <v/>
      </c>
    </row>
    <row r="989">
      <c r="A989" s="28"/>
      <c r="B989" s="97"/>
      <c r="C989" s="121" t="str">
        <f t="array" ref="C989">ifs(and(isblank($A989),isblank($B989)),"", not(iserror(vlookup($A989&amp;$B989,'3) Release_Label'!$D:$D&amp;'3) Release_Label'!$E:$E,1,0))),vlookup($A989&amp;$B989,{'3) Release_Label'!$D:$D&amp;'3) Release_Label'!$E:$E,'3) Release_Label'!$F:$F},2,0), or(and(not(isblank($B989)),$B989=$B988,$A989&lt;&gt;$A988),and(not(isblank($A989)),$A989=$A988,$B989&lt;&gt;$B988)),"ID LISTS UNALIGNED",and($A989&lt;&gt;"",countif('3) Release_Label'!$D:$D,$A989)=0),"NO UPC MATCH in Release_Label",and($B989&lt;&gt;"",countif('3) Release_Label'!$E:$E,$B989)=0),"NO CATALOG ID MATCH in Release_Label",iserror(vlookup($A989&amp;$B989,'3) Release_Label'!$D:$D&amp;'3) Release_Label'!$E:$E,1,0)),"NO UPC-CATALOG ID pair MATCH in Release_Label" )</f>
        <v/>
      </c>
      <c r="D989" s="121" t="str">
        <f t="array" ref="D989">ifs(and(isblank($A989),isblank($B989)),"", not(iserror(vlookup($A989&amp;$B989,'3) Release_Label'!$D:$D&amp;'3) Release_Label'!$E:$E,1,0))),vlookup($A989&amp;$B989,{'3) Release_Label'!$D:$D&amp;'3) Release_Label'!$E:$E,'3) Release_Label'!$H:$H},2,0), or(and(not(isblank($B989)),$B989=$B988,$A989&lt;&gt;$A988),and(not(isblank($A989)),$A989=$A988,$B989&lt;&gt;$B988)),"ID LISTS UNALIGNED",and($A989&lt;&gt;"",countif('3) Release_Label'!$D:$D,$A989)=0),"NO UPC MATCH in Release_Label",and($B989&lt;&gt;"",countif('3) Release_Label'!$E:$E,$B989)=0),"NO CATALOG ID MATCH in Release_Label",iserror(vlookup($A989&amp;$B989,'3) Release_Label'!$D:$D&amp;'3) Release_Label'!$E:$E,1,0)),"NO UPC-CATALOG ID pair MATCH in Release_Label" )</f>
        <v/>
      </c>
      <c r="E989" s="92"/>
      <c r="F989" s="92"/>
      <c r="G989" s="125" t="str">
        <f t="array" ref="G989">ifs(or($F989="",$F989="Main Primary Artist"),$F989,not(iserror(vlookup($F989,'Reference info'!$J$5:$J$8,1,0))),"Key Artist",not(iserror(vlookup($F989,'Reference info'!$J$38:$J$405,1,0))),"Performer",not(iserror(vlookup($F989,'Reference info'!$J$10:$J$36,1,0))),"Producer &amp; Engineer")</f>
        <v/>
      </c>
    </row>
    <row r="990">
      <c r="A990" s="28"/>
      <c r="B990" s="97"/>
      <c r="C990" s="121" t="str">
        <f t="array" ref="C990">ifs(and(isblank($A990),isblank($B990)),"", not(iserror(vlookup($A990&amp;$B990,'3) Release_Label'!$D:$D&amp;'3) Release_Label'!$E:$E,1,0))),vlookup($A990&amp;$B990,{'3) Release_Label'!$D:$D&amp;'3) Release_Label'!$E:$E,'3) Release_Label'!$F:$F},2,0), or(and(not(isblank($B990)),$B990=$B989,$A990&lt;&gt;$A989),and(not(isblank($A990)),$A990=$A989,$B990&lt;&gt;$B989)),"ID LISTS UNALIGNED",and($A990&lt;&gt;"",countif('3) Release_Label'!$D:$D,$A990)=0),"NO UPC MATCH in Release_Label",and($B990&lt;&gt;"",countif('3) Release_Label'!$E:$E,$B990)=0),"NO CATALOG ID MATCH in Release_Label",iserror(vlookup($A990&amp;$B990,'3) Release_Label'!$D:$D&amp;'3) Release_Label'!$E:$E,1,0)),"NO UPC-CATALOG ID pair MATCH in Release_Label" )</f>
        <v/>
      </c>
      <c r="D990" s="121" t="str">
        <f t="array" ref="D990">ifs(and(isblank($A990),isblank($B990)),"", not(iserror(vlookup($A990&amp;$B990,'3) Release_Label'!$D:$D&amp;'3) Release_Label'!$E:$E,1,0))),vlookup($A990&amp;$B990,{'3) Release_Label'!$D:$D&amp;'3) Release_Label'!$E:$E,'3) Release_Label'!$H:$H},2,0), or(and(not(isblank($B990)),$B990=$B989,$A990&lt;&gt;$A989),and(not(isblank($A990)),$A990=$A989,$B990&lt;&gt;$B989)),"ID LISTS UNALIGNED",and($A990&lt;&gt;"",countif('3) Release_Label'!$D:$D,$A990)=0),"NO UPC MATCH in Release_Label",and($B990&lt;&gt;"",countif('3) Release_Label'!$E:$E,$B990)=0),"NO CATALOG ID MATCH in Release_Label",iserror(vlookup($A990&amp;$B990,'3) Release_Label'!$D:$D&amp;'3) Release_Label'!$E:$E,1,0)),"NO UPC-CATALOG ID pair MATCH in Release_Label" )</f>
        <v/>
      </c>
      <c r="E990" s="92"/>
      <c r="F990" s="92"/>
      <c r="G990" s="125" t="str">
        <f t="array" ref="G990">ifs(or($F990="",$F990="Main Primary Artist"),$F990,not(iserror(vlookup($F990,'Reference info'!$J$5:$J$8,1,0))),"Key Artist",not(iserror(vlookup($F990,'Reference info'!$J$38:$J$405,1,0))),"Performer",not(iserror(vlookup($F990,'Reference info'!$J$10:$J$36,1,0))),"Producer &amp; Engineer")</f>
        <v/>
      </c>
    </row>
    <row r="991">
      <c r="A991" s="28"/>
      <c r="B991" s="97"/>
      <c r="C991" s="121" t="str">
        <f t="array" ref="C991">ifs(and(isblank($A991),isblank($B991)),"", not(iserror(vlookup($A991&amp;$B991,'3) Release_Label'!$D:$D&amp;'3) Release_Label'!$E:$E,1,0))),vlookup($A991&amp;$B991,{'3) Release_Label'!$D:$D&amp;'3) Release_Label'!$E:$E,'3) Release_Label'!$F:$F},2,0), or(and(not(isblank($B991)),$B991=$B990,$A991&lt;&gt;$A990),and(not(isblank($A991)),$A991=$A990,$B991&lt;&gt;$B990)),"ID LISTS UNALIGNED",and($A991&lt;&gt;"",countif('3) Release_Label'!$D:$D,$A991)=0),"NO UPC MATCH in Release_Label",and($B991&lt;&gt;"",countif('3) Release_Label'!$E:$E,$B991)=0),"NO CATALOG ID MATCH in Release_Label",iserror(vlookup($A991&amp;$B991,'3) Release_Label'!$D:$D&amp;'3) Release_Label'!$E:$E,1,0)),"NO UPC-CATALOG ID pair MATCH in Release_Label" )</f>
        <v/>
      </c>
      <c r="D991" s="121" t="str">
        <f t="array" ref="D991">ifs(and(isblank($A991),isblank($B991)),"", not(iserror(vlookup($A991&amp;$B991,'3) Release_Label'!$D:$D&amp;'3) Release_Label'!$E:$E,1,0))),vlookup($A991&amp;$B991,{'3) Release_Label'!$D:$D&amp;'3) Release_Label'!$E:$E,'3) Release_Label'!$H:$H},2,0), or(and(not(isblank($B991)),$B991=$B990,$A991&lt;&gt;$A990),and(not(isblank($A991)),$A991=$A990,$B991&lt;&gt;$B990)),"ID LISTS UNALIGNED",and($A991&lt;&gt;"",countif('3) Release_Label'!$D:$D,$A991)=0),"NO UPC MATCH in Release_Label",and($B991&lt;&gt;"",countif('3) Release_Label'!$E:$E,$B991)=0),"NO CATALOG ID MATCH in Release_Label",iserror(vlookup($A991&amp;$B991,'3) Release_Label'!$D:$D&amp;'3) Release_Label'!$E:$E,1,0)),"NO UPC-CATALOG ID pair MATCH in Release_Label" )</f>
        <v/>
      </c>
      <c r="E991" s="92"/>
      <c r="F991" s="92"/>
      <c r="G991" s="125" t="str">
        <f t="array" ref="G991">ifs(or($F991="",$F991="Main Primary Artist"),$F991,not(iserror(vlookup($F991,'Reference info'!$J$5:$J$8,1,0))),"Key Artist",not(iserror(vlookup($F991,'Reference info'!$J$38:$J$405,1,0))),"Performer",not(iserror(vlookup($F991,'Reference info'!$J$10:$J$36,1,0))),"Producer &amp; Engineer")</f>
        <v/>
      </c>
    </row>
    <row r="992">
      <c r="A992" s="28"/>
      <c r="B992" s="97"/>
      <c r="C992" s="121" t="str">
        <f t="array" ref="C992">ifs(and(isblank($A992),isblank($B992)),"", not(iserror(vlookup($A992&amp;$B992,'3) Release_Label'!$D:$D&amp;'3) Release_Label'!$E:$E,1,0))),vlookup($A992&amp;$B992,{'3) Release_Label'!$D:$D&amp;'3) Release_Label'!$E:$E,'3) Release_Label'!$F:$F},2,0), or(and(not(isblank($B992)),$B992=$B991,$A992&lt;&gt;$A991),and(not(isblank($A992)),$A992=$A991,$B992&lt;&gt;$B991)),"ID LISTS UNALIGNED",and($A992&lt;&gt;"",countif('3) Release_Label'!$D:$D,$A992)=0),"NO UPC MATCH in Release_Label",and($B992&lt;&gt;"",countif('3) Release_Label'!$E:$E,$B992)=0),"NO CATALOG ID MATCH in Release_Label",iserror(vlookup($A992&amp;$B992,'3) Release_Label'!$D:$D&amp;'3) Release_Label'!$E:$E,1,0)),"NO UPC-CATALOG ID pair MATCH in Release_Label" )</f>
        <v/>
      </c>
      <c r="D992" s="121" t="str">
        <f t="array" ref="D992">ifs(and(isblank($A992),isblank($B992)),"", not(iserror(vlookup($A992&amp;$B992,'3) Release_Label'!$D:$D&amp;'3) Release_Label'!$E:$E,1,0))),vlookup($A992&amp;$B992,{'3) Release_Label'!$D:$D&amp;'3) Release_Label'!$E:$E,'3) Release_Label'!$H:$H},2,0), or(and(not(isblank($B992)),$B992=$B991,$A992&lt;&gt;$A991),and(not(isblank($A992)),$A992=$A991,$B992&lt;&gt;$B991)),"ID LISTS UNALIGNED",and($A992&lt;&gt;"",countif('3) Release_Label'!$D:$D,$A992)=0),"NO UPC MATCH in Release_Label",and($B992&lt;&gt;"",countif('3) Release_Label'!$E:$E,$B992)=0),"NO CATALOG ID MATCH in Release_Label",iserror(vlookup($A992&amp;$B992,'3) Release_Label'!$D:$D&amp;'3) Release_Label'!$E:$E,1,0)),"NO UPC-CATALOG ID pair MATCH in Release_Label" )</f>
        <v/>
      </c>
      <c r="E992" s="92"/>
      <c r="F992" s="92"/>
      <c r="G992" s="125" t="str">
        <f t="array" ref="G992">ifs(or($F992="",$F992="Main Primary Artist"),$F992,not(iserror(vlookup($F992,'Reference info'!$J$5:$J$8,1,0))),"Key Artist",not(iserror(vlookup($F992,'Reference info'!$J$38:$J$405,1,0))),"Performer",not(iserror(vlookup($F992,'Reference info'!$J$10:$J$36,1,0))),"Producer &amp; Engineer")</f>
        <v/>
      </c>
    </row>
    <row r="993">
      <c r="A993" s="28"/>
      <c r="B993" s="97"/>
      <c r="C993" s="121" t="str">
        <f t="array" ref="C993">ifs(and(isblank($A993),isblank($B993)),"", not(iserror(vlookup($A993&amp;$B993,'3) Release_Label'!$D:$D&amp;'3) Release_Label'!$E:$E,1,0))),vlookup($A993&amp;$B993,{'3) Release_Label'!$D:$D&amp;'3) Release_Label'!$E:$E,'3) Release_Label'!$F:$F},2,0), or(and(not(isblank($B993)),$B993=$B992,$A993&lt;&gt;$A992),and(not(isblank($A993)),$A993=$A992,$B993&lt;&gt;$B992)),"ID LISTS UNALIGNED",and($A993&lt;&gt;"",countif('3) Release_Label'!$D:$D,$A993)=0),"NO UPC MATCH in Release_Label",and($B993&lt;&gt;"",countif('3) Release_Label'!$E:$E,$B993)=0),"NO CATALOG ID MATCH in Release_Label",iserror(vlookup($A993&amp;$B993,'3) Release_Label'!$D:$D&amp;'3) Release_Label'!$E:$E,1,0)),"NO UPC-CATALOG ID pair MATCH in Release_Label" )</f>
        <v/>
      </c>
      <c r="D993" s="121" t="str">
        <f t="array" ref="D993">ifs(and(isblank($A993),isblank($B993)),"", not(iserror(vlookup($A993&amp;$B993,'3) Release_Label'!$D:$D&amp;'3) Release_Label'!$E:$E,1,0))),vlookup($A993&amp;$B993,{'3) Release_Label'!$D:$D&amp;'3) Release_Label'!$E:$E,'3) Release_Label'!$H:$H},2,0), or(and(not(isblank($B993)),$B993=$B992,$A993&lt;&gt;$A992),and(not(isblank($A993)),$A993=$A992,$B993&lt;&gt;$B992)),"ID LISTS UNALIGNED",and($A993&lt;&gt;"",countif('3) Release_Label'!$D:$D,$A993)=0),"NO UPC MATCH in Release_Label",and($B993&lt;&gt;"",countif('3) Release_Label'!$E:$E,$B993)=0),"NO CATALOG ID MATCH in Release_Label",iserror(vlookup($A993&amp;$B993,'3) Release_Label'!$D:$D&amp;'3) Release_Label'!$E:$E,1,0)),"NO UPC-CATALOG ID pair MATCH in Release_Label" )</f>
        <v/>
      </c>
      <c r="E993" s="92"/>
      <c r="F993" s="92"/>
      <c r="G993" s="125" t="str">
        <f t="array" ref="G993">ifs(or($F993="",$F993="Main Primary Artist"),$F993,not(iserror(vlookup($F993,'Reference info'!$J$5:$J$8,1,0))),"Key Artist",not(iserror(vlookup($F993,'Reference info'!$J$38:$J$405,1,0))),"Performer",not(iserror(vlookup($F993,'Reference info'!$J$10:$J$36,1,0))),"Producer &amp; Engineer")</f>
        <v/>
      </c>
    </row>
    <row r="994">
      <c r="A994" s="28"/>
      <c r="B994" s="97"/>
      <c r="C994" s="121" t="str">
        <f t="array" ref="C994">ifs(and(isblank($A994),isblank($B994)),"", not(iserror(vlookup($A994&amp;$B994,'3) Release_Label'!$D:$D&amp;'3) Release_Label'!$E:$E,1,0))),vlookup($A994&amp;$B994,{'3) Release_Label'!$D:$D&amp;'3) Release_Label'!$E:$E,'3) Release_Label'!$F:$F},2,0), or(and(not(isblank($B994)),$B994=$B993,$A994&lt;&gt;$A993),and(not(isblank($A994)),$A994=$A993,$B994&lt;&gt;$B993)),"ID LISTS UNALIGNED",and($A994&lt;&gt;"",countif('3) Release_Label'!$D:$D,$A994)=0),"NO UPC MATCH in Release_Label",and($B994&lt;&gt;"",countif('3) Release_Label'!$E:$E,$B994)=0),"NO CATALOG ID MATCH in Release_Label",iserror(vlookup($A994&amp;$B994,'3) Release_Label'!$D:$D&amp;'3) Release_Label'!$E:$E,1,0)),"NO UPC-CATALOG ID pair MATCH in Release_Label" )</f>
        <v/>
      </c>
      <c r="D994" s="121" t="str">
        <f t="array" ref="D994">ifs(and(isblank($A994),isblank($B994)),"", not(iserror(vlookup($A994&amp;$B994,'3) Release_Label'!$D:$D&amp;'3) Release_Label'!$E:$E,1,0))),vlookup($A994&amp;$B994,{'3) Release_Label'!$D:$D&amp;'3) Release_Label'!$E:$E,'3) Release_Label'!$H:$H},2,0), or(and(not(isblank($B994)),$B994=$B993,$A994&lt;&gt;$A993),and(not(isblank($A994)),$A994=$A993,$B994&lt;&gt;$B993)),"ID LISTS UNALIGNED",and($A994&lt;&gt;"",countif('3) Release_Label'!$D:$D,$A994)=0),"NO UPC MATCH in Release_Label",and($B994&lt;&gt;"",countif('3) Release_Label'!$E:$E,$B994)=0),"NO CATALOG ID MATCH in Release_Label",iserror(vlookup($A994&amp;$B994,'3) Release_Label'!$D:$D&amp;'3) Release_Label'!$E:$E,1,0)),"NO UPC-CATALOG ID pair MATCH in Release_Label" )</f>
        <v/>
      </c>
      <c r="E994" s="92"/>
      <c r="F994" s="92"/>
      <c r="G994" s="125" t="str">
        <f t="array" ref="G994">ifs(or($F994="",$F994="Main Primary Artist"),$F994,not(iserror(vlookup($F994,'Reference info'!$J$5:$J$8,1,0))),"Key Artist",not(iserror(vlookup($F994,'Reference info'!$J$38:$J$405,1,0))),"Performer",not(iserror(vlookup($F994,'Reference info'!$J$10:$J$36,1,0))),"Producer &amp; Engineer")</f>
        <v/>
      </c>
    </row>
    <row r="995">
      <c r="A995" s="28"/>
      <c r="B995" s="97"/>
      <c r="C995" s="121" t="str">
        <f t="array" ref="C995">ifs(and(isblank($A995),isblank($B995)),"", not(iserror(vlookup($A995&amp;$B995,'3) Release_Label'!$D:$D&amp;'3) Release_Label'!$E:$E,1,0))),vlookup($A995&amp;$B995,{'3) Release_Label'!$D:$D&amp;'3) Release_Label'!$E:$E,'3) Release_Label'!$F:$F},2,0), or(and(not(isblank($B995)),$B995=$B994,$A995&lt;&gt;$A994),and(not(isblank($A995)),$A995=$A994,$B995&lt;&gt;$B994)),"ID LISTS UNALIGNED",and($A995&lt;&gt;"",countif('3) Release_Label'!$D:$D,$A995)=0),"NO UPC MATCH in Release_Label",and($B995&lt;&gt;"",countif('3) Release_Label'!$E:$E,$B995)=0),"NO CATALOG ID MATCH in Release_Label",iserror(vlookup($A995&amp;$B995,'3) Release_Label'!$D:$D&amp;'3) Release_Label'!$E:$E,1,0)),"NO UPC-CATALOG ID pair MATCH in Release_Label" )</f>
        <v/>
      </c>
      <c r="D995" s="121" t="str">
        <f t="array" ref="D995">ifs(and(isblank($A995),isblank($B995)),"", not(iserror(vlookup($A995&amp;$B995,'3) Release_Label'!$D:$D&amp;'3) Release_Label'!$E:$E,1,0))),vlookup($A995&amp;$B995,{'3) Release_Label'!$D:$D&amp;'3) Release_Label'!$E:$E,'3) Release_Label'!$H:$H},2,0), or(and(not(isblank($B995)),$B995=$B994,$A995&lt;&gt;$A994),and(not(isblank($A995)),$A995=$A994,$B995&lt;&gt;$B994)),"ID LISTS UNALIGNED",and($A995&lt;&gt;"",countif('3) Release_Label'!$D:$D,$A995)=0),"NO UPC MATCH in Release_Label",and($B995&lt;&gt;"",countif('3) Release_Label'!$E:$E,$B995)=0),"NO CATALOG ID MATCH in Release_Label",iserror(vlookup($A995&amp;$B995,'3) Release_Label'!$D:$D&amp;'3) Release_Label'!$E:$E,1,0)),"NO UPC-CATALOG ID pair MATCH in Release_Label" )</f>
        <v/>
      </c>
      <c r="E995" s="92"/>
      <c r="F995" s="92"/>
      <c r="G995" s="125" t="str">
        <f t="array" ref="G995">ifs(or($F995="",$F995="Main Primary Artist"),$F995,not(iserror(vlookup($F995,'Reference info'!$J$5:$J$8,1,0))),"Key Artist",not(iserror(vlookup($F995,'Reference info'!$J$38:$J$405,1,0))),"Performer",not(iserror(vlookup($F995,'Reference info'!$J$10:$J$36,1,0))),"Producer &amp; Engineer")</f>
        <v/>
      </c>
    </row>
    <row r="996">
      <c r="A996" s="28"/>
      <c r="B996" s="97"/>
      <c r="C996" s="121" t="str">
        <f t="array" ref="C996">ifs(and(isblank($A996),isblank($B996)),"", not(iserror(vlookup($A996&amp;$B996,'3) Release_Label'!$D:$D&amp;'3) Release_Label'!$E:$E,1,0))),vlookup($A996&amp;$B996,{'3) Release_Label'!$D:$D&amp;'3) Release_Label'!$E:$E,'3) Release_Label'!$F:$F},2,0), or(and(not(isblank($B996)),$B996=$B995,$A996&lt;&gt;$A995),and(not(isblank($A996)),$A996=$A995,$B996&lt;&gt;$B995)),"ID LISTS UNALIGNED",and($A996&lt;&gt;"",countif('3) Release_Label'!$D:$D,$A996)=0),"NO UPC MATCH in Release_Label",and($B996&lt;&gt;"",countif('3) Release_Label'!$E:$E,$B996)=0),"NO CATALOG ID MATCH in Release_Label",iserror(vlookup($A996&amp;$B996,'3) Release_Label'!$D:$D&amp;'3) Release_Label'!$E:$E,1,0)),"NO UPC-CATALOG ID pair MATCH in Release_Label" )</f>
        <v/>
      </c>
      <c r="D996" s="121" t="str">
        <f t="array" ref="D996">ifs(and(isblank($A996),isblank($B996)),"", not(iserror(vlookup($A996&amp;$B996,'3) Release_Label'!$D:$D&amp;'3) Release_Label'!$E:$E,1,0))),vlookup($A996&amp;$B996,{'3) Release_Label'!$D:$D&amp;'3) Release_Label'!$E:$E,'3) Release_Label'!$H:$H},2,0), or(and(not(isblank($B996)),$B996=$B995,$A996&lt;&gt;$A995),and(not(isblank($A996)),$A996=$A995,$B996&lt;&gt;$B995)),"ID LISTS UNALIGNED",and($A996&lt;&gt;"",countif('3) Release_Label'!$D:$D,$A996)=0),"NO UPC MATCH in Release_Label",and($B996&lt;&gt;"",countif('3) Release_Label'!$E:$E,$B996)=0),"NO CATALOG ID MATCH in Release_Label",iserror(vlookup($A996&amp;$B996,'3) Release_Label'!$D:$D&amp;'3) Release_Label'!$E:$E,1,0)),"NO UPC-CATALOG ID pair MATCH in Release_Label" )</f>
        <v/>
      </c>
      <c r="E996" s="92"/>
      <c r="F996" s="92"/>
      <c r="G996" s="125" t="str">
        <f t="array" ref="G996">ifs(or($F996="",$F996="Main Primary Artist"),$F996,not(iserror(vlookup($F996,'Reference info'!$J$5:$J$8,1,0))),"Key Artist",not(iserror(vlookup($F996,'Reference info'!$J$38:$J$405,1,0))),"Performer",not(iserror(vlookup($F996,'Reference info'!$J$10:$J$36,1,0))),"Producer &amp; Engineer")</f>
        <v/>
      </c>
    </row>
    <row r="997">
      <c r="A997" s="28"/>
      <c r="B997" s="97"/>
      <c r="C997" s="121" t="str">
        <f t="array" ref="C997">ifs(and(isblank($A997),isblank($B997)),"", not(iserror(vlookup($A997&amp;$B997,'3) Release_Label'!$D:$D&amp;'3) Release_Label'!$E:$E,1,0))),vlookup($A997&amp;$B997,{'3) Release_Label'!$D:$D&amp;'3) Release_Label'!$E:$E,'3) Release_Label'!$F:$F},2,0), or(and(not(isblank($B997)),$B997=$B996,$A997&lt;&gt;$A996),and(not(isblank($A997)),$A997=$A996,$B997&lt;&gt;$B996)),"ID LISTS UNALIGNED",and($A997&lt;&gt;"",countif('3) Release_Label'!$D:$D,$A997)=0),"NO UPC MATCH in Release_Label",and($B997&lt;&gt;"",countif('3) Release_Label'!$E:$E,$B997)=0),"NO CATALOG ID MATCH in Release_Label",iserror(vlookup($A997&amp;$B997,'3) Release_Label'!$D:$D&amp;'3) Release_Label'!$E:$E,1,0)),"NO UPC-CATALOG ID pair MATCH in Release_Label" )</f>
        <v/>
      </c>
      <c r="D997" s="121" t="str">
        <f t="array" ref="D997">ifs(and(isblank($A997),isblank($B997)),"", not(iserror(vlookup($A997&amp;$B997,'3) Release_Label'!$D:$D&amp;'3) Release_Label'!$E:$E,1,0))),vlookup($A997&amp;$B997,{'3) Release_Label'!$D:$D&amp;'3) Release_Label'!$E:$E,'3) Release_Label'!$H:$H},2,0), or(and(not(isblank($B997)),$B997=$B996,$A997&lt;&gt;$A996),and(not(isblank($A997)),$A997=$A996,$B997&lt;&gt;$B996)),"ID LISTS UNALIGNED",and($A997&lt;&gt;"",countif('3) Release_Label'!$D:$D,$A997)=0),"NO UPC MATCH in Release_Label",and($B997&lt;&gt;"",countif('3) Release_Label'!$E:$E,$B997)=0),"NO CATALOG ID MATCH in Release_Label",iserror(vlookup($A997&amp;$B997,'3) Release_Label'!$D:$D&amp;'3) Release_Label'!$E:$E,1,0)),"NO UPC-CATALOG ID pair MATCH in Release_Label" )</f>
        <v/>
      </c>
      <c r="E997" s="92"/>
      <c r="F997" s="92"/>
      <c r="G997" s="125" t="str">
        <f t="array" ref="G997">ifs(or($F997="",$F997="Main Primary Artist"),$F997,not(iserror(vlookup($F997,'Reference info'!$J$5:$J$8,1,0))),"Key Artist",not(iserror(vlookup($F997,'Reference info'!$J$38:$J$405,1,0))),"Performer",not(iserror(vlookup($F997,'Reference info'!$J$10:$J$36,1,0))),"Producer &amp; Engineer")</f>
        <v/>
      </c>
    </row>
    <row r="998">
      <c r="A998" s="28"/>
      <c r="B998" s="97"/>
      <c r="C998" s="121" t="str">
        <f t="array" ref="C998">ifs(and(isblank($A998),isblank($B998)),"", not(iserror(vlookup($A998&amp;$B998,'3) Release_Label'!$D:$D&amp;'3) Release_Label'!$E:$E,1,0))),vlookup($A998&amp;$B998,{'3) Release_Label'!$D:$D&amp;'3) Release_Label'!$E:$E,'3) Release_Label'!$F:$F},2,0), or(and(not(isblank($B998)),$B998=$B997,$A998&lt;&gt;$A997),and(not(isblank($A998)),$A998=$A997,$B998&lt;&gt;$B997)),"ID LISTS UNALIGNED",and($A998&lt;&gt;"",countif('3) Release_Label'!$D:$D,$A998)=0),"NO UPC MATCH in Release_Label",and($B998&lt;&gt;"",countif('3) Release_Label'!$E:$E,$B998)=0),"NO CATALOG ID MATCH in Release_Label",iserror(vlookup($A998&amp;$B998,'3) Release_Label'!$D:$D&amp;'3) Release_Label'!$E:$E,1,0)),"NO UPC-CATALOG ID pair MATCH in Release_Label" )</f>
        <v/>
      </c>
      <c r="D998" s="121" t="str">
        <f t="array" ref="D998">ifs(and(isblank($A998),isblank($B998)),"", not(iserror(vlookup($A998&amp;$B998,'3) Release_Label'!$D:$D&amp;'3) Release_Label'!$E:$E,1,0))),vlookup($A998&amp;$B998,{'3) Release_Label'!$D:$D&amp;'3) Release_Label'!$E:$E,'3) Release_Label'!$H:$H},2,0), or(and(not(isblank($B998)),$B998=$B997,$A998&lt;&gt;$A997),and(not(isblank($A998)),$A998=$A997,$B998&lt;&gt;$B997)),"ID LISTS UNALIGNED",and($A998&lt;&gt;"",countif('3) Release_Label'!$D:$D,$A998)=0),"NO UPC MATCH in Release_Label",and($B998&lt;&gt;"",countif('3) Release_Label'!$E:$E,$B998)=0),"NO CATALOG ID MATCH in Release_Label",iserror(vlookup($A998&amp;$B998,'3) Release_Label'!$D:$D&amp;'3) Release_Label'!$E:$E,1,0)),"NO UPC-CATALOG ID pair MATCH in Release_Label" )</f>
        <v/>
      </c>
      <c r="E998" s="92"/>
      <c r="F998" s="92"/>
      <c r="G998" s="125" t="str">
        <f t="array" ref="G998">ifs(or($F998="",$F998="Main Primary Artist"),$F998,not(iserror(vlookup($F998,'Reference info'!$J$5:$J$8,1,0))),"Key Artist",not(iserror(vlookup($F998,'Reference info'!$J$38:$J$405,1,0))),"Performer",not(iserror(vlookup($F998,'Reference info'!$J$10:$J$36,1,0))),"Producer &amp; Engineer")</f>
        <v/>
      </c>
    </row>
    <row r="999">
      <c r="A999" s="28"/>
      <c r="B999" s="97"/>
      <c r="C999" s="121" t="str">
        <f t="array" ref="C999">ifs(and(isblank($A999),isblank($B999)),"", not(iserror(vlookup($A999&amp;$B999,'3) Release_Label'!$D:$D&amp;'3) Release_Label'!$E:$E,1,0))),vlookup($A999&amp;$B999,{'3) Release_Label'!$D:$D&amp;'3) Release_Label'!$E:$E,'3) Release_Label'!$F:$F},2,0), or(and(not(isblank($B999)),$B999=$B998,$A999&lt;&gt;$A998),and(not(isblank($A999)),$A999=$A998,$B999&lt;&gt;$B998)),"ID LISTS UNALIGNED",and($A999&lt;&gt;"",countif('3) Release_Label'!$D:$D,$A999)=0),"NO UPC MATCH in Release_Label",and($B999&lt;&gt;"",countif('3) Release_Label'!$E:$E,$B999)=0),"NO CATALOG ID MATCH in Release_Label",iserror(vlookup($A999&amp;$B999,'3) Release_Label'!$D:$D&amp;'3) Release_Label'!$E:$E,1,0)),"NO UPC-CATALOG ID pair MATCH in Release_Label" )</f>
        <v/>
      </c>
      <c r="D999" s="121" t="str">
        <f t="array" ref="D999">ifs(and(isblank($A999),isblank($B999)),"", not(iserror(vlookup($A999&amp;$B999,'3) Release_Label'!$D:$D&amp;'3) Release_Label'!$E:$E,1,0))),vlookup($A999&amp;$B999,{'3) Release_Label'!$D:$D&amp;'3) Release_Label'!$E:$E,'3) Release_Label'!$H:$H},2,0), or(and(not(isblank($B999)),$B999=$B998,$A999&lt;&gt;$A998),and(not(isblank($A999)),$A999=$A998,$B999&lt;&gt;$B998)),"ID LISTS UNALIGNED",and($A999&lt;&gt;"",countif('3) Release_Label'!$D:$D,$A999)=0),"NO UPC MATCH in Release_Label",and($B999&lt;&gt;"",countif('3) Release_Label'!$E:$E,$B999)=0),"NO CATALOG ID MATCH in Release_Label",iserror(vlookup($A999&amp;$B999,'3) Release_Label'!$D:$D&amp;'3) Release_Label'!$E:$E,1,0)),"NO UPC-CATALOG ID pair MATCH in Release_Label" )</f>
        <v/>
      </c>
      <c r="E999" s="92"/>
      <c r="F999" s="92"/>
      <c r="G999" s="125" t="str">
        <f t="array" ref="G999">ifs(or($F999="",$F999="Main Primary Artist"),$F999,not(iserror(vlookup($F999,'Reference info'!$J$5:$J$8,1,0))),"Key Artist",not(iserror(vlookup($F999,'Reference info'!$J$38:$J$405,1,0))),"Performer",not(iserror(vlookup($F999,'Reference info'!$J$10:$J$36,1,0))),"Producer &amp; Engineer")</f>
        <v/>
      </c>
    </row>
    <row r="1000">
      <c r="A1000" s="28"/>
      <c r="B1000" s="97"/>
      <c r="C1000" s="121" t="str">
        <f t="array" ref="C1000">ifs(and(isblank($A1000),isblank($B1000)),"", not(iserror(vlookup($A1000&amp;$B1000,'3) Release_Label'!$D:$D&amp;'3) Release_Label'!$E:$E,1,0))),vlookup($A1000&amp;$B1000,{'3) Release_Label'!$D:$D&amp;'3) Release_Label'!$E:$E,'3) Release_Label'!$F:$F},2,0), or(and(not(isblank($B1000)),$B1000=$B999,$A1000&lt;&gt;$A999),and(not(isblank($A1000)),$A1000=$A999,$B1000&lt;&gt;$B999)),"ID LISTS UNALIGNED",and($A1000&lt;&gt;"",countif('3) Release_Label'!$D:$D,$A1000)=0),"NO UPC MATCH in Release_Label",and($B1000&lt;&gt;"",countif('3) Release_Label'!$E:$E,$B1000)=0),"NO CATALOG ID MATCH in Release_Label",iserror(vlookup($A1000&amp;$B1000,'3) Release_Label'!$D:$D&amp;'3) Release_Label'!$E:$E,1,0)),"NO UPC-CATALOG ID pair MATCH in Release_Label" )</f>
        <v/>
      </c>
      <c r="D1000" s="121" t="str">
        <f t="array" ref="D1000">ifs(and(isblank($A1000),isblank($B1000)),"", not(iserror(vlookup($A1000&amp;$B1000,'3) Release_Label'!$D:$D&amp;'3) Release_Label'!$E:$E,1,0))),vlookup($A1000&amp;$B1000,{'3) Release_Label'!$D:$D&amp;'3) Release_Label'!$E:$E,'3) Release_Label'!$H:$H},2,0), or(and(not(isblank($B1000)),$B1000=$B999,$A1000&lt;&gt;$A999),and(not(isblank($A1000)),$A1000=$A999,$B1000&lt;&gt;$B999)),"ID LISTS UNALIGNED",and($A1000&lt;&gt;"",countif('3) Release_Label'!$D:$D,$A1000)=0),"NO UPC MATCH in Release_Label",and($B1000&lt;&gt;"",countif('3) Release_Label'!$E:$E,$B1000)=0),"NO CATALOG ID MATCH in Release_Label",iserror(vlookup($A1000&amp;$B1000,'3) Release_Label'!$D:$D&amp;'3) Release_Label'!$E:$E,1,0)),"NO UPC-CATALOG ID pair MATCH in Release_Label" )</f>
        <v/>
      </c>
      <c r="E1000" s="92"/>
      <c r="F1000" s="92"/>
      <c r="G1000" s="125" t="str">
        <f t="array" ref="G1000">ifs(or($F1000="",$F1000="Main Primary Artist"),$F1000,not(iserror(vlookup($F1000,'Reference info'!$J$5:$J$8,1,0))),"Key Artist",not(iserror(vlookup($F1000,'Reference info'!$J$38:$J$405,1,0))),"Performer",not(iserror(vlookup($F1000,'Reference info'!$J$10:$J$36,1,0))),"Producer &amp; Engineer")</f>
        <v/>
      </c>
    </row>
    <row r="1001">
      <c r="A1001" s="28"/>
      <c r="B1001" s="97"/>
      <c r="C1001" s="121" t="str">
        <f t="array" ref="C1001">ifs(and(isblank($A1001),isblank($B1001)),"", not(iserror(vlookup($A1001&amp;$B1001,'3) Release_Label'!$D:$D&amp;'3) Release_Label'!$E:$E,1,0))),vlookup($A1001&amp;$B1001,{'3) Release_Label'!$D:$D&amp;'3) Release_Label'!$E:$E,'3) Release_Label'!$F:$F},2,0), or(and(not(isblank($B1001)),$B1001=$B1000,$A1001&lt;&gt;$A1000),and(not(isblank($A1001)),$A1001=$A1000,$B1001&lt;&gt;$B1000)),"ID LISTS UNALIGNED",and($A1001&lt;&gt;"",countif('3) Release_Label'!$D:$D,$A1001)=0),"NO UPC MATCH in Release_Label",and($B1001&lt;&gt;"",countif('3) Release_Label'!$E:$E,$B1001)=0),"NO CATALOG ID MATCH in Release_Label",iserror(vlookup($A1001&amp;$B1001,'3) Release_Label'!$D:$D&amp;'3) Release_Label'!$E:$E,1,0)),"NO UPC-CATALOG ID pair MATCH in Release_Label" )</f>
        <v/>
      </c>
      <c r="D1001" s="121" t="str">
        <f t="array" ref="D1001">ifs(and(isblank($A1001),isblank($B1001)),"", not(iserror(vlookup($A1001&amp;$B1001,'3) Release_Label'!$D:$D&amp;'3) Release_Label'!$E:$E,1,0))),vlookup($A1001&amp;$B1001,{'3) Release_Label'!$D:$D&amp;'3) Release_Label'!$E:$E,'3) Release_Label'!$H:$H},2,0), or(and(not(isblank($B1001)),$B1001=$B1000,$A1001&lt;&gt;$A1000),and(not(isblank($A1001)),$A1001=$A1000,$B1001&lt;&gt;$B1000)),"ID LISTS UNALIGNED",and($A1001&lt;&gt;"",countif('3) Release_Label'!$D:$D,$A1001)=0),"NO UPC MATCH in Release_Label",and($B1001&lt;&gt;"",countif('3) Release_Label'!$E:$E,$B1001)=0),"NO CATALOG ID MATCH in Release_Label",iserror(vlookup($A1001&amp;$B1001,'3) Release_Label'!$D:$D&amp;'3) Release_Label'!$E:$E,1,0)),"NO UPC-CATALOG ID pair MATCH in Release_Label" )</f>
        <v/>
      </c>
      <c r="E1001" s="92"/>
      <c r="F1001" s="92"/>
      <c r="G1001" s="125" t="str">
        <f t="array" ref="G1001">ifs(or($F1001="",$F1001="Main Primary Artist"),$F1001,not(iserror(vlookup($F1001,'Reference info'!$J$5:$J$8,1,0))),"Key Artist",not(iserror(vlookup($F1001,'Reference info'!$J$38:$J$405,1,0))),"Performer",not(iserror(vlookup($F1001,'Reference info'!$J$10:$J$36,1,0))),"Producer &amp; Engineer")</f>
        <v/>
      </c>
    </row>
    <row r="1002">
      <c r="A1002" s="28"/>
      <c r="B1002" s="97"/>
      <c r="C1002" s="121" t="str">
        <f t="array" ref="C1002">ifs(and(isblank($A1002),isblank($B1002)),"", not(iserror(vlookup($A1002&amp;$B1002,'3) Release_Label'!$D:$D&amp;'3) Release_Label'!$E:$E,1,0))),vlookup($A1002&amp;$B1002,{'3) Release_Label'!$D:$D&amp;'3) Release_Label'!$E:$E,'3) Release_Label'!$F:$F},2,0), or(and(not(isblank($B1002)),$B1002=$B1001,$A1002&lt;&gt;$A1001),and(not(isblank($A1002)),$A1002=$A1001,$B1002&lt;&gt;$B1001)),"ID LISTS UNALIGNED",and($A1002&lt;&gt;"",countif('3) Release_Label'!$D:$D,$A1002)=0),"NO UPC MATCH in Release_Label",and($B1002&lt;&gt;"",countif('3) Release_Label'!$E:$E,$B1002)=0),"NO CATALOG ID MATCH in Release_Label",iserror(vlookup($A1002&amp;$B1002,'3) Release_Label'!$D:$D&amp;'3) Release_Label'!$E:$E,1,0)),"NO UPC-CATALOG ID pair MATCH in Release_Label" )</f>
        <v/>
      </c>
      <c r="D1002" s="121" t="str">
        <f t="array" ref="D1002">ifs(and(isblank($A1002),isblank($B1002)),"", not(iserror(vlookup($A1002&amp;$B1002,'3) Release_Label'!$D:$D&amp;'3) Release_Label'!$E:$E,1,0))),vlookup($A1002&amp;$B1002,{'3) Release_Label'!$D:$D&amp;'3) Release_Label'!$E:$E,'3) Release_Label'!$H:$H},2,0), or(and(not(isblank($B1002)),$B1002=$B1001,$A1002&lt;&gt;$A1001),and(not(isblank($A1002)),$A1002=$A1001,$B1002&lt;&gt;$B1001)),"ID LISTS UNALIGNED",and($A1002&lt;&gt;"",countif('3) Release_Label'!$D:$D,$A1002)=0),"NO UPC MATCH in Release_Label",and($B1002&lt;&gt;"",countif('3) Release_Label'!$E:$E,$B1002)=0),"NO CATALOG ID MATCH in Release_Label",iserror(vlookup($A1002&amp;$B1002,'3) Release_Label'!$D:$D&amp;'3) Release_Label'!$E:$E,1,0)),"NO UPC-CATALOG ID pair MATCH in Release_Label" )</f>
        <v/>
      </c>
      <c r="E1002" s="92"/>
      <c r="F1002" s="92"/>
      <c r="G1002" s="125" t="str">
        <f t="array" ref="G1002">ifs(or($F1002="",$F1002="Main Primary Artist"),$F1002,not(iserror(vlookup($F1002,'Reference info'!$J$5:$J$8,1,0))),"Key Artist",not(iserror(vlookup($F1002,'Reference info'!$J$38:$J$405,1,0))),"Performer",not(iserror(vlookup($F1002,'Reference info'!$J$10:$J$36,1,0))),"Producer &amp; Engineer")</f>
        <v/>
      </c>
    </row>
    <row r="1003">
      <c r="A1003" s="28"/>
      <c r="B1003" s="97"/>
      <c r="C1003" s="121" t="str">
        <f t="array" ref="C1003">ifs(and(isblank($A1003),isblank($B1003)),"", not(iserror(vlookup($A1003&amp;$B1003,'3) Release_Label'!$D:$D&amp;'3) Release_Label'!$E:$E,1,0))),vlookup($A1003&amp;$B1003,{'3) Release_Label'!$D:$D&amp;'3) Release_Label'!$E:$E,'3) Release_Label'!$F:$F},2,0), or(and(not(isblank($B1003)),$B1003=$B1002,$A1003&lt;&gt;$A1002),and(not(isblank($A1003)),$A1003=$A1002,$B1003&lt;&gt;$B1002)),"ID LISTS UNALIGNED",and($A1003&lt;&gt;"",countif('3) Release_Label'!$D:$D,$A1003)=0),"NO UPC MATCH in Release_Label",and($B1003&lt;&gt;"",countif('3) Release_Label'!$E:$E,$B1003)=0),"NO CATALOG ID MATCH in Release_Label",iserror(vlookup($A1003&amp;$B1003,'3) Release_Label'!$D:$D&amp;'3) Release_Label'!$E:$E,1,0)),"NO UPC-CATALOG ID pair MATCH in Release_Label" )</f>
        <v/>
      </c>
      <c r="D1003" s="121" t="str">
        <f t="array" ref="D1003">ifs(and(isblank($A1003),isblank($B1003)),"", not(iserror(vlookup($A1003&amp;$B1003,'3) Release_Label'!$D:$D&amp;'3) Release_Label'!$E:$E,1,0))),vlookup($A1003&amp;$B1003,{'3) Release_Label'!$D:$D&amp;'3) Release_Label'!$E:$E,'3) Release_Label'!$H:$H},2,0), or(and(not(isblank($B1003)),$B1003=$B1002,$A1003&lt;&gt;$A1002),and(not(isblank($A1003)),$A1003=$A1002,$B1003&lt;&gt;$B1002)),"ID LISTS UNALIGNED",and($A1003&lt;&gt;"",countif('3) Release_Label'!$D:$D,$A1003)=0),"NO UPC MATCH in Release_Label",and($B1003&lt;&gt;"",countif('3) Release_Label'!$E:$E,$B1003)=0),"NO CATALOG ID MATCH in Release_Label",iserror(vlookup($A1003&amp;$B1003,'3) Release_Label'!$D:$D&amp;'3) Release_Label'!$E:$E,1,0)),"NO UPC-CATALOG ID pair MATCH in Release_Label" )</f>
        <v/>
      </c>
      <c r="E1003" s="92"/>
      <c r="F1003" s="92"/>
      <c r="G1003" s="125" t="str">
        <f t="array" ref="G1003">ifs(or($F1003="",$F1003="Main Primary Artist"),$F1003,not(iserror(vlookup($F1003,'Reference info'!$J$5:$J$8,1,0))),"Key Artist",not(iserror(vlookup($F1003,'Reference info'!$J$38:$J$405,1,0))),"Performer",not(iserror(vlookup($F1003,'Reference info'!$J$10:$J$36,1,0))),"Producer &amp; Engineer")</f>
        <v/>
      </c>
    </row>
    <row r="1004">
      <c r="A1004" s="28"/>
      <c r="B1004" s="97"/>
      <c r="C1004" s="121" t="str">
        <f t="array" ref="C1004">ifs(and(isblank($A1004),isblank($B1004)),"", not(iserror(vlookup($A1004&amp;$B1004,'3) Release_Label'!$D:$D&amp;'3) Release_Label'!$E:$E,1,0))),vlookup($A1004&amp;$B1004,{'3) Release_Label'!$D:$D&amp;'3) Release_Label'!$E:$E,'3) Release_Label'!$F:$F},2,0), or(and(not(isblank($B1004)),$B1004=$B1003,$A1004&lt;&gt;$A1003),and(not(isblank($A1004)),$A1004=$A1003,$B1004&lt;&gt;$B1003)),"ID LISTS UNALIGNED",and($A1004&lt;&gt;"",countif('3) Release_Label'!$D:$D,$A1004)=0),"NO UPC MATCH in Release_Label",and($B1004&lt;&gt;"",countif('3) Release_Label'!$E:$E,$B1004)=0),"NO CATALOG ID MATCH in Release_Label",iserror(vlookup($A1004&amp;$B1004,'3) Release_Label'!$D:$D&amp;'3) Release_Label'!$E:$E,1,0)),"NO UPC-CATALOG ID pair MATCH in Release_Label" )</f>
        <v/>
      </c>
      <c r="D1004" s="121" t="str">
        <f t="array" ref="D1004">ifs(and(isblank($A1004),isblank($B1004)),"", not(iserror(vlookup($A1004&amp;$B1004,'3) Release_Label'!$D:$D&amp;'3) Release_Label'!$E:$E,1,0))),vlookup($A1004&amp;$B1004,{'3) Release_Label'!$D:$D&amp;'3) Release_Label'!$E:$E,'3) Release_Label'!$H:$H},2,0), or(and(not(isblank($B1004)),$B1004=$B1003,$A1004&lt;&gt;$A1003),and(not(isblank($A1004)),$A1004=$A1003,$B1004&lt;&gt;$B1003)),"ID LISTS UNALIGNED",and($A1004&lt;&gt;"",countif('3) Release_Label'!$D:$D,$A1004)=0),"NO UPC MATCH in Release_Label",and($B1004&lt;&gt;"",countif('3) Release_Label'!$E:$E,$B1004)=0),"NO CATALOG ID MATCH in Release_Label",iserror(vlookup($A1004&amp;$B1004,'3) Release_Label'!$D:$D&amp;'3) Release_Label'!$E:$E,1,0)),"NO UPC-CATALOG ID pair MATCH in Release_Label" )</f>
        <v/>
      </c>
      <c r="E1004" s="92"/>
      <c r="F1004" s="92"/>
      <c r="G1004" s="125" t="str">
        <f t="array" ref="G1004">ifs(or($F1004="",$F1004="Main Primary Artist"),$F1004,not(iserror(vlookup($F1004,'Reference info'!$J$5:$J$8,1,0))),"Key Artist",not(iserror(vlookup($F1004,'Reference info'!$J$38:$J$405,1,0))),"Performer",not(iserror(vlookup($F1004,'Reference info'!$J$10:$J$36,1,0))),"Producer &amp; Engineer")</f>
        <v/>
      </c>
    </row>
    <row r="1005">
      <c r="A1005" s="28"/>
      <c r="B1005" s="97"/>
      <c r="C1005" s="121" t="str">
        <f t="array" ref="C1005">ifs(and(isblank($A1005),isblank($B1005)),"", not(iserror(vlookup($A1005&amp;$B1005,'3) Release_Label'!$D:$D&amp;'3) Release_Label'!$E:$E,1,0))),vlookup($A1005&amp;$B1005,{'3) Release_Label'!$D:$D&amp;'3) Release_Label'!$E:$E,'3) Release_Label'!$F:$F},2,0), or(and(not(isblank($B1005)),$B1005=$B1004,$A1005&lt;&gt;$A1004),and(not(isblank($A1005)),$A1005=$A1004,$B1005&lt;&gt;$B1004)),"ID LISTS UNALIGNED",and($A1005&lt;&gt;"",countif('3) Release_Label'!$D:$D,$A1005)=0),"NO UPC MATCH in Release_Label",and($B1005&lt;&gt;"",countif('3) Release_Label'!$E:$E,$B1005)=0),"NO CATALOG ID MATCH in Release_Label",iserror(vlookup($A1005&amp;$B1005,'3) Release_Label'!$D:$D&amp;'3) Release_Label'!$E:$E,1,0)),"NO UPC-CATALOG ID pair MATCH in Release_Label" )</f>
        <v/>
      </c>
      <c r="D1005" s="121" t="str">
        <f t="array" ref="D1005">ifs(and(isblank($A1005),isblank($B1005)),"", not(iserror(vlookup($A1005&amp;$B1005,'3) Release_Label'!$D:$D&amp;'3) Release_Label'!$E:$E,1,0))),vlookup($A1005&amp;$B1005,{'3) Release_Label'!$D:$D&amp;'3) Release_Label'!$E:$E,'3) Release_Label'!$H:$H},2,0), or(and(not(isblank($B1005)),$B1005=$B1004,$A1005&lt;&gt;$A1004),and(not(isblank($A1005)),$A1005=$A1004,$B1005&lt;&gt;$B1004)),"ID LISTS UNALIGNED",and($A1005&lt;&gt;"",countif('3) Release_Label'!$D:$D,$A1005)=0),"NO UPC MATCH in Release_Label",and($B1005&lt;&gt;"",countif('3) Release_Label'!$E:$E,$B1005)=0),"NO CATALOG ID MATCH in Release_Label",iserror(vlookup($A1005&amp;$B1005,'3) Release_Label'!$D:$D&amp;'3) Release_Label'!$E:$E,1,0)),"NO UPC-CATALOG ID pair MATCH in Release_Label" )</f>
        <v/>
      </c>
      <c r="E1005" s="92"/>
      <c r="F1005" s="92"/>
      <c r="G1005" s="125" t="str">
        <f t="array" ref="G1005">ifs(or($F1005="",$F1005="Main Primary Artist"),$F1005,not(iserror(vlookup($F1005,'Reference info'!$J$5:$J$8,1,0))),"Key Artist",not(iserror(vlookup($F1005,'Reference info'!$J$38:$J$405,1,0))),"Performer",not(iserror(vlookup($F1005,'Reference info'!$J$10:$J$36,1,0))),"Producer &amp; Engineer")</f>
        <v/>
      </c>
    </row>
    <row r="1006">
      <c r="A1006" s="28"/>
      <c r="B1006" s="97"/>
      <c r="C1006" s="121" t="str">
        <f t="array" ref="C1006">ifs(and(isblank($A1006),isblank($B1006)),"", not(iserror(vlookup($A1006&amp;$B1006,'3) Release_Label'!$D:$D&amp;'3) Release_Label'!$E:$E,1,0))),vlookup($A1006&amp;$B1006,{'3) Release_Label'!$D:$D&amp;'3) Release_Label'!$E:$E,'3) Release_Label'!$F:$F},2,0), or(and(not(isblank($B1006)),$B1006=$B1005,$A1006&lt;&gt;$A1005),and(not(isblank($A1006)),$A1006=$A1005,$B1006&lt;&gt;$B1005)),"ID LISTS UNALIGNED",and($A1006&lt;&gt;"",countif('3) Release_Label'!$D:$D,$A1006)=0),"NO UPC MATCH in Release_Label",and($B1006&lt;&gt;"",countif('3) Release_Label'!$E:$E,$B1006)=0),"NO CATALOG ID MATCH in Release_Label",iserror(vlookup($A1006&amp;$B1006,'3) Release_Label'!$D:$D&amp;'3) Release_Label'!$E:$E,1,0)),"NO UPC-CATALOG ID pair MATCH in Release_Label" )</f>
        <v/>
      </c>
      <c r="D1006" s="121" t="str">
        <f t="array" ref="D1006">ifs(and(isblank($A1006),isblank($B1006)),"", not(iserror(vlookup($A1006&amp;$B1006,'3) Release_Label'!$D:$D&amp;'3) Release_Label'!$E:$E,1,0))),vlookup($A1006&amp;$B1006,{'3) Release_Label'!$D:$D&amp;'3) Release_Label'!$E:$E,'3) Release_Label'!$H:$H},2,0), or(and(not(isblank($B1006)),$B1006=$B1005,$A1006&lt;&gt;$A1005),and(not(isblank($A1006)),$A1006=$A1005,$B1006&lt;&gt;$B1005)),"ID LISTS UNALIGNED",and($A1006&lt;&gt;"",countif('3) Release_Label'!$D:$D,$A1006)=0),"NO UPC MATCH in Release_Label",and($B1006&lt;&gt;"",countif('3) Release_Label'!$E:$E,$B1006)=0),"NO CATALOG ID MATCH in Release_Label",iserror(vlookup($A1006&amp;$B1006,'3) Release_Label'!$D:$D&amp;'3) Release_Label'!$E:$E,1,0)),"NO UPC-CATALOG ID pair MATCH in Release_Label" )</f>
        <v/>
      </c>
      <c r="E1006" s="92"/>
      <c r="F1006" s="92"/>
      <c r="G1006" s="125" t="str">
        <f t="array" ref="G1006">ifs(or($F1006="",$F1006="Main Primary Artist"),$F1006,not(iserror(vlookup($F1006,'Reference info'!$J$5:$J$8,1,0))),"Key Artist",not(iserror(vlookup($F1006,'Reference info'!$J$38:$J$405,1,0))),"Performer",not(iserror(vlookup($F1006,'Reference info'!$J$10:$J$36,1,0))),"Producer &amp; Engineer")</f>
        <v/>
      </c>
    </row>
  </sheetData>
  <mergeCells count="1">
    <mergeCell ref="C4:D4"/>
  </mergeCells>
  <conditionalFormatting sqref="E5:E1006">
    <cfRule type="expression" dxfId="0" priority="1">
      <formula>or(and(or(A5&lt;&gt;"",B5&lt;&gt;""),isblank(E5)),and(E5&lt;&gt;"", iserror(match(E5,indirect("'1) Artists list'!a:a"),0))))</formula>
    </cfRule>
  </conditionalFormatting>
  <conditionalFormatting sqref="F5:F1006">
    <cfRule type="expression" dxfId="0" priority="2">
      <formula>or(and(or(A5&lt;&gt;"",B5&lt;&gt;""),isblank(F5)),and(F5&lt;&gt;"", iserror(match(F5,indirect("'Reference info'!j:j"),0))))</formula>
    </cfRule>
  </conditionalFormatting>
  <conditionalFormatting sqref="A1:B1 G1 H3 H4">
    <cfRule type="cellIs" dxfId="3" priority="3" operator="notEqual">
      <formula>0</formula>
    </cfRule>
  </conditionalFormatting>
  <conditionalFormatting sqref="F5:F1006">
    <cfRule type="expression" dxfId="3" priority="4">
      <formula>or(and(A5&lt;&gt;"",A5=A6,F5="Main Primary Artist",F5=F6),and(B5&lt;&gt;"",B5=B6,F5="Main Primary Artist",F5=F6),and(A5&lt;&gt;"",A5=A4,F5="Main Primary Artist",F5=F4),and(B5&lt;&gt;"",B5=B4,F5="Main Primary Artist",F5=F4))</formula>
    </cfRule>
  </conditionalFormatting>
  <conditionalFormatting sqref="A5:A1006">
    <cfRule type="expression" dxfId="5" priority="5">
      <formula>and(B5&lt;&gt;"",A5&lt;&gt;"",countif(A:A,A5)&lt;&gt;countif(B:B,B5))</formula>
    </cfRule>
  </conditionalFormatting>
  <conditionalFormatting sqref="B5:B1006">
    <cfRule type="expression" dxfId="5" priority="6">
      <formula>and(B5&lt;&gt;"",A5&lt;&gt;"",countif(A:A,A5)&lt;&gt;countif(B:B,B5))</formula>
    </cfRule>
  </conditionalFormatting>
  <conditionalFormatting sqref="A5:A1006">
    <cfRule type="expression" dxfId="3" priority="7">
      <formula>COUNTIFS($A$5:A1006, A5, $F$5:F1006, "Main Primary Artist") &gt; 1</formula>
    </cfRule>
  </conditionalFormatting>
  <conditionalFormatting sqref="B5:B1006">
    <cfRule type="expression" dxfId="3" priority="8">
      <formula>COUNTIFS($B$5:B1006, B5, $F$5:F1006, "Main Primary Artist") &gt; 1</formula>
    </cfRule>
  </conditionalFormatting>
  <conditionalFormatting sqref="A5:A1006">
    <cfRule type="expression" dxfId="3" priority="9">
      <formula>OR(AND(A5&lt;&gt;"", COUNTIFS($A$5:A1006, A5, $G$5:G1006, "Producer &amp; Engineer") = 0), AND(A5&lt;&gt;"", COUNTIFS($A$5:A1006, A5, $G$5:G1006, "Performer") = 0))</formula>
    </cfRule>
  </conditionalFormatting>
  <conditionalFormatting sqref="B5:B1006">
    <cfRule type="expression" dxfId="3" priority="10">
      <formula>OR(AND(B5&lt;&gt;"", COUNTIFS($B$5:B1006, B5, $G$5:G1006, "Producer &amp; Engineer") = 0), AND(B5&lt;&gt;"", COUNTIFS($B$5:B1006, B5, $G$5:G1006, "Performer") = 0))</formula>
    </cfRule>
  </conditionalFormatting>
  <dataValidations>
    <dataValidation type="custom" allowBlank="1" showDropDown="1" showInputMessage="1" showErrorMessage="1" prompt="must contain 2 letters, 3 character minimum, 20 character maximum, alphanumeric ONLY (letter or number; no dashes, spaces, punctuation marks, etc.)" sqref="B5:B1006">
      <formula1>and(regexmatch(B5,"^[a-zA-Z0-9]*$"), len(B5)&gt;=3, len(B5)&lt;=20)</formula1>
    </dataValidation>
    <dataValidation type="custom" allowBlank="1" showDropDown="1" showInputMessage="1" showErrorMessage="1" prompt="Enter a valid UPC/EAN/JAN" sqref="A11:A1006">
      <formula1>and(INT(A11)=A11,A11&gt;9999999999)</formula1>
    </dataValidation>
    <dataValidation type="custom" allowBlank="1" showDropDown="1" showInputMessage="1" showErrorMessage="1" prompt="Enter a value that satisfies the formula: =and(INT(A5)=A5,A5&gt;9999999999)" sqref="A5:A10">
      <formula1>and(INT(A5)=A5,A5&gt;9999999999)</formula1>
    </dataValidation>
    <dataValidation type="list" allowBlank="1" showInputMessage="1" showErrorMessage="1" prompt="select from list, type or drag. Each release MUST have only ONE Artist assigned the 'Primary - Top' role." sqref="F5:F10">
      <formula1>ArtistRole</formula1>
    </dataValidation>
    <dataValidation type="list" allowBlank="1" showInputMessage="1" showErrorMessage="1" prompt="select from Artists list, start typing or drag" sqref="E11:E1006">
      <formula1>Artist</formula1>
    </dataValidation>
    <dataValidation type="list" allowBlank="1" showInputMessage="1" showErrorMessage="1" prompt="select from Artists list, start typing or drag" sqref="E5:E10">
      <formula1>Artist</formula1>
    </dataValidation>
    <dataValidation type="list" allowBlank="1" showInputMessage="1" showErrorMessage="1" prompt="Click and enter a value from range" sqref="F11:F1006">
      <formula1>ArtistRole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3.75"/>
    <col customWidth="1" min="2" max="2" width="13.0"/>
    <col customWidth="1" min="3" max="3" width="28.75"/>
    <col customWidth="1" min="4" max="4" width="16.5"/>
    <col customWidth="1" min="5" max="5" width="8.13"/>
    <col customWidth="1" min="6" max="6" width="12.88"/>
    <col customWidth="1" min="7" max="7" width="13.0"/>
    <col customWidth="1" min="8" max="8" width="27.63"/>
    <col customWidth="1" min="9" max="9" width="14.5"/>
    <col customWidth="1" min="10" max="10" width="24.38"/>
    <col customWidth="1" min="11" max="11" width="8.38"/>
    <col customWidth="1" min="12" max="12" width="11.5"/>
    <col customWidth="1" min="13" max="13" width="15.25"/>
    <col customWidth="1" min="14" max="14" width="6.38"/>
    <col customWidth="1" min="15" max="15" width="10.13"/>
    <col customWidth="1" min="16" max="16" width="13.0"/>
    <col customWidth="1" min="17" max="17" width="8.0"/>
    <col customWidth="1" min="18" max="18" width="9.5"/>
    <col customWidth="1" min="19" max="19" width="9.0"/>
    <col customWidth="1" min="20" max="20" width="12.5"/>
    <col customWidth="1" min="21" max="21" width="9.88"/>
    <col customWidth="1" min="22" max="22" width="8.38"/>
    <col customWidth="1" min="23" max="23" width="6.75"/>
    <col customWidth="1" min="27" max="27" width="11.0"/>
  </cols>
  <sheetData>
    <row r="1">
      <c r="A1" s="13">
        <f>IFERROR(__xludf.DUMMYFUNCTION("COUNTUNIQUE(A5:A1005)-'3) Release_Label'!D1"),0.0)</f>
        <v>0</v>
      </c>
      <c r="B1" s="13">
        <f>IFERROR(__xludf.DUMMYFUNCTION("COUNTUNIQUE(B5:B1005)-'3) Release_Label'!E1"),0.0)</f>
        <v>0</v>
      </c>
      <c r="C1" s="99" t="s">
        <v>99</v>
      </c>
      <c r="D1" s="100"/>
      <c r="E1" s="54">
        <f>count(E5:E1005)</f>
        <v>2</v>
      </c>
      <c r="F1" s="13">
        <f>IFERROR(__xludf.DUMMYFUNCTION("COUNTUNIQUE(F5:F1005)"),2.0)</f>
        <v>2</v>
      </c>
      <c r="G1" s="13">
        <f>IFERROR(__xludf.DUMMYFUNCTION("COUNTUNIQUE(G5:G1005)"),0.0)</f>
        <v>0</v>
      </c>
      <c r="H1" s="52" t="s">
        <v>29</v>
      </c>
      <c r="I1" s="53" t="s">
        <v>58</v>
      </c>
      <c r="J1" s="21" t="s">
        <v>27</v>
      </c>
      <c r="K1" s="98"/>
      <c r="M1" s="13">
        <f>IFERROR(__xludf.DUMMYFUNCTION("COUNTUNIQUE(M5:M1005)"),2.0)</f>
        <v>2</v>
      </c>
      <c r="N1" s="13">
        <f>COUNTA(N5:N1005)</f>
        <v>2</v>
      </c>
    </row>
    <row r="2">
      <c r="A2" s="105" t="s">
        <v>115</v>
      </c>
      <c r="B2" s="106"/>
      <c r="C2" s="106"/>
      <c r="D2" s="126"/>
      <c r="E2" s="127"/>
      <c r="F2" s="106"/>
      <c r="G2" s="106"/>
      <c r="H2" s="106"/>
      <c r="I2" s="106"/>
      <c r="J2" s="106"/>
      <c r="K2" s="126"/>
      <c r="L2" s="106"/>
      <c r="M2" s="106"/>
      <c r="N2" s="106"/>
      <c r="O2" s="106"/>
      <c r="P2" s="106"/>
      <c r="Q2" s="128"/>
      <c r="R2" s="128"/>
      <c r="S2" s="128"/>
      <c r="T2" s="128"/>
      <c r="U2" s="128"/>
      <c r="V2" s="128"/>
      <c r="W2" s="128"/>
      <c r="X2" s="128"/>
      <c r="Y2" s="128"/>
      <c r="Z2" s="128"/>
      <c r="AA2" s="128"/>
      <c r="AB2" s="128"/>
      <c r="AC2" s="128"/>
      <c r="AD2" s="128"/>
      <c r="AE2" s="128"/>
      <c r="AF2" s="128"/>
      <c r="AG2" s="128"/>
      <c r="AH2" s="128"/>
      <c r="AI2" s="128"/>
      <c r="AJ2" s="128"/>
      <c r="AK2" s="128"/>
      <c r="AL2" s="128"/>
      <c r="AM2" s="128"/>
    </row>
    <row r="3">
      <c r="A3" s="67" t="s">
        <v>63</v>
      </c>
      <c r="B3" s="68" t="s">
        <v>64</v>
      </c>
      <c r="C3" s="108" t="s">
        <v>65</v>
      </c>
      <c r="D3" s="108" t="s">
        <v>67</v>
      </c>
      <c r="E3" s="108" t="s">
        <v>116</v>
      </c>
      <c r="F3" s="129" t="s">
        <v>117</v>
      </c>
      <c r="G3" s="68" t="s">
        <v>118</v>
      </c>
      <c r="H3" s="69" t="s">
        <v>119</v>
      </c>
      <c r="I3" s="130" t="s">
        <v>120</v>
      </c>
      <c r="J3" s="50" t="s">
        <v>121</v>
      </c>
      <c r="K3" s="50" t="s">
        <v>122</v>
      </c>
      <c r="L3" s="50" t="s">
        <v>123</v>
      </c>
      <c r="M3" s="68" t="s">
        <v>124</v>
      </c>
      <c r="N3" s="66" t="s">
        <v>125</v>
      </c>
      <c r="O3" s="131" t="s">
        <v>126</v>
      </c>
      <c r="P3" s="74" t="s">
        <v>127</v>
      </c>
    </row>
    <row r="4">
      <c r="A4" s="77" t="s">
        <v>104</v>
      </c>
      <c r="B4" s="79" t="s">
        <v>104</v>
      </c>
      <c r="C4" s="132" t="s">
        <v>105</v>
      </c>
      <c r="E4" s="133" t="s">
        <v>128</v>
      </c>
      <c r="F4" s="134" t="s">
        <v>129</v>
      </c>
      <c r="G4" s="79" t="s">
        <v>130</v>
      </c>
      <c r="H4" s="80" t="s">
        <v>79</v>
      </c>
      <c r="I4" s="81" t="s">
        <v>81</v>
      </c>
      <c r="J4" s="135" t="s">
        <v>131</v>
      </c>
      <c r="K4" s="135" t="s">
        <v>132</v>
      </c>
      <c r="L4" s="135" t="s">
        <v>133</v>
      </c>
      <c r="M4" s="79" t="s">
        <v>134</v>
      </c>
      <c r="N4" s="136" t="s">
        <v>135</v>
      </c>
      <c r="O4" s="36" t="s">
        <v>136</v>
      </c>
      <c r="P4" s="36"/>
    </row>
    <row r="5">
      <c r="A5" s="90">
        <v>7.89294845633E11</v>
      </c>
      <c r="B5" s="115"/>
      <c r="C5" s="137" t="str">
        <f t="array" ref="C5">ifs(and(isblank($A5),isblank($B5)),"", not(iserror(vlookup($A5&amp;$B5,'3) Release_Label'!$D:$D&amp;'3) Release_Label'!$E:$E,1,0))),vlookup($A5&amp;$B5,{'3) Release_Label'!$D:$D&amp;'3) Release_Label'!$E:$E,'3) Release_Label'!$F:$F},2,0), or(and(not(isblank($B5)),$B5=#REF!,$A5&lt;&gt;#REF!),and(not(isblank($A5)),$A5=#REF!,$B5&lt;&gt;#REF!)),"ID LISTS UNALIGNED",and($A5&lt;&gt;"",countif('3) Release_Label'!$D:$D,$A5)=0),"NO UPC MATCH in Release_Label",and($B5&lt;&gt;"",countif('3) Release_Label'!$E:$E,$B5)=0),"NO CATALOG ID MATCH in Release_Label",iserror(vlookup($A5&amp;$B5,'3) Release_Label'!$D:$D&amp;'3) Release_Label'!$E:$E,1,0)),"NO UPC-CATALOG ID pair MATCH in Release_Label" )</f>
        <v>Receba</v>
      </c>
      <c r="D5" s="137" t="str">
        <f t="array" ref="D5">ifs(and(isblank($A5),isblank($B5)),"", not(iserror(vlookup($A5&amp;$B5,'3) Release_Label'!$D:$D&amp;'3) Release_Label'!$E:$E,1,0))),vlookup($A5&amp;$B5,{'3) Release_Label'!$D:$D&amp;'3) Release_Label'!$E:$E,'3) Release_Label'!$H:$H},2,0), or(and(not(isblank($B5)),$B5=#REF!,$A5&lt;&gt;#REF!),and(not(isblank($A5)),$A5=#REF!,$B5&lt;&gt;#REF!)),"ID LISTS UNALIGNED",and($A5&lt;&gt;"",countif('3) Release_Label'!$D:$D,$A5)=0),"NO UPC MATCH in Release_Label",and($B5&lt;&gt;"",countif('3) Release_Label'!$E:$E,$B5)=0),"NO CATALOG ID MATCH in Release_Label",iserror(vlookup($A5&amp;$B5,'3) Release_Label'!$D:$D&amp;'3) Release_Label'!$E:$E,1,0)),"NO UPC-CATALOG ID pair MATCH in Release_Label" )</f>
        <v>Extended</v>
      </c>
      <c r="E5" s="137">
        <f t="shared" ref="E5:E1005" si="1">if(and(isblank($A5),isblank($B5)),"",if(not(iserror(find("MATCH in ",D5))),D5,if(or(and(not(isblank($B5)),$B5=$B4,$A5&lt;&gt;$A4),and(not(isblank($A5)),$A5=$A4,$B5&lt;&gt;$B4)),"ID LISTS UNALIGNED",if(not(isblank($A5)),if($A5=$A4,1+E4,1),if($B5=$B4,1+E4,1)))))</f>
        <v>1</v>
      </c>
      <c r="F5" s="47" t="s">
        <v>137</v>
      </c>
      <c r="G5" s="115"/>
      <c r="H5" s="138" t="s">
        <v>88</v>
      </c>
      <c r="I5" s="138" t="s">
        <v>90</v>
      </c>
      <c r="J5" s="47" t="s">
        <v>89</v>
      </c>
      <c r="K5" s="118" t="s">
        <v>138</v>
      </c>
      <c r="L5" s="47" t="s">
        <v>139</v>
      </c>
      <c r="M5" s="139" t="s">
        <v>140</v>
      </c>
      <c r="N5" s="47" t="s">
        <v>141</v>
      </c>
      <c r="O5" s="140">
        <v>140.0</v>
      </c>
      <c r="P5" s="8" t="s">
        <v>142</v>
      </c>
      <c r="Q5" s="141"/>
      <c r="R5" s="47"/>
      <c r="S5" s="142"/>
    </row>
    <row r="6">
      <c r="A6" s="90">
        <v>7.89294962088E11</v>
      </c>
      <c r="B6" s="115"/>
      <c r="C6" s="137" t="str">
        <f t="array" ref="C6">ifs(and(isblank($A6),isblank($B6)),"", not(iserror(vlookup($A6&amp;$B6,'3) Release_Label'!$D:$D&amp;'3) Release_Label'!$E:$E,1,0))),vlookup($A6&amp;$B6,{'3) Release_Label'!$D:$D&amp;'3) Release_Label'!$E:$E,'3) Release_Label'!$F:$F},2,0),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A Cláusula do Contrato</v>
      </c>
      <c r="D6" s="116" t="str">
        <f t="array" ref="D6">ifs(and(isblank($A6),isblank($B6)),"", not(iserror(vlookup($A6&amp;$B6,'3) Release_Label'!$D:$D&amp;'3) Release_Label'!$E:$E,1,0))),vlookup($A6&amp;$B6,{'3) Release_Label'!$D:$D&amp;'3) Release_Label'!$E:$E,'3) Release_Label'!$H:$H},2,0),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
      </c>
      <c r="E6" s="137">
        <f t="shared" si="1"/>
        <v>1</v>
      </c>
      <c r="F6" s="47" t="s">
        <v>143</v>
      </c>
      <c r="G6" s="115"/>
      <c r="H6" s="138" t="s">
        <v>96</v>
      </c>
      <c r="I6" s="143"/>
      <c r="J6" s="47" t="s">
        <v>89</v>
      </c>
      <c r="K6" s="118" t="s">
        <v>138</v>
      </c>
      <c r="L6" s="47" t="s">
        <v>139</v>
      </c>
      <c r="M6" s="144" t="s">
        <v>144</v>
      </c>
      <c r="N6" s="47" t="s">
        <v>141</v>
      </c>
      <c r="O6" s="90">
        <v>200.0</v>
      </c>
      <c r="P6" s="8" t="s">
        <v>142</v>
      </c>
      <c r="Q6" s="47"/>
      <c r="R6" s="34"/>
      <c r="S6" s="47"/>
      <c r="T6" s="145"/>
      <c r="U6" s="146"/>
      <c r="V6" s="145"/>
      <c r="W6" s="145"/>
      <c r="X6" s="145"/>
      <c r="Y6" s="34"/>
      <c r="Z6" s="34"/>
      <c r="AA6" s="34"/>
      <c r="AB6" s="34"/>
      <c r="AC6" s="34"/>
      <c r="AD6" s="34"/>
      <c r="AE6" s="34"/>
      <c r="AF6" s="34"/>
      <c r="AG6" s="34"/>
      <c r="AH6" s="34"/>
      <c r="AI6" s="34"/>
      <c r="AJ6" s="34"/>
      <c r="AK6" s="34"/>
      <c r="AL6" s="34"/>
      <c r="AM6" s="34"/>
    </row>
    <row r="7">
      <c r="A7" s="90"/>
      <c r="B7" s="120"/>
      <c r="C7" s="121" t="str">
        <f t="array" ref="C7">ifs(and(isblank($A7),isblank($B7)),"", not(iserror(vlookup($A7&amp;$B7,'3) Release_Label'!$D:$D&amp;'3) Release_Label'!$E:$E,1,0))),vlookup($A7&amp;$B7,{'3) Release_Label'!$D:$D&amp;'3) Release_Label'!$E:$E,'3) Release_Label'!$F:$F},2,0),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
      </c>
      <c r="D7" s="121" t="str">
        <f t="array" ref="D7">ifs(and(isblank($A7),isblank($B7)),"", not(iserror(vlookup($A7&amp;$B7,'3) Release_Label'!$D:$D&amp;'3) Release_Label'!$E:$E,1,0))),vlookup($A7&amp;$B7,{'3) Release_Label'!$D:$D&amp;'3) Release_Label'!$E:$E,'3) Release_Label'!$H:$H},2,0),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
      </c>
      <c r="E7" s="147" t="str">
        <f t="shared" si="1"/>
        <v/>
      </c>
      <c r="F7" s="124"/>
      <c r="G7" s="120"/>
      <c r="H7" s="148"/>
      <c r="I7" s="149"/>
      <c r="J7" s="8"/>
      <c r="K7" s="150"/>
      <c r="L7" s="8"/>
      <c r="M7" s="151"/>
      <c r="N7" s="92"/>
      <c r="O7" s="28"/>
      <c r="P7" s="28"/>
      <c r="Q7" s="28"/>
      <c r="R7" s="28"/>
      <c r="S7" s="28"/>
      <c r="T7" s="28"/>
      <c r="U7" s="28"/>
      <c r="V7" s="28"/>
      <c r="W7" s="28"/>
      <c r="X7" s="28"/>
      <c r="Y7" s="28"/>
      <c r="Z7" s="28"/>
      <c r="AA7" s="28"/>
      <c r="AB7" s="28"/>
      <c r="AC7" s="28"/>
      <c r="AD7" s="28"/>
      <c r="AE7" s="28"/>
      <c r="AF7" s="28"/>
      <c r="AG7" s="28"/>
      <c r="AH7" s="28"/>
      <c r="AI7" s="28"/>
      <c r="AJ7" s="28"/>
      <c r="AK7" s="28"/>
      <c r="AL7" s="28"/>
      <c r="AM7" s="28"/>
    </row>
    <row r="8">
      <c r="A8" s="90"/>
      <c r="B8" s="120"/>
      <c r="C8" s="121" t="str">
        <f t="array" ref="C8">ifs(and(isblank($A8),isblank($B8)),"", not(iserror(vlookup($A8&amp;$B8,'3) Release_Label'!$D:$D&amp;'3) Release_Label'!$E:$E,1,0))),vlookup($A8&amp;$B8,{'3) Release_Label'!$D:$D&amp;'3) Release_Label'!$E:$E,'3) Release_Label'!$F:$F},2,0),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
      </c>
      <c r="D8" s="121" t="str">
        <f t="array" ref="D8">ifs(and(isblank($A8),isblank($B8)),"", not(iserror(vlookup($A8&amp;$B8,'3) Release_Label'!$D:$D&amp;'3) Release_Label'!$E:$E,1,0))),vlookup($A8&amp;$B8,{'3) Release_Label'!$D:$D&amp;'3) Release_Label'!$E:$E,'3) Release_Label'!$H:$H},2,0),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
      </c>
      <c r="E8" s="147" t="str">
        <f t="shared" si="1"/>
        <v/>
      </c>
      <c r="F8" s="28"/>
      <c r="G8" s="120"/>
      <c r="H8" s="148"/>
      <c r="I8" s="28"/>
      <c r="J8" s="28"/>
      <c r="K8" s="152"/>
      <c r="L8" s="92"/>
      <c r="M8" s="28"/>
      <c r="N8" s="28"/>
      <c r="O8" s="8"/>
      <c r="P8" s="8"/>
      <c r="R8" s="28"/>
      <c r="S8" s="28"/>
      <c r="T8" s="153"/>
      <c r="U8" s="28"/>
      <c r="V8" s="28"/>
      <c r="W8" s="28"/>
      <c r="X8" s="28"/>
    </row>
    <row r="9">
      <c r="A9" s="90"/>
      <c r="B9" s="120"/>
      <c r="C9" s="121" t="str">
        <f t="array" ref="C9">ifs(and(isblank($A9),isblank($B9)),"", not(iserror(vlookup($A9&amp;$B9,'3) Release_Label'!$D:$D&amp;'3) Release_Label'!$E:$E,1,0))),vlookup($A9&amp;$B9,{'3) Release_Label'!$D:$D&amp;'3) Release_Label'!$E:$E,'3) Release_Label'!$F:$F},2,0),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
      </c>
      <c r="D9" s="121" t="str">
        <f t="array" ref="D9">ifs(and(isblank($A9),isblank($B9)),"", not(iserror(vlookup($A9&amp;$B9,'3) Release_Label'!$D:$D&amp;'3) Release_Label'!$E:$E,1,0))),vlookup($A9&amp;$B9,{'3) Release_Label'!$D:$D&amp;'3) Release_Label'!$E:$E,'3) Release_Label'!$H:$H},2,0),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
      </c>
      <c r="E9" s="147" t="str">
        <f t="shared" si="1"/>
        <v/>
      </c>
      <c r="F9" s="28"/>
      <c r="G9" s="120"/>
      <c r="H9" s="148"/>
      <c r="I9" s="28"/>
      <c r="J9" s="28"/>
      <c r="K9" s="152" t="s">
        <v>49</v>
      </c>
      <c r="L9" s="92"/>
      <c r="M9" s="28"/>
      <c r="N9" s="28"/>
      <c r="O9" s="154"/>
      <c r="P9" s="154"/>
      <c r="Q9" s="154"/>
      <c r="S9" s="28"/>
      <c r="T9" s="28"/>
      <c r="U9" s="28"/>
      <c r="V9" s="28"/>
      <c r="W9" s="28"/>
      <c r="X9" s="28"/>
    </row>
    <row r="10">
      <c r="A10" s="90"/>
      <c r="B10" s="120"/>
      <c r="C10" s="121" t="str">
        <f t="array" ref="C10">ifs(and(isblank($A10),isblank($B10)),"", not(iserror(vlookup($A10&amp;$B10,'3) Release_Label'!$D:$D&amp;'3) Release_Label'!$E:$E,1,0))),vlookup($A10&amp;$B10,{'3) Release_Label'!$D:$D&amp;'3) Release_Label'!$E:$E,'3) Release_Label'!$F:$F},2,0),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
      </c>
      <c r="D10" s="121" t="str">
        <f t="array" ref="D10">ifs(and(isblank($A10),isblank($B10)),"", not(iserror(vlookup($A10&amp;$B10,'3) Release_Label'!$D:$D&amp;'3) Release_Label'!$E:$E,1,0))),vlookup($A10&amp;$B10,{'3) Release_Label'!$D:$D&amp;'3) Release_Label'!$E:$E,'3) Release_Label'!$H:$H},2,0),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
      </c>
      <c r="E10" s="147" t="str">
        <f t="shared" si="1"/>
        <v/>
      </c>
      <c r="F10" s="28"/>
      <c r="G10" s="120"/>
      <c r="H10" s="148"/>
      <c r="I10" s="28"/>
      <c r="J10" s="28"/>
      <c r="K10" s="152"/>
      <c r="L10" s="28"/>
      <c r="M10" s="28"/>
      <c r="N10" s="28"/>
      <c r="O10" s="28"/>
      <c r="P10" s="28"/>
      <c r="Q10" s="28"/>
      <c r="R10" s="28"/>
      <c r="S10" s="28"/>
      <c r="T10" s="28"/>
      <c r="U10" s="28"/>
      <c r="V10" s="28"/>
      <c r="W10" s="28"/>
      <c r="X10" s="28"/>
      <c r="Z10" s="28"/>
      <c r="AA10" s="28"/>
      <c r="AB10" s="28"/>
      <c r="AC10" s="28"/>
      <c r="AD10" s="28"/>
      <c r="AE10" s="28"/>
      <c r="AF10" s="28"/>
      <c r="AG10" s="28"/>
      <c r="AH10" s="28"/>
      <c r="AI10" s="28"/>
      <c r="AJ10" s="28"/>
      <c r="AK10" s="28"/>
      <c r="AL10" s="28"/>
      <c r="AM10" s="28"/>
    </row>
    <row r="11">
      <c r="A11" s="90"/>
      <c r="B11" s="120"/>
      <c r="C11" s="121" t="str">
        <f t="array" ref="C11">ifs(and(isblank($A11),isblank($B11)),"", not(iserror(vlookup($A11&amp;$B11,'3) Release_Label'!$D:$D&amp;'3) Release_Label'!$E:$E,1,0))),vlookup($A11&amp;$B11,{'3) Release_Label'!$D:$D&amp;'3) Release_Label'!$E:$E,'3) Release_Label'!$F:$F},2,0), or(and(not(isblank($B11)),$B11=$B10,$A11&lt;&gt;$A10),and(not(isblank($A11)),$A11=$A10,$B11&lt;&gt;$B10)),"ID LISTS UNALIGNED",and($A11&lt;&gt;"",countif('3) Release_Label'!$D:$D,$A11)=0),"NO UPC MATCH in Release_Label",and($B11&lt;&gt;"",countif('3) Release_Label'!$E:$E,$B11)=0),"NO CATALOG ID MATCH in Release_Label",iserror(vlookup($A11&amp;$B11,'3) Release_Label'!$D:$D&amp;'3) Release_Label'!$E:$E,1,0)),"NO UPC-CATALOG ID pair MATCH in Release_Label" )</f>
        <v/>
      </c>
      <c r="D11" s="121" t="str">
        <f t="array" ref="D11">ifs(and(isblank($A11),isblank($B11)),"", not(iserror(vlookup($A11&amp;$B11,'3) Release_Label'!$D:$D&amp;'3) Release_Label'!$E:$E,1,0))),vlookup($A11&amp;$B11,{'3) Release_Label'!$D:$D&amp;'3) Release_Label'!$E:$E,'3) Release_Label'!$H:$H},2,0), or(and(not(isblank($B11)),$B11=$B10,$A11&lt;&gt;$A10),and(not(isblank($A11)),$A11=$A10,$B11&lt;&gt;$B10)),"ID LISTS UNALIGNED",and($A11&lt;&gt;"",countif('3) Release_Label'!$D:$D,$A11)=0),"NO UPC MATCH in Release_Label",and($B11&lt;&gt;"",countif('3) Release_Label'!$E:$E,$B11)=0),"NO CATALOG ID MATCH in Release_Label",iserror(vlookup($A11&amp;$B11,'3) Release_Label'!$D:$D&amp;'3) Release_Label'!$E:$E,1,0)),"NO UPC-CATALOG ID pair MATCH in Release_Label" )</f>
        <v/>
      </c>
      <c r="E11" s="147" t="str">
        <f t="shared" si="1"/>
        <v/>
      </c>
      <c r="F11" s="28"/>
      <c r="G11" s="120"/>
      <c r="H11" s="148"/>
      <c r="I11" s="28"/>
      <c r="J11" s="28"/>
      <c r="K11" s="152"/>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row>
    <row r="12">
      <c r="A12" s="90"/>
      <c r="B12" s="120"/>
      <c r="C12" s="121" t="str">
        <f t="array" ref="C12">ifs(and(isblank($A12),isblank($B12)),"", not(iserror(vlookup($A12&amp;$B12,'3) Release_Label'!$D:$D&amp;'3) Release_Label'!$E:$E,1,0))),vlookup($A12&amp;$B12,{'3) Release_Label'!$D:$D&amp;'3) Release_Label'!$E:$E,'3) Release_Label'!$F:$F},2,0),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
      </c>
      <c r="D12" s="121" t="str">
        <f t="array" ref="D12">ifs(and(isblank($A12),isblank($B12)),"", not(iserror(vlookup($A12&amp;$B12,'3) Release_Label'!$D:$D&amp;'3) Release_Label'!$E:$E,1,0))),vlookup($A12&amp;$B12,{'3) Release_Label'!$D:$D&amp;'3) Release_Label'!$E:$E,'3) Release_Label'!$H:$H},2,0),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
      </c>
      <c r="E12" s="147" t="str">
        <f t="shared" si="1"/>
        <v/>
      </c>
      <c r="F12" s="28"/>
      <c r="G12" s="120"/>
      <c r="H12" s="148"/>
      <c r="I12" s="28"/>
      <c r="J12" s="28"/>
      <c r="K12" s="152"/>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row>
    <row r="13">
      <c r="A13" s="90"/>
      <c r="B13" s="120"/>
      <c r="C13" s="121" t="str">
        <f t="array" ref="C13">ifs(and(isblank($A13),isblank($B13)),"", not(iserror(vlookup($A13&amp;$B13,'3) Release_Label'!$D:$D&amp;'3) Release_Label'!$E:$E,1,0))),vlookup($A13&amp;$B13,{'3) Release_Label'!$D:$D&amp;'3) Release_Label'!$E:$E,'3) Release_Label'!$F:$F},2,0),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
      </c>
      <c r="D13" s="121" t="str">
        <f t="array" ref="D13">ifs(and(isblank($A13),isblank($B13)),"", not(iserror(vlookup($A13&amp;$B13,'3) Release_Label'!$D:$D&amp;'3) Release_Label'!$E:$E,1,0))),vlookup($A13&amp;$B13,{'3) Release_Label'!$D:$D&amp;'3) Release_Label'!$E:$E,'3) Release_Label'!$H:$H},2,0),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
      </c>
      <c r="E13" s="147" t="str">
        <f t="shared" si="1"/>
        <v/>
      </c>
      <c r="F13" s="28"/>
      <c r="G13" s="120"/>
      <c r="H13" s="148"/>
      <c r="I13" s="28"/>
      <c r="J13" s="28"/>
      <c r="K13" s="152"/>
      <c r="L13" s="28"/>
      <c r="M13" s="28"/>
      <c r="N13" s="28"/>
      <c r="O13" s="28"/>
      <c r="P13" s="28"/>
      <c r="Q13" s="28"/>
      <c r="S13" s="28"/>
      <c r="T13" s="28"/>
      <c r="U13" s="28"/>
      <c r="V13" s="28"/>
      <c r="W13" s="28"/>
      <c r="X13" s="28"/>
      <c r="Y13" s="28"/>
      <c r="Z13" s="28"/>
      <c r="AA13" s="28"/>
      <c r="AB13" s="28"/>
      <c r="AC13" s="28"/>
      <c r="AD13" s="28"/>
      <c r="AE13" s="28"/>
      <c r="AF13" s="28"/>
      <c r="AG13" s="28"/>
      <c r="AH13" s="28"/>
      <c r="AI13" s="28"/>
      <c r="AJ13" s="28"/>
      <c r="AK13" s="28"/>
      <c r="AL13" s="28"/>
      <c r="AM13" s="28"/>
    </row>
    <row r="14">
      <c r="A14" s="90"/>
      <c r="B14" s="120"/>
      <c r="C14" s="121" t="str">
        <f t="array" ref="C14">ifs(and(isblank($A14),isblank($B14)),"", not(iserror(vlookup($A14&amp;$B14,'3) Release_Label'!$D:$D&amp;'3) Release_Label'!$E:$E,1,0))),vlookup($A14&amp;$B14,{'3) Release_Label'!$D:$D&amp;'3) Release_Label'!$E:$E,'3) Release_Label'!$F:$F},2,0),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
      </c>
      <c r="D14" s="121" t="str">
        <f t="array" ref="D14">ifs(and(isblank($A14),isblank($B14)),"", not(iserror(vlookup($A14&amp;$B14,'3) Release_Label'!$D:$D&amp;'3) Release_Label'!$E:$E,1,0))),vlookup($A14&amp;$B14,{'3) Release_Label'!$D:$D&amp;'3) Release_Label'!$E:$E,'3) Release_Label'!$H:$H},2,0),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
      </c>
      <c r="E14" s="147" t="str">
        <f t="shared" si="1"/>
        <v/>
      </c>
      <c r="F14" s="28"/>
      <c r="G14" s="120"/>
      <c r="H14" s="148"/>
      <c r="I14" s="28"/>
      <c r="J14" s="28"/>
      <c r="K14" s="152"/>
      <c r="L14" s="28"/>
      <c r="M14" s="28"/>
      <c r="N14" s="28"/>
      <c r="O14" s="28"/>
      <c r="P14" s="28"/>
      <c r="Q14" s="28"/>
      <c r="R14" s="28"/>
      <c r="S14" s="28"/>
      <c r="T14" s="28"/>
      <c r="V14" s="28"/>
      <c r="W14" s="28"/>
      <c r="X14" s="28"/>
      <c r="Y14" s="28"/>
      <c r="Z14" s="28"/>
      <c r="AA14" s="28"/>
      <c r="AB14" s="28"/>
      <c r="AC14" s="28"/>
      <c r="AD14" s="28"/>
      <c r="AE14" s="28"/>
      <c r="AF14" s="28"/>
      <c r="AG14" s="28"/>
      <c r="AH14" s="28"/>
      <c r="AI14" s="28"/>
      <c r="AJ14" s="28"/>
      <c r="AK14" s="28"/>
      <c r="AL14" s="28"/>
      <c r="AM14" s="28"/>
    </row>
    <row r="15">
      <c r="A15" s="90"/>
      <c r="B15" s="120"/>
      <c r="C15" s="121" t="str">
        <f t="array" ref="C15">ifs(and(isblank($A15),isblank($B15)),"", not(iserror(vlookup($A15&amp;$B15,'3) Release_Label'!$D:$D&amp;'3) Release_Label'!$E:$E,1,0))),vlookup($A15&amp;$B15,{'3) Release_Label'!$D:$D&amp;'3) Release_Label'!$E:$E,'3) Release_Label'!$F:$F},2,0),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
      </c>
      <c r="D15" s="121" t="str">
        <f t="array" ref="D15">ifs(and(isblank($A15),isblank($B15)),"", not(iserror(vlookup($A15&amp;$B15,'3) Release_Label'!$D:$D&amp;'3) Release_Label'!$E:$E,1,0))),vlookup($A15&amp;$B15,{'3) Release_Label'!$D:$D&amp;'3) Release_Label'!$E:$E,'3) Release_Label'!$H:$H},2,0),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
      </c>
      <c r="E15" s="147" t="str">
        <f t="shared" si="1"/>
        <v/>
      </c>
      <c r="F15" s="28"/>
      <c r="G15" s="120"/>
      <c r="H15" s="148"/>
      <c r="I15" s="28"/>
      <c r="J15" s="28"/>
      <c r="K15" s="152"/>
      <c r="L15" s="28"/>
      <c r="M15" s="28"/>
      <c r="N15" s="28"/>
      <c r="O15" s="28"/>
      <c r="P15" s="28"/>
      <c r="Q15" s="28"/>
      <c r="R15" s="28"/>
      <c r="S15" s="28"/>
      <c r="T15" s="28"/>
      <c r="V15" s="28"/>
      <c r="W15" s="28"/>
      <c r="X15" s="48"/>
      <c r="Y15" s="28"/>
      <c r="Z15" s="28"/>
      <c r="AA15" s="28"/>
      <c r="AB15" s="28"/>
      <c r="AC15" s="28"/>
      <c r="AD15" s="28"/>
      <c r="AE15" s="28"/>
      <c r="AF15" s="28"/>
      <c r="AG15" s="28"/>
      <c r="AH15" s="28"/>
      <c r="AI15" s="28"/>
      <c r="AJ15" s="28"/>
      <c r="AK15" s="28"/>
      <c r="AL15" s="28"/>
      <c r="AM15" s="28"/>
    </row>
    <row r="16">
      <c r="A16" s="90"/>
      <c r="B16" s="120"/>
      <c r="C16" s="121" t="str">
        <f t="array" ref="C16">ifs(and(isblank($A16),isblank($B16)),"", not(iserror(vlookup($A16&amp;$B16,'3) Release_Label'!$D:$D&amp;'3) Release_Label'!$E:$E,1,0))),vlookup($A16&amp;$B16,{'3) Release_Label'!$D:$D&amp;'3) Release_Label'!$E:$E,'3) Release_Label'!$F:$F},2,0), or(and(not(isblank($B16)),$B16=$B15,$A16&lt;&gt;$A15),and(not(isblank($A16)),$A16=$A15,$B16&lt;&gt;$B15)),"ID LISTS UNALIGNED",and($A16&lt;&gt;"",countif('3) Release_Label'!$D:$D,$A16)=0),"NO UPC MATCH in Release_Label",and($B16&lt;&gt;"",countif('3) Release_Label'!$E:$E,$B16)=0),"NO CATALOG ID MATCH in Release_Label",iserror(vlookup($A16&amp;$B16,'3) Release_Label'!$D:$D&amp;'3) Release_Label'!$E:$E,1,0)),"NO UPC-CATALOG ID pair MATCH in Release_Label" )</f>
        <v/>
      </c>
      <c r="D16" s="121" t="str">
        <f t="array" ref="D16">ifs(and(isblank($A16),isblank($B16)),"", not(iserror(vlookup($A16&amp;$B16,'3) Release_Label'!$D:$D&amp;'3) Release_Label'!$E:$E,1,0))),vlookup($A16&amp;$B16,{'3) Release_Label'!$D:$D&amp;'3) Release_Label'!$E:$E,'3) Release_Label'!$H:$H},2,0), or(and(not(isblank($B16)),$B16=$B15,$A16&lt;&gt;$A15),and(not(isblank($A16)),$A16=$A15,$B16&lt;&gt;$B15)),"ID LISTS UNALIGNED",and($A16&lt;&gt;"",countif('3) Release_Label'!$D:$D,$A16)=0),"NO UPC MATCH in Release_Label",and($B16&lt;&gt;"",countif('3) Release_Label'!$E:$E,$B16)=0),"NO CATALOG ID MATCH in Release_Label",iserror(vlookup($A16&amp;$B16,'3) Release_Label'!$D:$D&amp;'3) Release_Label'!$E:$E,1,0)),"NO UPC-CATALOG ID pair MATCH in Release_Label" )</f>
        <v/>
      </c>
      <c r="E16" s="147" t="str">
        <f t="shared" si="1"/>
        <v/>
      </c>
      <c r="F16" s="28"/>
      <c r="G16" s="120"/>
      <c r="H16" s="148"/>
      <c r="I16" s="28"/>
      <c r="J16" s="28"/>
      <c r="K16" s="152"/>
      <c r="L16" s="28"/>
      <c r="M16" s="28"/>
      <c r="N16" s="28"/>
      <c r="O16" s="28"/>
      <c r="P16" s="28"/>
      <c r="Q16" s="28"/>
      <c r="R16" s="8" t="s">
        <v>111</v>
      </c>
      <c r="S16" s="28"/>
      <c r="T16" s="28"/>
      <c r="U16" s="28"/>
      <c r="V16" s="28"/>
      <c r="W16" s="28"/>
      <c r="X16" s="28"/>
      <c r="Y16" s="28"/>
      <c r="Z16" s="28"/>
      <c r="AA16" s="28"/>
      <c r="AB16" s="28"/>
      <c r="AC16" s="28"/>
      <c r="AD16" s="28"/>
      <c r="AE16" s="28"/>
      <c r="AF16" s="28"/>
      <c r="AG16" s="28"/>
      <c r="AH16" s="28"/>
      <c r="AI16" s="28"/>
      <c r="AJ16" s="28"/>
      <c r="AK16" s="28"/>
      <c r="AL16" s="28"/>
      <c r="AM16" s="28"/>
    </row>
    <row r="17">
      <c r="A17" s="90"/>
      <c r="B17" s="97"/>
      <c r="C17" s="121" t="str">
        <f t="array" ref="C17">ifs(and(isblank($A17),isblank($B17)),"", not(iserror(vlookup($A17&amp;$B17,'3) Release_Label'!$D:$D&amp;'3) Release_Label'!$E:$E,1,0))),vlookup($A17&amp;$B17,{'3) Release_Label'!$D:$D&amp;'3) Release_Label'!$E:$E,'3) Release_Label'!$F:$F},2,0),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
      </c>
      <c r="D17" s="121" t="str">
        <f t="array" ref="D17">ifs(and(isblank($A17),isblank($B17)),"", not(iserror(vlookup($A17&amp;$B17,'3) Release_Label'!$D:$D&amp;'3) Release_Label'!$E:$E,1,0))),vlookup($A17&amp;$B17,{'3) Release_Label'!$D:$D&amp;'3) Release_Label'!$E:$E,'3) Release_Label'!$H:$H},2,0),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
      </c>
      <c r="E17" s="147" t="str">
        <f t="shared" si="1"/>
        <v/>
      </c>
      <c r="F17" s="8"/>
      <c r="G17" s="97"/>
      <c r="H17" s="155"/>
      <c r="J17" s="8"/>
      <c r="K17" s="150"/>
      <c r="L17" s="8"/>
      <c r="M17" s="8"/>
      <c r="N17" s="8"/>
      <c r="O17" s="28"/>
      <c r="P17" s="28"/>
      <c r="Q17" s="28"/>
      <c r="R17" s="28"/>
      <c r="S17" s="28"/>
      <c r="T17" s="28"/>
      <c r="U17" s="28"/>
      <c r="V17" s="28"/>
      <c r="W17" s="43"/>
      <c r="X17" s="28"/>
      <c r="Y17" s="28"/>
    </row>
    <row r="18">
      <c r="A18" s="90"/>
      <c r="B18" s="97"/>
      <c r="C18" s="121" t="str">
        <f t="array" ref="C18">ifs(and(isblank($A18),isblank($B18)),"", not(iserror(vlookup($A18&amp;$B18,'3) Release_Label'!$D:$D&amp;'3) Release_Label'!$E:$E,1,0))),vlookup($A18&amp;$B18,{'3) Release_Label'!$D:$D&amp;'3) Release_Label'!$E:$E,'3) Release_Label'!$F:$F},2,0),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
      </c>
      <c r="D18" s="121" t="str">
        <f t="array" ref="D18">ifs(and(isblank($A18),isblank($B18)),"", not(iserror(vlookup($A18&amp;$B18,'3) Release_Label'!$D:$D&amp;'3) Release_Label'!$E:$E,1,0))),vlookup($A18&amp;$B18,{'3) Release_Label'!$D:$D&amp;'3) Release_Label'!$E:$E,'3) Release_Label'!$H:$H},2,0),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
      </c>
      <c r="E18" s="147" t="str">
        <f t="shared" si="1"/>
        <v/>
      </c>
      <c r="F18" s="8"/>
      <c r="G18" s="97"/>
      <c r="H18" s="155"/>
      <c r="J18" s="8"/>
      <c r="K18" s="150"/>
      <c r="L18" s="8"/>
      <c r="M18" s="8"/>
      <c r="N18" s="8"/>
      <c r="O18" s="8"/>
      <c r="P18" s="8"/>
      <c r="Q18" s="8"/>
      <c r="R18" s="8"/>
      <c r="S18" s="8"/>
    </row>
    <row r="19">
      <c r="A19" s="90"/>
      <c r="B19" s="97"/>
      <c r="C19" s="121" t="str">
        <f t="array" ref="C19">ifs(and(isblank($A19),isblank($B19)),"", not(iserror(vlookup($A19&amp;$B19,'3) Release_Label'!$D:$D&amp;'3) Release_Label'!$E:$E,1,0))),vlookup($A19&amp;$B19,{'3) Release_Label'!$D:$D&amp;'3) Release_Label'!$E:$E,'3) Release_Label'!$F:$F},2,0),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
      </c>
      <c r="D19" s="121" t="str">
        <f t="array" ref="D19">ifs(and(isblank($A19),isblank($B19)),"", not(iserror(vlookup($A19&amp;$B19,'3) Release_Label'!$D:$D&amp;'3) Release_Label'!$E:$E,1,0))),vlookup($A19&amp;$B19,{'3) Release_Label'!$D:$D&amp;'3) Release_Label'!$E:$E,'3) Release_Label'!$H:$H},2,0),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
      </c>
      <c r="E19" s="147" t="str">
        <f t="shared" si="1"/>
        <v/>
      </c>
      <c r="G19" s="97"/>
      <c r="H19" s="155"/>
      <c r="J19" s="92"/>
      <c r="K19" s="98"/>
      <c r="L19" s="92"/>
      <c r="N19" s="92"/>
      <c r="O19" s="8"/>
      <c r="P19" s="8"/>
      <c r="Q19" s="8"/>
      <c r="R19" s="8"/>
      <c r="S19" s="8"/>
    </row>
    <row r="20">
      <c r="A20" s="90"/>
      <c r="B20" s="97"/>
      <c r="C20" s="121" t="str">
        <f t="array" ref="C20">ifs(and(isblank($A20),isblank($B20)),"", not(iserror(vlookup($A20&amp;$B20,'3) Release_Label'!$D:$D&amp;'3) Release_Label'!$E:$E,1,0))),vlookup($A20&amp;$B20,{'3) Release_Label'!$D:$D&amp;'3) Release_Label'!$E:$E,'3) Release_Label'!$F:$F},2,0),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
      </c>
      <c r="D20" s="121" t="str">
        <f t="array" ref="D20">ifs(and(isblank($A20),isblank($B20)),"", not(iserror(vlookup($A20&amp;$B20,'3) Release_Label'!$D:$D&amp;'3) Release_Label'!$E:$E,1,0))),vlookup($A20&amp;$B20,{'3) Release_Label'!$D:$D&amp;'3) Release_Label'!$E:$E,'3) Release_Label'!$H:$H},2,0),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
      </c>
      <c r="E20" s="147" t="str">
        <f t="shared" si="1"/>
        <v/>
      </c>
      <c r="F20" s="8"/>
      <c r="G20" s="97"/>
      <c r="H20" s="155"/>
      <c r="J20" s="8"/>
      <c r="K20" s="150"/>
      <c r="L20" s="8"/>
      <c r="M20" s="8"/>
      <c r="N20" s="8"/>
      <c r="O20" s="92"/>
      <c r="P20" s="92"/>
    </row>
    <row r="21">
      <c r="A21" s="90"/>
      <c r="B21" s="97"/>
      <c r="C21" s="121" t="str">
        <f t="array" ref="C21">ifs(and(isblank($A21),isblank($B21)),"", not(iserror(vlookup($A21&amp;$B21,'3) Release_Label'!$D:$D&amp;'3) Release_Label'!$E:$E,1,0))),vlookup($A21&amp;$B21,{'3) Release_Label'!$D:$D&amp;'3) Release_Label'!$E:$E,'3) Release_Label'!$F:$F},2,0),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
      </c>
      <c r="D21" s="121" t="str">
        <f t="array" ref="D21">ifs(and(isblank($A21),isblank($B21)),"", not(iserror(vlookup($A21&amp;$B21,'3) Release_Label'!$D:$D&amp;'3) Release_Label'!$E:$E,1,0))),vlookup($A21&amp;$B21,{'3) Release_Label'!$D:$D&amp;'3) Release_Label'!$E:$E,'3) Release_Label'!$H:$H},2,0),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
      </c>
      <c r="E21" s="147" t="str">
        <f t="shared" si="1"/>
        <v/>
      </c>
      <c r="F21" s="8"/>
      <c r="G21" s="97"/>
      <c r="H21" s="155"/>
      <c r="J21" s="8"/>
      <c r="K21" s="150"/>
      <c r="L21" s="8"/>
      <c r="M21" s="8"/>
      <c r="N21" s="8"/>
      <c r="O21" s="8"/>
      <c r="P21" s="8"/>
      <c r="Q21" s="8"/>
      <c r="R21" s="8"/>
      <c r="S21" s="8"/>
    </row>
    <row r="22">
      <c r="A22" s="90"/>
      <c r="B22" s="97"/>
      <c r="C22" s="121" t="str">
        <f t="array" ref="C22">ifs(and(isblank($A22),isblank($B22)),"", not(iserror(vlookup($A22&amp;$B22,'3) Release_Label'!$D:$D&amp;'3) Release_Label'!$E:$E,1,0))),vlookup($A22&amp;$B22,{'3) Release_Label'!$D:$D&amp;'3) Release_Label'!$E:$E,'3) Release_Label'!$F:$F},2,0),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
      </c>
      <c r="D22" s="121" t="str">
        <f t="array" ref="D22">ifs(and(isblank($A22),isblank($B22)),"", not(iserror(vlookup($A22&amp;$B22,'3) Release_Label'!$D:$D&amp;'3) Release_Label'!$E:$E,1,0))),vlookup($A22&amp;$B22,{'3) Release_Label'!$D:$D&amp;'3) Release_Label'!$E:$E,'3) Release_Label'!$H:$H},2,0),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
      </c>
      <c r="E22" s="147" t="str">
        <f t="shared" si="1"/>
        <v/>
      </c>
      <c r="F22" s="8"/>
      <c r="G22" s="97"/>
      <c r="H22" s="155"/>
      <c r="J22" s="8"/>
      <c r="K22" s="150"/>
      <c r="L22" s="8"/>
      <c r="M22" s="8"/>
      <c r="N22" s="8"/>
      <c r="O22" s="8"/>
      <c r="P22" s="8"/>
      <c r="Q22" s="8"/>
      <c r="R22" s="8"/>
      <c r="S22" s="8"/>
    </row>
    <row r="23">
      <c r="A23" s="90"/>
      <c r="B23" s="97"/>
      <c r="C23" s="121" t="str">
        <f t="array" ref="C23">ifs(and(isblank($A23),isblank($B23)),"", not(iserror(vlookup($A23&amp;$B23,'3) Release_Label'!$D:$D&amp;'3) Release_Label'!$E:$E,1,0))),vlookup($A23&amp;$B23,{'3) Release_Label'!$D:$D&amp;'3) Release_Label'!$E:$E,'3) Release_Label'!$F:$F},2,0), or(and(not(isblank($B23)),$B23=$B22,$A23&lt;&gt;$A22),and(not(isblank($A23)),$A23=$A22,$B23&lt;&gt;$B22)),"ID LISTS UNALIGNED",and($A23&lt;&gt;"",countif('3) Release_Label'!$D:$D,$A23)=0),"NO UPC MATCH in Release_Label",and($B23&lt;&gt;"",countif('3) Release_Label'!$E:$E,$B23)=0),"NO CATALOG ID MATCH in Release_Label",iserror(vlookup($A23&amp;$B23,'3) Release_Label'!$D:$D&amp;'3) Release_Label'!$E:$E,1,0)),"NO UPC-CATALOG ID pair MATCH in Release_Label" )</f>
        <v/>
      </c>
      <c r="D23" s="121" t="str">
        <f t="array" ref="D23">ifs(and(isblank($A23),isblank($B23)),"", not(iserror(vlookup($A23&amp;$B23,'3) Release_Label'!$D:$D&amp;'3) Release_Label'!$E:$E,1,0))),vlookup($A23&amp;$B23,{'3) Release_Label'!$D:$D&amp;'3) Release_Label'!$E:$E,'3) Release_Label'!$H:$H},2,0), or(and(not(isblank($B23)),$B23=$B22,$A23&lt;&gt;$A22),and(not(isblank($A23)),$A23=$A22,$B23&lt;&gt;$B22)),"ID LISTS UNALIGNED",and($A23&lt;&gt;"",countif('3) Release_Label'!$D:$D,$A23)=0),"NO UPC MATCH in Release_Label",and($B23&lt;&gt;"",countif('3) Release_Label'!$E:$E,$B23)=0),"NO CATALOG ID MATCH in Release_Label",iserror(vlookup($A23&amp;$B23,'3) Release_Label'!$D:$D&amp;'3) Release_Label'!$E:$E,1,0)),"NO UPC-CATALOG ID pair MATCH in Release_Label" )</f>
        <v/>
      </c>
      <c r="E23" s="147" t="str">
        <f t="shared" si="1"/>
        <v/>
      </c>
      <c r="F23" s="8"/>
      <c r="G23" s="97"/>
      <c r="H23" s="155"/>
      <c r="J23" s="8"/>
      <c r="K23" s="150"/>
      <c r="L23" s="8"/>
      <c r="M23" s="8"/>
      <c r="N23" s="8"/>
      <c r="O23" s="8"/>
      <c r="P23" s="8"/>
      <c r="Q23" s="8"/>
      <c r="R23" s="8"/>
      <c r="S23" s="8"/>
    </row>
    <row r="24">
      <c r="A24" s="90"/>
      <c r="B24" s="97"/>
      <c r="C24" s="121" t="str">
        <f t="array" ref="C24">ifs(and(isblank($A24),isblank($B24)),"", not(iserror(vlookup($A24&amp;$B24,'3) Release_Label'!$D:$D&amp;'3) Release_Label'!$E:$E,1,0))),vlookup($A24&amp;$B24,{'3) Release_Label'!$D:$D&amp;'3) Release_Label'!$E:$E,'3) Release_Label'!$F:$F},2,0),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
      </c>
      <c r="D24" s="121" t="str">
        <f t="array" ref="D24">ifs(and(isblank($A24),isblank($B24)),"", not(iserror(vlookup($A24&amp;$B24,'3) Release_Label'!$D:$D&amp;'3) Release_Label'!$E:$E,1,0))),vlookup($A24&amp;$B24,{'3) Release_Label'!$D:$D&amp;'3) Release_Label'!$E:$E,'3) Release_Label'!$H:$H},2,0),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
      </c>
      <c r="E24" s="147" t="str">
        <f t="shared" si="1"/>
        <v/>
      </c>
      <c r="F24" s="8"/>
      <c r="G24" s="97"/>
      <c r="H24" s="155"/>
      <c r="J24" s="8"/>
      <c r="K24" s="150"/>
      <c r="L24" s="8"/>
      <c r="M24" s="8"/>
      <c r="N24" s="8"/>
      <c r="O24" s="8"/>
      <c r="P24" s="8"/>
      <c r="Q24" s="8"/>
      <c r="R24" s="8"/>
      <c r="S24" s="8"/>
    </row>
    <row r="25">
      <c r="A25" s="90"/>
      <c r="B25" s="97"/>
      <c r="C25" s="121" t="str">
        <f t="array" ref="C25">ifs(and(isblank($A25),isblank($B25)),"", not(iserror(vlookup($A25&amp;$B25,'3) Release_Label'!$D:$D&amp;'3) Release_Label'!$E:$E,1,0))),vlookup($A25&amp;$B25,{'3) Release_Label'!$D:$D&amp;'3) Release_Label'!$E:$E,'3) Release_Label'!$F:$F},2,0),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
      </c>
      <c r="D25" s="121" t="str">
        <f t="array" ref="D25">ifs(and(isblank($A25),isblank($B25)),"", not(iserror(vlookup($A25&amp;$B25,'3) Release_Label'!$D:$D&amp;'3) Release_Label'!$E:$E,1,0))),vlookup($A25&amp;$B25,{'3) Release_Label'!$D:$D&amp;'3) Release_Label'!$E:$E,'3) Release_Label'!$H:$H},2,0),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
      </c>
      <c r="E25" s="147" t="str">
        <f t="shared" si="1"/>
        <v/>
      </c>
      <c r="G25" s="97"/>
      <c r="H25" s="155"/>
      <c r="J25" s="92"/>
      <c r="K25" s="98"/>
      <c r="L25" s="92"/>
      <c r="N25" s="92"/>
      <c r="O25" s="8"/>
      <c r="P25" s="8"/>
      <c r="Q25" s="8"/>
      <c r="R25" s="8"/>
      <c r="S25" s="8"/>
    </row>
    <row r="26">
      <c r="A26" s="90"/>
      <c r="B26" s="97"/>
      <c r="C26" s="121" t="str">
        <f t="array" ref="C26">ifs(and(isblank($A26),isblank($B26)),"", not(iserror(vlookup($A26&amp;$B26,'3) Release_Label'!$D:$D&amp;'3) Release_Label'!$E:$E,1,0))),vlookup($A26&amp;$B26,{'3) Release_Label'!$D:$D&amp;'3) Release_Label'!$E:$E,'3) Release_Label'!$F:$F},2,0), or(and(not(isblank($B26)),$B26=$B25,$A26&lt;&gt;$A25),and(not(isblank($A26)),$A26=$A25,$B26&lt;&gt;$B25)),"ID LISTS UNALIGNED",and($A26&lt;&gt;"",countif('3) Release_Label'!$D:$D,$A26)=0),"NO UPC MATCH in Release_Label",and($B26&lt;&gt;"",countif('3) Release_Label'!$E:$E,$B26)=0),"NO CATALOG ID MATCH in Release_Label",iserror(vlookup($A26&amp;$B26,'3) Release_Label'!$D:$D&amp;'3) Release_Label'!$E:$E,1,0)),"NO UPC-CATALOG ID pair MATCH in Release_Label" )</f>
        <v/>
      </c>
      <c r="D26" s="121" t="str">
        <f t="array" ref="D26">ifs(and(isblank($A26),isblank($B26)),"", not(iserror(vlookup($A26&amp;$B26,'3) Release_Label'!$D:$D&amp;'3) Release_Label'!$E:$E,1,0))),vlookup($A26&amp;$B26,{'3) Release_Label'!$D:$D&amp;'3) Release_Label'!$E:$E,'3) Release_Label'!$H:$H},2,0), or(and(not(isblank($B26)),$B26=$B25,$A26&lt;&gt;$A25),and(not(isblank($A26)),$A26=$A25,$B26&lt;&gt;$B25)),"ID LISTS UNALIGNED",and($A26&lt;&gt;"",countif('3) Release_Label'!$D:$D,$A26)=0),"NO UPC MATCH in Release_Label",and($B26&lt;&gt;"",countif('3) Release_Label'!$E:$E,$B26)=0),"NO CATALOG ID MATCH in Release_Label",iserror(vlookup($A26&amp;$B26,'3) Release_Label'!$D:$D&amp;'3) Release_Label'!$E:$E,1,0)),"NO UPC-CATALOG ID pair MATCH in Release_Label" )</f>
        <v/>
      </c>
      <c r="E26" s="147" t="str">
        <f t="shared" si="1"/>
        <v/>
      </c>
      <c r="F26" s="8"/>
      <c r="G26" s="97"/>
      <c r="H26" s="155"/>
      <c r="J26" s="8"/>
      <c r="K26" s="150"/>
      <c r="L26" s="8"/>
      <c r="M26" s="8"/>
      <c r="N26" s="8"/>
      <c r="O26" s="92"/>
      <c r="P26" s="92"/>
    </row>
    <row r="27">
      <c r="A27" s="90"/>
      <c r="B27" s="97"/>
      <c r="C27" s="121" t="str">
        <f t="array" ref="C27">ifs(and(isblank($A27),isblank($B27)),"", not(iserror(vlookup($A27&amp;$B27,'3) Release_Label'!$D:$D&amp;'3) Release_Label'!$E:$E,1,0))),vlookup($A27&amp;$B27,{'3) Release_Label'!$D:$D&amp;'3) Release_Label'!$E:$E,'3) Release_Label'!$F:$F},2,0),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
      </c>
      <c r="D27" s="121" t="str">
        <f t="array" ref="D27">ifs(and(isblank($A27),isblank($B27)),"", not(iserror(vlookup($A27&amp;$B27,'3) Release_Label'!$D:$D&amp;'3) Release_Label'!$E:$E,1,0))),vlookup($A27&amp;$B27,{'3) Release_Label'!$D:$D&amp;'3) Release_Label'!$E:$E,'3) Release_Label'!$H:$H},2,0),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
      </c>
      <c r="E27" s="147" t="str">
        <f t="shared" si="1"/>
        <v/>
      </c>
      <c r="F27" s="8"/>
      <c r="G27" s="97"/>
      <c r="H27" s="155"/>
      <c r="J27" s="8"/>
      <c r="K27" s="150"/>
      <c r="L27" s="8"/>
      <c r="M27" s="8"/>
      <c r="N27" s="8"/>
      <c r="O27" s="8"/>
      <c r="P27" s="8"/>
      <c r="Q27" s="8"/>
      <c r="R27" s="8"/>
      <c r="S27" s="8"/>
    </row>
    <row r="28">
      <c r="A28" s="90"/>
      <c r="B28" s="97"/>
      <c r="C28" s="121" t="str">
        <f t="array" ref="C28">ifs(and(isblank($A28),isblank($B28)),"", not(iserror(vlookup($A28&amp;$B28,'3) Release_Label'!$D:$D&amp;'3) Release_Label'!$E:$E,1,0))),vlookup($A28&amp;$B28,{'3) Release_Label'!$D:$D&amp;'3) Release_Label'!$E:$E,'3) Release_Label'!$F:$F},2,0), or(and(not(isblank($B28)),$B28=$B27,$A28&lt;&gt;$A27),and(not(isblank($A28)),$A28=$A27,$B28&lt;&gt;$B27)),"ID LISTS UNALIGNED",and($A28&lt;&gt;"",countif('3) Release_Label'!$D:$D,$A28)=0),"NO UPC MATCH in Release_Label",and($B28&lt;&gt;"",countif('3) Release_Label'!$E:$E,$B28)=0),"NO CATALOG ID MATCH in Release_Label",iserror(vlookup($A28&amp;$B28,'3) Release_Label'!$D:$D&amp;'3) Release_Label'!$E:$E,1,0)),"NO UPC-CATALOG ID pair MATCH in Release_Label" )</f>
        <v/>
      </c>
      <c r="D28" s="121" t="str">
        <f t="array" ref="D28">ifs(and(isblank($A28),isblank($B28)),"", not(iserror(vlookup($A28&amp;$B28,'3) Release_Label'!$D:$D&amp;'3) Release_Label'!$E:$E,1,0))),vlookup($A28&amp;$B28,{'3) Release_Label'!$D:$D&amp;'3) Release_Label'!$E:$E,'3) Release_Label'!$H:$H},2,0), or(and(not(isblank($B28)),$B28=$B27,$A28&lt;&gt;$A27),and(not(isblank($A28)),$A28=$A27,$B28&lt;&gt;$B27)),"ID LISTS UNALIGNED",and($A28&lt;&gt;"",countif('3) Release_Label'!$D:$D,$A28)=0),"NO UPC MATCH in Release_Label",and($B28&lt;&gt;"",countif('3) Release_Label'!$E:$E,$B28)=0),"NO CATALOG ID MATCH in Release_Label",iserror(vlookup($A28&amp;$B28,'3) Release_Label'!$D:$D&amp;'3) Release_Label'!$E:$E,1,0)),"NO UPC-CATALOG ID pair MATCH in Release_Label" )</f>
        <v/>
      </c>
      <c r="E28" s="147" t="str">
        <f t="shared" si="1"/>
        <v/>
      </c>
      <c r="F28" s="8"/>
      <c r="G28" s="97"/>
      <c r="H28" s="155"/>
      <c r="J28" s="8"/>
      <c r="K28" s="150"/>
      <c r="L28" s="8"/>
      <c r="M28" s="8"/>
      <c r="N28" s="8"/>
      <c r="O28" s="8"/>
      <c r="P28" s="8"/>
      <c r="Q28" s="8"/>
      <c r="R28" s="8"/>
      <c r="S28" s="8"/>
    </row>
    <row r="29">
      <c r="A29" s="90"/>
      <c r="B29" s="97"/>
      <c r="C29" s="121" t="str">
        <f t="array" ref="C29">ifs(and(isblank($A29),isblank($B29)),"", not(iserror(vlookup($A29&amp;$B29,'3) Release_Label'!$D:$D&amp;'3) Release_Label'!$E:$E,1,0))),vlookup($A29&amp;$B29,{'3) Release_Label'!$D:$D&amp;'3) Release_Label'!$E:$E,'3) Release_Label'!$F:$F},2,0),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
      </c>
      <c r="D29" s="121" t="str">
        <f t="array" ref="D29">ifs(and(isblank($A29),isblank($B29)),"", not(iserror(vlookup($A29&amp;$B29,'3) Release_Label'!$D:$D&amp;'3) Release_Label'!$E:$E,1,0))),vlookup($A29&amp;$B29,{'3) Release_Label'!$D:$D&amp;'3) Release_Label'!$E:$E,'3) Release_Label'!$H:$H},2,0),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
      </c>
      <c r="E29" s="147" t="str">
        <f t="shared" si="1"/>
        <v/>
      </c>
      <c r="F29" s="8"/>
      <c r="G29" s="97"/>
      <c r="H29" s="155"/>
      <c r="J29" s="8"/>
      <c r="K29" s="150"/>
      <c r="L29" s="8"/>
      <c r="M29" s="8"/>
      <c r="N29" s="8"/>
      <c r="O29" s="8"/>
      <c r="P29" s="8"/>
      <c r="Q29" s="8"/>
      <c r="R29" s="8"/>
      <c r="S29" s="8"/>
    </row>
    <row r="30">
      <c r="A30" s="90"/>
      <c r="B30" s="97"/>
      <c r="C30" s="121" t="str">
        <f t="array" ref="C30">ifs(and(isblank($A30),isblank($B30)),"", not(iserror(vlookup($A30&amp;$B30,'3) Release_Label'!$D:$D&amp;'3) Release_Label'!$E:$E,1,0))),vlookup($A30&amp;$B30,{'3) Release_Label'!$D:$D&amp;'3) Release_Label'!$E:$E,'3) Release_Label'!$F:$F},2,0),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
      </c>
      <c r="D30" s="121" t="str">
        <f t="array" ref="D30">ifs(and(isblank($A30),isblank($B30)),"", not(iserror(vlookup($A30&amp;$B30,'3) Release_Label'!$D:$D&amp;'3) Release_Label'!$E:$E,1,0))),vlookup($A30&amp;$B30,{'3) Release_Label'!$D:$D&amp;'3) Release_Label'!$E:$E,'3) Release_Label'!$H:$H},2,0),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
      </c>
      <c r="E30" s="147" t="str">
        <f t="shared" si="1"/>
        <v/>
      </c>
      <c r="G30" s="97"/>
      <c r="H30" s="155"/>
      <c r="J30" s="92"/>
      <c r="K30" s="98"/>
      <c r="L30" s="92"/>
      <c r="N30" s="92"/>
      <c r="O30" s="8"/>
      <c r="P30" s="8"/>
      <c r="Q30" s="8"/>
      <c r="R30" s="8"/>
      <c r="S30" s="8"/>
    </row>
    <row r="31">
      <c r="A31" s="90"/>
      <c r="B31" s="97"/>
      <c r="C31" s="121" t="str">
        <f t="array" ref="C31">ifs(and(isblank($A31),isblank($B31)),"", not(iserror(vlookup($A31&amp;$B31,'3) Release_Label'!$D:$D&amp;'3) Release_Label'!$E:$E,1,0))),vlookup($A31&amp;$B31,{'3) Release_Label'!$D:$D&amp;'3) Release_Label'!$E:$E,'3) Release_Label'!$F:$F},2,0), or(and(not(isblank($B31)),$B31=$B30,$A31&lt;&gt;$A30),and(not(isblank($A31)),$A31=$A30,$B31&lt;&gt;$B30)),"ID LISTS UNALIGNED",and($A31&lt;&gt;"",countif('3) Release_Label'!$D:$D,$A31)=0),"NO UPC MATCH in Release_Label",and($B31&lt;&gt;"",countif('3) Release_Label'!$E:$E,$B31)=0),"NO CATALOG ID MATCH in Release_Label",iserror(vlookup($A31&amp;$B31,'3) Release_Label'!$D:$D&amp;'3) Release_Label'!$E:$E,1,0)),"NO UPC-CATALOG ID pair MATCH in Release_Label" )</f>
        <v/>
      </c>
      <c r="D31" s="121" t="str">
        <f t="array" ref="D31">ifs(and(isblank($A31),isblank($B31)),"", not(iserror(vlookup($A31&amp;$B31,'3) Release_Label'!$D:$D&amp;'3) Release_Label'!$E:$E,1,0))),vlookup($A31&amp;$B31,{'3) Release_Label'!$D:$D&amp;'3) Release_Label'!$E:$E,'3) Release_Label'!$H:$H},2,0), or(and(not(isblank($B31)),$B31=$B30,$A31&lt;&gt;$A30),and(not(isblank($A31)),$A31=$A30,$B31&lt;&gt;$B30)),"ID LISTS UNALIGNED",and($A31&lt;&gt;"",countif('3) Release_Label'!$D:$D,$A31)=0),"NO UPC MATCH in Release_Label",and($B31&lt;&gt;"",countif('3) Release_Label'!$E:$E,$B31)=0),"NO CATALOG ID MATCH in Release_Label",iserror(vlookup($A31&amp;$B31,'3) Release_Label'!$D:$D&amp;'3) Release_Label'!$E:$E,1,0)),"NO UPC-CATALOG ID pair MATCH in Release_Label" )</f>
        <v/>
      </c>
      <c r="E31" s="147" t="str">
        <f t="shared" si="1"/>
        <v/>
      </c>
      <c r="F31" s="8"/>
      <c r="G31" s="97"/>
      <c r="H31" s="155"/>
      <c r="J31" s="8"/>
      <c r="K31" s="150"/>
      <c r="L31" s="8"/>
      <c r="M31" s="8"/>
      <c r="N31" s="8"/>
      <c r="O31" s="92"/>
      <c r="P31" s="92"/>
    </row>
    <row r="32">
      <c r="A32" s="90"/>
      <c r="B32" s="97"/>
      <c r="C32" s="121" t="str">
        <f t="array" ref="C32">ifs(and(isblank($A32),isblank($B32)),"", not(iserror(vlookup($A32&amp;$B32,'3) Release_Label'!$D:$D&amp;'3) Release_Label'!$E:$E,1,0))),vlookup($A32&amp;$B32,{'3) Release_Label'!$D:$D&amp;'3) Release_Label'!$E:$E,'3) Release_Label'!$F:$F},2,0),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
      </c>
      <c r="D32" s="121" t="str">
        <f t="array" ref="D32">ifs(and(isblank($A32),isblank($B32)),"", not(iserror(vlookup($A32&amp;$B32,'3) Release_Label'!$D:$D&amp;'3) Release_Label'!$E:$E,1,0))),vlookup($A32&amp;$B32,{'3) Release_Label'!$D:$D&amp;'3) Release_Label'!$E:$E,'3) Release_Label'!$H:$H},2,0),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
      </c>
      <c r="E32" s="147" t="str">
        <f t="shared" si="1"/>
        <v/>
      </c>
      <c r="F32" s="8"/>
      <c r="G32" s="97"/>
      <c r="H32" s="155"/>
      <c r="J32" s="8"/>
      <c r="K32" s="150"/>
      <c r="L32" s="8"/>
      <c r="M32" s="8"/>
      <c r="N32" s="8"/>
      <c r="O32" s="8"/>
      <c r="P32" s="8"/>
      <c r="Q32" s="8"/>
      <c r="R32" s="8"/>
      <c r="S32" s="8"/>
    </row>
    <row r="33">
      <c r="A33" s="90"/>
      <c r="B33" s="46"/>
      <c r="C33" s="121" t="str">
        <f t="array" ref="C33">ifs(and(isblank($A33),isblank($B33)),"", not(iserror(vlookup($A33&amp;$B33,'3) Release_Label'!$D:$D&amp;'3) Release_Label'!$E:$E,1,0))),vlookup($A33&amp;$B33,{'3) Release_Label'!$D:$D&amp;'3) Release_Label'!$E:$E,'3) Release_Label'!$F:$F},2,0),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
      </c>
      <c r="D33" s="121" t="str">
        <f t="array" ref="D33">ifs(and(isblank($A33),isblank($B33)),"", not(iserror(vlookup($A33&amp;$B33,'3) Release_Label'!$D:$D&amp;'3) Release_Label'!$E:$E,1,0))),vlookup($A33&amp;$B33,{'3) Release_Label'!$D:$D&amp;'3) Release_Label'!$E:$E,'3) Release_Label'!$H:$H},2,0),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
      </c>
      <c r="E33" s="147" t="str">
        <f t="shared" si="1"/>
        <v/>
      </c>
      <c r="F33" s="8"/>
      <c r="G33" s="46"/>
      <c r="H33" s="155"/>
      <c r="J33" s="8"/>
      <c r="K33" s="150"/>
      <c r="L33" s="8"/>
      <c r="M33" s="8"/>
      <c r="N33" s="8"/>
      <c r="O33" s="8"/>
      <c r="P33" s="8"/>
      <c r="Q33" s="8"/>
      <c r="R33" s="8"/>
      <c r="S33" s="8"/>
    </row>
    <row r="34">
      <c r="A34" s="90"/>
      <c r="B34" s="97"/>
      <c r="C34" s="121" t="str">
        <f t="array" ref="C34">ifs(and(isblank($A34),isblank($B34)),"", not(iserror(vlookup($A34&amp;$B34,'3) Release_Label'!$D:$D&amp;'3) Release_Label'!$E:$E,1,0))),vlookup($A34&amp;$B34,{'3) Release_Label'!$D:$D&amp;'3) Release_Label'!$E:$E,'3) Release_Label'!$F:$F},2,0),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
      </c>
      <c r="D34" s="121" t="str">
        <f t="array" ref="D34">ifs(and(isblank($A34),isblank($B34)),"", not(iserror(vlookup($A34&amp;$B34,'3) Release_Label'!$D:$D&amp;'3) Release_Label'!$E:$E,1,0))),vlookup($A34&amp;$B34,{'3) Release_Label'!$D:$D&amp;'3) Release_Label'!$E:$E,'3) Release_Label'!$H:$H},2,0),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
      </c>
      <c r="E34" s="147" t="str">
        <f t="shared" si="1"/>
        <v/>
      </c>
      <c r="F34" s="8"/>
      <c r="G34" s="97"/>
      <c r="H34" s="155"/>
      <c r="J34" s="8"/>
      <c r="K34" s="150"/>
      <c r="L34" s="8"/>
      <c r="M34" s="8"/>
      <c r="N34" s="8"/>
      <c r="O34" s="8"/>
      <c r="P34" s="8"/>
      <c r="Q34" s="8"/>
      <c r="R34" s="8"/>
      <c r="S34" s="8"/>
    </row>
    <row r="35">
      <c r="A35" s="90"/>
      <c r="B35" s="97"/>
      <c r="C35" s="121" t="str">
        <f t="array" ref="C35">ifs(and(isblank($A35),isblank($B35)),"", not(iserror(vlookup($A35&amp;$B35,'3) Release_Label'!$D:$D&amp;'3) Release_Label'!$E:$E,1,0))),vlookup($A35&amp;$B35,{'3) Release_Label'!$D:$D&amp;'3) Release_Label'!$E:$E,'3) Release_Label'!$F:$F},2,0),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
      </c>
      <c r="D35" s="121" t="str">
        <f t="array" ref="D35">ifs(and(isblank($A35),isblank($B35)),"", not(iserror(vlookup($A35&amp;$B35,'3) Release_Label'!$D:$D&amp;'3) Release_Label'!$E:$E,1,0))),vlookup($A35&amp;$B35,{'3) Release_Label'!$D:$D&amp;'3) Release_Label'!$E:$E,'3) Release_Label'!$H:$H},2,0),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
      </c>
      <c r="E35" s="147" t="str">
        <f t="shared" si="1"/>
        <v/>
      </c>
      <c r="F35" s="8"/>
      <c r="G35" s="97"/>
      <c r="H35" s="155"/>
      <c r="J35" s="8"/>
      <c r="K35" s="150"/>
      <c r="L35" s="8"/>
      <c r="M35" s="8"/>
      <c r="N35" s="8"/>
      <c r="O35" s="8"/>
      <c r="P35" s="8"/>
      <c r="Q35" s="8"/>
      <c r="R35" s="8"/>
      <c r="S35" s="8"/>
    </row>
    <row r="36">
      <c r="A36" s="90"/>
      <c r="B36" s="97"/>
      <c r="C36" s="121" t="str">
        <f t="array" ref="C36">ifs(and(isblank($A36),isblank($B36)),"", not(iserror(vlookup($A36&amp;$B36,'3) Release_Label'!$D:$D&amp;'3) Release_Label'!$E:$E,1,0))),vlookup($A36&amp;$B36,{'3) Release_Label'!$D:$D&amp;'3) Release_Label'!$E:$E,'3) Release_Label'!$F:$F},2,0),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
      </c>
      <c r="D36" s="121" t="str">
        <f t="array" ref="D36">ifs(and(isblank($A36),isblank($B36)),"", not(iserror(vlookup($A36&amp;$B36,'3) Release_Label'!$D:$D&amp;'3) Release_Label'!$E:$E,1,0))),vlookup($A36&amp;$B36,{'3) Release_Label'!$D:$D&amp;'3) Release_Label'!$E:$E,'3) Release_Label'!$H:$H},2,0),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
      </c>
      <c r="E36" s="147" t="str">
        <f t="shared" si="1"/>
        <v/>
      </c>
      <c r="G36" s="97"/>
      <c r="H36" s="155"/>
      <c r="J36" s="92"/>
      <c r="K36" s="98"/>
      <c r="L36" s="92"/>
      <c r="N36" s="92"/>
      <c r="O36" s="8"/>
      <c r="P36" s="8"/>
      <c r="Q36" s="8"/>
      <c r="R36" s="8"/>
      <c r="S36" s="8"/>
    </row>
    <row r="37">
      <c r="A37" s="90"/>
      <c r="B37" s="97"/>
      <c r="C37" s="121" t="str">
        <f t="array" ref="C37">ifs(and(isblank($A37),isblank($B37)),"", not(iserror(vlookup($A37&amp;$B37,'3) Release_Label'!$D:$D&amp;'3) Release_Label'!$E:$E,1,0))),vlookup($A37&amp;$B37,{'3) Release_Label'!$D:$D&amp;'3) Release_Label'!$E:$E,'3) Release_Label'!$F:$F},2,0), or(and(not(isblank($B37)),$B37=$B36,$A37&lt;&gt;$A36),and(not(isblank($A37)),$A37=$A36,$B37&lt;&gt;$B36)),"ID LISTS UNALIGNED",and($A37&lt;&gt;"",countif('3) Release_Label'!$D:$D,$A37)=0),"NO UPC MATCH in Release_Label",and($B37&lt;&gt;"",countif('3) Release_Label'!$E:$E,$B37)=0),"NO CATALOG ID MATCH in Release_Label",iserror(vlookup($A37&amp;$B37,'3) Release_Label'!$D:$D&amp;'3) Release_Label'!$E:$E,1,0)),"NO UPC-CATALOG ID pair MATCH in Release_Label" )</f>
        <v/>
      </c>
      <c r="D37" s="121" t="str">
        <f t="array" ref="D37">ifs(and(isblank($A37),isblank($B37)),"", not(iserror(vlookup($A37&amp;$B37,'3) Release_Label'!$D:$D&amp;'3) Release_Label'!$E:$E,1,0))),vlookup($A37&amp;$B37,{'3) Release_Label'!$D:$D&amp;'3) Release_Label'!$E:$E,'3) Release_Label'!$H:$H},2,0), or(and(not(isblank($B37)),$B37=$B36,$A37&lt;&gt;$A36),and(not(isblank($A37)),$A37=$A36,$B37&lt;&gt;$B36)),"ID LISTS UNALIGNED",and($A37&lt;&gt;"",countif('3) Release_Label'!$D:$D,$A37)=0),"NO UPC MATCH in Release_Label",and($B37&lt;&gt;"",countif('3) Release_Label'!$E:$E,$B37)=0),"NO CATALOG ID MATCH in Release_Label",iserror(vlookup($A37&amp;$B37,'3) Release_Label'!$D:$D&amp;'3) Release_Label'!$E:$E,1,0)),"NO UPC-CATALOG ID pair MATCH in Release_Label" )</f>
        <v/>
      </c>
      <c r="E37" s="147" t="str">
        <f t="shared" si="1"/>
        <v/>
      </c>
      <c r="G37" s="97"/>
      <c r="H37" s="155"/>
      <c r="J37" s="92"/>
      <c r="K37" s="98"/>
      <c r="L37" s="92"/>
      <c r="N37" s="92"/>
      <c r="O37" s="92"/>
      <c r="P37" s="92"/>
    </row>
    <row r="38">
      <c r="A38" s="90"/>
      <c r="B38" s="97"/>
      <c r="C38" s="121" t="str">
        <f t="array" ref="C38">ifs(and(isblank($A38),isblank($B38)),"", not(iserror(vlookup($A38&amp;$B38,'3) Release_Label'!$D:$D&amp;'3) Release_Label'!$E:$E,1,0))),vlookup($A38&amp;$B38,{'3) Release_Label'!$D:$D&amp;'3) Release_Label'!$E:$E,'3) Release_Label'!$F:$F},2,0),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
      </c>
      <c r="D38" s="121" t="str">
        <f t="array" ref="D38">ifs(and(isblank($A38),isblank($B38)),"", not(iserror(vlookup($A38&amp;$B38,'3) Release_Label'!$D:$D&amp;'3) Release_Label'!$E:$E,1,0))),vlookup($A38&amp;$B38,{'3) Release_Label'!$D:$D&amp;'3) Release_Label'!$E:$E,'3) Release_Label'!$H:$H},2,0),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
      </c>
      <c r="E38" s="147" t="str">
        <f t="shared" si="1"/>
        <v/>
      </c>
      <c r="G38" s="97"/>
      <c r="H38" s="155"/>
      <c r="J38" s="92"/>
      <c r="K38" s="98"/>
      <c r="L38" s="92"/>
      <c r="N38" s="92"/>
      <c r="O38" s="92"/>
      <c r="P38" s="92"/>
    </row>
    <row r="39">
      <c r="A39" s="90"/>
      <c r="B39" s="97"/>
      <c r="C39" s="121" t="str">
        <f t="array" ref="C39">ifs(and(isblank($A39),isblank($B39)),"", not(iserror(vlookup($A39&amp;$B39,'3) Release_Label'!$D:$D&amp;'3) Release_Label'!$E:$E,1,0))),vlookup($A39&amp;$B39,{'3) Release_Label'!$D:$D&amp;'3) Release_Label'!$E:$E,'3) Release_Label'!$F:$F},2,0),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
      </c>
      <c r="D39" s="121" t="str">
        <f t="array" ref="D39">ifs(and(isblank($A39),isblank($B39)),"", not(iserror(vlookup($A39&amp;$B39,'3) Release_Label'!$D:$D&amp;'3) Release_Label'!$E:$E,1,0))),vlookup($A39&amp;$B39,{'3) Release_Label'!$D:$D&amp;'3) Release_Label'!$E:$E,'3) Release_Label'!$H:$H},2,0),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
      </c>
      <c r="E39" s="147" t="str">
        <f t="shared" si="1"/>
        <v/>
      </c>
      <c r="G39" s="97"/>
      <c r="H39" s="155"/>
      <c r="J39" s="92"/>
      <c r="K39" s="98"/>
      <c r="L39" s="92"/>
      <c r="N39" s="92"/>
      <c r="O39" s="92"/>
      <c r="P39" s="92"/>
    </row>
    <row r="40">
      <c r="A40" s="90"/>
      <c r="B40" s="97"/>
      <c r="C40" s="121" t="str">
        <f t="array" ref="C40">ifs(and(isblank($A40),isblank($B40)),"", not(iserror(vlookup($A40&amp;$B40,'3) Release_Label'!$D:$D&amp;'3) Release_Label'!$E:$E,1,0))),vlookup($A40&amp;$B40,{'3) Release_Label'!$D:$D&amp;'3) Release_Label'!$E:$E,'3) Release_Label'!$F:$F},2,0),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
      </c>
      <c r="D40" s="121" t="str">
        <f t="array" ref="D40">ifs(and(isblank($A40),isblank($B40)),"", not(iserror(vlookup($A40&amp;$B40,'3) Release_Label'!$D:$D&amp;'3) Release_Label'!$E:$E,1,0))),vlookup($A40&amp;$B40,{'3) Release_Label'!$D:$D&amp;'3) Release_Label'!$E:$E,'3) Release_Label'!$H:$H},2,0),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
      </c>
      <c r="E40" s="147" t="str">
        <f t="shared" si="1"/>
        <v/>
      </c>
      <c r="G40" s="97"/>
      <c r="H40" s="155"/>
      <c r="J40" s="92"/>
      <c r="K40" s="98"/>
      <c r="L40" s="92"/>
      <c r="N40" s="92"/>
      <c r="O40" s="92"/>
      <c r="P40" s="92"/>
    </row>
    <row r="41">
      <c r="A41" s="90"/>
      <c r="B41" s="97"/>
      <c r="C41" s="121" t="str">
        <f t="array" ref="C41">ifs(and(isblank($A41),isblank($B41)),"", not(iserror(vlookup($A41&amp;$B41,'3) Release_Label'!$D:$D&amp;'3) Release_Label'!$E:$E,1,0))),vlookup($A41&amp;$B41,{'3) Release_Label'!$D:$D&amp;'3) Release_Label'!$E:$E,'3) Release_Label'!$F:$F},2,0),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
      </c>
      <c r="D41" s="121" t="str">
        <f t="array" ref="D41">ifs(and(isblank($A41),isblank($B41)),"", not(iserror(vlookup($A41&amp;$B41,'3) Release_Label'!$D:$D&amp;'3) Release_Label'!$E:$E,1,0))),vlookup($A41&amp;$B41,{'3) Release_Label'!$D:$D&amp;'3) Release_Label'!$E:$E,'3) Release_Label'!$H:$H},2,0),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
      </c>
      <c r="E41" s="147" t="str">
        <f t="shared" si="1"/>
        <v/>
      </c>
      <c r="G41" s="97"/>
      <c r="H41" s="155"/>
      <c r="J41" s="92"/>
      <c r="K41" s="98"/>
      <c r="L41" s="92"/>
      <c r="N41" s="92"/>
      <c r="O41" s="92"/>
      <c r="P41" s="92"/>
    </row>
    <row r="42">
      <c r="A42" s="90"/>
      <c r="B42" s="97"/>
      <c r="C42" s="121" t="str">
        <f t="array" ref="C42">ifs(and(isblank($A42),isblank($B42)),"", not(iserror(vlookup($A42&amp;$B42,'3) Release_Label'!$D:$D&amp;'3) Release_Label'!$E:$E,1,0))),vlookup($A42&amp;$B42,{'3) Release_Label'!$D:$D&amp;'3) Release_Label'!$E:$E,'3) Release_Label'!$F:$F},2,0), or(and(not(isblank($B42)),$B42=$B41,$A42&lt;&gt;$A41),and(not(isblank($A42)),$A42=$A41,$B42&lt;&gt;$B41)),"ID LISTS UNALIGNED",and($A42&lt;&gt;"",countif('3) Release_Label'!$D:$D,$A42)=0),"NO UPC MATCH in Release_Label",and($B42&lt;&gt;"",countif('3) Release_Label'!$E:$E,$B42)=0),"NO CATALOG ID MATCH in Release_Label",iserror(vlookup($A42&amp;$B42,'3) Release_Label'!$D:$D&amp;'3) Release_Label'!$E:$E,1,0)),"NO UPC-CATALOG ID pair MATCH in Release_Label" )</f>
        <v/>
      </c>
      <c r="D42" s="121" t="str">
        <f t="array" ref="D42">ifs(and(isblank($A42),isblank($B42)),"", not(iserror(vlookup($A42&amp;$B42,'3) Release_Label'!$D:$D&amp;'3) Release_Label'!$E:$E,1,0))),vlookup($A42&amp;$B42,{'3) Release_Label'!$D:$D&amp;'3) Release_Label'!$E:$E,'3) Release_Label'!$H:$H},2,0), or(and(not(isblank($B42)),$B42=$B41,$A42&lt;&gt;$A41),and(not(isblank($A42)),$A42=$A41,$B42&lt;&gt;$B41)),"ID LISTS UNALIGNED",and($A42&lt;&gt;"",countif('3) Release_Label'!$D:$D,$A42)=0),"NO UPC MATCH in Release_Label",and($B42&lt;&gt;"",countif('3) Release_Label'!$E:$E,$B42)=0),"NO CATALOG ID MATCH in Release_Label",iserror(vlookup($A42&amp;$B42,'3) Release_Label'!$D:$D&amp;'3) Release_Label'!$E:$E,1,0)),"NO UPC-CATALOG ID pair MATCH in Release_Label" )</f>
        <v/>
      </c>
      <c r="E42" s="147" t="str">
        <f t="shared" si="1"/>
        <v/>
      </c>
      <c r="G42" s="97"/>
      <c r="H42" s="155"/>
      <c r="J42" s="92"/>
      <c r="K42" s="98"/>
      <c r="L42" s="92"/>
      <c r="N42" s="92"/>
      <c r="O42" s="92"/>
      <c r="P42" s="92"/>
    </row>
    <row r="43">
      <c r="A43" s="90"/>
      <c r="B43" s="97"/>
      <c r="C43" s="121" t="str">
        <f t="array" ref="C43">ifs(and(isblank($A43),isblank($B43)),"", not(iserror(vlookup($A43&amp;$B43,'3) Release_Label'!$D:$D&amp;'3) Release_Label'!$E:$E,1,0))),vlookup($A43&amp;$B43,{'3) Release_Label'!$D:$D&amp;'3) Release_Label'!$E:$E,'3) Release_Label'!$F:$F},2,0),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
      </c>
      <c r="D43" s="121" t="str">
        <f t="array" ref="D43">ifs(and(isblank($A43),isblank($B43)),"", not(iserror(vlookup($A43&amp;$B43,'3) Release_Label'!$D:$D&amp;'3) Release_Label'!$E:$E,1,0))),vlookup($A43&amp;$B43,{'3) Release_Label'!$D:$D&amp;'3) Release_Label'!$E:$E,'3) Release_Label'!$H:$H},2,0),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
      </c>
      <c r="E43" s="147" t="str">
        <f t="shared" si="1"/>
        <v/>
      </c>
      <c r="G43" s="97"/>
      <c r="H43" s="155"/>
      <c r="J43" s="92"/>
      <c r="K43" s="98"/>
      <c r="L43" s="92"/>
      <c r="N43" s="92"/>
      <c r="O43" s="92"/>
      <c r="P43" s="92"/>
    </row>
    <row r="44">
      <c r="A44" s="90"/>
      <c r="B44" s="97"/>
      <c r="C44" s="121" t="str">
        <f t="array" ref="C44">ifs(and(isblank($A44),isblank($B44)),"", not(iserror(vlookup($A44&amp;$B44,'3) Release_Label'!$D:$D&amp;'3) Release_Label'!$E:$E,1,0))),vlookup($A44&amp;$B44,{'3) Release_Label'!$D:$D&amp;'3) Release_Label'!$E:$E,'3) Release_Label'!$F:$F},2,0),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
      </c>
      <c r="D44" s="121" t="str">
        <f t="array" ref="D44">ifs(and(isblank($A44),isblank($B44)),"", not(iserror(vlookup($A44&amp;$B44,'3) Release_Label'!$D:$D&amp;'3) Release_Label'!$E:$E,1,0))),vlookup($A44&amp;$B44,{'3) Release_Label'!$D:$D&amp;'3) Release_Label'!$E:$E,'3) Release_Label'!$H:$H},2,0),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
      </c>
      <c r="E44" s="147" t="str">
        <f t="shared" si="1"/>
        <v/>
      </c>
      <c r="G44" s="97"/>
      <c r="H44" s="155"/>
      <c r="J44" s="92"/>
      <c r="K44" s="98"/>
      <c r="L44" s="92"/>
      <c r="N44" s="92"/>
      <c r="O44" s="92"/>
      <c r="P44" s="92"/>
    </row>
    <row r="45">
      <c r="A45" s="90"/>
      <c r="B45" s="97"/>
      <c r="C45" s="121" t="str">
        <f t="array" ref="C45">ifs(and(isblank($A45),isblank($B45)),"", not(iserror(vlookup($A45&amp;$B45,'3) Release_Label'!$D:$D&amp;'3) Release_Label'!$E:$E,1,0))),vlookup($A45&amp;$B45,{'3) Release_Label'!$D:$D&amp;'3) Release_Label'!$E:$E,'3) Release_Label'!$F:$F},2,0),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
      </c>
      <c r="D45" s="121" t="str">
        <f t="array" ref="D45">ifs(and(isblank($A45),isblank($B45)),"", not(iserror(vlookup($A45&amp;$B45,'3) Release_Label'!$D:$D&amp;'3) Release_Label'!$E:$E,1,0))),vlookup($A45&amp;$B45,{'3) Release_Label'!$D:$D&amp;'3) Release_Label'!$E:$E,'3) Release_Label'!$H:$H},2,0),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
      </c>
      <c r="E45" s="147" t="str">
        <f t="shared" si="1"/>
        <v/>
      </c>
      <c r="G45" s="97"/>
      <c r="H45" s="155"/>
      <c r="J45" s="92"/>
      <c r="K45" s="98"/>
      <c r="L45" s="92"/>
      <c r="N45" s="92"/>
      <c r="O45" s="92"/>
      <c r="P45" s="92"/>
    </row>
    <row r="46">
      <c r="A46" s="90"/>
      <c r="B46" s="97"/>
      <c r="C46" s="121" t="str">
        <f t="array" ref="C46">ifs(and(isblank($A46),isblank($B46)),"", not(iserror(vlookup($A46&amp;$B46,'3) Release_Label'!$D:$D&amp;'3) Release_Label'!$E:$E,1,0))),vlookup($A46&amp;$B46,{'3) Release_Label'!$D:$D&amp;'3) Release_Label'!$E:$E,'3) Release_Label'!$F:$F},2,0), or(and(not(isblank($B46)),$B46=$B45,$A46&lt;&gt;$A45),and(not(isblank($A46)),$A46=$A45,$B46&lt;&gt;$B45)),"ID LISTS UNALIGNED",and($A46&lt;&gt;"",countif('3) Release_Label'!$D:$D,$A46)=0),"NO UPC MATCH in Release_Label",and($B46&lt;&gt;"",countif('3) Release_Label'!$E:$E,$B46)=0),"NO CATALOG ID MATCH in Release_Label",iserror(vlookup($A46&amp;$B46,'3) Release_Label'!$D:$D&amp;'3) Release_Label'!$E:$E,1,0)),"NO UPC-CATALOG ID pair MATCH in Release_Label" )</f>
        <v/>
      </c>
      <c r="D46" s="121" t="str">
        <f t="array" ref="D46">ifs(and(isblank($A46),isblank($B46)),"", not(iserror(vlookup($A46&amp;$B46,'3) Release_Label'!$D:$D&amp;'3) Release_Label'!$E:$E,1,0))),vlookup($A46&amp;$B46,{'3) Release_Label'!$D:$D&amp;'3) Release_Label'!$E:$E,'3) Release_Label'!$H:$H},2,0), or(and(not(isblank($B46)),$B46=$B45,$A46&lt;&gt;$A45),and(not(isblank($A46)),$A46=$A45,$B46&lt;&gt;$B45)),"ID LISTS UNALIGNED",and($A46&lt;&gt;"",countif('3) Release_Label'!$D:$D,$A46)=0),"NO UPC MATCH in Release_Label",and($B46&lt;&gt;"",countif('3) Release_Label'!$E:$E,$B46)=0),"NO CATALOG ID MATCH in Release_Label",iserror(vlookup($A46&amp;$B46,'3) Release_Label'!$D:$D&amp;'3) Release_Label'!$E:$E,1,0)),"NO UPC-CATALOG ID pair MATCH in Release_Label" )</f>
        <v/>
      </c>
      <c r="E46" s="147" t="str">
        <f t="shared" si="1"/>
        <v/>
      </c>
      <c r="G46" s="97"/>
      <c r="H46" s="155"/>
      <c r="J46" s="92"/>
      <c r="K46" s="98"/>
      <c r="L46" s="92"/>
      <c r="N46" s="92"/>
      <c r="O46" s="92"/>
      <c r="P46" s="92"/>
    </row>
    <row r="47">
      <c r="A47" s="90"/>
      <c r="B47" s="97"/>
      <c r="C47" s="121" t="str">
        <f t="array" ref="C47">ifs(and(isblank($A47),isblank($B47)),"", not(iserror(vlookup($A47&amp;$B47,'3) Release_Label'!$D:$D&amp;'3) Release_Label'!$E:$E,1,0))),vlookup($A47&amp;$B47,{'3) Release_Label'!$D:$D&amp;'3) Release_Label'!$E:$E,'3) Release_Label'!$F:$F},2,0),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
      </c>
      <c r="D47" s="121" t="str">
        <f t="array" ref="D47">ifs(and(isblank($A47),isblank($B47)),"", not(iserror(vlookup($A47&amp;$B47,'3) Release_Label'!$D:$D&amp;'3) Release_Label'!$E:$E,1,0))),vlookup($A47&amp;$B47,{'3) Release_Label'!$D:$D&amp;'3) Release_Label'!$E:$E,'3) Release_Label'!$H:$H},2,0),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
      </c>
      <c r="E47" s="147" t="str">
        <f t="shared" si="1"/>
        <v/>
      </c>
      <c r="G47" s="97"/>
      <c r="H47" s="155"/>
      <c r="J47" s="92"/>
      <c r="K47" s="98"/>
      <c r="L47" s="92"/>
      <c r="N47" s="92"/>
      <c r="O47" s="92"/>
      <c r="P47" s="92"/>
    </row>
    <row r="48">
      <c r="A48" s="90"/>
      <c r="B48" s="97"/>
      <c r="C48" s="121" t="str">
        <f t="array" ref="C48">ifs(and(isblank($A48),isblank($B48)),"", not(iserror(vlookup($A48&amp;$B48,'3) Release_Label'!$D:$D&amp;'3) Release_Label'!$E:$E,1,0))),vlookup($A48&amp;$B48,{'3) Release_Label'!$D:$D&amp;'3) Release_Label'!$E:$E,'3) Release_Label'!$F:$F},2,0), or(and(not(isblank($B48)),$B48=$B47,$A48&lt;&gt;$A47),and(not(isblank($A48)),$A48=$A47,$B48&lt;&gt;$B47)),"ID LISTS UNALIGNED",and($A48&lt;&gt;"",countif('3) Release_Label'!$D:$D,$A48)=0),"NO UPC MATCH in Release_Label",and($B48&lt;&gt;"",countif('3) Release_Label'!$E:$E,$B48)=0),"NO CATALOG ID MATCH in Release_Label",iserror(vlookup($A48&amp;$B48,'3) Release_Label'!$D:$D&amp;'3) Release_Label'!$E:$E,1,0)),"NO UPC-CATALOG ID pair MATCH in Release_Label" )</f>
        <v/>
      </c>
      <c r="D48" s="121" t="str">
        <f t="array" ref="D48">ifs(and(isblank($A48),isblank($B48)),"", not(iserror(vlookup($A48&amp;$B48,'3) Release_Label'!$D:$D&amp;'3) Release_Label'!$E:$E,1,0))),vlookup($A48&amp;$B48,{'3) Release_Label'!$D:$D&amp;'3) Release_Label'!$E:$E,'3) Release_Label'!$H:$H},2,0), or(and(not(isblank($B48)),$B48=$B47,$A48&lt;&gt;$A47),and(not(isblank($A48)),$A48=$A47,$B48&lt;&gt;$B47)),"ID LISTS UNALIGNED",and($A48&lt;&gt;"",countif('3) Release_Label'!$D:$D,$A48)=0),"NO UPC MATCH in Release_Label",and($B48&lt;&gt;"",countif('3) Release_Label'!$E:$E,$B48)=0),"NO CATALOG ID MATCH in Release_Label",iserror(vlookup($A48&amp;$B48,'3) Release_Label'!$D:$D&amp;'3) Release_Label'!$E:$E,1,0)),"NO UPC-CATALOG ID pair MATCH in Release_Label" )</f>
        <v/>
      </c>
      <c r="E48" s="147" t="str">
        <f t="shared" si="1"/>
        <v/>
      </c>
      <c r="G48" s="97"/>
      <c r="H48" s="155"/>
      <c r="J48" s="92"/>
      <c r="K48" s="98"/>
      <c r="L48" s="92"/>
      <c r="N48" s="92"/>
      <c r="O48" s="92"/>
      <c r="P48" s="92"/>
    </row>
    <row r="49">
      <c r="A49" s="90"/>
      <c r="B49" s="97"/>
      <c r="C49" s="121" t="str">
        <f t="array" ref="C49">ifs(and(isblank($A49),isblank($B49)),"", not(iserror(vlookup($A49&amp;$B49,'3) Release_Label'!$D:$D&amp;'3) Release_Label'!$E:$E,1,0))),vlookup($A49&amp;$B49,{'3) Release_Label'!$D:$D&amp;'3) Release_Label'!$E:$E,'3) Release_Label'!$F:$F},2,0),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
      </c>
      <c r="D49" s="121" t="str">
        <f t="array" ref="D49">ifs(and(isblank($A49),isblank($B49)),"", not(iserror(vlookup($A49&amp;$B49,'3) Release_Label'!$D:$D&amp;'3) Release_Label'!$E:$E,1,0))),vlookup($A49&amp;$B49,{'3) Release_Label'!$D:$D&amp;'3) Release_Label'!$E:$E,'3) Release_Label'!$H:$H},2,0),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
      </c>
      <c r="E49" s="147" t="str">
        <f t="shared" si="1"/>
        <v/>
      </c>
      <c r="G49" s="97"/>
      <c r="H49" s="155"/>
      <c r="J49" s="92"/>
      <c r="K49" s="98"/>
      <c r="L49" s="92"/>
      <c r="N49" s="92"/>
      <c r="O49" s="92"/>
      <c r="P49" s="92"/>
    </row>
    <row r="50">
      <c r="A50" s="90"/>
      <c r="B50" s="97"/>
      <c r="C50" s="121" t="str">
        <f t="array" ref="C50">ifs(and(isblank($A50),isblank($B50)),"", not(iserror(vlookup($A50&amp;$B50,'3) Release_Label'!$D:$D&amp;'3) Release_Label'!$E:$E,1,0))),vlookup($A50&amp;$B50,{'3) Release_Label'!$D:$D&amp;'3) Release_Label'!$E:$E,'3) Release_Label'!$F:$F},2,0),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
      </c>
      <c r="D50" s="121" t="str">
        <f t="array" ref="D50">ifs(and(isblank($A50),isblank($B50)),"", not(iserror(vlookup($A50&amp;$B50,'3) Release_Label'!$D:$D&amp;'3) Release_Label'!$E:$E,1,0))),vlookup($A50&amp;$B50,{'3) Release_Label'!$D:$D&amp;'3) Release_Label'!$E:$E,'3) Release_Label'!$H:$H},2,0),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
      </c>
      <c r="E50" s="147" t="str">
        <f t="shared" si="1"/>
        <v/>
      </c>
      <c r="G50" s="97"/>
      <c r="H50" s="155"/>
      <c r="J50" s="92"/>
      <c r="K50" s="98"/>
      <c r="L50" s="92"/>
      <c r="N50" s="92"/>
      <c r="O50" s="92"/>
      <c r="P50" s="92"/>
    </row>
    <row r="51">
      <c r="A51" s="90"/>
      <c r="B51" s="97"/>
      <c r="C51" s="121" t="str">
        <f t="array" ref="C51">ifs(and(isblank($A51),isblank($B51)),"", not(iserror(vlookup($A51&amp;$B51,'3) Release_Label'!$D:$D&amp;'3) Release_Label'!$E:$E,1,0))),vlookup($A51&amp;$B51,{'3) Release_Label'!$D:$D&amp;'3) Release_Label'!$E:$E,'3) Release_Label'!$F:$F},2,0), or(and(not(isblank($B51)),$B51=$B50,$A51&lt;&gt;$A50),and(not(isblank($A51)),$A51=$A50,$B51&lt;&gt;$B50)),"ID LISTS UNALIGNED",and($A51&lt;&gt;"",countif('3) Release_Label'!$D:$D,$A51)=0),"NO UPC MATCH in Release_Label",and($B51&lt;&gt;"",countif('3) Release_Label'!$E:$E,$B51)=0),"NO CATALOG ID MATCH in Release_Label",iserror(vlookup($A51&amp;$B51,'3) Release_Label'!$D:$D&amp;'3) Release_Label'!$E:$E,1,0)),"NO UPC-CATALOG ID pair MATCH in Release_Label" )</f>
        <v/>
      </c>
      <c r="D51" s="121" t="str">
        <f t="array" ref="D51">ifs(and(isblank($A51),isblank($B51)),"", not(iserror(vlookup($A51&amp;$B51,'3) Release_Label'!$D:$D&amp;'3) Release_Label'!$E:$E,1,0))),vlookup($A51&amp;$B51,{'3) Release_Label'!$D:$D&amp;'3) Release_Label'!$E:$E,'3) Release_Label'!$H:$H},2,0), or(and(not(isblank($B51)),$B51=$B50,$A51&lt;&gt;$A50),and(not(isblank($A51)),$A51=$A50,$B51&lt;&gt;$B50)),"ID LISTS UNALIGNED",and($A51&lt;&gt;"",countif('3) Release_Label'!$D:$D,$A51)=0),"NO UPC MATCH in Release_Label",and($B51&lt;&gt;"",countif('3) Release_Label'!$E:$E,$B51)=0),"NO CATALOG ID MATCH in Release_Label",iserror(vlookup($A51&amp;$B51,'3) Release_Label'!$D:$D&amp;'3) Release_Label'!$E:$E,1,0)),"NO UPC-CATALOG ID pair MATCH in Release_Label" )</f>
        <v/>
      </c>
      <c r="E51" s="147" t="str">
        <f t="shared" si="1"/>
        <v/>
      </c>
      <c r="G51" s="97"/>
      <c r="H51" s="155"/>
      <c r="J51" s="92"/>
      <c r="K51" s="98"/>
      <c r="L51" s="92"/>
      <c r="N51" s="92"/>
      <c r="O51" s="92"/>
      <c r="P51" s="92"/>
    </row>
    <row r="52">
      <c r="A52" s="90"/>
      <c r="B52" s="97"/>
      <c r="C52" s="121" t="str">
        <f t="array" ref="C52">ifs(and(isblank($A52),isblank($B52)),"", not(iserror(vlookup($A52&amp;$B52,'3) Release_Label'!$D:$D&amp;'3) Release_Label'!$E:$E,1,0))),vlookup($A52&amp;$B52,{'3) Release_Label'!$D:$D&amp;'3) Release_Label'!$E:$E,'3) Release_Label'!$F:$F},2,0),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
      </c>
      <c r="D52" s="121" t="str">
        <f t="array" ref="D52">ifs(and(isblank($A52),isblank($B52)),"", not(iserror(vlookup($A52&amp;$B52,'3) Release_Label'!$D:$D&amp;'3) Release_Label'!$E:$E,1,0))),vlookup($A52&amp;$B52,{'3) Release_Label'!$D:$D&amp;'3) Release_Label'!$E:$E,'3) Release_Label'!$H:$H},2,0),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
      </c>
      <c r="E52" s="147" t="str">
        <f t="shared" si="1"/>
        <v/>
      </c>
      <c r="G52" s="97"/>
      <c r="H52" s="155"/>
      <c r="J52" s="92"/>
      <c r="K52" s="98"/>
      <c r="L52" s="92"/>
      <c r="N52" s="92"/>
      <c r="O52" s="92"/>
      <c r="P52" s="92"/>
    </row>
    <row r="53">
      <c r="A53" s="90"/>
      <c r="B53" s="97"/>
      <c r="C53" s="121" t="str">
        <f t="array" ref="C53">ifs(and(isblank($A53),isblank($B53)),"", not(iserror(vlookup($A53&amp;$B53,'3) Release_Label'!$D:$D&amp;'3) Release_Label'!$E:$E,1,0))),vlookup($A53&amp;$B53,{'3) Release_Label'!$D:$D&amp;'3) Release_Label'!$E:$E,'3) Release_Label'!$F:$F},2,0),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
      </c>
      <c r="D53" s="121" t="str">
        <f t="array" ref="D53">ifs(and(isblank($A53),isblank($B53)),"", not(iserror(vlookup($A53&amp;$B53,'3) Release_Label'!$D:$D&amp;'3) Release_Label'!$E:$E,1,0))),vlookup($A53&amp;$B53,{'3) Release_Label'!$D:$D&amp;'3) Release_Label'!$E:$E,'3) Release_Label'!$H:$H},2,0),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
      </c>
      <c r="E53" s="147" t="str">
        <f t="shared" si="1"/>
        <v/>
      </c>
      <c r="G53" s="97"/>
      <c r="H53" s="155"/>
      <c r="J53" s="92"/>
      <c r="K53" s="98"/>
      <c r="L53" s="92"/>
      <c r="N53" s="92"/>
      <c r="O53" s="92"/>
      <c r="P53" s="92"/>
    </row>
    <row r="54">
      <c r="A54" s="90"/>
      <c r="B54" s="97"/>
      <c r="C54" s="121" t="str">
        <f t="array" ref="C54">ifs(and(isblank($A54),isblank($B54)),"", not(iserror(vlookup($A54&amp;$B54,'3) Release_Label'!$D:$D&amp;'3) Release_Label'!$E:$E,1,0))),vlookup($A54&amp;$B54,{'3) Release_Label'!$D:$D&amp;'3) Release_Label'!$E:$E,'3) Release_Label'!$F:$F},2,0),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
      </c>
      <c r="D54" s="121" t="str">
        <f t="array" ref="D54">ifs(and(isblank($A54),isblank($B54)),"", not(iserror(vlookup($A54&amp;$B54,'3) Release_Label'!$D:$D&amp;'3) Release_Label'!$E:$E,1,0))),vlookup($A54&amp;$B54,{'3) Release_Label'!$D:$D&amp;'3) Release_Label'!$E:$E,'3) Release_Label'!$H:$H},2,0),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
      </c>
      <c r="E54" s="147" t="str">
        <f t="shared" si="1"/>
        <v/>
      </c>
      <c r="G54" s="97"/>
      <c r="H54" s="155"/>
      <c r="J54" s="92"/>
      <c r="K54" s="98"/>
      <c r="L54" s="92"/>
      <c r="N54" s="92"/>
      <c r="O54" s="92"/>
      <c r="P54" s="92"/>
    </row>
    <row r="55">
      <c r="A55" s="90"/>
      <c r="B55" s="97"/>
      <c r="C55" s="121" t="str">
        <f t="array" ref="C55">ifs(and(isblank($A55),isblank($B55)),"", not(iserror(vlookup($A55&amp;$B55,'3) Release_Label'!$D:$D&amp;'3) Release_Label'!$E:$E,1,0))),vlookup($A55&amp;$B55,{'3) Release_Label'!$D:$D&amp;'3) Release_Label'!$E:$E,'3) Release_Label'!$F:$F},2,0),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
      </c>
      <c r="D55" s="121" t="str">
        <f t="array" ref="D55">ifs(and(isblank($A55),isblank($B55)),"", not(iserror(vlookup($A55&amp;$B55,'3) Release_Label'!$D:$D&amp;'3) Release_Label'!$E:$E,1,0))),vlookup($A55&amp;$B55,{'3) Release_Label'!$D:$D&amp;'3) Release_Label'!$E:$E,'3) Release_Label'!$H:$H},2,0),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
      </c>
      <c r="E55" s="147" t="str">
        <f t="shared" si="1"/>
        <v/>
      </c>
      <c r="G55" s="97"/>
      <c r="H55" s="155"/>
      <c r="J55" s="92"/>
      <c r="K55" s="98"/>
      <c r="L55" s="92"/>
      <c r="N55" s="92"/>
      <c r="O55" s="92"/>
      <c r="P55" s="92"/>
    </row>
    <row r="56">
      <c r="A56" s="90"/>
      <c r="B56" s="97"/>
      <c r="C56" s="121" t="str">
        <f t="array" ref="C56">ifs(and(isblank($A56),isblank($B56)),"", not(iserror(vlookup($A56&amp;$B56,'3) Release_Label'!$D:$D&amp;'3) Release_Label'!$E:$E,1,0))),vlookup($A56&amp;$B56,{'3) Release_Label'!$D:$D&amp;'3) Release_Label'!$E:$E,'3) Release_Label'!$F:$F},2,0),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
      </c>
      <c r="D56" s="121" t="str">
        <f t="array" ref="D56">ifs(and(isblank($A56),isblank($B56)),"", not(iserror(vlookup($A56&amp;$B56,'3) Release_Label'!$D:$D&amp;'3) Release_Label'!$E:$E,1,0))),vlookup($A56&amp;$B56,{'3) Release_Label'!$D:$D&amp;'3) Release_Label'!$E:$E,'3) Release_Label'!$H:$H},2,0),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
      </c>
      <c r="E56" s="147" t="str">
        <f t="shared" si="1"/>
        <v/>
      </c>
      <c r="G56" s="97"/>
      <c r="H56" s="155"/>
      <c r="J56" s="92"/>
      <c r="K56" s="98"/>
      <c r="L56" s="92"/>
      <c r="N56" s="92"/>
      <c r="O56" s="92"/>
      <c r="P56" s="92"/>
    </row>
    <row r="57">
      <c r="A57" s="90"/>
      <c r="B57" s="97"/>
      <c r="C57" s="121" t="str">
        <f t="array" ref="C57">ifs(and(isblank($A57),isblank($B57)),"", not(iserror(vlookup($A57&amp;$B57,'3) Release_Label'!$D:$D&amp;'3) Release_Label'!$E:$E,1,0))),vlookup($A57&amp;$B57,{'3) Release_Label'!$D:$D&amp;'3) Release_Label'!$E:$E,'3) Release_Label'!$F:$F},2,0), or(and(not(isblank($B57)),$B57=$B56,$A57&lt;&gt;$A56),and(not(isblank($A57)),$A57=$A56,$B57&lt;&gt;$B56)),"ID LISTS UNALIGNED",and($A57&lt;&gt;"",countif('3) Release_Label'!$D:$D,$A57)=0),"NO UPC MATCH in Release_Label",and($B57&lt;&gt;"",countif('3) Release_Label'!$E:$E,$B57)=0),"NO CATALOG ID MATCH in Release_Label",iserror(vlookup($A57&amp;$B57,'3) Release_Label'!$D:$D&amp;'3) Release_Label'!$E:$E,1,0)),"NO UPC-CATALOG ID pair MATCH in Release_Label" )</f>
        <v/>
      </c>
      <c r="D57" s="121" t="str">
        <f t="array" ref="D57">ifs(and(isblank($A57),isblank($B57)),"", not(iserror(vlookup($A57&amp;$B57,'3) Release_Label'!$D:$D&amp;'3) Release_Label'!$E:$E,1,0))),vlookup($A57&amp;$B57,{'3) Release_Label'!$D:$D&amp;'3) Release_Label'!$E:$E,'3) Release_Label'!$H:$H},2,0), or(and(not(isblank($B57)),$B57=$B56,$A57&lt;&gt;$A56),and(not(isblank($A57)),$A57=$A56,$B57&lt;&gt;$B56)),"ID LISTS UNALIGNED",and($A57&lt;&gt;"",countif('3) Release_Label'!$D:$D,$A57)=0),"NO UPC MATCH in Release_Label",and($B57&lt;&gt;"",countif('3) Release_Label'!$E:$E,$B57)=0),"NO CATALOG ID MATCH in Release_Label",iserror(vlookup($A57&amp;$B57,'3) Release_Label'!$D:$D&amp;'3) Release_Label'!$E:$E,1,0)),"NO UPC-CATALOG ID pair MATCH in Release_Label" )</f>
        <v/>
      </c>
      <c r="E57" s="147" t="str">
        <f t="shared" si="1"/>
        <v/>
      </c>
      <c r="G57" s="97"/>
      <c r="H57" s="155"/>
      <c r="J57" s="92"/>
      <c r="K57" s="98"/>
      <c r="L57" s="92"/>
      <c r="N57" s="92"/>
      <c r="O57" s="92"/>
      <c r="P57" s="92"/>
    </row>
    <row r="58">
      <c r="A58" s="90"/>
      <c r="B58" s="97"/>
      <c r="C58" s="121" t="str">
        <f t="array" ref="C58">ifs(and(isblank($A58),isblank($B58)),"", not(iserror(vlookup($A58&amp;$B58,'3) Release_Label'!$D:$D&amp;'3) Release_Label'!$E:$E,1,0))),vlookup($A58&amp;$B58,{'3) Release_Label'!$D:$D&amp;'3) Release_Label'!$E:$E,'3) Release_Label'!$F:$F},2,0),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
      </c>
      <c r="D58" s="121" t="str">
        <f t="array" ref="D58">ifs(and(isblank($A58),isblank($B58)),"", not(iserror(vlookup($A58&amp;$B58,'3) Release_Label'!$D:$D&amp;'3) Release_Label'!$E:$E,1,0))),vlookup($A58&amp;$B58,{'3) Release_Label'!$D:$D&amp;'3) Release_Label'!$E:$E,'3) Release_Label'!$H:$H},2,0),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
      </c>
      <c r="E58" s="147" t="str">
        <f t="shared" si="1"/>
        <v/>
      </c>
      <c r="G58" s="97"/>
      <c r="H58" s="155"/>
      <c r="J58" s="92"/>
      <c r="K58" s="98"/>
      <c r="L58" s="92"/>
      <c r="N58" s="92"/>
      <c r="O58" s="92"/>
      <c r="P58" s="92"/>
    </row>
    <row r="59">
      <c r="A59" s="90"/>
      <c r="B59" s="97"/>
      <c r="C59" s="121" t="str">
        <f t="array" ref="C59">ifs(and(isblank($A59),isblank($B59)),"", not(iserror(vlookup($A59&amp;$B59,'3) Release_Label'!$D:$D&amp;'3) Release_Label'!$E:$E,1,0))),vlookup($A59&amp;$B59,{'3) Release_Label'!$D:$D&amp;'3) Release_Label'!$E:$E,'3) Release_Label'!$F:$F},2,0),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
      </c>
      <c r="D59" s="121" t="str">
        <f t="array" ref="D59">ifs(and(isblank($A59),isblank($B59)),"", not(iserror(vlookup($A59&amp;$B59,'3) Release_Label'!$D:$D&amp;'3) Release_Label'!$E:$E,1,0))),vlookup($A59&amp;$B59,{'3) Release_Label'!$D:$D&amp;'3) Release_Label'!$E:$E,'3) Release_Label'!$H:$H},2,0),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
      </c>
      <c r="E59" s="147" t="str">
        <f t="shared" si="1"/>
        <v/>
      </c>
      <c r="G59" s="97"/>
      <c r="H59" s="155"/>
      <c r="J59" s="92"/>
      <c r="K59" s="98"/>
      <c r="L59" s="92"/>
      <c r="N59" s="92"/>
      <c r="O59" s="92"/>
      <c r="P59" s="92"/>
    </row>
    <row r="60">
      <c r="A60" s="90"/>
      <c r="B60" s="97"/>
      <c r="C60" s="121" t="str">
        <f t="array" ref="C60">ifs(and(isblank($A60),isblank($B60)),"", not(iserror(vlookup($A60&amp;$B60,'3) Release_Label'!$D:$D&amp;'3) Release_Label'!$E:$E,1,0))),vlookup($A60&amp;$B60,{'3) Release_Label'!$D:$D&amp;'3) Release_Label'!$E:$E,'3) Release_Label'!$F:$F},2,0), or(and(not(isblank($B60)),$B60=$B59,$A60&lt;&gt;$A59),and(not(isblank($A60)),$A60=$A59,$B60&lt;&gt;$B59)),"ID LISTS UNALIGNED",and($A60&lt;&gt;"",countif('3) Release_Label'!$D:$D,$A60)=0),"NO UPC MATCH in Release_Label",and($B60&lt;&gt;"",countif('3) Release_Label'!$E:$E,$B60)=0),"NO CATALOG ID MATCH in Release_Label",iserror(vlookup($A60&amp;$B60,'3) Release_Label'!$D:$D&amp;'3) Release_Label'!$E:$E,1,0)),"NO UPC-CATALOG ID pair MATCH in Release_Label" )</f>
        <v/>
      </c>
      <c r="D60" s="121" t="str">
        <f t="array" ref="D60">ifs(and(isblank($A60),isblank($B60)),"", not(iserror(vlookup($A60&amp;$B60,'3) Release_Label'!$D:$D&amp;'3) Release_Label'!$E:$E,1,0))),vlookup($A60&amp;$B60,{'3) Release_Label'!$D:$D&amp;'3) Release_Label'!$E:$E,'3) Release_Label'!$H:$H},2,0), or(and(not(isblank($B60)),$B60=$B59,$A60&lt;&gt;$A59),and(not(isblank($A60)),$A60=$A59,$B60&lt;&gt;$B59)),"ID LISTS UNALIGNED",and($A60&lt;&gt;"",countif('3) Release_Label'!$D:$D,$A60)=0),"NO UPC MATCH in Release_Label",and($B60&lt;&gt;"",countif('3) Release_Label'!$E:$E,$B60)=0),"NO CATALOG ID MATCH in Release_Label",iserror(vlookup($A60&amp;$B60,'3) Release_Label'!$D:$D&amp;'3) Release_Label'!$E:$E,1,0)),"NO UPC-CATALOG ID pair MATCH in Release_Label" )</f>
        <v/>
      </c>
      <c r="E60" s="147" t="str">
        <f t="shared" si="1"/>
        <v/>
      </c>
      <c r="G60" s="97"/>
      <c r="H60" s="155"/>
      <c r="J60" s="92"/>
      <c r="K60" s="98"/>
      <c r="L60" s="92"/>
      <c r="N60" s="92"/>
      <c r="O60" s="92"/>
      <c r="P60" s="92"/>
    </row>
    <row r="61">
      <c r="A61" s="90"/>
      <c r="B61" s="97"/>
      <c r="C61" s="121" t="str">
        <f t="array" ref="C61">ifs(and(isblank($A61),isblank($B61)),"", not(iserror(vlookup($A61&amp;$B61,'3) Release_Label'!$D:$D&amp;'3) Release_Label'!$E:$E,1,0))),vlookup($A61&amp;$B61,{'3) Release_Label'!$D:$D&amp;'3) Release_Label'!$E:$E,'3) Release_Label'!$F:$F},2,0),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
      </c>
      <c r="D61" s="121" t="str">
        <f t="array" ref="D61">ifs(and(isblank($A61),isblank($B61)),"", not(iserror(vlookup($A61&amp;$B61,'3) Release_Label'!$D:$D&amp;'3) Release_Label'!$E:$E,1,0))),vlookup($A61&amp;$B61,{'3) Release_Label'!$D:$D&amp;'3) Release_Label'!$E:$E,'3) Release_Label'!$H:$H},2,0),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
      </c>
      <c r="E61" s="147" t="str">
        <f t="shared" si="1"/>
        <v/>
      </c>
      <c r="G61" s="97"/>
      <c r="H61" s="155"/>
      <c r="J61" s="92"/>
      <c r="K61" s="98"/>
      <c r="L61" s="92"/>
      <c r="N61" s="92"/>
      <c r="O61" s="92"/>
      <c r="P61" s="92"/>
    </row>
    <row r="62">
      <c r="A62" s="90"/>
      <c r="B62" s="97"/>
      <c r="C62" s="121" t="str">
        <f t="array" ref="C62">ifs(and(isblank($A62),isblank($B62)),"", not(iserror(vlookup($A62&amp;$B62,'3) Release_Label'!$D:$D&amp;'3) Release_Label'!$E:$E,1,0))),vlookup($A62&amp;$B62,{'3) Release_Label'!$D:$D&amp;'3) Release_Label'!$E:$E,'3) Release_Label'!$F:$F},2,0),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
      </c>
      <c r="D62" s="121" t="str">
        <f t="array" ref="D62">ifs(and(isblank($A62),isblank($B62)),"", not(iserror(vlookup($A62&amp;$B62,'3) Release_Label'!$D:$D&amp;'3) Release_Label'!$E:$E,1,0))),vlookup($A62&amp;$B62,{'3) Release_Label'!$D:$D&amp;'3) Release_Label'!$E:$E,'3) Release_Label'!$H:$H},2,0),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
      </c>
      <c r="E62" s="147" t="str">
        <f t="shared" si="1"/>
        <v/>
      </c>
      <c r="G62" s="97"/>
      <c r="H62" s="155"/>
      <c r="J62" s="92"/>
      <c r="K62" s="98"/>
      <c r="L62" s="92"/>
      <c r="N62" s="92"/>
      <c r="O62" s="92"/>
      <c r="P62" s="92"/>
    </row>
    <row r="63">
      <c r="A63" s="90"/>
      <c r="B63" s="97"/>
      <c r="C63" s="121" t="str">
        <f t="array" ref="C63">ifs(and(isblank($A63),isblank($B63)),"", not(iserror(vlookup($A63&amp;$B63,'3) Release_Label'!$D:$D&amp;'3) Release_Label'!$E:$E,1,0))),vlookup($A63&amp;$B63,{'3) Release_Label'!$D:$D&amp;'3) Release_Label'!$E:$E,'3) Release_Label'!$F:$F},2,0),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
      </c>
      <c r="D63" s="121" t="str">
        <f t="array" ref="D63">ifs(and(isblank($A63),isblank($B63)),"", not(iserror(vlookup($A63&amp;$B63,'3) Release_Label'!$D:$D&amp;'3) Release_Label'!$E:$E,1,0))),vlookup($A63&amp;$B63,{'3) Release_Label'!$D:$D&amp;'3) Release_Label'!$E:$E,'3) Release_Label'!$H:$H},2,0),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
      </c>
      <c r="E63" s="147" t="str">
        <f t="shared" si="1"/>
        <v/>
      </c>
      <c r="G63" s="97"/>
      <c r="H63" s="155"/>
      <c r="J63" s="92"/>
      <c r="K63" s="98"/>
      <c r="L63" s="92"/>
      <c r="N63" s="92"/>
      <c r="O63" s="92"/>
      <c r="P63" s="92"/>
    </row>
    <row r="64">
      <c r="A64" s="90"/>
      <c r="B64" s="97"/>
      <c r="C64" s="121" t="str">
        <f t="array" ref="C64">ifs(and(isblank($A64),isblank($B64)),"", not(iserror(vlookup($A64&amp;$B64,'3) Release_Label'!$D:$D&amp;'3) Release_Label'!$E:$E,1,0))),vlookup($A64&amp;$B64,{'3) Release_Label'!$D:$D&amp;'3) Release_Label'!$E:$E,'3) Release_Label'!$F:$F},2,0),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
      </c>
      <c r="D64" s="121" t="str">
        <f t="array" ref="D64">ifs(and(isblank($A64),isblank($B64)),"", not(iserror(vlookup($A64&amp;$B64,'3) Release_Label'!$D:$D&amp;'3) Release_Label'!$E:$E,1,0))),vlookup($A64&amp;$B64,{'3) Release_Label'!$D:$D&amp;'3) Release_Label'!$E:$E,'3) Release_Label'!$H:$H},2,0),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
      </c>
      <c r="E64" s="147" t="str">
        <f t="shared" si="1"/>
        <v/>
      </c>
      <c r="G64" s="97"/>
      <c r="H64" s="155"/>
      <c r="J64" s="92"/>
      <c r="K64" s="98"/>
      <c r="L64" s="92"/>
      <c r="N64" s="92"/>
      <c r="O64" s="92"/>
      <c r="P64" s="92"/>
    </row>
    <row r="65">
      <c r="A65" s="90"/>
      <c r="B65" s="97"/>
      <c r="C65" s="121" t="str">
        <f t="array" ref="C65">ifs(and(isblank($A65),isblank($B65)),"", not(iserror(vlookup($A65&amp;$B65,'3) Release_Label'!$D:$D&amp;'3) Release_Label'!$E:$E,1,0))),vlookup($A65&amp;$B65,{'3) Release_Label'!$D:$D&amp;'3) Release_Label'!$E:$E,'3) Release_Label'!$F:$F},2,0),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
      </c>
      <c r="D65" s="121" t="str">
        <f t="array" ref="D65">ifs(and(isblank($A65),isblank($B65)),"", not(iserror(vlookup($A65&amp;$B65,'3) Release_Label'!$D:$D&amp;'3) Release_Label'!$E:$E,1,0))),vlookup($A65&amp;$B65,{'3) Release_Label'!$D:$D&amp;'3) Release_Label'!$E:$E,'3) Release_Label'!$H:$H},2,0),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
      </c>
      <c r="E65" s="147" t="str">
        <f t="shared" si="1"/>
        <v/>
      </c>
      <c r="G65" s="97"/>
      <c r="H65" s="155"/>
      <c r="J65" s="92"/>
      <c r="K65" s="98"/>
      <c r="L65" s="92"/>
      <c r="N65" s="92"/>
      <c r="O65" s="92"/>
      <c r="P65" s="92"/>
    </row>
    <row r="66">
      <c r="A66" s="90"/>
      <c r="B66" s="97"/>
      <c r="C66" s="121" t="str">
        <f t="array" ref="C66">ifs(and(isblank($A66),isblank($B66)),"", not(iserror(vlookup($A66&amp;$B66,'3) Release_Label'!$D:$D&amp;'3) Release_Label'!$E:$E,1,0))),vlookup($A66&amp;$B66,{'3) Release_Label'!$D:$D&amp;'3) Release_Label'!$E:$E,'3) Release_Label'!$F:$F},2,0),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
      </c>
      <c r="D66" s="121" t="str">
        <f t="array" ref="D66">ifs(and(isblank($A66),isblank($B66)),"", not(iserror(vlookup($A66&amp;$B66,'3) Release_Label'!$D:$D&amp;'3) Release_Label'!$E:$E,1,0))),vlookup($A66&amp;$B66,{'3) Release_Label'!$D:$D&amp;'3) Release_Label'!$E:$E,'3) Release_Label'!$H:$H},2,0),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
      </c>
      <c r="E66" s="147" t="str">
        <f t="shared" si="1"/>
        <v/>
      </c>
      <c r="G66" s="97"/>
      <c r="H66" s="155"/>
      <c r="J66" s="92"/>
      <c r="K66" s="98"/>
      <c r="L66" s="92"/>
      <c r="N66" s="92"/>
      <c r="O66" s="92"/>
      <c r="P66" s="92"/>
    </row>
    <row r="67">
      <c r="A67" s="90"/>
      <c r="B67" s="97"/>
      <c r="C67" s="121" t="str">
        <f t="array" ref="C67">ifs(and(isblank($A67),isblank($B67)),"", not(iserror(vlookup($A67&amp;$B67,'3) Release_Label'!$D:$D&amp;'3) Release_Label'!$E:$E,1,0))),vlookup($A67&amp;$B67,{'3) Release_Label'!$D:$D&amp;'3) Release_Label'!$E:$E,'3) Release_Label'!$F:$F},2,0),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
      </c>
      <c r="D67" s="121" t="str">
        <f t="array" ref="D67">ifs(and(isblank($A67),isblank($B67)),"", not(iserror(vlookup($A67&amp;$B67,'3) Release_Label'!$D:$D&amp;'3) Release_Label'!$E:$E,1,0))),vlookup($A67&amp;$B67,{'3) Release_Label'!$D:$D&amp;'3) Release_Label'!$E:$E,'3) Release_Label'!$H:$H},2,0),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
      </c>
      <c r="E67" s="147" t="str">
        <f t="shared" si="1"/>
        <v/>
      </c>
      <c r="G67" s="97"/>
      <c r="H67" s="155"/>
      <c r="J67" s="92"/>
      <c r="K67" s="98"/>
      <c r="L67" s="92"/>
      <c r="N67" s="92"/>
      <c r="O67" s="92"/>
      <c r="P67" s="92"/>
    </row>
    <row r="68">
      <c r="A68" s="90"/>
      <c r="B68" s="97"/>
      <c r="C68" s="121" t="str">
        <f t="array" ref="C68">ifs(and(isblank($A68),isblank($B68)),"", not(iserror(vlookup($A68&amp;$B68,'3) Release_Label'!$D:$D&amp;'3) Release_Label'!$E:$E,1,0))),vlookup($A68&amp;$B68,{'3) Release_Label'!$D:$D&amp;'3) Release_Label'!$E:$E,'3) Release_Label'!$F:$F},2,0),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
      </c>
      <c r="D68" s="121" t="str">
        <f t="array" ref="D68">ifs(and(isblank($A68),isblank($B68)),"", not(iserror(vlookup($A68&amp;$B68,'3) Release_Label'!$D:$D&amp;'3) Release_Label'!$E:$E,1,0))),vlookup($A68&amp;$B68,{'3) Release_Label'!$D:$D&amp;'3) Release_Label'!$E:$E,'3) Release_Label'!$H:$H},2,0),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
      </c>
      <c r="E68" s="147" t="str">
        <f t="shared" si="1"/>
        <v/>
      </c>
      <c r="G68" s="97"/>
      <c r="H68" s="155"/>
      <c r="J68" s="92"/>
      <c r="K68" s="98"/>
      <c r="L68" s="92"/>
      <c r="N68" s="92"/>
      <c r="O68" s="92"/>
      <c r="P68" s="92"/>
    </row>
    <row r="69">
      <c r="A69" s="90"/>
      <c r="B69" s="97"/>
      <c r="C69" s="121" t="str">
        <f t="array" ref="C69">ifs(and(isblank($A69),isblank($B69)),"", not(iserror(vlookup($A69&amp;$B69,'3) Release_Label'!$D:$D&amp;'3) Release_Label'!$E:$E,1,0))),vlookup($A69&amp;$B69,{'3) Release_Label'!$D:$D&amp;'3) Release_Label'!$E:$E,'3) Release_Label'!$F:$F},2,0),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
      </c>
      <c r="D69" s="121" t="str">
        <f t="array" ref="D69">ifs(and(isblank($A69),isblank($B69)),"", not(iserror(vlookup($A69&amp;$B69,'3) Release_Label'!$D:$D&amp;'3) Release_Label'!$E:$E,1,0))),vlookup($A69&amp;$B69,{'3) Release_Label'!$D:$D&amp;'3) Release_Label'!$E:$E,'3) Release_Label'!$H:$H},2,0),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
      </c>
      <c r="E69" s="147" t="str">
        <f t="shared" si="1"/>
        <v/>
      </c>
      <c r="G69" s="97"/>
      <c r="H69" s="155"/>
      <c r="J69" s="92"/>
      <c r="K69" s="98"/>
      <c r="L69" s="92"/>
      <c r="N69" s="92"/>
      <c r="O69" s="92"/>
      <c r="P69" s="92"/>
    </row>
    <row r="70">
      <c r="A70" s="90"/>
      <c r="B70" s="97"/>
      <c r="C70" s="121" t="str">
        <f t="array" ref="C70">ifs(and(isblank($A70),isblank($B70)),"", not(iserror(vlookup($A70&amp;$B70,'3) Release_Label'!$D:$D&amp;'3) Release_Label'!$E:$E,1,0))),vlookup($A70&amp;$B70,{'3) Release_Label'!$D:$D&amp;'3) Release_Label'!$E:$E,'3) Release_Label'!$F:$F},2,0),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
      </c>
      <c r="D70" s="121" t="str">
        <f t="array" ref="D70">ifs(and(isblank($A70),isblank($B70)),"", not(iserror(vlookup($A70&amp;$B70,'3) Release_Label'!$D:$D&amp;'3) Release_Label'!$E:$E,1,0))),vlookup($A70&amp;$B70,{'3) Release_Label'!$D:$D&amp;'3) Release_Label'!$E:$E,'3) Release_Label'!$H:$H},2,0),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
      </c>
      <c r="E70" s="147" t="str">
        <f t="shared" si="1"/>
        <v/>
      </c>
      <c r="G70" s="97"/>
      <c r="H70" s="155"/>
      <c r="J70" s="92"/>
      <c r="K70" s="98"/>
      <c r="L70" s="92"/>
      <c r="N70" s="92"/>
      <c r="O70" s="92"/>
      <c r="P70" s="92"/>
    </row>
    <row r="71">
      <c r="A71" s="90"/>
      <c r="B71" s="97"/>
      <c r="C71" s="121" t="str">
        <f t="array" ref="C71">ifs(and(isblank($A71),isblank($B71)),"", not(iserror(vlookup($A71&amp;$B71,'3) Release_Label'!$D:$D&amp;'3) Release_Label'!$E:$E,1,0))),vlookup($A71&amp;$B71,{'3) Release_Label'!$D:$D&amp;'3) Release_Label'!$E:$E,'3) Release_Label'!$F:$F},2,0),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
      </c>
      <c r="D71" s="121" t="str">
        <f t="array" ref="D71">ifs(and(isblank($A71),isblank($B71)),"", not(iserror(vlookup($A71&amp;$B71,'3) Release_Label'!$D:$D&amp;'3) Release_Label'!$E:$E,1,0))),vlookup($A71&amp;$B71,{'3) Release_Label'!$D:$D&amp;'3) Release_Label'!$E:$E,'3) Release_Label'!$H:$H},2,0),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
      </c>
      <c r="E71" s="147" t="str">
        <f t="shared" si="1"/>
        <v/>
      </c>
      <c r="G71" s="97"/>
      <c r="H71" s="155"/>
      <c r="J71" s="92"/>
      <c r="K71" s="98"/>
      <c r="L71" s="92"/>
      <c r="N71" s="92"/>
      <c r="O71" s="92"/>
      <c r="P71" s="92"/>
    </row>
    <row r="72">
      <c r="A72" s="90"/>
      <c r="B72" s="97"/>
      <c r="C72" s="121" t="str">
        <f t="array" ref="C72">ifs(and(isblank($A72),isblank($B72)),"", not(iserror(vlookup($A72&amp;$B72,'3) Release_Label'!$D:$D&amp;'3) Release_Label'!$E:$E,1,0))),vlookup($A72&amp;$B72,{'3) Release_Label'!$D:$D&amp;'3) Release_Label'!$E:$E,'3) Release_Label'!$F:$F},2,0),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
      </c>
      <c r="D72" s="121" t="str">
        <f t="array" ref="D72">ifs(and(isblank($A72),isblank($B72)),"", not(iserror(vlookup($A72&amp;$B72,'3) Release_Label'!$D:$D&amp;'3) Release_Label'!$E:$E,1,0))),vlookup($A72&amp;$B72,{'3) Release_Label'!$D:$D&amp;'3) Release_Label'!$E:$E,'3) Release_Label'!$H:$H},2,0),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
      </c>
      <c r="E72" s="147" t="str">
        <f t="shared" si="1"/>
        <v/>
      </c>
      <c r="G72" s="97"/>
      <c r="H72" s="155"/>
      <c r="J72" s="92"/>
      <c r="K72" s="98"/>
      <c r="L72" s="92"/>
      <c r="N72" s="92"/>
      <c r="O72" s="92"/>
      <c r="P72" s="92"/>
    </row>
    <row r="73">
      <c r="A73" s="90"/>
      <c r="B73" s="97"/>
      <c r="C73" s="121" t="str">
        <f t="array" ref="C73">ifs(and(isblank($A73),isblank($B73)),"", not(iserror(vlookup($A73&amp;$B73,'3) Release_Label'!$D:$D&amp;'3) Release_Label'!$E:$E,1,0))),vlookup($A73&amp;$B73,{'3) Release_Label'!$D:$D&amp;'3) Release_Label'!$E:$E,'3) Release_Label'!$F:$F},2,0),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
      </c>
      <c r="D73" s="121" t="str">
        <f t="array" ref="D73">ifs(and(isblank($A73),isblank($B73)),"", not(iserror(vlookup($A73&amp;$B73,'3) Release_Label'!$D:$D&amp;'3) Release_Label'!$E:$E,1,0))),vlookup($A73&amp;$B73,{'3) Release_Label'!$D:$D&amp;'3) Release_Label'!$E:$E,'3) Release_Label'!$H:$H},2,0),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
      </c>
      <c r="E73" s="147" t="str">
        <f t="shared" si="1"/>
        <v/>
      </c>
      <c r="G73" s="97"/>
      <c r="H73" s="155"/>
      <c r="J73" s="92"/>
      <c r="K73" s="98"/>
      <c r="L73" s="92"/>
      <c r="N73" s="92"/>
      <c r="O73" s="92"/>
      <c r="P73" s="92"/>
    </row>
    <row r="74">
      <c r="A74" s="90"/>
      <c r="B74" s="97"/>
      <c r="C74" s="121" t="str">
        <f t="array" ref="C74">ifs(and(isblank($A74),isblank($B74)),"", not(iserror(vlookup($A74&amp;$B74,'3) Release_Label'!$D:$D&amp;'3) Release_Label'!$E:$E,1,0))),vlookup($A74&amp;$B74,{'3) Release_Label'!$D:$D&amp;'3) Release_Label'!$E:$E,'3) Release_Label'!$F:$F},2,0),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
      </c>
      <c r="D74" s="121" t="str">
        <f t="array" ref="D74">ifs(and(isblank($A74),isblank($B74)),"", not(iserror(vlookup($A74&amp;$B74,'3) Release_Label'!$D:$D&amp;'3) Release_Label'!$E:$E,1,0))),vlookup($A74&amp;$B74,{'3) Release_Label'!$D:$D&amp;'3) Release_Label'!$E:$E,'3) Release_Label'!$H:$H},2,0),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
      </c>
      <c r="E74" s="147" t="str">
        <f t="shared" si="1"/>
        <v/>
      </c>
      <c r="G74" s="97"/>
      <c r="H74" s="155"/>
      <c r="J74" s="92"/>
      <c r="K74" s="98"/>
      <c r="L74" s="92"/>
      <c r="N74" s="92"/>
      <c r="O74" s="92"/>
      <c r="P74" s="92"/>
    </row>
    <row r="75">
      <c r="A75" s="90"/>
      <c r="B75" s="97"/>
      <c r="C75" s="121" t="str">
        <f t="array" ref="C75">ifs(and(isblank($A75),isblank($B75)),"", not(iserror(vlookup($A75&amp;$B75,'3) Release_Label'!$D:$D&amp;'3) Release_Label'!$E:$E,1,0))),vlookup($A75&amp;$B75,{'3) Release_Label'!$D:$D&amp;'3) Release_Label'!$E:$E,'3) Release_Label'!$F:$F},2,0),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
      </c>
      <c r="D75" s="121" t="str">
        <f t="array" ref="D75">ifs(and(isblank($A75),isblank($B75)),"", not(iserror(vlookup($A75&amp;$B75,'3) Release_Label'!$D:$D&amp;'3) Release_Label'!$E:$E,1,0))),vlookup($A75&amp;$B75,{'3) Release_Label'!$D:$D&amp;'3) Release_Label'!$E:$E,'3) Release_Label'!$H:$H},2,0),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
      </c>
      <c r="E75" s="147" t="str">
        <f t="shared" si="1"/>
        <v/>
      </c>
      <c r="G75" s="97"/>
      <c r="H75" s="155"/>
      <c r="J75" s="92"/>
      <c r="K75" s="98"/>
      <c r="L75" s="92"/>
      <c r="N75" s="92"/>
      <c r="O75" s="92"/>
      <c r="P75" s="92"/>
    </row>
    <row r="76">
      <c r="A76" s="90"/>
      <c r="B76" s="97"/>
      <c r="C76" s="121" t="str">
        <f t="array" ref="C76">ifs(and(isblank($A76),isblank($B76)),"", not(iserror(vlookup($A76&amp;$B76,'3) Release_Label'!$D:$D&amp;'3) Release_Label'!$E:$E,1,0))),vlookup($A76&amp;$B76,{'3) Release_Label'!$D:$D&amp;'3) Release_Label'!$E:$E,'3) Release_Label'!$F:$F},2,0),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
      </c>
      <c r="D76" s="121" t="str">
        <f t="array" ref="D76">ifs(and(isblank($A76),isblank($B76)),"", not(iserror(vlookup($A76&amp;$B76,'3) Release_Label'!$D:$D&amp;'3) Release_Label'!$E:$E,1,0))),vlookup($A76&amp;$B76,{'3) Release_Label'!$D:$D&amp;'3) Release_Label'!$E:$E,'3) Release_Label'!$H:$H},2,0),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
      </c>
      <c r="E76" s="147" t="str">
        <f t="shared" si="1"/>
        <v/>
      </c>
      <c r="G76" s="97"/>
      <c r="H76" s="155"/>
      <c r="J76" s="92"/>
      <c r="K76" s="98"/>
      <c r="L76" s="92"/>
      <c r="N76" s="92"/>
      <c r="O76" s="92"/>
      <c r="P76" s="92"/>
    </row>
    <row r="77">
      <c r="A77" s="90"/>
      <c r="B77" s="97"/>
      <c r="C77" s="121" t="str">
        <f t="array" ref="C77">ifs(and(isblank($A77),isblank($B77)),"", not(iserror(vlookup($A77&amp;$B77,'3) Release_Label'!$D:$D&amp;'3) Release_Label'!$E:$E,1,0))),vlookup($A77&amp;$B77,{'3) Release_Label'!$D:$D&amp;'3) Release_Label'!$E:$E,'3) Release_Label'!$F:$F},2,0),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
      </c>
      <c r="D77" s="121" t="str">
        <f t="array" ref="D77">ifs(and(isblank($A77),isblank($B77)),"", not(iserror(vlookup($A77&amp;$B77,'3) Release_Label'!$D:$D&amp;'3) Release_Label'!$E:$E,1,0))),vlookup($A77&amp;$B77,{'3) Release_Label'!$D:$D&amp;'3) Release_Label'!$E:$E,'3) Release_Label'!$H:$H},2,0),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
      </c>
      <c r="E77" s="147" t="str">
        <f t="shared" si="1"/>
        <v/>
      </c>
      <c r="G77" s="97"/>
      <c r="H77" s="155"/>
      <c r="J77" s="92"/>
      <c r="K77" s="98"/>
      <c r="L77" s="92"/>
      <c r="N77" s="92"/>
      <c r="O77" s="92"/>
      <c r="P77" s="92"/>
    </row>
    <row r="78">
      <c r="A78" s="90"/>
      <c r="B78" s="97"/>
      <c r="C78" s="121" t="str">
        <f t="array" ref="C78">ifs(and(isblank($A78),isblank($B78)),"", not(iserror(vlookup($A78&amp;$B78,'3) Release_Label'!$D:$D&amp;'3) Release_Label'!$E:$E,1,0))),vlookup($A78&amp;$B78,{'3) Release_Label'!$D:$D&amp;'3) Release_Label'!$E:$E,'3) Release_Label'!$F:$F},2,0),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
      </c>
      <c r="D78" s="121" t="str">
        <f t="array" ref="D78">ifs(and(isblank($A78),isblank($B78)),"", not(iserror(vlookup($A78&amp;$B78,'3) Release_Label'!$D:$D&amp;'3) Release_Label'!$E:$E,1,0))),vlookup($A78&amp;$B78,{'3) Release_Label'!$D:$D&amp;'3) Release_Label'!$E:$E,'3) Release_Label'!$H:$H},2,0),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
      </c>
      <c r="E78" s="147" t="str">
        <f t="shared" si="1"/>
        <v/>
      </c>
      <c r="G78" s="97"/>
      <c r="H78" s="155"/>
      <c r="J78" s="92"/>
      <c r="K78" s="98"/>
      <c r="L78" s="92"/>
      <c r="N78" s="92"/>
      <c r="O78" s="92"/>
      <c r="P78" s="92"/>
    </row>
    <row r="79">
      <c r="A79" s="90"/>
      <c r="B79" s="97"/>
      <c r="C79" s="121" t="str">
        <f t="array" ref="C79">ifs(and(isblank($A79),isblank($B79)),"", not(iserror(vlookup($A79&amp;$B79,'3) Release_Label'!$D:$D&amp;'3) Release_Label'!$E:$E,1,0))),vlookup($A79&amp;$B79,{'3) Release_Label'!$D:$D&amp;'3) Release_Label'!$E:$E,'3) Release_Label'!$F:$F},2,0), or(and(not(isblank($B79)),$B79=$B78,$A79&lt;&gt;$A78),and(not(isblank($A79)),$A79=$A78,$B79&lt;&gt;$B78)),"ID LISTS UNALIGNED",and($A79&lt;&gt;"",countif('3) Release_Label'!$D:$D,$A79)=0),"NO UPC MATCH in Release_Label",and($B79&lt;&gt;"",countif('3) Release_Label'!$E:$E,$B79)=0),"NO CATALOG ID MATCH in Release_Label",iserror(vlookup($A79&amp;$B79,'3) Release_Label'!$D:$D&amp;'3) Release_Label'!$E:$E,1,0)),"NO UPC-CATALOG ID pair MATCH in Release_Label" )</f>
        <v/>
      </c>
      <c r="D79" s="121" t="str">
        <f t="array" ref="D79">ifs(and(isblank($A79),isblank($B79)),"", not(iserror(vlookup($A79&amp;$B79,'3) Release_Label'!$D:$D&amp;'3) Release_Label'!$E:$E,1,0))),vlookup($A79&amp;$B79,{'3) Release_Label'!$D:$D&amp;'3) Release_Label'!$E:$E,'3) Release_Label'!$H:$H},2,0), or(and(not(isblank($B79)),$B79=$B78,$A79&lt;&gt;$A78),and(not(isblank($A79)),$A79=$A78,$B79&lt;&gt;$B78)),"ID LISTS UNALIGNED",and($A79&lt;&gt;"",countif('3) Release_Label'!$D:$D,$A79)=0),"NO UPC MATCH in Release_Label",and($B79&lt;&gt;"",countif('3) Release_Label'!$E:$E,$B79)=0),"NO CATALOG ID MATCH in Release_Label",iserror(vlookup($A79&amp;$B79,'3) Release_Label'!$D:$D&amp;'3) Release_Label'!$E:$E,1,0)),"NO UPC-CATALOG ID pair MATCH in Release_Label" )</f>
        <v/>
      </c>
      <c r="E79" s="147" t="str">
        <f t="shared" si="1"/>
        <v/>
      </c>
      <c r="G79" s="97"/>
      <c r="H79" s="155"/>
      <c r="J79" s="92"/>
      <c r="K79" s="98"/>
      <c r="L79" s="92"/>
      <c r="N79" s="92"/>
      <c r="O79" s="92"/>
      <c r="P79" s="92"/>
    </row>
    <row r="80">
      <c r="A80" s="90"/>
      <c r="B80" s="97"/>
      <c r="C80" s="121" t="str">
        <f t="array" ref="C80">ifs(and(isblank($A80),isblank($B80)),"", not(iserror(vlookup($A80&amp;$B80,'3) Release_Label'!$D:$D&amp;'3) Release_Label'!$E:$E,1,0))),vlookup($A80&amp;$B80,{'3) Release_Label'!$D:$D&amp;'3) Release_Label'!$E:$E,'3) Release_Label'!$F:$F},2,0),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
      </c>
      <c r="D80" s="121" t="str">
        <f t="array" ref="D80">ifs(and(isblank($A80),isblank($B80)),"", not(iserror(vlookup($A80&amp;$B80,'3) Release_Label'!$D:$D&amp;'3) Release_Label'!$E:$E,1,0))),vlookup($A80&amp;$B80,{'3) Release_Label'!$D:$D&amp;'3) Release_Label'!$E:$E,'3) Release_Label'!$H:$H},2,0),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
      </c>
      <c r="E80" s="147" t="str">
        <f t="shared" si="1"/>
        <v/>
      </c>
      <c r="G80" s="97"/>
      <c r="H80" s="155"/>
      <c r="J80" s="92"/>
      <c r="K80" s="98"/>
      <c r="L80" s="92"/>
      <c r="N80" s="92"/>
      <c r="O80" s="92"/>
      <c r="P80" s="92"/>
    </row>
    <row r="81">
      <c r="A81" s="90"/>
      <c r="B81" s="97"/>
      <c r="C81" s="121" t="str">
        <f t="array" ref="C81">ifs(and(isblank($A81),isblank($B81)),"", not(iserror(vlookup($A81&amp;$B81,'3) Release_Label'!$D:$D&amp;'3) Release_Label'!$E:$E,1,0))),vlookup($A81&amp;$B81,{'3) Release_Label'!$D:$D&amp;'3) Release_Label'!$E:$E,'3) Release_Label'!$F:$F},2,0),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
      </c>
      <c r="D81" s="121" t="str">
        <f t="array" ref="D81">ifs(and(isblank($A81),isblank($B81)),"", not(iserror(vlookup($A81&amp;$B81,'3) Release_Label'!$D:$D&amp;'3) Release_Label'!$E:$E,1,0))),vlookup($A81&amp;$B81,{'3) Release_Label'!$D:$D&amp;'3) Release_Label'!$E:$E,'3) Release_Label'!$H:$H},2,0),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
      </c>
      <c r="E81" s="147" t="str">
        <f t="shared" si="1"/>
        <v/>
      </c>
      <c r="G81" s="97"/>
      <c r="H81" s="155"/>
      <c r="J81" s="92"/>
      <c r="K81" s="98"/>
      <c r="L81" s="92"/>
      <c r="N81" s="92"/>
      <c r="O81" s="92"/>
      <c r="P81" s="92"/>
    </row>
    <row r="82">
      <c r="A82" s="90"/>
      <c r="B82" s="97"/>
      <c r="C82" s="121" t="str">
        <f t="array" ref="C82">ifs(and(isblank($A82),isblank($B82)),"", not(iserror(vlookup($A82&amp;$B82,'3) Release_Label'!$D:$D&amp;'3) Release_Label'!$E:$E,1,0))),vlookup($A82&amp;$B82,{'3) Release_Label'!$D:$D&amp;'3) Release_Label'!$E:$E,'3) Release_Label'!$F:$F},2,0),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
      </c>
      <c r="D82" s="121" t="str">
        <f t="array" ref="D82">ifs(and(isblank($A82),isblank($B82)),"", not(iserror(vlookup($A82&amp;$B82,'3) Release_Label'!$D:$D&amp;'3) Release_Label'!$E:$E,1,0))),vlookup($A82&amp;$B82,{'3) Release_Label'!$D:$D&amp;'3) Release_Label'!$E:$E,'3) Release_Label'!$H:$H},2,0),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
      </c>
      <c r="E82" s="147" t="str">
        <f t="shared" si="1"/>
        <v/>
      </c>
      <c r="G82" s="97"/>
      <c r="H82" s="155"/>
      <c r="J82" s="92"/>
      <c r="K82" s="98"/>
      <c r="L82" s="92"/>
      <c r="N82" s="92"/>
      <c r="O82" s="92"/>
      <c r="P82" s="92"/>
    </row>
    <row r="83">
      <c r="A83" s="90"/>
      <c r="B83" s="97"/>
      <c r="C83" s="121" t="str">
        <f t="array" ref="C83">ifs(and(isblank($A83),isblank($B83)),"", not(iserror(vlookup($A83&amp;$B83,'3) Release_Label'!$D:$D&amp;'3) Release_Label'!$E:$E,1,0))),vlookup($A83&amp;$B83,{'3) Release_Label'!$D:$D&amp;'3) Release_Label'!$E:$E,'3) Release_Label'!$F:$F},2,0),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
      </c>
      <c r="D83" s="121" t="str">
        <f t="array" ref="D83">ifs(and(isblank($A83),isblank($B83)),"", not(iserror(vlookup($A83&amp;$B83,'3) Release_Label'!$D:$D&amp;'3) Release_Label'!$E:$E,1,0))),vlookup($A83&amp;$B83,{'3) Release_Label'!$D:$D&amp;'3) Release_Label'!$E:$E,'3) Release_Label'!$H:$H},2,0),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
      </c>
      <c r="E83" s="147" t="str">
        <f t="shared" si="1"/>
        <v/>
      </c>
      <c r="G83" s="97"/>
      <c r="H83" s="155"/>
      <c r="J83" s="92"/>
      <c r="K83" s="98"/>
      <c r="L83" s="92"/>
      <c r="N83" s="92"/>
      <c r="O83" s="92"/>
      <c r="P83" s="92"/>
    </row>
    <row r="84">
      <c r="A84" s="90"/>
      <c r="B84" s="97"/>
      <c r="C84" s="121" t="str">
        <f t="array" ref="C84">ifs(and(isblank($A84),isblank($B84)),"", not(iserror(vlookup($A84&amp;$B84,'3) Release_Label'!$D:$D&amp;'3) Release_Label'!$E:$E,1,0))),vlookup($A84&amp;$B84,{'3) Release_Label'!$D:$D&amp;'3) Release_Label'!$E:$E,'3) Release_Label'!$F:$F},2,0),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
      </c>
      <c r="D84" s="121" t="str">
        <f t="array" ref="D84">ifs(and(isblank($A84),isblank($B84)),"", not(iserror(vlookup($A84&amp;$B84,'3) Release_Label'!$D:$D&amp;'3) Release_Label'!$E:$E,1,0))),vlookup($A84&amp;$B84,{'3) Release_Label'!$D:$D&amp;'3) Release_Label'!$E:$E,'3) Release_Label'!$H:$H},2,0),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
      </c>
      <c r="E84" s="147" t="str">
        <f t="shared" si="1"/>
        <v/>
      </c>
      <c r="G84" s="97"/>
      <c r="H84" s="155"/>
      <c r="J84" s="92"/>
      <c r="K84" s="98"/>
      <c r="L84" s="92"/>
      <c r="N84" s="92"/>
      <c r="O84" s="92"/>
      <c r="P84" s="92"/>
    </row>
    <row r="85">
      <c r="A85" s="90"/>
      <c r="B85" s="97"/>
      <c r="C85" s="121" t="str">
        <f t="array" ref="C85">ifs(and(isblank($A85),isblank($B85)),"", not(iserror(vlookup($A85&amp;$B85,'3) Release_Label'!$D:$D&amp;'3) Release_Label'!$E:$E,1,0))),vlookup($A85&amp;$B85,{'3) Release_Label'!$D:$D&amp;'3) Release_Label'!$E:$E,'3) Release_Label'!$F:$F},2,0), or(and(not(isblank($B85)),$B85=$B84,$A85&lt;&gt;$A84),and(not(isblank($A85)),$A85=$A84,$B85&lt;&gt;$B84)),"ID LISTS UNALIGNED",and($A85&lt;&gt;"",countif('3) Release_Label'!$D:$D,$A85)=0),"NO UPC MATCH in Release_Label",and($B85&lt;&gt;"",countif('3) Release_Label'!$E:$E,$B85)=0),"NO CATALOG ID MATCH in Release_Label",iserror(vlookup($A85&amp;$B85,'3) Release_Label'!$D:$D&amp;'3) Release_Label'!$E:$E,1,0)),"NO UPC-CATALOG ID pair MATCH in Release_Label" )</f>
        <v/>
      </c>
      <c r="D85" s="121" t="str">
        <f t="array" ref="D85">ifs(and(isblank($A85),isblank($B85)),"", not(iserror(vlookup($A85&amp;$B85,'3) Release_Label'!$D:$D&amp;'3) Release_Label'!$E:$E,1,0))),vlookup($A85&amp;$B85,{'3) Release_Label'!$D:$D&amp;'3) Release_Label'!$E:$E,'3) Release_Label'!$H:$H},2,0), or(and(not(isblank($B85)),$B85=$B84,$A85&lt;&gt;$A84),and(not(isblank($A85)),$A85=$A84,$B85&lt;&gt;$B84)),"ID LISTS UNALIGNED",and($A85&lt;&gt;"",countif('3) Release_Label'!$D:$D,$A85)=0),"NO UPC MATCH in Release_Label",and($B85&lt;&gt;"",countif('3) Release_Label'!$E:$E,$B85)=0),"NO CATALOG ID MATCH in Release_Label",iserror(vlookup($A85&amp;$B85,'3) Release_Label'!$D:$D&amp;'3) Release_Label'!$E:$E,1,0)),"NO UPC-CATALOG ID pair MATCH in Release_Label" )</f>
        <v/>
      </c>
      <c r="E85" s="147" t="str">
        <f t="shared" si="1"/>
        <v/>
      </c>
      <c r="G85" s="97"/>
      <c r="H85" s="155"/>
      <c r="J85" s="92"/>
      <c r="K85" s="98"/>
      <c r="L85" s="92"/>
      <c r="N85" s="92"/>
      <c r="O85" s="92"/>
      <c r="P85" s="92"/>
    </row>
    <row r="86">
      <c r="A86" s="90"/>
      <c r="B86" s="97"/>
      <c r="C86" s="121" t="str">
        <f t="array" ref="C86">ifs(and(isblank($A86),isblank($B86)),"", not(iserror(vlookup($A86&amp;$B86,'3) Release_Label'!$D:$D&amp;'3) Release_Label'!$E:$E,1,0))),vlookup($A86&amp;$B86,{'3) Release_Label'!$D:$D&amp;'3) Release_Label'!$E:$E,'3) Release_Label'!$F:$F},2,0),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
      </c>
      <c r="D86" s="121" t="str">
        <f t="array" ref="D86">ifs(and(isblank($A86),isblank($B86)),"", not(iserror(vlookup($A86&amp;$B86,'3) Release_Label'!$D:$D&amp;'3) Release_Label'!$E:$E,1,0))),vlookup($A86&amp;$B86,{'3) Release_Label'!$D:$D&amp;'3) Release_Label'!$E:$E,'3) Release_Label'!$H:$H},2,0),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
      </c>
      <c r="E86" s="147" t="str">
        <f t="shared" si="1"/>
        <v/>
      </c>
      <c r="G86" s="97"/>
      <c r="H86" s="155"/>
      <c r="J86" s="92"/>
      <c r="K86" s="98"/>
      <c r="L86" s="92"/>
      <c r="N86" s="92"/>
      <c r="O86" s="92"/>
      <c r="P86" s="92"/>
    </row>
    <row r="87">
      <c r="A87" s="90"/>
      <c r="B87" s="97"/>
      <c r="C87" s="121" t="str">
        <f t="array" ref="C87">ifs(and(isblank($A87),isblank($B87)),"", not(iserror(vlookup($A87&amp;$B87,'3) Release_Label'!$D:$D&amp;'3) Release_Label'!$E:$E,1,0))),vlookup($A87&amp;$B87,{'3) Release_Label'!$D:$D&amp;'3) Release_Label'!$E:$E,'3) Release_Label'!$F:$F},2,0),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
      </c>
      <c r="D87" s="121" t="str">
        <f t="array" ref="D87">ifs(and(isblank($A87),isblank($B87)),"", not(iserror(vlookup($A87&amp;$B87,'3) Release_Label'!$D:$D&amp;'3) Release_Label'!$E:$E,1,0))),vlookup($A87&amp;$B87,{'3) Release_Label'!$D:$D&amp;'3) Release_Label'!$E:$E,'3) Release_Label'!$H:$H},2,0),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
      </c>
      <c r="E87" s="147" t="str">
        <f t="shared" si="1"/>
        <v/>
      </c>
      <c r="G87" s="97"/>
      <c r="H87" s="155"/>
      <c r="J87" s="92"/>
      <c r="K87" s="98"/>
      <c r="L87" s="92"/>
      <c r="N87" s="92"/>
      <c r="O87" s="92"/>
      <c r="P87" s="92"/>
    </row>
    <row r="88">
      <c r="A88" s="90"/>
      <c r="B88" s="97"/>
      <c r="C88" s="121" t="str">
        <f t="array" ref="C88">ifs(and(isblank($A88),isblank($B88)),"", not(iserror(vlookup($A88&amp;$B88,'3) Release_Label'!$D:$D&amp;'3) Release_Label'!$E:$E,1,0))),vlookup($A88&amp;$B88,{'3) Release_Label'!$D:$D&amp;'3) Release_Label'!$E:$E,'3) Release_Label'!$F:$F},2,0),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
      </c>
      <c r="D88" s="121" t="str">
        <f t="array" ref="D88">ifs(and(isblank($A88),isblank($B88)),"", not(iserror(vlookup($A88&amp;$B88,'3) Release_Label'!$D:$D&amp;'3) Release_Label'!$E:$E,1,0))),vlookup($A88&amp;$B88,{'3) Release_Label'!$D:$D&amp;'3) Release_Label'!$E:$E,'3) Release_Label'!$H:$H},2,0),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
      </c>
      <c r="E88" s="147" t="str">
        <f t="shared" si="1"/>
        <v/>
      </c>
      <c r="G88" s="97"/>
      <c r="H88" s="155"/>
      <c r="J88" s="92"/>
      <c r="K88" s="98"/>
      <c r="L88" s="92"/>
      <c r="N88" s="92"/>
      <c r="O88" s="92"/>
      <c r="P88" s="92"/>
    </row>
    <row r="89">
      <c r="A89" s="90"/>
      <c r="B89" s="97"/>
      <c r="C89" s="121" t="str">
        <f t="array" ref="C89">ifs(and(isblank($A89),isblank($B89)),"", not(iserror(vlookup($A89&amp;$B89,'3) Release_Label'!$D:$D&amp;'3) Release_Label'!$E:$E,1,0))),vlookup($A89&amp;$B89,{'3) Release_Label'!$D:$D&amp;'3) Release_Label'!$E:$E,'3) Release_Label'!$F:$F},2,0),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
      </c>
      <c r="D89" s="121" t="str">
        <f t="array" ref="D89">ifs(and(isblank($A89),isblank($B89)),"", not(iserror(vlookup($A89&amp;$B89,'3) Release_Label'!$D:$D&amp;'3) Release_Label'!$E:$E,1,0))),vlookup($A89&amp;$B89,{'3) Release_Label'!$D:$D&amp;'3) Release_Label'!$E:$E,'3) Release_Label'!$H:$H},2,0),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
      </c>
      <c r="E89" s="147" t="str">
        <f t="shared" si="1"/>
        <v/>
      </c>
      <c r="G89" s="97"/>
      <c r="H89" s="155"/>
      <c r="J89" s="92"/>
      <c r="K89" s="98"/>
      <c r="L89" s="92"/>
      <c r="N89" s="92"/>
      <c r="O89" s="92"/>
      <c r="P89" s="92"/>
    </row>
    <row r="90">
      <c r="A90" s="90"/>
      <c r="B90" s="97"/>
      <c r="C90" s="121" t="str">
        <f t="array" ref="C90">ifs(and(isblank($A90),isblank($B90)),"", not(iserror(vlookup($A90&amp;$B90,'3) Release_Label'!$D:$D&amp;'3) Release_Label'!$E:$E,1,0))),vlookup($A90&amp;$B90,{'3) Release_Label'!$D:$D&amp;'3) Release_Label'!$E:$E,'3) Release_Label'!$F:$F},2,0), or(and(not(isblank($B90)),$B90=$B89,$A90&lt;&gt;$A89),and(not(isblank($A90)),$A90=$A89,$B90&lt;&gt;$B89)),"ID LISTS UNALIGNED",and($A90&lt;&gt;"",countif('3) Release_Label'!$D:$D,$A90)=0),"NO UPC MATCH in Release_Label",and($B90&lt;&gt;"",countif('3) Release_Label'!$E:$E,$B90)=0),"NO CATALOG ID MATCH in Release_Label",iserror(vlookup($A90&amp;$B90,'3) Release_Label'!$D:$D&amp;'3) Release_Label'!$E:$E,1,0)),"NO UPC-CATALOG ID pair MATCH in Release_Label" )</f>
        <v/>
      </c>
      <c r="D90" s="121" t="str">
        <f t="array" ref="D90">ifs(and(isblank($A90),isblank($B90)),"", not(iserror(vlookup($A90&amp;$B90,'3) Release_Label'!$D:$D&amp;'3) Release_Label'!$E:$E,1,0))),vlookup($A90&amp;$B90,{'3) Release_Label'!$D:$D&amp;'3) Release_Label'!$E:$E,'3) Release_Label'!$H:$H},2,0), or(and(not(isblank($B90)),$B90=$B89,$A90&lt;&gt;$A89),and(not(isblank($A90)),$A90=$A89,$B90&lt;&gt;$B89)),"ID LISTS UNALIGNED",and($A90&lt;&gt;"",countif('3) Release_Label'!$D:$D,$A90)=0),"NO UPC MATCH in Release_Label",and($B90&lt;&gt;"",countif('3) Release_Label'!$E:$E,$B90)=0),"NO CATALOG ID MATCH in Release_Label",iserror(vlookup($A90&amp;$B90,'3) Release_Label'!$D:$D&amp;'3) Release_Label'!$E:$E,1,0)),"NO UPC-CATALOG ID pair MATCH in Release_Label" )</f>
        <v/>
      </c>
      <c r="E90" s="147" t="str">
        <f t="shared" si="1"/>
        <v/>
      </c>
      <c r="G90" s="97"/>
      <c r="H90" s="155"/>
      <c r="J90" s="92"/>
      <c r="K90" s="98"/>
      <c r="L90" s="92"/>
      <c r="N90" s="92"/>
      <c r="O90" s="92"/>
      <c r="P90" s="92"/>
    </row>
    <row r="91">
      <c r="A91" s="90"/>
      <c r="B91" s="97"/>
      <c r="C91" s="121" t="str">
        <f t="array" ref="C91">ifs(and(isblank($A91),isblank($B91)),"", not(iserror(vlookup($A91&amp;$B91,'3) Release_Label'!$D:$D&amp;'3) Release_Label'!$E:$E,1,0))),vlookup($A91&amp;$B91,{'3) Release_Label'!$D:$D&amp;'3) Release_Label'!$E:$E,'3) Release_Label'!$F:$F},2,0),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
      </c>
      <c r="D91" s="121" t="str">
        <f t="array" ref="D91">ifs(and(isblank($A91),isblank($B91)),"", not(iserror(vlookup($A91&amp;$B91,'3) Release_Label'!$D:$D&amp;'3) Release_Label'!$E:$E,1,0))),vlookup($A91&amp;$B91,{'3) Release_Label'!$D:$D&amp;'3) Release_Label'!$E:$E,'3) Release_Label'!$H:$H},2,0),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
      </c>
      <c r="E91" s="147" t="str">
        <f t="shared" si="1"/>
        <v/>
      </c>
      <c r="G91" s="97"/>
      <c r="H91" s="155"/>
      <c r="J91" s="92"/>
      <c r="K91" s="98"/>
      <c r="L91" s="92"/>
      <c r="N91" s="92"/>
      <c r="O91" s="92"/>
      <c r="P91" s="92"/>
    </row>
    <row r="92">
      <c r="A92" s="90"/>
      <c r="B92" s="97"/>
      <c r="C92" s="121" t="str">
        <f t="array" ref="C92">ifs(and(isblank($A92),isblank($B92)),"", not(iserror(vlookup($A92&amp;$B92,'3) Release_Label'!$D:$D&amp;'3) Release_Label'!$E:$E,1,0))),vlookup($A92&amp;$B92,{'3) Release_Label'!$D:$D&amp;'3) Release_Label'!$E:$E,'3) Release_Label'!$F:$F},2,0),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
      </c>
      <c r="D92" s="121" t="str">
        <f t="array" ref="D92">ifs(and(isblank($A92),isblank($B92)),"", not(iserror(vlookup($A92&amp;$B92,'3) Release_Label'!$D:$D&amp;'3) Release_Label'!$E:$E,1,0))),vlookup($A92&amp;$B92,{'3) Release_Label'!$D:$D&amp;'3) Release_Label'!$E:$E,'3) Release_Label'!$H:$H},2,0),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
      </c>
      <c r="E92" s="147" t="str">
        <f t="shared" si="1"/>
        <v/>
      </c>
      <c r="G92" s="97"/>
      <c r="H92" s="155"/>
      <c r="J92" s="92"/>
      <c r="K92" s="98"/>
      <c r="L92" s="92"/>
      <c r="N92" s="92"/>
      <c r="O92" s="92"/>
      <c r="P92" s="92"/>
    </row>
    <row r="93">
      <c r="A93" s="90"/>
      <c r="B93" s="97"/>
      <c r="C93" s="121" t="str">
        <f t="array" ref="C93">ifs(and(isblank($A93),isblank($B93)),"", not(iserror(vlookup($A93&amp;$B93,'3) Release_Label'!$D:$D&amp;'3) Release_Label'!$E:$E,1,0))),vlookup($A93&amp;$B93,{'3) Release_Label'!$D:$D&amp;'3) Release_Label'!$E:$E,'3) Release_Label'!$F:$F},2,0),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
      </c>
      <c r="D93" s="121" t="str">
        <f t="array" ref="D93">ifs(and(isblank($A93),isblank($B93)),"", not(iserror(vlookup($A93&amp;$B93,'3) Release_Label'!$D:$D&amp;'3) Release_Label'!$E:$E,1,0))),vlookup($A93&amp;$B93,{'3) Release_Label'!$D:$D&amp;'3) Release_Label'!$E:$E,'3) Release_Label'!$H:$H},2,0),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
      </c>
      <c r="E93" s="147" t="str">
        <f t="shared" si="1"/>
        <v/>
      </c>
      <c r="G93" s="97"/>
      <c r="H93" s="155"/>
      <c r="J93" s="92"/>
      <c r="K93" s="98"/>
      <c r="L93" s="92"/>
      <c r="N93" s="92"/>
      <c r="O93" s="92"/>
      <c r="P93" s="92"/>
    </row>
    <row r="94">
      <c r="A94" s="90"/>
      <c r="B94" s="97"/>
      <c r="C94" s="121" t="str">
        <f t="array" ref="C94">ifs(and(isblank($A94),isblank($B94)),"", not(iserror(vlookup($A94&amp;$B94,'3) Release_Label'!$D:$D&amp;'3) Release_Label'!$E:$E,1,0))),vlookup($A94&amp;$B94,{'3) Release_Label'!$D:$D&amp;'3) Release_Label'!$E:$E,'3) Release_Label'!$F:$F},2,0),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
      </c>
      <c r="D94" s="121" t="str">
        <f t="array" ref="D94">ifs(and(isblank($A94),isblank($B94)),"", not(iserror(vlookup($A94&amp;$B94,'3) Release_Label'!$D:$D&amp;'3) Release_Label'!$E:$E,1,0))),vlookup($A94&amp;$B94,{'3) Release_Label'!$D:$D&amp;'3) Release_Label'!$E:$E,'3) Release_Label'!$H:$H},2,0),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
      </c>
      <c r="E94" s="147" t="str">
        <f t="shared" si="1"/>
        <v/>
      </c>
      <c r="G94" s="97"/>
      <c r="H94" s="155"/>
      <c r="J94" s="92"/>
      <c r="K94" s="98"/>
      <c r="L94" s="92"/>
      <c r="N94" s="92"/>
      <c r="O94" s="92"/>
      <c r="P94" s="92"/>
    </row>
    <row r="95">
      <c r="A95" s="90"/>
      <c r="B95" s="97"/>
      <c r="C95" s="121" t="str">
        <f t="array" ref="C95">ifs(and(isblank($A95),isblank($B95)),"", not(iserror(vlookup($A95&amp;$B95,'3) Release_Label'!$D:$D&amp;'3) Release_Label'!$E:$E,1,0))),vlookup($A95&amp;$B95,{'3) Release_Label'!$D:$D&amp;'3) Release_Label'!$E:$E,'3) Release_Label'!$F:$F},2,0),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
      </c>
      <c r="D95" s="121" t="str">
        <f t="array" ref="D95">ifs(and(isblank($A95),isblank($B95)),"", not(iserror(vlookup($A95&amp;$B95,'3) Release_Label'!$D:$D&amp;'3) Release_Label'!$E:$E,1,0))),vlookup($A95&amp;$B95,{'3) Release_Label'!$D:$D&amp;'3) Release_Label'!$E:$E,'3) Release_Label'!$H:$H},2,0),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
      </c>
      <c r="E95" s="147" t="str">
        <f t="shared" si="1"/>
        <v/>
      </c>
      <c r="G95" s="97"/>
      <c r="H95" s="155"/>
      <c r="J95" s="92"/>
      <c r="K95" s="98"/>
      <c r="L95" s="92"/>
      <c r="N95" s="92"/>
      <c r="O95" s="92"/>
      <c r="P95" s="92"/>
    </row>
    <row r="96">
      <c r="A96" s="90"/>
      <c r="B96" s="97"/>
      <c r="C96" s="121" t="str">
        <f t="array" ref="C96">ifs(and(isblank($A96),isblank($B96)),"", not(iserror(vlookup($A96&amp;$B96,'3) Release_Label'!$D:$D&amp;'3) Release_Label'!$E:$E,1,0))),vlookup($A96&amp;$B96,{'3) Release_Label'!$D:$D&amp;'3) Release_Label'!$E:$E,'3) Release_Label'!$F:$F},2,0),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
      </c>
      <c r="D96" s="121" t="str">
        <f t="array" ref="D96">ifs(and(isblank($A96),isblank($B96)),"", not(iserror(vlookup($A96&amp;$B96,'3) Release_Label'!$D:$D&amp;'3) Release_Label'!$E:$E,1,0))),vlookup($A96&amp;$B96,{'3) Release_Label'!$D:$D&amp;'3) Release_Label'!$E:$E,'3) Release_Label'!$H:$H},2,0),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
      </c>
      <c r="E96" s="147" t="str">
        <f t="shared" si="1"/>
        <v/>
      </c>
      <c r="G96" s="97"/>
      <c r="H96" s="155"/>
      <c r="J96" s="92"/>
      <c r="K96" s="98"/>
      <c r="L96" s="92"/>
      <c r="N96" s="92"/>
      <c r="O96" s="92"/>
      <c r="P96" s="92"/>
    </row>
    <row r="97">
      <c r="A97" s="90"/>
      <c r="B97" s="97"/>
      <c r="C97" s="121" t="str">
        <f t="array" ref="C97">ifs(and(isblank($A97),isblank($B97)),"", not(iserror(vlookup($A97&amp;$B97,'3) Release_Label'!$D:$D&amp;'3) Release_Label'!$E:$E,1,0))),vlookup($A97&amp;$B97,{'3) Release_Label'!$D:$D&amp;'3) Release_Label'!$E:$E,'3) Release_Label'!$F:$F},2,0),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
      </c>
      <c r="D97" s="121" t="str">
        <f t="array" ref="D97">ifs(and(isblank($A97),isblank($B97)),"", not(iserror(vlookup($A97&amp;$B97,'3) Release_Label'!$D:$D&amp;'3) Release_Label'!$E:$E,1,0))),vlookup($A97&amp;$B97,{'3) Release_Label'!$D:$D&amp;'3) Release_Label'!$E:$E,'3) Release_Label'!$H:$H},2,0),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
      </c>
      <c r="E97" s="147" t="str">
        <f t="shared" si="1"/>
        <v/>
      </c>
      <c r="G97" s="97"/>
      <c r="H97" s="155"/>
      <c r="J97" s="92"/>
      <c r="K97" s="98"/>
      <c r="L97" s="92"/>
      <c r="N97" s="92"/>
      <c r="O97" s="92"/>
      <c r="P97" s="92"/>
    </row>
    <row r="98">
      <c r="A98" s="90"/>
      <c r="B98" s="97"/>
      <c r="C98" s="121" t="str">
        <f t="array" ref="C98">ifs(and(isblank($A98),isblank($B98)),"", not(iserror(vlookup($A98&amp;$B98,'3) Release_Label'!$D:$D&amp;'3) Release_Label'!$E:$E,1,0))),vlookup($A98&amp;$B98,{'3) Release_Label'!$D:$D&amp;'3) Release_Label'!$E:$E,'3) Release_Label'!$F:$F},2,0),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
      </c>
      <c r="D98" s="121" t="str">
        <f t="array" ref="D98">ifs(and(isblank($A98),isblank($B98)),"", not(iserror(vlookup($A98&amp;$B98,'3) Release_Label'!$D:$D&amp;'3) Release_Label'!$E:$E,1,0))),vlookup($A98&amp;$B98,{'3) Release_Label'!$D:$D&amp;'3) Release_Label'!$E:$E,'3) Release_Label'!$H:$H},2,0),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
      </c>
      <c r="E98" s="147" t="str">
        <f t="shared" si="1"/>
        <v/>
      </c>
      <c r="G98" s="97"/>
      <c r="H98" s="155"/>
      <c r="J98" s="92"/>
      <c r="K98" s="98"/>
      <c r="L98" s="92"/>
      <c r="N98" s="92"/>
      <c r="O98" s="92"/>
      <c r="P98" s="92"/>
    </row>
    <row r="99">
      <c r="A99" s="90"/>
      <c r="B99" s="97"/>
      <c r="C99" s="121" t="str">
        <f t="array" ref="C99">ifs(and(isblank($A99),isblank($B99)),"", not(iserror(vlookup($A99&amp;$B99,'3) Release_Label'!$D:$D&amp;'3) Release_Label'!$E:$E,1,0))),vlookup($A99&amp;$B99,{'3) Release_Label'!$D:$D&amp;'3) Release_Label'!$E:$E,'3) Release_Label'!$F:$F},2,0),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
      </c>
      <c r="D99" s="121" t="str">
        <f t="array" ref="D99">ifs(and(isblank($A99),isblank($B99)),"", not(iserror(vlookup($A99&amp;$B99,'3) Release_Label'!$D:$D&amp;'3) Release_Label'!$E:$E,1,0))),vlookup($A99&amp;$B99,{'3) Release_Label'!$D:$D&amp;'3) Release_Label'!$E:$E,'3) Release_Label'!$H:$H},2,0),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
      </c>
      <c r="E99" s="147" t="str">
        <f t="shared" si="1"/>
        <v/>
      </c>
      <c r="G99" s="97"/>
      <c r="H99" s="155"/>
      <c r="J99" s="92"/>
      <c r="K99" s="98"/>
      <c r="L99" s="92"/>
      <c r="N99" s="92"/>
      <c r="O99" s="92"/>
      <c r="P99" s="92"/>
    </row>
    <row r="100">
      <c r="A100" s="90"/>
      <c r="B100" s="97"/>
      <c r="C100" s="121" t="str">
        <f t="array" ref="C100">ifs(and(isblank($A100),isblank($B100)),"", not(iserror(vlookup($A100&amp;$B100,'3) Release_Label'!$D:$D&amp;'3) Release_Label'!$E:$E,1,0))),vlookup($A100&amp;$B100,{'3) Release_Label'!$D:$D&amp;'3) Release_Label'!$E:$E,'3) Release_Label'!$F:$F},2,0),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
      </c>
      <c r="D100" s="121" t="str">
        <f t="array" ref="D100">ifs(and(isblank($A100),isblank($B100)),"", not(iserror(vlookup($A100&amp;$B100,'3) Release_Label'!$D:$D&amp;'3) Release_Label'!$E:$E,1,0))),vlookup($A100&amp;$B100,{'3) Release_Label'!$D:$D&amp;'3) Release_Label'!$E:$E,'3) Release_Label'!$H:$H},2,0),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
      </c>
      <c r="E100" s="147" t="str">
        <f t="shared" si="1"/>
        <v/>
      </c>
      <c r="G100" s="97"/>
      <c r="H100" s="155"/>
      <c r="J100" s="92"/>
      <c r="K100" s="98"/>
      <c r="L100" s="92"/>
      <c r="N100" s="92"/>
      <c r="O100" s="92"/>
      <c r="P100" s="92"/>
    </row>
    <row r="101">
      <c r="A101" s="90"/>
      <c r="B101" s="97"/>
      <c r="C101" s="121" t="str">
        <f t="array" ref="C101">ifs(and(isblank($A101),isblank($B101)),"", not(iserror(vlookup($A101&amp;$B101,'3) Release_Label'!$D:$D&amp;'3) Release_Label'!$E:$E,1,0))),vlookup($A101&amp;$B101,{'3) Release_Label'!$D:$D&amp;'3) Release_Label'!$E:$E,'3) Release_Label'!$F:$F},2,0),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
      </c>
      <c r="D101" s="121" t="str">
        <f t="array" ref="D101">ifs(and(isblank($A101),isblank($B101)),"", not(iserror(vlookup($A101&amp;$B101,'3) Release_Label'!$D:$D&amp;'3) Release_Label'!$E:$E,1,0))),vlookup($A101&amp;$B101,{'3) Release_Label'!$D:$D&amp;'3) Release_Label'!$E:$E,'3) Release_Label'!$H:$H},2,0),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
      </c>
      <c r="E101" s="147" t="str">
        <f t="shared" si="1"/>
        <v/>
      </c>
      <c r="G101" s="97"/>
      <c r="H101" s="155"/>
      <c r="J101" s="92"/>
      <c r="K101" s="98"/>
      <c r="L101" s="92"/>
      <c r="N101" s="92"/>
      <c r="O101" s="92"/>
      <c r="P101" s="92"/>
    </row>
    <row r="102">
      <c r="A102" s="90"/>
      <c r="B102" s="97"/>
      <c r="C102" s="121" t="str">
        <f t="array" ref="C102">ifs(and(isblank($A102),isblank($B102)),"", not(iserror(vlookup($A102&amp;$B102,'3) Release_Label'!$D:$D&amp;'3) Release_Label'!$E:$E,1,0))),vlookup($A102&amp;$B102,{'3) Release_Label'!$D:$D&amp;'3) Release_Label'!$E:$E,'3) Release_Label'!$F:$F},2,0),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
      </c>
      <c r="D102" s="121" t="str">
        <f t="array" ref="D102">ifs(and(isblank($A102),isblank($B102)),"", not(iserror(vlookup($A102&amp;$B102,'3) Release_Label'!$D:$D&amp;'3) Release_Label'!$E:$E,1,0))),vlookup($A102&amp;$B102,{'3) Release_Label'!$D:$D&amp;'3) Release_Label'!$E:$E,'3) Release_Label'!$H:$H},2,0),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
      </c>
      <c r="E102" s="147" t="str">
        <f t="shared" si="1"/>
        <v/>
      </c>
      <c r="G102" s="97"/>
      <c r="H102" s="155"/>
      <c r="J102" s="92"/>
      <c r="K102" s="98"/>
      <c r="L102" s="92"/>
      <c r="N102" s="92"/>
      <c r="O102" s="92"/>
      <c r="P102" s="92"/>
    </row>
    <row r="103">
      <c r="A103" s="90"/>
      <c r="B103" s="97"/>
      <c r="C103" s="121" t="str">
        <f t="array" ref="C103">ifs(and(isblank($A103),isblank($B103)),"", not(iserror(vlookup($A103&amp;$B103,'3) Release_Label'!$D:$D&amp;'3) Release_Label'!$E:$E,1,0))),vlookup($A103&amp;$B103,{'3) Release_Label'!$D:$D&amp;'3) Release_Label'!$E:$E,'3) Release_Label'!$F:$F},2,0),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
      </c>
      <c r="D103" s="121" t="str">
        <f t="array" ref="D103">ifs(and(isblank($A103),isblank($B103)),"", not(iserror(vlookup($A103&amp;$B103,'3) Release_Label'!$D:$D&amp;'3) Release_Label'!$E:$E,1,0))),vlookup($A103&amp;$B103,{'3) Release_Label'!$D:$D&amp;'3) Release_Label'!$E:$E,'3) Release_Label'!$H:$H},2,0),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
      </c>
      <c r="E103" s="147" t="str">
        <f t="shared" si="1"/>
        <v/>
      </c>
      <c r="G103" s="97"/>
      <c r="H103" s="155"/>
      <c r="J103" s="92"/>
      <c r="K103" s="98"/>
      <c r="L103" s="92"/>
      <c r="N103" s="92"/>
      <c r="O103" s="92"/>
      <c r="P103" s="92"/>
    </row>
    <row r="104">
      <c r="A104" s="90"/>
      <c r="B104" s="97"/>
      <c r="C104" s="121" t="str">
        <f t="array" ref="C104">ifs(and(isblank($A104),isblank($B104)),"", not(iserror(vlookup($A104&amp;$B104,'3) Release_Label'!$D:$D&amp;'3) Release_Label'!$E:$E,1,0))),vlookup($A104&amp;$B104,{'3) Release_Label'!$D:$D&amp;'3) Release_Label'!$E:$E,'3) Release_Label'!$F:$F},2,0),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
      </c>
      <c r="D104" s="121" t="str">
        <f t="array" ref="D104">ifs(and(isblank($A104),isblank($B104)),"", not(iserror(vlookup($A104&amp;$B104,'3) Release_Label'!$D:$D&amp;'3) Release_Label'!$E:$E,1,0))),vlookup($A104&amp;$B104,{'3) Release_Label'!$D:$D&amp;'3) Release_Label'!$E:$E,'3) Release_Label'!$H:$H},2,0),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
      </c>
      <c r="E104" s="147" t="str">
        <f t="shared" si="1"/>
        <v/>
      </c>
      <c r="G104" s="97"/>
      <c r="H104" s="155"/>
      <c r="J104" s="92"/>
      <c r="K104" s="98"/>
      <c r="L104" s="92"/>
      <c r="N104" s="92"/>
      <c r="O104" s="92"/>
      <c r="P104" s="92"/>
    </row>
    <row r="105">
      <c r="A105" s="90"/>
      <c r="B105" s="97"/>
      <c r="C105" s="121" t="str">
        <f t="array" ref="C105">ifs(and(isblank($A105),isblank($B105)),"", not(iserror(vlookup($A105&amp;$B105,'3) Release_Label'!$D:$D&amp;'3) Release_Label'!$E:$E,1,0))),vlookup($A105&amp;$B105,{'3) Release_Label'!$D:$D&amp;'3) Release_Label'!$E:$E,'3) Release_Label'!$F:$F},2,0),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
      </c>
      <c r="D105" s="121" t="str">
        <f t="array" ref="D105">ifs(and(isblank($A105),isblank($B105)),"", not(iserror(vlookup($A105&amp;$B105,'3) Release_Label'!$D:$D&amp;'3) Release_Label'!$E:$E,1,0))),vlookup($A105&amp;$B105,{'3) Release_Label'!$D:$D&amp;'3) Release_Label'!$E:$E,'3) Release_Label'!$H:$H},2,0),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
      </c>
      <c r="E105" s="147" t="str">
        <f t="shared" si="1"/>
        <v/>
      </c>
      <c r="G105" s="97"/>
      <c r="H105" s="155"/>
      <c r="J105" s="92"/>
      <c r="K105" s="98"/>
      <c r="L105" s="92"/>
      <c r="N105" s="92"/>
      <c r="O105" s="92"/>
      <c r="P105" s="92"/>
    </row>
    <row r="106">
      <c r="A106" s="90"/>
      <c r="B106" s="97"/>
      <c r="C106" s="121" t="str">
        <f t="array" ref="C106">ifs(and(isblank($A106),isblank($B106)),"", not(iserror(vlookup($A106&amp;$B106,'3) Release_Label'!$D:$D&amp;'3) Release_Label'!$E:$E,1,0))),vlookup($A106&amp;$B106,{'3) Release_Label'!$D:$D&amp;'3) Release_Label'!$E:$E,'3) Release_Label'!$F:$F},2,0),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
      </c>
      <c r="D106" s="121" t="str">
        <f t="array" ref="D106">ifs(and(isblank($A106),isblank($B106)),"", not(iserror(vlookup($A106&amp;$B106,'3) Release_Label'!$D:$D&amp;'3) Release_Label'!$E:$E,1,0))),vlookup($A106&amp;$B106,{'3) Release_Label'!$D:$D&amp;'3) Release_Label'!$E:$E,'3) Release_Label'!$H:$H},2,0),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
      </c>
      <c r="E106" s="147" t="str">
        <f t="shared" si="1"/>
        <v/>
      </c>
      <c r="G106" s="97"/>
      <c r="H106" s="155"/>
      <c r="J106" s="92"/>
      <c r="K106" s="98"/>
      <c r="L106" s="92"/>
      <c r="N106" s="92"/>
      <c r="O106" s="92"/>
      <c r="P106" s="92"/>
    </row>
    <row r="107">
      <c r="A107" s="90"/>
      <c r="B107" s="97"/>
      <c r="C107" s="121" t="str">
        <f t="array" ref="C107">ifs(and(isblank($A107),isblank($B107)),"", not(iserror(vlookup($A107&amp;$B107,'3) Release_Label'!$D:$D&amp;'3) Release_Label'!$E:$E,1,0))),vlookup($A107&amp;$B107,{'3) Release_Label'!$D:$D&amp;'3) Release_Label'!$E:$E,'3) Release_Label'!$F:$F},2,0),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
      </c>
      <c r="D107" s="121" t="str">
        <f t="array" ref="D107">ifs(and(isblank($A107),isblank($B107)),"", not(iserror(vlookup($A107&amp;$B107,'3) Release_Label'!$D:$D&amp;'3) Release_Label'!$E:$E,1,0))),vlookup($A107&amp;$B107,{'3) Release_Label'!$D:$D&amp;'3) Release_Label'!$E:$E,'3) Release_Label'!$H:$H},2,0),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
      </c>
      <c r="E107" s="147" t="str">
        <f t="shared" si="1"/>
        <v/>
      </c>
      <c r="G107" s="97"/>
      <c r="H107" s="155"/>
      <c r="J107" s="92"/>
      <c r="K107" s="98"/>
      <c r="L107" s="92"/>
      <c r="N107" s="92"/>
      <c r="O107" s="92"/>
      <c r="P107" s="92"/>
    </row>
    <row r="108">
      <c r="A108" s="90"/>
      <c r="B108" s="97"/>
      <c r="C108" s="121" t="str">
        <f t="array" ref="C108">ifs(and(isblank($A108),isblank($B108)),"", not(iserror(vlookup($A108&amp;$B108,'3) Release_Label'!$D:$D&amp;'3) Release_Label'!$E:$E,1,0))),vlookup($A108&amp;$B108,{'3) Release_Label'!$D:$D&amp;'3) Release_Label'!$E:$E,'3) Release_Label'!$F:$F},2,0),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
      </c>
      <c r="D108" s="121" t="str">
        <f t="array" ref="D108">ifs(and(isblank($A108),isblank($B108)),"", not(iserror(vlookup($A108&amp;$B108,'3) Release_Label'!$D:$D&amp;'3) Release_Label'!$E:$E,1,0))),vlookup($A108&amp;$B108,{'3) Release_Label'!$D:$D&amp;'3) Release_Label'!$E:$E,'3) Release_Label'!$H:$H},2,0),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
      </c>
      <c r="E108" s="147" t="str">
        <f t="shared" si="1"/>
        <v/>
      </c>
      <c r="G108" s="97"/>
      <c r="H108" s="155"/>
      <c r="J108" s="92"/>
      <c r="K108" s="98"/>
      <c r="L108" s="92"/>
      <c r="N108" s="92"/>
      <c r="O108" s="92"/>
      <c r="P108" s="92"/>
    </row>
    <row r="109">
      <c r="A109" s="90"/>
      <c r="B109" s="97"/>
      <c r="C109" s="121" t="str">
        <f t="array" ref="C109">ifs(and(isblank($A109),isblank($B109)),"", not(iserror(vlookup($A109&amp;$B109,'3) Release_Label'!$D:$D&amp;'3) Release_Label'!$E:$E,1,0))),vlookup($A109&amp;$B109,{'3) Release_Label'!$D:$D&amp;'3) Release_Label'!$E:$E,'3) Release_Label'!$F:$F},2,0),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
      </c>
      <c r="D109" s="121" t="str">
        <f t="array" ref="D109">ifs(and(isblank($A109),isblank($B109)),"", not(iserror(vlookup($A109&amp;$B109,'3) Release_Label'!$D:$D&amp;'3) Release_Label'!$E:$E,1,0))),vlookup($A109&amp;$B109,{'3) Release_Label'!$D:$D&amp;'3) Release_Label'!$E:$E,'3) Release_Label'!$H:$H},2,0),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
      </c>
      <c r="E109" s="147" t="str">
        <f t="shared" si="1"/>
        <v/>
      </c>
      <c r="G109" s="97"/>
      <c r="H109" s="155"/>
      <c r="J109" s="92"/>
      <c r="K109" s="98"/>
      <c r="L109" s="92"/>
      <c r="N109" s="92"/>
      <c r="O109" s="92"/>
      <c r="P109" s="92"/>
    </row>
    <row r="110">
      <c r="A110" s="90"/>
      <c r="B110" s="97"/>
      <c r="C110" s="121" t="str">
        <f t="array" ref="C110">ifs(and(isblank($A110),isblank($B110)),"", not(iserror(vlookup($A110&amp;$B110,'3) Release_Label'!$D:$D&amp;'3) Release_Label'!$E:$E,1,0))),vlookup($A110&amp;$B110,{'3) Release_Label'!$D:$D&amp;'3) Release_Label'!$E:$E,'3) Release_Label'!$F:$F},2,0),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
      </c>
      <c r="D110" s="121" t="str">
        <f t="array" ref="D110">ifs(and(isblank($A110),isblank($B110)),"", not(iserror(vlookup($A110&amp;$B110,'3) Release_Label'!$D:$D&amp;'3) Release_Label'!$E:$E,1,0))),vlookup($A110&amp;$B110,{'3) Release_Label'!$D:$D&amp;'3) Release_Label'!$E:$E,'3) Release_Label'!$H:$H},2,0),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
      </c>
      <c r="E110" s="147" t="str">
        <f t="shared" si="1"/>
        <v/>
      </c>
      <c r="G110" s="97"/>
      <c r="H110" s="155"/>
      <c r="J110" s="92"/>
      <c r="K110" s="98"/>
      <c r="L110" s="92"/>
      <c r="N110" s="92"/>
      <c r="O110" s="92"/>
      <c r="P110" s="92"/>
    </row>
    <row r="111">
      <c r="A111" s="90"/>
      <c r="B111" s="97"/>
      <c r="C111" s="121" t="str">
        <f t="array" ref="C111">ifs(and(isblank($A111),isblank($B111)),"", not(iserror(vlookup($A111&amp;$B111,'3) Release_Label'!$D:$D&amp;'3) Release_Label'!$E:$E,1,0))),vlookup($A111&amp;$B111,{'3) Release_Label'!$D:$D&amp;'3) Release_Label'!$E:$E,'3) Release_Label'!$F:$F},2,0),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
      </c>
      <c r="D111" s="121" t="str">
        <f t="array" ref="D111">ifs(and(isblank($A111),isblank($B111)),"", not(iserror(vlookup($A111&amp;$B111,'3) Release_Label'!$D:$D&amp;'3) Release_Label'!$E:$E,1,0))),vlookup($A111&amp;$B111,{'3) Release_Label'!$D:$D&amp;'3) Release_Label'!$E:$E,'3) Release_Label'!$H:$H},2,0),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
      </c>
      <c r="E111" s="147" t="str">
        <f t="shared" si="1"/>
        <v/>
      </c>
      <c r="G111" s="97"/>
      <c r="H111" s="155"/>
      <c r="J111" s="92"/>
      <c r="K111" s="98"/>
      <c r="L111" s="92"/>
      <c r="N111" s="92"/>
      <c r="O111" s="92"/>
      <c r="P111" s="92"/>
    </row>
    <row r="112">
      <c r="A112" s="90"/>
      <c r="B112" s="97"/>
      <c r="C112" s="121" t="str">
        <f t="array" ref="C112">ifs(and(isblank($A112),isblank($B112)),"", not(iserror(vlookup($A112&amp;$B112,'3) Release_Label'!$D:$D&amp;'3) Release_Label'!$E:$E,1,0))),vlookup($A112&amp;$B112,{'3) Release_Label'!$D:$D&amp;'3) Release_Label'!$E:$E,'3) Release_Label'!$F:$F},2,0),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
      </c>
      <c r="D112" s="121" t="str">
        <f t="array" ref="D112">ifs(and(isblank($A112),isblank($B112)),"", not(iserror(vlookup($A112&amp;$B112,'3) Release_Label'!$D:$D&amp;'3) Release_Label'!$E:$E,1,0))),vlookup($A112&amp;$B112,{'3) Release_Label'!$D:$D&amp;'3) Release_Label'!$E:$E,'3) Release_Label'!$H:$H},2,0),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
      </c>
      <c r="E112" s="147" t="str">
        <f t="shared" si="1"/>
        <v/>
      </c>
      <c r="G112" s="97"/>
      <c r="H112" s="155"/>
      <c r="J112" s="92"/>
      <c r="K112" s="98"/>
      <c r="L112" s="92"/>
      <c r="N112" s="92"/>
      <c r="O112" s="92"/>
      <c r="P112" s="92"/>
    </row>
    <row r="113">
      <c r="A113" s="90"/>
      <c r="B113" s="97"/>
      <c r="C113" s="121" t="str">
        <f t="array" ref="C113">ifs(and(isblank($A113),isblank($B113)),"", not(iserror(vlookup($A113&amp;$B113,'3) Release_Label'!$D:$D&amp;'3) Release_Label'!$E:$E,1,0))),vlookup($A113&amp;$B113,{'3) Release_Label'!$D:$D&amp;'3) Release_Label'!$E:$E,'3) Release_Label'!$F:$F},2,0),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
      </c>
      <c r="D113" s="121" t="str">
        <f t="array" ref="D113">ifs(and(isblank($A113),isblank($B113)),"", not(iserror(vlookup($A113&amp;$B113,'3) Release_Label'!$D:$D&amp;'3) Release_Label'!$E:$E,1,0))),vlookup($A113&amp;$B113,{'3) Release_Label'!$D:$D&amp;'3) Release_Label'!$E:$E,'3) Release_Label'!$H:$H},2,0),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
      </c>
      <c r="E113" s="147" t="str">
        <f t="shared" si="1"/>
        <v/>
      </c>
      <c r="G113" s="97"/>
      <c r="H113" s="155"/>
      <c r="J113" s="92"/>
      <c r="K113" s="98"/>
      <c r="L113" s="92"/>
      <c r="N113" s="92"/>
      <c r="O113" s="92"/>
      <c r="P113" s="92"/>
    </row>
    <row r="114">
      <c r="A114" s="90"/>
      <c r="B114" s="97"/>
      <c r="C114" s="121" t="str">
        <f t="array" ref="C114">ifs(and(isblank($A114),isblank($B114)),"", not(iserror(vlookup($A114&amp;$B114,'3) Release_Label'!$D:$D&amp;'3) Release_Label'!$E:$E,1,0))),vlookup($A114&amp;$B114,{'3) Release_Label'!$D:$D&amp;'3) Release_Label'!$E:$E,'3) Release_Label'!$F:$F},2,0),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
      </c>
      <c r="D114" s="121" t="str">
        <f t="array" ref="D114">ifs(and(isblank($A114),isblank($B114)),"", not(iserror(vlookup($A114&amp;$B114,'3) Release_Label'!$D:$D&amp;'3) Release_Label'!$E:$E,1,0))),vlookup($A114&amp;$B114,{'3) Release_Label'!$D:$D&amp;'3) Release_Label'!$E:$E,'3) Release_Label'!$H:$H},2,0),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
      </c>
      <c r="E114" s="147" t="str">
        <f t="shared" si="1"/>
        <v/>
      </c>
      <c r="G114" s="97"/>
      <c r="H114" s="155"/>
      <c r="J114" s="92"/>
      <c r="K114" s="98"/>
      <c r="L114" s="92"/>
      <c r="N114" s="92"/>
      <c r="O114" s="92"/>
      <c r="P114" s="92"/>
    </row>
    <row r="115">
      <c r="A115" s="90"/>
      <c r="B115" s="97"/>
      <c r="C115" s="121" t="str">
        <f t="array" ref="C115">ifs(and(isblank($A115),isblank($B115)),"", not(iserror(vlookup($A115&amp;$B115,'3) Release_Label'!$D:$D&amp;'3) Release_Label'!$E:$E,1,0))),vlookup($A115&amp;$B115,{'3) Release_Label'!$D:$D&amp;'3) Release_Label'!$E:$E,'3) Release_Label'!$F:$F},2,0),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
      </c>
      <c r="D115" s="121" t="str">
        <f t="array" ref="D115">ifs(and(isblank($A115),isblank($B115)),"", not(iserror(vlookup($A115&amp;$B115,'3) Release_Label'!$D:$D&amp;'3) Release_Label'!$E:$E,1,0))),vlookup($A115&amp;$B115,{'3) Release_Label'!$D:$D&amp;'3) Release_Label'!$E:$E,'3) Release_Label'!$H:$H},2,0),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
      </c>
      <c r="E115" s="147" t="str">
        <f t="shared" si="1"/>
        <v/>
      </c>
      <c r="G115" s="97"/>
      <c r="H115" s="155"/>
      <c r="J115" s="92"/>
      <c r="K115" s="98"/>
      <c r="L115" s="92"/>
      <c r="N115" s="92"/>
      <c r="O115" s="92"/>
      <c r="P115" s="92"/>
    </row>
    <row r="116">
      <c r="A116" s="90"/>
      <c r="B116" s="97"/>
      <c r="C116" s="121" t="str">
        <f t="array" ref="C116">ifs(and(isblank($A116),isblank($B116)),"", not(iserror(vlookup($A116&amp;$B116,'3) Release_Label'!$D:$D&amp;'3) Release_Label'!$E:$E,1,0))),vlookup($A116&amp;$B116,{'3) Release_Label'!$D:$D&amp;'3) Release_Label'!$E:$E,'3) Release_Label'!$F:$F},2,0),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
      </c>
      <c r="D116" s="121" t="str">
        <f t="array" ref="D116">ifs(and(isblank($A116),isblank($B116)),"", not(iserror(vlookup($A116&amp;$B116,'3) Release_Label'!$D:$D&amp;'3) Release_Label'!$E:$E,1,0))),vlookup($A116&amp;$B116,{'3) Release_Label'!$D:$D&amp;'3) Release_Label'!$E:$E,'3) Release_Label'!$H:$H},2,0),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
      </c>
      <c r="E116" s="147" t="str">
        <f t="shared" si="1"/>
        <v/>
      </c>
      <c r="G116" s="97"/>
      <c r="H116" s="155"/>
      <c r="J116" s="92"/>
      <c r="K116" s="98"/>
      <c r="L116" s="92"/>
      <c r="N116" s="92"/>
      <c r="O116" s="92"/>
      <c r="P116" s="92"/>
    </row>
    <row r="117">
      <c r="A117" s="90"/>
      <c r="B117" s="97"/>
      <c r="C117" s="121" t="str">
        <f t="array" ref="C117">ifs(and(isblank($A117),isblank($B117)),"", not(iserror(vlookup($A117&amp;$B117,'3) Release_Label'!$D:$D&amp;'3) Release_Label'!$E:$E,1,0))),vlookup($A117&amp;$B117,{'3) Release_Label'!$D:$D&amp;'3) Release_Label'!$E:$E,'3) Release_Label'!$F:$F},2,0),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
      </c>
      <c r="D117" s="121" t="str">
        <f t="array" ref="D117">ifs(and(isblank($A117),isblank($B117)),"", not(iserror(vlookup($A117&amp;$B117,'3) Release_Label'!$D:$D&amp;'3) Release_Label'!$E:$E,1,0))),vlookup($A117&amp;$B117,{'3) Release_Label'!$D:$D&amp;'3) Release_Label'!$E:$E,'3) Release_Label'!$H:$H},2,0),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
      </c>
      <c r="E117" s="147" t="str">
        <f t="shared" si="1"/>
        <v/>
      </c>
      <c r="G117" s="97"/>
      <c r="H117" s="155"/>
      <c r="J117" s="92"/>
      <c r="K117" s="98"/>
      <c r="L117" s="92"/>
      <c r="N117" s="92"/>
      <c r="O117" s="92"/>
      <c r="P117" s="92"/>
    </row>
    <row r="118">
      <c r="A118" s="90"/>
      <c r="B118" s="97"/>
      <c r="C118" s="121" t="str">
        <f t="array" ref="C118">ifs(and(isblank($A118),isblank($B118)),"", not(iserror(vlookup($A118&amp;$B118,'3) Release_Label'!$D:$D&amp;'3) Release_Label'!$E:$E,1,0))),vlookup($A118&amp;$B118,{'3) Release_Label'!$D:$D&amp;'3) Release_Label'!$E:$E,'3) Release_Label'!$F:$F},2,0),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
      </c>
      <c r="D118" s="121" t="str">
        <f t="array" ref="D118">ifs(and(isblank($A118),isblank($B118)),"", not(iserror(vlookup($A118&amp;$B118,'3) Release_Label'!$D:$D&amp;'3) Release_Label'!$E:$E,1,0))),vlookup($A118&amp;$B118,{'3) Release_Label'!$D:$D&amp;'3) Release_Label'!$E:$E,'3) Release_Label'!$H:$H},2,0),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
      </c>
      <c r="E118" s="147" t="str">
        <f t="shared" si="1"/>
        <v/>
      </c>
      <c r="G118" s="97"/>
      <c r="H118" s="155"/>
      <c r="J118" s="92"/>
      <c r="K118" s="98"/>
      <c r="L118" s="92"/>
      <c r="N118" s="92"/>
      <c r="O118" s="92"/>
      <c r="P118" s="92"/>
    </row>
    <row r="119">
      <c r="A119" s="90"/>
      <c r="B119" s="97"/>
      <c r="C119" s="121" t="str">
        <f t="array" ref="C119">ifs(and(isblank($A119),isblank($B119)),"", not(iserror(vlookup($A119&amp;$B119,'3) Release_Label'!$D:$D&amp;'3) Release_Label'!$E:$E,1,0))),vlookup($A119&amp;$B119,{'3) Release_Label'!$D:$D&amp;'3) Release_Label'!$E:$E,'3) Release_Label'!$F:$F},2,0),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
      </c>
      <c r="D119" s="121" t="str">
        <f t="array" ref="D119">ifs(and(isblank($A119),isblank($B119)),"", not(iserror(vlookup($A119&amp;$B119,'3) Release_Label'!$D:$D&amp;'3) Release_Label'!$E:$E,1,0))),vlookup($A119&amp;$B119,{'3) Release_Label'!$D:$D&amp;'3) Release_Label'!$E:$E,'3) Release_Label'!$H:$H},2,0),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
      </c>
      <c r="E119" s="147" t="str">
        <f t="shared" si="1"/>
        <v/>
      </c>
      <c r="G119" s="97"/>
      <c r="H119" s="155"/>
      <c r="J119" s="92"/>
      <c r="K119" s="98"/>
      <c r="L119" s="92"/>
      <c r="N119" s="92"/>
      <c r="O119" s="92"/>
      <c r="P119" s="92"/>
    </row>
    <row r="120">
      <c r="A120" s="90"/>
      <c r="B120" s="97"/>
      <c r="C120" s="121" t="str">
        <f t="array" ref="C120">ifs(and(isblank($A120),isblank($B120)),"", not(iserror(vlookup($A120&amp;$B120,'3) Release_Label'!$D:$D&amp;'3) Release_Label'!$E:$E,1,0))),vlookup($A120&amp;$B120,{'3) Release_Label'!$D:$D&amp;'3) Release_Label'!$E:$E,'3) Release_Label'!$F:$F},2,0),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
      </c>
      <c r="D120" s="121" t="str">
        <f t="array" ref="D120">ifs(and(isblank($A120),isblank($B120)),"", not(iserror(vlookup($A120&amp;$B120,'3) Release_Label'!$D:$D&amp;'3) Release_Label'!$E:$E,1,0))),vlookup($A120&amp;$B120,{'3) Release_Label'!$D:$D&amp;'3) Release_Label'!$E:$E,'3) Release_Label'!$H:$H},2,0),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
      </c>
      <c r="E120" s="147" t="str">
        <f t="shared" si="1"/>
        <v/>
      </c>
      <c r="G120" s="97"/>
      <c r="H120" s="155"/>
      <c r="J120" s="92"/>
      <c r="K120" s="98"/>
      <c r="L120" s="92"/>
      <c r="N120" s="92"/>
      <c r="O120" s="92"/>
      <c r="P120" s="92"/>
    </row>
    <row r="121">
      <c r="A121" s="90"/>
      <c r="B121" s="97"/>
      <c r="C121" s="121" t="str">
        <f t="array" ref="C121">ifs(and(isblank($A121),isblank($B121)),"", not(iserror(vlookup($A121&amp;$B121,'3) Release_Label'!$D:$D&amp;'3) Release_Label'!$E:$E,1,0))),vlookup($A121&amp;$B121,{'3) Release_Label'!$D:$D&amp;'3) Release_Label'!$E:$E,'3) Release_Label'!$F:$F},2,0),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
      </c>
      <c r="D121" s="121" t="str">
        <f t="array" ref="D121">ifs(and(isblank($A121),isblank($B121)),"", not(iserror(vlookup($A121&amp;$B121,'3) Release_Label'!$D:$D&amp;'3) Release_Label'!$E:$E,1,0))),vlookup($A121&amp;$B121,{'3) Release_Label'!$D:$D&amp;'3) Release_Label'!$E:$E,'3) Release_Label'!$H:$H},2,0),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
      </c>
      <c r="E121" s="147" t="str">
        <f t="shared" si="1"/>
        <v/>
      </c>
      <c r="G121" s="97"/>
      <c r="H121" s="155"/>
      <c r="J121" s="92"/>
      <c r="K121" s="98"/>
      <c r="L121" s="92"/>
      <c r="N121" s="92"/>
      <c r="O121" s="92"/>
      <c r="P121" s="92"/>
    </row>
    <row r="122">
      <c r="A122" s="90"/>
      <c r="B122" s="97"/>
      <c r="C122" s="121" t="str">
        <f t="array" ref="C122">ifs(and(isblank($A122),isblank($B122)),"", not(iserror(vlookup($A122&amp;$B122,'3) Release_Label'!$D:$D&amp;'3) Release_Label'!$E:$E,1,0))),vlookup($A122&amp;$B122,{'3) Release_Label'!$D:$D&amp;'3) Release_Label'!$E:$E,'3) Release_Label'!$F:$F},2,0),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
      </c>
      <c r="D122" s="121" t="str">
        <f t="array" ref="D122">ifs(and(isblank($A122),isblank($B122)),"", not(iserror(vlookup($A122&amp;$B122,'3) Release_Label'!$D:$D&amp;'3) Release_Label'!$E:$E,1,0))),vlookup($A122&amp;$B122,{'3) Release_Label'!$D:$D&amp;'3) Release_Label'!$E:$E,'3) Release_Label'!$H:$H},2,0),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
      </c>
      <c r="E122" s="147" t="str">
        <f t="shared" si="1"/>
        <v/>
      </c>
      <c r="G122" s="97"/>
      <c r="H122" s="155"/>
      <c r="J122" s="92"/>
      <c r="K122" s="98"/>
      <c r="L122" s="92"/>
      <c r="N122" s="92"/>
      <c r="O122" s="92"/>
      <c r="P122" s="92"/>
    </row>
    <row r="123">
      <c r="A123" s="90"/>
      <c r="B123" s="97"/>
      <c r="C123" s="121" t="str">
        <f t="array" ref="C123">ifs(and(isblank($A123),isblank($B123)),"", not(iserror(vlookup($A123&amp;$B123,'3) Release_Label'!$D:$D&amp;'3) Release_Label'!$E:$E,1,0))),vlookup($A123&amp;$B123,{'3) Release_Label'!$D:$D&amp;'3) Release_Label'!$E:$E,'3) Release_Label'!$F:$F},2,0),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
      </c>
      <c r="D123" s="121" t="str">
        <f t="array" ref="D123">ifs(and(isblank($A123),isblank($B123)),"", not(iserror(vlookup($A123&amp;$B123,'3) Release_Label'!$D:$D&amp;'3) Release_Label'!$E:$E,1,0))),vlookup($A123&amp;$B123,{'3) Release_Label'!$D:$D&amp;'3) Release_Label'!$E:$E,'3) Release_Label'!$H:$H},2,0),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
      </c>
      <c r="E123" s="147" t="str">
        <f t="shared" si="1"/>
        <v/>
      </c>
      <c r="G123" s="97"/>
      <c r="H123" s="155"/>
      <c r="J123" s="92"/>
      <c r="K123" s="98"/>
      <c r="L123" s="92"/>
      <c r="N123" s="92"/>
      <c r="O123" s="92"/>
      <c r="P123" s="92"/>
    </row>
    <row r="124">
      <c r="A124" s="90"/>
      <c r="B124" s="97"/>
      <c r="C124" s="121" t="str">
        <f t="array" ref="C124">ifs(and(isblank($A124),isblank($B124)),"", not(iserror(vlookup($A124&amp;$B124,'3) Release_Label'!$D:$D&amp;'3) Release_Label'!$E:$E,1,0))),vlookup($A124&amp;$B124,{'3) Release_Label'!$D:$D&amp;'3) Release_Label'!$E:$E,'3) Release_Label'!$F:$F},2,0),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
      </c>
      <c r="D124" s="121" t="str">
        <f t="array" ref="D124">ifs(and(isblank($A124),isblank($B124)),"", not(iserror(vlookup($A124&amp;$B124,'3) Release_Label'!$D:$D&amp;'3) Release_Label'!$E:$E,1,0))),vlookup($A124&amp;$B124,{'3) Release_Label'!$D:$D&amp;'3) Release_Label'!$E:$E,'3) Release_Label'!$H:$H},2,0),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
      </c>
      <c r="E124" s="147" t="str">
        <f t="shared" si="1"/>
        <v/>
      </c>
      <c r="G124" s="97"/>
      <c r="H124" s="155"/>
      <c r="J124" s="92"/>
      <c r="K124" s="98"/>
      <c r="L124" s="92"/>
      <c r="N124" s="92"/>
      <c r="O124" s="92"/>
      <c r="P124" s="92"/>
    </row>
    <row r="125">
      <c r="A125" s="90"/>
      <c r="B125" s="97"/>
      <c r="C125" s="121" t="str">
        <f t="array" ref="C125">ifs(and(isblank($A125),isblank($B125)),"", not(iserror(vlookup($A125&amp;$B125,'3) Release_Label'!$D:$D&amp;'3) Release_Label'!$E:$E,1,0))),vlookup($A125&amp;$B125,{'3) Release_Label'!$D:$D&amp;'3) Release_Label'!$E:$E,'3) Release_Label'!$F:$F},2,0),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
      </c>
      <c r="D125" s="121" t="str">
        <f t="array" ref="D125">ifs(and(isblank($A125),isblank($B125)),"", not(iserror(vlookup($A125&amp;$B125,'3) Release_Label'!$D:$D&amp;'3) Release_Label'!$E:$E,1,0))),vlookup($A125&amp;$B125,{'3) Release_Label'!$D:$D&amp;'3) Release_Label'!$E:$E,'3) Release_Label'!$H:$H},2,0),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
      </c>
      <c r="E125" s="147" t="str">
        <f t="shared" si="1"/>
        <v/>
      </c>
      <c r="G125" s="97"/>
      <c r="H125" s="155"/>
      <c r="J125" s="92"/>
      <c r="K125" s="98"/>
      <c r="L125" s="92"/>
      <c r="N125" s="92"/>
      <c r="O125" s="92"/>
      <c r="P125" s="92"/>
    </row>
    <row r="126">
      <c r="A126" s="90"/>
      <c r="B126" s="97"/>
      <c r="C126" s="121" t="str">
        <f t="array" ref="C126">ifs(and(isblank($A126),isblank($B126)),"", not(iserror(vlookup($A126&amp;$B126,'3) Release_Label'!$D:$D&amp;'3) Release_Label'!$E:$E,1,0))),vlookup($A126&amp;$B126,{'3) Release_Label'!$D:$D&amp;'3) Release_Label'!$E:$E,'3) Release_Label'!$F:$F},2,0),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
      </c>
      <c r="D126" s="121" t="str">
        <f t="array" ref="D126">ifs(and(isblank($A126),isblank($B126)),"", not(iserror(vlookup($A126&amp;$B126,'3) Release_Label'!$D:$D&amp;'3) Release_Label'!$E:$E,1,0))),vlookup($A126&amp;$B126,{'3) Release_Label'!$D:$D&amp;'3) Release_Label'!$E:$E,'3) Release_Label'!$H:$H},2,0),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
      </c>
      <c r="E126" s="147" t="str">
        <f t="shared" si="1"/>
        <v/>
      </c>
      <c r="G126" s="97"/>
      <c r="H126" s="155"/>
      <c r="J126" s="92"/>
      <c r="K126" s="98"/>
      <c r="L126" s="92"/>
      <c r="N126" s="92"/>
      <c r="O126" s="92"/>
      <c r="P126" s="92"/>
    </row>
    <row r="127">
      <c r="A127" s="90"/>
      <c r="B127" s="97"/>
      <c r="C127" s="121" t="str">
        <f t="array" ref="C127">ifs(and(isblank($A127),isblank($B127)),"", not(iserror(vlookup($A127&amp;$B127,'3) Release_Label'!$D:$D&amp;'3) Release_Label'!$E:$E,1,0))),vlookup($A127&amp;$B127,{'3) Release_Label'!$D:$D&amp;'3) Release_Label'!$E:$E,'3) Release_Label'!$F:$F},2,0),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
      </c>
      <c r="D127" s="121" t="str">
        <f t="array" ref="D127">ifs(and(isblank($A127),isblank($B127)),"", not(iserror(vlookup($A127&amp;$B127,'3) Release_Label'!$D:$D&amp;'3) Release_Label'!$E:$E,1,0))),vlookup($A127&amp;$B127,{'3) Release_Label'!$D:$D&amp;'3) Release_Label'!$E:$E,'3) Release_Label'!$H:$H},2,0),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
      </c>
      <c r="E127" s="147" t="str">
        <f t="shared" si="1"/>
        <v/>
      </c>
      <c r="G127" s="97"/>
      <c r="H127" s="155"/>
      <c r="J127" s="92"/>
      <c r="K127" s="98"/>
      <c r="L127" s="92"/>
      <c r="N127" s="92"/>
      <c r="O127" s="92"/>
      <c r="P127" s="92"/>
    </row>
    <row r="128">
      <c r="A128" s="90"/>
      <c r="B128" s="97"/>
      <c r="C128" s="121" t="str">
        <f t="array" ref="C128">ifs(and(isblank($A128),isblank($B128)),"", not(iserror(vlookup($A128&amp;$B128,'3) Release_Label'!$D:$D&amp;'3) Release_Label'!$E:$E,1,0))),vlookup($A128&amp;$B128,{'3) Release_Label'!$D:$D&amp;'3) Release_Label'!$E:$E,'3) Release_Label'!$F:$F},2,0),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
      </c>
      <c r="D128" s="121" t="str">
        <f t="array" ref="D128">ifs(and(isblank($A128),isblank($B128)),"", not(iserror(vlookup($A128&amp;$B128,'3) Release_Label'!$D:$D&amp;'3) Release_Label'!$E:$E,1,0))),vlookup($A128&amp;$B128,{'3) Release_Label'!$D:$D&amp;'3) Release_Label'!$E:$E,'3) Release_Label'!$H:$H},2,0),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
      </c>
      <c r="E128" s="147" t="str">
        <f t="shared" si="1"/>
        <v/>
      </c>
      <c r="G128" s="97"/>
      <c r="H128" s="155"/>
      <c r="J128" s="92"/>
      <c r="K128" s="98"/>
      <c r="L128" s="92"/>
      <c r="N128" s="92"/>
      <c r="O128" s="92"/>
      <c r="P128" s="92"/>
    </row>
    <row r="129">
      <c r="A129" s="90"/>
      <c r="B129" s="97"/>
      <c r="C129" s="121" t="str">
        <f t="array" ref="C129">ifs(and(isblank($A129),isblank($B129)),"", not(iserror(vlookup($A129&amp;$B129,'3) Release_Label'!$D:$D&amp;'3) Release_Label'!$E:$E,1,0))),vlookup($A129&amp;$B129,{'3) Release_Label'!$D:$D&amp;'3) Release_Label'!$E:$E,'3) Release_Label'!$F:$F},2,0),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
      </c>
      <c r="D129" s="121" t="str">
        <f t="array" ref="D129">ifs(and(isblank($A129),isblank($B129)),"", not(iserror(vlookup($A129&amp;$B129,'3) Release_Label'!$D:$D&amp;'3) Release_Label'!$E:$E,1,0))),vlookup($A129&amp;$B129,{'3) Release_Label'!$D:$D&amp;'3) Release_Label'!$E:$E,'3) Release_Label'!$H:$H},2,0),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
      </c>
      <c r="E129" s="147" t="str">
        <f t="shared" si="1"/>
        <v/>
      </c>
      <c r="G129" s="97"/>
      <c r="H129" s="155"/>
      <c r="J129" s="92"/>
      <c r="K129" s="98"/>
      <c r="L129" s="92"/>
      <c r="N129" s="92"/>
      <c r="O129" s="92"/>
      <c r="P129" s="92"/>
    </row>
    <row r="130">
      <c r="A130" s="90"/>
      <c r="B130" s="97"/>
      <c r="C130" s="121" t="str">
        <f t="array" ref="C130">ifs(and(isblank($A130),isblank($B130)),"", not(iserror(vlookup($A130&amp;$B130,'3) Release_Label'!$D:$D&amp;'3) Release_Label'!$E:$E,1,0))),vlookup($A130&amp;$B130,{'3) Release_Label'!$D:$D&amp;'3) Release_Label'!$E:$E,'3) Release_Label'!$F:$F},2,0), or(and(not(isblank($B130)),$B130=$B129,$A130&lt;&gt;$A129),and(not(isblank($A130)),$A130=$A129,$B130&lt;&gt;$B129)),"ID LISTS UNALIGNED",and($A130&lt;&gt;"",countif('3) Release_Label'!$D:$D,$A130)=0),"NO UPC MATCH in Release_Label",and($B130&lt;&gt;"",countif('3) Release_Label'!$E:$E,$B130)=0),"NO CATALOG ID MATCH in Release_Label",iserror(vlookup($A130&amp;$B130,'3) Release_Label'!$D:$D&amp;'3) Release_Label'!$E:$E,1,0)),"NO UPC-CATALOG ID pair MATCH in Release_Label" )</f>
        <v/>
      </c>
      <c r="D130" s="121" t="str">
        <f t="array" ref="D130">ifs(and(isblank($A130),isblank($B130)),"", not(iserror(vlookup($A130&amp;$B130,'3) Release_Label'!$D:$D&amp;'3) Release_Label'!$E:$E,1,0))),vlookup($A130&amp;$B130,{'3) Release_Label'!$D:$D&amp;'3) Release_Label'!$E:$E,'3) Release_Label'!$H:$H},2,0), or(and(not(isblank($B130)),$B130=$B129,$A130&lt;&gt;$A129),and(not(isblank($A130)),$A130=$A129,$B130&lt;&gt;$B129)),"ID LISTS UNALIGNED",and($A130&lt;&gt;"",countif('3) Release_Label'!$D:$D,$A130)=0),"NO UPC MATCH in Release_Label",and($B130&lt;&gt;"",countif('3) Release_Label'!$E:$E,$B130)=0),"NO CATALOG ID MATCH in Release_Label",iserror(vlookup($A130&amp;$B130,'3) Release_Label'!$D:$D&amp;'3) Release_Label'!$E:$E,1,0)),"NO UPC-CATALOG ID pair MATCH in Release_Label" )</f>
        <v/>
      </c>
      <c r="E130" s="147" t="str">
        <f t="shared" si="1"/>
        <v/>
      </c>
      <c r="G130" s="97"/>
      <c r="H130" s="155"/>
      <c r="J130" s="92"/>
      <c r="K130" s="98"/>
      <c r="L130" s="92"/>
      <c r="N130" s="92"/>
      <c r="O130" s="92"/>
      <c r="P130" s="92"/>
    </row>
    <row r="131">
      <c r="A131" s="90"/>
      <c r="B131" s="97"/>
      <c r="C131" s="121" t="str">
        <f t="array" ref="C131">ifs(and(isblank($A131),isblank($B131)),"", not(iserror(vlookup($A131&amp;$B131,'3) Release_Label'!$D:$D&amp;'3) Release_Label'!$E:$E,1,0))),vlookup($A131&amp;$B131,{'3) Release_Label'!$D:$D&amp;'3) Release_Label'!$E:$E,'3) Release_Label'!$F:$F},2,0),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
      </c>
      <c r="D131" s="121" t="str">
        <f t="array" ref="D131">ifs(and(isblank($A131),isblank($B131)),"", not(iserror(vlookup($A131&amp;$B131,'3) Release_Label'!$D:$D&amp;'3) Release_Label'!$E:$E,1,0))),vlookup($A131&amp;$B131,{'3) Release_Label'!$D:$D&amp;'3) Release_Label'!$E:$E,'3) Release_Label'!$H:$H},2,0),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
      </c>
      <c r="E131" s="147" t="str">
        <f t="shared" si="1"/>
        <v/>
      </c>
      <c r="G131" s="97"/>
      <c r="H131" s="155"/>
      <c r="J131" s="92"/>
      <c r="K131" s="98"/>
      <c r="L131" s="92"/>
      <c r="N131" s="92"/>
      <c r="O131" s="92"/>
      <c r="P131" s="92"/>
    </row>
    <row r="132">
      <c r="A132" s="90"/>
      <c r="B132" s="97"/>
      <c r="C132" s="121" t="str">
        <f t="array" ref="C132">ifs(and(isblank($A132),isblank($B132)),"", not(iserror(vlookup($A132&amp;$B132,'3) Release_Label'!$D:$D&amp;'3) Release_Label'!$E:$E,1,0))),vlookup($A132&amp;$B132,{'3) Release_Label'!$D:$D&amp;'3) Release_Label'!$E:$E,'3) Release_Label'!$F:$F},2,0),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
      </c>
      <c r="D132" s="121" t="str">
        <f t="array" ref="D132">ifs(and(isblank($A132),isblank($B132)),"", not(iserror(vlookup($A132&amp;$B132,'3) Release_Label'!$D:$D&amp;'3) Release_Label'!$E:$E,1,0))),vlookup($A132&amp;$B132,{'3) Release_Label'!$D:$D&amp;'3) Release_Label'!$E:$E,'3) Release_Label'!$H:$H},2,0),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
      </c>
      <c r="E132" s="147" t="str">
        <f t="shared" si="1"/>
        <v/>
      </c>
      <c r="G132" s="97"/>
      <c r="H132" s="155"/>
      <c r="J132" s="92"/>
      <c r="K132" s="98"/>
      <c r="L132" s="92"/>
      <c r="N132" s="92"/>
      <c r="O132" s="92"/>
      <c r="P132" s="92"/>
    </row>
    <row r="133">
      <c r="A133" s="90"/>
      <c r="B133" s="97"/>
      <c r="C133" s="121" t="str">
        <f t="array" ref="C133">ifs(and(isblank($A133),isblank($B133)),"", not(iserror(vlookup($A133&amp;$B133,'3) Release_Label'!$D:$D&amp;'3) Release_Label'!$E:$E,1,0))),vlookup($A133&amp;$B133,{'3) Release_Label'!$D:$D&amp;'3) Release_Label'!$E:$E,'3) Release_Label'!$F:$F},2,0),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
      </c>
      <c r="D133" s="121" t="str">
        <f t="array" ref="D133">ifs(and(isblank($A133),isblank($B133)),"", not(iserror(vlookup($A133&amp;$B133,'3) Release_Label'!$D:$D&amp;'3) Release_Label'!$E:$E,1,0))),vlookup($A133&amp;$B133,{'3) Release_Label'!$D:$D&amp;'3) Release_Label'!$E:$E,'3) Release_Label'!$H:$H},2,0),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
      </c>
      <c r="E133" s="147" t="str">
        <f t="shared" si="1"/>
        <v/>
      </c>
      <c r="G133" s="97"/>
      <c r="H133" s="155"/>
      <c r="J133" s="92"/>
      <c r="K133" s="98"/>
      <c r="L133" s="92"/>
      <c r="N133" s="92"/>
      <c r="O133" s="92"/>
      <c r="P133" s="92"/>
    </row>
    <row r="134">
      <c r="A134" s="90"/>
      <c r="B134" s="97"/>
      <c r="C134" s="121" t="str">
        <f t="array" ref="C134">ifs(and(isblank($A134),isblank($B134)),"", not(iserror(vlookup($A134&amp;$B134,'3) Release_Label'!$D:$D&amp;'3) Release_Label'!$E:$E,1,0))),vlookup($A134&amp;$B134,{'3) Release_Label'!$D:$D&amp;'3) Release_Label'!$E:$E,'3) Release_Label'!$F:$F},2,0),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
      </c>
      <c r="D134" s="121" t="str">
        <f t="array" ref="D134">ifs(and(isblank($A134),isblank($B134)),"", not(iserror(vlookup($A134&amp;$B134,'3) Release_Label'!$D:$D&amp;'3) Release_Label'!$E:$E,1,0))),vlookup($A134&amp;$B134,{'3) Release_Label'!$D:$D&amp;'3) Release_Label'!$E:$E,'3) Release_Label'!$H:$H},2,0),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
      </c>
      <c r="E134" s="147" t="str">
        <f t="shared" si="1"/>
        <v/>
      </c>
      <c r="G134" s="97"/>
      <c r="H134" s="155"/>
      <c r="J134" s="92"/>
      <c r="K134" s="98"/>
      <c r="L134" s="92"/>
      <c r="N134" s="92"/>
      <c r="O134" s="92"/>
      <c r="P134" s="92"/>
    </row>
    <row r="135">
      <c r="A135" s="90"/>
      <c r="B135" s="97"/>
      <c r="C135" s="121" t="str">
        <f t="array" ref="C135">ifs(and(isblank($A135),isblank($B135)),"", not(iserror(vlookup($A135&amp;$B135,'3) Release_Label'!$D:$D&amp;'3) Release_Label'!$E:$E,1,0))),vlookup($A135&amp;$B135,{'3) Release_Label'!$D:$D&amp;'3) Release_Label'!$E:$E,'3) Release_Label'!$F:$F},2,0),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
      </c>
      <c r="D135" s="121" t="str">
        <f t="array" ref="D135">ifs(and(isblank($A135),isblank($B135)),"", not(iserror(vlookup($A135&amp;$B135,'3) Release_Label'!$D:$D&amp;'3) Release_Label'!$E:$E,1,0))),vlookup($A135&amp;$B135,{'3) Release_Label'!$D:$D&amp;'3) Release_Label'!$E:$E,'3) Release_Label'!$H:$H},2,0),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
      </c>
      <c r="E135" s="147" t="str">
        <f t="shared" si="1"/>
        <v/>
      </c>
      <c r="G135" s="97"/>
      <c r="H135" s="155"/>
      <c r="J135" s="92"/>
      <c r="K135" s="98"/>
      <c r="L135" s="92"/>
      <c r="N135" s="92"/>
      <c r="O135" s="92"/>
      <c r="P135" s="92"/>
    </row>
    <row r="136">
      <c r="A136" s="90"/>
      <c r="B136" s="97"/>
      <c r="C136" s="121" t="str">
        <f t="array" ref="C136">ifs(and(isblank($A136),isblank($B136)),"", not(iserror(vlookup($A136&amp;$B136,'3) Release_Label'!$D:$D&amp;'3) Release_Label'!$E:$E,1,0))),vlookup($A136&amp;$B136,{'3) Release_Label'!$D:$D&amp;'3) Release_Label'!$E:$E,'3) Release_Label'!$F:$F},2,0),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
      </c>
      <c r="D136" s="121" t="str">
        <f t="array" ref="D136">ifs(and(isblank($A136),isblank($B136)),"", not(iserror(vlookup($A136&amp;$B136,'3) Release_Label'!$D:$D&amp;'3) Release_Label'!$E:$E,1,0))),vlookup($A136&amp;$B136,{'3) Release_Label'!$D:$D&amp;'3) Release_Label'!$E:$E,'3) Release_Label'!$H:$H},2,0),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
      </c>
      <c r="E136" s="147" t="str">
        <f t="shared" si="1"/>
        <v/>
      </c>
      <c r="G136" s="97"/>
      <c r="H136" s="155"/>
      <c r="J136" s="92"/>
      <c r="K136" s="98"/>
      <c r="L136" s="92"/>
      <c r="N136" s="92"/>
      <c r="O136" s="92"/>
      <c r="P136" s="92"/>
    </row>
    <row r="137">
      <c r="A137" s="90"/>
      <c r="B137" s="97"/>
      <c r="C137" s="121" t="str">
        <f t="array" ref="C137">ifs(and(isblank($A137),isblank($B137)),"", not(iserror(vlookup($A137&amp;$B137,'3) Release_Label'!$D:$D&amp;'3) Release_Label'!$E:$E,1,0))),vlookup($A137&amp;$B137,{'3) Release_Label'!$D:$D&amp;'3) Release_Label'!$E:$E,'3) Release_Label'!$F:$F},2,0),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
      </c>
      <c r="D137" s="121" t="str">
        <f t="array" ref="D137">ifs(and(isblank($A137),isblank($B137)),"", not(iserror(vlookup($A137&amp;$B137,'3) Release_Label'!$D:$D&amp;'3) Release_Label'!$E:$E,1,0))),vlookup($A137&amp;$B137,{'3) Release_Label'!$D:$D&amp;'3) Release_Label'!$E:$E,'3) Release_Label'!$H:$H},2,0),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
      </c>
      <c r="E137" s="147" t="str">
        <f t="shared" si="1"/>
        <v/>
      </c>
      <c r="G137" s="97"/>
      <c r="H137" s="155"/>
      <c r="J137" s="92"/>
      <c r="K137" s="98"/>
      <c r="L137" s="92"/>
      <c r="N137" s="92"/>
      <c r="O137" s="92"/>
      <c r="P137" s="92"/>
    </row>
    <row r="138">
      <c r="A138" s="90"/>
      <c r="B138" s="97"/>
      <c r="C138" s="121" t="str">
        <f t="array" ref="C138">ifs(and(isblank($A138),isblank($B138)),"", not(iserror(vlookup($A138&amp;$B138,'3) Release_Label'!$D:$D&amp;'3) Release_Label'!$E:$E,1,0))),vlookup($A138&amp;$B138,{'3) Release_Label'!$D:$D&amp;'3) Release_Label'!$E:$E,'3) Release_Label'!$F:$F},2,0),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
      </c>
      <c r="D138" s="121" t="str">
        <f t="array" ref="D138">ifs(and(isblank($A138),isblank($B138)),"", not(iserror(vlookup($A138&amp;$B138,'3) Release_Label'!$D:$D&amp;'3) Release_Label'!$E:$E,1,0))),vlookup($A138&amp;$B138,{'3) Release_Label'!$D:$D&amp;'3) Release_Label'!$E:$E,'3) Release_Label'!$H:$H},2,0),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
      </c>
      <c r="E138" s="147" t="str">
        <f t="shared" si="1"/>
        <v/>
      </c>
      <c r="G138" s="97"/>
      <c r="H138" s="155"/>
      <c r="J138" s="92"/>
      <c r="K138" s="98"/>
      <c r="L138" s="92"/>
      <c r="N138" s="92"/>
      <c r="O138" s="92"/>
      <c r="P138" s="92"/>
    </row>
    <row r="139">
      <c r="A139" s="90"/>
      <c r="B139" s="97"/>
      <c r="C139" s="121" t="str">
        <f t="array" ref="C139">ifs(and(isblank($A139),isblank($B139)),"", not(iserror(vlookup($A139&amp;$B139,'3) Release_Label'!$D:$D&amp;'3) Release_Label'!$E:$E,1,0))),vlookup($A139&amp;$B139,{'3) Release_Label'!$D:$D&amp;'3) Release_Label'!$E:$E,'3) Release_Label'!$F:$F},2,0),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
      </c>
      <c r="D139" s="121" t="str">
        <f t="array" ref="D139">ifs(and(isblank($A139),isblank($B139)),"", not(iserror(vlookup($A139&amp;$B139,'3) Release_Label'!$D:$D&amp;'3) Release_Label'!$E:$E,1,0))),vlookup($A139&amp;$B139,{'3) Release_Label'!$D:$D&amp;'3) Release_Label'!$E:$E,'3) Release_Label'!$H:$H},2,0),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
      </c>
      <c r="E139" s="147" t="str">
        <f t="shared" si="1"/>
        <v/>
      </c>
      <c r="G139" s="97"/>
      <c r="H139" s="155"/>
      <c r="J139" s="92"/>
      <c r="K139" s="98"/>
      <c r="L139" s="92"/>
      <c r="N139" s="92"/>
      <c r="O139" s="92"/>
      <c r="P139" s="92"/>
    </row>
    <row r="140">
      <c r="A140" s="90"/>
      <c r="B140" s="97"/>
      <c r="C140" s="121" t="str">
        <f t="array" ref="C140">ifs(and(isblank($A140),isblank($B140)),"", not(iserror(vlookup($A140&amp;$B140,'3) Release_Label'!$D:$D&amp;'3) Release_Label'!$E:$E,1,0))),vlookup($A140&amp;$B140,{'3) Release_Label'!$D:$D&amp;'3) Release_Label'!$E:$E,'3) Release_Label'!$F:$F},2,0),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
      </c>
      <c r="D140" s="121" t="str">
        <f t="array" ref="D140">ifs(and(isblank($A140),isblank($B140)),"", not(iserror(vlookup($A140&amp;$B140,'3) Release_Label'!$D:$D&amp;'3) Release_Label'!$E:$E,1,0))),vlookup($A140&amp;$B140,{'3) Release_Label'!$D:$D&amp;'3) Release_Label'!$E:$E,'3) Release_Label'!$H:$H},2,0),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
      </c>
      <c r="E140" s="147" t="str">
        <f t="shared" si="1"/>
        <v/>
      </c>
      <c r="G140" s="97"/>
      <c r="H140" s="155"/>
      <c r="J140" s="92"/>
      <c r="K140" s="98"/>
      <c r="L140" s="92"/>
      <c r="N140" s="92"/>
      <c r="O140" s="92"/>
      <c r="P140" s="92"/>
    </row>
    <row r="141">
      <c r="A141" s="90"/>
      <c r="B141" s="97"/>
      <c r="C141" s="121" t="str">
        <f t="array" ref="C141">ifs(and(isblank($A141),isblank($B141)),"", not(iserror(vlookup($A141&amp;$B141,'3) Release_Label'!$D:$D&amp;'3) Release_Label'!$E:$E,1,0))),vlookup($A141&amp;$B141,{'3) Release_Label'!$D:$D&amp;'3) Release_Label'!$E:$E,'3) Release_Label'!$F:$F},2,0),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
      </c>
      <c r="D141" s="121" t="str">
        <f t="array" ref="D141">ifs(and(isblank($A141),isblank($B141)),"", not(iserror(vlookup($A141&amp;$B141,'3) Release_Label'!$D:$D&amp;'3) Release_Label'!$E:$E,1,0))),vlookup($A141&amp;$B141,{'3) Release_Label'!$D:$D&amp;'3) Release_Label'!$E:$E,'3) Release_Label'!$H:$H},2,0),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
      </c>
      <c r="E141" s="147" t="str">
        <f t="shared" si="1"/>
        <v/>
      </c>
      <c r="G141" s="97"/>
      <c r="H141" s="155"/>
      <c r="J141" s="92"/>
      <c r="K141" s="98"/>
      <c r="L141" s="92"/>
      <c r="N141" s="92"/>
      <c r="O141" s="92"/>
      <c r="P141" s="92"/>
    </row>
    <row r="142">
      <c r="A142" s="90"/>
      <c r="B142" s="97"/>
      <c r="C142" s="121" t="str">
        <f t="array" ref="C142">ifs(and(isblank($A142),isblank($B142)),"", not(iserror(vlookup($A142&amp;$B142,'3) Release_Label'!$D:$D&amp;'3) Release_Label'!$E:$E,1,0))),vlookup($A142&amp;$B142,{'3) Release_Label'!$D:$D&amp;'3) Release_Label'!$E:$E,'3) Release_Label'!$F:$F},2,0),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
      </c>
      <c r="D142" s="121" t="str">
        <f t="array" ref="D142">ifs(and(isblank($A142),isblank($B142)),"", not(iserror(vlookup($A142&amp;$B142,'3) Release_Label'!$D:$D&amp;'3) Release_Label'!$E:$E,1,0))),vlookup($A142&amp;$B142,{'3) Release_Label'!$D:$D&amp;'3) Release_Label'!$E:$E,'3) Release_Label'!$H:$H},2,0),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
      </c>
      <c r="E142" s="147" t="str">
        <f t="shared" si="1"/>
        <v/>
      </c>
      <c r="G142" s="97"/>
      <c r="H142" s="155"/>
      <c r="J142" s="92"/>
      <c r="K142" s="98"/>
      <c r="L142" s="92"/>
      <c r="N142" s="92"/>
      <c r="O142" s="92"/>
      <c r="P142" s="92"/>
    </row>
    <row r="143">
      <c r="A143" s="90"/>
      <c r="B143" s="97"/>
      <c r="C143" s="121" t="str">
        <f t="array" ref="C143">ifs(and(isblank($A143),isblank($B143)),"", not(iserror(vlookup($A143&amp;$B143,'3) Release_Label'!$D:$D&amp;'3) Release_Label'!$E:$E,1,0))),vlookup($A143&amp;$B143,{'3) Release_Label'!$D:$D&amp;'3) Release_Label'!$E:$E,'3) Release_Label'!$F:$F},2,0),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
      </c>
      <c r="D143" s="121" t="str">
        <f t="array" ref="D143">ifs(and(isblank($A143),isblank($B143)),"", not(iserror(vlookup($A143&amp;$B143,'3) Release_Label'!$D:$D&amp;'3) Release_Label'!$E:$E,1,0))),vlookup($A143&amp;$B143,{'3) Release_Label'!$D:$D&amp;'3) Release_Label'!$E:$E,'3) Release_Label'!$H:$H},2,0),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
      </c>
      <c r="E143" s="147" t="str">
        <f t="shared" si="1"/>
        <v/>
      </c>
      <c r="G143" s="97"/>
      <c r="H143" s="155"/>
      <c r="J143" s="92"/>
      <c r="K143" s="98"/>
      <c r="L143" s="92"/>
      <c r="N143" s="92"/>
      <c r="O143" s="92"/>
      <c r="P143" s="92"/>
    </row>
    <row r="144">
      <c r="A144" s="90"/>
      <c r="B144" s="97"/>
      <c r="C144" s="121" t="str">
        <f t="array" ref="C144">ifs(and(isblank($A144),isblank($B144)),"", not(iserror(vlookup($A144&amp;$B144,'3) Release_Label'!$D:$D&amp;'3) Release_Label'!$E:$E,1,0))),vlookup($A144&amp;$B144,{'3) Release_Label'!$D:$D&amp;'3) Release_Label'!$E:$E,'3) Release_Label'!$F:$F},2,0),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
      </c>
      <c r="D144" s="121" t="str">
        <f t="array" ref="D144">ifs(and(isblank($A144),isblank($B144)),"", not(iserror(vlookup($A144&amp;$B144,'3) Release_Label'!$D:$D&amp;'3) Release_Label'!$E:$E,1,0))),vlookup($A144&amp;$B144,{'3) Release_Label'!$D:$D&amp;'3) Release_Label'!$E:$E,'3) Release_Label'!$H:$H},2,0),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
      </c>
      <c r="E144" s="147" t="str">
        <f t="shared" si="1"/>
        <v/>
      </c>
      <c r="G144" s="97"/>
      <c r="H144" s="155"/>
      <c r="J144" s="92"/>
      <c r="K144" s="98"/>
      <c r="L144" s="92"/>
      <c r="N144" s="92"/>
      <c r="O144" s="92"/>
      <c r="P144" s="92"/>
    </row>
    <row r="145">
      <c r="A145" s="90"/>
      <c r="B145" s="97"/>
      <c r="C145" s="121" t="str">
        <f t="array" ref="C145">ifs(and(isblank($A145),isblank($B145)),"", not(iserror(vlookup($A145&amp;$B145,'3) Release_Label'!$D:$D&amp;'3) Release_Label'!$E:$E,1,0))),vlookup($A145&amp;$B145,{'3) Release_Label'!$D:$D&amp;'3) Release_Label'!$E:$E,'3) Release_Label'!$F:$F},2,0),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
      </c>
      <c r="D145" s="121" t="str">
        <f t="array" ref="D145">ifs(and(isblank($A145),isblank($B145)),"", not(iserror(vlookup($A145&amp;$B145,'3) Release_Label'!$D:$D&amp;'3) Release_Label'!$E:$E,1,0))),vlookup($A145&amp;$B145,{'3) Release_Label'!$D:$D&amp;'3) Release_Label'!$E:$E,'3) Release_Label'!$H:$H},2,0),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
      </c>
      <c r="E145" s="147" t="str">
        <f t="shared" si="1"/>
        <v/>
      </c>
      <c r="G145" s="97"/>
      <c r="H145" s="155"/>
      <c r="J145" s="92"/>
      <c r="K145" s="98"/>
      <c r="L145" s="92"/>
      <c r="N145" s="92"/>
      <c r="O145" s="92"/>
      <c r="P145" s="92"/>
    </row>
    <row r="146">
      <c r="A146" s="90"/>
      <c r="B146" s="97"/>
      <c r="C146" s="121" t="str">
        <f t="array" ref="C146">ifs(and(isblank($A146),isblank($B146)),"", not(iserror(vlookup($A146&amp;$B146,'3) Release_Label'!$D:$D&amp;'3) Release_Label'!$E:$E,1,0))),vlookup($A146&amp;$B146,{'3) Release_Label'!$D:$D&amp;'3) Release_Label'!$E:$E,'3) Release_Label'!$F:$F},2,0), or(and(not(isblank($B146)),$B146=$B145,$A146&lt;&gt;$A145),and(not(isblank($A146)),$A146=$A145,$B146&lt;&gt;$B145)),"ID LISTS UNALIGNED",and($A146&lt;&gt;"",countif('3) Release_Label'!$D:$D,$A146)=0),"NO UPC MATCH in Release_Label",and($B146&lt;&gt;"",countif('3) Release_Label'!$E:$E,$B146)=0),"NO CATALOG ID MATCH in Release_Label",iserror(vlookup($A146&amp;$B146,'3) Release_Label'!$D:$D&amp;'3) Release_Label'!$E:$E,1,0)),"NO UPC-CATALOG ID pair MATCH in Release_Label" )</f>
        <v/>
      </c>
      <c r="D146" s="121" t="str">
        <f t="array" ref="D146">ifs(and(isblank($A146),isblank($B146)),"", not(iserror(vlookup($A146&amp;$B146,'3) Release_Label'!$D:$D&amp;'3) Release_Label'!$E:$E,1,0))),vlookup($A146&amp;$B146,{'3) Release_Label'!$D:$D&amp;'3) Release_Label'!$E:$E,'3) Release_Label'!$H:$H},2,0), or(and(not(isblank($B146)),$B146=$B145,$A146&lt;&gt;$A145),and(not(isblank($A146)),$A146=$A145,$B146&lt;&gt;$B145)),"ID LISTS UNALIGNED",and($A146&lt;&gt;"",countif('3) Release_Label'!$D:$D,$A146)=0),"NO UPC MATCH in Release_Label",and($B146&lt;&gt;"",countif('3) Release_Label'!$E:$E,$B146)=0),"NO CATALOG ID MATCH in Release_Label",iserror(vlookup($A146&amp;$B146,'3) Release_Label'!$D:$D&amp;'3) Release_Label'!$E:$E,1,0)),"NO UPC-CATALOG ID pair MATCH in Release_Label" )</f>
        <v/>
      </c>
      <c r="E146" s="147" t="str">
        <f t="shared" si="1"/>
        <v/>
      </c>
      <c r="G146" s="97"/>
      <c r="H146" s="155"/>
      <c r="J146" s="92"/>
      <c r="K146" s="98"/>
      <c r="L146" s="92"/>
      <c r="N146" s="92"/>
      <c r="O146" s="92"/>
      <c r="P146" s="92"/>
    </row>
    <row r="147">
      <c r="A147" s="90"/>
      <c r="B147" s="97"/>
      <c r="C147" s="121" t="str">
        <f t="array" ref="C147">ifs(and(isblank($A147),isblank($B147)),"", not(iserror(vlookup($A147&amp;$B147,'3) Release_Label'!$D:$D&amp;'3) Release_Label'!$E:$E,1,0))),vlookup($A147&amp;$B147,{'3) Release_Label'!$D:$D&amp;'3) Release_Label'!$E:$E,'3) Release_Label'!$F:$F},2,0),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
      </c>
      <c r="D147" s="121" t="str">
        <f t="array" ref="D147">ifs(and(isblank($A147),isblank($B147)),"", not(iserror(vlookup($A147&amp;$B147,'3) Release_Label'!$D:$D&amp;'3) Release_Label'!$E:$E,1,0))),vlookup($A147&amp;$B147,{'3) Release_Label'!$D:$D&amp;'3) Release_Label'!$E:$E,'3) Release_Label'!$H:$H},2,0),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
      </c>
      <c r="E147" s="147" t="str">
        <f t="shared" si="1"/>
        <v/>
      </c>
      <c r="G147" s="97"/>
      <c r="H147" s="155"/>
      <c r="J147" s="92"/>
      <c r="K147" s="98"/>
      <c r="L147" s="92"/>
      <c r="N147" s="92"/>
      <c r="O147" s="92"/>
      <c r="P147" s="92"/>
    </row>
    <row r="148">
      <c r="A148" s="90"/>
      <c r="B148" s="97"/>
      <c r="C148" s="121" t="str">
        <f t="array" ref="C148">ifs(and(isblank($A148),isblank($B148)),"", not(iserror(vlookup($A148&amp;$B148,'3) Release_Label'!$D:$D&amp;'3) Release_Label'!$E:$E,1,0))),vlookup($A148&amp;$B148,{'3) Release_Label'!$D:$D&amp;'3) Release_Label'!$E:$E,'3) Release_Label'!$F:$F},2,0),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
      </c>
      <c r="D148" s="121" t="str">
        <f t="array" ref="D148">ifs(and(isblank($A148),isblank($B148)),"", not(iserror(vlookup($A148&amp;$B148,'3) Release_Label'!$D:$D&amp;'3) Release_Label'!$E:$E,1,0))),vlookup($A148&amp;$B148,{'3) Release_Label'!$D:$D&amp;'3) Release_Label'!$E:$E,'3) Release_Label'!$H:$H},2,0),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
      </c>
      <c r="E148" s="147" t="str">
        <f t="shared" si="1"/>
        <v/>
      </c>
      <c r="G148" s="97"/>
      <c r="H148" s="155"/>
      <c r="J148" s="92"/>
      <c r="K148" s="98"/>
      <c r="L148" s="92"/>
      <c r="N148" s="92"/>
      <c r="O148" s="92"/>
      <c r="P148" s="92"/>
    </row>
    <row r="149">
      <c r="A149" s="90"/>
      <c r="B149" s="97"/>
      <c r="C149" s="121" t="str">
        <f t="array" ref="C149">ifs(and(isblank($A149),isblank($B149)),"", not(iserror(vlookup($A149&amp;$B149,'3) Release_Label'!$D:$D&amp;'3) Release_Label'!$E:$E,1,0))),vlookup($A149&amp;$B149,{'3) Release_Label'!$D:$D&amp;'3) Release_Label'!$E:$E,'3) Release_Label'!$F:$F},2,0),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
      </c>
      <c r="D149" s="121" t="str">
        <f t="array" ref="D149">ifs(and(isblank($A149),isblank($B149)),"", not(iserror(vlookup($A149&amp;$B149,'3) Release_Label'!$D:$D&amp;'3) Release_Label'!$E:$E,1,0))),vlookup($A149&amp;$B149,{'3) Release_Label'!$D:$D&amp;'3) Release_Label'!$E:$E,'3) Release_Label'!$H:$H},2,0),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
      </c>
      <c r="E149" s="147" t="str">
        <f t="shared" si="1"/>
        <v/>
      </c>
      <c r="G149" s="97"/>
      <c r="H149" s="155"/>
      <c r="J149" s="92"/>
      <c r="K149" s="98"/>
      <c r="L149" s="92"/>
      <c r="N149" s="92"/>
      <c r="O149" s="92"/>
      <c r="P149" s="92"/>
    </row>
    <row r="150">
      <c r="A150" s="90"/>
      <c r="B150" s="97"/>
      <c r="C150" s="121" t="str">
        <f t="array" ref="C150">ifs(and(isblank($A150),isblank($B150)),"", not(iserror(vlookup($A150&amp;$B150,'3) Release_Label'!$D:$D&amp;'3) Release_Label'!$E:$E,1,0))),vlookup($A150&amp;$B150,{'3) Release_Label'!$D:$D&amp;'3) Release_Label'!$E:$E,'3) Release_Label'!$F:$F},2,0),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
      </c>
      <c r="D150" s="121" t="str">
        <f t="array" ref="D150">ifs(and(isblank($A150),isblank($B150)),"", not(iserror(vlookup($A150&amp;$B150,'3) Release_Label'!$D:$D&amp;'3) Release_Label'!$E:$E,1,0))),vlookup($A150&amp;$B150,{'3) Release_Label'!$D:$D&amp;'3) Release_Label'!$E:$E,'3) Release_Label'!$H:$H},2,0),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
      </c>
      <c r="E150" s="147" t="str">
        <f t="shared" si="1"/>
        <v/>
      </c>
      <c r="G150" s="97"/>
      <c r="H150" s="155"/>
      <c r="J150" s="92"/>
      <c r="K150" s="98"/>
      <c r="L150" s="92"/>
      <c r="N150" s="92"/>
      <c r="O150" s="92"/>
      <c r="P150" s="92"/>
    </row>
    <row r="151">
      <c r="A151" s="90"/>
      <c r="B151" s="97"/>
      <c r="C151" s="121" t="str">
        <f t="array" ref="C151">ifs(and(isblank($A151),isblank($B151)),"", not(iserror(vlookup($A151&amp;$B151,'3) Release_Label'!$D:$D&amp;'3) Release_Label'!$E:$E,1,0))),vlookup($A151&amp;$B151,{'3) Release_Label'!$D:$D&amp;'3) Release_Label'!$E:$E,'3) Release_Label'!$F:$F},2,0),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
      </c>
      <c r="D151" s="121" t="str">
        <f t="array" ref="D151">ifs(and(isblank($A151),isblank($B151)),"", not(iserror(vlookup($A151&amp;$B151,'3) Release_Label'!$D:$D&amp;'3) Release_Label'!$E:$E,1,0))),vlookup($A151&amp;$B151,{'3) Release_Label'!$D:$D&amp;'3) Release_Label'!$E:$E,'3) Release_Label'!$H:$H},2,0),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
      </c>
      <c r="E151" s="147" t="str">
        <f t="shared" si="1"/>
        <v/>
      </c>
      <c r="G151" s="97"/>
      <c r="H151" s="155"/>
      <c r="J151" s="92"/>
      <c r="K151" s="98"/>
      <c r="L151" s="92"/>
      <c r="N151" s="92"/>
      <c r="O151" s="92"/>
      <c r="P151" s="92"/>
    </row>
    <row r="152">
      <c r="A152" s="90"/>
      <c r="B152" s="97"/>
      <c r="C152" s="121" t="str">
        <f t="array" ref="C152">ifs(and(isblank($A152),isblank($B152)),"", not(iserror(vlookup($A152&amp;$B152,'3) Release_Label'!$D:$D&amp;'3) Release_Label'!$E:$E,1,0))),vlookup($A152&amp;$B152,{'3) Release_Label'!$D:$D&amp;'3) Release_Label'!$E:$E,'3) Release_Label'!$F:$F},2,0),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
      </c>
      <c r="D152" s="121" t="str">
        <f t="array" ref="D152">ifs(and(isblank($A152),isblank($B152)),"", not(iserror(vlookup($A152&amp;$B152,'3) Release_Label'!$D:$D&amp;'3) Release_Label'!$E:$E,1,0))),vlookup($A152&amp;$B152,{'3) Release_Label'!$D:$D&amp;'3) Release_Label'!$E:$E,'3) Release_Label'!$H:$H},2,0),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
      </c>
      <c r="E152" s="147" t="str">
        <f t="shared" si="1"/>
        <v/>
      </c>
      <c r="G152" s="97"/>
      <c r="H152" s="155"/>
      <c r="J152" s="92"/>
      <c r="K152" s="98"/>
      <c r="L152" s="92"/>
      <c r="N152" s="92"/>
      <c r="O152" s="92"/>
      <c r="P152" s="92"/>
    </row>
    <row r="153">
      <c r="A153" s="90"/>
      <c r="B153" s="97"/>
      <c r="C153" s="121" t="str">
        <f t="array" ref="C153">ifs(and(isblank($A153),isblank($B153)),"", not(iserror(vlookup($A153&amp;$B153,'3) Release_Label'!$D:$D&amp;'3) Release_Label'!$E:$E,1,0))),vlookup($A153&amp;$B153,{'3) Release_Label'!$D:$D&amp;'3) Release_Label'!$E:$E,'3) Release_Label'!$F:$F},2,0),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
      </c>
      <c r="D153" s="121" t="str">
        <f t="array" ref="D153">ifs(and(isblank($A153),isblank($B153)),"", not(iserror(vlookup($A153&amp;$B153,'3) Release_Label'!$D:$D&amp;'3) Release_Label'!$E:$E,1,0))),vlookup($A153&amp;$B153,{'3) Release_Label'!$D:$D&amp;'3) Release_Label'!$E:$E,'3) Release_Label'!$H:$H},2,0),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
      </c>
      <c r="E153" s="147" t="str">
        <f t="shared" si="1"/>
        <v/>
      </c>
      <c r="G153" s="97"/>
      <c r="H153" s="155"/>
      <c r="J153" s="92"/>
      <c r="K153" s="98"/>
      <c r="L153" s="92"/>
      <c r="N153" s="92"/>
      <c r="O153" s="92"/>
      <c r="P153" s="92"/>
    </row>
    <row r="154">
      <c r="A154" s="90"/>
      <c r="B154" s="97"/>
      <c r="C154" s="121" t="str">
        <f t="array" ref="C154">ifs(and(isblank($A154),isblank($B154)),"", not(iserror(vlookup($A154&amp;$B154,'3) Release_Label'!$D:$D&amp;'3) Release_Label'!$E:$E,1,0))),vlookup($A154&amp;$B154,{'3) Release_Label'!$D:$D&amp;'3) Release_Label'!$E:$E,'3) Release_Label'!$F:$F},2,0),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
      </c>
      <c r="D154" s="121" t="str">
        <f t="array" ref="D154">ifs(and(isblank($A154),isblank($B154)),"", not(iserror(vlookup($A154&amp;$B154,'3) Release_Label'!$D:$D&amp;'3) Release_Label'!$E:$E,1,0))),vlookup($A154&amp;$B154,{'3) Release_Label'!$D:$D&amp;'3) Release_Label'!$E:$E,'3) Release_Label'!$H:$H},2,0),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
      </c>
      <c r="E154" s="147" t="str">
        <f t="shared" si="1"/>
        <v/>
      </c>
      <c r="G154" s="97"/>
      <c r="H154" s="155"/>
      <c r="J154" s="92"/>
      <c r="K154" s="98"/>
      <c r="L154" s="92"/>
      <c r="N154" s="92"/>
      <c r="O154" s="92"/>
      <c r="P154" s="92"/>
    </row>
    <row r="155">
      <c r="A155" s="90"/>
      <c r="B155" s="97"/>
      <c r="C155" s="121" t="str">
        <f t="array" ref="C155">ifs(and(isblank($A155),isblank($B155)),"", not(iserror(vlookup($A155&amp;$B155,'3) Release_Label'!$D:$D&amp;'3) Release_Label'!$E:$E,1,0))),vlookup($A155&amp;$B155,{'3) Release_Label'!$D:$D&amp;'3) Release_Label'!$E:$E,'3) Release_Label'!$F:$F},2,0),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
      </c>
      <c r="D155" s="121" t="str">
        <f t="array" ref="D155">ifs(and(isblank($A155),isblank($B155)),"", not(iserror(vlookup($A155&amp;$B155,'3) Release_Label'!$D:$D&amp;'3) Release_Label'!$E:$E,1,0))),vlookup($A155&amp;$B155,{'3) Release_Label'!$D:$D&amp;'3) Release_Label'!$E:$E,'3) Release_Label'!$H:$H},2,0),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
      </c>
      <c r="E155" s="147" t="str">
        <f t="shared" si="1"/>
        <v/>
      </c>
      <c r="G155" s="97"/>
      <c r="H155" s="155"/>
      <c r="J155" s="92"/>
      <c r="K155" s="98"/>
      <c r="L155" s="92"/>
      <c r="N155" s="92"/>
      <c r="O155" s="92"/>
      <c r="P155" s="92"/>
    </row>
    <row r="156">
      <c r="A156" s="90"/>
      <c r="B156" s="97"/>
      <c r="C156" s="121" t="str">
        <f t="array" ref="C156">ifs(and(isblank($A156),isblank($B156)),"", not(iserror(vlookup($A156&amp;$B156,'3) Release_Label'!$D:$D&amp;'3) Release_Label'!$E:$E,1,0))),vlookup($A156&amp;$B156,{'3) Release_Label'!$D:$D&amp;'3) Release_Label'!$E:$E,'3) Release_Label'!$F:$F},2,0), or(and(not(isblank($B156)),$B156=$B155,$A156&lt;&gt;$A155),and(not(isblank($A156)),$A156=$A155,$B156&lt;&gt;$B155)),"ID LISTS UNALIGNED",and($A156&lt;&gt;"",countif('3) Release_Label'!$D:$D,$A156)=0),"NO UPC MATCH in Release_Label",and($B156&lt;&gt;"",countif('3) Release_Label'!$E:$E,$B156)=0),"NO CATALOG ID MATCH in Release_Label",iserror(vlookup($A156&amp;$B156,'3) Release_Label'!$D:$D&amp;'3) Release_Label'!$E:$E,1,0)),"NO UPC-CATALOG ID pair MATCH in Release_Label" )</f>
        <v/>
      </c>
      <c r="D156" s="121" t="str">
        <f t="array" ref="D156">ifs(and(isblank($A156),isblank($B156)),"", not(iserror(vlookup($A156&amp;$B156,'3) Release_Label'!$D:$D&amp;'3) Release_Label'!$E:$E,1,0))),vlookup($A156&amp;$B156,{'3) Release_Label'!$D:$D&amp;'3) Release_Label'!$E:$E,'3) Release_Label'!$H:$H},2,0), or(and(not(isblank($B156)),$B156=$B155,$A156&lt;&gt;$A155),and(not(isblank($A156)),$A156=$A155,$B156&lt;&gt;$B155)),"ID LISTS UNALIGNED",and($A156&lt;&gt;"",countif('3) Release_Label'!$D:$D,$A156)=0),"NO UPC MATCH in Release_Label",and($B156&lt;&gt;"",countif('3) Release_Label'!$E:$E,$B156)=0),"NO CATALOG ID MATCH in Release_Label",iserror(vlookup($A156&amp;$B156,'3) Release_Label'!$D:$D&amp;'3) Release_Label'!$E:$E,1,0)),"NO UPC-CATALOG ID pair MATCH in Release_Label" )</f>
        <v/>
      </c>
      <c r="E156" s="147" t="str">
        <f t="shared" si="1"/>
        <v/>
      </c>
      <c r="G156" s="97"/>
      <c r="H156" s="155"/>
      <c r="J156" s="92"/>
      <c r="K156" s="98"/>
      <c r="L156" s="92"/>
      <c r="N156" s="92"/>
      <c r="O156" s="92"/>
      <c r="P156" s="92"/>
    </row>
    <row r="157">
      <c r="A157" s="90"/>
      <c r="B157" s="97"/>
      <c r="C157" s="121" t="str">
        <f t="array" ref="C157">ifs(and(isblank($A157),isblank($B157)),"", not(iserror(vlookup($A157&amp;$B157,'3) Release_Label'!$D:$D&amp;'3) Release_Label'!$E:$E,1,0))),vlookup($A157&amp;$B157,{'3) Release_Label'!$D:$D&amp;'3) Release_Label'!$E:$E,'3) Release_Label'!$F:$F},2,0), or(and(not(isblank($B157)),$B157=$B156,$A157&lt;&gt;$A156),and(not(isblank($A157)),$A157=$A156,$B157&lt;&gt;$B156)),"ID LISTS UNALIGNED",and($A157&lt;&gt;"",countif('3) Release_Label'!$D:$D,$A157)=0),"NO UPC MATCH in Release_Label",and($B157&lt;&gt;"",countif('3) Release_Label'!$E:$E,$B157)=0),"NO CATALOG ID MATCH in Release_Label",iserror(vlookup($A157&amp;$B157,'3) Release_Label'!$D:$D&amp;'3) Release_Label'!$E:$E,1,0)),"NO UPC-CATALOG ID pair MATCH in Release_Label" )</f>
        <v/>
      </c>
      <c r="D157" s="121" t="str">
        <f t="array" ref="D157">ifs(and(isblank($A157),isblank($B157)),"", not(iserror(vlookup($A157&amp;$B157,'3) Release_Label'!$D:$D&amp;'3) Release_Label'!$E:$E,1,0))),vlookup($A157&amp;$B157,{'3) Release_Label'!$D:$D&amp;'3) Release_Label'!$E:$E,'3) Release_Label'!$H:$H},2,0), or(and(not(isblank($B157)),$B157=$B156,$A157&lt;&gt;$A156),and(not(isblank($A157)),$A157=$A156,$B157&lt;&gt;$B156)),"ID LISTS UNALIGNED",and($A157&lt;&gt;"",countif('3) Release_Label'!$D:$D,$A157)=0),"NO UPC MATCH in Release_Label",and($B157&lt;&gt;"",countif('3) Release_Label'!$E:$E,$B157)=0),"NO CATALOG ID MATCH in Release_Label",iserror(vlookup($A157&amp;$B157,'3) Release_Label'!$D:$D&amp;'3) Release_Label'!$E:$E,1,0)),"NO UPC-CATALOG ID pair MATCH in Release_Label" )</f>
        <v/>
      </c>
      <c r="E157" s="147" t="str">
        <f t="shared" si="1"/>
        <v/>
      </c>
      <c r="G157" s="97"/>
      <c r="H157" s="155"/>
      <c r="J157" s="92"/>
      <c r="K157" s="98"/>
      <c r="L157" s="92"/>
      <c r="N157" s="92"/>
      <c r="O157" s="92"/>
      <c r="P157" s="92"/>
    </row>
    <row r="158">
      <c r="A158" s="90"/>
      <c r="B158" s="97"/>
      <c r="C158" s="121" t="str">
        <f t="array" ref="C158">ifs(and(isblank($A158),isblank($B158)),"", not(iserror(vlookup($A158&amp;$B158,'3) Release_Label'!$D:$D&amp;'3) Release_Label'!$E:$E,1,0))),vlookup($A158&amp;$B158,{'3) Release_Label'!$D:$D&amp;'3) Release_Label'!$E:$E,'3) Release_Label'!$F:$F},2,0), or(and(not(isblank($B158)),$B158=$B157,$A158&lt;&gt;$A157),and(not(isblank($A158)),$A158=$A157,$B158&lt;&gt;$B157)),"ID LISTS UNALIGNED",and($A158&lt;&gt;"",countif('3) Release_Label'!$D:$D,$A158)=0),"NO UPC MATCH in Release_Label",and($B158&lt;&gt;"",countif('3) Release_Label'!$E:$E,$B158)=0),"NO CATALOG ID MATCH in Release_Label",iserror(vlookup($A158&amp;$B158,'3) Release_Label'!$D:$D&amp;'3) Release_Label'!$E:$E,1,0)),"NO UPC-CATALOG ID pair MATCH in Release_Label" )</f>
        <v/>
      </c>
      <c r="D158" s="121" t="str">
        <f t="array" ref="D158">ifs(and(isblank($A158),isblank($B158)),"", not(iserror(vlookup($A158&amp;$B158,'3) Release_Label'!$D:$D&amp;'3) Release_Label'!$E:$E,1,0))),vlookup($A158&amp;$B158,{'3) Release_Label'!$D:$D&amp;'3) Release_Label'!$E:$E,'3) Release_Label'!$H:$H},2,0), or(and(not(isblank($B158)),$B158=$B157,$A158&lt;&gt;$A157),and(not(isblank($A158)),$A158=$A157,$B158&lt;&gt;$B157)),"ID LISTS UNALIGNED",and($A158&lt;&gt;"",countif('3) Release_Label'!$D:$D,$A158)=0),"NO UPC MATCH in Release_Label",and($B158&lt;&gt;"",countif('3) Release_Label'!$E:$E,$B158)=0),"NO CATALOG ID MATCH in Release_Label",iserror(vlookup($A158&amp;$B158,'3) Release_Label'!$D:$D&amp;'3) Release_Label'!$E:$E,1,0)),"NO UPC-CATALOG ID pair MATCH in Release_Label" )</f>
        <v/>
      </c>
      <c r="E158" s="147" t="str">
        <f t="shared" si="1"/>
        <v/>
      </c>
      <c r="G158" s="97"/>
      <c r="H158" s="155"/>
      <c r="J158" s="92"/>
      <c r="K158" s="98"/>
      <c r="L158" s="92"/>
      <c r="N158" s="92"/>
      <c r="O158" s="92"/>
      <c r="P158" s="92"/>
    </row>
    <row r="159">
      <c r="A159" s="90"/>
      <c r="B159" s="97"/>
      <c r="C159" s="121" t="str">
        <f t="array" ref="C159">ifs(and(isblank($A159),isblank($B159)),"", not(iserror(vlookup($A159&amp;$B159,'3) Release_Label'!$D:$D&amp;'3) Release_Label'!$E:$E,1,0))),vlookup($A159&amp;$B159,{'3) Release_Label'!$D:$D&amp;'3) Release_Label'!$E:$E,'3) Release_Label'!$F:$F},2,0), or(and(not(isblank($B159)),$B159=$B158,$A159&lt;&gt;$A158),and(not(isblank($A159)),$A159=$A158,$B159&lt;&gt;$B158)),"ID LISTS UNALIGNED",and($A159&lt;&gt;"",countif('3) Release_Label'!$D:$D,$A159)=0),"NO UPC MATCH in Release_Label",and($B159&lt;&gt;"",countif('3) Release_Label'!$E:$E,$B159)=0),"NO CATALOG ID MATCH in Release_Label",iserror(vlookup($A159&amp;$B159,'3) Release_Label'!$D:$D&amp;'3) Release_Label'!$E:$E,1,0)),"NO UPC-CATALOG ID pair MATCH in Release_Label" )</f>
        <v/>
      </c>
      <c r="D159" s="121" t="str">
        <f t="array" ref="D159">ifs(and(isblank($A159),isblank($B159)),"", not(iserror(vlookup($A159&amp;$B159,'3) Release_Label'!$D:$D&amp;'3) Release_Label'!$E:$E,1,0))),vlookup($A159&amp;$B159,{'3) Release_Label'!$D:$D&amp;'3) Release_Label'!$E:$E,'3) Release_Label'!$H:$H},2,0), or(and(not(isblank($B159)),$B159=$B158,$A159&lt;&gt;$A158),and(not(isblank($A159)),$A159=$A158,$B159&lt;&gt;$B158)),"ID LISTS UNALIGNED",and($A159&lt;&gt;"",countif('3) Release_Label'!$D:$D,$A159)=0),"NO UPC MATCH in Release_Label",and($B159&lt;&gt;"",countif('3) Release_Label'!$E:$E,$B159)=0),"NO CATALOG ID MATCH in Release_Label",iserror(vlookup($A159&amp;$B159,'3) Release_Label'!$D:$D&amp;'3) Release_Label'!$E:$E,1,0)),"NO UPC-CATALOG ID pair MATCH in Release_Label" )</f>
        <v/>
      </c>
      <c r="E159" s="147" t="str">
        <f t="shared" si="1"/>
        <v/>
      </c>
      <c r="G159" s="97"/>
      <c r="H159" s="155"/>
      <c r="J159" s="92"/>
      <c r="K159" s="98"/>
      <c r="L159" s="92"/>
      <c r="N159" s="92"/>
      <c r="O159" s="92"/>
      <c r="P159" s="92"/>
    </row>
    <row r="160">
      <c r="A160" s="90"/>
      <c r="B160" s="97"/>
      <c r="C160" s="121" t="str">
        <f t="array" ref="C160">ifs(and(isblank($A160),isblank($B160)),"", not(iserror(vlookup($A160&amp;$B160,'3) Release_Label'!$D:$D&amp;'3) Release_Label'!$E:$E,1,0))),vlookup($A160&amp;$B160,{'3) Release_Label'!$D:$D&amp;'3) Release_Label'!$E:$E,'3) Release_Label'!$F:$F},2,0), or(and(not(isblank($B160)),$B160=$B159,$A160&lt;&gt;$A159),and(not(isblank($A160)),$A160=$A159,$B160&lt;&gt;$B159)),"ID LISTS UNALIGNED",and($A160&lt;&gt;"",countif('3) Release_Label'!$D:$D,$A160)=0),"NO UPC MATCH in Release_Label",and($B160&lt;&gt;"",countif('3) Release_Label'!$E:$E,$B160)=0),"NO CATALOG ID MATCH in Release_Label",iserror(vlookup($A160&amp;$B160,'3) Release_Label'!$D:$D&amp;'3) Release_Label'!$E:$E,1,0)),"NO UPC-CATALOG ID pair MATCH in Release_Label" )</f>
        <v/>
      </c>
      <c r="D160" s="121" t="str">
        <f t="array" ref="D160">ifs(and(isblank($A160),isblank($B160)),"", not(iserror(vlookup($A160&amp;$B160,'3) Release_Label'!$D:$D&amp;'3) Release_Label'!$E:$E,1,0))),vlookup($A160&amp;$B160,{'3) Release_Label'!$D:$D&amp;'3) Release_Label'!$E:$E,'3) Release_Label'!$H:$H},2,0), or(and(not(isblank($B160)),$B160=$B159,$A160&lt;&gt;$A159),and(not(isblank($A160)),$A160=$A159,$B160&lt;&gt;$B159)),"ID LISTS UNALIGNED",and($A160&lt;&gt;"",countif('3) Release_Label'!$D:$D,$A160)=0),"NO UPC MATCH in Release_Label",and($B160&lt;&gt;"",countif('3) Release_Label'!$E:$E,$B160)=0),"NO CATALOG ID MATCH in Release_Label",iserror(vlookup($A160&amp;$B160,'3) Release_Label'!$D:$D&amp;'3) Release_Label'!$E:$E,1,0)),"NO UPC-CATALOG ID pair MATCH in Release_Label" )</f>
        <v/>
      </c>
      <c r="E160" s="147" t="str">
        <f t="shared" si="1"/>
        <v/>
      </c>
      <c r="G160" s="97"/>
      <c r="H160" s="155"/>
      <c r="J160" s="92"/>
      <c r="K160" s="98"/>
      <c r="L160" s="92"/>
      <c r="N160" s="92"/>
      <c r="O160" s="92"/>
      <c r="P160" s="92"/>
    </row>
    <row r="161">
      <c r="A161" s="90"/>
      <c r="B161" s="97"/>
      <c r="C161" s="121" t="str">
        <f t="array" ref="C161">ifs(and(isblank($A161),isblank($B161)),"", not(iserror(vlookup($A161&amp;$B161,'3) Release_Label'!$D:$D&amp;'3) Release_Label'!$E:$E,1,0))),vlookup($A161&amp;$B161,{'3) Release_Label'!$D:$D&amp;'3) Release_Label'!$E:$E,'3) Release_Label'!$F:$F},2,0), or(and(not(isblank($B161)),$B161=$B160,$A161&lt;&gt;$A160),and(not(isblank($A161)),$A161=$A160,$B161&lt;&gt;$B160)),"ID LISTS UNALIGNED",and($A161&lt;&gt;"",countif('3) Release_Label'!$D:$D,$A161)=0),"NO UPC MATCH in Release_Label",and($B161&lt;&gt;"",countif('3) Release_Label'!$E:$E,$B161)=0),"NO CATALOG ID MATCH in Release_Label",iserror(vlookup($A161&amp;$B161,'3) Release_Label'!$D:$D&amp;'3) Release_Label'!$E:$E,1,0)),"NO UPC-CATALOG ID pair MATCH in Release_Label" )</f>
        <v/>
      </c>
      <c r="D161" s="121" t="str">
        <f t="array" ref="D161">ifs(and(isblank($A161),isblank($B161)),"", not(iserror(vlookup($A161&amp;$B161,'3) Release_Label'!$D:$D&amp;'3) Release_Label'!$E:$E,1,0))),vlookup($A161&amp;$B161,{'3) Release_Label'!$D:$D&amp;'3) Release_Label'!$E:$E,'3) Release_Label'!$H:$H},2,0), or(and(not(isblank($B161)),$B161=$B160,$A161&lt;&gt;$A160),and(not(isblank($A161)),$A161=$A160,$B161&lt;&gt;$B160)),"ID LISTS UNALIGNED",and($A161&lt;&gt;"",countif('3) Release_Label'!$D:$D,$A161)=0),"NO UPC MATCH in Release_Label",and($B161&lt;&gt;"",countif('3) Release_Label'!$E:$E,$B161)=0),"NO CATALOG ID MATCH in Release_Label",iserror(vlookup($A161&amp;$B161,'3) Release_Label'!$D:$D&amp;'3) Release_Label'!$E:$E,1,0)),"NO UPC-CATALOG ID pair MATCH in Release_Label" )</f>
        <v/>
      </c>
      <c r="E161" s="147" t="str">
        <f t="shared" si="1"/>
        <v/>
      </c>
      <c r="G161" s="97"/>
      <c r="H161" s="155"/>
      <c r="J161" s="92"/>
      <c r="K161" s="98"/>
      <c r="L161" s="92"/>
      <c r="N161" s="92"/>
      <c r="O161" s="92"/>
      <c r="P161" s="92"/>
    </row>
    <row r="162">
      <c r="A162" s="90"/>
      <c r="B162" s="97"/>
      <c r="C162" s="121" t="str">
        <f t="array" ref="C162">ifs(and(isblank($A162),isblank($B162)),"", not(iserror(vlookup($A162&amp;$B162,'3) Release_Label'!$D:$D&amp;'3) Release_Label'!$E:$E,1,0))),vlookup($A162&amp;$B162,{'3) Release_Label'!$D:$D&amp;'3) Release_Label'!$E:$E,'3) Release_Label'!$F:$F},2,0), or(and(not(isblank($B162)),$B162=$B161,$A162&lt;&gt;$A161),and(not(isblank($A162)),$A162=$A161,$B162&lt;&gt;$B161)),"ID LISTS UNALIGNED",and($A162&lt;&gt;"",countif('3) Release_Label'!$D:$D,$A162)=0),"NO UPC MATCH in Release_Label",and($B162&lt;&gt;"",countif('3) Release_Label'!$E:$E,$B162)=0),"NO CATALOG ID MATCH in Release_Label",iserror(vlookup($A162&amp;$B162,'3) Release_Label'!$D:$D&amp;'3) Release_Label'!$E:$E,1,0)),"NO UPC-CATALOG ID pair MATCH in Release_Label" )</f>
        <v/>
      </c>
      <c r="D162" s="121" t="str">
        <f t="array" ref="D162">ifs(and(isblank($A162),isblank($B162)),"", not(iserror(vlookup($A162&amp;$B162,'3) Release_Label'!$D:$D&amp;'3) Release_Label'!$E:$E,1,0))),vlookup($A162&amp;$B162,{'3) Release_Label'!$D:$D&amp;'3) Release_Label'!$E:$E,'3) Release_Label'!$H:$H},2,0), or(and(not(isblank($B162)),$B162=$B161,$A162&lt;&gt;$A161),and(not(isblank($A162)),$A162=$A161,$B162&lt;&gt;$B161)),"ID LISTS UNALIGNED",and($A162&lt;&gt;"",countif('3) Release_Label'!$D:$D,$A162)=0),"NO UPC MATCH in Release_Label",and($B162&lt;&gt;"",countif('3) Release_Label'!$E:$E,$B162)=0),"NO CATALOG ID MATCH in Release_Label",iserror(vlookup($A162&amp;$B162,'3) Release_Label'!$D:$D&amp;'3) Release_Label'!$E:$E,1,0)),"NO UPC-CATALOG ID pair MATCH in Release_Label" )</f>
        <v/>
      </c>
      <c r="E162" s="147" t="str">
        <f t="shared" si="1"/>
        <v/>
      </c>
      <c r="G162" s="97"/>
      <c r="H162" s="155"/>
      <c r="J162" s="92"/>
      <c r="K162" s="98"/>
      <c r="L162" s="92"/>
      <c r="N162" s="92"/>
      <c r="O162" s="92"/>
      <c r="P162" s="92"/>
    </row>
    <row r="163">
      <c r="A163" s="90"/>
      <c r="B163" s="97"/>
      <c r="C163" s="121" t="str">
        <f t="array" ref="C163">ifs(and(isblank($A163),isblank($B163)),"", not(iserror(vlookup($A163&amp;$B163,'3) Release_Label'!$D:$D&amp;'3) Release_Label'!$E:$E,1,0))),vlookup($A163&amp;$B163,{'3) Release_Label'!$D:$D&amp;'3) Release_Label'!$E:$E,'3) Release_Label'!$F:$F},2,0), or(and(not(isblank($B163)),$B163=$B162,$A163&lt;&gt;$A162),and(not(isblank($A163)),$A163=$A162,$B163&lt;&gt;$B162)),"ID LISTS UNALIGNED",and($A163&lt;&gt;"",countif('3) Release_Label'!$D:$D,$A163)=0),"NO UPC MATCH in Release_Label",and($B163&lt;&gt;"",countif('3) Release_Label'!$E:$E,$B163)=0),"NO CATALOG ID MATCH in Release_Label",iserror(vlookup($A163&amp;$B163,'3) Release_Label'!$D:$D&amp;'3) Release_Label'!$E:$E,1,0)),"NO UPC-CATALOG ID pair MATCH in Release_Label" )</f>
        <v/>
      </c>
      <c r="D163" s="121" t="str">
        <f t="array" ref="D163">ifs(and(isblank($A163),isblank($B163)),"", not(iserror(vlookup($A163&amp;$B163,'3) Release_Label'!$D:$D&amp;'3) Release_Label'!$E:$E,1,0))),vlookup($A163&amp;$B163,{'3) Release_Label'!$D:$D&amp;'3) Release_Label'!$E:$E,'3) Release_Label'!$H:$H},2,0), or(and(not(isblank($B163)),$B163=$B162,$A163&lt;&gt;$A162),and(not(isblank($A163)),$A163=$A162,$B163&lt;&gt;$B162)),"ID LISTS UNALIGNED",and($A163&lt;&gt;"",countif('3) Release_Label'!$D:$D,$A163)=0),"NO UPC MATCH in Release_Label",and($B163&lt;&gt;"",countif('3) Release_Label'!$E:$E,$B163)=0),"NO CATALOG ID MATCH in Release_Label",iserror(vlookup($A163&amp;$B163,'3) Release_Label'!$D:$D&amp;'3) Release_Label'!$E:$E,1,0)),"NO UPC-CATALOG ID pair MATCH in Release_Label" )</f>
        <v/>
      </c>
      <c r="E163" s="147" t="str">
        <f t="shared" si="1"/>
        <v/>
      </c>
      <c r="G163" s="97"/>
      <c r="H163" s="155"/>
      <c r="J163" s="92"/>
      <c r="K163" s="98"/>
      <c r="L163" s="92"/>
      <c r="N163" s="92"/>
      <c r="O163" s="92"/>
      <c r="P163" s="92"/>
    </row>
    <row r="164">
      <c r="A164" s="90"/>
      <c r="B164" s="97"/>
      <c r="C164" s="121" t="str">
        <f t="array" ref="C164">ifs(and(isblank($A164),isblank($B164)),"", not(iserror(vlookup($A164&amp;$B164,'3) Release_Label'!$D:$D&amp;'3) Release_Label'!$E:$E,1,0))),vlookup($A164&amp;$B164,{'3) Release_Label'!$D:$D&amp;'3) Release_Label'!$E:$E,'3) Release_Label'!$F:$F},2,0), or(and(not(isblank($B164)),$B164=$B163,$A164&lt;&gt;$A163),and(not(isblank($A164)),$A164=$A163,$B164&lt;&gt;$B163)),"ID LISTS UNALIGNED",and($A164&lt;&gt;"",countif('3) Release_Label'!$D:$D,$A164)=0),"NO UPC MATCH in Release_Label",and($B164&lt;&gt;"",countif('3) Release_Label'!$E:$E,$B164)=0),"NO CATALOG ID MATCH in Release_Label",iserror(vlookup($A164&amp;$B164,'3) Release_Label'!$D:$D&amp;'3) Release_Label'!$E:$E,1,0)),"NO UPC-CATALOG ID pair MATCH in Release_Label" )</f>
        <v/>
      </c>
      <c r="D164" s="121" t="str">
        <f t="array" ref="D164">ifs(and(isblank($A164),isblank($B164)),"", not(iserror(vlookup($A164&amp;$B164,'3) Release_Label'!$D:$D&amp;'3) Release_Label'!$E:$E,1,0))),vlookup($A164&amp;$B164,{'3) Release_Label'!$D:$D&amp;'3) Release_Label'!$E:$E,'3) Release_Label'!$H:$H},2,0), or(and(not(isblank($B164)),$B164=$B163,$A164&lt;&gt;$A163),and(not(isblank($A164)),$A164=$A163,$B164&lt;&gt;$B163)),"ID LISTS UNALIGNED",and($A164&lt;&gt;"",countif('3) Release_Label'!$D:$D,$A164)=0),"NO UPC MATCH in Release_Label",and($B164&lt;&gt;"",countif('3) Release_Label'!$E:$E,$B164)=0),"NO CATALOG ID MATCH in Release_Label",iserror(vlookup($A164&amp;$B164,'3) Release_Label'!$D:$D&amp;'3) Release_Label'!$E:$E,1,0)),"NO UPC-CATALOG ID pair MATCH in Release_Label" )</f>
        <v/>
      </c>
      <c r="E164" s="147" t="str">
        <f t="shared" si="1"/>
        <v/>
      </c>
      <c r="G164" s="97"/>
      <c r="H164" s="155"/>
      <c r="J164" s="92"/>
      <c r="K164" s="98"/>
      <c r="L164" s="92"/>
      <c r="N164" s="92"/>
      <c r="O164" s="92"/>
      <c r="P164" s="92"/>
    </row>
    <row r="165">
      <c r="A165" s="90"/>
      <c r="B165" s="97"/>
      <c r="C165" s="121" t="str">
        <f t="array" ref="C165">ifs(and(isblank($A165),isblank($B165)),"", not(iserror(vlookup($A165&amp;$B165,'3) Release_Label'!$D:$D&amp;'3) Release_Label'!$E:$E,1,0))),vlookup($A165&amp;$B165,{'3) Release_Label'!$D:$D&amp;'3) Release_Label'!$E:$E,'3) Release_Label'!$F:$F},2,0), or(and(not(isblank($B165)),$B165=$B164,$A165&lt;&gt;$A164),and(not(isblank($A165)),$A165=$A164,$B165&lt;&gt;$B164)),"ID LISTS UNALIGNED",and($A165&lt;&gt;"",countif('3) Release_Label'!$D:$D,$A165)=0),"NO UPC MATCH in Release_Label",and($B165&lt;&gt;"",countif('3) Release_Label'!$E:$E,$B165)=0),"NO CATALOG ID MATCH in Release_Label",iserror(vlookup($A165&amp;$B165,'3) Release_Label'!$D:$D&amp;'3) Release_Label'!$E:$E,1,0)),"NO UPC-CATALOG ID pair MATCH in Release_Label" )</f>
        <v/>
      </c>
      <c r="D165" s="121" t="str">
        <f t="array" ref="D165">ifs(and(isblank($A165),isblank($B165)),"", not(iserror(vlookup($A165&amp;$B165,'3) Release_Label'!$D:$D&amp;'3) Release_Label'!$E:$E,1,0))),vlookup($A165&amp;$B165,{'3) Release_Label'!$D:$D&amp;'3) Release_Label'!$E:$E,'3) Release_Label'!$H:$H},2,0), or(and(not(isblank($B165)),$B165=$B164,$A165&lt;&gt;$A164),and(not(isblank($A165)),$A165=$A164,$B165&lt;&gt;$B164)),"ID LISTS UNALIGNED",and($A165&lt;&gt;"",countif('3) Release_Label'!$D:$D,$A165)=0),"NO UPC MATCH in Release_Label",and($B165&lt;&gt;"",countif('3) Release_Label'!$E:$E,$B165)=0),"NO CATALOG ID MATCH in Release_Label",iserror(vlookup($A165&amp;$B165,'3) Release_Label'!$D:$D&amp;'3) Release_Label'!$E:$E,1,0)),"NO UPC-CATALOG ID pair MATCH in Release_Label" )</f>
        <v/>
      </c>
      <c r="E165" s="147" t="str">
        <f t="shared" si="1"/>
        <v/>
      </c>
      <c r="G165" s="97"/>
      <c r="H165" s="155"/>
      <c r="J165" s="92"/>
      <c r="K165" s="98"/>
      <c r="L165" s="92"/>
      <c r="N165" s="92"/>
      <c r="O165" s="92"/>
      <c r="P165" s="92"/>
    </row>
    <row r="166">
      <c r="A166" s="90"/>
      <c r="B166" s="97"/>
      <c r="C166" s="121" t="str">
        <f t="array" ref="C166">ifs(and(isblank($A166),isblank($B166)),"", not(iserror(vlookup($A166&amp;$B166,'3) Release_Label'!$D:$D&amp;'3) Release_Label'!$E:$E,1,0))),vlookup($A166&amp;$B166,{'3) Release_Label'!$D:$D&amp;'3) Release_Label'!$E:$E,'3) Release_Label'!$F:$F},2,0), or(and(not(isblank($B166)),$B166=$B165,$A166&lt;&gt;$A165),and(not(isblank($A166)),$A166=$A165,$B166&lt;&gt;$B165)),"ID LISTS UNALIGNED",and($A166&lt;&gt;"",countif('3) Release_Label'!$D:$D,$A166)=0),"NO UPC MATCH in Release_Label",and($B166&lt;&gt;"",countif('3) Release_Label'!$E:$E,$B166)=0),"NO CATALOG ID MATCH in Release_Label",iserror(vlookup($A166&amp;$B166,'3) Release_Label'!$D:$D&amp;'3) Release_Label'!$E:$E,1,0)),"NO UPC-CATALOG ID pair MATCH in Release_Label" )</f>
        <v/>
      </c>
      <c r="D166" s="121" t="str">
        <f t="array" ref="D166">ifs(and(isblank($A166),isblank($B166)),"", not(iserror(vlookup($A166&amp;$B166,'3) Release_Label'!$D:$D&amp;'3) Release_Label'!$E:$E,1,0))),vlookup($A166&amp;$B166,{'3) Release_Label'!$D:$D&amp;'3) Release_Label'!$E:$E,'3) Release_Label'!$H:$H},2,0), or(and(not(isblank($B166)),$B166=$B165,$A166&lt;&gt;$A165),and(not(isblank($A166)),$A166=$A165,$B166&lt;&gt;$B165)),"ID LISTS UNALIGNED",and($A166&lt;&gt;"",countif('3) Release_Label'!$D:$D,$A166)=0),"NO UPC MATCH in Release_Label",and($B166&lt;&gt;"",countif('3) Release_Label'!$E:$E,$B166)=0),"NO CATALOG ID MATCH in Release_Label",iserror(vlookup($A166&amp;$B166,'3) Release_Label'!$D:$D&amp;'3) Release_Label'!$E:$E,1,0)),"NO UPC-CATALOG ID pair MATCH in Release_Label" )</f>
        <v/>
      </c>
      <c r="E166" s="147" t="str">
        <f t="shared" si="1"/>
        <v/>
      </c>
      <c r="G166" s="97"/>
      <c r="H166" s="155"/>
      <c r="J166" s="92"/>
      <c r="K166" s="98"/>
      <c r="L166" s="92"/>
      <c r="N166" s="92"/>
      <c r="O166" s="92"/>
      <c r="P166" s="92"/>
    </row>
    <row r="167">
      <c r="A167" s="90"/>
      <c r="B167" s="97"/>
      <c r="C167" s="121" t="str">
        <f t="array" ref="C167">ifs(and(isblank($A167),isblank($B167)),"", not(iserror(vlookup($A167&amp;$B167,'3) Release_Label'!$D:$D&amp;'3) Release_Label'!$E:$E,1,0))),vlookup($A167&amp;$B167,{'3) Release_Label'!$D:$D&amp;'3) Release_Label'!$E:$E,'3) Release_Label'!$F:$F},2,0), or(and(not(isblank($B167)),$B167=$B166,$A167&lt;&gt;$A166),and(not(isblank($A167)),$A167=$A166,$B167&lt;&gt;$B166)),"ID LISTS UNALIGNED",and($A167&lt;&gt;"",countif('3) Release_Label'!$D:$D,$A167)=0),"NO UPC MATCH in Release_Label",and($B167&lt;&gt;"",countif('3) Release_Label'!$E:$E,$B167)=0),"NO CATALOG ID MATCH in Release_Label",iserror(vlookup($A167&amp;$B167,'3) Release_Label'!$D:$D&amp;'3) Release_Label'!$E:$E,1,0)),"NO UPC-CATALOG ID pair MATCH in Release_Label" )</f>
        <v/>
      </c>
      <c r="D167" s="121" t="str">
        <f t="array" ref="D167">ifs(and(isblank($A167),isblank($B167)),"", not(iserror(vlookup($A167&amp;$B167,'3) Release_Label'!$D:$D&amp;'3) Release_Label'!$E:$E,1,0))),vlookup($A167&amp;$B167,{'3) Release_Label'!$D:$D&amp;'3) Release_Label'!$E:$E,'3) Release_Label'!$H:$H},2,0), or(and(not(isblank($B167)),$B167=$B166,$A167&lt;&gt;$A166),and(not(isblank($A167)),$A167=$A166,$B167&lt;&gt;$B166)),"ID LISTS UNALIGNED",and($A167&lt;&gt;"",countif('3) Release_Label'!$D:$D,$A167)=0),"NO UPC MATCH in Release_Label",and($B167&lt;&gt;"",countif('3) Release_Label'!$E:$E,$B167)=0),"NO CATALOG ID MATCH in Release_Label",iserror(vlookup($A167&amp;$B167,'3) Release_Label'!$D:$D&amp;'3) Release_Label'!$E:$E,1,0)),"NO UPC-CATALOG ID pair MATCH in Release_Label" )</f>
        <v/>
      </c>
      <c r="E167" s="147" t="str">
        <f t="shared" si="1"/>
        <v/>
      </c>
      <c r="G167" s="97"/>
      <c r="H167" s="155"/>
      <c r="J167" s="92"/>
      <c r="K167" s="98"/>
      <c r="L167" s="92"/>
      <c r="N167" s="92"/>
      <c r="O167" s="92"/>
      <c r="P167" s="92"/>
    </row>
    <row r="168">
      <c r="A168" s="90"/>
      <c r="B168" s="97"/>
      <c r="C168" s="121" t="str">
        <f t="array" ref="C168">ifs(and(isblank($A168),isblank($B168)),"", not(iserror(vlookup($A168&amp;$B168,'3) Release_Label'!$D:$D&amp;'3) Release_Label'!$E:$E,1,0))),vlookup($A168&amp;$B168,{'3) Release_Label'!$D:$D&amp;'3) Release_Label'!$E:$E,'3) Release_Label'!$F:$F},2,0), or(and(not(isblank($B168)),$B168=$B167,$A168&lt;&gt;$A167),and(not(isblank($A168)),$A168=$A167,$B168&lt;&gt;$B167)),"ID LISTS UNALIGNED",and($A168&lt;&gt;"",countif('3) Release_Label'!$D:$D,$A168)=0),"NO UPC MATCH in Release_Label",and($B168&lt;&gt;"",countif('3) Release_Label'!$E:$E,$B168)=0),"NO CATALOG ID MATCH in Release_Label",iserror(vlookup($A168&amp;$B168,'3) Release_Label'!$D:$D&amp;'3) Release_Label'!$E:$E,1,0)),"NO UPC-CATALOG ID pair MATCH in Release_Label" )</f>
        <v/>
      </c>
      <c r="D168" s="121" t="str">
        <f t="array" ref="D168">ifs(and(isblank($A168),isblank($B168)),"", not(iserror(vlookup($A168&amp;$B168,'3) Release_Label'!$D:$D&amp;'3) Release_Label'!$E:$E,1,0))),vlookup($A168&amp;$B168,{'3) Release_Label'!$D:$D&amp;'3) Release_Label'!$E:$E,'3) Release_Label'!$H:$H},2,0), or(and(not(isblank($B168)),$B168=$B167,$A168&lt;&gt;$A167),and(not(isblank($A168)),$A168=$A167,$B168&lt;&gt;$B167)),"ID LISTS UNALIGNED",and($A168&lt;&gt;"",countif('3) Release_Label'!$D:$D,$A168)=0),"NO UPC MATCH in Release_Label",and($B168&lt;&gt;"",countif('3) Release_Label'!$E:$E,$B168)=0),"NO CATALOG ID MATCH in Release_Label",iserror(vlookup($A168&amp;$B168,'3) Release_Label'!$D:$D&amp;'3) Release_Label'!$E:$E,1,0)),"NO UPC-CATALOG ID pair MATCH in Release_Label" )</f>
        <v/>
      </c>
      <c r="E168" s="147" t="str">
        <f t="shared" si="1"/>
        <v/>
      </c>
      <c r="G168" s="97"/>
      <c r="H168" s="155"/>
      <c r="J168" s="92"/>
      <c r="K168" s="98"/>
      <c r="L168" s="92"/>
      <c r="N168" s="92"/>
      <c r="O168" s="92"/>
      <c r="P168" s="92"/>
    </row>
    <row r="169">
      <c r="A169" s="90"/>
      <c r="B169" s="97"/>
      <c r="C169" s="121" t="str">
        <f t="array" ref="C169">ifs(and(isblank($A169),isblank($B169)),"", not(iserror(vlookup($A169&amp;$B169,'3) Release_Label'!$D:$D&amp;'3) Release_Label'!$E:$E,1,0))),vlookup($A169&amp;$B169,{'3) Release_Label'!$D:$D&amp;'3) Release_Label'!$E:$E,'3) Release_Label'!$F:$F},2,0), or(and(not(isblank($B169)),$B169=$B168,$A169&lt;&gt;$A168),and(not(isblank($A169)),$A169=$A168,$B169&lt;&gt;$B168)),"ID LISTS UNALIGNED",and($A169&lt;&gt;"",countif('3) Release_Label'!$D:$D,$A169)=0),"NO UPC MATCH in Release_Label",and($B169&lt;&gt;"",countif('3) Release_Label'!$E:$E,$B169)=0),"NO CATALOG ID MATCH in Release_Label",iserror(vlookup($A169&amp;$B169,'3) Release_Label'!$D:$D&amp;'3) Release_Label'!$E:$E,1,0)),"NO UPC-CATALOG ID pair MATCH in Release_Label" )</f>
        <v/>
      </c>
      <c r="D169" s="121" t="str">
        <f t="array" ref="D169">ifs(and(isblank($A169),isblank($B169)),"", not(iserror(vlookup($A169&amp;$B169,'3) Release_Label'!$D:$D&amp;'3) Release_Label'!$E:$E,1,0))),vlookup($A169&amp;$B169,{'3) Release_Label'!$D:$D&amp;'3) Release_Label'!$E:$E,'3) Release_Label'!$H:$H},2,0), or(and(not(isblank($B169)),$B169=$B168,$A169&lt;&gt;$A168),and(not(isblank($A169)),$A169=$A168,$B169&lt;&gt;$B168)),"ID LISTS UNALIGNED",and($A169&lt;&gt;"",countif('3) Release_Label'!$D:$D,$A169)=0),"NO UPC MATCH in Release_Label",and($B169&lt;&gt;"",countif('3) Release_Label'!$E:$E,$B169)=0),"NO CATALOG ID MATCH in Release_Label",iserror(vlookup($A169&amp;$B169,'3) Release_Label'!$D:$D&amp;'3) Release_Label'!$E:$E,1,0)),"NO UPC-CATALOG ID pair MATCH in Release_Label" )</f>
        <v/>
      </c>
      <c r="E169" s="147" t="str">
        <f t="shared" si="1"/>
        <v/>
      </c>
      <c r="G169" s="97"/>
      <c r="H169" s="155"/>
      <c r="J169" s="92"/>
      <c r="K169" s="98"/>
      <c r="L169" s="92"/>
      <c r="N169" s="92"/>
      <c r="O169" s="92"/>
      <c r="P169" s="92"/>
    </row>
    <row r="170">
      <c r="A170" s="90"/>
      <c r="B170" s="97"/>
      <c r="C170" s="121" t="str">
        <f t="array" ref="C170">ifs(and(isblank($A170),isblank($B170)),"", not(iserror(vlookup($A170&amp;$B170,'3) Release_Label'!$D:$D&amp;'3) Release_Label'!$E:$E,1,0))),vlookup($A170&amp;$B170,{'3) Release_Label'!$D:$D&amp;'3) Release_Label'!$E:$E,'3) Release_Label'!$F:$F},2,0), or(and(not(isblank($B170)),$B170=$B169,$A170&lt;&gt;$A169),and(not(isblank($A170)),$A170=$A169,$B170&lt;&gt;$B169)),"ID LISTS UNALIGNED",and($A170&lt;&gt;"",countif('3) Release_Label'!$D:$D,$A170)=0),"NO UPC MATCH in Release_Label",and($B170&lt;&gt;"",countif('3) Release_Label'!$E:$E,$B170)=0),"NO CATALOG ID MATCH in Release_Label",iserror(vlookup($A170&amp;$B170,'3) Release_Label'!$D:$D&amp;'3) Release_Label'!$E:$E,1,0)),"NO UPC-CATALOG ID pair MATCH in Release_Label" )</f>
        <v/>
      </c>
      <c r="D170" s="121" t="str">
        <f t="array" ref="D170">ifs(and(isblank($A170),isblank($B170)),"", not(iserror(vlookup($A170&amp;$B170,'3) Release_Label'!$D:$D&amp;'3) Release_Label'!$E:$E,1,0))),vlookup($A170&amp;$B170,{'3) Release_Label'!$D:$D&amp;'3) Release_Label'!$E:$E,'3) Release_Label'!$H:$H},2,0), or(and(not(isblank($B170)),$B170=$B169,$A170&lt;&gt;$A169),and(not(isblank($A170)),$A170=$A169,$B170&lt;&gt;$B169)),"ID LISTS UNALIGNED",and($A170&lt;&gt;"",countif('3) Release_Label'!$D:$D,$A170)=0),"NO UPC MATCH in Release_Label",and($B170&lt;&gt;"",countif('3) Release_Label'!$E:$E,$B170)=0),"NO CATALOG ID MATCH in Release_Label",iserror(vlookup($A170&amp;$B170,'3) Release_Label'!$D:$D&amp;'3) Release_Label'!$E:$E,1,0)),"NO UPC-CATALOG ID pair MATCH in Release_Label" )</f>
        <v/>
      </c>
      <c r="E170" s="147" t="str">
        <f t="shared" si="1"/>
        <v/>
      </c>
      <c r="G170" s="97"/>
      <c r="H170" s="155"/>
      <c r="J170" s="92"/>
      <c r="K170" s="98"/>
      <c r="L170" s="92"/>
      <c r="N170" s="92"/>
      <c r="O170" s="92"/>
      <c r="P170" s="92"/>
    </row>
    <row r="171">
      <c r="A171" s="90"/>
      <c r="B171" s="97"/>
      <c r="C171" s="121" t="str">
        <f t="array" ref="C171">ifs(and(isblank($A171),isblank($B171)),"", not(iserror(vlookup($A171&amp;$B171,'3) Release_Label'!$D:$D&amp;'3) Release_Label'!$E:$E,1,0))),vlookup($A171&amp;$B171,{'3) Release_Label'!$D:$D&amp;'3) Release_Label'!$E:$E,'3) Release_Label'!$F:$F},2,0), or(and(not(isblank($B171)),$B171=$B170,$A171&lt;&gt;$A170),and(not(isblank($A171)),$A171=$A170,$B171&lt;&gt;$B170)),"ID LISTS UNALIGNED",and($A171&lt;&gt;"",countif('3) Release_Label'!$D:$D,$A171)=0),"NO UPC MATCH in Release_Label",and($B171&lt;&gt;"",countif('3) Release_Label'!$E:$E,$B171)=0),"NO CATALOG ID MATCH in Release_Label",iserror(vlookup($A171&amp;$B171,'3) Release_Label'!$D:$D&amp;'3) Release_Label'!$E:$E,1,0)),"NO UPC-CATALOG ID pair MATCH in Release_Label" )</f>
        <v/>
      </c>
      <c r="D171" s="121" t="str">
        <f t="array" ref="D171">ifs(and(isblank($A171),isblank($B171)),"", not(iserror(vlookup($A171&amp;$B171,'3) Release_Label'!$D:$D&amp;'3) Release_Label'!$E:$E,1,0))),vlookup($A171&amp;$B171,{'3) Release_Label'!$D:$D&amp;'3) Release_Label'!$E:$E,'3) Release_Label'!$H:$H},2,0), or(and(not(isblank($B171)),$B171=$B170,$A171&lt;&gt;$A170),and(not(isblank($A171)),$A171=$A170,$B171&lt;&gt;$B170)),"ID LISTS UNALIGNED",and($A171&lt;&gt;"",countif('3) Release_Label'!$D:$D,$A171)=0),"NO UPC MATCH in Release_Label",and($B171&lt;&gt;"",countif('3) Release_Label'!$E:$E,$B171)=0),"NO CATALOG ID MATCH in Release_Label",iserror(vlookup($A171&amp;$B171,'3) Release_Label'!$D:$D&amp;'3) Release_Label'!$E:$E,1,0)),"NO UPC-CATALOG ID pair MATCH in Release_Label" )</f>
        <v/>
      </c>
      <c r="E171" s="147" t="str">
        <f t="shared" si="1"/>
        <v/>
      </c>
      <c r="G171" s="97"/>
      <c r="H171" s="155"/>
      <c r="J171" s="92"/>
      <c r="K171" s="98"/>
      <c r="L171" s="92"/>
      <c r="N171" s="92"/>
      <c r="O171" s="92"/>
      <c r="P171" s="92"/>
    </row>
    <row r="172">
      <c r="A172" s="90"/>
      <c r="B172" s="97"/>
      <c r="C172" s="121" t="str">
        <f t="array" ref="C172">ifs(and(isblank($A172),isblank($B172)),"", not(iserror(vlookup($A172&amp;$B172,'3) Release_Label'!$D:$D&amp;'3) Release_Label'!$E:$E,1,0))),vlookup($A172&amp;$B172,{'3) Release_Label'!$D:$D&amp;'3) Release_Label'!$E:$E,'3) Release_Label'!$F:$F},2,0), or(and(not(isblank($B172)),$B172=$B171,$A172&lt;&gt;$A171),and(not(isblank($A172)),$A172=$A171,$B172&lt;&gt;$B171)),"ID LISTS UNALIGNED",and($A172&lt;&gt;"",countif('3) Release_Label'!$D:$D,$A172)=0),"NO UPC MATCH in Release_Label",and($B172&lt;&gt;"",countif('3) Release_Label'!$E:$E,$B172)=0),"NO CATALOG ID MATCH in Release_Label",iserror(vlookup($A172&amp;$B172,'3) Release_Label'!$D:$D&amp;'3) Release_Label'!$E:$E,1,0)),"NO UPC-CATALOG ID pair MATCH in Release_Label" )</f>
        <v/>
      </c>
      <c r="D172" s="121" t="str">
        <f t="array" ref="D172">ifs(and(isblank($A172),isblank($B172)),"", not(iserror(vlookup($A172&amp;$B172,'3) Release_Label'!$D:$D&amp;'3) Release_Label'!$E:$E,1,0))),vlookup($A172&amp;$B172,{'3) Release_Label'!$D:$D&amp;'3) Release_Label'!$E:$E,'3) Release_Label'!$H:$H},2,0), or(and(not(isblank($B172)),$B172=$B171,$A172&lt;&gt;$A171),and(not(isblank($A172)),$A172=$A171,$B172&lt;&gt;$B171)),"ID LISTS UNALIGNED",and($A172&lt;&gt;"",countif('3) Release_Label'!$D:$D,$A172)=0),"NO UPC MATCH in Release_Label",and($B172&lt;&gt;"",countif('3) Release_Label'!$E:$E,$B172)=0),"NO CATALOG ID MATCH in Release_Label",iserror(vlookup($A172&amp;$B172,'3) Release_Label'!$D:$D&amp;'3) Release_Label'!$E:$E,1,0)),"NO UPC-CATALOG ID pair MATCH in Release_Label" )</f>
        <v/>
      </c>
      <c r="E172" s="147" t="str">
        <f t="shared" si="1"/>
        <v/>
      </c>
      <c r="G172" s="97"/>
      <c r="H172" s="155"/>
      <c r="J172" s="92"/>
      <c r="K172" s="98"/>
      <c r="L172" s="92"/>
      <c r="N172" s="92"/>
      <c r="O172" s="92"/>
      <c r="P172" s="92"/>
    </row>
    <row r="173">
      <c r="A173" s="90"/>
      <c r="B173" s="97"/>
      <c r="C173" s="121" t="str">
        <f t="array" ref="C173">ifs(and(isblank($A173),isblank($B173)),"", not(iserror(vlookup($A173&amp;$B173,'3) Release_Label'!$D:$D&amp;'3) Release_Label'!$E:$E,1,0))),vlookup($A173&amp;$B173,{'3) Release_Label'!$D:$D&amp;'3) Release_Label'!$E:$E,'3) Release_Label'!$F:$F},2,0), or(and(not(isblank($B173)),$B173=$B172,$A173&lt;&gt;$A172),and(not(isblank($A173)),$A173=$A172,$B173&lt;&gt;$B172)),"ID LISTS UNALIGNED",and($A173&lt;&gt;"",countif('3) Release_Label'!$D:$D,$A173)=0),"NO UPC MATCH in Release_Label",and($B173&lt;&gt;"",countif('3) Release_Label'!$E:$E,$B173)=0),"NO CATALOG ID MATCH in Release_Label",iserror(vlookup($A173&amp;$B173,'3) Release_Label'!$D:$D&amp;'3) Release_Label'!$E:$E,1,0)),"NO UPC-CATALOG ID pair MATCH in Release_Label" )</f>
        <v/>
      </c>
      <c r="D173" s="121" t="str">
        <f t="array" ref="D173">ifs(and(isblank($A173),isblank($B173)),"", not(iserror(vlookup($A173&amp;$B173,'3) Release_Label'!$D:$D&amp;'3) Release_Label'!$E:$E,1,0))),vlookup($A173&amp;$B173,{'3) Release_Label'!$D:$D&amp;'3) Release_Label'!$E:$E,'3) Release_Label'!$H:$H},2,0), or(and(not(isblank($B173)),$B173=$B172,$A173&lt;&gt;$A172),and(not(isblank($A173)),$A173=$A172,$B173&lt;&gt;$B172)),"ID LISTS UNALIGNED",and($A173&lt;&gt;"",countif('3) Release_Label'!$D:$D,$A173)=0),"NO UPC MATCH in Release_Label",and($B173&lt;&gt;"",countif('3) Release_Label'!$E:$E,$B173)=0),"NO CATALOG ID MATCH in Release_Label",iserror(vlookup($A173&amp;$B173,'3) Release_Label'!$D:$D&amp;'3) Release_Label'!$E:$E,1,0)),"NO UPC-CATALOG ID pair MATCH in Release_Label" )</f>
        <v/>
      </c>
      <c r="E173" s="147" t="str">
        <f t="shared" si="1"/>
        <v/>
      </c>
      <c r="G173" s="97"/>
      <c r="H173" s="155"/>
      <c r="J173" s="92"/>
      <c r="K173" s="98"/>
      <c r="L173" s="92"/>
      <c r="N173" s="92"/>
      <c r="O173" s="92"/>
      <c r="P173" s="92"/>
    </row>
    <row r="174">
      <c r="A174" s="90"/>
      <c r="B174" s="97"/>
      <c r="C174" s="121" t="str">
        <f t="array" ref="C174">ifs(and(isblank($A174),isblank($B174)),"", not(iserror(vlookup($A174&amp;$B174,'3) Release_Label'!$D:$D&amp;'3) Release_Label'!$E:$E,1,0))),vlookup($A174&amp;$B174,{'3) Release_Label'!$D:$D&amp;'3) Release_Label'!$E:$E,'3) Release_Label'!$F:$F},2,0), or(and(not(isblank($B174)),$B174=$B173,$A174&lt;&gt;$A173),and(not(isblank($A174)),$A174=$A173,$B174&lt;&gt;$B173)),"ID LISTS UNALIGNED",and($A174&lt;&gt;"",countif('3) Release_Label'!$D:$D,$A174)=0),"NO UPC MATCH in Release_Label",and($B174&lt;&gt;"",countif('3) Release_Label'!$E:$E,$B174)=0),"NO CATALOG ID MATCH in Release_Label",iserror(vlookup($A174&amp;$B174,'3) Release_Label'!$D:$D&amp;'3) Release_Label'!$E:$E,1,0)),"NO UPC-CATALOG ID pair MATCH in Release_Label" )</f>
        <v/>
      </c>
      <c r="D174" s="121" t="str">
        <f t="array" ref="D174">ifs(and(isblank($A174),isblank($B174)),"", not(iserror(vlookup($A174&amp;$B174,'3) Release_Label'!$D:$D&amp;'3) Release_Label'!$E:$E,1,0))),vlookup($A174&amp;$B174,{'3) Release_Label'!$D:$D&amp;'3) Release_Label'!$E:$E,'3) Release_Label'!$H:$H},2,0), or(and(not(isblank($B174)),$B174=$B173,$A174&lt;&gt;$A173),and(not(isblank($A174)),$A174=$A173,$B174&lt;&gt;$B173)),"ID LISTS UNALIGNED",and($A174&lt;&gt;"",countif('3) Release_Label'!$D:$D,$A174)=0),"NO UPC MATCH in Release_Label",and($B174&lt;&gt;"",countif('3) Release_Label'!$E:$E,$B174)=0),"NO CATALOG ID MATCH in Release_Label",iserror(vlookup($A174&amp;$B174,'3) Release_Label'!$D:$D&amp;'3) Release_Label'!$E:$E,1,0)),"NO UPC-CATALOG ID pair MATCH in Release_Label" )</f>
        <v/>
      </c>
      <c r="E174" s="147" t="str">
        <f t="shared" si="1"/>
        <v/>
      </c>
      <c r="G174" s="97"/>
      <c r="H174" s="155"/>
      <c r="J174" s="92"/>
      <c r="K174" s="98"/>
      <c r="L174" s="92"/>
      <c r="N174" s="92"/>
      <c r="O174" s="92"/>
      <c r="P174" s="92"/>
    </row>
    <row r="175">
      <c r="A175" s="90"/>
      <c r="B175" s="97"/>
      <c r="C175" s="121" t="str">
        <f t="array" ref="C175">ifs(and(isblank($A175),isblank($B175)),"", not(iserror(vlookup($A175&amp;$B175,'3) Release_Label'!$D:$D&amp;'3) Release_Label'!$E:$E,1,0))),vlookup($A175&amp;$B175,{'3) Release_Label'!$D:$D&amp;'3) Release_Label'!$E:$E,'3) Release_Label'!$F:$F},2,0), or(and(not(isblank($B175)),$B175=$B174,$A175&lt;&gt;$A174),and(not(isblank($A175)),$A175=$A174,$B175&lt;&gt;$B174)),"ID LISTS UNALIGNED",and($A175&lt;&gt;"",countif('3) Release_Label'!$D:$D,$A175)=0),"NO UPC MATCH in Release_Label",and($B175&lt;&gt;"",countif('3) Release_Label'!$E:$E,$B175)=0),"NO CATALOG ID MATCH in Release_Label",iserror(vlookup($A175&amp;$B175,'3) Release_Label'!$D:$D&amp;'3) Release_Label'!$E:$E,1,0)),"NO UPC-CATALOG ID pair MATCH in Release_Label" )</f>
        <v/>
      </c>
      <c r="D175" s="121" t="str">
        <f t="array" ref="D175">ifs(and(isblank($A175),isblank($B175)),"", not(iserror(vlookup($A175&amp;$B175,'3) Release_Label'!$D:$D&amp;'3) Release_Label'!$E:$E,1,0))),vlookup($A175&amp;$B175,{'3) Release_Label'!$D:$D&amp;'3) Release_Label'!$E:$E,'3) Release_Label'!$H:$H},2,0), or(and(not(isblank($B175)),$B175=$B174,$A175&lt;&gt;$A174),and(not(isblank($A175)),$A175=$A174,$B175&lt;&gt;$B174)),"ID LISTS UNALIGNED",and($A175&lt;&gt;"",countif('3) Release_Label'!$D:$D,$A175)=0),"NO UPC MATCH in Release_Label",and($B175&lt;&gt;"",countif('3) Release_Label'!$E:$E,$B175)=0),"NO CATALOG ID MATCH in Release_Label",iserror(vlookup($A175&amp;$B175,'3) Release_Label'!$D:$D&amp;'3) Release_Label'!$E:$E,1,0)),"NO UPC-CATALOG ID pair MATCH in Release_Label" )</f>
        <v/>
      </c>
      <c r="E175" s="147" t="str">
        <f t="shared" si="1"/>
        <v/>
      </c>
      <c r="G175" s="97"/>
      <c r="H175" s="155"/>
      <c r="J175" s="92"/>
      <c r="K175" s="98"/>
      <c r="L175" s="92"/>
      <c r="N175" s="92"/>
      <c r="O175" s="92"/>
      <c r="P175" s="92"/>
    </row>
    <row r="176">
      <c r="A176" s="90"/>
      <c r="B176" s="97"/>
      <c r="C176" s="121" t="str">
        <f t="array" ref="C176">ifs(and(isblank($A176),isblank($B176)),"", not(iserror(vlookup($A176&amp;$B176,'3) Release_Label'!$D:$D&amp;'3) Release_Label'!$E:$E,1,0))),vlookup($A176&amp;$B176,{'3) Release_Label'!$D:$D&amp;'3) Release_Label'!$E:$E,'3) Release_Label'!$F:$F},2,0), or(and(not(isblank($B176)),$B176=$B175,$A176&lt;&gt;$A175),and(not(isblank($A176)),$A176=$A175,$B176&lt;&gt;$B175)),"ID LISTS UNALIGNED",and($A176&lt;&gt;"",countif('3) Release_Label'!$D:$D,$A176)=0),"NO UPC MATCH in Release_Label",and($B176&lt;&gt;"",countif('3) Release_Label'!$E:$E,$B176)=0),"NO CATALOG ID MATCH in Release_Label",iserror(vlookup($A176&amp;$B176,'3) Release_Label'!$D:$D&amp;'3) Release_Label'!$E:$E,1,0)),"NO UPC-CATALOG ID pair MATCH in Release_Label" )</f>
        <v/>
      </c>
      <c r="D176" s="121" t="str">
        <f t="array" ref="D176">ifs(and(isblank($A176),isblank($B176)),"", not(iserror(vlookup($A176&amp;$B176,'3) Release_Label'!$D:$D&amp;'3) Release_Label'!$E:$E,1,0))),vlookup($A176&amp;$B176,{'3) Release_Label'!$D:$D&amp;'3) Release_Label'!$E:$E,'3) Release_Label'!$H:$H},2,0), or(and(not(isblank($B176)),$B176=$B175,$A176&lt;&gt;$A175),and(not(isblank($A176)),$A176=$A175,$B176&lt;&gt;$B175)),"ID LISTS UNALIGNED",and($A176&lt;&gt;"",countif('3) Release_Label'!$D:$D,$A176)=0),"NO UPC MATCH in Release_Label",and($B176&lt;&gt;"",countif('3) Release_Label'!$E:$E,$B176)=0),"NO CATALOG ID MATCH in Release_Label",iserror(vlookup($A176&amp;$B176,'3) Release_Label'!$D:$D&amp;'3) Release_Label'!$E:$E,1,0)),"NO UPC-CATALOG ID pair MATCH in Release_Label" )</f>
        <v/>
      </c>
      <c r="E176" s="147" t="str">
        <f t="shared" si="1"/>
        <v/>
      </c>
      <c r="G176" s="97"/>
      <c r="H176" s="155"/>
      <c r="J176" s="92"/>
      <c r="K176" s="98"/>
      <c r="L176" s="92"/>
      <c r="N176" s="92"/>
      <c r="O176" s="92"/>
      <c r="P176" s="92"/>
    </row>
    <row r="177">
      <c r="A177" s="90"/>
      <c r="B177" s="97"/>
      <c r="C177" s="121" t="str">
        <f t="array" ref="C177">ifs(and(isblank($A177),isblank($B177)),"", not(iserror(vlookup($A177&amp;$B177,'3) Release_Label'!$D:$D&amp;'3) Release_Label'!$E:$E,1,0))),vlookup($A177&amp;$B177,{'3) Release_Label'!$D:$D&amp;'3) Release_Label'!$E:$E,'3) Release_Label'!$F:$F},2,0), or(and(not(isblank($B177)),$B177=$B176,$A177&lt;&gt;$A176),and(not(isblank($A177)),$A177=$A176,$B177&lt;&gt;$B176)),"ID LISTS UNALIGNED",and($A177&lt;&gt;"",countif('3) Release_Label'!$D:$D,$A177)=0),"NO UPC MATCH in Release_Label",and($B177&lt;&gt;"",countif('3) Release_Label'!$E:$E,$B177)=0),"NO CATALOG ID MATCH in Release_Label",iserror(vlookup($A177&amp;$B177,'3) Release_Label'!$D:$D&amp;'3) Release_Label'!$E:$E,1,0)),"NO UPC-CATALOG ID pair MATCH in Release_Label" )</f>
        <v/>
      </c>
      <c r="D177" s="121" t="str">
        <f t="array" ref="D177">ifs(and(isblank($A177),isblank($B177)),"", not(iserror(vlookup($A177&amp;$B177,'3) Release_Label'!$D:$D&amp;'3) Release_Label'!$E:$E,1,0))),vlookup($A177&amp;$B177,{'3) Release_Label'!$D:$D&amp;'3) Release_Label'!$E:$E,'3) Release_Label'!$H:$H},2,0), or(and(not(isblank($B177)),$B177=$B176,$A177&lt;&gt;$A176),and(not(isblank($A177)),$A177=$A176,$B177&lt;&gt;$B176)),"ID LISTS UNALIGNED",and($A177&lt;&gt;"",countif('3) Release_Label'!$D:$D,$A177)=0),"NO UPC MATCH in Release_Label",and($B177&lt;&gt;"",countif('3) Release_Label'!$E:$E,$B177)=0),"NO CATALOG ID MATCH in Release_Label",iserror(vlookup($A177&amp;$B177,'3) Release_Label'!$D:$D&amp;'3) Release_Label'!$E:$E,1,0)),"NO UPC-CATALOG ID pair MATCH in Release_Label" )</f>
        <v/>
      </c>
      <c r="E177" s="147" t="str">
        <f t="shared" si="1"/>
        <v/>
      </c>
      <c r="G177" s="97"/>
      <c r="H177" s="155"/>
      <c r="J177" s="92"/>
      <c r="K177" s="98"/>
      <c r="L177" s="92"/>
      <c r="N177" s="92"/>
      <c r="O177" s="92"/>
      <c r="P177" s="92"/>
    </row>
    <row r="178">
      <c r="A178" s="90"/>
      <c r="B178" s="97"/>
      <c r="C178" s="121" t="str">
        <f t="array" ref="C178">ifs(and(isblank($A178),isblank($B178)),"", not(iserror(vlookup($A178&amp;$B178,'3) Release_Label'!$D:$D&amp;'3) Release_Label'!$E:$E,1,0))),vlookup($A178&amp;$B178,{'3) Release_Label'!$D:$D&amp;'3) Release_Label'!$E:$E,'3) Release_Label'!$F:$F},2,0), or(and(not(isblank($B178)),$B178=$B177,$A178&lt;&gt;$A177),and(not(isblank($A178)),$A178=$A177,$B178&lt;&gt;$B177)),"ID LISTS UNALIGNED",and($A178&lt;&gt;"",countif('3) Release_Label'!$D:$D,$A178)=0),"NO UPC MATCH in Release_Label",and($B178&lt;&gt;"",countif('3) Release_Label'!$E:$E,$B178)=0),"NO CATALOG ID MATCH in Release_Label",iserror(vlookup($A178&amp;$B178,'3) Release_Label'!$D:$D&amp;'3) Release_Label'!$E:$E,1,0)),"NO UPC-CATALOG ID pair MATCH in Release_Label" )</f>
        <v/>
      </c>
      <c r="D178" s="121" t="str">
        <f t="array" ref="D178">ifs(and(isblank($A178),isblank($B178)),"", not(iserror(vlookup($A178&amp;$B178,'3) Release_Label'!$D:$D&amp;'3) Release_Label'!$E:$E,1,0))),vlookup($A178&amp;$B178,{'3) Release_Label'!$D:$D&amp;'3) Release_Label'!$E:$E,'3) Release_Label'!$H:$H},2,0), or(and(not(isblank($B178)),$B178=$B177,$A178&lt;&gt;$A177),and(not(isblank($A178)),$A178=$A177,$B178&lt;&gt;$B177)),"ID LISTS UNALIGNED",and($A178&lt;&gt;"",countif('3) Release_Label'!$D:$D,$A178)=0),"NO UPC MATCH in Release_Label",and($B178&lt;&gt;"",countif('3) Release_Label'!$E:$E,$B178)=0),"NO CATALOG ID MATCH in Release_Label",iserror(vlookup($A178&amp;$B178,'3) Release_Label'!$D:$D&amp;'3) Release_Label'!$E:$E,1,0)),"NO UPC-CATALOG ID pair MATCH in Release_Label" )</f>
        <v/>
      </c>
      <c r="E178" s="147" t="str">
        <f t="shared" si="1"/>
        <v/>
      </c>
      <c r="G178" s="97"/>
      <c r="H178" s="155"/>
      <c r="J178" s="92"/>
      <c r="K178" s="98"/>
      <c r="L178" s="92"/>
      <c r="N178" s="92"/>
      <c r="O178" s="92"/>
      <c r="P178" s="92"/>
    </row>
    <row r="179">
      <c r="A179" s="90"/>
      <c r="B179" s="97"/>
      <c r="C179" s="121" t="str">
        <f t="array" ref="C179">ifs(and(isblank($A179),isblank($B179)),"", not(iserror(vlookup($A179&amp;$B179,'3) Release_Label'!$D:$D&amp;'3) Release_Label'!$E:$E,1,0))),vlookup($A179&amp;$B179,{'3) Release_Label'!$D:$D&amp;'3) Release_Label'!$E:$E,'3) Release_Label'!$F:$F},2,0), or(and(not(isblank($B179)),$B179=$B178,$A179&lt;&gt;$A178),and(not(isblank($A179)),$A179=$A178,$B179&lt;&gt;$B178)),"ID LISTS UNALIGNED",and($A179&lt;&gt;"",countif('3) Release_Label'!$D:$D,$A179)=0),"NO UPC MATCH in Release_Label",and($B179&lt;&gt;"",countif('3) Release_Label'!$E:$E,$B179)=0),"NO CATALOG ID MATCH in Release_Label",iserror(vlookup($A179&amp;$B179,'3) Release_Label'!$D:$D&amp;'3) Release_Label'!$E:$E,1,0)),"NO UPC-CATALOG ID pair MATCH in Release_Label" )</f>
        <v/>
      </c>
      <c r="D179" s="121" t="str">
        <f t="array" ref="D179">ifs(and(isblank($A179),isblank($B179)),"", not(iserror(vlookup($A179&amp;$B179,'3) Release_Label'!$D:$D&amp;'3) Release_Label'!$E:$E,1,0))),vlookup($A179&amp;$B179,{'3) Release_Label'!$D:$D&amp;'3) Release_Label'!$E:$E,'3) Release_Label'!$H:$H},2,0), or(and(not(isblank($B179)),$B179=$B178,$A179&lt;&gt;$A178),and(not(isblank($A179)),$A179=$A178,$B179&lt;&gt;$B178)),"ID LISTS UNALIGNED",and($A179&lt;&gt;"",countif('3) Release_Label'!$D:$D,$A179)=0),"NO UPC MATCH in Release_Label",and($B179&lt;&gt;"",countif('3) Release_Label'!$E:$E,$B179)=0),"NO CATALOG ID MATCH in Release_Label",iserror(vlookup($A179&amp;$B179,'3) Release_Label'!$D:$D&amp;'3) Release_Label'!$E:$E,1,0)),"NO UPC-CATALOG ID pair MATCH in Release_Label" )</f>
        <v/>
      </c>
      <c r="E179" s="147" t="str">
        <f t="shared" si="1"/>
        <v/>
      </c>
      <c r="G179" s="97"/>
      <c r="H179" s="155"/>
      <c r="J179" s="92"/>
      <c r="K179" s="98"/>
      <c r="L179" s="92"/>
      <c r="N179" s="92"/>
      <c r="O179" s="92"/>
      <c r="P179" s="92"/>
    </row>
    <row r="180">
      <c r="A180" s="90"/>
      <c r="B180" s="97"/>
      <c r="C180" s="121" t="str">
        <f t="array" ref="C180">ifs(and(isblank($A180),isblank($B180)),"", not(iserror(vlookup($A180&amp;$B180,'3) Release_Label'!$D:$D&amp;'3) Release_Label'!$E:$E,1,0))),vlookup($A180&amp;$B180,{'3) Release_Label'!$D:$D&amp;'3) Release_Label'!$E:$E,'3) Release_Label'!$F:$F},2,0), or(and(not(isblank($B180)),$B180=$B179,$A180&lt;&gt;$A179),and(not(isblank($A180)),$A180=$A179,$B180&lt;&gt;$B179)),"ID LISTS UNALIGNED",and($A180&lt;&gt;"",countif('3) Release_Label'!$D:$D,$A180)=0),"NO UPC MATCH in Release_Label",and($B180&lt;&gt;"",countif('3) Release_Label'!$E:$E,$B180)=0),"NO CATALOG ID MATCH in Release_Label",iserror(vlookup($A180&amp;$B180,'3) Release_Label'!$D:$D&amp;'3) Release_Label'!$E:$E,1,0)),"NO UPC-CATALOG ID pair MATCH in Release_Label" )</f>
        <v/>
      </c>
      <c r="D180" s="121" t="str">
        <f t="array" ref="D180">ifs(and(isblank($A180),isblank($B180)),"", not(iserror(vlookup($A180&amp;$B180,'3) Release_Label'!$D:$D&amp;'3) Release_Label'!$E:$E,1,0))),vlookup($A180&amp;$B180,{'3) Release_Label'!$D:$D&amp;'3) Release_Label'!$E:$E,'3) Release_Label'!$H:$H},2,0), or(and(not(isblank($B180)),$B180=$B179,$A180&lt;&gt;$A179),and(not(isblank($A180)),$A180=$A179,$B180&lt;&gt;$B179)),"ID LISTS UNALIGNED",and($A180&lt;&gt;"",countif('3) Release_Label'!$D:$D,$A180)=0),"NO UPC MATCH in Release_Label",and($B180&lt;&gt;"",countif('3) Release_Label'!$E:$E,$B180)=0),"NO CATALOG ID MATCH in Release_Label",iserror(vlookup($A180&amp;$B180,'3) Release_Label'!$D:$D&amp;'3) Release_Label'!$E:$E,1,0)),"NO UPC-CATALOG ID pair MATCH in Release_Label" )</f>
        <v/>
      </c>
      <c r="E180" s="147" t="str">
        <f t="shared" si="1"/>
        <v/>
      </c>
      <c r="G180" s="97"/>
      <c r="H180" s="155"/>
      <c r="J180" s="92"/>
      <c r="K180" s="98"/>
      <c r="L180" s="92"/>
      <c r="N180" s="92"/>
      <c r="O180" s="92"/>
      <c r="P180" s="92"/>
    </row>
    <row r="181">
      <c r="A181" s="90"/>
      <c r="B181" s="97"/>
      <c r="C181" s="121" t="str">
        <f t="array" ref="C181">ifs(and(isblank($A181),isblank($B181)),"", not(iserror(vlookup($A181&amp;$B181,'3) Release_Label'!$D:$D&amp;'3) Release_Label'!$E:$E,1,0))),vlookup($A181&amp;$B181,{'3) Release_Label'!$D:$D&amp;'3) Release_Label'!$E:$E,'3) Release_Label'!$F:$F},2,0), or(and(not(isblank($B181)),$B181=$B180,$A181&lt;&gt;$A180),and(not(isblank($A181)),$A181=$A180,$B181&lt;&gt;$B180)),"ID LISTS UNALIGNED",and($A181&lt;&gt;"",countif('3) Release_Label'!$D:$D,$A181)=0),"NO UPC MATCH in Release_Label",and($B181&lt;&gt;"",countif('3) Release_Label'!$E:$E,$B181)=0),"NO CATALOG ID MATCH in Release_Label",iserror(vlookup($A181&amp;$B181,'3) Release_Label'!$D:$D&amp;'3) Release_Label'!$E:$E,1,0)),"NO UPC-CATALOG ID pair MATCH in Release_Label" )</f>
        <v/>
      </c>
      <c r="D181" s="121" t="str">
        <f t="array" ref="D181">ifs(and(isblank($A181),isblank($B181)),"", not(iserror(vlookup($A181&amp;$B181,'3) Release_Label'!$D:$D&amp;'3) Release_Label'!$E:$E,1,0))),vlookup($A181&amp;$B181,{'3) Release_Label'!$D:$D&amp;'3) Release_Label'!$E:$E,'3) Release_Label'!$H:$H},2,0), or(and(not(isblank($B181)),$B181=$B180,$A181&lt;&gt;$A180),and(not(isblank($A181)),$A181=$A180,$B181&lt;&gt;$B180)),"ID LISTS UNALIGNED",and($A181&lt;&gt;"",countif('3) Release_Label'!$D:$D,$A181)=0),"NO UPC MATCH in Release_Label",and($B181&lt;&gt;"",countif('3) Release_Label'!$E:$E,$B181)=0),"NO CATALOG ID MATCH in Release_Label",iserror(vlookup($A181&amp;$B181,'3) Release_Label'!$D:$D&amp;'3) Release_Label'!$E:$E,1,0)),"NO UPC-CATALOG ID pair MATCH in Release_Label" )</f>
        <v/>
      </c>
      <c r="E181" s="147" t="str">
        <f t="shared" si="1"/>
        <v/>
      </c>
      <c r="G181" s="97"/>
      <c r="H181" s="155"/>
      <c r="J181" s="92"/>
      <c r="K181" s="98"/>
      <c r="L181" s="92"/>
      <c r="N181" s="92"/>
      <c r="O181" s="92"/>
      <c r="P181" s="92"/>
    </row>
    <row r="182">
      <c r="A182" s="90"/>
      <c r="B182" s="97"/>
      <c r="C182" s="121" t="str">
        <f t="array" ref="C182">ifs(and(isblank($A182),isblank($B182)),"", not(iserror(vlookup($A182&amp;$B182,'3) Release_Label'!$D:$D&amp;'3) Release_Label'!$E:$E,1,0))),vlookup($A182&amp;$B182,{'3) Release_Label'!$D:$D&amp;'3) Release_Label'!$E:$E,'3) Release_Label'!$F:$F},2,0), or(and(not(isblank($B182)),$B182=$B181,$A182&lt;&gt;$A181),and(not(isblank($A182)),$A182=$A181,$B182&lt;&gt;$B181)),"ID LISTS UNALIGNED",and($A182&lt;&gt;"",countif('3) Release_Label'!$D:$D,$A182)=0),"NO UPC MATCH in Release_Label",and($B182&lt;&gt;"",countif('3) Release_Label'!$E:$E,$B182)=0),"NO CATALOG ID MATCH in Release_Label",iserror(vlookup($A182&amp;$B182,'3) Release_Label'!$D:$D&amp;'3) Release_Label'!$E:$E,1,0)),"NO UPC-CATALOG ID pair MATCH in Release_Label" )</f>
        <v/>
      </c>
      <c r="D182" s="121" t="str">
        <f t="array" ref="D182">ifs(and(isblank($A182),isblank($B182)),"", not(iserror(vlookup($A182&amp;$B182,'3) Release_Label'!$D:$D&amp;'3) Release_Label'!$E:$E,1,0))),vlookup($A182&amp;$B182,{'3) Release_Label'!$D:$D&amp;'3) Release_Label'!$E:$E,'3) Release_Label'!$H:$H},2,0), or(and(not(isblank($B182)),$B182=$B181,$A182&lt;&gt;$A181),and(not(isblank($A182)),$A182=$A181,$B182&lt;&gt;$B181)),"ID LISTS UNALIGNED",and($A182&lt;&gt;"",countif('3) Release_Label'!$D:$D,$A182)=0),"NO UPC MATCH in Release_Label",and($B182&lt;&gt;"",countif('3) Release_Label'!$E:$E,$B182)=0),"NO CATALOG ID MATCH in Release_Label",iserror(vlookup($A182&amp;$B182,'3) Release_Label'!$D:$D&amp;'3) Release_Label'!$E:$E,1,0)),"NO UPC-CATALOG ID pair MATCH in Release_Label" )</f>
        <v/>
      </c>
      <c r="E182" s="147" t="str">
        <f t="shared" si="1"/>
        <v/>
      </c>
      <c r="G182" s="97"/>
      <c r="H182" s="155"/>
      <c r="J182" s="92"/>
      <c r="K182" s="98"/>
      <c r="L182" s="92"/>
      <c r="N182" s="92"/>
      <c r="O182" s="92"/>
      <c r="P182" s="92"/>
    </row>
    <row r="183">
      <c r="A183" s="90"/>
      <c r="B183" s="97"/>
      <c r="C183" s="121" t="str">
        <f t="array" ref="C183">ifs(and(isblank($A183),isblank($B183)),"", not(iserror(vlookup($A183&amp;$B183,'3) Release_Label'!$D:$D&amp;'3) Release_Label'!$E:$E,1,0))),vlookup($A183&amp;$B183,{'3) Release_Label'!$D:$D&amp;'3) Release_Label'!$E:$E,'3) Release_Label'!$F:$F},2,0), or(and(not(isblank($B183)),$B183=$B182,$A183&lt;&gt;$A182),and(not(isblank($A183)),$A183=$A182,$B183&lt;&gt;$B182)),"ID LISTS UNALIGNED",and($A183&lt;&gt;"",countif('3) Release_Label'!$D:$D,$A183)=0),"NO UPC MATCH in Release_Label",and($B183&lt;&gt;"",countif('3) Release_Label'!$E:$E,$B183)=0),"NO CATALOG ID MATCH in Release_Label",iserror(vlookup($A183&amp;$B183,'3) Release_Label'!$D:$D&amp;'3) Release_Label'!$E:$E,1,0)),"NO UPC-CATALOG ID pair MATCH in Release_Label" )</f>
        <v/>
      </c>
      <c r="D183" s="121" t="str">
        <f t="array" ref="D183">ifs(and(isblank($A183),isblank($B183)),"", not(iserror(vlookup($A183&amp;$B183,'3) Release_Label'!$D:$D&amp;'3) Release_Label'!$E:$E,1,0))),vlookup($A183&amp;$B183,{'3) Release_Label'!$D:$D&amp;'3) Release_Label'!$E:$E,'3) Release_Label'!$H:$H},2,0), or(and(not(isblank($B183)),$B183=$B182,$A183&lt;&gt;$A182),and(not(isblank($A183)),$A183=$A182,$B183&lt;&gt;$B182)),"ID LISTS UNALIGNED",and($A183&lt;&gt;"",countif('3) Release_Label'!$D:$D,$A183)=0),"NO UPC MATCH in Release_Label",and($B183&lt;&gt;"",countif('3) Release_Label'!$E:$E,$B183)=0),"NO CATALOG ID MATCH in Release_Label",iserror(vlookup($A183&amp;$B183,'3) Release_Label'!$D:$D&amp;'3) Release_Label'!$E:$E,1,0)),"NO UPC-CATALOG ID pair MATCH in Release_Label" )</f>
        <v/>
      </c>
      <c r="E183" s="147" t="str">
        <f t="shared" si="1"/>
        <v/>
      </c>
      <c r="G183" s="97"/>
      <c r="H183" s="155"/>
      <c r="J183" s="92"/>
      <c r="K183" s="98"/>
      <c r="L183" s="92"/>
      <c r="N183" s="92"/>
      <c r="O183" s="92"/>
      <c r="P183" s="92"/>
    </row>
    <row r="184">
      <c r="A184" s="90"/>
      <c r="B184" s="97"/>
      <c r="C184" s="121" t="str">
        <f t="array" ref="C184">ifs(and(isblank($A184),isblank($B184)),"", not(iserror(vlookup($A184&amp;$B184,'3) Release_Label'!$D:$D&amp;'3) Release_Label'!$E:$E,1,0))),vlookup($A184&amp;$B184,{'3) Release_Label'!$D:$D&amp;'3) Release_Label'!$E:$E,'3) Release_Label'!$F:$F},2,0), or(and(not(isblank($B184)),$B184=$B183,$A184&lt;&gt;$A183),and(not(isblank($A184)),$A184=$A183,$B184&lt;&gt;$B183)),"ID LISTS UNALIGNED",and($A184&lt;&gt;"",countif('3) Release_Label'!$D:$D,$A184)=0),"NO UPC MATCH in Release_Label",and($B184&lt;&gt;"",countif('3) Release_Label'!$E:$E,$B184)=0),"NO CATALOG ID MATCH in Release_Label",iserror(vlookup($A184&amp;$B184,'3) Release_Label'!$D:$D&amp;'3) Release_Label'!$E:$E,1,0)),"NO UPC-CATALOG ID pair MATCH in Release_Label" )</f>
        <v/>
      </c>
      <c r="D184" s="121" t="str">
        <f t="array" ref="D184">ifs(and(isblank($A184),isblank($B184)),"", not(iserror(vlookup($A184&amp;$B184,'3) Release_Label'!$D:$D&amp;'3) Release_Label'!$E:$E,1,0))),vlookup($A184&amp;$B184,{'3) Release_Label'!$D:$D&amp;'3) Release_Label'!$E:$E,'3) Release_Label'!$H:$H},2,0), or(and(not(isblank($B184)),$B184=$B183,$A184&lt;&gt;$A183),and(not(isblank($A184)),$A184=$A183,$B184&lt;&gt;$B183)),"ID LISTS UNALIGNED",and($A184&lt;&gt;"",countif('3) Release_Label'!$D:$D,$A184)=0),"NO UPC MATCH in Release_Label",and($B184&lt;&gt;"",countif('3) Release_Label'!$E:$E,$B184)=0),"NO CATALOG ID MATCH in Release_Label",iserror(vlookup($A184&amp;$B184,'3) Release_Label'!$D:$D&amp;'3) Release_Label'!$E:$E,1,0)),"NO UPC-CATALOG ID pair MATCH in Release_Label" )</f>
        <v/>
      </c>
      <c r="E184" s="147" t="str">
        <f t="shared" si="1"/>
        <v/>
      </c>
      <c r="G184" s="97"/>
      <c r="H184" s="155"/>
      <c r="J184" s="92"/>
      <c r="K184" s="98"/>
      <c r="L184" s="92"/>
      <c r="N184" s="92"/>
      <c r="O184" s="92"/>
      <c r="P184" s="92"/>
    </row>
    <row r="185">
      <c r="A185" s="90"/>
      <c r="B185" s="97"/>
      <c r="C185" s="121" t="str">
        <f t="array" ref="C185">ifs(and(isblank($A185),isblank($B185)),"", not(iserror(vlookup($A185&amp;$B185,'3) Release_Label'!$D:$D&amp;'3) Release_Label'!$E:$E,1,0))),vlookup($A185&amp;$B185,{'3) Release_Label'!$D:$D&amp;'3) Release_Label'!$E:$E,'3) Release_Label'!$F:$F},2,0), or(and(not(isblank($B185)),$B185=$B184,$A185&lt;&gt;$A184),and(not(isblank($A185)),$A185=$A184,$B185&lt;&gt;$B184)),"ID LISTS UNALIGNED",and($A185&lt;&gt;"",countif('3) Release_Label'!$D:$D,$A185)=0),"NO UPC MATCH in Release_Label",and($B185&lt;&gt;"",countif('3) Release_Label'!$E:$E,$B185)=0),"NO CATALOG ID MATCH in Release_Label",iserror(vlookup($A185&amp;$B185,'3) Release_Label'!$D:$D&amp;'3) Release_Label'!$E:$E,1,0)),"NO UPC-CATALOG ID pair MATCH in Release_Label" )</f>
        <v/>
      </c>
      <c r="D185" s="121" t="str">
        <f t="array" ref="D185">ifs(and(isblank($A185),isblank($B185)),"", not(iserror(vlookup($A185&amp;$B185,'3) Release_Label'!$D:$D&amp;'3) Release_Label'!$E:$E,1,0))),vlookup($A185&amp;$B185,{'3) Release_Label'!$D:$D&amp;'3) Release_Label'!$E:$E,'3) Release_Label'!$H:$H},2,0), or(and(not(isblank($B185)),$B185=$B184,$A185&lt;&gt;$A184),and(not(isblank($A185)),$A185=$A184,$B185&lt;&gt;$B184)),"ID LISTS UNALIGNED",and($A185&lt;&gt;"",countif('3) Release_Label'!$D:$D,$A185)=0),"NO UPC MATCH in Release_Label",and($B185&lt;&gt;"",countif('3) Release_Label'!$E:$E,$B185)=0),"NO CATALOG ID MATCH in Release_Label",iserror(vlookup($A185&amp;$B185,'3) Release_Label'!$D:$D&amp;'3) Release_Label'!$E:$E,1,0)),"NO UPC-CATALOG ID pair MATCH in Release_Label" )</f>
        <v/>
      </c>
      <c r="E185" s="147" t="str">
        <f t="shared" si="1"/>
        <v/>
      </c>
      <c r="G185" s="97"/>
      <c r="H185" s="155"/>
      <c r="J185" s="92"/>
      <c r="K185" s="98"/>
      <c r="L185" s="92"/>
      <c r="N185" s="92"/>
      <c r="O185" s="92"/>
      <c r="P185" s="92"/>
    </row>
    <row r="186">
      <c r="A186" s="90"/>
      <c r="B186" s="97"/>
      <c r="C186" s="121" t="str">
        <f t="array" ref="C186">ifs(and(isblank($A186),isblank($B186)),"", not(iserror(vlookup($A186&amp;$B186,'3) Release_Label'!$D:$D&amp;'3) Release_Label'!$E:$E,1,0))),vlookup($A186&amp;$B186,{'3) Release_Label'!$D:$D&amp;'3) Release_Label'!$E:$E,'3) Release_Label'!$F:$F},2,0), or(and(not(isblank($B186)),$B186=$B185,$A186&lt;&gt;$A185),and(not(isblank($A186)),$A186=$A185,$B186&lt;&gt;$B185)),"ID LISTS UNALIGNED",and($A186&lt;&gt;"",countif('3) Release_Label'!$D:$D,$A186)=0),"NO UPC MATCH in Release_Label",and($B186&lt;&gt;"",countif('3) Release_Label'!$E:$E,$B186)=0),"NO CATALOG ID MATCH in Release_Label",iserror(vlookup($A186&amp;$B186,'3) Release_Label'!$D:$D&amp;'3) Release_Label'!$E:$E,1,0)),"NO UPC-CATALOG ID pair MATCH in Release_Label" )</f>
        <v/>
      </c>
      <c r="D186" s="121" t="str">
        <f t="array" ref="D186">ifs(and(isblank($A186),isblank($B186)),"", not(iserror(vlookup($A186&amp;$B186,'3) Release_Label'!$D:$D&amp;'3) Release_Label'!$E:$E,1,0))),vlookup($A186&amp;$B186,{'3) Release_Label'!$D:$D&amp;'3) Release_Label'!$E:$E,'3) Release_Label'!$H:$H},2,0), or(and(not(isblank($B186)),$B186=$B185,$A186&lt;&gt;$A185),and(not(isblank($A186)),$A186=$A185,$B186&lt;&gt;$B185)),"ID LISTS UNALIGNED",and($A186&lt;&gt;"",countif('3) Release_Label'!$D:$D,$A186)=0),"NO UPC MATCH in Release_Label",and($B186&lt;&gt;"",countif('3) Release_Label'!$E:$E,$B186)=0),"NO CATALOG ID MATCH in Release_Label",iserror(vlookup($A186&amp;$B186,'3) Release_Label'!$D:$D&amp;'3) Release_Label'!$E:$E,1,0)),"NO UPC-CATALOG ID pair MATCH in Release_Label" )</f>
        <v/>
      </c>
      <c r="E186" s="147" t="str">
        <f t="shared" si="1"/>
        <v/>
      </c>
      <c r="G186" s="97"/>
      <c r="H186" s="155"/>
      <c r="J186" s="92"/>
      <c r="K186" s="98"/>
      <c r="L186" s="92"/>
      <c r="N186" s="92"/>
      <c r="O186" s="92"/>
      <c r="P186" s="92"/>
    </row>
    <row r="187">
      <c r="A187" s="90"/>
      <c r="B187" s="97"/>
      <c r="C187" s="121" t="str">
        <f t="array" ref="C187">ifs(and(isblank($A187),isblank($B187)),"", not(iserror(vlookup($A187&amp;$B187,'3) Release_Label'!$D:$D&amp;'3) Release_Label'!$E:$E,1,0))),vlookup($A187&amp;$B187,{'3) Release_Label'!$D:$D&amp;'3) Release_Label'!$E:$E,'3) Release_Label'!$F:$F},2,0), or(and(not(isblank($B187)),$B187=$B186,$A187&lt;&gt;$A186),and(not(isblank($A187)),$A187=$A186,$B187&lt;&gt;$B186)),"ID LISTS UNALIGNED",and($A187&lt;&gt;"",countif('3) Release_Label'!$D:$D,$A187)=0),"NO UPC MATCH in Release_Label",and($B187&lt;&gt;"",countif('3) Release_Label'!$E:$E,$B187)=0),"NO CATALOG ID MATCH in Release_Label",iserror(vlookup($A187&amp;$B187,'3) Release_Label'!$D:$D&amp;'3) Release_Label'!$E:$E,1,0)),"NO UPC-CATALOG ID pair MATCH in Release_Label" )</f>
        <v/>
      </c>
      <c r="D187" s="121" t="str">
        <f t="array" ref="D187">ifs(and(isblank($A187),isblank($B187)),"", not(iserror(vlookup($A187&amp;$B187,'3) Release_Label'!$D:$D&amp;'3) Release_Label'!$E:$E,1,0))),vlookup($A187&amp;$B187,{'3) Release_Label'!$D:$D&amp;'3) Release_Label'!$E:$E,'3) Release_Label'!$H:$H},2,0), or(and(not(isblank($B187)),$B187=$B186,$A187&lt;&gt;$A186),and(not(isblank($A187)),$A187=$A186,$B187&lt;&gt;$B186)),"ID LISTS UNALIGNED",and($A187&lt;&gt;"",countif('3) Release_Label'!$D:$D,$A187)=0),"NO UPC MATCH in Release_Label",and($B187&lt;&gt;"",countif('3) Release_Label'!$E:$E,$B187)=0),"NO CATALOG ID MATCH in Release_Label",iserror(vlookup($A187&amp;$B187,'3) Release_Label'!$D:$D&amp;'3) Release_Label'!$E:$E,1,0)),"NO UPC-CATALOG ID pair MATCH in Release_Label" )</f>
        <v/>
      </c>
      <c r="E187" s="147" t="str">
        <f t="shared" si="1"/>
        <v/>
      </c>
      <c r="G187" s="97"/>
      <c r="H187" s="155"/>
      <c r="J187" s="92"/>
      <c r="K187" s="98"/>
      <c r="L187" s="92"/>
      <c r="N187" s="92"/>
      <c r="O187" s="92"/>
      <c r="P187" s="92"/>
    </row>
    <row r="188">
      <c r="A188" s="90"/>
      <c r="B188" s="97"/>
      <c r="C188" s="121" t="str">
        <f t="array" ref="C188">ifs(and(isblank($A188),isblank($B188)),"", not(iserror(vlookup($A188&amp;$B188,'3) Release_Label'!$D:$D&amp;'3) Release_Label'!$E:$E,1,0))),vlookup($A188&amp;$B188,{'3) Release_Label'!$D:$D&amp;'3) Release_Label'!$E:$E,'3) Release_Label'!$F:$F},2,0), or(and(not(isblank($B188)),$B188=$B187,$A188&lt;&gt;$A187),and(not(isblank($A188)),$A188=$A187,$B188&lt;&gt;$B187)),"ID LISTS UNALIGNED",and($A188&lt;&gt;"",countif('3) Release_Label'!$D:$D,$A188)=0),"NO UPC MATCH in Release_Label",and($B188&lt;&gt;"",countif('3) Release_Label'!$E:$E,$B188)=0),"NO CATALOG ID MATCH in Release_Label",iserror(vlookup($A188&amp;$B188,'3) Release_Label'!$D:$D&amp;'3) Release_Label'!$E:$E,1,0)),"NO UPC-CATALOG ID pair MATCH in Release_Label" )</f>
        <v/>
      </c>
      <c r="D188" s="121" t="str">
        <f t="array" ref="D188">ifs(and(isblank($A188),isblank($B188)),"", not(iserror(vlookup($A188&amp;$B188,'3) Release_Label'!$D:$D&amp;'3) Release_Label'!$E:$E,1,0))),vlookup($A188&amp;$B188,{'3) Release_Label'!$D:$D&amp;'3) Release_Label'!$E:$E,'3) Release_Label'!$H:$H},2,0), or(and(not(isblank($B188)),$B188=$B187,$A188&lt;&gt;$A187),and(not(isblank($A188)),$A188=$A187,$B188&lt;&gt;$B187)),"ID LISTS UNALIGNED",and($A188&lt;&gt;"",countif('3) Release_Label'!$D:$D,$A188)=0),"NO UPC MATCH in Release_Label",and($B188&lt;&gt;"",countif('3) Release_Label'!$E:$E,$B188)=0),"NO CATALOG ID MATCH in Release_Label",iserror(vlookup($A188&amp;$B188,'3) Release_Label'!$D:$D&amp;'3) Release_Label'!$E:$E,1,0)),"NO UPC-CATALOG ID pair MATCH in Release_Label" )</f>
        <v/>
      </c>
      <c r="E188" s="147" t="str">
        <f t="shared" si="1"/>
        <v/>
      </c>
      <c r="G188" s="97"/>
      <c r="H188" s="155"/>
      <c r="J188" s="92"/>
      <c r="K188" s="98"/>
      <c r="L188" s="92"/>
      <c r="N188" s="92"/>
      <c r="O188" s="92"/>
      <c r="P188" s="92"/>
    </row>
    <row r="189">
      <c r="A189" s="90"/>
      <c r="B189" s="97"/>
      <c r="C189" s="121" t="str">
        <f t="array" ref="C189">ifs(and(isblank($A189),isblank($B189)),"", not(iserror(vlookup($A189&amp;$B189,'3) Release_Label'!$D:$D&amp;'3) Release_Label'!$E:$E,1,0))),vlookup($A189&amp;$B189,{'3) Release_Label'!$D:$D&amp;'3) Release_Label'!$E:$E,'3) Release_Label'!$F:$F},2,0), or(and(not(isblank($B189)),$B189=$B188,$A189&lt;&gt;$A188),and(not(isblank($A189)),$A189=$A188,$B189&lt;&gt;$B188)),"ID LISTS UNALIGNED",and($A189&lt;&gt;"",countif('3) Release_Label'!$D:$D,$A189)=0),"NO UPC MATCH in Release_Label",and($B189&lt;&gt;"",countif('3) Release_Label'!$E:$E,$B189)=0),"NO CATALOG ID MATCH in Release_Label",iserror(vlookup($A189&amp;$B189,'3) Release_Label'!$D:$D&amp;'3) Release_Label'!$E:$E,1,0)),"NO UPC-CATALOG ID pair MATCH in Release_Label" )</f>
        <v/>
      </c>
      <c r="D189" s="121" t="str">
        <f t="array" ref="D189">ifs(and(isblank($A189),isblank($B189)),"", not(iserror(vlookup($A189&amp;$B189,'3) Release_Label'!$D:$D&amp;'3) Release_Label'!$E:$E,1,0))),vlookup($A189&amp;$B189,{'3) Release_Label'!$D:$D&amp;'3) Release_Label'!$E:$E,'3) Release_Label'!$H:$H},2,0), or(and(not(isblank($B189)),$B189=$B188,$A189&lt;&gt;$A188),and(not(isblank($A189)),$A189=$A188,$B189&lt;&gt;$B188)),"ID LISTS UNALIGNED",and($A189&lt;&gt;"",countif('3) Release_Label'!$D:$D,$A189)=0),"NO UPC MATCH in Release_Label",and($B189&lt;&gt;"",countif('3) Release_Label'!$E:$E,$B189)=0),"NO CATALOG ID MATCH in Release_Label",iserror(vlookup($A189&amp;$B189,'3) Release_Label'!$D:$D&amp;'3) Release_Label'!$E:$E,1,0)),"NO UPC-CATALOG ID pair MATCH in Release_Label" )</f>
        <v/>
      </c>
      <c r="E189" s="147" t="str">
        <f t="shared" si="1"/>
        <v/>
      </c>
      <c r="G189" s="97"/>
      <c r="H189" s="155"/>
      <c r="J189" s="92"/>
      <c r="K189" s="98"/>
      <c r="L189" s="92"/>
      <c r="N189" s="92"/>
      <c r="O189" s="92"/>
      <c r="P189" s="92"/>
    </row>
    <row r="190">
      <c r="A190" s="90"/>
      <c r="B190" s="97"/>
      <c r="C190" s="121" t="str">
        <f t="array" ref="C190">ifs(and(isblank($A190),isblank($B190)),"", not(iserror(vlookup($A190&amp;$B190,'3) Release_Label'!$D:$D&amp;'3) Release_Label'!$E:$E,1,0))),vlookup($A190&amp;$B190,{'3) Release_Label'!$D:$D&amp;'3) Release_Label'!$E:$E,'3) Release_Label'!$F:$F},2,0), or(and(not(isblank($B190)),$B190=$B189,$A190&lt;&gt;$A189),and(not(isblank($A190)),$A190=$A189,$B190&lt;&gt;$B189)),"ID LISTS UNALIGNED",and($A190&lt;&gt;"",countif('3) Release_Label'!$D:$D,$A190)=0),"NO UPC MATCH in Release_Label",and($B190&lt;&gt;"",countif('3) Release_Label'!$E:$E,$B190)=0),"NO CATALOG ID MATCH in Release_Label",iserror(vlookup($A190&amp;$B190,'3) Release_Label'!$D:$D&amp;'3) Release_Label'!$E:$E,1,0)),"NO UPC-CATALOG ID pair MATCH in Release_Label" )</f>
        <v/>
      </c>
      <c r="D190" s="121" t="str">
        <f t="array" ref="D190">ifs(and(isblank($A190),isblank($B190)),"", not(iserror(vlookup($A190&amp;$B190,'3) Release_Label'!$D:$D&amp;'3) Release_Label'!$E:$E,1,0))),vlookup($A190&amp;$B190,{'3) Release_Label'!$D:$D&amp;'3) Release_Label'!$E:$E,'3) Release_Label'!$H:$H},2,0), or(and(not(isblank($B190)),$B190=$B189,$A190&lt;&gt;$A189),and(not(isblank($A190)),$A190=$A189,$B190&lt;&gt;$B189)),"ID LISTS UNALIGNED",and($A190&lt;&gt;"",countif('3) Release_Label'!$D:$D,$A190)=0),"NO UPC MATCH in Release_Label",and($B190&lt;&gt;"",countif('3) Release_Label'!$E:$E,$B190)=0),"NO CATALOG ID MATCH in Release_Label",iserror(vlookup($A190&amp;$B190,'3) Release_Label'!$D:$D&amp;'3) Release_Label'!$E:$E,1,0)),"NO UPC-CATALOG ID pair MATCH in Release_Label" )</f>
        <v/>
      </c>
      <c r="E190" s="147" t="str">
        <f t="shared" si="1"/>
        <v/>
      </c>
      <c r="G190" s="97"/>
      <c r="H190" s="155"/>
      <c r="J190" s="92"/>
      <c r="K190" s="98"/>
      <c r="L190" s="92"/>
      <c r="N190" s="92"/>
      <c r="O190" s="92"/>
      <c r="P190" s="92"/>
    </row>
    <row r="191">
      <c r="A191" s="90"/>
      <c r="B191" s="97"/>
      <c r="C191" s="121" t="str">
        <f t="array" ref="C191">ifs(and(isblank($A191),isblank($B191)),"", not(iserror(vlookup($A191&amp;$B191,'3) Release_Label'!$D:$D&amp;'3) Release_Label'!$E:$E,1,0))),vlookup($A191&amp;$B191,{'3) Release_Label'!$D:$D&amp;'3) Release_Label'!$E:$E,'3) Release_Label'!$F:$F},2,0), or(and(not(isblank($B191)),$B191=$B190,$A191&lt;&gt;$A190),and(not(isblank($A191)),$A191=$A190,$B191&lt;&gt;$B190)),"ID LISTS UNALIGNED",and($A191&lt;&gt;"",countif('3) Release_Label'!$D:$D,$A191)=0),"NO UPC MATCH in Release_Label",and($B191&lt;&gt;"",countif('3) Release_Label'!$E:$E,$B191)=0),"NO CATALOG ID MATCH in Release_Label",iserror(vlookup($A191&amp;$B191,'3) Release_Label'!$D:$D&amp;'3) Release_Label'!$E:$E,1,0)),"NO UPC-CATALOG ID pair MATCH in Release_Label" )</f>
        <v/>
      </c>
      <c r="D191" s="121" t="str">
        <f t="array" ref="D191">ifs(and(isblank($A191),isblank($B191)),"", not(iserror(vlookup($A191&amp;$B191,'3) Release_Label'!$D:$D&amp;'3) Release_Label'!$E:$E,1,0))),vlookup($A191&amp;$B191,{'3) Release_Label'!$D:$D&amp;'3) Release_Label'!$E:$E,'3) Release_Label'!$H:$H},2,0), or(and(not(isblank($B191)),$B191=$B190,$A191&lt;&gt;$A190),and(not(isblank($A191)),$A191=$A190,$B191&lt;&gt;$B190)),"ID LISTS UNALIGNED",and($A191&lt;&gt;"",countif('3) Release_Label'!$D:$D,$A191)=0),"NO UPC MATCH in Release_Label",and($B191&lt;&gt;"",countif('3) Release_Label'!$E:$E,$B191)=0),"NO CATALOG ID MATCH in Release_Label",iserror(vlookup($A191&amp;$B191,'3) Release_Label'!$D:$D&amp;'3) Release_Label'!$E:$E,1,0)),"NO UPC-CATALOG ID pair MATCH in Release_Label" )</f>
        <v/>
      </c>
      <c r="E191" s="147" t="str">
        <f t="shared" si="1"/>
        <v/>
      </c>
      <c r="G191" s="97"/>
      <c r="H191" s="155"/>
      <c r="J191" s="92"/>
      <c r="K191" s="98"/>
      <c r="L191" s="92"/>
      <c r="N191" s="92"/>
      <c r="O191" s="92"/>
      <c r="P191" s="92"/>
    </row>
    <row r="192">
      <c r="A192" s="90"/>
      <c r="B192" s="97"/>
      <c r="C192" s="121" t="str">
        <f t="array" ref="C192">ifs(and(isblank($A192),isblank($B192)),"", not(iserror(vlookup($A192&amp;$B192,'3) Release_Label'!$D:$D&amp;'3) Release_Label'!$E:$E,1,0))),vlookup($A192&amp;$B192,{'3) Release_Label'!$D:$D&amp;'3) Release_Label'!$E:$E,'3) Release_Label'!$F:$F},2,0), or(and(not(isblank($B192)),$B192=$B191,$A192&lt;&gt;$A191),and(not(isblank($A192)),$A192=$A191,$B192&lt;&gt;$B191)),"ID LISTS UNALIGNED",and($A192&lt;&gt;"",countif('3) Release_Label'!$D:$D,$A192)=0),"NO UPC MATCH in Release_Label",and($B192&lt;&gt;"",countif('3) Release_Label'!$E:$E,$B192)=0),"NO CATALOG ID MATCH in Release_Label",iserror(vlookup($A192&amp;$B192,'3) Release_Label'!$D:$D&amp;'3) Release_Label'!$E:$E,1,0)),"NO UPC-CATALOG ID pair MATCH in Release_Label" )</f>
        <v/>
      </c>
      <c r="D192" s="121" t="str">
        <f t="array" ref="D192">ifs(and(isblank($A192),isblank($B192)),"", not(iserror(vlookup($A192&amp;$B192,'3) Release_Label'!$D:$D&amp;'3) Release_Label'!$E:$E,1,0))),vlookup($A192&amp;$B192,{'3) Release_Label'!$D:$D&amp;'3) Release_Label'!$E:$E,'3) Release_Label'!$H:$H},2,0), or(and(not(isblank($B192)),$B192=$B191,$A192&lt;&gt;$A191),and(not(isblank($A192)),$A192=$A191,$B192&lt;&gt;$B191)),"ID LISTS UNALIGNED",and($A192&lt;&gt;"",countif('3) Release_Label'!$D:$D,$A192)=0),"NO UPC MATCH in Release_Label",and($B192&lt;&gt;"",countif('3) Release_Label'!$E:$E,$B192)=0),"NO CATALOG ID MATCH in Release_Label",iserror(vlookup($A192&amp;$B192,'3) Release_Label'!$D:$D&amp;'3) Release_Label'!$E:$E,1,0)),"NO UPC-CATALOG ID pair MATCH in Release_Label" )</f>
        <v/>
      </c>
      <c r="E192" s="147" t="str">
        <f t="shared" si="1"/>
        <v/>
      </c>
      <c r="G192" s="97"/>
      <c r="H192" s="155"/>
      <c r="J192" s="92"/>
      <c r="K192" s="98"/>
      <c r="L192" s="92"/>
      <c r="N192" s="92"/>
      <c r="O192" s="92"/>
      <c r="P192" s="92"/>
    </row>
    <row r="193">
      <c r="A193" s="90"/>
      <c r="B193" s="97"/>
      <c r="C193" s="121" t="str">
        <f t="array" ref="C193">ifs(and(isblank($A193),isblank($B193)),"", not(iserror(vlookup($A193&amp;$B193,'3) Release_Label'!$D:$D&amp;'3) Release_Label'!$E:$E,1,0))),vlookup($A193&amp;$B193,{'3) Release_Label'!$D:$D&amp;'3) Release_Label'!$E:$E,'3) Release_Label'!$F:$F},2,0), or(and(not(isblank($B193)),$B193=$B192,$A193&lt;&gt;$A192),and(not(isblank($A193)),$A193=$A192,$B193&lt;&gt;$B192)),"ID LISTS UNALIGNED",and($A193&lt;&gt;"",countif('3) Release_Label'!$D:$D,$A193)=0),"NO UPC MATCH in Release_Label",and($B193&lt;&gt;"",countif('3) Release_Label'!$E:$E,$B193)=0),"NO CATALOG ID MATCH in Release_Label",iserror(vlookup($A193&amp;$B193,'3) Release_Label'!$D:$D&amp;'3) Release_Label'!$E:$E,1,0)),"NO UPC-CATALOG ID pair MATCH in Release_Label" )</f>
        <v/>
      </c>
      <c r="D193" s="121" t="str">
        <f t="array" ref="D193">ifs(and(isblank($A193),isblank($B193)),"", not(iserror(vlookup($A193&amp;$B193,'3) Release_Label'!$D:$D&amp;'3) Release_Label'!$E:$E,1,0))),vlookup($A193&amp;$B193,{'3) Release_Label'!$D:$D&amp;'3) Release_Label'!$E:$E,'3) Release_Label'!$H:$H},2,0), or(and(not(isblank($B193)),$B193=$B192,$A193&lt;&gt;$A192),and(not(isblank($A193)),$A193=$A192,$B193&lt;&gt;$B192)),"ID LISTS UNALIGNED",and($A193&lt;&gt;"",countif('3) Release_Label'!$D:$D,$A193)=0),"NO UPC MATCH in Release_Label",and($B193&lt;&gt;"",countif('3) Release_Label'!$E:$E,$B193)=0),"NO CATALOG ID MATCH in Release_Label",iserror(vlookup($A193&amp;$B193,'3) Release_Label'!$D:$D&amp;'3) Release_Label'!$E:$E,1,0)),"NO UPC-CATALOG ID pair MATCH in Release_Label" )</f>
        <v/>
      </c>
      <c r="E193" s="147" t="str">
        <f t="shared" si="1"/>
        <v/>
      </c>
      <c r="G193" s="97"/>
      <c r="H193" s="155"/>
      <c r="J193" s="92"/>
      <c r="K193" s="98"/>
      <c r="L193" s="92"/>
      <c r="N193" s="92"/>
      <c r="O193" s="92"/>
      <c r="P193" s="92"/>
    </row>
    <row r="194">
      <c r="A194" s="90"/>
      <c r="B194" s="97"/>
      <c r="C194" s="121" t="str">
        <f t="array" ref="C194">ifs(and(isblank($A194),isblank($B194)),"", not(iserror(vlookup($A194&amp;$B194,'3) Release_Label'!$D:$D&amp;'3) Release_Label'!$E:$E,1,0))),vlookup($A194&amp;$B194,{'3) Release_Label'!$D:$D&amp;'3) Release_Label'!$E:$E,'3) Release_Label'!$F:$F},2,0), or(and(not(isblank($B194)),$B194=$B193,$A194&lt;&gt;$A193),and(not(isblank($A194)),$A194=$A193,$B194&lt;&gt;$B193)),"ID LISTS UNALIGNED",and($A194&lt;&gt;"",countif('3) Release_Label'!$D:$D,$A194)=0),"NO UPC MATCH in Release_Label",and($B194&lt;&gt;"",countif('3) Release_Label'!$E:$E,$B194)=0),"NO CATALOG ID MATCH in Release_Label",iserror(vlookup($A194&amp;$B194,'3) Release_Label'!$D:$D&amp;'3) Release_Label'!$E:$E,1,0)),"NO UPC-CATALOG ID pair MATCH in Release_Label" )</f>
        <v/>
      </c>
      <c r="D194" s="121" t="str">
        <f t="array" ref="D194">ifs(and(isblank($A194),isblank($B194)),"", not(iserror(vlookup($A194&amp;$B194,'3) Release_Label'!$D:$D&amp;'3) Release_Label'!$E:$E,1,0))),vlookup($A194&amp;$B194,{'3) Release_Label'!$D:$D&amp;'3) Release_Label'!$E:$E,'3) Release_Label'!$H:$H},2,0), or(and(not(isblank($B194)),$B194=$B193,$A194&lt;&gt;$A193),and(not(isblank($A194)),$A194=$A193,$B194&lt;&gt;$B193)),"ID LISTS UNALIGNED",and($A194&lt;&gt;"",countif('3) Release_Label'!$D:$D,$A194)=0),"NO UPC MATCH in Release_Label",and($B194&lt;&gt;"",countif('3) Release_Label'!$E:$E,$B194)=0),"NO CATALOG ID MATCH in Release_Label",iserror(vlookup($A194&amp;$B194,'3) Release_Label'!$D:$D&amp;'3) Release_Label'!$E:$E,1,0)),"NO UPC-CATALOG ID pair MATCH in Release_Label" )</f>
        <v/>
      </c>
      <c r="E194" s="147" t="str">
        <f t="shared" si="1"/>
        <v/>
      </c>
      <c r="G194" s="97"/>
      <c r="H194" s="155"/>
      <c r="J194" s="92"/>
      <c r="K194" s="98"/>
      <c r="L194" s="92"/>
      <c r="N194" s="92"/>
      <c r="O194" s="92"/>
      <c r="P194" s="92"/>
    </row>
    <row r="195">
      <c r="A195" s="90"/>
      <c r="B195" s="97"/>
      <c r="C195" s="121" t="str">
        <f t="array" ref="C195">ifs(and(isblank($A195),isblank($B195)),"", not(iserror(vlookup($A195&amp;$B195,'3) Release_Label'!$D:$D&amp;'3) Release_Label'!$E:$E,1,0))),vlookup($A195&amp;$B195,{'3) Release_Label'!$D:$D&amp;'3) Release_Label'!$E:$E,'3) Release_Label'!$F:$F},2,0), or(and(not(isblank($B195)),$B195=$B194,$A195&lt;&gt;$A194),and(not(isblank($A195)),$A195=$A194,$B195&lt;&gt;$B194)),"ID LISTS UNALIGNED",and($A195&lt;&gt;"",countif('3) Release_Label'!$D:$D,$A195)=0),"NO UPC MATCH in Release_Label",and($B195&lt;&gt;"",countif('3) Release_Label'!$E:$E,$B195)=0),"NO CATALOG ID MATCH in Release_Label",iserror(vlookup($A195&amp;$B195,'3) Release_Label'!$D:$D&amp;'3) Release_Label'!$E:$E,1,0)),"NO UPC-CATALOG ID pair MATCH in Release_Label" )</f>
        <v/>
      </c>
      <c r="D195" s="121" t="str">
        <f t="array" ref="D195">ifs(and(isblank($A195),isblank($B195)),"", not(iserror(vlookup($A195&amp;$B195,'3) Release_Label'!$D:$D&amp;'3) Release_Label'!$E:$E,1,0))),vlookup($A195&amp;$B195,{'3) Release_Label'!$D:$D&amp;'3) Release_Label'!$E:$E,'3) Release_Label'!$H:$H},2,0), or(and(not(isblank($B195)),$B195=$B194,$A195&lt;&gt;$A194),and(not(isblank($A195)),$A195=$A194,$B195&lt;&gt;$B194)),"ID LISTS UNALIGNED",and($A195&lt;&gt;"",countif('3) Release_Label'!$D:$D,$A195)=0),"NO UPC MATCH in Release_Label",and($B195&lt;&gt;"",countif('3) Release_Label'!$E:$E,$B195)=0),"NO CATALOG ID MATCH in Release_Label",iserror(vlookup($A195&amp;$B195,'3) Release_Label'!$D:$D&amp;'3) Release_Label'!$E:$E,1,0)),"NO UPC-CATALOG ID pair MATCH in Release_Label" )</f>
        <v/>
      </c>
      <c r="E195" s="147" t="str">
        <f t="shared" si="1"/>
        <v/>
      </c>
      <c r="G195" s="97"/>
      <c r="H195" s="155"/>
      <c r="J195" s="92"/>
      <c r="K195" s="98"/>
      <c r="L195" s="92"/>
      <c r="N195" s="92"/>
      <c r="O195" s="92"/>
      <c r="P195" s="92"/>
    </row>
    <row r="196">
      <c r="A196" s="90"/>
      <c r="B196" s="97"/>
      <c r="C196" s="121" t="str">
        <f t="array" ref="C196">ifs(and(isblank($A196),isblank($B196)),"", not(iserror(vlookup($A196&amp;$B196,'3) Release_Label'!$D:$D&amp;'3) Release_Label'!$E:$E,1,0))),vlookup($A196&amp;$B196,{'3) Release_Label'!$D:$D&amp;'3) Release_Label'!$E:$E,'3) Release_Label'!$F:$F},2,0), or(and(not(isblank($B196)),$B196=$B195,$A196&lt;&gt;$A195),and(not(isblank($A196)),$A196=$A195,$B196&lt;&gt;$B195)),"ID LISTS UNALIGNED",and($A196&lt;&gt;"",countif('3) Release_Label'!$D:$D,$A196)=0),"NO UPC MATCH in Release_Label",and($B196&lt;&gt;"",countif('3) Release_Label'!$E:$E,$B196)=0),"NO CATALOG ID MATCH in Release_Label",iserror(vlookup($A196&amp;$B196,'3) Release_Label'!$D:$D&amp;'3) Release_Label'!$E:$E,1,0)),"NO UPC-CATALOG ID pair MATCH in Release_Label" )</f>
        <v/>
      </c>
      <c r="D196" s="121" t="str">
        <f t="array" ref="D196">ifs(and(isblank($A196),isblank($B196)),"", not(iserror(vlookup($A196&amp;$B196,'3) Release_Label'!$D:$D&amp;'3) Release_Label'!$E:$E,1,0))),vlookup($A196&amp;$B196,{'3) Release_Label'!$D:$D&amp;'3) Release_Label'!$E:$E,'3) Release_Label'!$H:$H},2,0), or(and(not(isblank($B196)),$B196=$B195,$A196&lt;&gt;$A195),and(not(isblank($A196)),$A196=$A195,$B196&lt;&gt;$B195)),"ID LISTS UNALIGNED",and($A196&lt;&gt;"",countif('3) Release_Label'!$D:$D,$A196)=0),"NO UPC MATCH in Release_Label",and($B196&lt;&gt;"",countif('3) Release_Label'!$E:$E,$B196)=0),"NO CATALOG ID MATCH in Release_Label",iserror(vlookup($A196&amp;$B196,'3) Release_Label'!$D:$D&amp;'3) Release_Label'!$E:$E,1,0)),"NO UPC-CATALOG ID pair MATCH in Release_Label" )</f>
        <v/>
      </c>
      <c r="E196" s="147" t="str">
        <f t="shared" si="1"/>
        <v/>
      </c>
      <c r="G196" s="97"/>
      <c r="H196" s="155"/>
      <c r="J196" s="92"/>
      <c r="K196" s="98"/>
      <c r="L196" s="92"/>
      <c r="N196" s="92"/>
      <c r="O196" s="92"/>
      <c r="P196" s="92"/>
    </row>
    <row r="197">
      <c r="A197" s="90"/>
      <c r="B197" s="97"/>
      <c r="C197" s="121" t="str">
        <f t="array" ref="C197">ifs(and(isblank($A197),isblank($B197)),"", not(iserror(vlookup($A197&amp;$B197,'3) Release_Label'!$D:$D&amp;'3) Release_Label'!$E:$E,1,0))),vlookup($A197&amp;$B197,{'3) Release_Label'!$D:$D&amp;'3) Release_Label'!$E:$E,'3) Release_Label'!$F:$F},2,0), or(and(not(isblank($B197)),$B197=$B196,$A197&lt;&gt;$A196),and(not(isblank($A197)),$A197=$A196,$B197&lt;&gt;$B196)),"ID LISTS UNALIGNED",and($A197&lt;&gt;"",countif('3) Release_Label'!$D:$D,$A197)=0),"NO UPC MATCH in Release_Label",and($B197&lt;&gt;"",countif('3) Release_Label'!$E:$E,$B197)=0),"NO CATALOG ID MATCH in Release_Label",iserror(vlookup($A197&amp;$B197,'3) Release_Label'!$D:$D&amp;'3) Release_Label'!$E:$E,1,0)),"NO UPC-CATALOG ID pair MATCH in Release_Label" )</f>
        <v/>
      </c>
      <c r="D197" s="121" t="str">
        <f t="array" ref="D197">ifs(and(isblank($A197),isblank($B197)),"", not(iserror(vlookup($A197&amp;$B197,'3) Release_Label'!$D:$D&amp;'3) Release_Label'!$E:$E,1,0))),vlookup($A197&amp;$B197,{'3) Release_Label'!$D:$D&amp;'3) Release_Label'!$E:$E,'3) Release_Label'!$H:$H},2,0), or(and(not(isblank($B197)),$B197=$B196,$A197&lt;&gt;$A196),and(not(isblank($A197)),$A197=$A196,$B197&lt;&gt;$B196)),"ID LISTS UNALIGNED",and($A197&lt;&gt;"",countif('3) Release_Label'!$D:$D,$A197)=0),"NO UPC MATCH in Release_Label",and($B197&lt;&gt;"",countif('3) Release_Label'!$E:$E,$B197)=0),"NO CATALOG ID MATCH in Release_Label",iserror(vlookup($A197&amp;$B197,'3) Release_Label'!$D:$D&amp;'3) Release_Label'!$E:$E,1,0)),"NO UPC-CATALOG ID pair MATCH in Release_Label" )</f>
        <v/>
      </c>
      <c r="E197" s="147" t="str">
        <f t="shared" si="1"/>
        <v/>
      </c>
      <c r="G197" s="97"/>
      <c r="H197" s="155"/>
      <c r="J197" s="92"/>
      <c r="K197" s="98"/>
      <c r="L197" s="92"/>
      <c r="N197" s="92"/>
      <c r="O197" s="92"/>
      <c r="P197" s="92"/>
    </row>
    <row r="198">
      <c r="A198" s="90"/>
      <c r="B198" s="97"/>
      <c r="C198" s="121" t="str">
        <f t="array" ref="C198">ifs(and(isblank($A198),isblank($B198)),"", not(iserror(vlookup($A198&amp;$B198,'3) Release_Label'!$D:$D&amp;'3) Release_Label'!$E:$E,1,0))),vlookup($A198&amp;$B198,{'3) Release_Label'!$D:$D&amp;'3) Release_Label'!$E:$E,'3) Release_Label'!$F:$F},2,0), or(and(not(isblank($B198)),$B198=$B197,$A198&lt;&gt;$A197),and(not(isblank($A198)),$A198=$A197,$B198&lt;&gt;$B197)),"ID LISTS UNALIGNED",and($A198&lt;&gt;"",countif('3) Release_Label'!$D:$D,$A198)=0),"NO UPC MATCH in Release_Label",and($B198&lt;&gt;"",countif('3) Release_Label'!$E:$E,$B198)=0),"NO CATALOG ID MATCH in Release_Label",iserror(vlookup($A198&amp;$B198,'3) Release_Label'!$D:$D&amp;'3) Release_Label'!$E:$E,1,0)),"NO UPC-CATALOG ID pair MATCH in Release_Label" )</f>
        <v/>
      </c>
      <c r="D198" s="121" t="str">
        <f t="array" ref="D198">ifs(and(isblank($A198),isblank($B198)),"", not(iserror(vlookup($A198&amp;$B198,'3) Release_Label'!$D:$D&amp;'3) Release_Label'!$E:$E,1,0))),vlookup($A198&amp;$B198,{'3) Release_Label'!$D:$D&amp;'3) Release_Label'!$E:$E,'3) Release_Label'!$H:$H},2,0), or(and(not(isblank($B198)),$B198=$B197,$A198&lt;&gt;$A197),and(not(isblank($A198)),$A198=$A197,$B198&lt;&gt;$B197)),"ID LISTS UNALIGNED",and($A198&lt;&gt;"",countif('3) Release_Label'!$D:$D,$A198)=0),"NO UPC MATCH in Release_Label",and($B198&lt;&gt;"",countif('3) Release_Label'!$E:$E,$B198)=0),"NO CATALOG ID MATCH in Release_Label",iserror(vlookup($A198&amp;$B198,'3) Release_Label'!$D:$D&amp;'3) Release_Label'!$E:$E,1,0)),"NO UPC-CATALOG ID pair MATCH in Release_Label" )</f>
        <v/>
      </c>
      <c r="E198" s="147" t="str">
        <f t="shared" si="1"/>
        <v/>
      </c>
      <c r="G198" s="97"/>
      <c r="H198" s="155"/>
      <c r="J198" s="92"/>
      <c r="K198" s="98"/>
      <c r="L198" s="92"/>
      <c r="N198" s="92"/>
      <c r="O198" s="92"/>
      <c r="P198" s="92"/>
    </row>
    <row r="199">
      <c r="A199" s="90"/>
      <c r="B199" s="97"/>
      <c r="C199" s="121" t="str">
        <f t="array" ref="C199">ifs(and(isblank($A199),isblank($B199)),"", not(iserror(vlookup($A199&amp;$B199,'3) Release_Label'!$D:$D&amp;'3) Release_Label'!$E:$E,1,0))),vlookup($A199&amp;$B199,{'3) Release_Label'!$D:$D&amp;'3) Release_Label'!$E:$E,'3) Release_Label'!$F:$F},2,0), or(and(not(isblank($B199)),$B199=$B198,$A199&lt;&gt;$A198),and(not(isblank($A199)),$A199=$A198,$B199&lt;&gt;$B198)),"ID LISTS UNALIGNED",and($A199&lt;&gt;"",countif('3) Release_Label'!$D:$D,$A199)=0),"NO UPC MATCH in Release_Label",and($B199&lt;&gt;"",countif('3) Release_Label'!$E:$E,$B199)=0),"NO CATALOG ID MATCH in Release_Label",iserror(vlookup($A199&amp;$B199,'3) Release_Label'!$D:$D&amp;'3) Release_Label'!$E:$E,1,0)),"NO UPC-CATALOG ID pair MATCH in Release_Label" )</f>
        <v/>
      </c>
      <c r="D199" s="121" t="str">
        <f t="array" ref="D199">ifs(and(isblank($A199),isblank($B199)),"", not(iserror(vlookup($A199&amp;$B199,'3) Release_Label'!$D:$D&amp;'3) Release_Label'!$E:$E,1,0))),vlookup($A199&amp;$B199,{'3) Release_Label'!$D:$D&amp;'3) Release_Label'!$E:$E,'3) Release_Label'!$H:$H},2,0), or(and(not(isblank($B199)),$B199=$B198,$A199&lt;&gt;$A198),and(not(isblank($A199)),$A199=$A198,$B199&lt;&gt;$B198)),"ID LISTS UNALIGNED",and($A199&lt;&gt;"",countif('3) Release_Label'!$D:$D,$A199)=0),"NO UPC MATCH in Release_Label",and($B199&lt;&gt;"",countif('3) Release_Label'!$E:$E,$B199)=0),"NO CATALOG ID MATCH in Release_Label",iserror(vlookup($A199&amp;$B199,'3) Release_Label'!$D:$D&amp;'3) Release_Label'!$E:$E,1,0)),"NO UPC-CATALOG ID pair MATCH in Release_Label" )</f>
        <v/>
      </c>
      <c r="E199" s="147" t="str">
        <f t="shared" si="1"/>
        <v/>
      </c>
      <c r="G199" s="97"/>
      <c r="H199" s="155"/>
      <c r="J199" s="92"/>
      <c r="K199" s="98"/>
      <c r="L199" s="92"/>
      <c r="N199" s="92"/>
      <c r="O199" s="92"/>
      <c r="P199" s="92"/>
    </row>
    <row r="200">
      <c r="A200" s="90"/>
      <c r="B200" s="97"/>
      <c r="C200" s="121" t="str">
        <f t="array" ref="C200">ifs(and(isblank($A200),isblank($B200)),"", not(iserror(vlookup($A200&amp;$B200,'3) Release_Label'!$D:$D&amp;'3) Release_Label'!$E:$E,1,0))),vlookup($A200&amp;$B200,{'3) Release_Label'!$D:$D&amp;'3) Release_Label'!$E:$E,'3) Release_Label'!$F:$F},2,0), or(and(not(isblank($B200)),$B200=$B199,$A200&lt;&gt;$A199),and(not(isblank($A200)),$A200=$A199,$B200&lt;&gt;$B199)),"ID LISTS UNALIGNED",and($A200&lt;&gt;"",countif('3) Release_Label'!$D:$D,$A200)=0),"NO UPC MATCH in Release_Label",and($B200&lt;&gt;"",countif('3) Release_Label'!$E:$E,$B200)=0),"NO CATALOG ID MATCH in Release_Label",iserror(vlookup($A200&amp;$B200,'3) Release_Label'!$D:$D&amp;'3) Release_Label'!$E:$E,1,0)),"NO UPC-CATALOG ID pair MATCH in Release_Label" )</f>
        <v/>
      </c>
      <c r="D200" s="121" t="str">
        <f t="array" ref="D200">ifs(and(isblank($A200),isblank($B200)),"", not(iserror(vlookup($A200&amp;$B200,'3) Release_Label'!$D:$D&amp;'3) Release_Label'!$E:$E,1,0))),vlookup($A200&amp;$B200,{'3) Release_Label'!$D:$D&amp;'3) Release_Label'!$E:$E,'3) Release_Label'!$H:$H},2,0), or(and(not(isblank($B200)),$B200=$B199,$A200&lt;&gt;$A199),and(not(isblank($A200)),$A200=$A199,$B200&lt;&gt;$B199)),"ID LISTS UNALIGNED",and($A200&lt;&gt;"",countif('3) Release_Label'!$D:$D,$A200)=0),"NO UPC MATCH in Release_Label",and($B200&lt;&gt;"",countif('3) Release_Label'!$E:$E,$B200)=0),"NO CATALOG ID MATCH in Release_Label",iserror(vlookup($A200&amp;$B200,'3) Release_Label'!$D:$D&amp;'3) Release_Label'!$E:$E,1,0)),"NO UPC-CATALOG ID pair MATCH in Release_Label" )</f>
        <v/>
      </c>
      <c r="E200" s="147" t="str">
        <f t="shared" si="1"/>
        <v/>
      </c>
      <c r="G200" s="97"/>
      <c r="H200" s="155"/>
      <c r="J200" s="92"/>
      <c r="K200" s="98"/>
      <c r="L200" s="92"/>
      <c r="N200" s="92"/>
      <c r="O200" s="92"/>
      <c r="P200" s="92"/>
    </row>
    <row r="201">
      <c r="A201" s="90"/>
      <c r="B201" s="97"/>
      <c r="C201" s="121" t="str">
        <f t="array" ref="C201">ifs(and(isblank($A201),isblank($B201)),"", not(iserror(vlookup($A201&amp;$B201,'3) Release_Label'!$D:$D&amp;'3) Release_Label'!$E:$E,1,0))),vlookup($A201&amp;$B201,{'3) Release_Label'!$D:$D&amp;'3) Release_Label'!$E:$E,'3) Release_Label'!$F:$F},2,0), or(and(not(isblank($B201)),$B201=$B200,$A201&lt;&gt;$A200),and(not(isblank($A201)),$A201=$A200,$B201&lt;&gt;$B200)),"ID LISTS UNALIGNED",and($A201&lt;&gt;"",countif('3) Release_Label'!$D:$D,$A201)=0),"NO UPC MATCH in Release_Label",and($B201&lt;&gt;"",countif('3) Release_Label'!$E:$E,$B201)=0),"NO CATALOG ID MATCH in Release_Label",iserror(vlookup($A201&amp;$B201,'3) Release_Label'!$D:$D&amp;'3) Release_Label'!$E:$E,1,0)),"NO UPC-CATALOG ID pair MATCH in Release_Label" )</f>
        <v/>
      </c>
      <c r="D201" s="121" t="str">
        <f t="array" ref="D201">ifs(and(isblank($A201),isblank($B201)),"", not(iserror(vlookup($A201&amp;$B201,'3) Release_Label'!$D:$D&amp;'3) Release_Label'!$E:$E,1,0))),vlookup($A201&amp;$B201,{'3) Release_Label'!$D:$D&amp;'3) Release_Label'!$E:$E,'3) Release_Label'!$H:$H},2,0), or(and(not(isblank($B201)),$B201=$B200,$A201&lt;&gt;$A200),and(not(isblank($A201)),$A201=$A200,$B201&lt;&gt;$B200)),"ID LISTS UNALIGNED",and($A201&lt;&gt;"",countif('3) Release_Label'!$D:$D,$A201)=0),"NO UPC MATCH in Release_Label",and($B201&lt;&gt;"",countif('3) Release_Label'!$E:$E,$B201)=0),"NO CATALOG ID MATCH in Release_Label",iserror(vlookup($A201&amp;$B201,'3) Release_Label'!$D:$D&amp;'3) Release_Label'!$E:$E,1,0)),"NO UPC-CATALOG ID pair MATCH in Release_Label" )</f>
        <v/>
      </c>
      <c r="E201" s="147" t="str">
        <f t="shared" si="1"/>
        <v/>
      </c>
      <c r="G201" s="97"/>
      <c r="H201" s="155"/>
      <c r="J201" s="92"/>
      <c r="K201" s="98"/>
      <c r="L201" s="92"/>
      <c r="N201" s="92"/>
      <c r="O201" s="92"/>
      <c r="P201" s="92"/>
    </row>
    <row r="202">
      <c r="A202" s="90"/>
      <c r="B202" s="97"/>
      <c r="C202" s="121" t="str">
        <f t="array" ref="C202">ifs(and(isblank($A202),isblank($B202)),"", not(iserror(vlookup($A202&amp;$B202,'3) Release_Label'!$D:$D&amp;'3) Release_Label'!$E:$E,1,0))),vlookup($A202&amp;$B202,{'3) Release_Label'!$D:$D&amp;'3) Release_Label'!$E:$E,'3) Release_Label'!$F:$F},2,0), or(and(not(isblank($B202)),$B202=$B201,$A202&lt;&gt;$A201),and(not(isblank($A202)),$A202=$A201,$B202&lt;&gt;$B201)),"ID LISTS UNALIGNED",and($A202&lt;&gt;"",countif('3) Release_Label'!$D:$D,$A202)=0),"NO UPC MATCH in Release_Label",and($B202&lt;&gt;"",countif('3) Release_Label'!$E:$E,$B202)=0),"NO CATALOG ID MATCH in Release_Label",iserror(vlookup($A202&amp;$B202,'3) Release_Label'!$D:$D&amp;'3) Release_Label'!$E:$E,1,0)),"NO UPC-CATALOG ID pair MATCH in Release_Label" )</f>
        <v/>
      </c>
      <c r="D202" s="121" t="str">
        <f t="array" ref="D202">ifs(and(isblank($A202),isblank($B202)),"", not(iserror(vlookup($A202&amp;$B202,'3) Release_Label'!$D:$D&amp;'3) Release_Label'!$E:$E,1,0))),vlookup($A202&amp;$B202,{'3) Release_Label'!$D:$D&amp;'3) Release_Label'!$E:$E,'3) Release_Label'!$H:$H},2,0), or(and(not(isblank($B202)),$B202=$B201,$A202&lt;&gt;$A201),and(not(isblank($A202)),$A202=$A201,$B202&lt;&gt;$B201)),"ID LISTS UNALIGNED",and($A202&lt;&gt;"",countif('3) Release_Label'!$D:$D,$A202)=0),"NO UPC MATCH in Release_Label",and($B202&lt;&gt;"",countif('3) Release_Label'!$E:$E,$B202)=0),"NO CATALOG ID MATCH in Release_Label",iserror(vlookup($A202&amp;$B202,'3) Release_Label'!$D:$D&amp;'3) Release_Label'!$E:$E,1,0)),"NO UPC-CATALOG ID pair MATCH in Release_Label" )</f>
        <v/>
      </c>
      <c r="E202" s="147" t="str">
        <f t="shared" si="1"/>
        <v/>
      </c>
      <c r="G202" s="97"/>
      <c r="H202" s="155"/>
      <c r="J202" s="92"/>
      <c r="K202" s="98"/>
      <c r="L202" s="92"/>
      <c r="N202" s="92"/>
      <c r="O202" s="92"/>
      <c r="P202" s="92"/>
    </row>
    <row r="203">
      <c r="A203" s="90"/>
      <c r="B203" s="97"/>
      <c r="C203" s="121" t="str">
        <f t="array" ref="C203">ifs(and(isblank($A203),isblank($B203)),"", not(iserror(vlookup($A203&amp;$B203,'3) Release_Label'!$D:$D&amp;'3) Release_Label'!$E:$E,1,0))),vlookup($A203&amp;$B203,{'3) Release_Label'!$D:$D&amp;'3) Release_Label'!$E:$E,'3) Release_Label'!$F:$F},2,0), or(and(not(isblank($B203)),$B203=$B202,$A203&lt;&gt;$A202),and(not(isblank($A203)),$A203=$A202,$B203&lt;&gt;$B202)),"ID LISTS UNALIGNED",and($A203&lt;&gt;"",countif('3) Release_Label'!$D:$D,$A203)=0),"NO UPC MATCH in Release_Label",and($B203&lt;&gt;"",countif('3) Release_Label'!$E:$E,$B203)=0),"NO CATALOG ID MATCH in Release_Label",iserror(vlookup($A203&amp;$B203,'3) Release_Label'!$D:$D&amp;'3) Release_Label'!$E:$E,1,0)),"NO UPC-CATALOG ID pair MATCH in Release_Label" )</f>
        <v/>
      </c>
      <c r="D203" s="121" t="str">
        <f t="array" ref="D203">ifs(and(isblank($A203),isblank($B203)),"", not(iserror(vlookup($A203&amp;$B203,'3) Release_Label'!$D:$D&amp;'3) Release_Label'!$E:$E,1,0))),vlookup($A203&amp;$B203,{'3) Release_Label'!$D:$D&amp;'3) Release_Label'!$E:$E,'3) Release_Label'!$H:$H},2,0), or(and(not(isblank($B203)),$B203=$B202,$A203&lt;&gt;$A202),and(not(isblank($A203)),$A203=$A202,$B203&lt;&gt;$B202)),"ID LISTS UNALIGNED",and($A203&lt;&gt;"",countif('3) Release_Label'!$D:$D,$A203)=0),"NO UPC MATCH in Release_Label",and($B203&lt;&gt;"",countif('3) Release_Label'!$E:$E,$B203)=0),"NO CATALOG ID MATCH in Release_Label",iserror(vlookup($A203&amp;$B203,'3) Release_Label'!$D:$D&amp;'3) Release_Label'!$E:$E,1,0)),"NO UPC-CATALOG ID pair MATCH in Release_Label" )</f>
        <v/>
      </c>
      <c r="E203" s="147" t="str">
        <f t="shared" si="1"/>
        <v/>
      </c>
      <c r="G203" s="97"/>
      <c r="H203" s="155"/>
      <c r="J203" s="92"/>
      <c r="K203" s="98"/>
      <c r="L203" s="92"/>
      <c r="N203" s="92"/>
      <c r="O203" s="92"/>
      <c r="P203" s="92"/>
    </row>
    <row r="204">
      <c r="A204" s="90"/>
      <c r="B204" s="97"/>
      <c r="C204" s="121" t="str">
        <f t="array" ref="C204">ifs(and(isblank($A204),isblank($B204)),"", not(iserror(vlookup($A204&amp;$B204,'3) Release_Label'!$D:$D&amp;'3) Release_Label'!$E:$E,1,0))),vlookup($A204&amp;$B204,{'3) Release_Label'!$D:$D&amp;'3) Release_Label'!$E:$E,'3) Release_Label'!$F:$F},2,0), or(and(not(isblank($B204)),$B204=$B203,$A204&lt;&gt;$A203),and(not(isblank($A204)),$A204=$A203,$B204&lt;&gt;$B203)),"ID LISTS UNALIGNED",and($A204&lt;&gt;"",countif('3) Release_Label'!$D:$D,$A204)=0),"NO UPC MATCH in Release_Label",and($B204&lt;&gt;"",countif('3) Release_Label'!$E:$E,$B204)=0),"NO CATALOG ID MATCH in Release_Label",iserror(vlookup($A204&amp;$B204,'3) Release_Label'!$D:$D&amp;'3) Release_Label'!$E:$E,1,0)),"NO UPC-CATALOG ID pair MATCH in Release_Label" )</f>
        <v/>
      </c>
      <c r="D204" s="121" t="str">
        <f t="array" ref="D204">ifs(and(isblank($A204),isblank($B204)),"", not(iserror(vlookup($A204&amp;$B204,'3) Release_Label'!$D:$D&amp;'3) Release_Label'!$E:$E,1,0))),vlookup($A204&amp;$B204,{'3) Release_Label'!$D:$D&amp;'3) Release_Label'!$E:$E,'3) Release_Label'!$H:$H},2,0), or(and(not(isblank($B204)),$B204=$B203,$A204&lt;&gt;$A203),and(not(isblank($A204)),$A204=$A203,$B204&lt;&gt;$B203)),"ID LISTS UNALIGNED",and($A204&lt;&gt;"",countif('3) Release_Label'!$D:$D,$A204)=0),"NO UPC MATCH in Release_Label",and($B204&lt;&gt;"",countif('3) Release_Label'!$E:$E,$B204)=0),"NO CATALOG ID MATCH in Release_Label",iserror(vlookup($A204&amp;$B204,'3) Release_Label'!$D:$D&amp;'3) Release_Label'!$E:$E,1,0)),"NO UPC-CATALOG ID pair MATCH in Release_Label" )</f>
        <v/>
      </c>
      <c r="E204" s="147" t="str">
        <f t="shared" si="1"/>
        <v/>
      </c>
      <c r="G204" s="97"/>
      <c r="H204" s="155"/>
      <c r="J204" s="92"/>
      <c r="K204" s="98"/>
      <c r="L204" s="92"/>
      <c r="N204" s="92"/>
      <c r="O204" s="92"/>
      <c r="P204" s="92"/>
    </row>
    <row r="205">
      <c r="A205" s="90"/>
      <c r="B205" s="97"/>
      <c r="C205" s="121" t="str">
        <f t="array" ref="C205">ifs(and(isblank($A205),isblank($B205)),"", not(iserror(vlookup($A205&amp;$B205,'3) Release_Label'!$D:$D&amp;'3) Release_Label'!$E:$E,1,0))),vlookup($A205&amp;$B205,{'3) Release_Label'!$D:$D&amp;'3) Release_Label'!$E:$E,'3) Release_Label'!$F:$F},2,0), or(and(not(isblank($B205)),$B205=$B204,$A205&lt;&gt;$A204),and(not(isblank($A205)),$A205=$A204,$B205&lt;&gt;$B204)),"ID LISTS UNALIGNED",and($A205&lt;&gt;"",countif('3) Release_Label'!$D:$D,$A205)=0),"NO UPC MATCH in Release_Label",and($B205&lt;&gt;"",countif('3) Release_Label'!$E:$E,$B205)=0),"NO CATALOG ID MATCH in Release_Label",iserror(vlookup($A205&amp;$B205,'3) Release_Label'!$D:$D&amp;'3) Release_Label'!$E:$E,1,0)),"NO UPC-CATALOG ID pair MATCH in Release_Label" )</f>
        <v/>
      </c>
      <c r="D205" s="121" t="str">
        <f t="array" ref="D205">ifs(and(isblank($A205),isblank($B205)),"", not(iserror(vlookup($A205&amp;$B205,'3) Release_Label'!$D:$D&amp;'3) Release_Label'!$E:$E,1,0))),vlookup($A205&amp;$B205,{'3) Release_Label'!$D:$D&amp;'3) Release_Label'!$E:$E,'3) Release_Label'!$H:$H},2,0), or(and(not(isblank($B205)),$B205=$B204,$A205&lt;&gt;$A204),and(not(isblank($A205)),$A205=$A204,$B205&lt;&gt;$B204)),"ID LISTS UNALIGNED",and($A205&lt;&gt;"",countif('3) Release_Label'!$D:$D,$A205)=0),"NO UPC MATCH in Release_Label",and($B205&lt;&gt;"",countif('3) Release_Label'!$E:$E,$B205)=0),"NO CATALOG ID MATCH in Release_Label",iserror(vlookup($A205&amp;$B205,'3) Release_Label'!$D:$D&amp;'3) Release_Label'!$E:$E,1,0)),"NO UPC-CATALOG ID pair MATCH in Release_Label" )</f>
        <v/>
      </c>
      <c r="E205" s="147" t="str">
        <f t="shared" si="1"/>
        <v/>
      </c>
      <c r="G205" s="97"/>
      <c r="H205" s="155"/>
      <c r="J205" s="92"/>
      <c r="K205" s="98"/>
      <c r="L205" s="92"/>
      <c r="N205" s="92"/>
      <c r="O205" s="92"/>
      <c r="P205" s="92"/>
    </row>
    <row r="206">
      <c r="A206" s="90"/>
      <c r="B206" s="97"/>
      <c r="C206" s="121" t="str">
        <f t="array" ref="C206">ifs(and(isblank($A206),isblank($B206)),"", not(iserror(vlookup($A206&amp;$B206,'3) Release_Label'!$D:$D&amp;'3) Release_Label'!$E:$E,1,0))),vlookup($A206&amp;$B206,{'3) Release_Label'!$D:$D&amp;'3) Release_Label'!$E:$E,'3) Release_Label'!$F:$F},2,0), or(and(not(isblank($B206)),$B206=$B205,$A206&lt;&gt;$A205),and(not(isblank($A206)),$A206=$A205,$B206&lt;&gt;$B205)),"ID LISTS UNALIGNED",and($A206&lt;&gt;"",countif('3) Release_Label'!$D:$D,$A206)=0),"NO UPC MATCH in Release_Label",and($B206&lt;&gt;"",countif('3) Release_Label'!$E:$E,$B206)=0),"NO CATALOG ID MATCH in Release_Label",iserror(vlookup($A206&amp;$B206,'3) Release_Label'!$D:$D&amp;'3) Release_Label'!$E:$E,1,0)),"NO UPC-CATALOG ID pair MATCH in Release_Label" )</f>
        <v/>
      </c>
      <c r="D206" s="121" t="str">
        <f t="array" ref="D206">ifs(and(isblank($A206),isblank($B206)),"", not(iserror(vlookup($A206&amp;$B206,'3) Release_Label'!$D:$D&amp;'3) Release_Label'!$E:$E,1,0))),vlookup($A206&amp;$B206,{'3) Release_Label'!$D:$D&amp;'3) Release_Label'!$E:$E,'3) Release_Label'!$H:$H},2,0), or(and(not(isblank($B206)),$B206=$B205,$A206&lt;&gt;$A205),and(not(isblank($A206)),$A206=$A205,$B206&lt;&gt;$B205)),"ID LISTS UNALIGNED",and($A206&lt;&gt;"",countif('3) Release_Label'!$D:$D,$A206)=0),"NO UPC MATCH in Release_Label",and($B206&lt;&gt;"",countif('3) Release_Label'!$E:$E,$B206)=0),"NO CATALOG ID MATCH in Release_Label",iserror(vlookup($A206&amp;$B206,'3) Release_Label'!$D:$D&amp;'3) Release_Label'!$E:$E,1,0)),"NO UPC-CATALOG ID pair MATCH in Release_Label" )</f>
        <v/>
      </c>
      <c r="E206" s="147" t="str">
        <f t="shared" si="1"/>
        <v/>
      </c>
      <c r="G206" s="97"/>
      <c r="H206" s="155"/>
      <c r="J206" s="92"/>
      <c r="K206" s="98"/>
      <c r="L206" s="92"/>
      <c r="N206" s="92"/>
      <c r="O206" s="92"/>
      <c r="P206" s="92"/>
    </row>
    <row r="207">
      <c r="A207" s="90"/>
      <c r="B207" s="97"/>
      <c r="C207" s="121" t="str">
        <f t="array" ref="C207">ifs(and(isblank($A207),isblank($B207)),"", not(iserror(vlookup($A207&amp;$B207,'3) Release_Label'!$D:$D&amp;'3) Release_Label'!$E:$E,1,0))),vlookup($A207&amp;$B207,{'3) Release_Label'!$D:$D&amp;'3) Release_Label'!$E:$E,'3) Release_Label'!$F:$F},2,0), or(and(not(isblank($B207)),$B207=$B206,$A207&lt;&gt;$A206),and(not(isblank($A207)),$A207=$A206,$B207&lt;&gt;$B206)),"ID LISTS UNALIGNED",and($A207&lt;&gt;"",countif('3) Release_Label'!$D:$D,$A207)=0),"NO UPC MATCH in Release_Label",and($B207&lt;&gt;"",countif('3) Release_Label'!$E:$E,$B207)=0),"NO CATALOG ID MATCH in Release_Label",iserror(vlookup($A207&amp;$B207,'3) Release_Label'!$D:$D&amp;'3) Release_Label'!$E:$E,1,0)),"NO UPC-CATALOG ID pair MATCH in Release_Label" )</f>
        <v/>
      </c>
      <c r="D207" s="121" t="str">
        <f t="array" ref="D207">ifs(and(isblank($A207),isblank($B207)),"", not(iserror(vlookup($A207&amp;$B207,'3) Release_Label'!$D:$D&amp;'3) Release_Label'!$E:$E,1,0))),vlookup($A207&amp;$B207,{'3) Release_Label'!$D:$D&amp;'3) Release_Label'!$E:$E,'3) Release_Label'!$H:$H},2,0), or(and(not(isblank($B207)),$B207=$B206,$A207&lt;&gt;$A206),and(not(isblank($A207)),$A207=$A206,$B207&lt;&gt;$B206)),"ID LISTS UNALIGNED",and($A207&lt;&gt;"",countif('3) Release_Label'!$D:$D,$A207)=0),"NO UPC MATCH in Release_Label",and($B207&lt;&gt;"",countif('3) Release_Label'!$E:$E,$B207)=0),"NO CATALOG ID MATCH in Release_Label",iserror(vlookup($A207&amp;$B207,'3) Release_Label'!$D:$D&amp;'3) Release_Label'!$E:$E,1,0)),"NO UPC-CATALOG ID pair MATCH in Release_Label" )</f>
        <v/>
      </c>
      <c r="E207" s="147" t="str">
        <f t="shared" si="1"/>
        <v/>
      </c>
      <c r="G207" s="97"/>
      <c r="H207" s="155"/>
      <c r="J207" s="92"/>
      <c r="K207" s="98"/>
      <c r="L207" s="92"/>
      <c r="N207" s="92"/>
      <c r="O207" s="92"/>
      <c r="P207" s="92"/>
    </row>
    <row r="208">
      <c r="A208" s="90"/>
      <c r="B208" s="97"/>
      <c r="C208" s="121" t="str">
        <f t="array" ref="C208">ifs(and(isblank($A208),isblank($B208)),"", not(iserror(vlookup($A208&amp;$B208,'3) Release_Label'!$D:$D&amp;'3) Release_Label'!$E:$E,1,0))),vlookup($A208&amp;$B208,{'3) Release_Label'!$D:$D&amp;'3) Release_Label'!$E:$E,'3) Release_Label'!$F:$F},2,0), or(and(not(isblank($B208)),$B208=$B207,$A208&lt;&gt;$A207),and(not(isblank($A208)),$A208=$A207,$B208&lt;&gt;$B207)),"ID LISTS UNALIGNED",and($A208&lt;&gt;"",countif('3) Release_Label'!$D:$D,$A208)=0),"NO UPC MATCH in Release_Label",and($B208&lt;&gt;"",countif('3) Release_Label'!$E:$E,$B208)=0),"NO CATALOG ID MATCH in Release_Label",iserror(vlookup($A208&amp;$B208,'3) Release_Label'!$D:$D&amp;'3) Release_Label'!$E:$E,1,0)),"NO UPC-CATALOG ID pair MATCH in Release_Label" )</f>
        <v/>
      </c>
      <c r="D208" s="121" t="str">
        <f t="array" ref="D208">ifs(and(isblank($A208),isblank($B208)),"", not(iserror(vlookup($A208&amp;$B208,'3) Release_Label'!$D:$D&amp;'3) Release_Label'!$E:$E,1,0))),vlookup($A208&amp;$B208,{'3) Release_Label'!$D:$D&amp;'3) Release_Label'!$E:$E,'3) Release_Label'!$H:$H},2,0), or(and(not(isblank($B208)),$B208=$B207,$A208&lt;&gt;$A207),and(not(isblank($A208)),$A208=$A207,$B208&lt;&gt;$B207)),"ID LISTS UNALIGNED",and($A208&lt;&gt;"",countif('3) Release_Label'!$D:$D,$A208)=0),"NO UPC MATCH in Release_Label",and($B208&lt;&gt;"",countif('3) Release_Label'!$E:$E,$B208)=0),"NO CATALOG ID MATCH in Release_Label",iserror(vlookup($A208&amp;$B208,'3) Release_Label'!$D:$D&amp;'3) Release_Label'!$E:$E,1,0)),"NO UPC-CATALOG ID pair MATCH in Release_Label" )</f>
        <v/>
      </c>
      <c r="E208" s="147" t="str">
        <f t="shared" si="1"/>
        <v/>
      </c>
      <c r="G208" s="97"/>
      <c r="H208" s="155"/>
      <c r="J208" s="92"/>
      <c r="K208" s="98"/>
      <c r="L208" s="92"/>
      <c r="N208" s="92"/>
      <c r="O208" s="92"/>
      <c r="P208" s="92"/>
    </row>
    <row r="209">
      <c r="A209" s="90"/>
      <c r="B209" s="97"/>
      <c r="C209" s="121" t="str">
        <f t="array" ref="C209">ifs(and(isblank($A209),isblank($B209)),"", not(iserror(vlookup($A209&amp;$B209,'3) Release_Label'!$D:$D&amp;'3) Release_Label'!$E:$E,1,0))),vlookup($A209&amp;$B209,{'3) Release_Label'!$D:$D&amp;'3) Release_Label'!$E:$E,'3) Release_Label'!$F:$F},2,0), or(and(not(isblank($B209)),$B209=$B208,$A209&lt;&gt;$A208),and(not(isblank($A209)),$A209=$A208,$B209&lt;&gt;$B208)),"ID LISTS UNALIGNED",and($A209&lt;&gt;"",countif('3) Release_Label'!$D:$D,$A209)=0),"NO UPC MATCH in Release_Label",and($B209&lt;&gt;"",countif('3) Release_Label'!$E:$E,$B209)=0),"NO CATALOG ID MATCH in Release_Label",iserror(vlookup($A209&amp;$B209,'3) Release_Label'!$D:$D&amp;'3) Release_Label'!$E:$E,1,0)),"NO UPC-CATALOG ID pair MATCH in Release_Label" )</f>
        <v/>
      </c>
      <c r="D209" s="121" t="str">
        <f t="array" ref="D209">ifs(and(isblank($A209),isblank($B209)),"", not(iserror(vlookup($A209&amp;$B209,'3) Release_Label'!$D:$D&amp;'3) Release_Label'!$E:$E,1,0))),vlookup($A209&amp;$B209,{'3) Release_Label'!$D:$D&amp;'3) Release_Label'!$E:$E,'3) Release_Label'!$H:$H},2,0), or(and(not(isblank($B209)),$B209=$B208,$A209&lt;&gt;$A208),and(not(isblank($A209)),$A209=$A208,$B209&lt;&gt;$B208)),"ID LISTS UNALIGNED",and($A209&lt;&gt;"",countif('3) Release_Label'!$D:$D,$A209)=0),"NO UPC MATCH in Release_Label",and($B209&lt;&gt;"",countif('3) Release_Label'!$E:$E,$B209)=0),"NO CATALOG ID MATCH in Release_Label",iserror(vlookup($A209&amp;$B209,'3) Release_Label'!$D:$D&amp;'3) Release_Label'!$E:$E,1,0)),"NO UPC-CATALOG ID pair MATCH in Release_Label" )</f>
        <v/>
      </c>
      <c r="E209" s="147" t="str">
        <f t="shared" si="1"/>
        <v/>
      </c>
      <c r="G209" s="97"/>
      <c r="H209" s="155"/>
      <c r="J209" s="92"/>
      <c r="K209" s="98"/>
      <c r="L209" s="92"/>
      <c r="N209" s="92"/>
      <c r="O209" s="92"/>
      <c r="P209" s="92"/>
    </row>
    <row r="210">
      <c r="A210" s="90"/>
      <c r="B210" s="97"/>
      <c r="C210" s="121" t="str">
        <f t="array" ref="C210">ifs(and(isblank($A210),isblank($B210)),"", not(iserror(vlookup($A210&amp;$B210,'3) Release_Label'!$D:$D&amp;'3) Release_Label'!$E:$E,1,0))),vlookup($A210&amp;$B210,{'3) Release_Label'!$D:$D&amp;'3) Release_Label'!$E:$E,'3) Release_Label'!$F:$F},2,0), or(and(not(isblank($B210)),$B210=$B209,$A210&lt;&gt;$A209),and(not(isblank($A210)),$A210=$A209,$B210&lt;&gt;$B209)),"ID LISTS UNALIGNED",and($A210&lt;&gt;"",countif('3) Release_Label'!$D:$D,$A210)=0),"NO UPC MATCH in Release_Label",and($B210&lt;&gt;"",countif('3) Release_Label'!$E:$E,$B210)=0),"NO CATALOG ID MATCH in Release_Label",iserror(vlookup($A210&amp;$B210,'3) Release_Label'!$D:$D&amp;'3) Release_Label'!$E:$E,1,0)),"NO UPC-CATALOG ID pair MATCH in Release_Label" )</f>
        <v/>
      </c>
      <c r="D210" s="121" t="str">
        <f t="array" ref="D210">ifs(and(isblank($A210),isblank($B210)),"", not(iserror(vlookup($A210&amp;$B210,'3) Release_Label'!$D:$D&amp;'3) Release_Label'!$E:$E,1,0))),vlookup($A210&amp;$B210,{'3) Release_Label'!$D:$D&amp;'3) Release_Label'!$E:$E,'3) Release_Label'!$H:$H},2,0), or(and(not(isblank($B210)),$B210=$B209,$A210&lt;&gt;$A209),and(not(isblank($A210)),$A210=$A209,$B210&lt;&gt;$B209)),"ID LISTS UNALIGNED",and($A210&lt;&gt;"",countif('3) Release_Label'!$D:$D,$A210)=0),"NO UPC MATCH in Release_Label",and($B210&lt;&gt;"",countif('3) Release_Label'!$E:$E,$B210)=0),"NO CATALOG ID MATCH in Release_Label",iserror(vlookup($A210&amp;$B210,'3) Release_Label'!$D:$D&amp;'3) Release_Label'!$E:$E,1,0)),"NO UPC-CATALOG ID pair MATCH in Release_Label" )</f>
        <v/>
      </c>
      <c r="E210" s="147" t="str">
        <f t="shared" si="1"/>
        <v/>
      </c>
      <c r="G210" s="97"/>
      <c r="H210" s="155"/>
      <c r="J210" s="92"/>
      <c r="K210" s="98"/>
      <c r="L210" s="92"/>
      <c r="N210" s="92"/>
      <c r="O210" s="92"/>
      <c r="P210" s="92"/>
    </row>
    <row r="211">
      <c r="A211" s="90"/>
      <c r="B211" s="97"/>
      <c r="C211" s="121" t="str">
        <f t="array" ref="C211">ifs(and(isblank($A211),isblank($B211)),"", not(iserror(vlookup($A211&amp;$B211,'3) Release_Label'!$D:$D&amp;'3) Release_Label'!$E:$E,1,0))),vlookup($A211&amp;$B211,{'3) Release_Label'!$D:$D&amp;'3) Release_Label'!$E:$E,'3) Release_Label'!$F:$F},2,0), or(and(not(isblank($B211)),$B211=$B210,$A211&lt;&gt;$A210),and(not(isblank($A211)),$A211=$A210,$B211&lt;&gt;$B210)),"ID LISTS UNALIGNED",and($A211&lt;&gt;"",countif('3) Release_Label'!$D:$D,$A211)=0),"NO UPC MATCH in Release_Label",and($B211&lt;&gt;"",countif('3) Release_Label'!$E:$E,$B211)=0),"NO CATALOG ID MATCH in Release_Label",iserror(vlookup($A211&amp;$B211,'3) Release_Label'!$D:$D&amp;'3) Release_Label'!$E:$E,1,0)),"NO UPC-CATALOG ID pair MATCH in Release_Label" )</f>
        <v/>
      </c>
      <c r="D211" s="121" t="str">
        <f t="array" ref="D211">ifs(and(isblank($A211),isblank($B211)),"", not(iserror(vlookup($A211&amp;$B211,'3) Release_Label'!$D:$D&amp;'3) Release_Label'!$E:$E,1,0))),vlookup($A211&amp;$B211,{'3) Release_Label'!$D:$D&amp;'3) Release_Label'!$E:$E,'3) Release_Label'!$H:$H},2,0), or(and(not(isblank($B211)),$B211=$B210,$A211&lt;&gt;$A210),and(not(isblank($A211)),$A211=$A210,$B211&lt;&gt;$B210)),"ID LISTS UNALIGNED",and($A211&lt;&gt;"",countif('3) Release_Label'!$D:$D,$A211)=0),"NO UPC MATCH in Release_Label",and($B211&lt;&gt;"",countif('3) Release_Label'!$E:$E,$B211)=0),"NO CATALOG ID MATCH in Release_Label",iserror(vlookup($A211&amp;$B211,'3) Release_Label'!$D:$D&amp;'3) Release_Label'!$E:$E,1,0)),"NO UPC-CATALOG ID pair MATCH in Release_Label" )</f>
        <v/>
      </c>
      <c r="E211" s="147" t="str">
        <f t="shared" si="1"/>
        <v/>
      </c>
      <c r="G211" s="97"/>
      <c r="H211" s="155"/>
      <c r="J211" s="92"/>
      <c r="K211" s="98"/>
      <c r="L211" s="92"/>
      <c r="N211" s="92"/>
      <c r="O211" s="92"/>
      <c r="P211" s="92"/>
    </row>
    <row r="212">
      <c r="A212" s="90"/>
      <c r="B212" s="97"/>
      <c r="C212" s="121" t="str">
        <f t="array" ref="C212">ifs(and(isblank($A212),isblank($B212)),"", not(iserror(vlookup($A212&amp;$B212,'3) Release_Label'!$D:$D&amp;'3) Release_Label'!$E:$E,1,0))),vlookup($A212&amp;$B212,{'3) Release_Label'!$D:$D&amp;'3) Release_Label'!$E:$E,'3) Release_Label'!$F:$F},2,0), or(and(not(isblank($B212)),$B212=$B211,$A212&lt;&gt;$A211),and(not(isblank($A212)),$A212=$A211,$B212&lt;&gt;$B211)),"ID LISTS UNALIGNED",and($A212&lt;&gt;"",countif('3) Release_Label'!$D:$D,$A212)=0),"NO UPC MATCH in Release_Label",and($B212&lt;&gt;"",countif('3) Release_Label'!$E:$E,$B212)=0),"NO CATALOG ID MATCH in Release_Label",iserror(vlookup($A212&amp;$B212,'3) Release_Label'!$D:$D&amp;'3) Release_Label'!$E:$E,1,0)),"NO UPC-CATALOG ID pair MATCH in Release_Label" )</f>
        <v/>
      </c>
      <c r="D212" s="121" t="str">
        <f t="array" ref="D212">ifs(and(isblank($A212),isblank($B212)),"", not(iserror(vlookup($A212&amp;$B212,'3) Release_Label'!$D:$D&amp;'3) Release_Label'!$E:$E,1,0))),vlookup($A212&amp;$B212,{'3) Release_Label'!$D:$D&amp;'3) Release_Label'!$E:$E,'3) Release_Label'!$H:$H},2,0), or(and(not(isblank($B212)),$B212=$B211,$A212&lt;&gt;$A211),and(not(isblank($A212)),$A212=$A211,$B212&lt;&gt;$B211)),"ID LISTS UNALIGNED",and($A212&lt;&gt;"",countif('3) Release_Label'!$D:$D,$A212)=0),"NO UPC MATCH in Release_Label",and($B212&lt;&gt;"",countif('3) Release_Label'!$E:$E,$B212)=0),"NO CATALOG ID MATCH in Release_Label",iserror(vlookup($A212&amp;$B212,'3) Release_Label'!$D:$D&amp;'3) Release_Label'!$E:$E,1,0)),"NO UPC-CATALOG ID pair MATCH in Release_Label" )</f>
        <v/>
      </c>
      <c r="E212" s="147" t="str">
        <f t="shared" si="1"/>
        <v/>
      </c>
      <c r="G212" s="97"/>
      <c r="H212" s="155"/>
      <c r="J212" s="92"/>
      <c r="K212" s="98"/>
      <c r="L212" s="92"/>
      <c r="N212" s="92"/>
      <c r="O212" s="92"/>
      <c r="P212" s="92"/>
    </row>
    <row r="213">
      <c r="A213" s="90"/>
      <c r="B213" s="97"/>
      <c r="C213" s="121" t="str">
        <f t="array" ref="C213">ifs(and(isblank($A213),isblank($B213)),"", not(iserror(vlookup($A213&amp;$B213,'3) Release_Label'!$D:$D&amp;'3) Release_Label'!$E:$E,1,0))),vlookup($A213&amp;$B213,{'3) Release_Label'!$D:$D&amp;'3) Release_Label'!$E:$E,'3) Release_Label'!$F:$F},2,0), or(and(not(isblank($B213)),$B213=$B212,$A213&lt;&gt;$A212),and(not(isblank($A213)),$A213=$A212,$B213&lt;&gt;$B212)),"ID LISTS UNALIGNED",and($A213&lt;&gt;"",countif('3) Release_Label'!$D:$D,$A213)=0),"NO UPC MATCH in Release_Label",and($B213&lt;&gt;"",countif('3) Release_Label'!$E:$E,$B213)=0),"NO CATALOG ID MATCH in Release_Label",iserror(vlookup($A213&amp;$B213,'3) Release_Label'!$D:$D&amp;'3) Release_Label'!$E:$E,1,0)),"NO UPC-CATALOG ID pair MATCH in Release_Label" )</f>
        <v/>
      </c>
      <c r="D213" s="121" t="str">
        <f t="array" ref="D213">ifs(and(isblank($A213),isblank($B213)),"", not(iserror(vlookup($A213&amp;$B213,'3) Release_Label'!$D:$D&amp;'3) Release_Label'!$E:$E,1,0))),vlookup($A213&amp;$B213,{'3) Release_Label'!$D:$D&amp;'3) Release_Label'!$E:$E,'3) Release_Label'!$H:$H},2,0), or(and(not(isblank($B213)),$B213=$B212,$A213&lt;&gt;$A212),and(not(isblank($A213)),$A213=$A212,$B213&lt;&gt;$B212)),"ID LISTS UNALIGNED",and($A213&lt;&gt;"",countif('3) Release_Label'!$D:$D,$A213)=0),"NO UPC MATCH in Release_Label",and($B213&lt;&gt;"",countif('3) Release_Label'!$E:$E,$B213)=0),"NO CATALOG ID MATCH in Release_Label",iserror(vlookup($A213&amp;$B213,'3) Release_Label'!$D:$D&amp;'3) Release_Label'!$E:$E,1,0)),"NO UPC-CATALOG ID pair MATCH in Release_Label" )</f>
        <v/>
      </c>
      <c r="E213" s="147" t="str">
        <f t="shared" si="1"/>
        <v/>
      </c>
      <c r="G213" s="97"/>
      <c r="H213" s="155"/>
      <c r="J213" s="92"/>
      <c r="K213" s="98"/>
      <c r="L213" s="92"/>
      <c r="N213" s="92"/>
      <c r="O213" s="92"/>
      <c r="P213" s="92"/>
    </row>
    <row r="214">
      <c r="A214" s="90"/>
      <c r="B214" s="97"/>
      <c r="C214" s="121" t="str">
        <f t="array" ref="C214">ifs(and(isblank($A214),isblank($B214)),"", not(iserror(vlookup($A214&amp;$B214,'3) Release_Label'!$D:$D&amp;'3) Release_Label'!$E:$E,1,0))),vlookup($A214&amp;$B214,{'3) Release_Label'!$D:$D&amp;'3) Release_Label'!$E:$E,'3) Release_Label'!$F:$F},2,0), or(and(not(isblank($B214)),$B214=$B213,$A214&lt;&gt;$A213),and(not(isblank($A214)),$A214=$A213,$B214&lt;&gt;$B213)),"ID LISTS UNALIGNED",and($A214&lt;&gt;"",countif('3) Release_Label'!$D:$D,$A214)=0),"NO UPC MATCH in Release_Label",and($B214&lt;&gt;"",countif('3) Release_Label'!$E:$E,$B214)=0),"NO CATALOG ID MATCH in Release_Label",iserror(vlookup($A214&amp;$B214,'3) Release_Label'!$D:$D&amp;'3) Release_Label'!$E:$E,1,0)),"NO UPC-CATALOG ID pair MATCH in Release_Label" )</f>
        <v/>
      </c>
      <c r="D214" s="121" t="str">
        <f t="array" ref="D214">ifs(and(isblank($A214),isblank($B214)),"", not(iserror(vlookup($A214&amp;$B214,'3) Release_Label'!$D:$D&amp;'3) Release_Label'!$E:$E,1,0))),vlookup($A214&amp;$B214,{'3) Release_Label'!$D:$D&amp;'3) Release_Label'!$E:$E,'3) Release_Label'!$H:$H},2,0), or(and(not(isblank($B214)),$B214=$B213,$A214&lt;&gt;$A213),and(not(isblank($A214)),$A214=$A213,$B214&lt;&gt;$B213)),"ID LISTS UNALIGNED",and($A214&lt;&gt;"",countif('3) Release_Label'!$D:$D,$A214)=0),"NO UPC MATCH in Release_Label",and($B214&lt;&gt;"",countif('3) Release_Label'!$E:$E,$B214)=0),"NO CATALOG ID MATCH in Release_Label",iserror(vlookup($A214&amp;$B214,'3) Release_Label'!$D:$D&amp;'3) Release_Label'!$E:$E,1,0)),"NO UPC-CATALOG ID pair MATCH in Release_Label" )</f>
        <v/>
      </c>
      <c r="E214" s="147" t="str">
        <f t="shared" si="1"/>
        <v/>
      </c>
      <c r="G214" s="97"/>
      <c r="H214" s="155"/>
      <c r="J214" s="92"/>
      <c r="K214" s="98"/>
      <c r="L214" s="92"/>
      <c r="N214" s="92"/>
      <c r="O214" s="92"/>
      <c r="P214" s="92"/>
    </row>
    <row r="215">
      <c r="A215" s="90"/>
      <c r="B215" s="97"/>
      <c r="C215" s="121" t="str">
        <f t="array" ref="C215">ifs(and(isblank($A215),isblank($B215)),"", not(iserror(vlookup($A215&amp;$B215,'3) Release_Label'!$D:$D&amp;'3) Release_Label'!$E:$E,1,0))),vlookup($A215&amp;$B215,{'3) Release_Label'!$D:$D&amp;'3) Release_Label'!$E:$E,'3) Release_Label'!$F:$F},2,0), or(and(not(isblank($B215)),$B215=$B214,$A215&lt;&gt;$A214),and(not(isblank($A215)),$A215=$A214,$B215&lt;&gt;$B214)),"ID LISTS UNALIGNED",and($A215&lt;&gt;"",countif('3) Release_Label'!$D:$D,$A215)=0),"NO UPC MATCH in Release_Label",and($B215&lt;&gt;"",countif('3) Release_Label'!$E:$E,$B215)=0),"NO CATALOG ID MATCH in Release_Label",iserror(vlookup($A215&amp;$B215,'3) Release_Label'!$D:$D&amp;'3) Release_Label'!$E:$E,1,0)),"NO UPC-CATALOG ID pair MATCH in Release_Label" )</f>
        <v/>
      </c>
      <c r="D215" s="121" t="str">
        <f t="array" ref="D215">ifs(and(isblank($A215),isblank($B215)),"", not(iserror(vlookup($A215&amp;$B215,'3) Release_Label'!$D:$D&amp;'3) Release_Label'!$E:$E,1,0))),vlookup($A215&amp;$B215,{'3) Release_Label'!$D:$D&amp;'3) Release_Label'!$E:$E,'3) Release_Label'!$H:$H},2,0), or(and(not(isblank($B215)),$B215=$B214,$A215&lt;&gt;$A214),and(not(isblank($A215)),$A215=$A214,$B215&lt;&gt;$B214)),"ID LISTS UNALIGNED",and($A215&lt;&gt;"",countif('3) Release_Label'!$D:$D,$A215)=0),"NO UPC MATCH in Release_Label",and($B215&lt;&gt;"",countif('3) Release_Label'!$E:$E,$B215)=0),"NO CATALOG ID MATCH in Release_Label",iserror(vlookup($A215&amp;$B215,'3) Release_Label'!$D:$D&amp;'3) Release_Label'!$E:$E,1,0)),"NO UPC-CATALOG ID pair MATCH in Release_Label" )</f>
        <v/>
      </c>
      <c r="E215" s="147" t="str">
        <f t="shared" si="1"/>
        <v/>
      </c>
      <c r="G215" s="97"/>
      <c r="H215" s="155"/>
      <c r="J215" s="92"/>
      <c r="K215" s="98"/>
      <c r="L215" s="92"/>
      <c r="N215" s="92"/>
      <c r="O215" s="92"/>
      <c r="P215" s="92"/>
    </row>
    <row r="216">
      <c r="A216" s="90"/>
      <c r="B216" s="97"/>
      <c r="C216" s="121" t="str">
        <f t="array" ref="C216">ifs(and(isblank($A216),isblank($B216)),"", not(iserror(vlookup($A216&amp;$B216,'3) Release_Label'!$D:$D&amp;'3) Release_Label'!$E:$E,1,0))),vlookup($A216&amp;$B216,{'3) Release_Label'!$D:$D&amp;'3) Release_Label'!$E:$E,'3) Release_Label'!$F:$F},2,0), or(and(not(isblank($B216)),$B216=$B215,$A216&lt;&gt;$A215),and(not(isblank($A216)),$A216=$A215,$B216&lt;&gt;$B215)),"ID LISTS UNALIGNED",and($A216&lt;&gt;"",countif('3) Release_Label'!$D:$D,$A216)=0),"NO UPC MATCH in Release_Label",and($B216&lt;&gt;"",countif('3) Release_Label'!$E:$E,$B216)=0),"NO CATALOG ID MATCH in Release_Label",iserror(vlookup($A216&amp;$B216,'3) Release_Label'!$D:$D&amp;'3) Release_Label'!$E:$E,1,0)),"NO UPC-CATALOG ID pair MATCH in Release_Label" )</f>
        <v/>
      </c>
      <c r="D216" s="121" t="str">
        <f t="array" ref="D216">ifs(and(isblank($A216),isblank($B216)),"", not(iserror(vlookup($A216&amp;$B216,'3) Release_Label'!$D:$D&amp;'3) Release_Label'!$E:$E,1,0))),vlookup($A216&amp;$B216,{'3) Release_Label'!$D:$D&amp;'3) Release_Label'!$E:$E,'3) Release_Label'!$H:$H},2,0), or(and(not(isblank($B216)),$B216=$B215,$A216&lt;&gt;$A215),and(not(isblank($A216)),$A216=$A215,$B216&lt;&gt;$B215)),"ID LISTS UNALIGNED",and($A216&lt;&gt;"",countif('3) Release_Label'!$D:$D,$A216)=0),"NO UPC MATCH in Release_Label",and($B216&lt;&gt;"",countif('3) Release_Label'!$E:$E,$B216)=0),"NO CATALOG ID MATCH in Release_Label",iserror(vlookup($A216&amp;$B216,'3) Release_Label'!$D:$D&amp;'3) Release_Label'!$E:$E,1,0)),"NO UPC-CATALOG ID pair MATCH in Release_Label" )</f>
        <v/>
      </c>
      <c r="E216" s="147" t="str">
        <f t="shared" si="1"/>
        <v/>
      </c>
      <c r="G216" s="97"/>
      <c r="H216" s="155"/>
      <c r="J216" s="92"/>
      <c r="K216" s="98"/>
      <c r="L216" s="92"/>
      <c r="N216" s="92"/>
      <c r="O216" s="92"/>
      <c r="P216" s="92"/>
    </row>
    <row r="217">
      <c r="A217" s="90"/>
      <c r="B217" s="97"/>
      <c r="C217" s="121" t="str">
        <f t="array" ref="C217">ifs(and(isblank($A217),isblank($B217)),"", not(iserror(vlookup($A217&amp;$B217,'3) Release_Label'!$D:$D&amp;'3) Release_Label'!$E:$E,1,0))),vlookup($A217&amp;$B217,{'3) Release_Label'!$D:$D&amp;'3) Release_Label'!$E:$E,'3) Release_Label'!$F:$F},2,0), or(and(not(isblank($B217)),$B217=$B216,$A217&lt;&gt;$A216),and(not(isblank($A217)),$A217=$A216,$B217&lt;&gt;$B216)),"ID LISTS UNALIGNED",and($A217&lt;&gt;"",countif('3) Release_Label'!$D:$D,$A217)=0),"NO UPC MATCH in Release_Label",and($B217&lt;&gt;"",countif('3) Release_Label'!$E:$E,$B217)=0),"NO CATALOG ID MATCH in Release_Label",iserror(vlookup($A217&amp;$B217,'3) Release_Label'!$D:$D&amp;'3) Release_Label'!$E:$E,1,0)),"NO UPC-CATALOG ID pair MATCH in Release_Label" )</f>
        <v/>
      </c>
      <c r="D217" s="121" t="str">
        <f t="array" ref="D217">ifs(and(isblank($A217),isblank($B217)),"", not(iserror(vlookup($A217&amp;$B217,'3) Release_Label'!$D:$D&amp;'3) Release_Label'!$E:$E,1,0))),vlookup($A217&amp;$B217,{'3) Release_Label'!$D:$D&amp;'3) Release_Label'!$E:$E,'3) Release_Label'!$H:$H},2,0), or(and(not(isblank($B217)),$B217=$B216,$A217&lt;&gt;$A216),and(not(isblank($A217)),$A217=$A216,$B217&lt;&gt;$B216)),"ID LISTS UNALIGNED",and($A217&lt;&gt;"",countif('3) Release_Label'!$D:$D,$A217)=0),"NO UPC MATCH in Release_Label",and($B217&lt;&gt;"",countif('3) Release_Label'!$E:$E,$B217)=0),"NO CATALOG ID MATCH in Release_Label",iserror(vlookup($A217&amp;$B217,'3) Release_Label'!$D:$D&amp;'3) Release_Label'!$E:$E,1,0)),"NO UPC-CATALOG ID pair MATCH in Release_Label" )</f>
        <v/>
      </c>
      <c r="E217" s="147" t="str">
        <f t="shared" si="1"/>
        <v/>
      </c>
      <c r="G217" s="97"/>
      <c r="H217" s="155"/>
      <c r="J217" s="92"/>
      <c r="K217" s="98"/>
      <c r="L217" s="92"/>
      <c r="N217" s="92"/>
      <c r="O217" s="92"/>
      <c r="P217" s="92"/>
    </row>
    <row r="218">
      <c r="A218" s="90"/>
      <c r="B218" s="97"/>
      <c r="C218" s="121" t="str">
        <f t="array" ref="C218">ifs(and(isblank($A218),isblank($B218)),"", not(iserror(vlookup($A218&amp;$B218,'3) Release_Label'!$D:$D&amp;'3) Release_Label'!$E:$E,1,0))),vlookup($A218&amp;$B218,{'3) Release_Label'!$D:$D&amp;'3) Release_Label'!$E:$E,'3) Release_Label'!$F:$F},2,0), or(and(not(isblank($B218)),$B218=$B217,$A218&lt;&gt;$A217),and(not(isblank($A218)),$A218=$A217,$B218&lt;&gt;$B217)),"ID LISTS UNALIGNED",and($A218&lt;&gt;"",countif('3) Release_Label'!$D:$D,$A218)=0),"NO UPC MATCH in Release_Label",and($B218&lt;&gt;"",countif('3) Release_Label'!$E:$E,$B218)=0),"NO CATALOG ID MATCH in Release_Label",iserror(vlookup($A218&amp;$B218,'3) Release_Label'!$D:$D&amp;'3) Release_Label'!$E:$E,1,0)),"NO UPC-CATALOG ID pair MATCH in Release_Label" )</f>
        <v/>
      </c>
      <c r="D218" s="121" t="str">
        <f t="array" ref="D218">ifs(and(isblank($A218),isblank($B218)),"", not(iserror(vlookup($A218&amp;$B218,'3) Release_Label'!$D:$D&amp;'3) Release_Label'!$E:$E,1,0))),vlookup($A218&amp;$B218,{'3) Release_Label'!$D:$D&amp;'3) Release_Label'!$E:$E,'3) Release_Label'!$H:$H},2,0), or(and(not(isblank($B218)),$B218=$B217,$A218&lt;&gt;$A217),and(not(isblank($A218)),$A218=$A217,$B218&lt;&gt;$B217)),"ID LISTS UNALIGNED",and($A218&lt;&gt;"",countif('3) Release_Label'!$D:$D,$A218)=0),"NO UPC MATCH in Release_Label",and($B218&lt;&gt;"",countif('3) Release_Label'!$E:$E,$B218)=0),"NO CATALOG ID MATCH in Release_Label",iserror(vlookup($A218&amp;$B218,'3) Release_Label'!$D:$D&amp;'3) Release_Label'!$E:$E,1,0)),"NO UPC-CATALOG ID pair MATCH in Release_Label" )</f>
        <v/>
      </c>
      <c r="E218" s="147" t="str">
        <f t="shared" si="1"/>
        <v/>
      </c>
      <c r="G218" s="97"/>
      <c r="H218" s="155"/>
      <c r="J218" s="92"/>
      <c r="K218" s="98"/>
      <c r="L218" s="92"/>
      <c r="N218" s="92"/>
      <c r="O218" s="92"/>
      <c r="P218" s="92"/>
    </row>
    <row r="219">
      <c r="A219" s="90"/>
      <c r="B219" s="97"/>
      <c r="C219" s="121" t="str">
        <f t="array" ref="C219">ifs(and(isblank($A219),isblank($B219)),"", not(iserror(vlookup($A219&amp;$B219,'3) Release_Label'!$D:$D&amp;'3) Release_Label'!$E:$E,1,0))),vlookup($A219&amp;$B219,{'3) Release_Label'!$D:$D&amp;'3) Release_Label'!$E:$E,'3) Release_Label'!$F:$F},2,0), or(and(not(isblank($B219)),$B219=$B218,$A219&lt;&gt;$A218),and(not(isblank($A219)),$A219=$A218,$B219&lt;&gt;$B218)),"ID LISTS UNALIGNED",and($A219&lt;&gt;"",countif('3) Release_Label'!$D:$D,$A219)=0),"NO UPC MATCH in Release_Label",and($B219&lt;&gt;"",countif('3) Release_Label'!$E:$E,$B219)=0),"NO CATALOG ID MATCH in Release_Label",iserror(vlookup($A219&amp;$B219,'3) Release_Label'!$D:$D&amp;'3) Release_Label'!$E:$E,1,0)),"NO UPC-CATALOG ID pair MATCH in Release_Label" )</f>
        <v/>
      </c>
      <c r="D219" s="121" t="str">
        <f t="array" ref="D219">ifs(and(isblank($A219),isblank($B219)),"", not(iserror(vlookup($A219&amp;$B219,'3) Release_Label'!$D:$D&amp;'3) Release_Label'!$E:$E,1,0))),vlookup($A219&amp;$B219,{'3) Release_Label'!$D:$D&amp;'3) Release_Label'!$E:$E,'3) Release_Label'!$H:$H},2,0), or(and(not(isblank($B219)),$B219=$B218,$A219&lt;&gt;$A218),and(not(isblank($A219)),$A219=$A218,$B219&lt;&gt;$B218)),"ID LISTS UNALIGNED",and($A219&lt;&gt;"",countif('3) Release_Label'!$D:$D,$A219)=0),"NO UPC MATCH in Release_Label",and($B219&lt;&gt;"",countif('3) Release_Label'!$E:$E,$B219)=0),"NO CATALOG ID MATCH in Release_Label",iserror(vlookup($A219&amp;$B219,'3) Release_Label'!$D:$D&amp;'3) Release_Label'!$E:$E,1,0)),"NO UPC-CATALOG ID pair MATCH in Release_Label" )</f>
        <v/>
      </c>
      <c r="E219" s="147" t="str">
        <f t="shared" si="1"/>
        <v/>
      </c>
      <c r="G219" s="97"/>
      <c r="H219" s="155"/>
      <c r="J219" s="92"/>
      <c r="K219" s="98"/>
      <c r="L219" s="92"/>
      <c r="N219" s="92"/>
      <c r="O219" s="92"/>
      <c r="P219" s="92"/>
    </row>
    <row r="220">
      <c r="A220" s="90"/>
      <c r="B220" s="97"/>
      <c r="C220" s="121" t="str">
        <f t="array" ref="C220">ifs(and(isblank($A220),isblank($B220)),"", not(iserror(vlookup($A220&amp;$B220,'3) Release_Label'!$D:$D&amp;'3) Release_Label'!$E:$E,1,0))),vlookup($A220&amp;$B220,{'3) Release_Label'!$D:$D&amp;'3) Release_Label'!$E:$E,'3) Release_Label'!$F:$F},2,0), or(and(not(isblank($B220)),$B220=$B219,$A220&lt;&gt;$A219),and(not(isblank($A220)),$A220=$A219,$B220&lt;&gt;$B219)),"ID LISTS UNALIGNED",and($A220&lt;&gt;"",countif('3) Release_Label'!$D:$D,$A220)=0),"NO UPC MATCH in Release_Label",and($B220&lt;&gt;"",countif('3) Release_Label'!$E:$E,$B220)=0),"NO CATALOG ID MATCH in Release_Label",iserror(vlookup($A220&amp;$B220,'3) Release_Label'!$D:$D&amp;'3) Release_Label'!$E:$E,1,0)),"NO UPC-CATALOG ID pair MATCH in Release_Label" )</f>
        <v/>
      </c>
      <c r="D220" s="121" t="str">
        <f t="array" ref="D220">ifs(and(isblank($A220),isblank($B220)),"", not(iserror(vlookup($A220&amp;$B220,'3) Release_Label'!$D:$D&amp;'3) Release_Label'!$E:$E,1,0))),vlookup($A220&amp;$B220,{'3) Release_Label'!$D:$D&amp;'3) Release_Label'!$E:$E,'3) Release_Label'!$H:$H},2,0), or(and(not(isblank($B220)),$B220=$B219,$A220&lt;&gt;$A219),and(not(isblank($A220)),$A220=$A219,$B220&lt;&gt;$B219)),"ID LISTS UNALIGNED",and($A220&lt;&gt;"",countif('3) Release_Label'!$D:$D,$A220)=0),"NO UPC MATCH in Release_Label",and($B220&lt;&gt;"",countif('3) Release_Label'!$E:$E,$B220)=0),"NO CATALOG ID MATCH in Release_Label",iserror(vlookup($A220&amp;$B220,'3) Release_Label'!$D:$D&amp;'3) Release_Label'!$E:$E,1,0)),"NO UPC-CATALOG ID pair MATCH in Release_Label" )</f>
        <v/>
      </c>
      <c r="E220" s="147" t="str">
        <f t="shared" si="1"/>
        <v/>
      </c>
      <c r="G220" s="97"/>
      <c r="H220" s="155"/>
      <c r="J220" s="92"/>
      <c r="K220" s="98"/>
      <c r="L220" s="92"/>
      <c r="N220" s="92"/>
      <c r="O220" s="92"/>
      <c r="P220" s="92"/>
    </row>
    <row r="221">
      <c r="A221" s="90"/>
      <c r="B221" s="97"/>
      <c r="C221" s="121" t="str">
        <f t="array" ref="C221">ifs(and(isblank($A221),isblank($B221)),"", not(iserror(vlookup($A221&amp;$B221,'3) Release_Label'!$D:$D&amp;'3) Release_Label'!$E:$E,1,0))),vlookup($A221&amp;$B221,{'3) Release_Label'!$D:$D&amp;'3) Release_Label'!$E:$E,'3) Release_Label'!$F:$F},2,0), or(and(not(isblank($B221)),$B221=$B220,$A221&lt;&gt;$A220),and(not(isblank($A221)),$A221=$A220,$B221&lt;&gt;$B220)),"ID LISTS UNALIGNED",and($A221&lt;&gt;"",countif('3) Release_Label'!$D:$D,$A221)=0),"NO UPC MATCH in Release_Label",and($B221&lt;&gt;"",countif('3) Release_Label'!$E:$E,$B221)=0),"NO CATALOG ID MATCH in Release_Label",iserror(vlookup($A221&amp;$B221,'3) Release_Label'!$D:$D&amp;'3) Release_Label'!$E:$E,1,0)),"NO UPC-CATALOG ID pair MATCH in Release_Label" )</f>
        <v/>
      </c>
      <c r="D221" s="121" t="str">
        <f t="array" ref="D221">ifs(and(isblank($A221),isblank($B221)),"", not(iserror(vlookup($A221&amp;$B221,'3) Release_Label'!$D:$D&amp;'3) Release_Label'!$E:$E,1,0))),vlookup($A221&amp;$B221,{'3) Release_Label'!$D:$D&amp;'3) Release_Label'!$E:$E,'3) Release_Label'!$H:$H},2,0), or(and(not(isblank($B221)),$B221=$B220,$A221&lt;&gt;$A220),and(not(isblank($A221)),$A221=$A220,$B221&lt;&gt;$B220)),"ID LISTS UNALIGNED",and($A221&lt;&gt;"",countif('3) Release_Label'!$D:$D,$A221)=0),"NO UPC MATCH in Release_Label",and($B221&lt;&gt;"",countif('3) Release_Label'!$E:$E,$B221)=0),"NO CATALOG ID MATCH in Release_Label",iserror(vlookup($A221&amp;$B221,'3) Release_Label'!$D:$D&amp;'3) Release_Label'!$E:$E,1,0)),"NO UPC-CATALOG ID pair MATCH in Release_Label" )</f>
        <v/>
      </c>
      <c r="E221" s="147" t="str">
        <f t="shared" si="1"/>
        <v/>
      </c>
      <c r="G221" s="97"/>
      <c r="H221" s="155"/>
      <c r="J221" s="92"/>
      <c r="K221" s="98"/>
      <c r="L221" s="92"/>
      <c r="N221" s="92"/>
      <c r="O221" s="92"/>
      <c r="P221" s="92"/>
    </row>
    <row r="222">
      <c r="A222" s="90"/>
      <c r="B222" s="97"/>
      <c r="C222" s="121" t="str">
        <f t="array" ref="C222">ifs(and(isblank($A222),isblank($B222)),"", not(iserror(vlookup($A222&amp;$B222,'3) Release_Label'!$D:$D&amp;'3) Release_Label'!$E:$E,1,0))),vlookup($A222&amp;$B222,{'3) Release_Label'!$D:$D&amp;'3) Release_Label'!$E:$E,'3) Release_Label'!$F:$F},2,0), or(and(not(isblank($B222)),$B222=$B221,$A222&lt;&gt;$A221),and(not(isblank($A222)),$A222=$A221,$B222&lt;&gt;$B221)),"ID LISTS UNALIGNED",and($A222&lt;&gt;"",countif('3) Release_Label'!$D:$D,$A222)=0),"NO UPC MATCH in Release_Label",and($B222&lt;&gt;"",countif('3) Release_Label'!$E:$E,$B222)=0),"NO CATALOG ID MATCH in Release_Label",iserror(vlookup($A222&amp;$B222,'3) Release_Label'!$D:$D&amp;'3) Release_Label'!$E:$E,1,0)),"NO UPC-CATALOG ID pair MATCH in Release_Label" )</f>
        <v/>
      </c>
      <c r="D222" s="121" t="str">
        <f t="array" ref="D222">ifs(and(isblank($A222),isblank($B222)),"", not(iserror(vlookup($A222&amp;$B222,'3) Release_Label'!$D:$D&amp;'3) Release_Label'!$E:$E,1,0))),vlookup($A222&amp;$B222,{'3) Release_Label'!$D:$D&amp;'3) Release_Label'!$E:$E,'3) Release_Label'!$H:$H},2,0), or(and(not(isblank($B222)),$B222=$B221,$A222&lt;&gt;$A221),and(not(isblank($A222)),$A222=$A221,$B222&lt;&gt;$B221)),"ID LISTS UNALIGNED",and($A222&lt;&gt;"",countif('3) Release_Label'!$D:$D,$A222)=0),"NO UPC MATCH in Release_Label",and($B222&lt;&gt;"",countif('3) Release_Label'!$E:$E,$B222)=0),"NO CATALOG ID MATCH in Release_Label",iserror(vlookup($A222&amp;$B222,'3) Release_Label'!$D:$D&amp;'3) Release_Label'!$E:$E,1,0)),"NO UPC-CATALOG ID pair MATCH in Release_Label" )</f>
        <v/>
      </c>
      <c r="E222" s="147" t="str">
        <f t="shared" si="1"/>
        <v/>
      </c>
      <c r="G222" s="97"/>
      <c r="H222" s="155"/>
      <c r="J222" s="92"/>
      <c r="K222" s="98"/>
      <c r="L222" s="92"/>
      <c r="N222" s="92"/>
      <c r="O222" s="92"/>
      <c r="P222" s="92"/>
    </row>
    <row r="223">
      <c r="A223" s="90"/>
      <c r="B223" s="97"/>
      <c r="C223" s="121" t="str">
        <f t="array" ref="C223">ifs(and(isblank($A223),isblank($B223)),"", not(iserror(vlookup($A223&amp;$B223,'3) Release_Label'!$D:$D&amp;'3) Release_Label'!$E:$E,1,0))),vlookup($A223&amp;$B223,{'3) Release_Label'!$D:$D&amp;'3) Release_Label'!$E:$E,'3) Release_Label'!$F:$F},2,0), or(and(not(isblank($B223)),$B223=$B222,$A223&lt;&gt;$A222),and(not(isblank($A223)),$A223=$A222,$B223&lt;&gt;$B222)),"ID LISTS UNALIGNED",and($A223&lt;&gt;"",countif('3) Release_Label'!$D:$D,$A223)=0),"NO UPC MATCH in Release_Label",and($B223&lt;&gt;"",countif('3) Release_Label'!$E:$E,$B223)=0),"NO CATALOG ID MATCH in Release_Label",iserror(vlookup($A223&amp;$B223,'3) Release_Label'!$D:$D&amp;'3) Release_Label'!$E:$E,1,0)),"NO UPC-CATALOG ID pair MATCH in Release_Label" )</f>
        <v/>
      </c>
      <c r="D223" s="121" t="str">
        <f t="array" ref="D223">ifs(and(isblank($A223),isblank($B223)),"", not(iserror(vlookup($A223&amp;$B223,'3) Release_Label'!$D:$D&amp;'3) Release_Label'!$E:$E,1,0))),vlookup($A223&amp;$B223,{'3) Release_Label'!$D:$D&amp;'3) Release_Label'!$E:$E,'3) Release_Label'!$H:$H},2,0), or(and(not(isblank($B223)),$B223=$B222,$A223&lt;&gt;$A222),and(not(isblank($A223)),$A223=$A222,$B223&lt;&gt;$B222)),"ID LISTS UNALIGNED",and($A223&lt;&gt;"",countif('3) Release_Label'!$D:$D,$A223)=0),"NO UPC MATCH in Release_Label",and($B223&lt;&gt;"",countif('3) Release_Label'!$E:$E,$B223)=0),"NO CATALOG ID MATCH in Release_Label",iserror(vlookup($A223&amp;$B223,'3) Release_Label'!$D:$D&amp;'3) Release_Label'!$E:$E,1,0)),"NO UPC-CATALOG ID pair MATCH in Release_Label" )</f>
        <v/>
      </c>
      <c r="E223" s="147" t="str">
        <f t="shared" si="1"/>
        <v/>
      </c>
      <c r="G223" s="97"/>
      <c r="H223" s="155"/>
      <c r="J223" s="92"/>
      <c r="K223" s="98"/>
      <c r="L223" s="92"/>
      <c r="N223" s="92"/>
      <c r="O223" s="92"/>
      <c r="P223" s="92"/>
    </row>
    <row r="224">
      <c r="A224" s="90"/>
      <c r="B224" s="97"/>
      <c r="C224" s="121" t="str">
        <f t="array" ref="C224">ifs(and(isblank($A224),isblank($B224)),"", not(iserror(vlookup($A224&amp;$B224,'3) Release_Label'!$D:$D&amp;'3) Release_Label'!$E:$E,1,0))),vlookup($A224&amp;$B224,{'3) Release_Label'!$D:$D&amp;'3) Release_Label'!$E:$E,'3) Release_Label'!$F:$F},2,0), or(and(not(isblank($B224)),$B224=$B223,$A224&lt;&gt;$A223),and(not(isblank($A224)),$A224=$A223,$B224&lt;&gt;$B223)),"ID LISTS UNALIGNED",and($A224&lt;&gt;"",countif('3) Release_Label'!$D:$D,$A224)=0),"NO UPC MATCH in Release_Label",and($B224&lt;&gt;"",countif('3) Release_Label'!$E:$E,$B224)=0),"NO CATALOG ID MATCH in Release_Label",iserror(vlookup($A224&amp;$B224,'3) Release_Label'!$D:$D&amp;'3) Release_Label'!$E:$E,1,0)),"NO UPC-CATALOG ID pair MATCH in Release_Label" )</f>
        <v/>
      </c>
      <c r="D224" s="121" t="str">
        <f t="array" ref="D224">ifs(and(isblank($A224),isblank($B224)),"", not(iserror(vlookup($A224&amp;$B224,'3) Release_Label'!$D:$D&amp;'3) Release_Label'!$E:$E,1,0))),vlookup($A224&amp;$B224,{'3) Release_Label'!$D:$D&amp;'3) Release_Label'!$E:$E,'3) Release_Label'!$H:$H},2,0), or(and(not(isblank($B224)),$B224=$B223,$A224&lt;&gt;$A223),and(not(isblank($A224)),$A224=$A223,$B224&lt;&gt;$B223)),"ID LISTS UNALIGNED",and($A224&lt;&gt;"",countif('3) Release_Label'!$D:$D,$A224)=0),"NO UPC MATCH in Release_Label",and($B224&lt;&gt;"",countif('3) Release_Label'!$E:$E,$B224)=0),"NO CATALOG ID MATCH in Release_Label",iserror(vlookup($A224&amp;$B224,'3) Release_Label'!$D:$D&amp;'3) Release_Label'!$E:$E,1,0)),"NO UPC-CATALOG ID pair MATCH in Release_Label" )</f>
        <v/>
      </c>
      <c r="E224" s="147" t="str">
        <f t="shared" si="1"/>
        <v/>
      </c>
      <c r="G224" s="97"/>
      <c r="H224" s="155"/>
      <c r="J224" s="92"/>
      <c r="K224" s="98"/>
      <c r="L224" s="92"/>
      <c r="N224" s="92"/>
      <c r="O224" s="92"/>
      <c r="P224" s="92"/>
    </row>
    <row r="225">
      <c r="A225" s="90"/>
      <c r="B225" s="97"/>
      <c r="C225" s="121" t="str">
        <f t="array" ref="C225">ifs(and(isblank($A225),isblank($B225)),"", not(iserror(vlookup($A225&amp;$B225,'3) Release_Label'!$D:$D&amp;'3) Release_Label'!$E:$E,1,0))),vlookup($A225&amp;$B225,{'3) Release_Label'!$D:$D&amp;'3) Release_Label'!$E:$E,'3) Release_Label'!$F:$F},2,0), or(and(not(isblank($B225)),$B225=$B224,$A225&lt;&gt;$A224),and(not(isblank($A225)),$A225=$A224,$B225&lt;&gt;$B224)),"ID LISTS UNALIGNED",and($A225&lt;&gt;"",countif('3) Release_Label'!$D:$D,$A225)=0),"NO UPC MATCH in Release_Label",and($B225&lt;&gt;"",countif('3) Release_Label'!$E:$E,$B225)=0),"NO CATALOG ID MATCH in Release_Label",iserror(vlookup($A225&amp;$B225,'3) Release_Label'!$D:$D&amp;'3) Release_Label'!$E:$E,1,0)),"NO UPC-CATALOG ID pair MATCH in Release_Label" )</f>
        <v/>
      </c>
      <c r="D225" s="121" t="str">
        <f t="array" ref="D225">ifs(and(isblank($A225),isblank($B225)),"", not(iserror(vlookup($A225&amp;$B225,'3) Release_Label'!$D:$D&amp;'3) Release_Label'!$E:$E,1,0))),vlookup($A225&amp;$B225,{'3) Release_Label'!$D:$D&amp;'3) Release_Label'!$E:$E,'3) Release_Label'!$H:$H},2,0), or(and(not(isblank($B225)),$B225=$B224,$A225&lt;&gt;$A224),and(not(isblank($A225)),$A225=$A224,$B225&lt;&gt;$B224)),"ID LISTS UNALIGNED",and($A225&lt;&gt;"",countif('3) Release_Label'!$D:$D,$A225)=0),"NO UPC MATCH in Release_Label",and($B225&lt;&gt;"",countif('3) Release_Label'!$E:$E,$B225)=0),"NO CATALOG ID MATCH in Release_Label",iserror(vlookup($A225&amp;$B225,'3) Release_Label'!$D:$D&amp;'3) Release_Label'!$E:$E,1,0)),"NO UPC-CATALOG ID pair MATCH in Release_Label" )</f>
        <v/>
      </c>
      <c r="E225" s="147" t="str">
        <f t="shared" si="1"/>
        <v/>
      </c>
      <c r="G225" s="97"/>
      <c r="H225" s="155"/>
      <c r="J225" s="92"/>
      <c r="K225" s="98"/>
      <c r="L225" s="92"/>
      <c r="N225" s="92"/>
      <c r="O225" s="92"/>
      <c r="P225" s="92"/>
    </row>
    <row r="226">
      <c r="A226" s="90"/>
      <c r="B226" s="97"/>
      <c r="C226" s="121" t="str">
        <f t="array" ref="C226">ifs(and(isblank($A226),isblank($B226)),"", not(iserror(vlookup($A226&amp;$B226,'3) Release_Label'!$D:$D&amp;'3) Release_Label'!$E:$E,1,0))),vlookup($A226&amp;$B226,{'3) Release_Label'!$D:$D&amp;'3) Release_Label'!$E:$E,'3) Release_Label'!$F:$F},2,0), or(and(not(isblank($B226)),$B226=$B225,$A226&lt;&gt;$A225),and(not(isblank($A226)),$A226=$A225,$B226&lt;&gt;$B225)),"ID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D226" s="121" t="str">
        <f t="array" ref="D226">ifs(and(isblank($A226),isblank($B226)),"", not(iserror(vlookup($A226&amp;$B226,'3) Release_Label'!$D:$D&amp;'3) Release_Label'!$E:$E,1,0))),vlookup($A226&amp;$B226,{'3) Release_Label'!$D:$D&amp;'3) Release_Label'!$E:$E,'3) Release_Label'!$H:$H},2,0), or(and(not(isblank($B226)),$B226=$B225,$A226&lt;&gt;$A225),and(not(isblank($A226)),$A226=$A225,$B226&lt;&gt;$B225)),"ID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E226" s="147" t="str">
        <f t="shared" si="1"/>
        <v/>
      </c>
      <c r="G226" s="97"/>
      <c r="H226" s="155"/>
      <c r="J226" s="92"/>
      <c r="K226" s="98"/>
      <c r="L226" s="92"/>
      <c r="N226" s="92"/>
      <c r="O226" s="92"/>
      <c r="P226" s="92"/>
    </row>
    <row r="227">
      <c r="A227" s="90"/>
      <c r="B227" s="97"/>
      <c r="C227" s="121" t="str">
        <f t="array" ref="C227">ifs(and(isblank($A227),isblank($B227)),"", not(iserror(vlookup($A227&amp;$B227,'3) Release_Label'!$D:$D&amp;'3) Release_Label'!$E:$E,1,0))),vlookup($A227&amp;$B227,{'3) Release_Label'!$D:$D&amp;'3) Release_Label'!$E:$E,'3) Release_Label'!$F:$F},2,0),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D227" s="121" t="str">
        <f t="array" ref="D227">ifs(and(isblank($A227),isblank($B227)),"", not(iserror(vlookup($A227&amp;$B227,'3) Release_Label'!$D:$D&amp;'3) Release_Label'!$E:$E,1,0))),vlookup($A227&amp;$B227,{'3) Release_Label'!$D:$D&amp;'3) Release_Label'!$E:$E,'3) Release_Label'!$H:$H},2,0),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E227" s="147" t="str">
        <f t="shared" si="1"/>
        <v/>
      </c>
      <c r="G227" s="97"/>
      <c r="H227" s="155"/>
      <c r="J227" s="92"/>
      <c r="K227" s="98"/>
      <c r="L227" s="92"/>
      <c r="N227" s="92"/>
      <c r="O227" s="92"/>
      <c r="P227" s="92"/>
    </row>
    <row r="228">
      <c r="A228" s="90"/>
      <c r="B228" s="97"/>
      <c r="C228" s="121" t="str">
        <f t="array" ref="C228">ifs(and(isblank($A228),isblank($B228)),"", not(iserror(vlookup($A228&amp;$B228,'3) Release_Label'!$D:$D&amp;'3) Release_Label'!$E:$E,1,0))),vlookup($A228&amp;$B228,{'3) Release_Label'!$D:$D&amp;'3) Release_Label'!$E:$E,'3) Release_Label'!$F:$F},2,0),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D228" s="121" t="str">
        <f t="array" ref="D228">ifs(and(isblank($A228),isblank($B228)),"", not(iserror(vlookup($A228&amp;$B228,'3) Release_Label'!$D:$D&amp;'3) Release_Label'!$E:$E,1,0))),vlookup($A228&amp;$B228,{'3) Release_Label'!$D:$D&amp;'3) Release_Label'!$E:$E,'3) Release_Label'!$H:$H},2,0),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E228" s="147" t="str">
        <f t="shared" si="1"/>
        <v/>
      </c>
      <c r="G228" s="97"/>
      <c r="H228" s="155"/>
      <c r="J228" s="92"/>
      <c r="K228" s="98"/>
      <c r="L228" s="92"/>
      <c r="N228" s="92"/>
      <c r="O228" s="92"/>
      <c r="P228" s="92"/>
    </row>
    <row r="229">
      <c r="A229" s="90"/>
      <c r="B229" s="97"/>
      <c r="C229" s="121" t="str">
        <f t="array" ref="C229">ifs(and(isblank($A229),isblank($B229)),"", not(iserror(vlookup($A229&amp;$B229,'3) Release_Label'!$D:$D&amp;'3) Release_Label'!$E:$E,1,0))),vlookup($A229&amp;$B229,{'3) Release_Label'!$D:$D&amp;'3) Release_Label'!$E:$E,'3) Release_Label'!$F:$F},2,0),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D229" s="121" t="str">
        <f t="array" ref="D229">ifs(and(isblank($A229),isblank($B229)),"", not(iserror(vlookup($A229&amp;$B229,'3) Release_Label'!$D:$D&amp;'3) Release_Label'!$E:$E,1,0))),vlookup($A229&amp;$B229,{'3) Release_Label'!$D:$D&amp;'3) Release_Label'!$E:$E,'3) Release_Label'!$H:$H},2,0),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E229" s="147" t="str">
        <f t="shared" si="1"/>
        <v/>
      </c>
      <c r="G229" s="97"/>
      <c r="H229" s="155"/>
      <c r="J229" s="92"/>
      <c r="K229" s="98"/>
      <c r="L229" s="92"/>
      <c r="N229" s="92"/>
      <c r="O229" s="92"/>
      <c r="P229" s="92"/>
    </row>
    <row r="230">
      <c r="A230" s="90"/>
      <c r="B230" s="97"/>
      <c r="C230" s="121" t="str">
        <f t="array" ref="C230">ifs(and(isblank($A230),isblank($B230)),"", not(iserror(vlookup($A230&amp;$B230,'3) Release_Label'!$D:$D&amp;'3) Release_Label'!$E:$E,1,0))),vlookup($A230&amp;$B230,{'3) Release_Label'!$D:$D&amp;'3) Release_Label'!$E:$E,'3) Release_Label'!$F:$F},2,0),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D230" s="121" t="str">
        <f t="array" ref="D230">ifs(and(isblank($A230),isblank($B230)),"", not(iserror(vlookup($A230&amp;$B230,'3) Release_Label'!$D:$D&amp;'3) Release_Label'!$E:$E,1,0))),vlookup($A230&amp;$B230,{'3) Release_Label'!$D:$D&amp;'3) Release_Label'!$E:$E,'3) Release_Label'!$H:$H},2,0),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E230" s="147" t="str">
        <f t="shared" si="1"/>
        <v/>
      </c>
      <c r="G230" s="97"/>
      <c r="H230" s="155"/>
      <c r="J230" s="92"/>
      <c r="K230" s="98"/>
      <c r="L230" s="92"/>
      <c r="N230" s="92"/>
      <c r="O230" s="92"/>
      <c r="P230" s="92"/>
    </row>
    <row r="231">
      <c r="A231" s="90"/>
      <c r="B231" s="97"/>
      <c r="C231" s="121" t="str">
        <f t="array" ref="C231">ifs(and(isblank($A231),isblank($B231)),"", not(iserror(vlookup($A231&amp;$B231,'3) Release_Label'!$D:$D&amp;'3) Release_Label'!$E:$E,1,0))),vlookup($A231&amp;$B231,{'3) Release_Label'!$D:$D&amp;'3) Release_Label'!$E:$E,'3) Release_Label'!$F:$F},2,0),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D231" s="121" t="str">
        <f t="array" ref="D231">ifs(and(isblank($A231),isblank($B231)),"", not(iserror(vlookup($A231&amp;$B231,'3) Release_Label'!$D:$D&amp;'3) Release_Label'!$E:$E,1,0))),vlookup($A231&amp;$B231,{'3) Release_Label'!$D:$D&amp;'3) Release_Label'!$E:$E,'3) Release_Label'!$H:$H},2,0),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E231" s="147" t="str">
        <f t="shared" si="1"/>
        <v/>
      </c>
      <c r="G231" s="97"/>
      <c r="H231" s="155"/>
      <c r="J231" s="92"/>
      <c r="K231" s="98"/>
      <c r="L231" s="92"/>
      <c r="N231" s="92"/>
      <c r="O231" s="92"/>
      <c r="P231" s="92"/>
    </row>
    <row r="232">
      <c r="A232" s="90"/>
      <c r="B232" s="97"/>
      <c r="C232" s="121" t="str">
        <f t="array" ref="C232">ifs(and(isblank($A232),isblank($B232)),"", not(iserror(vlookup($A232&amp;$B232,'3) Release_Label'!$D:$D&amp;'3) Release_Label'!$E:$E,1,0))),vlookup($A232&amp;$B232,{'3) Release_Label'!$D:$D&amp;'3) Release_Label'!$E:$E,'3) Release_Label'!$F:$F},2,0),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D232" s="121" t="str">
        <f t="array" ref="D232">ifs(and(isblank($A232),isblank($B232)),"", not(iserror(vlookup($A232&amp;$B232,'3) Release_Label'!$D:$D&amp;'3) Release_Label'!$E:$E,1,0))),vlookup($A232&amp;$B232,{'3) Release_Label'!$D:$D&amp;'3) Release_Label'!$E:$E,'3) Release_Label'!$H:$H},2,0),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E232" s="147" t="str">
        <f t="shared" si="1"/>
        <v/>
      </c>
      <c r="G232" s="97"/>
      <c r="H232" s="155"/>
      <c r="J232" s="92"/>
      <c r="K232" s="98"/>
      <c r="L232" s="92"/>
      <c r="N232" s="92"/>
      <c r="O232" s="92"/>
      <c r="P232" s="92"/>
    </row>
    <row r="233">
      <c r="A233" s="90"/>
      <c r="B233" s="97"/>
      <c r="C233" s="121" t="str">
        <f t="array" ref="C233">ifs(and(isblank($A233),isblank($B233)),"", not(iserror(vlookup($A233&amp;$B233,'3) Release_Label'!$D:$D&amp;'3) Release_Label'!$E:$E,1,0))),vlookup($A233&amp;$B233,{'3) Release_Label'!$D:$D&amp;'3) Release_Label'!$E:$E,'3) Release_Label'!$F:$F},2,0),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D233" s="121" t="str">
        <f t="array" ref="D233">ifs(and(isblank($A233),isblank($B233)),"", not(iserror(vlookup($A233&amp;$B233,'3) Release_Label'!$D:$D&amp;'3) Release_Label'!$E:$E,1,0))),vlookup($A233&amp;$B233,{'3) Release_Label'!$D:$D&amp;'3) Release_Label'!$E:$E,'3) Release_Label'!$H:$H},2,0),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E233" s="147" t="str">
        <f t="shared" si="1"/>
        <v/>
      </c>
      <c r="G233" s="97"/>
      <c r="H233" s="155"/>
      <c r="J233" s="92"/>
      <c r="K233" s="98"/>
      <c r="L233" s="92"/>
      <c r="N233" s="92"/>
      <c r="O233" s="92"/>
      <c r="P233" s="92"/>
    </row>
    <row r="234">
      <c r="A234" s="90"/>
      <c r="B234" s="97"/>
      <c r="C234" s="121" t="str">
        <f t="array" ref="C234">ifs(and(isblank($A234),isblank($B234)),"", not(iserror(vlookup($A234&amp;$B234,'3) Release_Label'!$D:$D&amp;'3) Release_Label'!$E:$E,1,0))),vlookup($A234&amp;$B234,{'3) Release_Label'!$D:$D&amp;'3) Release_Label'!$E:$E,'3) Release_Label'!$F:$F},2,0),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D234" s="121" t="str">
        <f t="array" ref="D234">ifs(and(isblank($A234),isblank($B234)),"", not(iserror(vlookup($A234&amp;$B234,'3) Release_Label'!$D:$D&amp;'3) Release_Label'!$E:$E,1,0))),vlookup($A234&amp;$B234,{'3) Release_Label'!$D:$D&amp;'3) Release_Label'!$E:$E,'3) Release_Label'!$H:$H},2,0),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E234" s="147" t="str">
        <f t="shared" si="1"/>
        <v/>
      </c>
      <c r="G234" s="97"/>
      <c r="H234" s="155"/>
      <c r="J234" s="92"/>
      <c r="K234" s="98"/>
      <c r="L234" s="92"/>
      <c r="N234" s="92"/>
      <c r="O234" s="92"/>
      <c r="P234" s="92"/>
    </row>
    <row r="235">
      <c r="A235" s="90"/>
      <c r="B235" s="97"/>
      <c r="C235" s="121" t="str">
        <f t="array" ref="C235">ifs(and(isblank($A235),isblank($B235)),"", not(iserror(vlookup($A235&amp;$B235,'3) Release_Label'!$D:$D&amp;'3) Release_Label'!$E:$E,1,0))),vlookup($A235&amp;$B235,{'3) Release_Label'!$D:$D&amp;'3) Release_Label'!$E:$E,'3) Release_Label'!$F:$F},2,0),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D235" s="121" t="str">
        <f t="array" ref="D235">ifs(and(isblank($A235),isblank($B235)),"", not(iserror(vlookup($A235&amp;$B235,'3) Release_Label'!$D:$D&amp;'3) Release_Label'!$E:$E,1,0))),vlookup($A235&amp;$B235,{'3) Release_Label'!$D:$D&amp;'3) Release_Label'!$E:$E,'3) Release_Label'!$H:$H},2,0),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E235" s="147" t="str">
        <f t="shared" si="1"/>
        <v/>
      </c>
      <c r="G235" s="97"/>
      <c r="H235" s="155"/>
      <c r="J235" s="92"/>
      <c r="K235" s="98"/>
      <c r="L235" s="92"/>
      <c r="N235" s="92"/>
      <c r="O235" s="92"/>
      <c r="P235" s="92"/>
    </row>
    <row r="236">
      <c r="A236" s="90"/>
      <c r="B236" s="97"/>
      <c r="C236" s="121" t="str">
        <f t="array" ref="C236">ifs(and(isblank($A236),isblank($B236)),"", not(iserror(vlookup($A236&amp;$B236,'3) Release_Label'!$D:$D&amp;'3) Release_Label'!$E:$E,1,0))),vlookup($A236&amp;$B236,{'3) Release_Label'!$D:$D&amp;'3) Release_Label'!$E:$E,'3) Release_Label'!$F:$F},2,0),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D236" s="121" t="str">
        <f t="array" ref="D236">ifs(and(isblank($A236),isblank($B236)),"", not(iserror(vlookup($A236&amp;$B236,'3) Release_Label'!$D:$D&amp;'3) Release_Label'!$E:$E,1,0))),vlookup($A236&amp;$B236,{'3) Release_Label'!$D:$D&amp;'3) Release_Label'!$E:$E,'3) Release_Label'!$H:$H},2,0),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E236" s="147" t="str">
        <f t="shared" si="1"/>
        <v/>
      </c>
      <c r="G236" s="97"/>
      <c r="H236" s="155"/>
      <c r="J236" s="92"/>
      <c r="K236" s="98"/>
      <c r="L236" s="92"/>
      <c r="N236" s="92"/>
      <c r="O236" s="92"/>
      <c r="P236" s="92"/>
    </row>
    <row r="237">
      <c r="A237" s="90"/>
      <c r="B237" s="97"/>
      <c r="C237" s="121" t="str">
        <f t="array" ref="C237">ifs(and(isblank($A237),isblank($B237)),"", not(iserror(vlookup($A237&amp;$B237,'3) Release_Label'!$D:$D&amp;'3) Release_Label'!$E:$E,1,0))),vlookup($A237&amp;$B237,{'3) Release_Label'!$D:$D&amp;'3) Release_Label'!$E:$E,'3) Release_Label'!$F:$F},2,0),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D237" s="121" t="str">
        <f t="array" ref="D237">ifs(and(isblank($A237),isblank($B237)),"", not(iserror(vlookup($A237&amp;$B237,'3) Release_Label'!$D:$D&amp;'3) Release_Label'!$E:$E,1,0))),vlookup($A237&amp;$B237,{'3) Release_Label'!$D:$D&amp;'3) Release_Label'!$E:$E,'3) Release_Label'!$H:$H},2,0),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E237" s="147" t="str">
        <f t="shared" si="1"/>
        <v/>
      </c>
      <c r="G237" s="97"/>
      <c r="H237" s="155"/>
      <c r="J237" s="92"/>
      <c r="K237" s="98"/>
      <c r="L237" s="92"/>
      <c r="N237" s="92"/>
      <c r="O237" s="92"/>
      <c r="P237" s="92"/>
    </row>
    <row r="238">
      <c r="A238" s="90"/>
      <c r="B238" s="97"/>
      <c r="C238" s="121" t="str">
        <f t="array" ref="C238">ifs(and(isblank($A238),isblank($B238)),"", not(iserror(vlookup($A238&amp;$B238,'3) Release_Label'!$D:$D&amp;'3) Release_Label'!$E:$E,1,0))),vlookup($A238&amp;$B238,{'3) Release_Label'!$D:$D&amp;'3) Release_Label'!$E:$E,'3) Release_Label'!$F:$F},2,0),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D238" s="121" t="str">
        <f t="array" ref="D238">ifs(and(isblank($A238),isblank($B238)),"", not(iserror(vlookup($A238&amp;$B238,'3) Release_Label'!$D:$D&amp;'3) Release_Label'!$E:$E,1,0))),vlookup($A238&amp;$B238,{'3) Release_Label'!$D:$D&amp;'3) Release_Label'!$E:$E,'3) Release_Label'!$H:$H},2,0),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E238" s="147" t="str">
        <f t="shared" si="1"/>
        <v/>
      </c>
      <c r="G238" s="97"/>
      <c r="H238" s="155"/>
      <c r="J238" s="92"/>
      <c r="K238" s="98"/>
      <c r="L238" s="92"/>
      <c r="N238" s="92"/>
      <c r="O238" s="92"/>
      <c r="P238" s="92"/>
    </row>
    <row r="239">
      <c r="A239" s="90"/>
      <c r="B239" s="97"/>
      <c r="C239" s="121" t="str">
        <f t="array" ref="C239">ifs(and(isblank($A239),isblank($B239)),"", not(iserror(vlookup($A239&amp;$B239,'3) Release_Label'!$D:$D&amp;'3) Release_Label'!$E:$E,1,0))),vlookup($A239&amp;$B239,{'3) Release_Label'!$D:$D&amp;'3) Release_Label'!$E:$E,'3) Release_Label'!$F:$F},2,0),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D239" s="121" t="str">
        <f t="array" ref="D239">ifs(and(isblank($A239),isblank($B239)),"", not(iserror(vlookup($A239&amp;$B239,'3) Release_Label'!$D:$D&amp;'3) Release_Label'!$E:$E,1,0))),vlookup($A239&amp;$B239,{'3) Release_Label'!$D:$D&amp;'3) Release_Label'!$E:$E,'3) Release_Label'!$H:$H},2,0),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E239" s="147" t="str">
        <f t="shared" si="1"/>
        <v/>
      </c>
      <c r="G239" s="97"/>
      <c r="H239" s="155"/>
      <c r="J239" s="92"/>
      <c r="K239" s="98"/>
      <c r="L239" s="92"/>
      <c r="N239" s="92"/>
      <c r="O239" s="92"/>
      <c r="P239" s="92"/>
    </row>
    <row r="240">
      <c r="A240" s="90"/>
      <c r="B240" s="97"/>
      <c r="C240" s="121" t="str">
        <f t="array" ref="C240">ifs(and(isblank($A240),isblank($B240)),"", not(iserror(vlookup($A240&amp;$B240,'3) Release_Label'!$D:$D&amp;'3) Release_Label'!$E:$E,1,0))),vlookup($A240&amp;$B240,{'3) Release_Label'!$D:$D&amp;'3) Release_Label'!$E:$E,'3) Release_Label'!$F:$F},2,0),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D240" s="121" t="str">
        <f t="array" ref="D240">ifs(and(isblank($A240),isblank($B240)),"", not(iserror(vlookup($A240&amp;$B240,'3) Release_Label'!$D:$D&amp;'3) Release_Label'!$E:$E,1,0))),vlookup($A240&amp;$B240,{'3) Release_Label'!$D:$D&amp;'3) Release_Label'!$E:$E,'3) Release_Label'!$H:$H},2,0),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E240" s="147" t="str">
        <f t="shared" si="1"/>
        <v/>
      </c>
      <c r="G240" s="97"/>
      <c r="H240" s="155"/>
      <c r="J240" s="92"/>
      <c r="K240" s="98"/>
      <c r="L240" s="92"/>
      <c r="N240" s="92"/>
      <c r="O240" s="92"/>
      <c r="P240" s="92"/>
    </row>
    <row r="241">
      <c r="A241" s="90"/>
      <c r="B241" s="97"/>
      <c r="C241" s="121" t="str">
        <f t="array" ref="C241">ifs(and(isblank($A241),isblank($B241)),"", not(iserror(vlookup($A241&amp;$B241,'3) Release_Label'!$D:$D&amp;'3) Release_Label'!$E:$E,1,0))),vlookup($A241&amp;$B241,{'3) Release_Label'!$D:$D&amp;'3) Release_Label'!$E:$E,'3) Release_Label'!$F:$F},2,0),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D241" s="121" t="str">
        <f t="array" ref="D241">ifs(and(isblank($A241),isblank($B241)),"", not(iserror(vlookup($A241&amp;$B241,'3) Release_Label'!$D:$D&amp;'3) Release_Label'!$E:$E,1,0))),vlookup($A241&amp;$B241,{'3) Release_Label'!$D:$D&amp;'3) Release_Label'!$E:$E,'3) Release_Label'!$H:$H},2,0),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E241" s="147" t="str">
        <f t="shared" si="1"/>
        <v/>
      </c>
      <c r="G241" s="97"/>
      <c r="H241" s="155"/>
      <c r="J241" s="92"/>
      <c r="K241" s="98"/>
      <c r="L241" s="92"/>
      <c r="N241" s="92"/>
      <c r="O241" s="92"/>
      <c r="P241" s="92"/>
    </row>
    <row r="242">
      <c r="A242" s="90"/>
      <c r="B242" s="97"/>
      <c r="C242" s="121" t="str">
        <f t="array" ref="C242">ifs(and(isblank($A242),isblank($B242)),"", not(iserror(vlookup($A242&amp;$B242,'3) Release_Label'!$D:$D&amp;'3) Release_Label'!$E:$E,1,0))),vlookup($A242&amp;$B242,{'3) Release_Label'!$D:$D&amp;'3) Release_Label'!$E:$E,'3) Release_Label'!$F:$F},2,0),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D242" s="121" t="str">
        <f t="array" ref="D242">ifs(and(isblank($A242),isblank($B242)),"", not(iserror(vlookup($A242&amp;$B242,'3) Release_Label'!$D:$D&amp;'3) Release_Label'!$E:$E,1,0))),vlookup($A242&amp;$B242,{'3) Release_Label'!$D:$D&amp;'3) Release_Label'!$E:$E,'3) Release_Label'!$H:$H},2,0),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E242" s="147" t="str">
        <f t="shared" si="1"/>
        <v/>
      </c>
      <c r="G242" s="97"/>
      <c r="H242" s="155"/>
      <c r="J242" s="92"/>
      <c r="K242" s="98"/>
      <c r="L242" s="92"/>
      <c r="N242" s="92"/>
      <c r="O242" s="92"/>
      <c r="P242" s="92"/>
    </row>
    <row r="243">
      <c r="A243" s="90"/>
      <c r="B243" s="97"/>
      <c r="C243" s="121" t="str">
        <f t="array" ref="C243">ifs(and(isblank($A243),isblank($B243)),"", not(iserror(vlookup($A243&amp;$B243,'3) Release_Label'!$D:$D&amp;'3) Release_Label'!$E:$E,1,0))),vlookup($A243&amp;$B243,{'3) Release_Label'!$D:$D&amp;'3) Release_Label'!$E:$E,'3) Release_Label'!$F:$F},2,0),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D243" s="121" t="str">
        <f t="array" ref="D243">ifs(and(isblank($A243),isblank($B243)),"", not(iserror(vlookup($A243&amp;$B243,'3) Release_Label'!$D:$D&amp;'3) Release_Label'!$E:$E,1,0))),vlookup($A243&amp;$B243,{'3) Release_Label'!$D:$D&amp;'3) Release_Label'!$E:$E,'3) Release_Label'!$H:$H},2,0),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E243" s="147" t="str">
        <f t="shared" si="1"/>
        <v/>
      </c>
      <c r="G243" s="97"/>
      <c r="H243" s="155"/>
      <c r="J243" s="92"/>
      <c r="K243" s="98"/>
      <c r="L243" s="92"/>
      <c r="N243" s="92"/>
      <c r="O243" s="92"/>
      <c r="P243" s="92"/>
    </row>
    <row r="244">
      <c r="A244" s="90"/>
      <c r="B244" s="97"/>
      <c r="C244" s="121" t="str">
        <f t="array" ref="C244">ifs(and(isblank($A244),isblank($B244)),"", not(iserror(vlookup($A244&amp;$B244,'3) Release_Label'!$D:$D&amp;'3) Release_Label'!$E:$E,1,0))),vlookup($A244&amp;$B244,{'3) Release_Label'!$D:$D&amp;'3) Release_Label'!$E:$E,'3) Release_Label'!$F:$F},2,0),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D244" s="121" t="str">
        <f t="array" ref="D244">ifs(and(isblank($A244),isblank($B244)),"", not(iserror(vlookup($A244&amp;$B244,'3) Release_Label'!$D:$D&amp;'3) Release_Label'!$E:$E,1,0))),vlookup($A244&amp;$B244,{'3) Release_Label'!$D:$D&amp;'3) Release_Label'!$E:$E,'3) Release_Label'!$H:$H},2,0),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E244" s="147" t="str">
        <f t="shared" si="1"/>
        <v/>
      </c>
      <c r="G244" s="97"/>
      <c r="H244" s="155"/>
      <c r="J244" s="92"/>
      <c r="K244" s="98"/>
      <c r="L244" s="92"/>
      <c r="N244" s="92"/>
      <c r="O244" s="92"/>
      <c r="P244" s="92"/>
    </row>
    <row r="245">
      <c r="A245" s="90"/>
      <c r="B245" s="97"/>
      <c r="C245" s="121" t="str">
        <f t="array" ref="C245">ifs(and(isblank($A245),isblank($B245)),"", not(iserror(vlookup($A245&amp;$B245,'3) Release_Label'!$D:$D&amp;'3) Release_Label'!$E:$E,1,0))),vlookup($A245&amp;$B245,{'3) Release_Label'!$D:$D&amp;'3) Release_Label'!$E:$E,'3) Release_Label'!$F:$F},2,0),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D245" s="121" t="str">
        <f t="array" ref="D245">ifs(and(isblank($A245),isblank($B245)),"", not(iserror(vlookup($A245&amp;$B245,'3) Release_Label'!$D:$D&amp;'3) Release_Label'!$E:$E,1,0))),vlookup($A245&amp;$B245,{'3) Release_Label'!$D:$D&amp;'3) Release_Label'!$E:$E,'3) Release_Label'!$H:$H},2,0),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E245" s="147" t="str">
        <f t="shared" si="1"/>
        <v/>
      </c>
      <c r="G245" s="97"/>
      <c r="H245" s="155"/>
      <c r="J245" s="92"/>
      <c r="K245" s="98"/>
      <c r="L245" s="92"/>
      <c r="N245" s="92"/>
      <c r="O245" s="92"/>
      <c r="P245" s="92"/>
    </row>
    <row r="246">
      <c r="A246" s="90"/>
      <c r="B246" s="97"/>
      <c r="C246" s="121" t="str">
        <f t="array" ref="C246">ifs(and(isblank($A246),isblank($B246)),"", not(iserror(vlookup($A246&amp;$B246,'3) Release_Label'!$D:$D&amp;'3) Release_Label'!$E:$E,1,0))),vlookup($A246&amp;$B246,{'3) Release_Label'!$D:$D&amp;'3) Release_Label'!$E:$E,'3) Release_Label'!$F:$F},2,0),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D246" s="121" t="str">
        <f t="array" ref="D246">ifs(and(isblank($A246),isblank($B246)),"", not(iserror(vlookup($A246&amp;$B246,'3) Release_Label'!$D:$D&amp;'3) Release_Label'!$E:$E,1,0))),vlookup($A246&amp;$B246,{'3) Release_Label'!$D:$D&amp;'3) Release_Label'!$E:$E,'3) Release_Label'!$H:$H},2,0),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E246" s="147" t="str">
        <f t="shared" si="1"/>
        <v/>
      </c>
      <c r="G246" s="97"/>
      <c r="H246" s="155"/>
      <c r="J246" s="92"/>
      <c r="K246" s="98"/>
      <c r="L246" s="92"/>
      <c r="N246" s="92"/>
      <c r="O246" s="92"/>
      <c r="P246" s="92"/>
    </row>
    <row r="247">
      <c r="A247" s="90"/>
      <c r="B247" s="97"/>
      <c r="C247" s="121" t="str">
        <f t="array" ref="C247">ifs(and(isblank($A247),isblank($B247)),"", not(iserror(vlookup($A247&amp;$B247,'3) Release_Label'!$D:$D&amp;'3) Release_Label'!$E:$E,1,0))),vlookup($A247&amp;$B247,{'3) Release_Label'!$D:$D&amp;'3) Release_Label'!$E:$E,'3) Release_Label'!$F:$F},2,0),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D247" s="121" t="str">
        <f t="array" ref="D247">ifs(and(isblank($A247),isblank($B247)),"", not(iserror(vlookup($A247&amp;$B247,'3) Release_Label'!$D:$D&amp;'3) Release_Label'!$E:$E,1,0))),vlookup($A247&amp;$B247,{'3) Release_Label'!$D:$D&amp;'3) Release_Label'!$E:$E,'3) Release_Label'!$H:$H},2,0),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E247" s="147" t="str">
        <f t="shared" si="1"/>
        <v/>
      </c>
      <c r="G247" s="97"/>
      <c r="H247" s="155"/>
      <c r="J247" s="92"/>
      <c r="K247" s="98"/>
      <c r="L247" s="92"/>
      <c r="N247" s="92"/>
      <c r="O247" s="92"/>
      <c r="P247" s="92"/>
    </row>
    <row r="248">
      <c r="A248" s="90"/>
      <c r="B248" s="97"/>
      <c r="C248" s="121" t="str">
        <f t="array" ref="C248">ifs(and(isblank($A248),isblank($B248)),"", not(iserror(vlookup($A248&amp;$B248,'3) Release_Label'!$D:$D&amp;'3) Release_Label'!$E:$E,1,0))),vlookup($A248&amp;$B248,{'3) Release_Label'!$D:$D&amp;'3) Release_Label'!$E:$E,'3) Release_Label'!$F:$F},2,0),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D248" s="121" t="str">
        <f t="array" ref="D248">ifs(and(isblank($A248),isblank($B248)),"", not(iserror(vlookup($A248&amp;$B248,'3) Release_Label'!$D:$D&amp;'3) Release_Label'!$E:$E,1,0))),vlookup($A248&amp;$B248,{'3) Release_Label'!$D:$D&amp;'3) Release_Label'!$E:$E,'3) Release_Label'!$H:$H},2,0),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E248" s="147" t="str">
        <f t="shared" si="1"/>
        <v/>
      </c>
      <c r="G248" s="97"/>
      <c r="H248" s="155"/>
      <c r="J248" s="92"/>
      <c r="K248" s="98"/>
      <c r="L248" s="92"/>
      <c r="N248" s="92"/>
      <c r="O248" s="92"/>
      <c r="P248" s="92"/>
    </row>
    <row r="249">
      <c r="A249" s="90"/>
      <c r="B249" s="97"/>
      <c r="C249" s="121" t="str">
        <f t="array" ref="C249">ifs(and(isblank($A249),isblank($B249)),"", not(iserror(vlookup($A249&amp;$B249,'3) Release_Label'!$D:$D&amp;'3) Release_Label'!$E:$E,1,0))),vlookup($A249&amp;$B249,{'3) Release_Label'!$D:$D&amp;'3) Release_Label'!$E:$E,'3) Release_Label'!$F:$F},2,0),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D249" s="121" t="str">
        <f t="array" ref="D249">ifs(and(isblank($A249),isblank($B249)),"", not(iserror(vlookup($A249&amp;$B249,'3) Release_Label'!$D:$D&amp;'3) Release_Label'!$E:$E,1,0))),vlookup($A249&amp;$B249,{'3) Release_Label'!$D:$D&amp;'3) Release_Label'!$E:$E,'3) Release_Label'!$H:$H},2,0),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E249" s="147" t="str">
        <f t="shared" si="1"/>
        <v/>
      </c>
      <c r="G249" s="97"/>
      <c r="H249" s="155"/>
      <c r="J249" s="92"/>
      <c r="K249" s="98"/>
      <c r="L249" s="92"/>
      <c r="N249" s="92"/>
      <c r="O249" s="92"/>
      <c r="P249" s="92"/>
    </row>
    <row r="250">
      <c r="A250" s="90"/>
      <c r="B250" s="97"/>
      <c r="C250" s="121" t="str">
        <f t="array" ref="C250">ifs(and(isblank($A250),isblank($B250)),"", not(iserror(vlookup($A250&amp;$B250,'3) Release_Label'!$D:$D&amp;'3) Release_Label'!$E:$E,1,0))),vlookup($A250&amp;$B250,{'3) Release_Label'!$D:$D&amp;'3) Release_Label'!$E:$E,'3) Release_Label'!$F:$F},2,0),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D250" s="121" t="str">
        <f t="array" ref="D250">ifs(and(isblank($A250),isblank($B250)),"", not(iserror(vlookup($A250&amp;$B250,'3) Release_Label'!$D:$D&amp;'3) Release_Label'!$E:$E,1,0))),vlookup($A250&amp;$B250,{'3) Release_Label'!$D:$D&amp;'3) Release_Label'!$E:$E,'3) Release_Label'!$H:$H},2,0),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E250" s="147" t="str">
        <f t="shared" si="1"/>
        <v/>
      </c>
      <c r="G250" s="97"/>
      <c r="H250" s="155"/>
      <c r="J250" s="92"/>
      <c r="K250" s="98"/>
      <c r="L250" s="92"/>
      <c r="N250" s="92"/>
      <c r="O250" s="92"/>
      <c r="P250" s="92"/>
    </row>
    <row r="251">
      <c r="A251" s="90"/>
      <c r="B251" s="97"/>
      <c r="C251" s="121" t="str">
        <f t="array" ref="C251">ifs(and(isblank($A251),isblank($B251)),"", not(iserror(vlookup($A251&amp;$B251,'3) Release_Label'!$D:$D&amp;'3) Release_Label'!$E:$E,1,0))),vlookup($A251&amp;$B251,{'3) Release_Label'!$D:$D&amp;'3) Release_Label'!$E:$E,'3) Release_Label'!$F:$F},2,0),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D251" s="121" t="str">
        <f t="array" ref="D251">ifs(and(isblank($A251),isblank($B251)),"", not(iserror(vlookup($A251&amp;$B251,'3) Release_Label'!$D:$D&amp;'3) Release_Label'!$E:$E,1,0))),vlookup($A251&amp;$B251,{'3) Release_Label'!$D:$D&amp;'3) Release_Label'!$E:$E,'3) Release_Label'!$H:$H},2,0),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E251" s="147" t="str">
        <f t="shared" si="1"/>
        <v/>
      </c>
      <c r="G251" s="97"/>
      <c r="H251" s="155"/>
      <c r="J251" s="92"/>
      <c r="K251" s="98"/>
      <c r="L251" s="92"/>
      <c r="N251" s="92"/>
      <c r="O251" s="92"/>
      <c r="P251" s="92"/>
    </row>
    <row r="252">
      <c r="A252" s="90"/>
      <c r="B252" s="97"/>
      <c r="C252" s="121" t="str">
        <f t="array" ref="C252">ifs(and(isblank($A252),isblank($B252)),"", not(iserror(vlookup($A252&amp;$B252,'3) Release_Label'!$D:$D&amp;'3) Release_Label'!$E:$E,1,0))),vlookup($A252&amp;$B252,{'3) Release_Label'!$D:$D&amp;'3) Release_Label'!$E:$E,'3) Release_Label'!$F:$F},2,0),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D252" s="121" t="str">
        <f t="array" ref="D252">ifs(and(isblank($A252),isblank($B252)),"", not(iserror(vlookup($A252&amp;$B252,'3) Release_Label'!$D:$D&amp;'3) Release_Label'!$E:$E,1,0))),vlookup($A252&amp;$B252,{'3) Release_Label'!$D:$D&amp;'3) Release_Label'!$E:$E,'3) Release_Label'!$H:$H},2,0),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E252" s="147" t="str">
        <f t="shared" si="1"/>
        <v/>
      </c>
      <c r="G252" s="97"/>
      <c r="H252" s="155"/>
      <c r="J252" s="92"/>
      <c r="K252" s="98"/>
      <c r="L252" s="92"/>
      <c r="N252" s="92"/>
      <c r="O252" s="92"/>
      <c r="P252" s="92"/>
    </row>
    <row r="253">
      <c r="A253" s="90"/>
      <c r="B253" s="97"/>
      <c r="C253" s="121" t="str">
        <f t="array" ref="C253">ifs(and(isblank($A253),isblank($B253)),"", not(iserror(vlookup($A253&amp;$B253,'3) Release_Label'!$D:$D&amp;'3) Release_Label'!$E:$E,1,0))),vlookup($A253&amp;$B253,{'3) Release_Label'!$D:$D&amp;'3) Release_Label'!$E:$E,'3) Release_Label'!$F:$F},2,0),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D253" s="121" t="str">
        <f t="array" ref="D253">ifs(and(isblank($A253),isblank($B253)),"", not(iserror(vlookup($A253&amp;$B253,'3) Release_Label'!$D:$D&amp;'3) Release_Label'!$E:$E,1,0))),vlookup($A253&amp;$B253,{'3) Release_Label'!$D:$D&amp;'3) Release_Label'!$E:$E,'3) Release_Label'!$H:$H},2,0),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E253" s="147" t="str">
        <f t="shared" si="1"/>
        <v/>
      </c>
      <c r="G253" s="97"/>
      <c r="H253" s="155"/>
      <c r="J253" s="92"/>
      <c r="K253" s="98"/>
      <c r="L253" s="92"/>
      <c r="N253" s="92"/>
      <c r="O253" s="92"/>
      <c r="P253" s="92"/>
    </row>
    <row r="254">
      <c r="A254" s="90"/>
      <c r="B254" s="97"/>
      <c r="C254" s="121" t="str">
        <f t="array" ref="C254">ifs(and(isblank($A254),isblank($B254)),"", not(iserror(vlookup($A254&amp;$B254,'3) Release_Label'!$D:$D&amp;'3) Release_Label'!$E:$E,1,0))),vlookup($A254&amp;$B254,{'3) Release_Label'!$D:$D&amp;'3) Release_Label'!$E:$E,'3) Release_Label'!$F:$F},2,0),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D254" s="121" t="str">
        <f t="array" ref="D254">ifs(and(isblank($A254),isblank($B254)),"", not(iserror(vlookup($A254&amp;$B254,'3) Release_Label'!$D:$D&amp;'3) Release_Label'!$E:$E,1,0))),vlookup($A254&amp;$B254,{'3) Release_Label'!$D:$D&amp;'3) Release_Label'!$E:$E,'3) Release_Label'!$H:$H},2,0),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E254" s="147" t="str">
        <f t="shared" si="1"/>
        <v/>
      </c>
      <c r="G254" s="97"/>
      <c r="H254" s="155"/>
      <c r="J254" s="92"/>
      <c r="K254" s="98"/>
      <c r="L254" s="92"/>
      <c r="N254" s="92"/>
      <c r="O254" s="92"/>
      <c r="P254" s="92"/>
    </row>
    <row r="255">
      <c r="A255" s="90"/>
      <c r="B255" s="97"/>
      <c r="C255" s="121" t="str">
        <f t="array" ref="C255">ifs(and(isblank($A255),isblank($B255)),"", not(iserror(vlookup($A255&amp;$B255,'3) Release_Label'!$D:$D&amp;'3) Release_Label'!$E:$E,1,0))),vlookup($A255&amp;$B255,{'3) Release_Label'!$D:$D&amp;'3) Release_Label'!$E:$E,'3) Release_Label'!$F:$F},2,0),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D255" s="121" t="str">
        <f t="array" ref="D255">ifs(and(isblank($A255),isblank($B255)),"", not(iserror(vlookup($A255&amp;$B255,'3) Release_Label'!$D:$D&amp;'3) Release_Label'!$E:$E,1,0))),vlookup($A255&amp;$B255,{'3) Release_Label'!$D:$D&amp;'3) Release_Label'!$E:$E,'3) Release_Label'!$H:$H},2,0),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E255" s="147" t="str">
        <f t="shared" si="1"/>
        <v/>
      </c>
      <c r="G255" s="97"/>
      <c r="H255" s="155"/>
      <c r="J255" s="92"/>
      <c r="K255" s="98"/>
      <c r="L255" s="92"/>
      <c r="N255" s="92"/>
      <c r="O255" s="92"/>
      <c r="P255" s="92"/>
    </row>
    <row r="256">
      <c r="A256" s="90"/>
      <c r="B256" s="97"/>
      <c r="C256" s="121" t="str">
        <f t="array" ref="C256">ifs(and(isblank($A256),isblank($B256)),"", not(iserror(vlookup($A256&amp;$B256,'3) Release_Label'!$D:$D&amp;'3) Release_Label'!$E:$E,1,0))),vlookup($A256&amp;$B256,{'3) Release_Label'!$D:$D&amp;'3) Release_Label'!$E:$E,'3) Release_Label'!$F:$F},2,0),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D256" s="121" t="str">
        <f t="array" ref="D256">ifs(and(isblank($A256),isblank($B256)),"", not(iserror(vlookup($A256&amp;$B256,'3) Release_Label'!$D:$D&amp;'3) Release_Label'!$E:$E,1,0))),vlookup($A256&amp;$B256,{'3) Release_Label'!$D:$D&amp;'3) Release_Label'!$E:$E,'3) Release_Label'!$H:$H},2,0),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E256" s="147" t="str">
        <f t="shared" si="1"/>
        <v/>
      </c>
      <c r="G256" s="97"/>
      <c r="H256" s="155"/>
      <c r="J256" s="92"/>
      <c r="K256" s="98"/>
      <c r="L256" s="92"/>
      <c r="N256" s="92"/>
      <c r="O256" s="92"/>
      <c r="P256" s="92"/>
    </row>
    <row r="257">
      <c r="A257" s="90"/>
      <c r="B257" s="97"/>
      <c r="C257" s="121" t="str">
        <f t="array" ref="C257">ifs(and(isblank($A257),isblank($B257)),"", not(iserror(vlookup($A257&amp;$B257,'3) Release_Label'!$D:$D&amp;'3) Release_Label'!$E:$E,1,0))),vlookup($A257&amp;$B257,{'3) Release_Label'!$D:$D&amp;'3) Release_Label'!$E:$E,'3) Release_Label'!$F:$F},2,0),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D257" s="121" t="str">
        <f t="array" ref="D257">ifs(and(isblank($A257),isblank($B257)),"", not(iserror(vlookup($A257&amp;$B257,'3) Release_Label'!$D:$D&amp;'3) Release_Label'!$E:$E,1,0))),vlookup($A257&amp;$B257,{'3) Release_Label'!$D:$D&amp;'3) Release_Label'!$E:$E,'3) Release_Label'!$H:$H},2,0),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E257" s="147" t="str">
        <f t="shared" si="1"/>
        <v/>
      </c>
      <c r="G257" s="97"/>
      <c r="H257" s="155"/>
      <c r="J257" s="92"/>
      <c r="K257" s="98"/>
      <c r="L257" s="92"/>
      <c r="N257" s="92"/>
      <c r="O257" s="92"/>
      <c r="P257" s="92"/>
    </row>
    <row r="258">
      <c r="A258" s="90"/>
      <c r="B258" s="97"/>
      <c r="C258" s="121" t="str">
        <f t="array" ref="C258">ifs(and(isblank($A258),isblank($B258)),"", not(iserror(vlookup($A258&amp;$B258,'3) Release_Label'!$D:$D&amp;'3) Release_Label'!$E:$E,1,0))),vlookup($A258&amp;$B258,{'3) Release_Label'!$D:$D&amp;'3) Release_Label'!$E:$E,'3) Release_Label'!$F:$F},2,0),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D258" s="121" t="str">
        <f t="array" ref="D258">ifs(and(isblank($A258),isblank($B258)),"", not(iserror(vlookup($A258&amp;$B258,'3) Release_Label'!$D:$D&amp;'3) Release_Label'!$E:$E,1,0))),vlookup($A258&amp;$B258,{'3) Release_Label'!$D:$D&amp;'3) Release_Label'!$E:$E,'3) Release_Label'!$H:$H},2,0),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E258" s="147" t="str">
        <f t="shared" si="1"/>
        <v/>
      </c>
      <c r="G258" s="97"/>
      <c r="H258" s="155"/>
      <c r="J258" s="92"/>
      <c r="K258" s="98"/>
      <c r="L258" s="92"/>
      <c r="N258" s="92"/>
      <c r="O258" s="92"/>
      <c r="P258" s="92"/>
    </row>
    <row r="259">
      <c r="A259" s="90"/>
      <c r="B259" s="97"/>
      <c r="C259" s="121" t="str">
        <f t="array" ref="C259">ifs(and(isblank($A259),isblank($B259)),"", not(iserror(vlookup($A259&amp;$B259,'3) Release_Label'!$D:$D&amp;'3) Release_Label'!$E:$E,1,0))),vlookup($A259&amp;$B259,{'3) Release_Label'!$D:$D&amp;'3) Release_Label'!$E:$E,'3) Release_Label'!$F:$F},2,0),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D259" s="121" t="str">
        <f t="array" ref="D259">ifs(and(isblank($A259),isblank($B259)),"", not(iserror(vlookup($A259&amp;$B259,'3) Release_Label'!$D:$D&amp;'3) Release_Label'!$E:$E,1,0))),vlookup($A259&amp;$B259,{'3) Release_Label'!$D:$D&amp;'3) Release_Label'!$E:$E,'3) Release_Label'!$H:$H},2,0),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E259" s="147" t="str">
        <f t="shared" si="1"/>
        <v/>
      </c>
      <c r="G259" s="97"/>
      <c r="H259" s="155"/>
      <c r="J259" s="92"/>
      <c r="K259" s="98"/>
      <c r="L259" s="92"/>
      <c r="N259" s="92"/>
      <c r="O259" s="92"/>
      <c r="P259" s="92"/>
    </row>
    <row r="260">
      <c r="A260" s="90"/>
      <c r="B260" s="97"/>
      <c r="C260" s="121" t="str">
        <f t="array" ref="C260">ifs(and(isblank($A260),isblank($B260)),"", not(iserror(vlookup($A260&amp;$B260,'3) Release_Label'!$D:$D&amp;'3) Release_Label'!$E:$E,1,0))),vlookup($A260&amp;$B260,{'3) Release_Label'!$D:$D&amp;'3) Release_Label'!$E:$E,'3) Release_Label'!$F:$F},2,0),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D260" s="121" t="str">
        <f t="array" ref="D260">ifs(and(isblank($A260),isblank($B260)),"", not(iserror(vlookup($A260&amp;$B260,'3) Release_Label'!$D:$D&amp;'3) Release_Label'!$E:$E,1,0))),vlookup($A260&amp;$B260,{'3) Release_Label'!$D:$D&amp;'3) Release_Label'!$E:$E,'3) Release_Label'!$H:$H},2,0),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E260" s="147" t="str">
        <f t="shared" si="1"/>
        <v/>
      </c>
      <c r="G260" s="97"/>
      <c r="H260" s="155"/>
      <c r="J260" s="92"/>
      <c r="K260" s="98"/>
      <c r="L260" s="92"/>
      <c r="N260" s="92"/>
      <c r="O260" s="92"/>
      <c r="P260" s="92"/>
    </row>
    <row r="261">
      <c r="A261" s="90"/>
      <c r="B261" s="97"/>
      <c r="C261" s="121" t="str">
        <f t="array" ref="C261">ifs(and(isblank($A261),isblank($B261)),"", not(iserror(vlookup($A261&amp;$B261,'3) Release_Label'!$D:$D&amp;'3) Release_Label'!$E:$E,1,0))),vlookup($A261&amp;$B261,{'3) Release_Label'!$D:$D&amp;'3) Release_Label'!$E:$E,'3) Release_Label'!$F:$F},2,0),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D261" s="121" t="str">
        <f t="array" ref="D261">ifs(and(isblank($A261),isblank($B261)),"", not(iserror(vlookup($A261&amp;$B261,'3) Release_Label'!$D:$D&amp;'3) Release_Label'!$E:$E,1,0))),vlookup($A261&amp;$B261,{'3) Release_Label'!$D:$D&amp;'3) Release_Label'!$E:$E,'3) Release_Label'!$H:$H},2,0),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E261" s="147" t="str">
        <f t="shared" si="1"/>
        <v/>
      </c>
      <c r="G261" s="97"/>
      <c r="H261" s="155"/>
      <c r="J261" s="92"/>
      <c r="K261" s="98"/>
      <c r="L261" s="92"/>
      <c r="N261" s="92"/>
      <c r="O261" s="92"/>
      <c r="P261" s="92"/>
    </row>
    <row r="262">
      <c r="A262" s="90"/>
      <c r="B262" s="97"/>
      <c r="C262" s="121" t="str">
        <f t="array" ref="C262">ifs(and(isblank($A262),isblank($B262)),"", not(iserror(vlookup($A262&amp;$B262,'3) Release_Label'!$D:$D&amp;'3) Release_Label'!$E:$E,1,0))),vlookup($A262&amp;$B262,{'3) Release_Label'!$D:$D&amp;'3) Release_Label'!$E:$E,'3) Release_Label'!$F:$F},2,0),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D262" s="121" t="str">
        <f t="array" ref="D262">ifs(and(isblank($A262),isblank($B262)),"", not(iserror(vlookup($A262&amp;$B262,'3) Release_Label'!$D:$D&amp;'3) Release_Label'!$E:$E,1,0))),vlookup($A262&amp;$B262,{'3) Release_Label'!$D:$D&amp;'3) Release_Label'!$E:$E,'3) Release_Label'!$H:$H},2,0),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E262" s="147" t="str">
        <f t="shared" si="1"/>
        <v/>
      </c>
      <c r="G262" s="97"/>
      <c r="H262" s="155"/>
      <c r="J262" s="92"/>
      <c r="K262" s="98"/>
      <c r="L262" s="92"/>
      <c r="N262" s="92"/>
      <c r="O262" s="92"/>
      <c r="P262" s="92"/>
    </row>
    <row r="263">
      <c r="A263" s="90"/>
      <c r="B263" s="97"/>
      <c r="C263" s="121" t="str">
        <f t="array" ref="C263">ifs(and(isblank($A263),isblank($B263)),"", not(iserror(vlookup($A263&amp;$B263,'3) Release_Label'!$D:$D&amp;'3) Release_Label'!$E:$E,1,0))),vlookup($A263&amp;$B263,{'3) Release_Label'!$D:$D&amp;'3) Release_Label'!$E:$E,'3) Release_Label'!$F:$F},2,0),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D263" s="121" t="str">
        <f t="array" ref="D263">ifs(and(isblank($A263),isblank($B263)),"", not(iserror(vlookup($A263&amp;$B263,'3) Release_Label'!$D:$D&amp;'3) Release_Label'!$E:$E,1,0))),vlookup($A263&amp;$B263,{'3) Release_Label'!$D:$D&amp;'3) Release_Label'!$E:$E,'3) Release_Label'!$H:$H},2,0),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E263" s="147" t="str">
        <f t="shared" si="1"/>
        <v/>
      </c>
      <c r="G263" s="97"/>
      <c r="H263" s="155"/>
      <c r="J263" s="92"/>
      <c r="K263" s="98"/>
      <c r="L263" s="92"/>
      <c r="N263" s="92"/>
      <c r="O263" s="92"/>
      <c r="P263" s="92"/>
    </row>
    <row r="264">
      <c r="A264" s="90"/>
      <c r="B264" s="97"/>
      <c r="C264" s="121" t="str">
        <f t="array" ref="C264">ifs(and(isblank($A264),isblank($B264)),"", not(iserror(vlookup($A264&amp;$B264,'3) Release_Label'!$D:$D&amp;'3) Release_Label'!$E:$E,1,0))),vlookup($A264&amp;$B264,{'3) Release_Label'!$D:$D&amp;'3) Release_Label'!$E:$E,'3) Release_Label'!$F:$F},2,0),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D264" s="121" t="str">
        <f t="array" ref="D264">ifs(and(isblank($A264),isblank($B264)),"", not(iserror(vlookup($A264&amp;$B264,'3) Release_Label'!$D:$D&amp;'3) Release_Label'!$E:$E,1,0))),vlookup($A264&amp;$B264,{'3) Release_Label'!$D:$D&amp;'3) Release_Label'!$E:$E,'3) Release_Label'!$H:$H},2,0),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E264" s="147" t="str">
        <f t="shared" si="1"/>
        <v/>
      </c>
      <c r="G264" s="97"/>
      <c r="H264" s="155"/>
      <c r="J264" s="92"/>
      <c r="K264" s="98"/>
      <c r="L264" s="92"/>
      <c r="N264" s="92"/>
      <c r="O264" s="92"/>
      <c r="P264" s="92"/>
    </row>
    <row r="265">
      <c r="A265" s="90"/>
      <c r="B265" s="97"/>
      <c r="C265" s="121" t="str">
        <f t="array" ref="C265">ifs(and(isblank($A265),isblank($B265)),"", not(iserror(vlookup($A265&amp;$B265,'3) Release_Label'!$D:$D&amp;'3) Release_Label'!$E:$E,1,0))),vlookup($A265&amp;$B265,{'3) Release_Label'!$D:$D&amp;'3) Release_Label'!$E:$E,'3) Release_Label'!$F:$F},2,0),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D265" s="121" t="str">
        <f t="array" ref="D265">ifs(and(isblank($A265),isblank($B265)),"", not(iserror(vlookup($A265&amp;$B265,'3) Release_Label'!$D:$D&amp;'3) Release_Label'!$E:$E,1,0))),vlookup($A265&amp;$B265,{'3) Release_Label'!$D:$D&amp;'3) Release_Label'!$E:$E,'3) Release_Label'!$H:$H},2,0),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E265" s="147" t="str">
        <f t="shared" si="1"/>
        <v/>
      </c>
      <c r="G265" s="97"/>
      <c r="H265" s="155"/>
      <c r="J265" s="92"/>
      <c r="K265" s="98"/>
      <c r="L265" s="92"/>
      <c r="N265" s="92"/>
      <c r="O265" s="92"/>
      <c r="P265" s="92"/>
    </row>
    <row r="266">
      <c r="A266" s="90"/>
      <c r="B266" s="97"/>
      <c r="C266" s="121" t="str">
        <f t="array" ref="C266">ifs(and(isblank($A266),isblank($B266)),"", not(iserror(vlookup($A266&amp;$B266,'3) Release_Label'!$D:$D&amp;'3) Release_Label'!$E:$E,1,0))),vlookup($A266&amp;$B266,{'3) Release_Label'!$D:$D&amp;'3) Release_Label'!$E:$E,'3) Release_Label'!$F:$F},2,0),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D266" s="121" t="str">
        <f t="array" ref="D266">ifs(and(isblank($A266),isblank($B266)),"", not(iserror(vlookup($A266&amp;$B266,'3) Release_Label'!$D:$D&amp;'3) Release_Label'!$E:$E,1,0))),vlookup($A266&amp;$B266,{'3) Release_Label'!$D:$D&amp;'3) Release_Label'!$E:$E,'3) Release_Label'!$H:$H},2,0),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E266" s="147" t="str">
        <f t="shared" si="1"/>
        <v/>
      </c>
      <c r="G266" s="97"/>
      <c r="H266" s="155"/>
      <c r="J266" s="92"/>
      <c r="K266" s="98"/>
      <c r="L266" s="92"/>
      <c r="N266" s="92"/>
      <c r="O266" s="92"/>
      <c r="P266" s="92"/>
    </row>
    <row r="267">
      <c r="A267" s="90"/>
      <c r="B267" s="97"/>
      <c r="C267" s="121" t="str">
        <f t="array" ref="C267">ifs(and(isblank($A267),isblank($B267)),"", not(iserror(vlookup($A267&amp;$B267,'3) Release_Label'!$D:$D&amp;'3) Release_Label'!$E:$E,1,0))),vlookup($A267&amp;$B267,{'3) Release_Label'!$D:$D&amp;'3) Release_Label'!$E:$E,'3) Release_Label'!$F:$F},2,0),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D267" s="121" t="str">
        <f t="array" ref="D267">ifs(and(isblank($A267),isblank($B267)),"", not(iserror(vlookup($A267&amp;$B267,'3) Release_Label'!$D:$D&amp;'3) Release_Label'!$E:$E,1,0))),vlookup($A267&amp;$B267,{'3) Release_Label'!$D:$D&amp;'3) Release_Label'!$E:$E,'3) Release_Label'!$H:$H},2,0),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E267" s="147" t="str">
        <f t="shared" si="1"/>
        <v/>
      </c>
      <c r="G267" s="97"/>
      <c r="H267" s="155"/>
      <c r="J267" s="92"/>
      <c r="K267" s="98"/>
      <c r="L267" s="92"/>
      <c r="N267" s="92"/>
      <c r="O267" s="92"/>
      <c r="P267" s="92"/>
    </row>
    <row r="268">
      <c r="A268" s="90"/>
      <c r="B268" s="97"/>
      <c r="C268" s="121" t="str">
        <f t="array" ref="C268">ifs(and(isblank($A268),isblank($B268)),"", not(iserror(vlookup($A268&amp;$B268,'3) Release_Label'!$D:$D&amp;'3) Release_Label'!$E:$E,1,0))),vlookup($A268&amp;$B268,{'3) Release_Label'!$D:$D&amp;'3) Release_Label'!$E:$E,'3) Release_Label'!$F:$F},2,0),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D268" s="121" t="str">
        <f t="array" ref="D268">ifs(and(isblank($A268),isblank($B268)),"", not(iserror(vlookup($A268&amp;$B268,'3) Release_Label'!$D:$D&amp;'3) Release_Label'!$E:$E,1,0))),vlookup($A268&amp;$B268,{'3) Release_Label'!$D:$D&amp;'3) Release_Label'!$E:$E,'3) Release_Label'!$H:$H},2,0),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E268" s="147" t="str">
        <f t="shared" si="1"/>
        <v/>
      </c>
      <c r="G268" s="97"/>
      <c r="H268" s="155"/>
      <c r="J268" s="92"/>
      <c r="K268" s="98"/>
      <c r="L268" s="92"/>
      <c r="N268" s="92"/>
      <c r="O268" s="92"/>
      <c r="P268" s="92"/>
    </row>
    <row r="269">
      <c r="A269" s="90"/>
      <c r="B269" s="97"/>
      <c r="C269" s="121" t="str">
        <f t="array" ref="C269">ifs(and(isblank($A269),isblank($B269)),"", not(iserror(vlookup($A269&amp;$B269,'3) Release_Label'!$D:$D&amp;'3) Release_Label'!$E:$E,1,0))),vlookup($A269&amp;$B269,{'3) Release_Label'!$D:$D&amp;'3) Release_Label'!$E:$E,'3) Release_Label'!$F:$F},2,0),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D269" s="121" t="str">
        <f t="array" ref="D269">ifs(and(isblank($A269),isblank($B269)),"", not(iserror(vlookup($A269&amp;$B269,'3) Release_Label'!$D:$D&amp;'3) Release_Label'!$E:$E,1,0))),vlookup($A269&amp;$B269,{'3) Release_Label'!$D:$D&amp;'3) Release_Label'!$E:$E,'3) Release_Label'!$H:$H},2,0),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E269" s="147" t="str">
        <f t="shared" si="1"/>
        <v/>
      </c>
      <c r="G269" s="97"/>
      <c r="H269" s="155"/>
      <c r="J269" s="92"/>
      <c r="K269" s="98"/>
      <c r="L269" s="92"/>
      <c r="N269" s="92"/>
      <c r="O269" s="92"/>
      <c r="P269" s="92"/>
    </row>
    <row r="270">
      <c r="A270" s="90"/>
      <c r="B270" s="97"/>
      <c r="C270" s="121" t="str">
        <f t="array" ref="C270">ifs(and(isblank($A270),isblank($B270)),"", not(iserror(vlookup($A270&amp;$B270,'3) Release_Label'!$D:$D&amp;'3) Release_Label'!$E:$E,1,0))),vlookup($A270&amp;$B270,{'3) Release_Label'!$D:$D&amp;'3) Release_Label'!$E:$E,'3) Release_Label'!$F:$F},2,0),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D270" s="121" t="str">
        <f t="array" ref="D270">ifs(and(isblank($A270),isblank($B270)),"", not(iserror(vlookup($A270&amp;$B270,'3) Release_Label'!$D:$D&amp;'3) Release_Label'!$E:$E,1,0))),vlookup($A270&amp;$B270,{'3) Release_Label'!$D:$D&amp;'3) Release_Label'!$E:$E,'3) Release_Label'!$H:$H},2,0),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E270" s="147" t="str">
        <f t="shared" si="1"/>
        <v/>
      </c>
      <c r="G270" s="97"/>
      <c r="H270" s="155"/>
      <c r="J270" s="92"/>
      <c r="K270" s="98"/>
      <c r="L270" s="92"/>
      <c r="N270" s="92"/>
      <c r="O270" s="92"/>
      <c r="P270" s="92"/>
    </row>
    <row r="271">
      <c r="A271" s="90"/>
      <c r="B271" s="97"/>
      <c r="C271" s="121" t="str">
        <f t="array" ref="C271">ifs(and(isblank($A271),isblank($B271)),"", not(iserror(vlookup($A271&amp;$B271,'3) Release_Label'!$D:$D&amp;'3) Release_Label'!$E:$E,1,0))),vlookup($A271&amp;$B271,{'3) Release_Label'!$D:$D&amp;'3) Release_Label'!$E:$E,'3) Release_Label'!$F:$F},2,0),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D271" s="121" t="str">
        <f t="array" ref="D271">ifs(and(isblank($A271),isblank($B271)),"", not(iserror(vlookup($A271&amp;$B271,'3) Release_Label'!$D:$D&amp;'3) Release_Label'!$E:$E,1,0))),vlookup($A271&amp;$B271,{'3) Release_Label'!$D:$D&amp;'3) Release_Label'!$E:$E,'3) Release_Label'!$H:$H},2,0),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E271" s="147" t="str">
        <f t="shared" si="1"/>
        <v/>
      </c>
      <c r="G271" s="97"/>
      <c r="H271" s="155"/>
      <c r="J271" s="92"/>
      <c r="K271" s="98"/>
      <c r="L271" s="92"/>
      <c r="N271" s="92"/>
      <c r="O271" s="92"/>
      <c r="P271" s="92"/>
    </row>
    <row r="272">
      <c r="A272" s="90"/>
      <c r="B272" s="97"/>
      <c r="C272" s="121" t="str">
        <f t="array" ref="C272">ifs(and(isblank($A272),isblank($B272)),"", not(iserror(vlookup($A272&amp;$B272,'3) Release_Label'!$D:$D&amp;'3) Release_Label'!$E:$E,1,0))),vlookup($A272&amp;$B272,{'3) Release_Label'!$D:$D&amp;'3) Release_Label'!$E:$E,'3) Release_Label'!$F:$F},2,0),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D272" s="121" t="str">
        <f t="array" ref="D272">ifs(and(isblank($A272),isblank($B272)),"", not(iserror(vlookup($A272&amp;$B272,'3) Release_Label'!$D:$D&amp;'3) Release_Label'!$E:$E,1,0))),vlookup($A272&amp;$B272,{'3) Release_Label'!$D:$D&amp;'3) Release_Label'!$E:$E,'3) Release_Label'!$H:$H},2,0),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E272" s="147" t="str">
        <f t="shared" si="1"/>
        <v/>
      </c>
      <c r="G272" s="97"/>
      <c r="H272" s="155"/>
      <c r="J272" s="92"/>
      <c r="K272" s="98"/>
      <c r="L272" s="92"/>
      <c r="N272" s="92"/>
      <c r="O272" s="92"/>
      <c r="P272" s="92"/>
    </row>
    <row r="273">
      <c r="A273" s="90"/>
      <c r="B273" s="97"/>
      <c r="C273" s="121" t="str">
        <f t="array" ref="C273">ifs(and(isblank($A273),isblank($B273)),"", not(iserror(vlookup($A273&amp;$B273,'3) Release_Label'!$D:$D&amp;'3) Release_Label'!$E:$E,1,0))),vlookup($A273&amp;$B273,{'3) Release_Label'!$D:$D&amp;'3) Release_Label'!$E:$E,'3) Release_Label'!$F:$F},2,0),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D273" s="121" t="str">
        <f t="array" ref="D273">ifs(and(isblank($A273),isblank($B273)),"", not(iserror(vlookup($A273&amp;$B273,'3) Release_Label'!$D:$D&amp;'3) Release_Label'!$E:$E,1,0))),vlookup($A273&amp;$B273,{'3) Release_Label'!$D:$D&amp;'3) Release_Label'!$E:$E,'3) Release_Label'!$H:$H},2,0),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E273" s="147" t="str">
        <f t="shared" si="1"/>
        <v/>
      </c>
      <c r="G273" s="97"/>
      <c r="H273" s="155"/>
      <c r="J273" s="92"/>
      <c r="K273" s="98"/>
      <c r="L273" s="92"/>
      <c r="N273" s="92"/>
      <c r="O273" s="92"/>
      <c r="P273" s="92"/>
    </row>
    <row r="274">
      <c r="A274" s="90"/>
      <c r="B274" s="97"/>
      <c r="C274" s="121" t="str">
        <f t="array" ref="C274">ifs(and(isblank($A274),isblank($B274)),"", not(iserror(vlookup($A274&amp;$B274,'3) Release_Label'!$D:$D&amp;'3) Release_Label'!$E:$E,1,0))),vlookup($A274&amp;$B274,{'3) Release_Label'!$D:$D&amp;'3) Release_Label'!$E:$E,'3) Release_Label'!$F:$F},2,0),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D274" s="121" t="str">
        <f t="array" ref="D274">ifs(and(isblank($A274),isblank($B274)),"", not(iserror(vlookup($A274&amp;$B274,'3) Release_Label'!$D:$D&amp;'3) Release_Label'!$E:$E,1,0))),vlookup($A274&amp;$B274,{'3) Release_Label'!$D:$D&amp;'3) Release_Label'!$E:$E,'3) Release_Label'!$H:$H},2,0),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E274" s="147" t="str">
        <f t="shared" si="1"/>
        <v/>
      </c>
      <c r="G274" s="97"/>
      <c r="H274" s="155"/>
      <c r="J274" s="92"/>
      <c r="K274" s="98"/>
      <c r="L274" s="92"/>
      <c r="N274" s="92"/>
      <c r="O274" s="92"/>
      <c r="P274" s="92"/>
    </row>
    <row r="275">
      <c r="A275" s="90"/>
      <c r="B275" s="97"/>
      <c r="C275" s="121" t="str">
        <f t="array" ref="C275">ifs(and(isblank($A275),isblank($B275)),"", not(iserror(vlookup($A275&amp;$B275,'3) Release_Label'!$D:$D&amp;'3) Release_Label'!$E:$E,1,0))),vlookup($A275&amp;$B275,{'3) Release_Label'!$D:$D&amp;'3) Release_Label'!$E:$E,'3) Release_Label'!$F:$F},2,0),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D275" s="121" t="str">
        <f t="array" ref="D275">ifs(and(isblank($A275),isblank($B275)),"", not(iserror(vlookup($A275&amp;$B275,'3) Release_Label'!$D:$D&amp;'3) Release_Label'!$E:$E,1,0))),vlookup($A275&amp;$B275,{'3) Release_Label'!$D:$D&amp;'3) Release_Label'!$E:$E,'3) Release_Label'!$H:$H},2,0),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E275" s="147" t="str">
        <f t="shared" si="1"/>
        <v/>
      </c>
      <c r="G275" s="97"/>
      <c r="H275" s="155"/>
      <c r="J275" s="92"/>
      <c r="K275" s="98"/>
      <c r="L275" s="92"/>
      <c r="N275" s="92"/>
      <c r="O275" s="92"/>
      <c r="P275" s="92"/>
    </row>
    <row r="276">
      <c r="A276" s="90"/>
      <c r="B276" s="97"/>
      <c r="C276" s="121" t="str">
        <f t="array" ref="C276">ifs(and(isblank($A276),isblank($B276)),"", not(iserror(vlookup($A276&amp;$B276,'3) Release_Label'!$D:$D&amp;'3) Release_Label'!$E:$E,1,0))),vlookup($A276&amp;$B276,{'3) Release_Label'!$D:$D&amp;'3) Release_Label'!$E:$E,'3) Release_Label'!$F:$F},2,0),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D276" s="121" t="str">
        <f t="array" ref="D276">ifs(and(isblank($A276),isblank($B276)),"", not(iserror(vlookup($A276&amp;$B276,'3) Release_Label'!$D:$D&amp;'3) Release_Label'!$E:$E,1,0))),vlookup($A276&amp;$B276,{'3) Release_Label'!$D:$D&amp;'3) Release_Label'!$E:$E,'3) Release_Label'!$H:$H},2,0),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E276" s="147" t="str">
        <f t="shared" si="1"/>
        <v/>
      </c>
      <c r="G276" s="97"/>
      <c r="H276" s="155"/>
      <c r="J276" s="92"/>
      <c r="K276" s="98"/>
      <c r="L276" s="92"/>
      <c r="N276" s="92"/>
      <c r="O276" s="92"/>
      <c r="P276" s="92"/>
    </row>
    <row r="277">
      <c r="A277" s="90"/>
      <c r="B277" s="97"/>
      <c r="C277" s="121" t="str">
        <f t="array" ref="C277">ifs(and(isblank($A277),isblank($B277)),"", not(iserror(vlookup($A277&amp;$B277,'3) Release_Label'!$D:$D&amp;'3) Release_Label'!$E:$E,1,0))),vlookup($A277&amp;$B277,{'3) Release_Label'!$D:$D&amp;'3) Release_Label'!$E:$E,'3) Release_Label'!$F:$F},2,0),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D277" s="121" t="str">
        <f t="array" ref="D277">ifs(and(isblank($A277),isblank($B277)),"", not(iserror(vlookup($A277&amp;$B277,'3) Release_Label'!$D:$D&amp;'3) Release_Label'!$E:$E,1,0))),vlookup($A277&amp;$B277,{'3) Release_Label'!$D:$D&amp;'3) Release_Label'!$E:$E,'3) Release_Label'!$H:$H},2,0),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E277" s="147" t="str">
        <f t="shared" si="1"/>
        <v/>
      </c>
      <c r="G277" s="97"/>
      <c r="H277" s="155"/>
      <c r="J277" s="92"/>
      <c r="K277" s="98"/>
      <c r="L277" s="92"/>
      <c r="N277" s="92"/>
      <c r="O277" s="92"/>
      <c r="P277" s="92"/>
    </row>
    <row r="278">
      <c r="A278" s="90"/>
      <c r="B278" s="97"/>
      <c r="C278" s="121" t="str">
        <f t="array" ref="C278">ifs(and(isblank($A278),isblank($B278)),"", not(iserror(vlookup($A278&amp;$B278,'3) Release_Label'!$D:$D&amp;'3) Release_Label'!$E:$E,1,0))),vlookup($A278&amp;$B278,{'3) Release_Label'!$D:$D&amp;'3) Release_Label'!$E:$E,'3) Release_Label'!$F:$F},2,0),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D278" s="121" t="str">
        <f t="array" ref="D278">ifs(and(isblank($A278),isblank($B278)),"", not(iserror(vlookup($A278&amp;$B278,'3) Release_Label'!$D:$D&amp;'3) Release_Label'!$E:$E,1,0))),vlookup($A278&amp;$B278,{'3) Release_Label'!$D:$D&amp;'3) Release_Label'!$E:$E,'3) Release_Label'!$H:$H},2,0),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E278" s="147" t="str">
        <f t="shared" si="1"/>
        <v/>
      </c>
      <c r="G278" s="97"/>
      <c r="H278" s="155"/>
      <c r="J278" s="92"/>
      <c r="K278" s="98"/>
      <c r="L278" s="92"/>
      <c r="N278" s="92"/>
      <c r="O278" s="92"/>
      <c r="P278" s="92"/>
    </row>
    <row r="279">
      <c r="A279" s="90"/>
      <c r="B279" s="97"/>
      <c r="C279" s="121" t="str">
        <f t="array" ref="C279">ifs(and(isblank($A279),isblank($B279)),"", not(iserror(vlookup($A279&amp;$B279,'3) Release_Label'!$D:$D&amp;'3) Release_Label'!$E:$E,1,0))),vlookup($A279&amp;$B279,{'3) Release_Label'!$D:$D&amp;'3) Release_Label'!$E:$E,'3) Release_Label'!$F:$F},2,0),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D279" s="121" t="str">
        <f t="array" ref="D279">ifs(and(isblank($A279),isblank($B279)),"", not(iserror(vlookup($A279&amp;$B279,'3) Release_Label'!$D:$D&amp;'3) Release_Label'!$E:$E,1,0))),vlookup($A279&amp;$B279,{'3) Release_Label'!$D:$D&amp;'3) Release_Label'!$E:$E,'3) Release_Label'!$H:$H},2,0),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E279" s="147" t="str">
        <f t="shared" si="1"/>
        <v/>
      </c>
      <c r="G279" s="97"/>
      <c r="H279" s="155"/>
      <c r="J279" s="92"/>
      <c r="K279" s="98"/>
      <c r="L279" s="92"/>
      <c r="N279" s="92"/>
      <c r="O279" s="92"/>
      <c r="P279" s="92"/>
    </row>
    <row r="280">
      <c r="A280" s="90"/>
      <c r="B280" s="97"/>
      <c r="C280" s="121" t="str">
        <f t="array" ref="C280">ifs(and(isblank($A280),isblank($B280)),"", not(iserror(vlookup($A280&amp;$B280,'3) Release_Label'!$D:$D&amp;'3) Release_Label'!$E:$E,1,0))),vlookup($A280&amp;$B280,{'3) Release_Label'!$D:$D&amp;'3) Release_Label'!$E:$E,'3) Release_Label'!$F:$F},2,0),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D280" s="121" t="str">
        <f t="array" ref="D280">ifs(and(isblank($A280),isblank($B280)),"", not(iserror(vlookup($A280&amp;$B280,'3) Release_Label'!$D:$D&amp;'3) Release_Label'!$E:$E,1,0))),vlookup($A280&amp;$B280,{'3) Release_Label'!$D:$D&amp;'3) Release_Label'!$E:$E,'3) Release_Label'!$H:$H},2,0),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E280" s="147" t="str">
        <f t="shared" si="1"/>
        <v/>
      </c>
      <c r="G280" s="97"/>
      <c r="H280" s="155"/>
      <c r="J280" s="92"/>
      <c r="K280" s="98"/>
      <c r="L280" s="92"/>
      <c r="N280" s="92"/>
      <c r="O280" s="92"/>
      <c r="P280" s="92"/>
    </row>
    <row r="281">
      <c r="A281" s="90"/>
      <c r="B281" s="97"/>
      <c r="C281" s="121" t="str">
        <f t="array" ref="C281">ifs(and(isblank($A281),isblank($B281)),"", not(iserror(vlookup($A281&amp;$B281,'3) Release_Label'!$D:$D&amp;'3) Release_Label'!$E:$E,1,0))),vlookup($A281&amp;$B281,{'3) Release_Label'!$D:$D&amp;'3) Release_Label'!$E:$E,'3) Release_Label'!$F:$F},2,0),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D281" s="121" t="str">
        <f t="array" ref="D281">ifs(and(isblank($A281),isblank($B281)),"", not(iserror(vlookup($A281&amp;$B281,'3) Release_Label'!$D:$D&amp;'3) Release_Label'!$E:$E,1,0))),vlookup($A281&amp;$B281,{'3) Release_Label'!$D:$D&amp;'3) Release_Label'!$E:$E,'3) Release_Label'!$H:$H},2,0),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E281" s="147" t="str">
        <f t="shared" si="1"/>
        <v/>
      </c>
      <c r="G281" s="97"/>
      <c r="H281" s="155"/>
      <c r="J281" s="92"/>
      <c r="K281" s="98"/>
      <c r="L281" s="92"/>
      <c r="N281" s="92"/>
      <c r="O281" s="92"/>
      <c r="P281" s="92"/>
    </row>
    <row r="282">
      <c r="A282" s="90"/>
      <c r="B282" s="97"/>
      <c r="C282" s="121" t="str">
        <f t="array" ref="C282">ifs(and(isblank($A282),isblank($B282)),"", not(iserror(vlookup($A282&amp;$B282,'3) Release_Label'!$D:$D&amp;'3) Release_Label'!$E:$E,1,0))),vlookup($A282&amp;$B282,{'3) Release_Label'!$D:$D&amp;'3) Release_Label'!$E:$E,'3) Release_Label'!$F:$F},2,0),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D282" s="121" t="str">
        <f t="array" ref="D282">ifs(and(isblank($A282),isblank($B282)),"", not(iserror(vlookup($A282&amp;$B282,'3) Release_Label'!$D:$D&amp;'3) Release_Label'!$E:$E,1,0))),vlookup($A282&amp;$B282,{'3) Release_Label'!$D:$D&amp;'3) Release_Label'!$E:$E,'3) Release_Label'!$H:$H},2,0),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E282" s="147" t="str">
        <f t="shared" si="1"/>
        <v/>
      </c>
      <c r="G282" s="97"/>
      <c r="H282" s="155"/>
      <c r="J282" s="92"/>
      <c r="K282" s="98"/>
      <c r="L282" s="92"/>
      <c r="N282" s="92"/>
      <c r="O282" s="92"/>
      <c r="P282" s="92"/>
    </row>
    <row r="283">
      <c r="A283" s="90"/>
      <c r="B283" s="97"/>
      <c r="C283" s="121" t="str">
        <f t="array" ref="C283">ifs(and(isblank($A283),isblank($B283)),"", not(iserror(vlookup($A283&amp;$B283,'3) Release_Label'!$D:$D&amp;'3) Release_Label'!$E:$E,1,0))),vlookup($A283&amp;$B283,{'3) Release_Label'!$D:$D&amp;'3) Release_Label'!$E:$E,'3) Release_Label'!$F:$F},2,0),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D283" s="121" t="str">
        <f t="array" ref="D283">ifs(and(isblank($A283),isblank($B283)),"", not(iserror(vlookup($A283&amp;$B283,'3) Release_Label'!$D:$D&amp;'3) Release_Label'!$E:$E,1,0))),vlookup($A283&amp;$B283,{'3) Release_Label'!$D:$D&amp;'3) Release_Label'!$E:$E,'3) Release_Label'!$H:$H},2,0),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E283" s="147" t="str">
        <f t="shared" si="1"/>
        <v/>
      </c>
      <c r="G283" s="97"/>
      <c r="H283" s="155"/>
      <c r="J283" s="92"/>
      <c r="K283" s="98"/>
      <c r="L283" s="92"/>
      <c r="N283" s="92"/>
      <c r="O283" s="92"/>
      <c r="P283" s="92"/>
    </row>
    <row r="284">
      <c r="A284" s="90"/>
      <c r="B284" s="97"/>
      <c r="C284" s="121" t="str">
        <f t="array" ref="C284">ifs(and(isblank($A284),isblank($B284)),"", not(iserror(vlookup($A284&amp;$B284,'3) Release_Label'!$D:$D&amp;'3) Release_Label'!$E:$E,1,0))),vlookup($A284&amp;$B284,{'3) Release_Label'!$D:$D&amp;'3) Release_Label'!$E:$E,'3) Release_Label'!$F:$F},2,0),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D284" s="121" t="str">
        <f t="array" ref="D284">ifs(and(isblank($A284),isblank($B284)),"", not(iserror(vlookup($A284&amp;$B284,'3) Release_Label'!$D:$D&amp;'3) Release_Label'!$E:$E,1,0))),vlookup($A284&amp;$B284,{'3) Release_Label'!$D:$D&amp;'3) Release_Label'!$E:$E,'3) Release_Label'!$H:$H},2,0),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E284" s="147" t="str">
        <f t="shared" si="1"/>
        <v/>
      </c>
      <c r="G284" s="97"/>
      <c r="H284" s="155"/>
      <c r="J284" s="92"/>
      <c r="K284" s="98"/>
      <c r="L284" s="92"/>
      <c r="N284" s="92"/>
      <c r="O284" s="92"/>
      <c r="P284" s="92"/>
    </row>
    <row r="285">
      <c r="A285" s="90"/>
      <c r="B285" s="97"/>
      <c r="C285" s="121" t="str">
        <f t="array" ref="C285">ifs(and(isblank($A285),isblank($B285)),"", not(iserror(vlookup($A285&amp;$B285,'3) Release_Label'!$D:$D&amp;'3) Release_Label'!$E:$E,1,0))),vlookup($A285&amp;$B285,{'3) Release_Label'!$D:$D&amp;'3) Release_Label'!$E:$E,'3) Release_Label'!$F:$F},2,0),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D285" s="121" t="str">
        <f t="array" ref="D285">ifs(and(isblank($A285),isblank($B285)),"", not(iserror(vlookup($A285&amp;$B285,'3) Release_Label'!$D:$D&amp;'3) Release_Label'!$E:$E,1,0))),vlookup($A285&amp;$B285,{'3) Release_Label'!$D:$D&amp;'3) Release_Label'!$E:$E,'3) Release_Label'!$H:$H},2,0),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E285" s="147" t="str">
        <f t="shared" si="1"/>
        <v/>
      </c>
      <c r="G285" s="97"/>
      <c r="H285" s="155"/>
      <c r="J285" s="92"/>
      <c r="K285" s="98"/>
      <c r="L285" s="92"/>
      <c r="N285" s="92"/>
      <c r="O285" s="92"/>
      <c r="P285" s="92"/>
    </row>
    <row r="286">
      <c r="A286" s="90"/>
      <c r="B286" s="97"/>
      <c r="C286" s="121" t="str">
        <f t="array" ref="C286">ifs(and(isblank($A286),isblank($B286)),"", not(iserror(vlookup($A286&amp;$B286,'3) Release_Label'!$D:$D&amp;'3) Release_Label'!$E:$E,1,0))),vlookup($A286&amp;$B286,{'3) Release_Label'!$D:$D&amp;'3) Release_Label'!$E:$E,'3) Release_Label'!$F:$F},2,0),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D286" s="121" t="str">
        <f t="array" ref="D286">ifs(and(isblank($A286),isblank($B286)),"", not(iserror(vlookup($A286&amp;$B286,'3) Release_Label'!$D:$D&amp;'3) Release_Label'!$E:$E,1,0))),vlookup($A286&amp;$B286,{'3) Release_Label'!$D:$D&amp;'3) Release_Label'!$E:$E,'3) Release_Label'!$H:$H},2,0),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E286" s="147" t="str">
        <f t="shared" si="1"/>
        <v/>
      </c>
      <c r="G286" s="97"/>
      <c r="H286" s="155"/>
      <c r="J286" s="92"/>
      <c r="K286" s="98"/>
      <c r="L286" s="92"/>
      <c r="N286" s="92"/>
      <c r="O286" s="92"/>
      <c r="P286" s="92"/>
    </row>
    <row r="287">
      <c r="A287" s="90"/>
      <c r="B287" s="97"/>
      <c r="C287" s="121" t="str">
        <f t="array" ref="C287">ifs(and(isblank($A287),isblank($B287)),"", not(iserror(vlookup($A287&amp;$B287,'3) Release_Label'!$D:$D&amp;'3) Release_Label'!$E:$E,1,0))),vlookup($A287&amp;$B287,{'3) Release_Label'!$D:$D&amp;'3) Release_Label'!$E:$E,'3) Release_Label'!$F:$F},2,0),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D287" s="121" t="str">
        <f t="array" ref="D287">ifs(and(isblank($A287),isblank($B287)),"", not(iserror(vlookup($A287&amp;$B287,'3) Release_Label'!$D:$D&amp;'3) Release_Label'!$E:$E,1,0))),vlookup($A287&amp;$B287,{'3) Release_Label'!$D:$D&amp;'3) Release_Label'!$E:$E,'3) Release_Label'!$H:$H},2,0),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E287" s="147" t="str">
        <f t="shared" si="1"/>
        <v/>
      </c>
      <c r="G287" s="97"/>
      <c r="H287" s="155"/>
      <c r="J287" s="92"/>
      <c r="K287" s="98"/>
      <c r="L287" s="92"/>
      <c r="N287" s="92"/>
      <c r="O287" s="92"/>
      <c r="P287" s="92"/>
    </row>
    <row r="288">
      <c r="A288" s="90"/>
      <c r="B288" s="97"/>
      <c r="C288" s="121" t="str">
        <f t="array" ref="C288">ifs(and(isblank($A288),isblank($B288)),"", not(iserror(vlookup($A288&amp;$B288,'3) Release_Label'!$D:$D&amp;'3) Release_Label'!$E:$E,1,0))),vlookup($A288&amp;$B288,{'3) Release_Label'!$D:$D&amp;'3) Release_Label'!$E:$E,'3) Release_Label'!$F:$F},2,0),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D288" s="121" t="str">
        <f t="array" ref="D288">ifs(and(isblank($A288),isblank($B288)),"", not(iserror(vlookup($A288&amp;$B288,'3) Release_Label'!$D:$D&amp;'3) Release_Label'!$E:$E,1,0))),vlookup($A288&amp;$B288,{'3) Release_Label'!$D:$D&amp;'3) Release_Label'!$E:$E,'3) Release_Label'!$H:$H},2,0),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E288" s="147" t="str">
        <f t="shared" si="1"/>
        <v/>
      </c>
      <c r="G288" s="97"/>
      <c r="H288" s="155"/>
      <c r="J288" s="92"/>
      <c r="K288" s="98"/>
      <c r="L288" s="92"/>
      <c r="N288" s="92"/>
      <c r="O288" s="92"/>
      <c r="P288" s="92"/>
    </row>
    <row r="289">
      <c r="A289" s="90"/>
      <c r="B289" s="97"/>
      <c r="C289" s="121" t="str">
        <f t="array" ref="C289">ifs(and(isblank($A289),isblank($B289)),"", not(iserror(vlookup($A289&amp;$B289,'3) Release_Label'!$D:$D&amp;'3) Release_Label'!$E:$E,1,0))),vlookup($A289&amp;$B289,{'3) Release_Label'!$D:$D&amp;'3) Release_Label'!$E:$E,'3) Release_Label'!$F:$F},2,0),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D289" s="121" t="str">
        <f t="array" ref="D289">ifs(and(isblank($A289),isblank($B289)),"", not(iserror(vlookup($A289&amp;$B289,'3) Release_Label'!$D:$D&amp;'3) Release_Label'!$E:$E,1,0))),vlookup($A289&amp;$B289,{'3) Release_Label'!$D:$D&amp;'3) Release_Label'!$E:$E,'3) Release_Label'!$H:$H},2,0),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E289" s="147" t="str">
        <f t="shared" si="1"/>
        <v/>
      </c>
      <c r="G289" s="97"/>
      <c r="H289" s="155"/>
      <c r="J289" s="92"/>
      <c r="K289" s="98"/>
      <c r="L289" s="92"/>
      <c r="N289" s="92"/>
      <c r="O289" s="92"/>
      <c r="P289" s="92"/>
    </row>
    <row r="290">
      <c r="A290" s="90"/>
      <c r="B290" s="97"/>
      <c r="C290" s="121" t="str">
        <f t="array" ref="C290">ifs(and(isblank($A290),isblank($B290)),"", not(iserror(vlookup($A290&amp;$B290,'3) Release_Label'!$D:$D&amp;'3) Release_Label'!$E:$E,1,0))),vlookup($A290&amp;$B290,{'3) Release_Label'!$D:$D&amp;'3) Release_Label'!$E:$E,'3) Release_Label'!$F:$F},2,0),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D290" s="121" t="str">
        <f t="array" ref="D290">ifs(and(isblank($A290),isblank($B290)),"", not(iserror(vlookup($A290&amp;$B290,'3) Release_Label'!$D:$D&amp;'3) Release_Label'!$E:$E,1,0))),vlookup($A290&amp;$B290,{'3) Release_Label'!$D:$D&amp;'3) Release_Label'!$E:$E,'3) Release_Label'!$H:$H},2,0),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E290" s="147" t="str">
        <f t="shared" si="1"/>
        <v/>
      </c>
      <c r="G290" s="97"/>
      <c r="H290" s="155"/>
      <c r="J290" s="92"/>
      <c r="K290" s="98"/>
      <c r="L290" s="92"/>
      <c r="N290" s="92"/>
      <c r="O290" s="92"/>
      <c r="P290" s="92"/>
    </row>
    <row r="291">
      <c r="A291" s="90"/>
      <c r="B291" s="97"/>
      <c r="C291" s="121" t="str">
        <f t="array" ref="C291">ifs(and(isblank($A291),isblank($B291)),"", not(iserror(vlookup($A291&amp;$B291,'3) Release_Label'!$D:$D&amp;'3) Release_Label'!$E:$E,1,0))),vlookup($A291&amp;$B291,{'3) Release_Label'!$D:$D&amp;'3) Release_Label'!$E:$E,'3) Release_Label'!$F:$F},2,0),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D291" s="121" t="str">
        <f t="array" ref="D291">ifs(and(isblank($A291),isblank($B291)),"", not(iserror(vlookup($A291&amp;$B291,'3) Release_Label'!$D:$D&amp;'3) Release_Label'!$E:$E,1,0))),vlookup($A291&amp;$B291,{'3) Release_Label'!$D:$D&amp;'3) Release_Label'!$E:$E,'3) Release_Label'!$H:$H},2,0),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E291" s="147" t="str">
        <f t="shared" si="1"/>
        <v/>
      </c>
      <c r="G291" s="97"/>
      <c r="H291" s="155"/>
      <c r="J291" s="92"/>
      <c r="K291" s="98"/>
      <c r="L291" s="92"/>
      <c r="N291" s="92"/>
      <c r="O291" s="92"/>
      <c r="P291" s="92"/>
    </row>
    <row r="292">
      <c r="A292" s="90"/>
      <c r="B292" s="97"/>
      <c r="C292" s="121" t="str">
        <f t="array" ref="C292">ifs(and(isblank($A292),isblank($B292)),"", not(iserror(vlookup($A292&amp;$B292,'3) Release_Label'!$D:$D&amp;'3) Release_Label'!$E:$E,1,0))),vlookup($A292&amp;$B292,{'3) Release_Label'!$D:$D&amp;'3) Release_Label'!$E:$E,'3) Release_Label'!$F:$F},2,0),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D292" s="121" t="str">
        <f t="array" ref="D292">ifs(and(isblank($A292),isblank($B292)),"", not(iserror(vlookup($A292&amp;$B292,'3) Release_Label'!$D:$D&amp;'3) Release_Label'!$E:$E,1,0))),vlookup($A292&amp;$B292,{'3) Release_Label'!$D:$D&amp;'3) Release_Label'!$E:$E,'3) Release_Label'!$H:$H},2,0),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E292" s="147" t="str">
        <f t="shared" si="1"/>
        <v/>
      </c>
      <c r="G292" s="97"/>
      <c r="H292" s="155"/>
      <c r="J292" s="92"/>
      <c r="K292" s="98"/>
      <c r="L292" s="92"/>
      <c r="N292" s="92"/>
      <c r="O292" s="92"/>
      <c r="P292" s="92"/>
    </row>
    <row r="293">
      <c r="A293" s="90"/>
      <c r="B293" s="97"/>
      <c r="C293" s="121" t="str">
        <f t="array" ref="C293">ifs(and(isblank($A293),isblank($B293)),"", not(iserror(vlookup($A293&amp;$B293,'3) Release_Label'!$D:$D&amp;'3) Release_Label'!$E:$E,1,0))),vlookup($A293&amp;$B293,{'3) Release_Label'!$D:$D&amp;'3) Release_Label'!$E:$E,'3) Release_Label'!$F:$F},2,0),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D293" s="121" t="str">
        <f t="array" ref="D293">ifs(and(isblank($A293),isblank($B293)),"", not(iserror(vlookup($A293&amp;$B293,'3) Release_Label'!$D:$D&amp;'3) Release_Label'!$E:$E,1,0))),vlookup($A293&amp;$B293,{'3) Release_Label'!$D:$D&amp;'3) Release_Label'!$E:$E,'3) Release_Label'!$H:$H},2,0),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E293" s="147" t="str">
        <f t="shared" si="1"/>
        <v/>
      </c>
      <c r="G293" s="97"/>
      <c r="H293" s="155"/>
      <c r="J293" s="92"/>
      <c r="K293" s="98"/>
      <c r="L293" s="92"/>
      <c r="N293" s="92"/>
      <c r="O293" s="92"/>
      <c r="P293" s="92"/>
    </row>
    <row r="294">
      <c r="A294" s="90"/>
      <c r="B294" s="97"/>
      <c r="C294" s="121" t="str">
        <f t="array" ref="C294">ifs(and(isblank($A294),isblank($B294)),"", not(iserror(vlookup($A294&amp;$B294,'3) Release_Label'!$D:$D&amp;'3) Release_Label'!$E:$E,1,0))),vlookup($A294&amp;$B294,{'3) Release_Label'!$D:$D&amp;'3) Release_Label'!$E:$E,'3) Release_Label'!$F:$F},2,0),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D294" s="121" t="str">
        <f t="array" ref="D294">ifs(and(isblank($A294),isblank($B294)),"", not(iserror(vlookup($A294&amp;$B294,'3) Release_Label'!$D:$D&amp;'3) Release_Label'!$E:$E,1,0))),vlookup($A294&amp;$B294,{'3) Release_Label'!$D:$D&amp;'3) Release_Label'!$E:$E,'3) Release_Label'!$H:$H},2,0),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E294" s="147" t="str">
        <f t="shared" si="1"/>
        <v/>
      </c>
      <c r="G294" s="97"/>
      <c r="H294" s="155"/>
      <c r="J294" s="92"/>
      <c r="K294" s="98"/>
      <c r="L294" s="92"/>
      <c r="N294" s="92"/>
      <c r="O294" s="92"/>
      <c r="P294" s="92"/>
    </row>
    <row r="295">
      <c r="A295" s="90"/>
      <c r="B295" s="97"/>
      <c r="C295" s="121" t="str">
        <f t="array" ref="C295">ifs(and(isblank($A295),isblank($B295)),"", not(iserror(vlookup($A295&amp;$B295,'3) Release_Label'!$D:$D&amp;'3) Release_Label'!$E:$E,1,0))),vlookup($A295&amp;$B295,{'3) Release_Label'!$D:$D&amp;'3) Release_Label'!$E:$E,'3) Release_Label'!$F:$F},2,0),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D295" s="121" t="str">
        <f t="array" ref="D295">ifs(and(isblank($A295),isblank($B295)),"", not(iserror(vlookup($A295&amp;$B295,'3) Release_Label'!$D:$D&amp;'3) Release_Label'!$E:$E,1,0))),vlookup($A295&amp;$B295,{'3) Release_Label'!$D:$D&amp;'3) Release_Label'!$E:$E,'3) Release_Label'!$H:$H},2,0),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E295" s="147" t="str">
        <f t="shared" si="1"/>
        <v/>
      </c>
      <c r="G295" s="97"/>
      <c r="H295" s="155"/>
      <c r="J295" s="92"/>
      <c r="K295" s="98"/>
      <c r="L295" s="92"/>
      <c r="N295" s="92"/>
      <c r="O295" s="92"/>
      <c r="P295" s="92"/>
    </row>
    <row r="296">
      <c r="A296" s="90"/>
      <c r="B296" s="97"/>
      <c r="C296" s="121" t="str">
        <f t="array" ref="C296">ifs(and(isblank($A296),isblank($B296)),"", not(iserror(vlookup($A296&amp;$B296,'3) Release_Label'!$D:$D&amp;'3) Release_Label'!$E:$E,1,0))),vlookup($A296&amp;$B296,{'3) Release_Label'!$D:$D&amp;'3) Release_Label'!$E:$E,'3) Release_Label'!$F:$F},2,0),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D296" s="121" t="str">
        <f t="array" ref="D296">ifs(and(isblank($A296),isblank($B296)),"", not(iserror(vlookup($A296&amp;$B296,'3) Release_Label'!$D:$D&amp;'3) Release_Label'!$E:$E,1,0))),vlookup($A296&amp;$B296,{'3) Release_Label'!$D:$D&amp;'3) Release_Label'!$E:$E,'3) Release_Label'!$H:$H},2,0),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E296" s="147" t="str">
        <f t="shared" si="1"/>
        <v/>
      </c>
      <c r="G296" s="97"/>
      <c r="H296" s="155"/>
      <c r="J296" s="92"/>
      <c r="K296" s="98"/>
      <c r="L296" s="92"/>
      <c r="N296" s="92"/>
      <c r="O296" s="92"/>
      <c r="P296" s="92"/>
    </row>
    <row r="297">
      <c r="A297" s="90"/>
      <c r="B297" s="97"/>
      <c r="C297" s="121" t="str">
        <f t="array" ref="C297">ifs(and(isblank($A297),isblank($B297)),"", not(iserror(vlookup($A297&amp;$B297,'3) Release_Label'!$D:$D&amp;'3) Release_Label'!$E:$E,1,0))),vlookup($A297&amp;$B297,{'3) Release_Label'!$D:$D&amp;'3) Release_Label'!$E:$E,'3) Release_Label'!$F:$F},2,0),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D297" s="121" t="str">
        <f t="array" ref="D297">ifs(and(isblank($A297),isblank($B297)),"", not(iserror(vlookup($A297&amp;$B297,'3) Release_Label'!$D:$D&amp;'3) Release_Label'!$E:$E,1,0))),vlookup($A297&amp;$B297,{'3) Release_Label'!$D:$D&amp;'3) Release_Label'!$E:$E,'3) Release_Label'!$H:$H},2,0),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E297" s="147" t="str">
        <f t="shared" si="1"/>
        <v/>
      </c>
      <c r="G297" s="97"/>
      <c r="H297" s="155"/>
      <c r="J297" s="92"/>
      <c r="K297" s="98"/>
      <c r="L297" s="92"/>
      <c r="N297" s="92"/>
      <c r="O297" s="92"/>
      <c r="P297" s="92"/>
    </row>
    <row r="298">
      <c r="A298" s="90"/>
      <c r="B298" s="97"/>
      <c r="C298" s="121" t="str">
        <f t="array" ref="C298">ifs(and(isblank($A298),isblank($B298)),"", not(iserror(vlookup($A298&amp;$B298,'3) Release_Label'!$D:$D&amp;'3) Release_Label'!$E:$E,1,0))),vlookup($A298&amp;$B298,{'3) Release_Label'!$D:$D&amp;'3) Release_Label'!$E:$E,'3) Release_Label'!$F:$F},2,0),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D298" s="121" t="str">
        <f t="array" ref="D298">ifs(and(isblank($A298),isblank($B298)),"", not(iserror(vlookup($A298&amp;$B298,'3) Release_Label'!$D:$D&amp;'3) Release_Label'!$E:$E,1,0))),vlookup($A298&amp;$B298,{'3) Release_Label'!$D:$D&amp;'3) Release_Label'!$E:$E,'3) Release_Label'!$H:$H},2,0),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E298" s="147" t="str">
        <f t="shared" si="1"/>
        <v/>
      </c>
      <c r="G298" s="97"/>
      <c r="H298" s="155"/>
      <c r="J298" s="92"/>
      <c r="K298" s="98"/>
      <c r="L298" s="92"/>
      <c r="N298" s="92"/>
      <c r="O298" s="92"/>
      <c r="P298" s="92"/>
    </row>
    <row r="299">
      <c r="A299" s="90"/>
      <c r="B299" s="97"/>
      <c r="C299" s="121" t="str">
        <f t="array" ref="C299">ifs(and(isblank($A299),isblank($B299)),"", not(iserror(vlookup($A299&amp;$B299,'3) Release_Label'!$D:$D&amp;'3) Release_Label'!$E:$E,1,0))),vlookup($A299&amp;$B299,{'3) Release_Label'!$D:$D&amp;'3) Release_Label'!$E:$E,'3) Release_Label'!$F:$F},2,0),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D299" s="121" t="str">
        <f t="array" ref="D299">ifs(and(isblank($A299),isblank($B299)),"", not(iserror(vlookup($A299&amp;$B299,'3) Release_Label'!$D:$D&amp;'3) Release_Label'!$E:$E,1,0))),vlookup($A299&amp;$B299,{'3) Release_Label'!$D:$D&amp;'3) Release_Label'!$E:$E,'3) Release_Label'!$H:$H},2,0),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E299" s="147" t="str">
        <f t="shared" si="1"/>
        <v/>
      </c>
      <c r="G299" s="97"/>
      <c r="H299" s="155"/>
      <c r="J299" s="92"/>
      <c r="K299" s="98"/>
      <c r="L299" s="92"/>
      <c r="N299" s="92"/>
      <c r="O299" s="92"/>
      <c r="P299" s="92"/>
    </row>
    <row r="300">
      <c r="A300" s="90"/>
      <c r="B300" s="97"/>
      <c r="C300" s="121" t="str">
        <f t="array" ref="C300">ifs(and(isblank($A300),isblank($B300)),"", not(iserror(vlookup($A300&amp;$B300,'3) Release_Label'!$D:$D&amp;'3) Release_Label'!$E:$E,1,0))),vlookup($A300&amp;$B300,{'3) Release_Label'!$D:$D&amp;'3) Release_Label'!$E:$E,'3) Release_Label'!$F:$F},2,0),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D300" s="121" t="str">
        <f t="array" ref="D300">ifs(and(isblank($A300),isblank($B300)),"", not(iserror(vlookup($A300&amp;$B300,'3) Release_Label'!$D:$D&amp;'3) Release_Label'!$E:$E,1,0))),vlookup($A300&amp;$B300,{'3) Release_Label'!$D:$D&amp;'3) Release_Label'!$E:$E,'3) Release_Label'!$H:$H},2,0),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E300" s="147" t="str">
        <f t="shared" si="1"/>
        <v/>
      </c>
      <c r="G300" s="97"/>
      <c r="H300" s="155"/>
      <c r="J300" s="92"/>
      <c r="K300" s="98"/>
      <c r="L300" s="92"/>
      <c r="N300" s="92"/>
      <c r="O300" s="92"/>
      <c r="P300" s="92"/>
    </row>
    <row r="301">
      <c r="A301" s="90"/>
      <c r="B301" s="97"/>
      <c r="C301" s="121" t="str">
        <f t="array" ref="C301">ifs(and(isblank($A301),isblank($B301)),"", not(iserror(vlookup($A301&amp;$B301,'3) Release_Label'!$D:$D&amp;'3) Release_Label'!$E:$E,1,0))),vlookup($A301&amp;$B301,{'3) Release_Label'!$D:$D&amp;'3) Release_Label'!$E:$E,'3) Release_Label'!$F:$F},2,0),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D301" s="121" t="str">
        <f t="array" ref="D301">ifs(and(isblank($A301),isblank($B301)),"", not(iserror(vlookup($A301&amp;$B301,'3) Release_Label'!$D:$D&amp;'3) Release_Label'!$E:$E,1,0))),vlookup($A301&amp;$B301,{'3) Release_Label'!$D:$D&amp;'3) Release_Label'!$E:$E,'3) Release_Label'!$H:$H},2,0),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E301" s="147" t="str">
        <f t="shared" si="1"/>
        <v/>
      </c>
      <c r="G301" s="97"/>
      <c r="H301" s="155"/>
      <c r="J301" s="92"/>
      <c r="K301" s="98"/>
      <c r="L301" s="92"/>
      <c r="N301" s="92"/>
      <c r="O301" s="92"/>
      <c r="P301" s="92"/>
    </row>
    <row r="302">
      <c r="A302" s="90"/>
      <c r="B302" s="97"/>
      <c r="C302" s="121" t="str">
        <f t="array" ref="C302">ifs(and(isblank($A302),isblank($B302)),"", not(iserror(vlookup($A302&amp;$B302,'3) Release_Label'!$D:$D&amp;'3) Release_Label'!$E:$E,1,0))),vlookup($A302&amp;$B302,{'3) Release_Label'!$D:$D&amp;'3) Release_Label'!$E:$E,'3) Release_Label'!$F:$F},2,0),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D302" s="121" t="str">
        <f t="array" ref="D302">ifs(and(isblank($A302),isblank($B302)),"", not(iserror(vlookup($A302&amp;$B302,'3) Release_Label'!$D:$D&amp;'3) Release_Label'!$E:$E,1,0))),vlookup($A302&amp;$B302,{'3) Release_Label'!$D:$D&amp;'3) Release_Label'!$E:$E,'3) Release_Label'!$H:$H},2,0),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E302" s="147" t="str">
        <f t="shared" si="1"/>
        <v/>
      </c>
      <c r="G302" s="97"/>
      <c r="H302" s="155"/>
      <c r="J302" s="92"/>
      <c r="K302" s="98"/>
      <c r="L302" s="92"/>
      <c r="N302" s="92"/>
      <c r="O302" s="92"/>
      <c r="P302" s="92"/>
    </row>
    <row r="303">
      <c r="A303" s="90"/>
      <c r="B303" s="97"/>
      <c r="C303" s="121" t="str">
        <f t="array" ref="C303">ifs(and(isblank($A303),isblank($B303)),"", not(iserror(vlookup($A303&amp;$B303,'3) Release_Label'!$D:$D&amp;'3) Release_Label'!$E:$E,1,0))),vlookup($A303&amp;$B303,{'3) Release_Label'!$D:$D&amp;'3) Release_Label'!$E:$E,'3) Release_Label'!$F:$F},2,0),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D303" s="121" t="str">
        <f t="array" ref="D303">ifs(and(isblank($A303),isblank($B303)),"", not(iserror(vlookup($A303&amp;$B303,'3) Release_Label'!$D:$D&amp;'3) Release_Label'!$E:$E,1,0))),vlookup($A303&amp;$B303,{'3) Release_Label'!$D:$D&amp;'3) Release_Label'!$E:$E,'3) Release_Label'!$H:$H},2,0),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E303" s="147" t="str">
        <f t="shared" si="1"/>
        <v/>
      </c>
      <c r="G303" s="97"/>
      <c r="H303" s="155"/>
      <c r="J303" s="92"/>
      <c r="K303" s="98"/>
      <c r="L303" s="92"/>
      <c r="N303" s="92"/>
      <c r="O303" s="92"/>
      <c r="P303" s="92"/>
    </row>
    <row r="304">
      <c r="A304" s="90"/>
      <c r="B304" s="97"/>
      <c r="C304" s="121" t="str">
        <f t="array" ref="C304">ifs(and(isblank($A304),isblank($B304)),"", not(iserror(vlookup($A304&amp;$B304,'3) Release_Label'!$D:$D&amp;'3) Release_Label'!$E:$E,1,0))),vlookup($A304&amp;$B304,{'3) Release_Label'!$D:$D&amp;'3) Release_Label'!$E:$E,'3) Release_Label'!$F:$F},2,0),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D304" s="121" t="str">
        <f t="array" ref="D304">ifs(and(isblank($A304),isblank($B304)),"", not(iserror(vlookup($A304&amp;$B304,'3) Release_Label'!$D:$D&amp;'3) Release_Label'!$E:$E,1,0))),vlookup($A304&amp;$B304,{'3) Release_Label'!$D:$D&amp;'3) Release_Label'!$E:$E,'3) Release_Label'!$H:$H},2,0),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E304" s="147" t="str">
        <f t="shared" si="1"/>
        <v/>
      </c>
      <c r="G304" s="97"/>
      <c r="H304" s="155"/>
      <c r="J304" s="92"/>
      <c r="K304" s="98"/>
      <c r="L304" s="92"/>
      <c r="N304" s="92"/>
      <c r="O304" s="92"/>
      <c r="P304" s="92"/>
    </row>
    <row r="305">
      <c r="A305" s="90"/>
      <c r="B305" s="97"/>
      <c r="C305" s="121" t="str">
        <f t="array" ref="C305">ifs(and(isblank($A305),isblank($B305)),"", not(iserror(vlookup($A305&amp;$B305,'3) Release_Label'!$D:$D&amp;'3) Release_Label'!$E:$E,1,0))),vlookup($A305&amp;$B305,{'3) Release_Label'!$D:$D&amp;'3) Release_Label'!$E:$E,'3) Release_Label'!$F:$F},2,0),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D305" s="121" t="str">
        <f t="array" ref="D305">ifs(and(isblank($A305),isblank($B305)),"", not(iserror(vlookup($A305&amp;$B305,'3) Release_Label'!$D:$D&amp;'3) Release_Label'!$E:$E,1,0))),vlookup($A305&amp;$B305,{'3) Release_Label'!$D:$D&amp;'3) Release_Label'!$E:$E,'3) Release_Label'!$H:$H},2,0),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E305" s="147" t="str">
        <f t="shared" si="1"/>
        <v/>
      </c>
      <c r="G305" s="97"/>
      <c r="H305" s="155"/>
      <c r="J305" s="92"/>
      <c r="K305" s="98"/>
      <c r="L305" s="92"/>
      <c r="N305" s="92"/>
      <c r="O305" s="92"/>
      <c r="P305" s="92"/>
    </row>
    <row r="306">
      <c r="A306" s="90"/>
      <c r="B306" s="97"/>
      <c r="C306" s="121" t="str">
        <f t="array" ref="C306">ifs(and(isblank($A306),isblank($B306)),"", not(iserror(vlookup($A306&amp;$B306,'3) Release_Label'!$D:$D&amp;'3) Release_Label'!$E:$E,1,0))),vlookup($A306&amp;$B306,{'3) Release_Label'!$D:$D&amp;'3) Release_Label'!$E:$E,'3) Release_Label'!$F:$F},2,0),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D306" s="121" t="str">
        <f t="array" ref="D306">ifs(and(isblank($A306),isblank($B306)),"", not(iserror(vlookup($A306&amp;$B306,'3) Release_Label'!$D:$D&amp;'3) Release_Label'!$E:$E,1,0))),vlookup($A306&amp;$B306,{'3) Release_Label'!$D:$D&amp;'3) Release_Label'!$E:$E,'3) Release_Label'!$H:$H},2,0),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E306" s="147" t="str">
        <f t="shared" si="1"/>
        <v/>
      </c>
      <c r="G306" s="97"/>
      <c r="H306" s="155"/>
      <c r="J306" s="92"/>
      <c r="K306" s="98"/>
      <c r="L306" s="92"/>
      <c r="N306" s="92"/>
      <c r="O306" s="92"/>
      <c r="P306" s="92"/>
    </row>
    <row r="307">
      <c r="A307" s="90"/>
      <c r="B307" s="97"/>
      <c r="C307" s="121" t="str">
        <f t="array" ref="C307">ifs(and(isblank($A307),isblank($B307)),"", not(iserror(vlookup($A307&amp;$B307,'3) Release_Label'!$D:$D&amp;'3) Release_Label'!$E:$E,1,0))),vlookup($A307&amp;$B307,{'3) Release_Label'!$D:$D&amp;'3) Release_Label'!$E:$E,'3) Release_Label'!$F:$F},2,0),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D307" s="121" t="str">
        <f t="array" ref="D307">ifs(and(isblank($A307),isblank($B307)),"", not(iserror(vlookup($A307&amp;$B307,'3) Release_Label'!$D:$D&amp;'3) Release_Label'!$E:$E,1,0))),vlookup($A307&amp;$B307,{'3) Release_Label'!$D:$D&amp;'3) Release_Label'!$E:$E,'3) Release_Label'!$H:$H},2,0),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E307" s="147" t="str">
        <f t="shared" si="1"/>
        <v/>
      </c>
      <c r="G307" s="97"/>
      <c r="H307" s="155"/>
      <c r="J307" s="92"/>
      <c r="K307" s="98"/>
      <c r="L307" s="92"/>
      <c r="N307" s="92"/>
      <c r="O307" s="92"/>
      <c r="P307" s="92"/>
    </row>
    <row r="308">
      <c r="A308" s="90"/>
      <c r="B308" s="97"/>
      <c r="C308" s="121" t="str">
        <f t="array" ref="C308">ifs(and(isblank($A308),isblank($B308)),"", not(iserror(vlookup($A308&amp;$B308,'3) Release_Label'!$D:$D&amp;'3) Release_Label'!$E:$E,1,0))),vlookup($A308&amp;$B308,{'3) Release_Label'!$D:$D&amp;'3) Release_Label'!$E:$E,'3) Release_Label'!$F:$F},2,0),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D308" s="121" t="str">
        <f t="array" ref="D308">ifs(and(isblank($A308),isblank($B308)),"", not(iserror(vlookup($A308&amp;$B308,'3) Release_Label'!$D:$D&amp;'3) Release_Label'!$E:$E,1,0))),vlookup($A308&amp;$B308,{'3) Release_Label'!$D:$D&amp;'3) Release_Label'!$E:$E,'3) Release_Label'!$H:$H},2,0),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E308" s="147" t="str">
        <f t="shared" si="1"/>
        <v/>
      </c>
      <c r="G308" s="97"/>
      <c r="H308" s="155"/>
      <c r="J308" s="92"/>
      <c r="K308" s="98"/>
      <c r="L308" s="92"/>
      <c r="N308" s="92"/>
      <c r="O308" s="92"/>
      <c r="P308" s="92"/>
    </row>
    <row r="309">
      <c r="A309" s="90"/>
      <c r="B309" s="97"/>
      <c r="C309" s="121" t="str">
        <f t="array" ref="C309">ifs(and(isblank($A309),isblank($B309)),"", not(iserror(vlookup($A309&amp;$B309,'3) Release_Label'!$D:$D&amp;'3) Release_Label'!$E:$E,1,0))),vlookup($A309&amp;$B309,{'3) Release_Label'!$D:$D&amp;'3) Release_Label'!$E:$E,'3) Release_Label'!$F:$F},2,0),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D309" s="121" t="str">
        <f t="array" ref="D309">ifs(and(isblank($A309),isblank($B309)),"", not(iserror(vlookup($A309&amp;$B309,'3) Release_Label'!$D:$D&amp;'3) Release_Label'!$E:$E,1,0))),vlookup($A309&amp;$B309,{'3) Release_Label'!$D:$D&amp;'3) Release_Label'!$E:$E,'3) Release_Label'!$H:$H},2,0),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E309" s="147" t="str">
        <f t="shared" si="1"/>
        <v/>
      </c>
      <c r="G309" s="97"/>
      <c r="H309" s="155"/>
      <c r="J309" s="92"/>
      <c r="K309" s="98"/>
      <c r="L309" s="92"/>
      <c r="N309" s="92"/>
      <c r="O309" s="92"/>
      <c r="P309" s="92"/>
    </row>
    <row r="310">
      <c r="A310" s="90"/>
      <c r="B310" s="97"/>
      <c r="C310" s="121" t="str">
        <f t="array" ref="C310">ifs(and(isblank($A310),isblank($B310)),"", not(iserror(vlookup($A310&amp;$B310,'3) Release_Label'!$D:$D&amp;'3) Release_Label'!$E:$E,1,0))),vlookup($A310&amp;$B310,{'3) Release_Label'!$D:$D&amp;'3) Release_Label'!$E:$E,'3) Release_Label'!$F:$F},2,0),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D310" s="121" t="str">
        <f t="array" ref="D310">ifs(and(isblank($A310),isblank($B310)),"", not(iserror(vlookup($A310&amp;$B310,'3) Release_Label'!$D:$D&amp;'3) Release_Label'!$E:$E,1,0))),vlookup($A310&amp;$B310,{'3) Release_Label'!$D:$D&amp;'3) Release_Label'!$E:$E,'3) Release_Label'!$H:$H},2,0),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E310" s="147" t="str">
        <f t="shared" si="1"/>
        <v/>
      </c>
      <c r="G310" s="97"/>
      <c r="H310" s="155"/>
      <c r="J310" s="92"/>
      <c r="K310" s="98"/>
      <c r="L310" s="92"/>
      <c r="N310" s="92"/>
      <c r="O310" s="92"/>
      <c r="P310" s="92"/>
    </row>
    <row r="311">
      <c r="A311" s="90"/>
      <c r="B311" s="97"/>
      <c r="C311" s="121" t="str">
        <f t="array" ref="C311">ifs(and(isblank($A311),isblank($B311)),"", not(iserror(vlookup($A311&amp;$B311,'3) Release_Label'!$D:$D&amp;'3) Release_Label'!$E:$E,1,0))),vlookup($A311&amp;$B311,{'3) Release_Label'!$D:$D&amp;'3) Release_Label'!$E:$E,'3) Release_Label'!$F:$F},2,0),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D311" s="121" t="str">
        <f t="array" ref="D311">ifs(and(isblank($A311),isblank($B311)),"", not(iserror(vlookup($A311&amp;$B311,'3) Release_Label'!$D:$D&amp;'3) Release_Label'!$E:$E,1,0))),vlookup($A311&amp;$B311,{'3) Release_Label'!$D:$D&amp;'3) Release_Label'!$E:$E,'3) Release_Label'!$H:$H},2,0),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E311" s="147" t="str">
        <f t="shared" si="1"/>
        <v/>
      </c>
      <c r="G311" s="97"/>
      <c r="H311" s="155"/>
      <c r="J311" s="92"/>
      <c r="K311" s="98"/>
      <c r="L311" s="92"/>
      <c r="N311" s="92"/>
      <c r="O311" s="92"/>
      <c r="P311" s="92"/>
    </row>
    <row r="312">
      <c r="A312" s="90"/>
      <c r="B312" s="97"/>
      <c r="C312" s="121" t="str">
        <f t="array" ref="C312">ifs(and(isblank($A312),isblank($B312)),"", not(iserror(vlookup($A312&amp;$B312,'3) Release_Label'!$D:$D&amp;'3) Release_Label'!$E:$E,1,0))),vlookup($A312&amp;$B312,{'3) Release_Label'!$D:$D&amp;'3) Release_Label'!$E:$E,'3) Release_Label'!$F:$F},2,0),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D312" s="121" t="str">
        <f t="array" ref="D312">ifs(and(isblank($A312),isblank($B312)),"", not(iserror(vlookup($A312&amp;$B312,'3) Release_Label'!$D:$D&amp;'3) Release_Label'!$E:$E,1,0))),vlookup($A312&amp;$B312,{'3) Release_Label'!$D:$D&amp;'3) Release_Label'!$E:$E,'3) Release_Label'!$H:$H},2,0),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E312" s="147" t="str">
        <f t="shared" si="1"/>
        <v/>
      </c>
      <c r="G312" s="97"/>
      <c r="H312" s="155"/>
      <c r="J312" s="92"/>
      <c r="K312" s="98"/>
      <c r="L312" s="92"/>
      <c r="N312" s="92"/>
      <c r="O312" s="92"/>
      <c r="P312" s="92"/>
    </row>
    <row r="313">
      <c r="A313" s="90"/>
      <c r="B313" s="97"/>
      <c r="C313" s="121" t="str">
        <f t="array" ref="C313">ifs(and(isblank($A313),isblank($B313)),"", not(iserror(vlookup($A313&amp;$B313,'3) Release_Label'!$D:$D&amp;'3) Release_Label'!$E:$E,1,0))),vlookup($A313&amp;$B313,{'3) Release_Label'!$D:$D&amp;'3) Release_Label'!$E:$E,'3) Release_Label'!$F:$F},2,0),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D313" s="121" t="str">
        <f t="array" ref="D313">ifs(and(isblank($A313),isblank($B313)),"", not(iserror(vlookup($A313&amp;$B313,'3) Release_Label'!$D:$D&amp;'3) Release_Label'!$E:$E,1,0))),vlookup($A313&amp;$B313,{'3) Release_Label'!$D:$D&amp;'3) Release_Label'!$E:$E,'3) Release_Label'!$H:$H},2,0),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E313" s="147" t="str">
        <f t="shared" si="1"/>
        <v/>
      </c>
      <c r="G313" s="97"/>
      <c r="H313" s="155"/>
      <c r="J313" s="92"/>
      <c r="K313" s="98"/>
      <c r="L313" s="92"/>
      <c r="N313" s="92"/>
      <c r="O313" s="92"/>
      <c r="P313" s="92"/>
    </row>
    <row r="314">
      <c r="A314" s="90"/>
      <c r="B314" s="97"/>
      <c r="C314" s="121" t="str">
        <f t="array" ref="C314">ifs(and(isblank($A314),isblank($B314)),"", not(iserror(vlookup($A314&amp;$B314,'3) Release_Label'!$D:$D&amp;'3) Release_Label'!$E:$E,1,0))),vlookup($A314&amp;$B314,{'3) Release_Label'!$D:$D&amp;'3) Release_Label'!$E:$E,'3) Release_Label'!$F:$F},2,0),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D314" s="121" t="str">
        <f t="array" ref="D314">ifs(and(isblank($A314),isblank($B314)),"", not(iserror(vlookup($A314&amp;$B314,'3) Release_Label'!$D:$D&amp;'3) Release_Label'!$E:$E,1,0))),vlookup($A314&amp;$B314,{'3) Release_Label'!$D:$D&amp;'3) Release_Label'!$E:$E,'3) Release_Label'!$H:$H},2,0),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E314" s="147" t="str">
        <f t="shared" si="1"/>
        <v/>
      </c>
      <c r="G314" s="97"/>
      <c r="H314" s="155"/>
      <c r="J314" s="92"/>
      <c r="K314" s="98"/>
      <c r="L314" s="92"/>
      <c r="N314" s="92"/>
      <c r="O314" s="92"/>
      <c r="P314" s="92"/>
    </row>
    <row r="315">
      <c r="A315" s="90"/>
      <c r="B315" s="97"/>
      <c r="C315" s="121" t="str">
        <f t="array" ref="C315">ifs(and(isblank($A315),isblank($B315)),"", not(iserror(vlookup($A315&amp;$B315,'3) Release_Label'!$D:$D&amp;'3) Release_Label'!$E:$E,1,0))),vlookup($A315&amp;$B315,{'3) Release_Label'!$D:$D&amp;'3) Release_Label'!$E:$E,'3) Release_Label'!$F:$F},2,0),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D315" s="121" t="str">
        <f t="array" ref="D315">ifs(and(isblank($A315),isblank($B315)),"", not(iserror(vlookup($A315&amp;$B315,'3) Release_Label'!$D:$D&amp;'3) Release_Label'!$E:$E,1,0))),vlookup($A315&amp;$B315,{'3) Release_Label'!$D:$D&amp;'3) Release_Label'!$E:$E,'3) Release_Label'!$H:$H},2,0),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E315" s="147" t="str">
        <f t="shared" si="1"/>
        <v/>
      </c>
      <c r="G315" s="97"/>
      <c r="H315" s="155"/>
      <c r="J315" s="92"/>
      <c r="K315" s="98"/>
      <c r="L315" s="92"/>
      <c r="N315" s="92"/>
      <c r="O315" s="92"/>
      <c r="P315" s="92"/>
    </row>
    <row r="316">
      <c r="A316" s="90"/>
      <c r="B316" s="97"/>
      <c r="C316" s="121" t="str">
        <f t="array" ref="C316">ifs(and(isblank($A316),isblank($B316)),"", not(iserror(vlookup($A316&amp;$B316,'3) Release_Label'!$D:$D&amp;'3) Release_Label'!$E:$E,1,0))),vlookup($A316&amp;$B316,{'3) Release_Label'!$D:$D&amp;'3) Release_Label'!$E:$E,'3) Release_Label'!$F:$F},2,0),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D316" s="121" t="str">
        <f t="array" ref="D316">ifs(and(isblank($A316),isblank($B316)),"", not(iserror(vlookup($A316&amp;$B316,'3) Release_Label'!$D:$D&amp;'3) Release_Label'!$E:$E,1,0))),vlookup($A316&amp;$B316,{'3) Release_Label'!$D:$D&amp;'3) Release_Label'!$E:$E,'3) Release_Label'!$H:$H},2,0),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E316" s="147" t="str">
        <f t="shared" si="1"/>
        <v/>
      </c>
      <c r="G316" s="97"/>
      <c r="H316" s="155"/>
      <c r="J316" s="92"/>
      <c r="K316" s="98"/>
      <c r="L316" s="92"/>
      <c r="N316" s="92"/>
      <c r="O316" s="92"/>
      <c r="P316" s="92"/>
    </row>
    <row r="317">
      <c r="A317" s="90"/>
      <c r="B317" s="97"/>
      <c r="C317" s="121" t="str">
        <f t="array" ref="C317">ifs(and(isblank($A317),isblank($B317)),"", not(iserror(vlookup($A317&amp;$B317,'3) Release_Label'!$D:$D&amp;'3) Release_Label'!$E:$E,1,0))),vlookup($A317&amp;$B317,{'3) Release_Label'!$D:$D&amp;'3) Release_Label'!$E:$E,'3) Release_Label'!$F:$F},2,0),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D317" s="121" t="str">
        <f t="array" ref="D317">ifs(and(isblank($A317),isblank($B317)),"", not(iserror(vlookup($A317&amp;$B317,'3) Release_Label'!$D:$D&amp;'3) Release_Label'!$E:$E,1,0))),vlookup($A317&amp;$B317,{'3) Release_Label'!$D:$D&amp;'3) Release_Label'!$E:$E,'3) Release_Label'!$H:$H},2,0),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E317" s="147" t="str">
        <f t="shared" si="1"/>
        <v/>
      </c>
      <c r="G317" s="97"/>
      <c r="H317" s="155"/>
      <c r="J317" s="92"/>
      <c r="K317" s="98"/>
      <c r="L317" s="92"/>
      <c r="N317" s="92"/>
      <c r="O317" s="92"/>
      <c r="P317" s="92"/>
    </row>
    <row r="318">
      <c r="A318" s="90"/>
      <c r="B318" s="97"/>
      <c r="C318" s="121" t="str">
        <f t="array" ref="C318">ifs(and(isblank($A318),isblank($B318)),"", not(iserror(vlookup($A318&amp;$B318,'3) Release_Label'!$D:$D&amp;'3) Release_Label'!$E:$E,1,0))),vlookup($A318&amp;$B318,{'3) Release_Label'!$D:$D&amp;'3) Release_Label'!$E:$E,'3) Release_Label'!$F:$F},2,0),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D318" s="121" t="str">
        <f t="array" ref="D318">ifs(and(isblank($A318),isblank($B318)),"", not(iserror(vlookup($A318&amp;$B318,'3) Release_Label'!$D:$D&amp;'3) Release_Label'!$E:$E,1,0))),vlookup($A318&amp;$B318,{'3) Release_Label'!$D:$D&amp;'3) Release_Label'!$E:$E,'3) Release_Label'!$H:$H},2,0),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E318" s="147" t="str">
        <f t="shared" si="1"/>
        <v/>
      </c>
      <c r="G318" s="97"/>
      <c r="H318" s="155"/>
      <c r="J318" s="92"/>
      <c r="K318" s="98"/>
      <c r="L318" s="92"/>
      <c r="N318" s="92"/>
      <c r="O318" s="92"/>
      <c r="P318" s="92"/>
    </row>
    <row r="319">
      <c r="A319" s="90"/>
      <c r="B319" s="97"/>
      <c r="C319" s="121" t="str">
        <f t="array" ref="C319">ifs(and(isblank($A319),isblank($B319)),"", not(iserror(vlookup($A319&amp;$B319,'3) Release_Label'!$D:$D&amp;'3) Release_Label'!$E:$E,1,0))),vlookup($A319&amp;$B319,{'3) Release_Label'!$D:$D&amp;'3) Release_Label'!$E:$E,'3) Release_Label'!$F:$F},2,0),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D319" s="121" t="str">
        <f t="array" ref="D319">ifs(and(isblank($A319),isblank($B319)),"", not(iserror(vlookup($A319&amp;$B319,'3) Release_Label'!$D:$D&amp;'3) Release_Label'!$E:$E,1,0))),vlookup($A319&amp;$B319,{'3) Release_Label'!$D:$D&amp;'3) Release_Label'!$E:$E,'3) Release_Label'!$H:$H},2,0),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E319" s="147" t="str">
        <f t="shared" si="1"/>
        <v/>
      </c>
      <c r="G319" s="97"/>
      <c r="H319" s="155"/>
      <c r="J319" s="92"/>
      <c r="K319" s="98"/>
      <c r="L319" s="92"/>
      <c r="N319" s="92"/>
      <c r="O319" s="92"/>
      <c r="P319" s="92"/>
    </row>
    <row r="320">
      <c r="A320" s="90"/>
      <c r="B320" s="97"/>
      <c r="C320" s="121" t="str">
        <f t="array" ref="C320">ifs(and(isblank($A320),isblank($B320)),"", not(iserror(vlookup($A320&amp;$B320,'3) Release_Label'!$D:$D&amp;'3) Release_Label'!$E:$E,1,0))),vlookup($A320&amp;$B320,{'3) Release_Label'!$D:$D&amp;'3) Release_Label'!$E:$E,'3) Release_Label'!$F:$F},2,0),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D320" s="121" t="str">
        <f t="array" ref="D320">ifs(and(isblank($A320),isblank($B320)),"", not(iserror(vlookup($A320&amp;$B320,'3) Release_Label'!$D:$D&amp;'3) Release_Label'!$E:$E,1,0))),vlookup($A320&amp;$B320,{'3) Release_Label'!$D:$D&amp;'3) Release_Label'!$E:$E,'3) Release_Label'!$H:$H},2,0),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E320" s="147" t="str">
        <f t="shared" si="1"/>
        <v/>
      </c>
      <c r="G320" s="97"/>
      <c r="H320" s="155"/>
      <c r="J320" s="92"/>
      <c r="K320" s="98"/>
      <c r="L320" s="92"/>
      <c r="N320" s="92"/>
      <c r="O320" s="92"/>
      <c r="P320" s="92"/>
    </row>
    <row r="321">
      <c r="A321" s="90"/>
      <c r="B321" s="97"/>
      <c r="C321" s="121" t="str">
        <f t="array" ref="C321">ifs(and(isblank($A321),isblank($B321)),"", not(iserror(vlookup($A321&amp;$B321,'3) Release_Label'!$D:$D&amp;'3) Release_Label'!$E:$E,1,0))),vlookup($A321&amp;$B321,{'3) Release_Label'!$D:$D&amp;'3) Release_Label'!$E:$E,'3) Release_Label'!$F:$F},2,0),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D321" s="121" t="str">
        <f t="array" ref="D321">ifs(and(isblank($A321),isblank($B321)),"", not(iserror(vlookup($A321&amp;$B321,'3) Release_Label'!$D:$D&amp;'3) Release_Label'!$E:$E,1,0))),vlookup($A321&amp;$B321,{'3) Release_Label'!$D:$D&amp;'3) Release_Label'!$E:$E,'3) Release_Label'!$H:$H},2,0),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E321" s="147" t="str">
        <f t="shared" si="1"/>
        <v/>
      </c>
      <c r="G321" s="97"/>
      <c r="H321" s="155"/>
      <c r="J321" s="92"/>
      <c r="K321" s="98"/>
      <c r="L321" s="92"/>
      <c r="N321" s="92"/>
      <c r="O321" s="92"/>
      <c r="P321" s="92"/>
    </row>
    <row r="322">
      <c r="A322" s="90"/>
      <c r="B322" s="97"/>
      <c r="C322" s="121" t="str">
        <f t="array" ref="C322">ifs(and(isblank($A322),isblank($B322)),"", not(iserror(vlookup($A322&amp;$B322,'3) Release_Label'!$D:$D&amp;'3) Release_Label'!$E:$E,1,0))),vlookup($A322&amp;$B322,{'3) Release_Label'!$D:$D&amp;'3) Release_Label'!$E:$E,'3) Release_Label'!$F:$F},2,0),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D322" s="121" t="str">
        <f t="array" ref="D322">ifs(and(isblank($A322),isblank($B322)),"", not(iserror(vlookup($A322&amp;$B322,'3) Release_Label'!$D:$D&amp;'3) Release_Label'!$E:$E,1,0))),vlookup($A322&amp;$B322,{'3) Release_Label'!$D:$D&amp;'3) Release_Label'!$E:$E,'3) Release_Label'!$H:$H},2,0),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E322" s="147" t="str">
        <f t="shared" si="1"/>
        <v/>
      </c>
      <c r="G322" s="97"/>
      <c r="H322" s="155"/>
      <c r="J322" s="92"/>
      <c r="K322" s="98"/>
      <c r="L322" s="92"/>
      <c r="N322" s="92"/>
      <c r="O322" s="92"/>
      <c r="P322" s="92"/>
    </row>
    <row r="323">
      <c r="A323" s="90"/>
      <c r="B323" s="97"/>
      <c r="C323" s="121" t="str">
        <f t="array" ref="C323">ifs(and(isblank($A323),isblank($B323)),"", not(iserror(vlookup($A323&amp;$B323,'3) Release_Label'!$D:$D&amp;'3) Release_Label'!$E:$E,1,0))),vlookup($A323&amp;$B323,{'3) Release_Label'!$D:$D&amp;'3) Release_Label'!$E:$E,'3) Release_Label'!$F:$F},2,0),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D323" s="121" t="str">
        <f t="array" ref="D323">ifs(and(isblank($A323),isblank($B323)),"", not(iserror(vlookup($A323&amp;$B323,'3) Release_Label'!$D:$D&amp;'3) Release_Label'!$E:$E,1,0))),vlookup($A323&amp;$B323,{'3) Release_Label'!$D:$D&amp;'3) Release_Label'!$E:$E,'3) Release_Label'!$H:$H},2,0),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E323" s="147" t="str">
        <f t="shared" si="1"/>
        <v/>
      </c>
      <c r="G323" s="97"/>
      <c r="H323" s="155"/>
      <c r="J323" s="92"/>
      <c r="K323" s="98"/>
      <c r="L323" s="92"/>
      <c r="N323" s="92"/>
      <c r="O323" s="92"/>
      <c r="P323" s="92"/>
    </row>
    <row r="324">
      <c r="A324" s="90"/>
      <c r="B324" s="97"/>
      <c r="C324" s="121" t="str">
        <f t="array" ref="C324">ifs(and(isblank($A324),isblank($B324)),"", not(iserror(vlookup($A324&amp;$B324,'3) Release_Label'!$D:$D&amp;'3) Release_Label'!$E:$E,1,0))),vlookup($A324&amp;$B324,{'3) Release_Label'!$D:$D&amp;'3) Release_Label'!$E:$E,'3) Release_Label'!$F:$F},2,0),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D324" s="121" t="str">
        <f t="array" ref="D324">ifs(and(isblank($A324),isblank($B324)),"", not(iserror(vlookup($A324&amp;$B324,'3) Release_Label'!$D:$D&amp;'3) Release_Label'!$E:$E,1,0))),vlookup($A324&amp;$B324,{'3) Release_Label'!$D:$D&amp;'3) Release_Label'!$E:$E,'3) Release_Label'!$H:$H},2,0),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E324" s="147" t="str">
        <f t="shared" si="1"/>
        <v/>
      </c>
      <c r="G324" s="97"/>
      <c r="H324" s="155"/>
      <c r="J324" s="92"/>
      <c r="K324" s="98"/>
      <c r="L324" s="92"/>
      <c r="N324" s="92"/>
      <c r="O324" s="92"/>
      <c r="P324" s="92"/>
    </row>
    <row r="325">
      <c r="A325" s="90"/>
      <c r="B325" s="97"/>
      <c r="C325" s="121" t="str">
        <f t="array" ref="C325">ifs(and(isblank($A325),isblank($B325)),"", not(iserror(vlookup($A325&amp;$B325,'3) Release_Label'!$D:$D&amp;'3) Release_Label'!$E:$E,1,0))),vlookup($A325&amp;$B325,{'3) Release_Label'!$D:$D&amp;'3) Release_Label'!$E:$E,'3) Release_Label'!$F:$F},2,0),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D325" s="121" t="str">
        <f t="array" ref="D325">ifs(and(isblank($A325),isblank($B325)),"", not(iserror(vlookup($A325&amp;$B325,'3) Release_Label'!$D:$D&amp;'3) Release_Label'!$E:$E,1,0))),vlookup($A325&amp;$B325,{'3) Release_Label'!$D:$D&amp;'3) Release_Label'!$E:$E,'3) Release_Label'!$H:$H},2,0),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E325" s="147" t="str">
        <f t="shared" si="1"/>
        <v/>
      </c>
      <c r="G325" s="97"/>
      <c r="H325" s="155"/>
      <c r="J325" s="92"/>
      <c r="K325" s="98"/>
      <c r="L325" s="92"/>
      <c r="N325" s="92"/>
      <c r="O325" s="92"/>
      <c r="P325" s="92"/>
    </row>
    <row r="326">
      <c r="A326" s="90"/>
      <c r="B326" s="97"/>
      <c r="C326" s="121" t="str">
        <f t="array" ref="C326">ifs(and(isblank($A326),isblank($B326)),"", not(iserror(vlookup($A326&amp;$B326,'3) Release_Label'!$D:$D&amp;'3) Release_Label'!$E:$E,1,0))),vlookup($A326&amp;$B326,{'3) Release_Label'!$D:$D&amp;'3) Release_Label'!$E:$E,'3) Release_Label'!$F:$F},2,0),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D326" s="121" t="str">
        <f t="array" ref="D326">ifs(and(isblank($A326),isblank($B326)),"", not(iserror(vlookup($A326&amp;$B326,'3) Release_Label'!$D:$D&amp;'3) Release_Label'!$E:$E,1,0))),vlookup($A326&amp;$B326,{'3) Release_Label'!$D:$D&amp;'3) Release_Label'!$E:$E,'3) Release_Label'!$H:$H},2,0),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E326" s="147" t="str">
        <f t="shared" si="1"/>
        <v/>
      </c>
      <c r="G326" s="97"/>
      <c r="H326" s="155"/>
      <c r="J326" s="92"/>
      <c r="K326" s="98"/>
      <c r="L326" s="92"/>
      <c r="N326" s="92"/>
      <c r="O326" s="92"/>
      <c r="P326" s="92"/>
    </row>
    <row r="327">
      <c r="A327" s="90"/>
      <c r="B327" s="97"/>
      <c r="C327" s="121" t="str">
        <f t="array" ref="C327">ifs(and(isblank($A327),isblank($B327)),"", not(iserror(vlookup($A327&amp;$B327,'3) Release_Label'!$D:$D&amp;'3) Release_Label'!$E:$E,1,0))),vlookup($A327&amp;$B327,{'3) Release_Label'!$D:$D&amp;'3) Release_Label'!$E:$E,'3) Release_Label'!$F:$F},2,0),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D327" s="121" t="str">
        <f t="array" ref="D327">ifs(and(isblank($A327),isblank($B327)),"", not(iserror(vlookup($A327&amp;$B327,'3) Release_Label'!$D:$D&amp;'3) Release_Label'!$E:$E,1,0))),vlookup($A327&amp;$B327,{'3) Release_Label'!$D:$D&amp;'3) Release_Label'!$E:$E,'3) Release_Label'!$H:$H},2,0),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E327" s="147" t="str">
        <f t="shared" si="1"/>
        <v/>
      </c>
      <c r="G327" s="97"/>
      <c r="H327" s="155"/>
      <c r="J327" s="92"/>
      <c r="K327" s="98"/>
      <c r="L327" s="92"/>
      <c r="N327" s="92"/>
      <c r="O327" s="92"/>
      <c r="P327" s="92"/>
    </row>
    <row r="328">
      <c r="A328" s="90"/>
      <c r="B328" s="97"/>
      <c r="C328" s="121" t="str">
        <f t="array" ref="C328">ifs(and(isblank($A328),isblank($B328)),"", not(iserror(vlookup($A328&amp;$B328,'3) Release_Label'!$D:$D&amp;'3) Release_Label'!$E:$E,1,0))),vlookup($A328&amp;$B328,{'3) Release_Label'!$D:$D&amp;'3) Release_Label'!$E:$E,'3) Release_Label'!$F:$F},2,0),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D328" s="121" t="str">
        <f t="array" ref="D328">ifs(and(isblank($A328),isblank($B328)),"", not(iserror(vlookup($A328&amp;$B328,'3) Release_Label'!$D:$D&amp;'3) Release_Label'!$E:$E,1,0))),vlookup($A328&amp;$B328,{'3) Release_Label'!$D:$D&amp;'3) Release_Label'!$E:$E,'3) Release_Label'!$H:$H},2,0),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E328" s="147" t="str">
        <f t="shared" si="1"/>
        <v/>
      </c>
      <c r="G328" s="97"/>
      <c r="H328" s="155"/>
      <c r="J328" s="92"/>
      <c r="K328" s="98"/>
      <c r="L328" s="92"/>
      <c r="N328" s="92"/>
      <c r="O328" s="92"/>
      <c r="P328" s="92"/>
    </row>
    <row r="329">
      <c r="A329" s="90"/>
      <c r="B329" s="97"/>
      <c r="C329" s="121" t="str">
        <f t="array" ref="C329">ifs(and(isblank($A329),isblank($B329)),"", not(iserror(vlookup($A329&amp;$B329,'3) Release_Label'!$D:$D&amp;'3) Release_Label'!$E:$E,1,0))),vlookup($A329&amp;$B329,{'3) Release_Label'!$D:$D&amp;'3) Release_Label'!$E:$E,'3) Release_Label'!$F:$F},2,0),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D329" s="121" t="str">
        <f t="array" ref="D329">ifs(and(isblank($A329),isblank($B329)),"", not(iserror(vlookup($A329&amp;$B329,'3) Release_Label'!$D:$D&amp;'3) Release_Label'!$E:$E,1,0))),vlookup($A329&amp;$B329,{'3) Release_Label'!$D:$D&amp;'3) Release_Label'!$E:$E,'3) Release_Label'!$H:$H},2,0),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E329" s="147" t="str">
        <f t="shared" si="1"/>
        <v/>
      </c>
      <c r="G329" s="97"/>
      <c r="H329" s="155"/>
      <c r="J329" s="92"/>
      <c r="K329" s="98"/>
      <c r="L329" s="92"/>
      <c r="N329" s="92"/>
      <c r="O329" s="92"/>
      <c r="P329" s="92"/>
    </row>
    <row r="330">
      <c r="A330" s="90"/>
      <c r="B330" s="97"/>
      <c r="C330" s="121" t="str">
        <f t="array" ref="C330">ifs(and(isblank($A330),isblank($B330)),"", not(iserror(vlookup($A330&amp;$B330,'3) Release_Label'!$D:$D&amp;'3) Release_Label'!$E:$E,1,0))),vlookup($A330&amp;$B330,{'3) Release_Label'!$D:$D&amp;'3) Release_Label'!$E:$E,'3) Release_Label'!$F:$F},2,0),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D330" s="121" t="str">
        <f t="array" ref="D330">ifs(and(isblank($A330),isblank($B330)),"", not(iserror(vlookup($A330&amp;$B330,'3) Release_Label'!$D:$D&amp;'3) Release_Label'!$E:$E,1,0))),vlookup($A330&amp;$B330,{'3) Release_Label'!$D:$D&amp;'3) Release_Label'!$E:$E,'3) Release_Label'!$H:$H},2,0),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E330" s="147" t="str">
        <f t="shared" si="1"/>
        <v/>
      </c>
      <c r="G330" s="97"/>
      <c r="H330" s="155"/>
      <c r="J330" s="92"/>
      <c r="K330" s="98"/>
      <c r="L330" s="92"/>
      <c r="N330" s="92"/>
      <c r="O330" s="92"/>
      <c r="P330" s="92"/>
    </row>
    <row r="331">
      <c r="A331" s="90"/>
      <c r="B331" s="97"/>
      <c r="C331" s="121" t="str">
        <f t="array" ref="C331">ifs(and(isblank($A331),isblank($B331)),"", not(iserror(vlookup($A331&amp;$B331,'3) Release_Label'!$D:$D&amp;'3) Release_Label'!$E:$E,1,0))),vlookup($A331&amp;$B331,{'3) Release_Label'!$D:$D&amp;'3) Release_Label'!$E:$E,'3) Release_Label'!$F:$F},2,0),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D331" s="121" t="str">
        <f t="array" ref="D331">ifs(and(isblank($A331),isblank($B331)),"", not(iserror(vlookup($A331&amp;$B331,'3) Release_Label'!$D:$D&amp;'3) Release_Label'!$E:$E,1,0))),vlookup($A331&amp;$B331,{'3) Release_Label'!$D:$D&amp;'3) Release_Label'!$E:$E,'3) Release_Label'!$H:$H},2,0),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E331" s="147" t="str">
        <f t="shared" si="1"/>
        <v/>
      </c>
      <c r="G331" s="97"/>
      <c r="H331" s="155"/>
      <c r="J331" s="92"/>
      <c r="K331" s="98"/>
      <c r="L331" s="92"/>
      <c r="N331" s="92"/>
      <c r="O331" s="92"/>
      <c r="P331" s="92"/>
    </row>
    <row r="332">
      <c r="A332" s="90"/>
      <c r="B332" s="97"/>
      <c r="C332" s="121" t="str">
        <f t="array" ref="C332">ifs(and(isblank($A332),isblank($B332)),"", not(iserror(vlookup($A332&amp;$B332,'3) Release_Label'!$D:$D&amp;'3) Release_Label'!$E:$E,1,0))),vlookup($A332&amp;$B332,{'3) Release_Label'!$D:$D&amp;'3) Release_Label'!$E:$E,'3) Release_Label'!$F:$F},2,0),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D332" s="121" t="str">
        <f t="array" ref="D332">ifs(and(isblank($A332),isblank($B332)),"", not(iserror(vlookup($A332&amp;$B332,'3) Release_Label'!$D:$D&amp;'3) Release_Label'!$E:$E,1,0))),vlookup($A332&amp;$B332,{'3) Release_Label'!$D:$D&amp;'3) Release_Label'!$E:$E,'3) Release_Label'!$H:$H},2,0),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E332" s="147" t="str">
        <f t="shared" si="1"/>
        <v/>
      </c>
      <c r="G332" s="97"/>
      <c r="H332" s="155"/>
      <c r="J332" s="92"/>
      <c r="K332" s="98"/>
      <c r="L332" s="92"/>
      <c r="N332" s="92"/>
      <c r="O332" s="92"/>
      <c r="P332" s="92"/>
    </row>
    <row r="333">
      <c r="A333" s="90"/>
      <c r="B333" s="97"/>
      <c r="C333" s="121" t="str">
        <f t="array" ref="C333">ifs(and(isblank($A333),isblank($B333)),"", not(iserror(vlookup($A333&amp;$B333,'3) Release_Label'!$D:$D&amp;'3) Release_Label'!$E:$E,1,0))),vlookup($A333&amp;$B333,{'3) Release_Label'!$D:$D&amp;'3) Release_Label'!$E:$E,'3) Release_Label'!$F:$F},2,0),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D333" s="121" t="str">
        <f t="array" ref="D333">ifs(and(isblank($A333),isblank($B333)),"", not(iserror(vlookup($A333&amp;$B333,'3) Release_Label'!$D:$D&amp;'3) Release_Label'!$E:$E,1,0))),vlookup($A333&amp;$B333,{'3) Release_Label'!$D:$D&amp;'3) Release_Label'!$E:$E,'3) Release_Label'!$H:$H},2,0),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E333" s="147" t="str">
        <f t="shared" si="1"/>
        <v/>
      </c>
      <c r="G333" s="97"/>
      <c r="H333" s="155"/>
      <c r="J333" s="92"/>
      <c r="K333" s="98"/>
      <c r="L333" s="92"/>
      <c r="N333" s="92"/>
      <c r="O333" s="92"/>
      <c r="P333" s="92"/>
    </row>
    <row r="334">
      <c r="A334" s="90"/>
      <c r="B334" s="97"/>
      <c r="C334" s="121" t="str">
        <f t="array" ref="C334">ifs(and(isblank($A334),isblank($B334)),"", not(iserror(vlookup($A334&amp;$B334,'3) Release_Label'!$D:$D&amp;'3) Release_Label'!$E:$E,1,0))),vlookup($A334&amp;$B334,{'3) Release_Label'!$D:$D&amp;'3) Release_Label'!$E:$E,'3) Release_Label'!$F:$F},2,0),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D334" s="121" t="str">
        <f t="array" ref="D334">ifs(and(isblank($A334),isblank($B334)),"", not(iserror(vlookup($A334&amp;$B334,'3) Release_Label'!$D:$D&amp;'3) Release_Label'!$E:$E,1,0))),vlookup($A334&amp;$B334,{'3) Release_Label'!$D:$D&amp;'3) Release_Label'!$E:$E,'3) Release_Label'!$H:$H},2,0),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E334" s="147" t="str">
        <f t="shared" si="1"/>
        <v/>
      </c>
      <c r="G334" s="97"/>
      <c r="H334" s="155"/>
      <c r="J334" s="92"/>
      <c r="K334" s="98"/>
      <c r="L334" s="92"/>
      <c r="N334" s="92"/>
      <c r="O334" s="92"/>
      <c r="P334" s="92"/>
    </row>
    <row r="335">
      <c r="A335" s="90"/>
      <c r="B335" s="97"/>
      <c r="C335" s="121" t="str">
        <f t="array" ref="C335">ifs(and(isblank($A335),isblank($B335)),"", not(iserror(vlookup($A335&amp;$B335,'3) Release_Label'!$D:$D&amp;'3) Release_Label'!$E:$E,1,0))),vlookup($A335&amp;$B335,{'3) Release_Label'!$D:$D&amp;'3) Release_Label'!$E:$E,'3) Release_Label'!$F:$F},2,0),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D335" s="121" t="str">
        <f t="array" ref="D335">ifs(and(isblank($A335),isblank($B335)),"", not(iserror(vlookup($A335&amp;$B335,'3) Release_Label'!$D:$D&amp;'3) Release_Label'!$E:$E,1,0))),vlookup($A335&amp;$B335,{'3) Release_Label'!$D:$D&amp;'3) Release_Label'!$E:$E,'3) Release_Label'!$H:$H},2,0),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E335" s="147" t="str">
        <f t="shared" si="1"/>
        <v/>
      </c>
      <c r="G335" s="97"/>
      <c r="H335" s="155"/>
      <c r="J335" s="92"/>
      <c r="K335" s="98"/>
      <c r="L335" s="92"/>
      <c r="N335" s="92"/>
      <c r="O335" s="92"/>
      <c r="P335" s="92"/>
    </row>
    <row r="336">
      <c r="A336" s="90"/>
      <c r="B336" s="97"/>
      <c r="C336" s="121" t="str">
        <f t="array" ref="C336">ifs(and(isblank($A336),isblank($B336)),"", not(iserror(vlookup($A336&amp;$B336,'3) Release_Label'!$D:$D&amp;'3) Release_Label'!$E:$E,1,0))),vlookup($A336&amp;$B336,{'3) Release_Label'!$D:$D&amp;'3) Release_Label'!$E:$E,'3) Release_Label'!$F:$F},2,0),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D336" s="121" t="str">
        <f t="array" ref="D336">ifs(and(isblank($A336),isblank($B336)),"", not(iserror(vlookup($A336&amp;$B336,'3) Release_Label'!$D:$D&amp;'3) Release_Label'!$E:$E,1,0))),vlookup($A336&amp;$B336,{'3) Release_Label'!$D:$D&amp;'3) Release_Label'!$E:$E,'3) Release_Label'!$H:$H},2,0),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E336" s="147" t="str">
        <f t="shared" si="1"/>
        <v/>
      </c>
      <c r="G336" s="97"/>
      <c r="H336" s="155"/>
      <c r="J336" s="92"/>
      <c r="K336" s="98"/>
      <c r="L336" s="92"/>
      <c r="N336" s="92"/>
      <c r="O336" s="92"/>
      <c r="P336" s="92"/>
    </row>
    <row r="337">
      <c r="A337" s="90"/>
      <c r="B337" s="97"/>
      <c r="C337" s="121" t="str">
        <f t="array" ref="C337">ifs(and(isblank($A337),isblank($B337)),"", not(iserror(vlookup($A337&amp;$B337,'3) Release_Label'!$D:$D&amp;'3) Release_Label'!$E:$E,1,0))),vlookup($A337&amp;$B337,{'3) Release_Label'!$D:$D&amp;'3) Release_Label'!$E:$E,'3) Release_Label'!$F:$F},2,0),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D337" s="121" t="str">
        <f t="array" ref="D337">ifs(and(isblank($A337),isblank($B337)),"", not(iserror(vlookup($A337&amp;$B337,'3) Release_Label'!$D:$D&amp;'3) Release_Label'!$E:$E,1,0))),vlookup($A337&amp;$B337,{'3) Release_Label'!$D:$D&amp;'3) Release_Label'!$E:$E,'3) Release_Label'!$H:$H},2,0),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E337" s="147" t="str">
        <f t="shared" si="1"/>
        <v/>
      </c>
      <c r="G337" s="97"/>
      <c r="H337" s="155"/>
      <c r="J337" s="92"/>
      <c r="K337" s="98"/>
      <c r="L337" s="92"/>
      <c r="N337" s="92"/>
      <c r="O337" s="92"/>
      <c r="P337" s="92"/>
    </row>
    <row r="338">
      <c r="A338" s="90"/>
      <c r="B338" s="97"/>
      <c r="C338" s="121" t="str">
        <f t="array" ref="C338">ifs(and(isblank($A338),isblank($B338)),"", not(iserror(vlookup($A338&amp;$B338,'3) Release_Label'!$D:$D&amp;'3) Release_Label'!$E:$E,1,0))),vlookup($A338&amp;$B338,{'3) Release_Label'!$D:$D&amp;'3) Release_Label'!$E:$E,'3) Release_Label'!$F:$F},2,0),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D338" s="121" t="str">
        <f t="array" ref="D338">ifs(and(isblank($A338),isblank($B338)),"", not(iserror(vlookup($A338&amp;$B338,'3) Release_Label'!$D:$D&amp;'3) Release_Label'!$E:$E,1,0))),vlookup($A338&amp;$B338,{'3) Release_Label'!$D:$D&amp;'3) Release_Label'!$E:$E,'3) Release_Label'!$H:$H},2,0),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E338" s="147" t="str">
        <f t="shared" si="1"/>
        <v/>
      </c>
      <c r="G338" s="97"/>
      <c r="H338" s="155"/>
      <c r="J338" s="92"/>
      <c r="K338" s="98"/>
      <c r="L338" s="92"/>
      <c r="N338" s="92"/>
      <c r="O338" s="92"/>
      <c r="P338" s="92"/>
    </row>
    <row r="339">
      <c r="A339" s="90"/>
      <c r="B339" s="97"/>
      <c r="C339" s="121" t="str">
        <f t="array" ref="C339">ifs(and(isblank($A339),isblank($B339)),"", not(iserror(vlookup($A339&amp;$B339,'3) Release_Label'!$D:$D&amp;'3) Release_Label'!$E:$E,1,0))),vlookup($A339&amp;$B339,{'3) Release_Label'!$D:$D&amp;'3) Release_Label'!$E:$E,'3) Release_Label'!$F:$F},2,0),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D339" s="121" t="str">
        <f t="array" ref="D339">ifs(and(isblank($A339),isblank($B339)),"", not(iserror(vlookup($A339&amp;$B339,'3) Release_Label'!$D:$D&amp;'3) Release_Label'!$E:$E,1,0))),vlookup($A339&amp;$B339,{'3) Release_Label'!$D:$D&amp;'3) Release_Label'!$E:$E,'3) Release_Label'!$H:$H},2,0),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E339" s="147" t="str">
        <f t="shared" si="1"/>
        <v/>
      </c>
      <c r="G339" s="97"/>
      <c r="H339" s="155"/>
      <c r="J339" s="92"/>
      <c r="K339" s="98"/>
      <c r="L339" s="92"/>
      <c r="N339" s="92"/>
      <c r="O339" s="92"/>
      <c r="P339" s="92"/>
    </row>
    <row r="340">
      <c r="A340" s="90"/>
      <c r="B340" s="97"/>
      <c r="C340" s="121" t="str">
        <f t="array" ref="C340">ifs(and(isblank($A340),isblank($B340)),"", not(iserror(vlookup($A340&amp;$B340,'3) Release_Label'!$D:$D&amp;'3) Release_Label'!$E:$E,1,0))),vlookup($A340&amp;$B340,{'3) Release_Label'!$D:$D&amp;'3) Release_Label'!$E:$E,'3) Release_Label'!$F:$F},2,0),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D340" s="121" t="str">
        <f t="array" ref="D340">ifs(and(isblank($A340),isblank($B340)),"", not(iserror(vlookup($A340&amp;$B340,'3) Release_Label'!$D:$D&amp;'3) Release_Label'!$E:$E,1,0))),vlookup($A340&amp;$B340,{'3) Release_Label'!$D:$D&amp;'3) Release_Label'!$E:$E,'3) Release_Label'!$H:$H},2,0),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E340" s="147" t="str">
        <f t="shared" si="1"/>
        <v/>
      </c>
      <c r="G340" s="97"/>
      <c r="H340" s="155"/>
      <c r="J340" s="92"/>
      <c r="K340" s="98"/>
      <c r="L340" s="92"/>
      <c r="N340" s="92"/>
      <c r="O340" s="92"/>
      <c r="P340" s="92"/>
    </row>
    <row r="341">
      <c r="A341" s="90"/>
      <c r="B341" s="97"/>
      <c r="C341" s="121" t="str">
        <f t="array" ref="C341">ifs(and(isblank($A341),isblank($B341)),"", not(iserror(vlookup($A341&amp;$B341,'3) Release_Label'!$D:$D&amp;'3) Release_Label'!$E:$E,1,0))),vlookup($A341&amp;$B341,{'3) Release_Label'!$D:$D&amp;'3) Release_Label'!$E:$E,'3) Release_Label'!$F:$F},2,0),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D341" s="121" t="str">
        <f t="array" ref="D341">ifs(and(isblank($A341),isblank($B341)),"", not(iserror(vlookup($A341&amp;$B341,'3) Release_Label'!$D:$D&amp;'3) Release_Label'!$E:$E,1,0))),vlookup($A341&amp;$B341,{'3) Release_Label'!$D:$D&amp;'3) Release_Label'!$E:$E,'3) Release_Label'!$H:$H},2,0),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E341" s="147" t="str">
        <f t="shared" si="1"/>
        <v/>
      </c>
      <c r="G341" s="97"/>
      <c r="H341" s="155"/>
      <c r="J341" s="92"/>
      <c r="K341" s="98"/>
      <c r="L341" s="92"/>
      <c r="N341" s="92"/>
      <c r="O341" s="92"/>
      <c r="P341" s="92"/>
    </row>
    <row r="342">
      <c r="A342" s="90"/>
      <c r="B342" s="97"/>
      <c r="C342" s="121" t="str">
        <f t="array" ref="C342">ifs(and(isblank($A342),isblank($B342)),"", not(iserror(vlookup($A342&amp;$B342,'3) Release_Label'!$D:$D&amp;'3) Release_Label'!$E:$E,1,0))),vlookup($A342&amp;$B342,{'3) Release_Label'!$D:$D&amp;'3) Release_Label'!$E:$E,'3) Release_Label'!$F:$F},2,0),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D342" s="121" t="str">
        <f t="array" ref="D342">ifs(and(isblank($A342),isblank($B342)),"", not(iserror(vlookup($A342&amp;$B342,'3) Release_Label'!$D:$D&amp;'3) Release_Label'!$E:$E,1,0))),vlookup($A342&amp;$B342,{'3) Release_Label'!$D:$D&amp;'3) Release_Label'!$E:$E,'3) Release_Label'!$H:$H},2,0),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E342" s="147" t="str">
        <f t="shared" si="1"/>
        <v/>
      </c>
      <c r="G342" s="97"/>
      <c r="H342" s="155"/>
      <c r="J342" s="92"/>
      <c r="K342" s="98"/>
      <c r="L342" s="92"/>
      <c r="N342" s="92"/>
      <c r="O342" s="92"/>
      <c r="P342" s="92"/>
    </row>
    <row r="343">
      <c r="A343" s="90"/>
      <c r="B343" s="97"/>
      <c r="C343" s="121" t="str">
        <f t="array" ref="C343">ifs(and(isblank($A343),isblank($B343)),"", not(iserror(vlookup($A343&amp;$B343,'3) Release_Label'!$D:$D&amp;'3) Release_Label'!$E:$E,1,0))),vlookup($A343&amp;$B343,{'3) Release_Label'!$D:$D&amp;'3) Release_Label'!$E:$E,'3) Release_Label'!$F:$F},2,0),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D343" s="121" t="str">
        <f t="array" ref="D343">ifs(and(isblank($A343),isblank($B343)),"", not(iserror(vlookup($A343&amp;$B343,'3) Release_Label'!$D:$D&amp;'3) Release_Label'!$E:$E,1,0))),vlookup($A343&amp;$B343,{'3) Release_Label'!$D:$D&amp;'3) Release_Label'!$E:$E,'3) Release_Label'!$H:$H},2,0),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E343" s="147" t="str">
        <f t="shared" si="1"/>
        <v/>
      </c>
      <c r="G343" s="97"/>
      <c r="H343" s="155"/>
      <c r="J343" s="92"/>
      <c r="K343" s="98"/>
      <c r="L343" s="92"/>
      <c r="N343" s="92"/>
      <c r="O343" s="92"/>
      <c r="P343" s="92"/>
    </row>
    <row r="344">
      <c r="A344" s="90"/>
      <c r="B344" s="97"/>
      <c r="C344" s="121" t="str">
        <f t="array" ref="C344">ifs(and(isblank($A344),isblank($B344)),"", not(iserror(vlookup($A344&amp;$B344,'3) Release_Label'!$D:$D&amp;'3) Release_Label'!$E:$E,1,0))),vlookup($A344&amp;$B344,{'3) Release_Label'!$D:$D&amp;'3) Release_Label'!$E:$E,'3) Release_Label'!$F:$F},2,0),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D344" s="121" t="str">
        <f t="array" ref="D344">ifs(and(isblank($A344),isblank($B344)),"", not(iserror(vlookup($A344&amp;$B344,'3) Release_Label'!$D:$D&amp;'3) Release_Label'!$E:$E,1,0))),vlookup($A344&amp;$B344,{'3) Release_Label'!$D:$D&amp;'3) Release_Label'!$E:$E,'3) Release_Label'!$H:$H},2,0),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E344" s="147" t="str">
        <f t="shared" si="1"/>
        <v/>
      </c>
      <c r="G344" s="97"/>
      <c r="H344" s="155"/>
      <c r="J344" s="92"/>
      <c r="K344" s="98"/>
      <c r="L344" s="92"/>
      <c r="N344" s="92"/>
      <c r="O344" s="92"/>
      <c r="P344" s="92"/>
    </row>
    <row r="345">
      <c r="A345" s="90"/>
      <c r="B345" s="97"/>
      <c r="C345" s="121" t="str">
        <f t="array" ref="C345">ifs(and(isblank($A345),isblank($B345)),"", not(iserror(vlookup($A345&amp;$B345,'3) Release_Label'!$D:$D&amp;'3) Release_Label'!$E:$E,1,0))),vlookup($A345&amp;$B345,{'3) Release_Label'!$D:$D&amp;'3) Release_Label'!$E:$E,'3) Release_Label'!$F:$F},2,0),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D345" s="121" t="str">
        <f t="array" ref="D345">ifs(and(isblank($A345),isblank($B345)),"", not(iserror(vlookup($A345&amp;$B345,'3) Release_Label'!$D:$D&amp;'3) Release_Label'!$E:$E,1,0))),vlookup($A345&amp;$B345,{'3) Release_Label'!$D:$D&amp;'3) Release_Label'!$E:$E,'3) Release_Label'!$H:$H},2,0),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E345" s="147" t="str">
        <f t="shared" si="1"/>
        <v/>
      </c>
      <c r="G345" s="97"/>
      <c r="H345" s="155"/>
      <c r="J345" s="92"/>
      <c r="K345" s="98"/>
      <c r="L345" s="92"/>
      <c r="N345" s="92"/>
      <c r="O345" s="92"/>
      <c r="P345" s="92"/>
    </row>
    <row r="346">
      <c r="A346" s="90"/>
      <c r="B346" s="97"/>
      <c r="C346" s="121" t="str">
        <f t="array" ref="C346">ifs(and(isblank($A346),isblank($B346)),"", not(iserror(vlookup($A346&amp;$B346,'3) Release_Label'!$D:$D&amp;'3) Release_Label'!$E:$E,1,0))),vlookup($A346&amp;$B346,{'3) Release_Label'!$D:$D&amp;'3) Release_Label'!$E:$E,'3) Release_Label'!$F:$F},2,0),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D346" s="121" t="str">
        <f t="array" ref="D346">ifs(and(isblank($A346),isblank($B346)),"", not(iserror(vlookup($A346&amp;$B346,'3) Release_Label'!$D:$D&amp;'3) Release_Label'!$E:$E,1,0))),vlookup($A346&amp;$B346,{'3) Release_Label'!$D:$D&amp;'3) Release_Label'!$E:$E,'3) Release_Label'!$H:$H},2,0),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E346" s="147" t="str">
        <f t="shared" si="1"/>
        <v/>
      </c>
      <c r="G346" s="97"/>
      <c r="H346" s="155"/>
      <c r="J346" s="92"/>
      <c r="K346" s="98"/>
      <c r="L346" s="92"/>
      <c r="N346" s="92"/>
      <c r="O346" s="92"/>
      <c r="P346" s="92"/>
    </row>
    <row r="347">
      <c r="A347" s="90"/>
      <c r="B347" s="97"/>
      <c r="C347" s="121" t="str">
        <f t="array" ref="C347">ifs(and(isblank($A347),isblank($B347)),"", not(iserror(vlookup($A347&amp;$B347,'3) Release_Label'!$D:$D&amp;'3) Release_Label'!$E:$E,1,0))),vlookup($A347&amp;$B347,{'3) Release_Label'!$D:$D&amp;'3) Release_Label'!$E:$E,'3) Release_Label'!$F:$F},2,0),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D347" s="121" t="str">
        <f t="array" ref="D347">ifs(and(isblank($A347),isblank($B347)),"", not(iserror(vlookup($A347&amp;$B347,'3) Release_Label'!$D:$D&amp;'3) Release_Label'!$E:$E,1,0))),vlookup($A347&amp;$B347,{'3) Release_Label'!$D:$D&amp;'3) Release_Label'!$E:$E,'3) Release_Label'!$H:$H},2,0),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E347" s="147" t="str">
        <f t="shared" si="1"/>
        <v/>
      </c>
      <c r="G347" s="97"/>
      <c r="H347" s="155"/>
      <c r="J347" s="92"/>
      <c r="K347" s="98"/>
      <c r="L347" s="92"/>
      <c r="N347" s="92"/>
      <c r="O347" s="92"/>
      <c r="P347" s="92"/>
    </row>
    <row r="348">
      <c r="A348" s="90"/>
      <c r="B348" s="97"/>
      <c r="C348" s="121" t="str">
        <f t="array" ref="C348">ifs(and(isblank($A348),isblank($B348)),"", not(iserror(vlookup($A348&amp;$B348,'3) Release_Label'!$D:$D&amp;'3) Release_Label'!$E:$E,1,0))),vlookup($A348&amp;$B348,{'3) Release_Label'!$D:$D&amp;'3) Release_Label'!$E:$E,'3) Release_Label'!$F:$F},2,0),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D348" s="121" t="str">
        <f t="array" ref="D348">ifs(and(isblank($A348),isblank($B348)),"", not(iserror(vlookup($A348&amp;$B348,'3) Release_Label'!$D:$D&amp;'3) Release_Label'!$E:$E,1,0))),vlookup($A348&amp;$B348,{'3) Release_Label'!$D:$D&amp;'3) Release_Label'!$E:$E,'3) Release_Label'!$H:$H},2,0),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E348" s="147" t="str">
        <f t="shared" si="1"/>
        <v/>
      </c>
      <c r="G348" s="97"/>
      <c r="H348" s="155"/>
      <c r="J348" s="92"/>
      <c r="K348" s="98"/>
      <c r="L348" s="92"/>
      <c r="N348" s="92"/>
      <c r="O348" s="92"/>
      <c r="P348" s="92"/>
    </row>
    <row r="349">
      <c r="A349" s="90"/>
      <c r="B349" s="97"/>
      <c r="C349" s="121" t="str">
        <f t="array" ref="C349">ifs(and(isblank($A349),isblank($B349)),"", not(iserror(vlookup($A349&amp;$B349,'3) Release_Label'!$D:$D&amp;'3) Release_Label'!$E:$E,1,0))),vlookup($A349&amp;$B349,{'3) Release_Label'!$D:$D&amp;'3) Release_Label'!$E:$E,'3) Release_Label'!$F:$F},2,0),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D349" s="121" t="str">
        <f t="array" ref="D349">ifs(and(isblank($A349),isblank($B349)),"", not(iserror(vlookup($A349&amp;$B349,'3) Release_Label'!$D:$D&amp;'3) Release_Label'!$E:$E,1,0))),vlookup($A349&amp;$B349,{'3) Release_Label'!$D:$D&amp;'3) Release_Label'!$E:$E,'3) Release_Label'!$H:$H},2,0),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E349" s="147" t="str">
        <f t="shared" si="1"/>
        <v/>
      </c>
      <c r="G349" s="97"/>
      <c r="H349" s="155"/>
      <c r="J349" s="92"/>
      <c r="K349" s="98"/>
      <c r="L349" s="92"/>
      <c r="N349" s="92"/>
      <c r="O349" s="92"/>
      <c r="P349" s="92"/>
    </row>
    <row r="350">
      <c r="A350" s="90"/>
      <c r="B350" s="97"/>
      <c r="C350" s="121" t="str">
        <f t="array" ref="C350">ifs(and(isblank($A350),isblank($B350)),"", not(iserror(vlookup($A350&amp;$B350,'3) Release_Label'!$D:$D&amp;'3) Release_Label'!$E:$E,1,0))),vlookup($A350&amp;$B350,{'3) Release_Label'!$D:$D&amp;'3) Release_Label'!$E:$E,'3) Release_Label'!$F:$F},2,0),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D350" s="121" t="str">
        <f t="array" ref="D350">ifs(and(isblank($A350),isblank($B350)),"", not(iserror(vlookup($A350&amp;$B350,'3) Release_Label'!$D:$D&amp;'3) Release_Label'!$E:$E,1,0))),vlookup($A350&amp;$B350,{'3) Release_Label'!$D:$D&amp;'3) Release_Label'!$E:$E,'3) Release_Label'!$H:$H},2,0),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E350" s="147" t="str">
        <f t="shared" si="1"/>
        <v/>
      </c>
      <c r="G350" s="97"/>
      <c r="H350" s="155"/>
      <c r="J350" s="92"/>
      <c r="K350" s="98"/>
      <c r="L350" s="92"/>
      <c r="N350" s="92"/>
      <c r="O350" s="92"/>
      <c r="P350" s="92"/>
    </row>
    <row r="351">
      <c r="A351" s="90"/>
      <c r="B351" s="97"/>
      <c r="C351" s="121" t="str">
        <f t="array" ref="C351">ifs(and(isblank($A351),isblank($B351)),"", not(iserror(vlookup($A351&amp;$B351,'3) Release_Label'!$D:$D&amp;'3) Release_Label'!$E:$E,1,0))),vlookup($A351&amp;$B351,{'3) Release_Label'!$D:$D&amp;'3) Release_Label'!$E:$E,'3) Release_Label'!$F:$F},2,0),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D351" s="121" t="str">
        <f t="array" ref="D351">ifs(and(isblank($A351),isblank($B351)),"", not(iserror(vlookup($A351&amp;$B351,'3) Release_Label'!$D:$D&amp;'3) Release_Label'!$E:$E,1,0))),vlookup($A351&amp;$B351,{'3) Release_Label'!$D:$D&amp;'3) Release_Label'!$E:$E,'3) Release_Label'!$H:$H},2,0),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E351" s="147" t="str">
        <f t="shared" si="1"/>
        <v/>
      </c>
      <c r="G351" s="97"/>
      <c r="H351" s="155"/>
      <c r="J351" s="92"/>
      <c r="K351" s="98"/>
      <c r="L351" s="92"/>
      <c r="N351" s="92"/>
      <c r="O351" s="92"/>
      <c r="P351" s="92"/>
    </row>
    <row r="352">
      <c r="A352" s="90"/>
      <c r="B352" s="97"/>
      <c r="C352" s="121" t="str">
        <f t="array" ref="C352">ifs(and(isblank($A352),isblank($B352)),"", not(iserror(vlookup($A352&amp;$B352,'3) Release_Label'!$D:$D&amp;'3) Release_Label'!$E:$E,1,0))),vlookup($A352&amp;$B352,{'3) Release_Label'!$D:$D&amp;'3) Release_Label'!$E:$E,'3) Release_Label'!$F:$F},2,0),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D352" s="121" t="str">
        <f t="array" ref="D352">ifs(and(isblank($A352),isblank($B352)),"", not(iserror(vlookup($A352&amp;$B352,'3) Release_Label'!$D:$D&amp;'3) Release_Label'!$E:$E,1,0))),vlookup($A352&amp;$B352,{'3) Release_Label'!$D:$D&amp;'3) Release_Label'!$E:$E,'3) Release_Label'!$H:$H},2,0),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E352" s="147" t="str">
        <f t="shared" si="1"/>
        <v/>
      </c>
      <c r="G352" s="97"/>
      <c r="H352" s="155"/>
      <c r="J352" s="92"/>
      <c r="K352" s="98"/>
      <c r="L352" s="92"/>
      <c r="N352" s="92"/>
      <c r="O352" s="92"/>
      <c r="P352" s="92"/>
    </row>
    <row r="353">
      <c r="A353" s="90"/>
      <c r="B353" s="97"/>
      <c r="C353" s="121" t="str">
        <f t="array" ref="C353">ifs(and(isblank($A353),isblank($B353)),"", not(iserror(vlookup($A353&amp;$B353,'3) Release_Label'!$D:$D&amp;'3) Release_Label'!$E:$E,1,0))),vlookup($A353&amp;$B353,{'3) Release_Label'!$D:$D&amp;'3) Release_Label'!$E:$E,'3) Release_Label'!$F:$F},2,0),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D353" s="121" t="str">
        <f t="array" ref="D353">ifs(and(isblank($A353),isblank($B353)),"", not(iserror(vlookup($A353&amp;$B353,'3) Release_Label'!$D:$D&amp;'3) Release_Label'!$E:$E,1,0))),vlookup($A353&amp;$B353,{'3) Release_Label'!$D:$D&amp;'3) Release_Label'!$E:$E,'3) Release_Label'!$H:$H},2,0),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E353" s="147" t="str">
        <f t="shared" si="1"/>
        <v/>
      </c>
      <c r="G353" s="97"/>
      <c r="H353" s="155"/>
      <c r="J353" s="92"/>
      <c r="K353" s="98"/>
      <c r="L353" s="92"/>
      <c r="N353" s="92"/>
      <c r="O353" s="92"/>
      <c r="P353" s="92"/>
    </row>
    <row r="354">
      <c r="A354" s="90"/>
      <c r="B354" s="97"/>
      <c r="C354" s="121" t="str">
        <f t="array" ref="C354">ifs(and(isblank($A354),isblank($B354)),"", not(iserror(vlookup($A354&amp;$B354,'3) Release_Label'!$D:$D&amp;'3) Release_Label'!$E:$E,1,0))),vlookup($A354&amp;$B354,{'3) Release_Label'!$D:$D&amp;'3) Release_Label'!$E:$E,'3) Release_Label'!$F:$F},2,0),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D354" s="121" t="str">
        <f t="array" ref="D354">ifs(and(isblank($A354),isblank($B354)),"", not(iserror(vlookup($A354&amp;$B354,'3) Release_Label'!$D:$D&amp;'3) Release_Label'!$E:$E,1,0))),vlookup($A354&amp;$B354,{'3) Release_Label'!$D:$D&amp;'3) Release_Label'!$E:$E,'3) Release_Label'!$H:$H},2,0),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E354" s="147" t="str">
        <f t="shared" si="1"/>
        <v/>
      </c>
      <c r="G354" s="97"/>
      <c r="H354" s="155"/>
      <c r="J354" s="92"/>
      <c r="K354" s="98"/>
      <c r="L354" s="92"/>
      <c r="N354" s="92"/>
      <c r="O354" s="92"/>
      <c r="P354" s="92"/>
    </row>
    <row r="355">
      <c r="A355" s="90"/>
      <c r="B355" s="97"/>
      <c r="C355" s="121" t="str">
        <f t="array" ref="C355">ifs(and(isblank($A355),isblank($B355)),"", not(iserror(vlookup($A355&amp;$B355,'3) Release_Label'!$D:$D&amp;'3) Release_Label'!$E:$E,1,0))),vlookup($A355&amp;$B355,{'3) Release_Label'!$D:$D&amp;'3) Release_Label'!$E:$E,'3) Release_Label'!$F:$F},2,0),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D355" s="121" t="str">
        <f t="array" ref="D355">ifs(and(isblank($A355),isblank($B355)),"", not(iserror(vlookup($A355&amp;$B355,'3) Release_Label'!$D:$D&amp;'3) Release_Label'!$E:$E,1,0))),vlookup($A355&amp;$B355,{'3) Release_Label'!$D:$D&amp;'3) Release_Label'!$E:$E,'3) Release_Label'!$H:$H},2,0),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E355" s="147" t="str">
        <f t="shared" si="1"/>
        <v/>
      </c>
      <c r="G355" s="97"/>
      <c r="H355" s="155"/>
      <c r="J355" s="92"/>
      <c r="K355" s="98"/>
      <c r="L355" s="92"/>
      <c r="N355" s="92"/>
      <c r="O355" s="92"/>
      <c r="P355" s="92"/>
    </row>
    <row r="356">
      <c r="A356" s="90"/>
      <c r="B356" s="97"/>
      <c r="C356" s="121" t="str">
        <f t="array" ref="C356">ifs(and(isblank($A356),isblank($B356)),"", not(iserror(vlookup($A356&amp;$B356,'3) Release_Label'!$D:$D&amp;'3) Release_Label'!$E:$E,1,0))),vlookup($A356&amp;$B356,{'3) Release_Label'!$D:$D&amp;'3) Release_Label'!$E:$E,'3) Release_Label'!$F:$F},2,0),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D356" s="121" t="str">
        <f t="array" ref="D356">ifs(and(isblank($A356),isblank($B356)),"", not(iserror(vlookup($A356&amp;$B356,'3) Release_Label'!$D:$D&amp;'3) Release_Label'!$E:$E,1,0))),vlookup($A356&amp;$B356,{'3) Release_Label'!$D:$D&amp;'3) Release_Label'!$E:$E,'3) Release_Label'!$H:$H},2,0),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E356" s="147" t="str">
        <f t="shared" si="1"/>
        <v/>
      </c>
      <c r="G356" s="97"/>
      <c r="H356" s="155"/>
      <c r="J356" s="92"/>
      <c r="K356" s="98"/>
      <c r="L356" s="92"/>
      <c r="N356" s="92"/>
      <c r="O356" s="92"/>
      <c r="P356" s="92"/>
    </row>
    <row r="357">
      <c r="A357" s="90"/>
      <c r="B357" s="97"/>
      <c r="C357" s="121" t="str">
        <f t="array" ref="C357">ifs(and(isblank($A357),isblank($B357)),"", not(iserror(vlookup($A357&amp;$B357,'3) Release_Label'!$D:$D&amp;'3) Release_Label'!$E:$E,1,0))),vlookup($A357&amp;$B357,{'3) Release_Label'!$D:$D&amp;'3) Release_Label'!$E:$E,'3) Release_Label'!$F:$F},2,0),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D357" s="121" t="str">
        <f t="array" ref="D357">ifs(and(isblank($A357),isblank($B357)),"", not(iserror(vlookup($A357&amp;$B357,'3) Release_Label'!$D:$D&amp;'3) Release_Label'!$E:$E,1,0))),vlookup($A357&amp;$B357,{'3) Release_Label'!$D:$D&amp;'3) Release_Label'!$E:$E,'3) Release_Label'!$H:$H},2,0),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E357" s="147" t="str">
        <f t="shared" si="1"/>
        <v/>
      </c>
      <c r="G357" s="97"/>
      <c r="H357" s="155"/>
      <c r="J357" s="92"/>
      <c r="K357" s="98"/>
      <c r="L357" s="92"/>
      <c r="N357" s="92"/>
      <c r="O357" s="92"/>
      <c r="P357" s="92"/>
    </row>
    <row r="358">
      <c r="A358" s="90"/>
      <c r="B358" s="97"/>
      <c r="C358" s="121" t="str">
        <f t="array" ref="C358">ifs(and(isblank($A358),isblank($B358)),"", not(iserror(vlookup($A358&amp;$B358,'3) Release_Label'!$D:$D&amp;'3) Release_Label'!$E:$E,1,0))),vlookup($A358&amp;$B358,{'3) Release_Label'!$D:$D&amp;'3) Release_Label'!$E:$E,'3) Release_Label'!$F:$F},2,0),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D358" s="121" t="str">
        <f t="array" ref="D358">ifs(and(isblank($A358),isblank($B358)),"", not(iserror(vlookup($A358&amp;$B358,'3) Release_Label'!$D:$D&amp;'3) Release_Label'!$E:$E,1,0))),vlookup($A358&amp;$B358,{'3) Release_Label'!$D:$D&amp;'3) Release_Label'!$E:$E,'3) Release_Label'!$H:$H},2,0),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E358" s="147" t="str">
        <f t="shared" si="1"/>
        <v/>
      </c>
      <c r="G358" s="97"/>
      <c r="H358" s="155"/>
      <c r="J358" s="92"/>
      <c r="K358" s="98"/>
      <c r="L358" s="92"/>
      <c r="N358" s="92"/>
      <c r="O358" s="92"/>
      <c r="P358" s="92"/>
    </row>
    <row r="359">
      <c r="A359" s="90"/>
      <c r="B359" s="97"/>
      <c r="C359" s="121" t="str">
        <f t="array" ref="C359">ifs(and(isblank($A359),isblank($B359)),"", not(iserror(vlookup($A359&amp;$B359,'3) Release_Label'!$D:$D&amp;'3) Release_Label'!$E:$E,1,0))),vlookup($A359&amp;$B359,{'3) Release_Label'!$D:$D&amp;'3) Release_Label'!$E:$E,'3) Release_Label'!$F:$F},2,0),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D359" s="121" t="str">
        <f t="array" ref="D359">ifs(and(isblank($A359),isblank($B359)),"", not(iserror(vlookup($A359&amp;$B359,'3) Release_Label'!$D:$D&amp;'3) Release_Label'!$E:$E,1,0))),vlookup($A359&amp;$B359,{'3) Release_Label'!$D:$D&amp;'3) Release_Label'!$E:$E,'3) Release_Label'!$H:$H},2,0),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E359" s="147" t="str">
        <f t="shared" si="1"/>
        <v/>
      </c>
      <c r="G359" s="97"/>
      <c r="H359" s="155"/>
      <c r="J359" s="92"/>
      <c r="K359" s="98"/>
      <c r="L359" s="92"/>
      <c r="N359" s="92"/>
      <c r="O359" s="92"/>
      <c r="P359" s="92"/>
    </row>
    <row r="360">
      <c r="A360" s="90"/>
      <c r="B360" s="97"/>
      <c r="C360" s="121" t="str">
        <f t="array" ref="C360">ifs(and(isblank($A360),isblank($B360)),"", not(iserror(vlookup($A360&amp;$B360,'3) Release_Label'!$D:$D&amp;'3) Release_Label'!$E:$E,1,0))),vlookup($A360&amp;$B360,{'3) Release_Label'!$D:$D&amp;'3) Release_Label'!$E:$E,'3) Release_Label'!$F:$F},2,0),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D360" s="121" t="str">
        <f t="array" ref="D360">ifs(and(isblank($A360),isblank($B360)),"", not(iserror(vlookup($A360&amp;$B360,'3) Release_Label'!$D:$D&amp;'3) Release_Label'!$E:$E,1,0))),vlookup($A360&amp;$B360,{'3) Release_Label'!$D:$D&amp;'3) Release_Label'!$E:$E,'3) Release_Label'!$H:$H},2,0),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E360" s="147" t="str">
        <f t="shared" si="1"/>
        <v/>
      </c>
      <c r="G360" s="97"/>
      <c r="H360" s="155"/>
      <c r="J360" s="92"/>
      <c r="K360" s="98"/>
      <c r="L360" s="92"/>
      <c r="N360" s="92"/>
      <c r="O360" s="92"/>
      <c r="P360" s="92"/>
    </row>
    <row r="361">
      <c r="A361" s="90"/>
      <c r="B361" s="97"/>
      <c r="C361" s="121" t="str">
        <f t="array" ref="C361">ifs(and(isblank($A361),isblank($B361)),"", not(iserror(vlookup($A361&amp;$B361,'3) Release_Label'!$D:$D&amp;'3) Release_Label'!$E:$E,1,0))),vlookup($A361&amp;$B361,{'3) Release_Label'!$D:$D&amp;'3) Release_Label'!$E:$E,'3) Release_Label'!$F:$F},2,0),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D361" s="121" t="str">
        <f t="array" ref="D361">ifs(and(isblank($A361),isblank($B361)),"", not(iserror(vlookup($A361&amp;$B361,'3) Release_Label'!$D:$D&amp;'3) Release_Label'!$E:$E,1,0))),vlookup($A361&amp;$B361,{'3) Release_Label'!$D:$D&amp;'3) Release_Label'!$E:$E,'3) Release_Label'!$H:$H},2,0),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E361" s="147" t="str">
        <f t="shared" si="1"/>
        <v/>
      </c>
      <c r="G361" s="97"/>
      <c r="H361" s="155"/>
      <c r="J361" s="92"/>
      <c r="K361" s="98"/>
      <c r="L361" s="92"/>
      <c r="N361" s="92"/>
      <c r="O361" s="92"/>
      <c r="P361" s="92"/>
    </row>
    <row r="362">
      <c r="A362" s="90"/>
      <c r="B362" s="97"/>
      <c r="C362" s="121" t="str">
        <f t="array" ref="C362">ifs(and(isblank($A362),isblank($B362)),"", not(iserror(vlookup($A362&amp;$B362,'3) Release_Label'!$D:$D&amp;'3) Release_Label'!$E:$E,1,0))),vlookup($A362&amp;$B362,{'3) Release_Label'!$D:$D&amp;'3) Release_Label'!$E:$E,'3) Release_Label'!$F:$F},2,0),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D362" s="121" t="str">
        <f t="array" ref="D362">ifs(and(isblank($A362),isblank($B362)),"", not(iserror(vlookup($A362&amp;$B362,'3) Release_Label'!$D:$D&amp;'3) Release_Label'!$E:$E,1,0))),vlookup($A362&amp;$B362,{'3) Release_Label'!$D:$D&amp;'3) Release_Label'!$E:$E,'3) Release_Label'!$H:$H},2,0),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E362" s="147" t="str">
        <f t="shared" si="1"/>
        <v/>
      </c>
      <c r="G362" s="97"/>
      <c r="H362" s="155"/>
      <c r="J362" s="92"/>
      <c r="K362" s="98"/>
      <c r="L362" s="92"/>
      <c r="N362" s="92"/>
      <c r="O362" s="92"/>
      <c r="P362" s="92"/>
    </row>
    <row r="363">
      <c r="A363" s="90"/>
      <c r="B363" s="97"/>
      <c r="C363" s="121" t="str">
        <f t="array" ref="C363">ifs(and(isblank($A363),isblank($B363)),"", not(iserror(vlookup($A363&amp;$B363,'3) Release_Label'!$D:$D&amp;'3) Release_Label'!$E:$E,1,0))),vlookup($A363&amp;$B363,{'3) Release_Label'!$D:$D&amp;'3) Release_Label'!$E:$E,'3) Release_Label'!$F:$F},2,0),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D363" s="121" t="str">
        <f t="array" ref="D363">ifs(and(isblank($A363),isblank($B363)),"", not(iserror(vlookup($A363&amp;$B363,'3) Release_Label'!$D:$D&amp;'3) Release_Label'!$E:$E,1,0))),vlookup($A363&amp;$B363,{'3) Release_Label'!$D:$D&amp;'3) Release_Label'!$E:$E,'3) Release_Label'!$H:$H},2,0),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E363" s="147" t="str">
        <f t="shared" si="1"/>
        <v/>
      </c>
      <c r="G363" s="97"/>
      <c r="H363" s="155"/>
      <c r="J363" s="92"/>
      <c r="K363" s="98"/>
      <c r="L363" s="92"/>
      <c r="N363" s="92"/>
      <c r="O363" s="92"/>
      <c r="P363" s="92"/>
    </row>
    <row r="364">
      <c r="A364" s="90"/>
      <c r="B364" s="97"/>
      <c r="C364" s="121" t="str">
        <f t="array" ref="C364">ifs(and(isblank($A364),isblank($B364)),"", not(iserror(vlookup($A364&amp;$B364,'3) Release_Label'!$D:$D&amp;'3) Release_Label'!$E:$E,1,0))),vlookup($A364&amp;$B364,{'3) Release_Label'!$D:$D&amp;'3) Release_Label'!$E:$E,'3) Release_Label'!$F:$F},2,0),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D364" s="121" t="str">
        <f t="array" ref="D364">ifs(and(isblank($A364),isblank($B364)),"", not(iserror(vlookup($A364&amp;$B364,'3) Release_Label'!$D:$D&amp;'3) Release_Label'!$E:$E,1,0))),vlookup($A364&amp;$B364,{'3) Release_Label'!$D:$D&amp;'3) Release_Label'!$E:$E,'3) Release_Label'!$H:$H},2,0),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E364" s="147" t="str">
        <f t="shared" si="1"/>
        <v/>
      </c>
      <c r="G364" s="97"/>
      <c r="H364" s="155"/>
      <c r="J364" s="92"/>
      <c r="K364" s="98"/>
      <c r="L364" s="92"/>
      <c r="N364" s="92"/>
      <c r="O364" s="92"/>
      <c r="P364" s="92"/>
    </row>
    <row r="365">
      <c r="A365" s="90"/>
      <c r="B365" s="97"/>
      <c r="C365" s="121" t="str">
        <f t="array" ref="C365">ifs(and(isblank($A365),isblank($B365)),"", not(iserror(vlookup($A365&amp;$B365,'3) Release_Label'!$D:$D&amp;'3) Release_Label'!$E:$E,1,0))),vlookup($A365&amp;$B365,{'3) Release_Label'!$D:$D&amp;'3) Release_Label'!$E:$E,'3) Release_Label'!$F:$F},2,0),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D365" s="121" t="str">
        <f t="array" ref="D365">ifs(and(isblank($A365),isblank($B365)),"", not(iserror(vlookup($A365&amp;$B365,'3) Release_Label'!$D:$D&amp;'3) Release_Label'!$E:$E,1,0))),vlookup($A365&amp;$B365,{'3) Release_Label'!$D:$D&amp;'3) Release_Label'!$E:$E,'3) Release_Label'!$H:$H},2,0),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E365" s="147" t="str">
        <f t="shared" si="1"/>
        <v/>
      </c>
      <c r="G365" s="97"/>
      <c r="H365" s="155"/>
      <c r="J365" s="92"/>
      <c r="K365" s="98"/>
      <c r="L365" s="92"/>
      <c r="N365" s="92"/>
      <c r="O365" s="92"/>
      <c r="P365" s="92"/>
    </row>
    <row r="366">
      <c r="A366" s="90"/>
      <c r="B366" s="97"/>
      <c r="C366" s="121" t="str">
        <f t="array" ref="C366">ifs(and(isblank($A366),isblank($B366)),"", not(iserror(vlookup($A366&amp;$B366,'3) Release_Label'!$D:$D&amp;'3) Release_Label'!$E:$E,1,0))),vlookup($A366&amp;$B366,{'3) Release_Label'!$D:$D&amp;'3) Release_Label'!$E:$E,'3) Release_Label'!$F:$F},2,0),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D366" s="121" t="str">
        <f t="array" ref="D366">ifs(and(isblank($A366),isblank($B366)),"", not(iserror(vlookup($A366&amp;$B366,'3) Release_Label'!$D:$D&amp;'3) Release_Label'!$E:$E,1,0))),vlookup($A366&amp;$B366,{'3) Release_Label'!$D:$D&amp;'3) Release_Label'!$E:$E,'3) Release_Label'!$H:$H},2,0),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E366" s="147" t="str">
        <f t="shared" si="1"/>
        <v/>
      </c>
      <c r="G366" s="97"/>
      <c r="H366" s="155"/>
      <c r="J366" s="92"/>
      <c r="K366" s="98"/>
      <c r="L366" s="92"/>
      <c r="N366" s="92"/>
      <c r="O366" s="92"/>
      <c r="P366" s="92"/>
    </row>
    <row r="367">
      <c r="A367" s="90"/>
      <c r="B367" s="97"/>
      <c r="C367" s="121" t="str">
        <f t="array" ref="C367">ifs(and(isblank($A367),isblank($B367)),"", not(iserror(vlookup($A367&amp;$B367,'3) Release_Label'!$D:$D&amp;'3) Release_Label'!$E:$E,1,0))),vlookup($A367&amp;$B367,{'3) Release_Label'!$D:$D&amp;'3) Release_Label'!$E:$E,'3) Release_Label'!$F:$F},2,0),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D367" s="121" t="str">
        <f t="array" ref="D367">ifs(and(isblank($A367),isblank($B367)),"", not(iserror(vlookup($A367&amp;$B367,'3) Release_Label'!$D:$D&amp;'3) Release_Label'!$E:$E,1,0))),vlookup($A367&amp;$B367,{'3) Release_Label'!$D:$D&amp;'3) Release_Label'!$E:$E,'3) Release_Label'!$H:$H},2,0),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E367" s="147" t="str">
        <f t="shared" si="1"/>
        <v/>
      </c>
      <c r="G367" s="97"/>
      <c r="H367" s="155"/>
      <c r="J367" s="92"/>
      <c r="K367" s="98"/>
      <c r="L367" s="92"/>
      <c r="N367" s="92"/>
      <c r="O367" s="92"/>
      <c r="P367" s="92"/>
    </row>
    <row r="368">
      <c r="A368" s="90"/>
      <c r="B368" s="97"/>
      <c r="C368" s="121" t="str">
        <f t="array" ref="C368">ifs(and(isblank($A368),isblank($B368)),"", not(iserror(vlookup($A368&amp;$B368,'3) Release_Label'!$D:$D&amp;'3) Release_Label'!$E:$E,1,0))),vlookup($A368&amp;$B368,{'3) Release_Label'!$D:$D&amp;'3) Release_Label'!$E:$E,'3) Release_Label'!$F:$F},2,0),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D368" s="121" t="str">
        <f t="array" ref="D368">ifs(and(isblank($A368),isblank($B368)),"", not(iserror(vlookup($A368&amp;$B368,'3) Release_Label'!$D:$D&amp;'3) Release_Label'!$E:$E,1,0))),vlookup($A368&amp;$B368,{'3) Release_Label'!$D:$D&amp;'3) Release_Label'!$E:$E,'3) Release_Label'!$H:$H},2,0),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E368" s="147" t="str">
        <f t="shared" si="1"/>
        <v/>
      </c>
      <c r="G368" s="97"/>
      <c r="H368" s="155"/>
      <c r="J368" s="92"/>
      <c r="K368" s="98"/>
      <c r="L368" s="92"/>
      <c r="N368" s="92"/>
      <c r="O368" s="92"/>
      <c r="P368" s="92"/>
    </row>
    <row r="369">
      <c r="A369" s="90"/>
      <c r="B369" s="97"/>
      <c r="C369" s="121" t="str">
        <f t="array" ref="C369">ifs(and(isblank($A369),isblank($B369)),"", not(iserror(vlookup($A369&amp;$B369,'3) Release_Label'!$D:$D&amp;'3) Release_Label'!$E:$E,1,0))),vlookup($A369&amp;$B369,{'3) Release_Label'!$D:$D&amp;'3) Release_Label'!$E:$E,'3) Release_Label'!$F:$F},2,0),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D369" s="121" t="str">
        <f t="array" ref="D369">ifs(and(isblank($A369),isblank($B369)),"", not(iserror(vlookup($A369&amp;$B369,'3) Release_Label'!$D:$D&amp;'3) Release_Label'!$E:$E,1,0))),vlookup($A369&amp;$B369,{'3) Release_Label'!$D:$D&amp;'3) Release_Label'!$E:$E,'3) Release_Label'!$H:$H},2,0),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E369" s="147" t="str">
        <f t="shared" si="1"/>
        <v/>
      </c>
      <c r="G369" s="97"/>
      <c r="H369" s="155"/>
      <c r="J369" s="92"/>
      <c r="K369" s="98"/>
      <c r="L369" s="92"/>
      <c r="N369" s="92"/>
      <c r="O369" s="92"/>
      <c r="P369" s="92"/>
    </row>
    <row r="370">
      <c r="A370" s="90"/>
      <c r="B370" s="97"/>
      <c r="C370" s="121" t="str">
        <f t="array" ref="C370">ifs(and(isblank($A370),isblank($B370)),"", not(iserror(vlookup($A370&amp;$B370,'3) Release_Label'!$D:$D&amp;'3) Release_Label'!$E:$E,1,0))),vlookup($A370&amp;$B370,{'3) Release_Label'!$D:$D&amp;'3) Release_Label'!$E:$E,'3) Release_Label'!$F:$F},2,0),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D370" s="121" t="str">
        <f t="array" ref="D370">ifs(and(isblank($A370),isblank($B370)),"", not(iserror(vlookup($A370&amp;$B370,'3) Release_Label'!$D:$D&amp;'3) Release_Label'!$E:$E,1,0))),vlookup($A370&amp;$B370,{'3) Release_Label'!$D:$D&amp;'3) Release_Label'!$E:$E,'3) Release_Label'!$H:$H},2,0),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E370" s="147" t="str">
        <f t="shared" si="1"/>
        <v/>
      </c>
      <c r="G370" s="97"/>
      <c r="H370" s="155"/>
      <c r="J370" s="92"/>
      <c r="K370" s="98"/>
      <c r="L370" s="92"/>
      <c r="N370" s="92"/>
      <c r="O370" s="92"/>
      <c r="P370" s="92"/>
    </row>
    <row r="371">
      <c r="A371" s="90"/>
      <c r="B371" s="97"/>
      <c r="C371" s="121" t="str">
        <f t="array" ref="C371">ifs(and(isblank($A371),isblank($B371)),"", not(iserror(vlookup($A371&amp;$B371,'3) Release_Label'!$D:$D&amp;'3) Release_Label'!$E:$E,1,0))),vlookup($A371&amp;$B371,{'3) Release_Label'!$D:$D&amp;'3) Release_Label'!$E:$E,'3) Release_Label'!$F:$F},2,0),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D371" s="121" t="str">
        <f t="array" ref="D371">ifs(and(isblank($A371),isblank($B371)),"", not(iserror(vlookup($A371&amp;$B371,'3) Release_Label'!$D:$D&amp;'3) Release_Label'!$E:$E,1,0))),vlookup($A371&amp;$B371,{'3) Release_Label'!$D:$D&amp;'3) Release_Label'!$E:$E,'3) Release_Label'!$H:$H},2,0),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E371" s="147" t="str">
        <f t="shared" si="1"/>
        <v/>
      </c>
      <c r="G371" s="97"/>
      <c r="H371" s="155"/>
      <c r="J371" s="92"/>
      <c r="K371" s="98"/>
      <c r="L371" s="92"/>
      <c r="N371" s="92"/>
      <c r="O371" s="92"/>
      <c r="P371" s="92"/>
    </row>
    <row r="372">
      <c r="A372" s="90"/>
      <c r="B372" s="97"/>
      <c r="C372" s="121" t="str">
        <f t="array" ref="C372">ifs(and(isblank($A372),isblank($B372)),"", not(iserror(vlookup($A372&amp;$B372,'3) Release_Label'!$D:$D&amp;'3) Release_Label'!$E:$E,1,0))),vlookup($A372&amp;$B372,{'3) Release_Label'!$D:$D&amp;'3) Release_Label'!$E:$E,'3) Release_Label'!$F:$F},2,0),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D372" s="121" t="str">
        <f t="array" ref="D372">ifs(and(isblank($A372),isblank($B372)),"", not(iserror(vlookup($A372&amp;$B372,'3) Release_Label'!$D:$D&amp;'3) Release_Label'!$E:$E,1,0))),vlookup($A372&amp;$B372,{'3) Release_Label'!$D:$D&amp;'3) Release_Label'!$E:$E,'3) Release_Label'!$H:$H},2,0),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E372" s="147" t="str">
        <f t="shared" si="1"/>
        <v/>
      </c>
      <c r="G372" s="97"/>
      <c r="H372" s="155"/>
      <c r="J372" s="92"/>
      <c r="K372" s="98"/>
      <c r="L372" s="92"/>
      <c r="N372" s="92"/>
      <c r="O372" s="92"/>
      <c r="P372" s="92"/>
    </row>
    <row r="373">
      <c r="A373" s="90"/>
      <c r="B373" s="97"/>
      <c r="C373" s="121" t="str">
        <f t="array" ref="C373">ifs(and(isblank($A373),isblank($B373)),"", not(iserror(vlookup($A373&amp;$B373,'3) Release_Label'!$D:$D&amp;'3) Release_Label'!$E:$E,1,0))),vlookup($A373&amp;$B373,{'3) Release_Label'!$D:$D&amp;'3) Release_Label'!$E:$E,'3) Release_Label'!$F:$F},2,0),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D373" s="121" t="str">
        <f t="array" ref="D373">ifs(and(isblank($A373),isblank($B373)),"", not(iserror(vlookup($A373&amp;$B373,'3) Release_Label'!$D:$D&amp;'3) Release_Label'!$E:$E,1,0))),vlookup($A373&amp;$B373,{'3) Release_Label'!$D:$D&amp;'3) Release_Label'!$E:$E,'3) Release_Label'!$H:$H},2,0),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E373" s="147" t="str">
        <f t="shared" si="1"/>
        <v/>
      </c>
      <c r="G373" s="97"/>
      <c r="H373" s="155"/>
      <c r="J373" s="92"/>
      <c r="K373" s="98"/>
      <c r="L373" s="92"/>
      <c r="N373" s="92"/>
      <c r="O373" s="92"/>
      <c r="P373" s="92"/>
    </row>
    <row r="374">
      <c r="A374" s="90"/>
      <c r="B374" s="97"/>
      <c r="C374" s="121" t="str">
        <f t="array" ref="C374">ifs(and(isblank($A374),isblank($B374)),"", not(iserror(vlookup($A374&amp;$B374,'3) Release_Label'!$D:$D&amp;'3) Release_Label'!$E:$E,1,0))),vlookup($A374&amp;$B374,{'3) Release_Label'!$D:$D&amp;'3) Release_Label'!$E:$E,'3) Release_Label'!$F:$F},2,0),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D374" s="121" t="str">
        <f t="array" ref="D374">ifs(and(isblank($A374),isblank($B374)),"", not(iserror(vlookup($A374&amp;$B374,'3) Release_Label'!$D:$D&amp;'3) Release_Label'!$E:$E,1,0))),vlookup($A374&amp;$B374,{'3) Release_Label'!$D:$D&amp;'3) Release_Label'!$E:$E,'3) Release_Label'!$H:$H},2,0),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E374" s="147" t="str">
        <f t="shared" si="1"/>
        <v/>
      </c>
      <c r="G374" s="97"/>
      <c r="H374" s="155"/>
      <c r="J374" s="92"/>
      <c r="K374" s="98"/>
      <c r="L374" s="92"/>
      <c r="N374" s="92"/>
      <c r="O374" s="92"/>
      <c r="P374" s="92"/>
    </row>
    <row r="375">
      <c r="A375" s="90"/>
      <c r="B375" s="97"/>
      <c r="C375" s="121" t="str">
        <f t="array" ref="C375">ifs(and(isblank($A375),isblank($B375)),"", not(iserror(vlookup($A375&amp;$B375,'3) Release_Label'!$D:$D&amp;'3) Release_Label'!$E:$E,1,0))),vlookup($A375&amp;$B375,{'3) Release_Label'!$D:$D&amp;'3) Release_Label'!$E:$E,'3) Release_Label'!$F:$F},2,0),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D375" s="121" t="str">
        <f t="array" ref="D375">ifs(and(isblank($A375),isblank($B375)),"", not(iserror(vlookup($A375&amp;$B375,'3) Release_Label'!$D:$D&amp;'3) Release_Label'!$E:$E,1,0))),vlookup($A375&amp;$B375,{'3) Release_Label'!$D:$D&amp;'3) Release_Label'!$E:$E,'3) Release_Label'!$H:$H},2,0),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E375" s="147" t="str">
        <f t="shared" si="1"/>
        <v/>
      </c>
      <c r="G375" s="97"/>
      <c r="H375" s="155"/>
      <c r="J375" s="92"/>
      <c r="K375" s="98"/>
      <c r="L375" s="92"/>
      <c r="N375" s="92"/>
      <c r="O375" s="92"/>
      <c r="P375" s="92"/>
    </row>
    <row r="376">
      <c r="A376" s="90"/>
      <c r="B376" s="97"/>
      <c r="C376" s="121" t="str">
        <f t="array" ref="C376">ifs(and(isblank($A376),isblank($B376)),"", not(iserror(vlookup($A376&amp;$B376,'3) Release_Label'!$D:$D&amp;'3) Release_Label'!$E:$E,1,0))),vlookup($A376&amp;$B376,{'3) Release_Label'!$D:$D&amp;'3) Release_Label'!$E:$E,'3) Release_Label'!$F:$F},2,0),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D376" s="121" t="str">
        <f t="array" ref="D376">ifs(and(isblank($A376),isblank($B376)),"", not(iserror(vlookup($A376&amp;$B376,'3) Release_Label'!$D:$D&amp;'3) Release_Label'!$E:$E,1,0))),vlookup($A376&amp;$B376,{'3) Release_Label'!$D:$D&amp;'3) Release_Label'!$E:$E,'3) Release_Label'!$H:$H},2,0),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E376" s="147" t="str">
        <f t="shared" si="1"/>
        <v/>
      </c>
      <c r="G376" s="97"/>
      <c r="H376" s="155"/>
      <c r="J376" s="92"/>
      <c r="K376" s="98"/>
      <c r="L376" s="92"/>
      <c r="N376" s="92"/>
      <c r="O376" s="92"/>
      <c r="P376" s="92"/>
    </row>
    <row r="377">
      <c r="A377" s="90"/>
      <c r="B377" s="97"/>
      <c r="C377" s="121" t="str">
        <f t="array" ref="C377">ifs(and(isblank($A377),isblank($B377)),"", not(iserror(vlookup($A377&amp;$B377,'3) Release_Label'!$D:$D&amp;'3) Release_Label'!$E:$E,1,0))),vlookup($A377&amp;$B377,{'3) Release_Label'!$D:$D&amp;'3) Release_Label'!$E:$E,'3) Release_Label'!$F:$F},2,0),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D377" s="121" t="str">
        <f t="array" ref="D377">ifs(and(isblank($A377),isblank($B377)),"", not(iserror(vlookup($A377&amp;$B377,'3) Release_Label'!$D:$D&amp;'3) Release_Label'!$E:$E,1,0))),vlookup($A377&amp;$B377,{'3) Release_Label'!$D:$D&amp;'3) Release_Label'!$E:$E,'3) Release_Label'!$H:$H},2,0),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E377" s="147" t="str">
        <f t="shared" si="1"/>
        <v/>
      </c>
      <c r="G377" s="97"/>
      <c r="H377" s="155"/>
      <c r="J377" s="92"/>
      <c r="K377" s="98"/>
      <c r="L377" s="92"/>
      <c r="N377" s="92"/>
      <c r="O377" s="92"/>
      <c r="P377" s="92"/>
    </row>
    <row r="378">
      <c r="A378" s="90"/>
      <c r="B378" s="97"/>
      <c r="C378" s="121" t="str">
        <f t="array" ref="C378">ifs(and(isblank($A378),isblank($B378)),"", not(iserror(vlookup($A378&amp;$B378,'3) Release_Label'!$D:$D&amp;'3) Release_Label'!$E:$E,1,0))),vlookup($A378&amp;$B378,{'3) Release_Label'!$D:$D&amp;'3) Release_Label'!$E:$E,'3) Release_Label'!$F:$F},2,0),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D378" s="121" t="str">
        <f t="array" ref="D378">ifs(and(isblank($A378),isblank($B378)),"", not(iserror(vlookup($A378&amp;$B378,'3) Release_Label'!$D:$D&amp;'3) Release_Label'!$E:$E,1,0))),vlookup($A378&amp;$B378,{'3) Release_Label'!$D:$D&amp;'3) Release_Label'!$E:$E,'3) Release_Label'!$H:$H},2,0),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E378" s="147" t="str">
        <f t="shared" si="1"/>
        <v/>
      </c>
      <c r="G378" s="97"/>
      <c r="H378" s="155"/>
      <c r="J378" s="92"/>
      <c r="K378" s="98"/>
      <c r="L378" s="92"/>
      <c r="N378" s="92"/>
      <c r="O378" s="92"/>
      <c r="P378" s="92"/>
    </row>
    <row r="379">
      <c r="A379" s="90"/>
      <c r="B379" s="97"/>
      <c r="C379" s="121" t="str">
        <f t="array" ref="C379">ifs(and(isblank($A379),isblank($B379)),"", not(iserror(vlookup($A379&amp;$B379,'3) Release_Label'!$D:$D&amp;'3) Release_Label'!$E:$E,1,0))),vlookup($A379&amp;$B379,{'3) Release_Label'!$D:$D&amp;'3) Release_Label'!$E:$E,'3) Release_Label'!$F:$F},2,0),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D379" s="121" t="str">
        <f t="array" ref="D379">ifs(and(isblank($A379),isblank($B379)),"", not(iserror(vlookup($A379&amp;$B379,'3) Release_Label'!$D:$D&amp;'3) Release_Label'!$E:$E,1,0))),vlookup($A379&amp;$B379,{'3) Release_Label'!$D:$D&amp;'3) Release_Label'!$E:$E,'3) Release_Label'!$H:$H},2,0),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E379" s="147" t="str">
        <f t="shared" si="1"/>
        <v/>
      </c>
      <c r="G379" s="97"/>
      <c r="H379" s="155"/>
      <c r="J379" s="92"/>
      <c r="K379" s="98"/>
      <c r="L379" s="92"/>
      <c r="N379" s="92"/>
      <c r="O379" s="92"/>
      <c r="P379" s="92"/>
    </row>
    <row r="380">
      <c r="A380" s="90"/>
      <c r="B380" s="97"/>
      <c r="C380" s="121" t="str">
        <f t="array" ref="C380">ifs(and(isblank($A380),isblank($B380)),"", not(iserror(vlookup($A380&amp;$B380,'3) Release_Label'!$D:$D&amp;'3) Release_Label'!$E:$E,1,0))),vlookup($A380&amp;$B380,{'3) Release_Label'!$D:$D&amp;'3) Release_Label'!$E:$E,'3) Release_Label'!$F:$F},2,0),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D380" s="121" t="str">
        <f t="array" ref="D380">ifs(and(isblank($A380),isblank($B380)),"", not(iserror(vlookup($A380&amp;$B380,'3) Release_Label'!$D:$D&amp;'3) Release_Label'!$E:$E,1,0))),vlookup($A380&amp;$B380,{'3) Release_Label'!$D:$D&amp;'3) Release_Label'!$E:$E,'3) Release_Label'!$H:$H},2,0),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E380" s="147" t="str">
        <f t="shared" si="1"/>
        <v/>
      </c>
      <c r="G380" s="97"/>
      <c r="H380" s="155"/>
      <c r="J380" s="92"/>
      <c r="K380" s="98"/>
      <c r="L380" s="92"/>
      <c r="N380" s="92"/>
      <c r="O380" s="92"/>
      <c r="P380" s="92"/>
    </row>
    <row r="381">
      <c r="A381" s="90"/>
      <c r="B381" s="97"/>
      <c r="C381" s="121" t="str">
        <f t="array" ref="C381">ifs(and(isblank($A381),isblank($B381)),"", not(iserror(vlookup($A381&amp;$B381,'3) Release_Label'!$D:$D&amp;'3) Release_Label'!$E:$E,1,0))),vlookup($A381&amp;$B381,{'3) Release_Label'!$D:$D&amp;'3) Release_Label'!$E:$E,'3) Release_Label'!$F:$F},2,0),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D381" s="121" t="str">
        <f t="array" ref="D381">ifs(and(isblank($A381),isblank($B381)),"", not(iserror(vlookup($A381&amp;$B381,'3) Release_Label'!$D:$D&amp;'3) Release_Label'!$E:$E,1,0))),vlookup($A381&amp;$B381,{'3) Release_Label'!$D:$D&amp;'3) Release_Label'!$E:$E,'3) Release_Label'!$H:$H},2,0),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E381" s="147" t="str">
        <f t="shared" si="1"/>
        <v/>
      </c>
      <c r="G381" s="97"/>
      <c r="H381" s="155"/>
      <c r="J381" s="92"/>
      <c r="K381" s="98"/>
      <c r="L381" s="92"/>
      <c r="N381" s="92"/>
      <c r="O381" s="92"/>
      <c r="P381" s="92"/>
    </row>
    <row r="382">
      <c r="A382" s="90"/>
      <c r="B382" s="97"/>
      <c r="C382" s="121" t="str">
        <f t="array" ref="C382">ifs(and(isblank($A382),isblank($B382)),"", not(iserror(vlookup($A382&amp;$B382,'3) Release_Label'!$D:$D&amp;'3) Release_Label'!$E:$E,1,0))),vlookup($A382&amp;$B382,{'3) Release_Label'!$D:$D&amp;'3) Release_Label'!$E:$E,'3) Release_Label'!$F:$F},2,0),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D382" s="121" t="str">
        <f t="array" ref="D382">ifs(and(isblank($A382),isblank($B382)),"", not(iserror(vlookup($A382&amp;$B382,'3) Release_Label'!$D:$D&amp;'3) Release_Label'!$E:$E,1,0))),vlookup($A382&amp;$B382,{'3) Release_Label'!$D:$D&amp;'3) Release_Label'!$E:$E,'3) Release_Label'!$H:$H},2,0),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E382" s="147" t="str">
        <f t="shared" si="1"/>
        <v/>
      </c>
      <c r="G382" s="97"/>
      <c r="H382" s="155"/>
      <c r="J382" s="92"/>
      <c r="K382" s="98"/>
      <c r="L382" s="92"/>
      <c r="N382" s="92"/>
      <c r="O382" s="92"/>
      <c r="P382" s="92"/>
    </row>
    <row r="383">
      <c r="A383" s="90"/>
      <c r="B383" s="97"/>
      <c r="C383" s="121" t="str">
        <f t="array" ref="C383">ifs(and(isblank($A383),isblank($B383)),"", not(iserror(vlookup($A383&amp;$B383,'3) Release_Label'!$D:$D&amp;'3) Release_Label'!$E:$E,1,0))),vlookup($A383&amp;$B383,{'3) Release_Label'!$D:$D&amp;'3) Release_Label'!$E:$E,'3) Release_Label'!$F:$F},2,0),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D383" s="121" t="str">
        <f t="array" ref="D383">ifs(and(isblank($A383),isblank($B383)),"", not(iserror(vlookup($A383&amp;$B383,'3) Release_Label'!$D:$D&amp;'3) Release_Label'!$E:$E,1,0))),vlookup($A383&amp;$B383,{'3) Release_Label'!$D:$D&amp;'3) Release_Label'!$E:$E,'3) Release_Label'!$H:$H},2,0),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E383" s="147" t="str">
        <f t="shared" si="1"/>
        <v/>
      </c>
      <c r="G383" s="97"/>
      <c r="H383" s="155"/>
      <c r="J383" s="92"/>
      <c r="K383" s="98"/>
      <c r="L383" s="92"/>
      <c r="N383" s="92"/>
      <c r="O383" s="92"/>
      <c r="P383" s="92"/>
    </row>
    <row r="384">
      <c r="A384" s="90"/>
      <c r="B384" s="97"/>
      <c r="C384" s="121" t="str">
        <f t="array" ref="C384">ifs(and(isblank($A384),isblank($B384)),"", not(iserror(vlookup($A384&amp;$B384,'3) Release_Label'!$D:$D&amp;'3) Release_Label'!$E:$E,1,0))),vlookup($A384&amp;$B384,{'3) Release_Label'!$D:$D&amp;'3) Release_Label'!$E:$E,'3) Release_Label'!$F:$F},2,0),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D384" s="121" t="str">
        <f t="array" ref="D384">ifs(and(isblank($A384),isblank($B384)),"", not(iserror(vlookup($A384&amp;$B384,'3) Release_Label'!$D:$D&amp;'3) Release_Label'!$E:$E,1,0))),vlookup($A384&amp;$B384,{'3) Release_Label'!$D:$D&amp;'3) Release_Label'!$E:$E,'3) Release_Label'!$H:$H},2,0),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E384" s="147" t="str">
        <f t="shared" si="1"/>
        <v/>
      </c>
      <c r="G384" s="97"/>
      <c r="H384" s="155"/>
      <c r="J384" s="92"/>
      <c r="K384" s="98"/>
      <c r="L384" s="92"/>
      <c r="N384" s="92"/>
      <c r="O384" s="92"/>
      <c r="P384" s="92"/>
    </row>
    <row r="385">
      <c r="A385" s="90"/>
      <c r="B385" s="97"/>
      <c r="C385" s="121" t="str">
        <f t="array" ref="C385">ifs(and(isblank($A385),isblank($B385)),"", not(iserror(vlookup($A385&amp;$B385,'3) Release_Label'!$D:$D&amp;'3) Release_Label'!$E:$E,1,0))),vlookup($A385&amp;$B385,{'3) Release_Label'!$D:$D&amp;'3) Release_Label'!$E:$E,'3) Release_Label'!$F:$F},2,0),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D385" s="121" t="str">
        <f t="array" ref="D385">ifs(and(isblank($A385),isblank($B385)),"", not(iserror(vlookup($A385&amp;$B385,'3) Release_Label'!$D:$D&amp;'3) Release_Label'!$E:$E,1,0))),vlookup($A385&amp;$B385,{'3) Release_Label'!$D:$D&amp;'3) Release_Label'!$E:$E,'3) Release_Label'!$H:$H},2,0),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E385" s="147" t="str">
        <f t="shared" si="1"/>
        <v/>
      </c>
      <c r="G385" s="97"/>
      <c r="H385" s="155"/>
      <c r="J385" s="92"/>
      <c r="K385" s="98"/>
      <c r="L385" s="92"/>
      <c r="N385" s="92"/>
      <c r="O385" s="92"/>
      <c r="P385" s="92"/>
    </row>
    <row r="386">
      <c r="A386" s="90"/>
      <c r="B386" s="97"/>
      <c r="C386" s="121" t="str">
        <f t="array" ref="C386">ifs(and(isblank($A386),isblank($B386)),"", not(iserror(vlookup($A386&amp;$B386,'3) Release_Label'!$D:$D&amp;'3) Release_Label'!$E:$E,1,0))),vlookup($A386&amp;$B386,{'3) Release_Label'!$D:$D&amp;'3) Release_Label'!$E:$E,'3) Release_Label'!$F:$F},2,0),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D386" s="121" t="str">
        <f t="array" ref="D386">ifs(and(isblank($A386),isblank($B386)),"", not(iserror(vlookup($A386&amp;$B386,'3) Release_Label'!$D:$D&amp;'3) Release_Label'!$E:$E,1,0))),vlookup($A386&amp;$B386,{'3) Release_Label'!$D:$D&amp;'3) Release_Label'!$E:$E,'3) Release_Label'!$H:$H},2,0),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E386" s="147" t="str">
        <f t="shared" si="1"/>
        <v/>
      </c>
      <c r="G386" s="97"/>
      <c r="H386" s="155"/>
      <c r="J386" s="92"/>
      <c r="K386" s="98"/>
      <c r="L386" s="92"/>
      <c r="N386" s="92"/>
      <c r="O386" s="92"/>
      <c r="P386" s="92"/>
    </row>
    <row r="387">
      <c r="A387" s="90"/>
      <c r="B387" s="97"/>
      <c r="C387" s="121" t="str">
        <f t="array" ref="C387">ifs(and(isblank($A387),isblank($B387)),"", not(iserror(vlookup($A387&amp;$B387,'3) Release_Label'!$D:$D&amp;'3) Release_Label'!$E:$E,1,0))),vlookup($A387&amp;$B387,{'3) Release_Label'!$D:$D&amp;'3) Release_Label'!$E:$E,'3) Release_Label'!$F:$F},2,0),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D387" s="121" t="str">
        <f t="array" ref="D387">ifs(and(isblank($A387),isblank($B387)),"", not(iserror(vlookup($A387&amp;$B387,'3) Release_Label'!$D:$D&amp;'3) Release_Label'!$E:$E,1,0))),vlookup($A387&amp;$B387,{'3) Release_Label'!$D:$D&amp;'3) Release_Label'!$E:$E,'3) Release_Label'!$H:$H},2,0),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E387" s="147" t="str">
        <f t="shared" si="1"/>
        <v/>
      </c>
      <c r="G387" s="97"/>
      <c r="H387" s="155"/>
      <c r="J387" s="92"/>
      <c r="K387" s="98"/>
      <c r="L387" s="92"/>
      <c r="N387" s="92"/>
      <c r="O387" s="92"/>
      <c r="P387" s="92"/>
    </row>
    <row r="388">
      <c r="A388" s="90"/>
      <c r="B388" s="97"/>
      <c r="C388" s="121" t="str">
        <f t="array" ref="C388">ifs(and(isblank($A388),isblank($B388)),"", not(iserror(vlookup($A388&amp;$B388,'3) Release_Label'!$D:$D&amp;'3) Release_Label'!$E:$E,1,0))),vlookup($A388&amp;$B388,{'3) Release_Label'!$D:$D&amp;'3) Release_Label'!$E:$E,'3) Release_Label'!$F:$F},2,0),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D388" s="121" t="str">
        <f t="array" ref="D388">ifs(and(isblank($A388),isblank($B388)),"", not(iserror(vlookup($A388&amp;$B388,'3) Release_Label'!$D:$D&amp;'3) Release_Label'!$E:$E,1,0))),vlookup($A388&amp;$B388,{'3) Release_Label'!$D:$D&amp;'3) Release_Label'!$E:$E,'3) Release_Label'!$H:$H},2,0),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E388" s="147" t="str">
        <f t="shared" si="1"/>
        <v/>
      </c>
      <c r="G388" s="97"/>
      <c r="H388" s="155"/>
      <c r="J388" s="92"/>
      <c r="K388" s="98"/>
      <c r="L388" s="92"/>
      <c r="N388" s="92"/>
      <c r="O388" s="92"/>
      <c r="P388" s="92"/>
    </row>
    <row r="389">
      <c r="A389" s="90"/>
      <c r="B389" s="97"/>
      <c r="C389" s="121" t="str">
        <f t="array" ref="C389">ifs(and(isblank($A389),isblank($B389)),"", not(iserror(vlookup($A389&amp;$B389,'3) Release_Label'!$D:$D&amp;'3) Release_Label'!$E:$E,1,0))),vlookup($A389&amp;$B389,{'3) Release_Label'!$D:$D&amp;'3) Release_Label'!$E:$E,'3) Release_Label'!$F:$F},2,0),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D389" s="121" t="str">
        <f t="array" ref="D389">ifs(and(isblank($A389),isblank($B389)),"", not(iserror(vlookup($A389&amp;$B389,'3) Release_Label'!$D:$D&amp;'3) Release_Label'!$E:$E,1,0))),vlookup($A389&amp;$B389,{'3) Release_Label'!$D:$D&amp;'3) Release_Label'!$E:$E,'3) Release_Label'!$H:$H},2,0),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E389" s="147" t="str">
        <f t="shared" si="1"/>
        <v/>
      </c>
      <c r="G389" s="97"/>
      <c r="H389" s="155"/>
      <c r="J389" s="92"/>
      <c r="K389" s="98"/>
      <c r="L389" s="92"/>
      <c r="N389" s="92"/>
      <c r="O389" s="92"/>
      <c r="P389" s="92"/>
    </row>
    <row r="390">
      <c r="A390" s="90"/>
      <c r="B390" s="97"/>
      <c r="C390" s="121" t="str">
        <f t="array" ref="C390">ifs(and(isblank($A390),isblank($B390)),"", not(iserror(vlookup($A390&amp;$B390,'3) Release_Label'!$D:$D&amp;'3) Release_Label'!$E:$E,1,0))),vlookup($A390&amp;$B390,{'3) Release_Label'!$D:$D&amp;'3) Release_Label'!$E:$E,'3) Release_Label'!$F:$F},2,0),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D390" s="121" t="str">
        <f t="array" ref="D390">ifs(and(isblank($A390),isblank($B390)),"", not(iserror(vlookup($A390&amp;$B390,'3) Release_Label'!$D:$D&amp;'3) Release_Label'!$E:$E,1,0))),vlookup($A390&amp;$B390,{'3) Release_Label'!$D:$D&amp;'3) Release_Label'!$E:$E,'3) Release_Label'!$H:$H},2,0),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E390" s="147" t="str">
        <f t="shared" si="1"/>
        <v/>
      </c>
      <c r="G390" s="97"/>
      <c r="H390" s="155"/>
      <c r="J390" s="92"/>
      <c r="K390" s="98"/>
      <c r="L390" s="92"/>
      <c r="N390" s="92"/>
      <c r="O390" s="92"/>
      <c r="P390" s="92"/>
    </row>
    <row r="391">
      <c r="A391" s="90"/>
      <c r="B391" s="97"/>
      <c r="C391" s="121" t="str">
        <f t="array" ref="C391">ifs(and(isblank($A391),isblank($B391)),"", not(iserror(vlookup($A391&amp;$B391,'3) Release_Label'!$D:$D&amp;'3) Release_Label'!$E:$E,1,0))),vlookup($A391&amp;$B391,{'3) Release_Label'!$D:$D&amp;'3) Release_Label'!$E:$E,'3) Release_Label'!$F:$F},2,0),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D391" s="121" t="str">
        <f t="array" ref="D391">ifs(and(isblank($A391),isblank($B391)),"", not(iserror(vlookup($A391&amp;$B391,'3) Release_Label'!$D:$D&amp;'3) Release_Label'!$E:$E,1,0))),vlookup($A391&amp;$B391,{'3) Release_Label'!$D:$D&amp;'3) Release_Label'!$E:$E,'3) Release_Label'!$H:$H},2,0),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E391" s="147" t="str">
        <f t="shared" si="1"/>
        <v/>
      </c>
      <c r="G391" s="97"/>
      <c r="H391" s="155"/>
      <c r="J391" s="92"/>
      <c r="K391" s="98"/>
      <c r="L391" s="92"/>
      <c r="N391" s="92"/>
      <c r="O391" s="92"/>
      <c r="P391" s="92"/>
    </row>
    <row r="392">
      <c r="A392" s="90"/>
      <c r="B392" s="97"/>
      <c r="C392" s="121" t="str">
        <f t="array" ref="C392">ifs(and(isblank($A392),isblank($B392)),"", not(iserror(vlookup($A392&amp;$B392,'3) Release_Label'!$D:$D&amp;'3) Release_Label'!$E:$E,1,0))),vlookup($A392&amp;$B392,{'3) Release_Label'!$D:$D&amp;'3) Release_Label'!$E:$E,'3) Release_Label'!$F:$F},2,0),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D392" s="121" t="str">
        <f t="array" ref="D392">ifs(and(isblank($A392),isblank($B392)),"", not(iserror(vlookup($A392&amp;$B392,'3) Release_Label'!$D:$D&amp;'3) Release_Label'!$E:$E,1,0))),vlookup($A392&amp;$B392,{'3) Release_Label'!$D:$D&amp;'3) Release_Label'!$E:$E,'3) Release_Label'!$H:$H},2,0),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E392" s="147" t="str">
        <f t="shared" si="1"/>
        <v/>
      </c>
      <c r="G392" s="97"/>
      <c r="H392" s="155"/>
      <c r="J392" s="92"/>
      <c r="K392" s="98"/>
      <c r="L392" s="92"/>
      <c r="N392" s="92"/>
      <c r="O392" s="92"/>
      <c r="P392" s="92"/>
    </row>
    <row r="393">
      <c r="A393" s="90"/>
      <c r="B393" s="97"/>
      <c r="C393" s="121" t="str">
        <f t="array" ref="C393">ifs(and(isblank($A393),isblank($B393)),"", not(iserror(vlookup($A393&amp;$B393,'3) Release_Label'!$D:$D&amp;'3) Release_Label'!$E:$E,1,0))),vlookup($A393&amp;$B393,{'3) Release_Label'!$D:$D&amp;'3) Release_Label'!$E:$E,'3) Release_Label'!$F:$F},2,0),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D393" s="121" t="str">
        <f t="array" ref="D393">ifs(and(isblank($A393),isblank($B393)),"", not(iserror(vlookup($A393&amp;$B393,'3) Release_Label'!$D:$D&amp;'3) Release_Label'!$E:$E,1,0))),vlookup($A393&amp;$B393,{'3) Release_Label'!$D:$D&amp;'3) Release_Label'!$E:$E,'3) Release_Label'!$H:$H},2,0),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E393" s="147" t="str">
        <f t="shared" si="1"/>
        <v/>
      </c>
      <c r="G393" s="97"/>
      <c r="H393" s="155"/>
      <c r="J393" s="92"/>
      <c r="K393" s="98"/>
      <c r="L393" s="92"/>
      <c r="N393" s="92"/>
      <c r="O393" s="92"/>
      <c r="P393" s="92"/>
    </row>
    <row r="394">
      <c r="A394" s="90"/>
      <c r="B394" s="97"/>
      <c r="C394" s="121" t="str">
        <f t="array" ref="C394">ifs(and(isblank($A394),isblank($B394)),"", not(iserror(vlookup($A394&amp;$B394,'3) Release_Label'!$D:$D&amp;'3) Release_Label'!$E:$E,1,0))),vlookup($A394&amp;$B394,{'3) Release_Label'!$D:$D&amp;'3) Release_Label'!$E:$E,'3) Release_Label'!$F:$F},2,0),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D394" s="121" t="str">
        <f t="array" ref="D394">ifs(and(isblank($A394),isblank($B394)),"", not(iserror(vlookup($A394&amp;$B394,'3) Release_Label'!$D:$D&amp;'3) Release_Label'!$E:$E,1,0))),vlookup($A394&amp;$B394,{'3) Release_Label'!$D:$D&amp;'3) Release_Label'!$E:$E,'3) Release_Label'!$H:$H},2,0),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E394" s="147" t="str">
        <f t="shared" si="1"/>
        <v/>
      </c>
      <c r="G394" s="97"/>
      <c r="H394" s="155"/>
      <c r="J394" s="92"/>
      <c r="K394" s="98"/>
      <c r="L394" s="92"/>
      <c r="N394" s="92"/>
      <c r="O394" s="92"/>
      <c r="P394" s="92"/>
    </row>
    <row r="395">
      <c r="A395" s="90"/>
      <c r="B395" s="97"/>
      <c r="C395" s="121" t="str">
        <f t="array" ref="C395">ifs(and(isblank($A395),isblank($B395)),"", not(iserror(vlookup($A395&amp;$B395,'3) Release_Label'!$D:$D&amp;'3) Release_Label'!$E:$E,1,0))),vlookup($A395&amp;$B395,{'3) Release_Label'!$D:$D&amp;'3) Release_Label'!$E:$E,'3) Release_Label'!$F:$F},2,0),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D395" s="121" t="str">
        <f t="array" ref="D395">ifs(and(isblank($A395),isblank($B395)),"", not(iserror(vlookup($A395&amp;$B395,'3) Release_Label'!$D:$D&amp;'3) Release_Label'!$E:$E,1,0))),vlookup($A395&amp;$B395,{'3) Release_Label'!$D:$D&amp;'3) Release_Label'!$E:$E,'3) Release_Label'!$H:$H},2,0),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E395" s="147" t="str">
        <f t="shared" si="1"/>
        <v/>
      </c>
      <c r="G395" s="97"/>
      <c r="H395" s="155"/>
      <c r="J395" s="92"/>
      <c r="K395" s="98"/>
      <c r="L395" s="92"/>
      <c r="N395" s="92"/>
      <c r="O395" s="92"/>
      <c r="P395" s="92"/>
    </row>
    <row r="396">
      <c r="A396" s="90"/>
      <c r="B396" s="97"/>
      <c r="C396" s="121" t="str">
        <f t="array" ref="C396">ifs(and(isblank($A396),isblank($B396)),"", not(iserror(vlookup($A396&amp;$B396,'3) Release_Label'!$D:$D&amp;'3) Release_Label'!$E:$E,1,0))),vlookup($A396&amp;$B396,{'3) Release_Label'!$D:$D&amp;'3) Release_Label'!$E:$E,'3) Release_Label'!$F:$F},2,0),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D396" s="121" t="str">
        <f t="array" ref="D396">ifs(and(isblank($A396),isblank($B396)),"", not(iserror(vlookup($A396&amp;$B396,'3) Release_Label'!$D:$D&amp;'3) Release_Label'!$E:$E,1,0))),vlookup($A396&amp;$B396,{'3) Release_Label'!$D:$D&amp;'3) Release_Label'!$E:$E,'3) Release_Label'!$H:$H},2,0),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E396" s="147" t="str">
        <f t="shared" si="1"/>
        <v/>
      </c>
      <c r="G396" s="97"/>
      <c r="H396" s="155"/>
      <c r="J396" s="92"/>
      <c r="K396" s="98"/>
      <c r="L396" s="92"/>
      <c r="N396" s="92"/>
      <c r="O396" s="92"/>
      <c r="P396" s="92"/>
    </row>
    <row r="397">
      <c r="A397" s="90"/>
      <c r="B397" s="97"/>
      <c r="C397" s="121" t="str">
        <f t="array" ref="C397">ifs(and(isblank($A397),isblank($B397)),"", not(iserror(vlookup($A397&amp;$B397,'3) Release_Label'!$D:$D&amp;'3) Release_Label'!$E:$E,1,0))),vlookup($A397&amp;$B397,{'3) Release_Label'!$D:$D&amp;'3) Release_Label'!$E:$E,'3) Release_Label'!$F:$F},2,0),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D397" s="121" t="str">
        <f t="array" ref="D397">ifs(and(isblank($A397),isblank($B397)),"", not(iserror(vlookup($A397&amp;$B397,'3) Release_Label'!$D:$D&amp;'3) Release_Label'!$E:$E,1,0))),vlookup($A397&amp;$B397,{'3) Release_Label'!$D:$D&amp;'3) Release_Label'!$E:$E,'3) Release_Label'!$H:$H},2,0),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E397" s="147" t="str">
        <f t="shared" si="1"/>
        <v/>
      </c>
      <c r="G397" s="97"/>
      <c r="H397" s="155"/>
      <c r="J397" s="92"/>
      <c r="K397" s="98"/>
      <c r="L397" s="92"/>
      <c r="N397" s="92"/>
      <c r="O397" s="92"/>
      <c r="P397" s="92"/>
    </row>
    <row r="398">
      <c r="A398" s="90"/>
      <c r="B398" s="97"/>
      <c r="C398" s="121" t="str">
        <f t="array" ref="C398">ifs(and(isblank($A398),isblank($B398)),"", not(iserror(vlookup($A398&amp;$B398,'3) Release_Label'!$D:$D&amp;'3) Release_Label'!$E:$E,1,0))),vlookup($A398&amp;$B398,{'3) Release_Label'!$D:$D&amp;'3) Release_Label'!$E:$E,'3) Release_Label'!$F:$F},2,0),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D398" s="121" t="str">
        <f t="array" ref="D398">ifs(and(isblank($A398),isblank($B398)),"", not(iserror(vlookup($A398&amp;$B398,'3) Release_Label'!$D:$D&amp;'3) Release_Label'!$E:$E,1,0))),vlookup($A398&amp;$B398,{'3) Release_Label'!$D:$D&amp;'3) Release_Label'!$E:$E,'3) Release_Label'!$H:$H},2,0),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E398" s="147" t="str">
        <f t="shared" si="1"/>
        <v/>
      </c>
      <c r="G398" s="97"/>
      <c r="H398" s="155"/>
      <c r="J398" s="92"/>
      <c r="K398" s="98"/>
      <c r="L398" s="92"/>
      <c r="N398" s="92"/>
      <c r="O398" s="92"/>
      <c r="P398" s="92"/>
    </row>
    <row r="399">
      <c r="A399" s="90"/>
      <c r="B399" s="97"/>
      <c r="C399" s="121" t="str">
        <f t="array" ref="C399">ifs(and(isblank($A399),isblank($B399)),"", not(iserror(vlookup($A399&amp;$B399,'3) Release_Label'!$D:$D&amp;'3) Release_Label'!$E:$E,1,0))),vlookup($A399&amp;$B399,{'3) Release_Label'!$D:$D&amp;'3) Release_Label'!$E:$E,'3) Release_Label'!$F:$F},2,0),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D399" s="121" t="str">
        <f t="array" ref="D399">ifs(and(isblank($A399),isblank($B399)),"", not(iserror(vlookup($A399&amp;$B399,'3) Release_Label'!$D:$D&amp;'3) Release_Label'!$E:$E,1,0))),vlookup($A399&amp;$B399,{'3) Release_Label'!$D:$D&amp;'3) Release_Label'!$E:$E,'3) Release_Label'!$H:$H},2,0),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E399" s="147" t="str">
        <f t="shared" si="1"/>
        <v/>
      </c>
      <c r="G399" s="97"/>
      <c r="H399" s="155"/>
      <c r="J399" s="92"/>
      <c r="K399" s="98"/>
      <c r="L399" s="92"/>
      <c r="N399" s="92"/>
      <c r="O399" s="92"/>
      <c r="P399" s="92"/>
    </row>
    <row r="400">
      <c r="A400" s="90"/>
      <c r="B400" s="97"/>
      <c r="C400" s="121" t="str">
        <f t="array" ref="C400">ifs(and(isblank($A400),isblank($B400)),"", not(iserror(vlookup($A400&amp;$B400,'3) Release_Label'!$D:$D&amp;'3) Release_Label'!$E:$E,1,0))),vlookup($A400&amp;$B400,{'3) Release_Label'!$D:$D&amp;'3) Release_Label'!$E:$E,'3) Release_Label'!$F:$F},2,0),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D400" s="121" t="str">
        <f t="array" ref="D400">ifs(and(isblank($A400),isblank($B400)),"", not(iserror(vlookup($A400&amp;$B400,'3) Release_Label'!$D:$D&amp;'3) Release_Label'!$E:$E,1,0))),vlookup($A400&amp;$B400,{'3) Release_Label'!$D:$D&amp;'3) Release_Label'!$E:$E,'3) Release_Label'!$H:$H},2,0),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E400" s="147" t="str">
        <f t="shared" si="1"/>
        <v/>
      </c>
      <c r="G400" s="97"/>
      <c r="H400" s="155"/>
      <c r="J400" s="92"/>
      <c r="K400" s="98"/>
      <c r="L400" s="92"/>
      <c r="N400" s="92"/>
      <c r="O400" s="92"/>
      <c r="P400" s="92"/>
    </row>
    <row r="401">
      <c r="A401" s="90"/>
      <c r="B401" s="97"/>
      <c r="C401" s="121" t="str">
        <f t="array" ref="C401">ifs(and(isblank($A401),isblank($B401)),"", not(iserror(vlookup($A401&amp;$B401,'3) Release_Label'!$D:$D&amp;'3) Release_Label'!$E:$E,1,0))),vlookup($A401&amp;$B401,{'3) Release_Label'!$D:$D&amp;'3) Release_Label'!$E:$E,'3) Release_Label'!$F:$F},2,0),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D401" s="121" t="str">
        <f t="array" ref="D401">ifs(and(isblank($A401),isblank($B401)),"", not(iserror(vlookup($A401&amp;$B401,'3) Release_Label'!$D:$D&amp;'3) Release_Label'!$E:$E,1,0))),vlookup($A401&amp;$B401,{'3) Release_Label'!$D:$D&amp;'3) Release_Label'!$E:$E,'3) Release_Label'!$H:$H},2,0),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E401" s="147" t="str">
        <f t="shared" si="1"/>
        <v/>
      </c>
      <c r="G401" s="97"/>
      <c r="H401" s="155"/>
      <c r="J401" s="92"/>
      <c r="K401" s="98"/>
      <c r="L401" s="92"/>
      <c r="N401" s="92"/>
      <c r="O401" s="92"/>
      <c r="P401" s="92"/>
    </row>
    <row r="402">
      <c r="A402" s="90"/>
      <c r="B402" s="97"/>
      <c r="C402" s="121" t="str">
        <f t="array" ref="C402">ifs(and(isblank($A402),isblank($B402)),"", not(iserror(vlookup($A402&amp;$B402,'3) Release_Label'!$D:$D&amp;'3) Release_Label'!$E:$E,1,0))),vlookup($A402&amp;$B402,{'3) Release_Label'!$D:$D&amp;'3) Release_Label'!$E:$E,'3) Release_Label'!$F:$F},2,0),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D402" s="121" t="str">
        <f t="array" ref="D402">ifs(and(isblank($A402),isblank($B402)),"", not(iserror(vlookup($A402&amp;$B402,'3) Release_Label'!$D:$D&amp;'3) Release_Label'!$E:$E,1,0))),vlookup($A402&amp;$B402,{'3) Release_Label'!$D:$D&amp;'3) Release_Label'!$E:$E,'3) Release_Label'!$H:$H},2,0),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E402" s="147" t="str">
        <f t="shared" si="1"/>
        <v/>
      </c>
      <c r="G402" s="97"/>
      <c r="H402" s="155"/>
      <c r="J402" s="92"/>
      <c r="K402" s="98"/>
      <c r="L402" s="92"/>
      <c r="N402" s="92"/>
      <c r="O402" s="92"/>
      <c r="P402" s="92"/>
    </row>
    <row r="403">
      <c r="A403" s="90"/>
      <c r="B403" s="97"/>
      <c r="C403" s="121" t="str">
        <f t="array" ref="C403">ifs(and(isblank($A403),isblank($B403)),"", not(iserror(vlookup($A403&amp;$B403,'3) Release_Label'!$D:$D&amp;'3) Release_Label'!$E:$E,1,0))),vlookup($A403&amp;$B403,{'3) Release_Label'!$D:$D&amp;'3) Release_Label'!$E:$E,'3) Release_Label'!$F:$F},2,0),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D403" s="121" t="str">
        <f t="array" ref="D403">ifs(and(isblank($A403),isblank($B403)),"", not(iserror(vlookup($A403&amp;$B403,'3) Release_Label'!$D:$D&amp;'3) Release_Label'!$E:$E,1,0))),vlookup($A403&amp;$B403,{'3) Release_Label'!$D:$D&amp;'3) Release_Label'!$E:$E,'3) Release_Label'!$H:$H},2,0),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E403" s="147" t="str">
        <f t="shared" si="1"/>
        <v/>
      </c>
      <c r="G403" s="97"/>
      <c r="H403" s="155"/>
      <c r="J403" s="92"/>
      <c r="K403" s="98"/>
      <c r="L403" s="92"/>
      <c r="N403" s="92"/>
      <c r="O403" s="92"/>
      <c r="P403" s="92"/>
    </row>
    <row r="404">
      <c r="A404" s="90"/>
      <c r="B404" s="97"/>
      <c r="C404" s="121" t="str">
        <f t="array" ref="C404">ifs(and(isblank($A404),isblank($B404)),"", not(iserror(vlookup($A404&amp;$B404,'3) Release_Label'!$D:$D&amp;'3) Release_Label'!$E:$E,1,0))),vlookup($A404&amp;$B404,{'3) Release_Label'!$D:$D&amp;'3) Release_Label'!$E:$E,'3) Release_Label'!$F:$F},2,0),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D404" s="121" t="str">
        <f t="array" ref="D404">ifs(and(isblank($A404),isblank($B404)),"", not(iserror(vlookup($A404&amp;$B404,'3) Release_Label'!$D:$D&amp;'3) Release_Label'!$E:$E,1,0))),vlookup($A404&amp;$B404,{'3) Release_Label'!$D:$D&amp;'3) Release_Label'!$E:$E,'3) Release_Label'!$H:$H},2,0),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E404" s="147" t="str">
        <f t="shared" si="1"/>
        <v/>
      </c>
      <c r="G404" s="97"/>
      <c r="H404" s="155"/>
      <c r="J404" s="92"/>
      <c r="K404" s="98"/>
      <c r="L404" s="92"/>
      <c r="N404" s="92"/>
      <c r="O404" s="92"/>
      <c r="P404" s="92"/>
    </row>
    <row r="405">
      <c r="A405" s="90"/>
      <c r="B405" s="97"/>
      <c r="C405" s="121" t="str">
        <f t="array" ref="C405">ifs(and(isblank($A405),isblank($B405)),"", not(iserror(vlookup($A405&amp;$B405,'3) Release_Label'!$D:$D&amp;'3) Release_Label'!$E:$E,1,0))),vlookup($A405&amp;$B405,{'3) Release_Label'!$D:$D&amp;'3) Release_Label'!$E:$E,'3) Release_Label'!$F:$F},2,0),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D405" s="121" t="str">
        <f t="array" ref="D405">ifs(and(isblank($A405),isblank($B405)),"", not(iserror(vlookup($A405&amp;$B405,'3) Release_Label'!$D:$D&amp;'3) Release_Label'!$E:$E,1,0))),vlookup($A405&amp;$B405,{'3) Release_Label'!$D:$D&amp;'3) Release_Label'!$E:$E,'3) Release_Label'!$H:$H},2,0),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E405" s="147" t="str">
        <f t="shared" si="1"/>
        <v/>
      </c>
      <c r="G405" s="97"/>
      <c r="H405" s="155"/>
      <c r="J405" s="92"/>
      <c r="K405" s="98"/>
      <c r="L405" s="92"/>
      <c r="N405" s="92"/>
      <c r="O405" s="92"/>
      <c r="P405" s="92"/>
    </row>
    <row r="406">
      <c r="A406" s="90"/>
      <c r="B406" s="97"/>
      <c r="C406" s="121" t="str">
        <f t="array" ref="C406">ifs(and(isblank($A406),isblank($B406)),"", not(iserror(vlookup($A406&amp;$B406,'3) Release_Label'!$D:$D&amp;'3) Release_Label'!$E:$E,1,0))),vlookup($A406&amp;$B406,{'3) Release_Label'!$D:$D&amp;'3) Release_Label'!$E:$E,'3) Release_Label'!$F:$F},2,0),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D406" s="121" t="str">
        <f t="array" ref="D406">ifs(and(isblank($A406),isblank($B406)),"", not(iserror(vlookup($A406&amp;$B406,'3) Release_Label'!$D:$D&amp;'3) Release_Label'!$E:$E,1,0))),vlookup($A406&amp;$B406,{'3) Release_Label'!$D:$D&amp;'3) Release_Label'!$E:$E,'3) Release_Label'!$H:$H},2,0),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E406" s="147" t="str">
        <f t="shared" si="1"/>
        <v/>
      </c>
      <c r="G406" s="97"/>
      <c r="H406" s="155"/>
      <c r="J406" s="92"/>
      <c r="K406" s="98"/>
      <c r="L406" s="92"/>
      <c r="N406" s="92"/>
      <c r="O406" s="92"/>
      <c r="P406" s="92"/>
    </row>
    <row r="407">
      <c r="A407" s="90"/>
      <c r="B407" s="97"/>
      <c r="C407" s="121" t="str">
        <f t="array" ref="C407">ifs(and(isblank($A407),isblank($B407)),"", not(iserror(vlookup($A407&amp;$B407,'3) Release_Label'!$D:$D&amp;'3) Release_Label'!$E:$E,1,0))),vlookup($A407&amp;$B407,{'3) Release_Label'!$D:$D&amp;'3) Release_Label'!$E:$E,'3) Release_Label'!$F:$F},2,0),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D407" s="121" t="str">
        <f t="array" ref="D407">ifs(and(isblank($A407),isblank($B407)),"", not(iserror(vlookup($A407&amp;$B407,'3) Release_Label'!$D:$D&amp;'3) Release_Label'!$E:$E,1,0))),vlookup($A407&amp;$B407,{'3) Release_Label'!$D:$D&amp;'3) Release_Label'!$E:$E,'3) Release_Label'!$H:$H},2,0),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E407" s="147" t="str">
        <f t="shared" si="1"/>
        <v/>
      </c>
      <c r="G407" s="97"/>
      <c r="H407" s="155"/>
      <c r="J407" s="92"/>
      <c r="K407" s="98"/>
      <c r="L407" s="92"/>
      <c r="N407" s="92"/>
      <c r="O407" s="92"/>
      <c r="P407" s="92"/>
    </row>
    <row r="408">
      <c r="A408" s="90"/>
      <c r="B408" s="97"/>
      <c r="C408" s="121" t="str">
        <f t="array" ref="C408">ifs(and(isblank($A408),isblank($B408)),"", not(iserror(vlookup($A408&amp;$B408,'3) Release_Label'!$D:$D&amp;'3) Release_Label'!$E:$E,1,0))),vlookup($A408&amp;$B408,{'3) Release_Label'!$D:$D&amp;'3) Release_Label'!$E:$E,'3) Release_Label'!$F:$F},2,0),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D408" s="121" t="str">
        <f t="array" ref="D408">ifs(and(isblank($A408),isblank($B408)),"", not(iserror(vlookup($A408&amp;$B408,'3) Release_Label'!$D:$D&amp;'3) Release_Label'!$E:$E,1,0))),vlookup($A408&amp;$B408,{'3) Release_Label'!$D:$D&amp;'3) Release_Label'!$E:$E,'3) Release_Label'!$H:$H},2,0),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E408" s="147" t="str">
        <f t="shared" si="1"/>
        <v/>
      </c>
      <c r="G408" s="97"/>
      <c r="H408" s="155"/>
      <c r="J408" s="92"/>
      <c r="K408" s="98"/>
      <c r="L408" s="92"/>
      <c r="N408" s="92"/>
      <c r="O408" s="92"/>
      <c r="P408" s="92"/>
    </row>
    <row r="409">
      <c r="A409" s="90"/>
      <c r="B409" s="97"/>
      <c r="C409" s="121" t="str">
        <f t="array" ref="C409">ifs(and(isblank($A409),isblank($B409)),"", not(iserror(vlookup($A409&amp;$B409,'3) Release_Label'!$D:$D&amp;'3) Release_Label'!$E:$E,1,0))),vlookup($A409&amp;$B409,{'3) Release_Label'!$D:$D&amp;'3) Release_Label'!$E:$E,'3) Release_Label'!$F:$F},2,0),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D409" s="121" t="str">
        <f t="array" ref="D409">ifs(and(isblank($A409),isblank($B409)),"", not(iserror(vlookup($A409&amp;$B409,'3) Release_Label'!$D:$D&amp;'3) Release_Label'!$E:$E,1,0))),vlookup($A409&amp;$B409,{'3) Release_Label'!$D:$D&amp;'3) Release_Label'!$E:$E,'3) Release_Label'!$H:$H},2,0),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E409" s="147" t="str">
        <f t="shared" si="1"/>
        <v/>
      </c>
      <c r="G409" s="97"/>
      <c r="H409" s="155"/>
      <c r="J409" s="92"/>
      <c r="K409" s="98"/>
      <c r="L409" s="92"/>
      <c r="N409" s="92"/>
      <c r="O409" s="92"/>
      <c r="P409" s="92"/>
    </row>
    <row r="410">
      <c r="A410" s="90"/>
      <c r="B410" s="97"/>
      <c r="C410" s="121" t="str">
        <f t="array" ref="C410">ifs(and(isblank($A410),isblank($B410)),"", not(iserror(vlookup($A410&amp;$B410,'3) Release_Label'!$D:$D&amp;'3) Release_Label'!$E:$E,1,0))),vlookup($A410&amp;$B410,{'3) Release_Label'!$D:$D&amp;'3) Release_Label'!$E:$E,'3) Release_Label'!$F:$F},2,0),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D410" s="121" t="str">
        <f t="array" ref="D410">ifs(and(isblank($A410),isblank($B410)),"", not(iserror(vlookup($A410&amp;$B410,'3) Release_Label'!$D:$D&amp;'3) Release_Label'!$E:$E,1,0))),vlookup($A410&amp;$B410,{'3) Release_Label'!$D:$D&amp;'3) Release_Label'!$E:$E,'3) Release_Label'!$H:$H},2,0),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E410" s="147" t="str">
        <f t="shared" si="1"/>
        <v/>
      </c>
      <c r="G410" s="97"/>
      <c r="H410" s="155"/>
      <c r="J410" s="92"/>
      <c r="K410" s="98"/>
      <c r="L410" s="92"/>
      <c r="N410" s="92"/>
      <c r="O410" s="92"/>
      <c r="P410" s="92"/>
    </row>
    <row r="411">
      <c r="A411" s="90"/>
      <c r="B411" s="97"/>
      <c r="C411" s="121" t="str">
        <f t="array" ref="C411">ifs(and(isblank($A411),isblank($B411)),"", not(iserror(vlookup($A411&amp;$B411,'3) Release_Label'!$D:$D&amp;'3) Release_Label'!$E:$E,1,0))),vlookup($A411&amp;$B411,{'3) Release_Label'!$D:$D&amp;'3) Release_Label'!$E:$E,'3) Release_Label'!$F:$F},2,0),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D411" s="121" t="str">
        <f t="array" ref="D411">ifs(and(isblank($A411),isblank($B411)),"", not(iserror(vlookup($A411&amp;$B411,'3) Release_Label'!$D:$D&amp;'3) Release_Label'!$E:$E,1,0))),vlookup($A411&amp;$B411,{'3) Release_Label'!$D:$D&amp;'3) Release_Label'!$E:$E,'3) Release_Label'!$H:$H},2,0),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E411" s="147" t="str">
        <f t="shared" si="1"/>
        <v/>
      </c>
      <c r="G411" s="97"/>
      <c r="H411" s="155"/>
      <c r="J411" s="92"/>
      <c r="K411" s="98"/>
      <c r="L411" s="92"/>
      <c r="N411" s="92"/>
      <c r="O411" s="92"/>
      <c r="P411" s="92"/>
    </row>
    <row r="412">
      <c r="A412" s="90"/>
      <c r="B412" s="97"/>
      <c r="C412" s="121" t="str">
        <f t="array" ref="C412">ifs(and(isblank($A412),isblank($B412)),"", not(iserror(vlookup($A412&amp;$B412,'3) Release_Label'!$D:$D&amp;'3) Release_Label'!$E:$E,1,0))),vlookup($A412&amp;$B412,{'3) Release_Label'!$D:$D&amp;'3) Release_Label'!$E:$E,'3) Release_Label'!$F:$F},2,0),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D412" s="121" t="str">
        <f t="array" ref="D412">ifs(and(isblank($A412),isblank($B412)),"", not(iserror(vlookup($A412&amp;$B412,'3) Release_Label'!$D:$D&amp;'3) Release_Label'!$E:$E,1,0))),vlookup($A412&amp;$B412,{'3) Release_Label'!$D:$D&amp;'3) Release_Label'!$E:$E,'3) Release_Label'!$H:$H},2,0),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E412" s="147" t="str">
        <f t="shared" si="1"/>
        <v/>
      </c>
      <c r="G412" s="97"/>
      <c r="H412" s="155"/>
      <c r="J412" s="92"/>
      <c r="K412" s="98"/>
      <c r="L412" s="92"/>
      <c r="N412" s="92"/>
      <c r="O412" s="92"/>
      <c r="P412" s="92"/>
    </row>
    <row r="413">
      <c r="A413" s="90"/>
      <c r="B413" s="97"/>
      <c r="C413" s="121" t="str">
        <f t="array" ref="C413">ifs(and(isblank($A413),isblank($B413)),"", not(iserror(vlookup($A413&amp;$B413,'3) Release_Label'!$D:$D&amp;'3) Release_Label'!$E:$E,1,0))),vlookup($A413&amp;$B413,{'3) Release_Label'!$D:$D&amp;'3) Release_Label'!$E:$E,'3) Release_Label'!$F:$F},2,0),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D413" s="121" t="str">
        <f t="array" ref="D413">ifs(and(isblank($A413),isblank($B413)),"", not(iserror(vlookup($A413&amp;$B413,'3) Release_Label'!$D:$D&amp;'3) Release_Label'!$E:$E,1,0))),vlookup($A413&amp;$B413,{'3) Release_Label'!$D:$D&amp;'3) Release_Label'!$E:$E,'3) Release_Label'!$H:$H},2,0),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E413" s="147" t="str">
        <f t="shared" si="1"/>
        <v/>
      </c>
      <c r="G413" s="97"/>
      <c r="H413" s="155"/>
      <c r="J413" s="92"/>
      <c r="K413" s="98"/>
      <c r="L413" s="92"/>
      <c r="N413" s="92"/>
      <c r="O413" s="92"/>
      <c r="P413" s="92"/>
    </row>
    <row r="414">
      <c r="A414" s="90"/>
      <c r="B414" s="97"/>
      <c r="C414" s="121" t="str">
        <f t="array" ref="C414">ifs(and(isblank($A414),isblank($B414)),"", not(iserror(vlookup($A414&amp;$B414,'3) Release_Label'!$D:$D&amp;'3) Release_Label'!$E:$E,1,0))),vlookup($A414&amp;$B414,{'3) Release_Label'!$D:$D&amp;'3) Release_Label'!$E:$E,'3) Release_Label'!$F:$F},2,0),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D414" s="121" t="str">
        <f t="array" ref="D414">ifs(and(isblank($A414),isblank($B414)),"", not(iserror(vlookup($A414&amp;$B414,'3) Release_Label'!$D:$D&amp;'3) Release_Label'!$E:$E,1,0))),vlookup($A414&amp;$B414,{'3) Release_Label'!$D:$D&amp;'3) Release_Label'!$E:$E,'3) Release_Label'!$H:$H},2,0),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E414" s="147" t="str">
        <f t="shared" si="1"/>
        <v/>
      </c>
      <c r="G414" s="97"/>
      <c r="H414" s="155"/>
      <c r="J414" s="92"/>
      <c r="K414" s="98"/>
      <c r="L414" s="92"/>
      <c r="N414" s="92"/>
      <c r="O414" s="92"/>
      <c r="P414" s="92"/>
    </row>
    <row r="415">
      <c r="A415" s="90"/>
      <c r="B415" s="97"/>
      <c r="C415" s="121" t="str">
        <f t="array" ref="C415">ifs(and(isblank($A415),isblank($B415)),"", not(iserror(vlookup($A415&amp;$B415,'3) Release_Label'!$D:$D&amp;'3) Release_Label'!$E:$E,1,0))),vlookup($A415&amp;$B415,{'3) Release_Label'!$D:$D&amp;'3) Release_Label'!$E:$E,'3) Release_Label'!$F:$F},2,0),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D415" s="121" t="str">
        <f t="array" ref="D415">ifs(and(isblank($A415),isblank($B415)),"", not(iserror(vlookup($A415&amp;$B415,'3) Release_Label'!$D:$D&amp;'3) Release_Label'!$E:$E,1,0))),vlookup($A415&amp;$B415,{'3) Release_Label'!$D:$D&amp;'3) Release_Label'!$E:$E,'3) Release_Label'!$H:$H},2,0),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E415" s="147" t="str">
        <f t="shared" si="1"/>
        <v/>
      </c>
      <c r="G415" s="97"/>
      <c r="H415" s="155"/>
      <c r="J415" s="92"/>
      <c r="K415" s="98"/>
      <c r="L415" s="92"/>
      <c r="N415" s="92"/>
      <c r="O415" s="92"/>
      <c r="P415" s="92"/>
    </row>
    <row r="416">
      <c r="A416" s="90"/>
      <c r="B416" s="97"/>
      <c r="C416" s="121" t="str">
        <f t="array" ref="C416">ifs(and(isblank($A416),isblank($B416)),"", not(iserror(vlookup($A416&amp;$B416,'3) Release_Label'!$D:$D&amp;'3) Release_Label'!$E:$E,1,0))),vlookup($A416&amp;$B416,{'3) Release_Label'!$D:$D&amp;'3) Release_Label'!$E:$E,'3) Release_Label'!$F:$F},2,0),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D416" s="121" t="str">
        <f t="array" ref="D416">ifs(and(isblank($A416),isblank($B416)),"", not(iserror(vlookup($A416&amp;$B416,'3) Release_Label'!$D:$D&amp;'3) Release_Label'!$E:$E,1,0))),vlookup($A416&amp;$B416,{'3) Release_Label'!$D:$D&amp;'3) Release_Label'!$E:$E,'3) Release_Label'!$H:$H},2,0),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E416" s="147" t="str">
        <f t="shared" si="1"/>
        <v/>
      </c>
      <c r="G416" s="97"/>
      <c r="H416" s="155"/>
      <c r="J416" s="92"/>
      <c r="K416" s="98"/>
      <c r="L416" s="92"/>
      <c r="N416" s="92"/>
      <c r="O416" s="92"/>
      <c r="P416" s="92"/>
    </row>
    <row r="417">
      <c r="A417" s="90"/>
      <c r="B417" s="97"/>
      <c r="C417" s="121" t="str">
        <f t="array" ref="C417">ifs(and(isblank($A417),isblank($B417)),"", not(iserror(vlookup($A417&amp;$B417,'3) Release_Label'!$D:$D&amp;'3) Release_Label'!$E:$E,1,0))),vlookup($A417&amp;$B417,{'3) Release_Label'!$D:$D&amp;'3) Release_Label'!$E:$E,'3) Release_Label'!$F:$F},2,0),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D417" s="121" t="str">
        <f t="array" ref="D417">ifs(and(isblank($A417),isblank($B417)),"", not(iserror(vlookup($A417&amp;$B417,'3) Release_Label'!$D:$D&amp;'3) Release_Label'!$E:$E,1,0))),vlookup($A417&amp;$B417,{'3) Release_Label'!$D:$D&amp;'3) Release_Label'!$E:$E,'3) Release_Label'!$H:$H},2,0),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E417" s="147" t="str">
        <f t="shared" si="1"/>
        <v/>
      </c>
      <c r="G417" s="97"/>
      <c r="H417" s="155"/>
      <c r="J417" s="92"/>
      <c r="K417" s="98"/>
      <c r="L417" s="92"/>
      <c r="N417" s="92"/>
      <c r="O417" s="92"/>
      <c r="P417" s="92"/>
    </row>
    <row r="418">
      <c r="A418" s="90"/>
      <c r="B418" s="97"/>
      <c r="C418" s="121" t="str">
        <f t="array" ref="C418">ifs(and(isblank($A418),isblank($B418)),"", not(iserror(vlookup($A418&amp;$B418,'3) Release_Label'!$D:$D&amp;'3) Release_Label'!$E:$E,1,0))),vlookup($A418&amp;$B418,{'3) Release_Label'!$D:$D&amp;'3) Release_Label'!$E:$E,'3) Release_Label'!$F:$F},2,0),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D418" s="121" t="str">
        <f t="array" ref="D418">ifs(and(isblank($A418),isblank($B418)),"", not(iserror(vlookup($A418&amp;$B418,'3) Release_Label'!$D:$D&amp;'3) Release_Label'!$E:$E,1,0))),vlookup($A418&amp;$B418,{'3) Release_Label'!$D:$D&amp;'3) Release_Label'!$E:$E,'3) Release_Label'!$H:$H},2,0),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E418" s="147" t="str">
        <f t="shared" si="1"/>
        <v/>
      </c>
      <c r="G418" s="97"/>
      <c r="H418" s="155"/>
      <c r="J418" s="92"/>
      <c r="K418" s="98"/>
      <c r="L418" s="92"/>
      <c r="N418" s="92"/>
      <c r="O418" s="92"/>
      <c r="P418" s="92"/>
    </row>
    <row r="419">
      <c r="A419" s="90"/>
      <c r="B419" s="97"/>
      <c r="C419" s="121" t="str">
        <f t="array" ref="C419">ifs(and(isblank($A419),isblank($B419)),"", not(iserror(vlookup($A419&amp;$B419,'3) Release_Label'!$D:$D&amp;'3) Release_Label'!$E:$E,1,0))),vlookup($A419&amp;$B419,{'3) Release_Label'!$D:$D&amp;'3) Release_Label'!$E:$E,'3) Release_Label'!$F:$F},2,0),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D419" s="121" t="str">
        <f t="array" ref="D419">ifs(and(isblank($A419),isblank($B419)),"", not(iserror(vlookup($A419&amp;$B419,'3) Release_Label'!$D:$D&amp;'3) Release_Label'!$E:$E,1,0))),vlookup($A419&amp;$B419,{'3) Release_Label'!$D:$D&amp;'3) Release_Label'!$E:$E,'3) Release_Label'!$H:$H},2,0),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E419" s="147" t="str">
        <f t="shared" si="1"/>
        <v/>
      </c>
      <c r="G419" s="97"/>
      <c r="H419" s="155"/>
      <c r="J419" s="92"/>
      <c r="K419" s="98"/>
      <c r="L419" s="92"/>
      <c r="N419" s="92"/>
      <c r="O419" s="92"/>
      <c r="P419" s="92"/>
    </row>
    <row r="420">
      <c r="A420" s="90"/>
      <c r="B420" s="97"/>
      <c r="C420" s="121" t="str">
        <f t="array" ref="C420">ifs(and(isblank($A420),isblank($B420)),"", not(iserror(vlookup($A420&amp;$B420,'3) Release_Label'!$D:$D&amp;'3) Release_Label'!$E:$E,1,0))),vlookup($A420&amp;$B420,{'3) Release_Label'!$D:$D&amp;'3) Release_Label'!$E:$E,'3) Release_Label'!$F:$F},2,0),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D420" s="121" t="str">
        <f t="array" ref="D420">ifs(and(isblank($A420),isblank($B420)),"", not(iserror(vlookup($A420&amp;$B420,'3) Release_Label'!$D:$D&amp;'3) Release_Label'!$E:$E,1,0))),vlookup($A420&amp;$B420,{'3) Release_Label'!$D:$D&amp;'3) Release_Label'!$E:$E,'3) Release_Label'!$H:$H},2,0),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E420" s="147" t="str">
        <f t="shared" si="1"/>
        <v/>
      </c>
      <c r="G420" s="97"/>
      <c r="H420" s="155"/>
      <c r="J420" s="92"/>
      <c r="K420" s="98"/>
      <c r="L420" s="92"/>
      <c r="N420" s="92"/>
      <c r="O420" s="92"/>
      <c r="P420" s="92"/>
    </row>
    <row r="421">
      <c r="A421" s="90"/>
      <c r="B421" s="97"/>
      <c r="C421" s="121" t="str">
        <f t="array" ref="C421">ifs(and(isblank($A421),isblank($B421)),"", not(iserror(vlookup($A421&amp;$B421,'3) Release_Label'!$D:$D&amp;'3) Release_Label'!$E:$E,1,0))),vlookup($A421&amp;$B421,{'3) Release_Label'!$D:$D&amp;'3) Release_Label'!$E:$E,'3) Release_Label'!$F:$F},2,0),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D421" s="121" t="str">
        <f t="array" ref="D421">ifs(and(isblank($A421),isblank($B421)),"", not(iserror(vlookup($A421&amp;$B421,'3) Release_Label'!$D:$D&amp;'3) Release_Label'!$E:$E,1,0))),vlookup($A421&amp;$B421,{'3) Release_Label'!$D:$D&amp;'3) Release_Label'!$E:$E,'3) Release_Label'!$H:$H},2,0),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E421" s="147" t="str">
        <f t="shared" si="1"/>
        <v/>
      </c>
      <c r="G421" s="97"/>
      <c r="H421" s="155"/>
      <c r="J421" s="92"/>
      <c r="K421" s="98"/>
      <c r="L421" s="92"/>
      <c r="N421" s="92"/>
      <c r="O421" s="92"/>
      <c r="P421" s="92"/>
    </row>
    <row r="422">
      <c r="A422" s="90"/>
      <c r="B422" s="97"/>
      <c r="C422" s="121" t="str">
        <f t="array" ref="C422">ifs(and(isblank($A422),isblank($B422)),"", not(iserror(vlookup($A422&amp;$B422,'3) Release_Label'!$D:$D&amp;'3) Release_Label'!$E:$E,1,0))),vlookup($A422&amp;$B422,{'3) Release_Label'!$D:$D&amp;'3) Release_Label'!$E:$E,'3) Release_Label'!$F:$F},2,0),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D422" s="121" t="str">
        <f t="array" ref="D422">ifs(and(isblank($A422),isblank($B422)),"", not(iserror(vlookup($A422&amp;$B422,'3) Release_Label'!$D:$D&amp;'3) Release_Label'!$E:$E,1,0))),vlookup($A422&amp;$B422,{'3) Release_Label'!$D:$D&amp;'3) Release_Label'!$E:$E,'3) Release_Label'!$H:$H},2,0),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E422" s="147" t="str">
        <f t="shared" si="1"/>
        <v/>
      </c>
      <c r="G422" s="97"/>
      <c r="H422" s="155"/>
      <c r="J422" s="92"/>
      <c r="K422" s="98"/>
      <c r="L422" s="92"/>
      <c r="N422" s="92"/>
      <c r="O422" s="92"/>
      <c r="P422" s="92"/>
    </row>
    <row r="423">
      <c r="A423" s="90"/>
      <c r="B423" s="97"/>
      <c r="C423" s="121" t="str">
        <f t="array" ref="C423">ifs(and(isblank($A423),isblank($B423)),"", not(iserror(vlookup($A423&amp;$B423,'3) Release_Label'!$D:$D&amp;'3) Release_Label'!$E:$E,1,0))),vlookup($A423&amp;$B423,{'3) Release_Label'!$D:$D&amp;'3) Release_Label'!$E:$E,'3) Release_Label'!$F:$F},2,0),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D423" s="121" t="str">
        <f t="array" ref="D423">ifs(and(isblank($A423),isblank($B423)),"", not(iserror(vlookup($A423&amp;$B423,'3) Release_Label'!$D:$D&amp;'3) Release_Label'!$E:$E,1,0))),vlookup($A423&amp;$B423,{'3) Release_Label'!$D:$D&amp;'3) Release_Label'!$E:$E,'3) Release_Label'!$H:$H},2,0),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E423" s="147" t="str">
        <f t="shared" si="1"/>
        <v/>
      </c>
      <c r="G423" s="97"/>
      <c r="H423" s="155"/>
      <c r="J423" s="92"/>
      <c r="K423" s="98"/>
      <c r="L423" s="92"/>
      <c r="N423" s="92"/>
      <c r="O423" s="92"/>
      <c r="P423" s="92"/>
    </row>
    <row r="424">
      <c r="A424" s="90"/>
      <c r="B424" s="97"/>
      <c r="C424" s="121" t="str">
        <f t="array" ref="C424">ifs(and(isblank($A424),isblank($B424)),"", not(iserror(vlookup($A424&amp;$B424,'3) Release_Label'!$D:$D&amp;'3) Release_Label'!$E:$E,1,0))),vlookup($A424&amp;$B424,{'3) Release_Label'!$D:$D&amp;'3) Release_Label'!$E:$E,'3) Release_Label'!$F:$F},2,0),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D424" s="121" t="str">
        <f t="array" ref="D424">ifs(and(isblank($A424),isblank($B424)),"", not(iserror(vlookup($A424&amp;$B424,'3) Release_Label'!$D:$D&amp;'3) Release_Label'!$E:$E,1,0))),vlookup($A424&amp;$B424,{'3) Release_Label'!$D:$D&amp;'3) Release_Label'!$E:$E,'3) Release_Label'!$H:$H},2,0),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E424" s="147" t="str">
        <f t="shared" si="1"/>
        <v/>
      </c>
      <c r="G424" s="97"/>
      <c r="H424" s="155"/>
      <c r="J424" s="92"/>
      <c r="K424" s="98"/>
      <c r="L424" s="92"/>
      <c r="N424" s="92"/>
      <c r="O424" s="92"/>
      <c r="P424" s="92"/>
    </row>
    <row r="425">
      <c r="A425" s="90"/>
      <c r="B425" s="97"/>
      <c r="C425" s="121" t="str">
        <f t="array" ref="C425">ifs(and(isblank($A425),isblank($B425)),"", not(iserror(vlookup($A425&amp;$B425,'3) Release_Label'!$D:$D&amp;'3) Release_Label'!$E:$E,1,0))),vlookup($A425&amp;$B425,{'3) Release_Label'!$D:$D&amp;'3) Release_Label'!$E:$E,'3) Release_Label'!$F:$F},2,0),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D425" s="121" t="str">
        <f t="array" ref="D425">ifs(and(isblank($A425),isblank($B425)),"", not(iserror(vlookup($A425&amp;$B425,'3) Release_Label'!$D:$D&amp;'3) Release_Label'!$E:$E,1,0))),vlookup($A425&amp;$B425,{'3) Release_Label'!$D:$D&amp;'3) Release_Label'!$E:$E,'3) Release_Label'!$H:$H},2,0),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E425" s="147" t="str">
        <f t="shared" si="1"/>
        <v/>
      </c>
      <c r="G425" s="97"/>
      <c r="H425" s="155"/>
      <c r="J425" s="92"/>
      <c r="K425" s="98"/>
      <c r="L425" s="92"/>
      <c r="N425" s="92"/>
      <c r="O425" s="92"/>
      <c r="P425" s="92"/>
    </row>
    <row r="426">
      <c r="A426" s="90"/>
      <c r="B426" s="97"/>
      <c r="C426" s="121" t="str">
        <f t="array" ref="C426">ifs(and(isblank($A426),isblank($B426)),"", not(iserror(vlookup($A426&amp;$B426,'3) Release_Label'!$D:$D&amp;'3) Release_Label'!$E:$E,1,0))),vlookup($A426&amp;$B426,{'3) Release_Label'!$D:$D&amp;'3) Release_Label'!$E:$E,'3) Release_Label'!$F:$F},2,0),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D426" s="121" t="str">
        <f t="array" ref="D426">ifs(and(isblank($A426),isblank($B426)),"", not(iserror(vlookup($A426&amp;$B426,'3) Release_Label'!$D:$D&amp;'3) Release_Label'!$E:$E,1,0))),vlookup($A426&amp;$B426,{'3) Release_Label'!$D:$D&amp;'3) Release_Label'!$E:$E,'3) Release_Label'!$H:$H},2,0),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E426" s="147" t="str">
        <f t="shared" si="1"/>
        <v/>
      </c>
      <c r="G426" s="97"/>
      <c r="H426" s="155"/>
      <c r="J426" s="92"/>
      <c r="K426" s="98"/>
      <c r="L426" s="92"/>
      <c r="N426" s="92"/>
      <c r="O426" s="92"/>
      <c r="P426" s="92"/>
    </row>
    <row r="427">
      <c r="A427" s="90"/>
      <c r="B427" s="97"/>
      <c r="C427" s="121" t="str">
        <f t="array" ref="C427">ifs(and(isblank($A427),isblank($B427)),"", not(iserror(vlookup($A427&amp;$B427,'3) Release_Label'!$D:$D&amp;'3) Release_Label'!$E:$E,1,0))),vlookup($A427&amp;$B427,{'3) Release_Label'!$D:$D&amp;'3) Release_Label'!$E:$E,'3) Release_Label'!$F:$F},2,0),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D427" s="121" t="str">
        <f t="array" ref="D427">ifs(and(isblank($A427),isblank($B427)),"", not(iserror(vlookup($A427&amp;$B427,'3) Release_Label'!$D:$D&amp;'3) Release_Label'!$E:$E,1,0))),vlookup($A427&amp;$B427,{'3) Release_Label'!$D:$D&amp;'3) Release_Label'!$E:$E,'3) Release_Label'!$H:$H},2,0),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E427" s="147" t="str">
        <f t="shared" si="1"/>
        <v/>
      </c>
      <c r="G427" s="97"/>
      <c r="H427" s="155"/>
      <c r="J427" s="92"/>
      <c r="K427" s="98"/>
      <c r="L427" s="92"/>
      <c r="N427" s="92"/>
      <c r="O427" s="92"/>
      <c r="P427" s="92"/>
    </row>
    <row r="428">
      <c r="A428" s="90"/>
      <c r="B428" s="97"/>
      <c r="C428" s="121" t="str">
        <f t="array" ref="C428">ifs(and(isblank($A428),isblank($B428)),"", not(iserror(vlookup($A428&amp;$B428,'3) Release_Label'!$D:$D&amp;'3) Release_Label'!$E:$E,1,0))),vlookup($A428&amp;$B428,{'3) Release_Label'!$D:$D&amp;'3) Release_Label'!$E:$E,'3) Release_Label'!$F:$F},2,0),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D428" s="121" t="str">
        <f t="array" ref="D428">ifs(and(isblank($A428),isblank($B428)),"", not(iserror(vlookup($A428&amp;$B428,'3) Release_Label'!$D:$D&amp;'3) Release_Label'!$E:$E,1,0))),vlookup($A428&amp;$B428,{'3) Release_Label'!$D:$D&amp;'3) Release_Label'!$E:$E,'3) Release_Label'!$H:$H},2,0),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E428" s="147" t="str">
        <f t="shared" si="1"/>
        <v/>
      </c>
      <c r="G428" s="97"/>
      <c r="H428" s="155"/>
      <c r="J428" s="92"/>
      <c r="K428" s="98"/>
      <c r="L428" s="92"/>
      <c r="N428" s="92"/>
      <c r="O428" s="92"/>
      <c r="P428" s="92"/>
    </row>
    <row r="429">
      <c r="A429" s="90"/>
      <c r="B429" s="97"/>
      <c r="C429" s="121" t="str">
        <f t="array" ref="C429">ifs(and(isblank($A429),isblank($B429)),"", not(iserror(vlookup($A429&amp;$B429,'3) Release_Label'!$D:$D&amp;'3) Release_Label'!$E:$E,1,0))),vlookup($A429&amp;$B429,{'3) Release_Label'!$D:$D&amp;'3) Release_Label'!$E:$E,'3) Release_Label'!$F:$F},2,0),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D429" s="121" t="str">
        <f t="array" ref="D429">ifs(and(isblank($A429),isblank($B429)),"", not(iserror(vlookup($A429&amp;$B429,'3) Release_Label'!$D:$D&amp;'3) Release_Label'!$E:$E,1,0))),vlookup($A429&amp;$B429,{'3) Release_Label'!$D:$D&amp;'3) Release_Label'!$E:$E,'3) Release_Label'!$H:$H},2,0),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E429" s="147" t="str">
        <f t="shared" si="1"/>
        <v/>
      </c>
      <c r="G429" s="97"/>
      <c r="H429" s="155"/>
      <c r="J429" s="92"/>
      <c r="K429" s="98"/>
      <c r="L429" s="92"/>
      <c r="N429" s="92"/>
      <c r="O429" s="92"/>
      <c r="P429" s="92"/>
    </row>
    <row r="430">
      <c r="A430" s="90"/>
      <c r="B430" s="97"/>
      <c r="C430" s="121" t="str">
        <f t="array" ref="C430">ifs(and(isblank($A430),isblank($B430)),"", not(iserror(vlookup($A430&amp;$B430,'3) Release_Label'!$D:$D&amp;'3) Release_Label'!$E:$E,1,0))),vlookup($A430&amp;$B430,{'3) Release_Label'!$D:$D&amp;'3) Release_Label'!$E:$E,'3) Release_Label'!$F:$F},2,0),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D430" s="121" t="str">
        <f t="array" ref="D430">ifs(and(isblank($A430),isblank($B430)),"", not(iserror(vlookup($A430&amp;$B430,'3) Release_Label'!$D:$D&amp;'3) Release_Label'!$E:$E,1,0))),vlookup($A430&amp;$B430,{'3) Release_Label'!$D:$D&amp;'3) Release_Label'!$E:$E,'3) Release_Label'!$H:$H},2,0),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E430" s="147" t="str">
        <f t="shared" si="1"/>
        <v/>
      </c>
      <c r="G430" s="97"/>
      <c r="H430" s="155"/>
      <c r="J430" s="92"/>
      <c r="K430" s="98"/>
      <c r="L430" s="92"/>
      <c r="N430" s="92"/>
      <c r="O430" s="92"/>
      <c r="P430" s="92"/>
    </row>
    <row r="431">
      <c r="A431" s="90"/>
      <c r="B431" s="97"/>
      <c r="C431" s="121" t="str">
        <f t="array" ref="C431">ifs(and(isblank($A431),isblank($B431)),"", not(iserror(vlookup($A431&amp;$B431,'3) Release_Label'!$D:$D&amp;'3) Release_Label'!$E:$E,1,0))),vlookup($A431&amp;$B431,{'3) Release_Label'!$D:$D&amp;'3) Release_Label'!$E:$E,'3) Release_Label'!$F:$F},2,0),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D431" s="121" t="str">
        <f t="array" ref="D431">ifs(and(isblank($A431),isblank($B431)),"", not(iserror(vlookup($A431&amp;$B431,'3) Release_Label'!$D:$D&amp;'3) Release_Label'!$E:$E,1,0))),vlookup($A431&amp;$B431,{'3) Release_Label'!$D:$D&amp;'3) Release_Label'!$E:$E,'3) Release_Label'!$H:$H},2,0),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E431" s="147" t="str">
        <f t="shared" si="1"/>
        <v/>
      </c>
      <c r="G431" s="97"/>
      <c r="H431" s="155"/>
      <c r="J431" s="92"/>
      <c r="K431" s="98"/>
      <c r="L431" s="92"/>
      <c r="N431" s="92"/>
      <c r="O431" s="92"/>
      <c r="P431" s="92"/>
    </row>
    <row r="432">
      <c r="A432" s="90"/>
      <c r="B432" s="97"/>
      <c r="C432" s="121" t="str">
        <f t="array" ref="C432">ifs(and(isblank($A432),isblank($B432)),"", not(iserror(vlookup($A432&amp;$B432,'3) Release_Label'!$D:$D&amp;'3) Release_Label'!$E:$E,1,0))),vlookup($A432&amp;$B432,{'3) Release_Label'!$D:$D&amp;'3) Release_Label'!$E:$E,'3) Release_Label'!$F:$F},2,0),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D432" s="121" t="str">
        <f t="array" ref="D432">ifs(and(isblank($A432),isblank($B432)),"", not(iserror(vlookup($A432&amp;$B432,'3) Release_Label'!$D:$D&amp;'3) Release_Label'!$E:$E,1,0))),vlookup($A432&amp;$B432,{'3) Release_Label'!$D:$D&amp;'3) Release_Label'!$E:$E,'3) Release_Label'!$H:$H},2,0),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E432" s="147" t="str">
        <f t="shared" si="1"/>
        <v/>
      </c>
      <c r="G432" s="97"/>
      <c r="H432" s="155"/>
      <c r="J432" s="92"/>
      <c r="K432" s="98"/>
      <c r="L432" s="92"/>
      <c r="N432" s="92"/>
      <c r="O432" s="92"/>
      <c r="P432" s="92"/>
    </row>
    <row r="433">
      <c r="A433" s="90"/>
      <c r="B433" s="97"/>
      <c r="C433" s="121" t="str">
        <f t="array" ref="C433">ifs(and(isblank($A433),isblank($B433)),"", not(iserror(vlookup($A433&amp;$B433,'3) Release_Label'!$D:$D&amp;'3) Release_Label'!$E:$E,1,0))),vlookup($A433&amp;$B433,{'3) Release_Label'!$D:$D&amp;'3) Release_Label'!$E:$E,'3) Release_Label'!$F:$F},2,0),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D433" s="121" t="str">
        <f t="array" ref="D433">ifs(and(isblank($A433),isblank($B433)),"", not(iserror(vlookup($A433&amp;$B433,'3) Release_Label'!$D:$D&amp;'3) Release_Label'!$E:$E,1,0))),vlookup($A433&amp;$B433,{'3) Release_Label'!$D:$D&amp;'3) Release_Label'!$E:$E,'3) Release_Label'!$H:$H},2,0),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E433" s="147" t="str">
        <f t="shared" si="1"/>
        <v/>
      </c>
      <c r="G433" s="97"/>
      <c r="H433" s="155"/>
      <c r="J433" s="92"/>
      <c r="K433" s="98"/>
      <c r="L433" s="92"/>
      <c r="N433" s="92"/>
      <c r="O433" s="92"/>
      <c r="P433" s="92"/>
    </row>
    <row r="434">
      <c r="A434" s="90"/>
      <c r="B434" s="97"/>
      <c r="C434" s="121" t="str">
        <f t="array" ref="C434">ifs(and(isblank($A434),isblank($B434)),"", not(iserror(vlookup($A434&amp;$B434,'3) Release_Label'!$D:$D&amp;'3) Release_Label'!$E:$E,1,0))),vlookup($A434&amp;$B434,{'3) Release_Label'!$D:$D&amp;'3) Release_Label'!$E:$E,'3) Release_Label'!$F:$F},2,0),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D434" s="121" t="str">
        <f t="array" ref="D434">ifs(and(isblank($A434),isblank($B434)),"", not(iserror(vlookup($A434&amp;$B434,'3) Release_Label'!$D:$D&amp;'3) Release_Label'!$E:$E,1,0))),vlookup($A434&amp;$B434,{'3) Release_Label'!$D:$D&amp;'3) Release_Label'!$E:$E,'3) Release_Label'!$H:$H},2,0),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E434" s="147" t="str">
        <f t="shared" si="1"/>
        <v/>
      </c>
      <c r="G434" s="97"/>
      <c r="H434" s="155"/>
      <c r="J434" s="92"/>
      <c r="K434" s="98"/>
      <c r="L434" s="92"/>
      <c r="N434" s="92"/>
      <c r="O434" s="92"/>
      <c r="P434" s="92"/>
    </row>
    <row r="435">
      <c r="A435" s="90"/>
      <c r="B435" s="97"/>
      <c r="C435" s="121" t="str">
        <f t="array" ref="C435">ifs(and(isblank($A435),isblank($B435)),"", not(iserror(vlookup($A435&amp;$B435,'3) Release_Label'!$D:$D&amp;'3) Release_Label'!$E:$E,1,0))),vlookup($A435&amp;$B435,{'3) Release_Label'!$D:$D&amp;'3) Release_Label'!$E:$E,'3) Release_Label'!$F:$F},2,0),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D435" s="121" t="str">
        <f t="array" ref="D435">ifs(and(isblank($A435),isblank($B435)),"", not(iserror(vlookup($A435&amp;$B435,'3) Release_Label'!$D:$D&amp;'3) Release_Label'!$E:$E,1,0))),vlookup($A435&amp;$B435,{'3) Release_Label'!$D:$D&amp;'3) Release_Label'!$E:$E,'3) Release_Label'!$H:$H},2,0),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E435" s="147" t="str">
        <f t="shared" si="1"/>
        <v/>
      </c>
      <c r="G435" s="97"/>
      <c r="H435" s="155"/>
      <c r="J435" s="92"/>
      <c r="K435" s="98"/>
      <c r="L435" s="92"/>
      <c r="N435" s="92"/>
      <c r="O435" s="92"/>
      <c r="P435" s="92"/>
    </row>
    <row r="436">
      <c r="A436" s="90"/>
      <c r="B436" s="97"/>
      <c r="C436" s="121" t="str">
        <f t="array" ref="C436">ifs(and(isblank($A436),isblank($B436)),"", not(iserror(vlookup($A436&amp;$B436,'3) Release_Label'!$D:$D&amp;'3) Release_Label'!$E:$E,1,0))),vlookup($A436&amp;$B436,{'3) Release_Label'!$D:$D&amp;'3) Release_Label'!$E:$E,'3) Release_Label'!$F:$F},2,0),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D436" s="121" t="str">
        <f t="array" ref="D436">ifs(and(isblank($A436),isblank($B436)),"", not(iserror(vlookup($A436&amp;$B436,'3) Release_Label'!$D:$D&amp;'3) Release_Label'!$E:$E,1,0))),vlookup($A436&amp;$B436,{'3) Release_Label'!$D:$D&amp;'3) Release_Label'!$E:$E,'3) Release_Label'!$H:$H},2,0),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E436" s="147" t="str">
        <f t="shared" si="1"/>
        <v/>
      </c>
      <c r="G436" s="97"/>
      <c r="H436" s="155"/>
      <c r="J436" s="92"/>
      <c r="K436" s="98"/>
      <c r="L436" s="92"/>
      <c r="N436" s="92"/>
      <c r="O436" s="92"/>
      <c r="P436" s="92"/>
    </row>
    <row r="437">
      <c r="A437" s="90"/>
      <c r="B437" s="97"/>
      <c r="C437" s="121" t="str">
        <f t="array" ref="C437">ifs(and(isblank($A437),isblank($B437)),"", not(iserror(vlookup($A437&amp;$B437,'3) Release_Label'!$D:$D&amp;'3) Release_Label'!$E:$E,1,0))),vlookup($A437&amp;$B437,{'3) Release_Label'!$D:$D&amp;'3) Release_Label'!$E:$E,'3) Release_Label'!$F:$F},2,0),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D437" s="121" t="str">
        <f t="array" ref="D437">ifs(and(isblank($A437),isblank($B437)),"", not(iserror(vlookup($A437&amp;$B437,'3) Release_Label'!$D:$D&amp;'3) Release_Label'!$E:$E,1,0))),vlookup($A437&amp;$B437,{'3) Release_Label'!$D:$D&amp;'3) Release_Label'!$E:$E,'3) Release_Label'!$H:$H},2,0),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E437" s="147" t="str">
        <f t="shared" si="1"/>
        <v/>
      </c>
      <c r="G437" s="97"/>
      <c r="H437" s="155"/>
      <c r="J437" s="92"/>
      <c r="K437" s="98"/>
      <c r="L437" s="92"/>
      <c r="N437" s="92"/>
      <c r="O437" s="92"/>
      <c r="P437" s="92"/>
    </row>
    <row r="438">
      <c r="A438" s="90"/>
      <c r="B438" s="97"/>
      <c r="C438" s="121" t="str">
        <f t="array" ref="C438">ifs(and(isblank($A438),isblank($B438)),"", not(iserror(vlookup($A438&amp;$B438,'3) Release_Label'!$D:$D&amp;'3) Release_Label'!$E:$E,1,0))),vlookup($A438&amp;$B438,{'3) Release_Label'!$D:$D&amp;'3) Release_Label'!$E:$E,'3) Release_Label'!$F:$F},2,0),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D438" s="121" t="str">
        <f t="array" ref="D438">ifs(and(isblank($A438),isblank($B438)),"", not(iserror(vlookup($A438&amp;$B438,'3) Release_Label'!$D:$D&amp;'3) Release_Label'!$E:$E,1,0))),vlookup($A438&amp;$B438,{'3) Release_Label'!$D:$D&amp;'3) Release_Label'!$E:$E,'3) Release_Label'!$H:$H},2,0),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E438" s="147" t="str">
        <f t="shared" si="1"/>
        <v/>
      </c>
      <c r="G438" s="97"/>
      <c r="H438" s="155"/>
      <c r="J438" s="92"/>
      <c r="K438" s="98"/>
      <c r="L438" s="92"/>
      <c r="N438" s="92"/>
      <c r="O438" s="92"/>
      <c r="P438" s="92"/>
    </row>
    <row r="439">
      <c r="A439" s="90"/>
      <c r="B439" s="97"/>
      <c r="C439" s="121" t="str">
        <f t="array" ref="C439">ifs(and(isblank($A439),isblank($B439)),"", not(iserror(vlookup($A439&amp;$B439,'3) Release_Label'!$D:$D&amp;'3) Release_Label'!$E:$E,1,0))),vlookup($A439&amp;$B439,{'3) Release_Label'!$D:$D&amp;'3) Release_Label'!$E:$E,'3) Release_Label'!$F:$F},2,0),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D439" s="121" t="str">
        <f t="array" ref="D439">ifs(and(isblank($A439),isblank($B439)),"", not(iserror(vlookup($A439&amp;$B439,'3) Release_Label'!$D:$D&amp;'3) Release_Label'!$E:$E,1,0))),vlookup($A439&amp;$B439,{'3) Release_Label'!$D:$D&amp;'3) Release_Label'!$E:$E,'3) Release_Label'!$H:$H},2,0),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E439" s="147" t="str">
        <f t="shared" si="1"/>
        <v/>
      </c>
      <c r="G439" s="97"/>
      <c r="H439" s="155"/>
      <c r="J439" s="92"/>
      <c r="K439" s="98"/>
      <c r="L439" s="92"/>
      <c r="N439" s="92"/>
      <c r="O439" s="92"/>
      <c r="P439" s="92"/>
    </row>
    <row r="440">
      <c r="A440" s="90"/>
      <c r="B440" s="97"/>
      <c r="C440" s="121" t="str">
        <f t="array" ref="C440">ifs(and(isblank($A440),isblank($B440)),"", not(iserror(vlookup($A440&amp;$B440,'3) Release_Label'!$D:$D&amp;'3) Release_Label'!$E:$E,1,0))),vlookup($A440&amp;$B440,{'3) Release_Label'!$D:$D&amp;'3) Release_Label'!$E:$E,'3) Release_Label'!$F:$F},2,0),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D440" s="121" t="str">
        <f t="array" ref="D440">ifs(and(isblank($A440),isblank($B440)),"", not(iserror(vlookup($A440&amp;$B440,'3) Release_Label'!$D:$D&amp;'3) Release_Label'!$E:$E,1,0))),vlookup($A440&amp;$B440,{'3) Release_Label'!$D:$D&amp;'3) Release_Label'!$E:$E,'3) Release_Label'!$H:$H},2,0),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E440" s="147" t="str">
        <f t="shared" si="1"/>
        <v/>
      </c>
      <c r="G440" s="97"/>
      <c r="H440" s="155"/>
      <c r="J440" s="92"/>
      <c r="K440" s="98"/>
      <c r="L440" s="92"/>
      <c r="N440" s="92"/>
      <c r="O440" s="92"/>
      <c r="P440" s="92"/>
    </row>
    <row r="441">
      <c r="A441" s="90"/>
      <c r="B441" s="97"/>
      <c r="C441" s="121" t="str">
        <f t="array" ref="C441">ifs(and(isblank($A441),isblank($B441)),"", not(iserror(vlookup($A441&amp;$B441,'3) Release_Label'!$D:$D&amp;'3) Release_Label'!$E:$E,1,0))),vlookup($A441&amp;$B441,{'3) Release_Label'!$D:$D&amp;'3) Release_Label'!$E:$E,'3) Release_Label'!$F:$F},2,0),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D441" s="121" t="str">
        <f t="array" ref="D441">ifs(and(isblank($A441),isblank($B441)),"", not(iserror(vlookup($A441&amp;$B441,'3) Release_Label'!$D:$D&amp;'3) Release_Label'!$E:$E,1,0))),vlookup($A441&amp;$B441,{'3) Release_Label'!$D:$D&amp;'3) Release_Label'!$E:$E,'3) Release_Label'!$H:$H},2,0),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E441" s="147" t="str">
        <f t="shared" si="1"/>
        <v/>
      </c>
      <c r="G441" s="97"/>
      <c r="H441" s="155"/>
      <c r="J441" s="92"/>
      <c r="K441" s="98"/>
      <c r="L441" s="92"/>
      <c r="N441" s="92"/>
      <c r="O441" s="92"/>
      <c r="P441" s="92"/>
    </row>
    <row r="442">
      <c r="A442" s="90"/>
      <c r="B442" s="97"/>
      <c r="C442" s="121" t="str">
        <f t="array" ref="C442">ifs(and(isblank($A442),isblank($B442)),"", not(iserror(vlookup($A442&amp;$B442,'3) Release_Label'!$D:$D&amp;'3) Release_Label'!$E:$E,1,0))),vlookup($A442&amp;$B442,{'3) Release_Label'!$D:$D&amp;'3) Release_Label'!$E:$E,'3) Release_Label'!$F:$F},2,0),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D442" s="121" t="str">
        <f t="array" ref="D442">ifs(and(isblank($A442),isblank($B442)),"", not(iserror(vlookup($A442&amp;$B442,'3) Release_Label'!$D:$D&amp;'3) Release_Label'!$E:$E,1,0))),vlookup($A442&amp;$B442,{'3) Release_Label'!$D:$D&amp;'3) Release_Label'!$E:$E,'3) Release_Label'!$H:$H},2,0),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E442" s="147" t="str">
        <f t="shared" si="1"/>
        <v/>
      </c>
      <c r="G442" s="97"/>
      <c r="H442" s="155"/>
      <c r="J442" s="92"/>
      <c r="K442" s="98"/>
      <c r="L442" s="92"/>
      <c r="N442" s="92"/>
      <c r="O442" s="92"/>
      <c r="P442" s="92"/>
    </row>
    <row r="443">
      <c r="A443" s="90"/>
      <c r="B443" s="97"/>
      <c r="C443" s="121" t="str">
        <f t="array" ref="C443">ifs(and(isblank($A443),isblank($B443)),"", not(iserror(vlookup($A443&amp;$B443,'3) Release_Label'!$D:$D&amp;'3) Release_Label'!$E:$E,1,0))),vlookup($A443&amp;$B443,{'3) Release_Label'!$D:$D&amp;'3) Release_Label'!$E:$E,'3) Release_Label'!$F:$F},2,0),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D443" s="121" t="str">
        <f t="array" ref="D443">ifs(and(isblank($A443),isblank($B443)),"", not(iserror(vlookup($A443&amp;$B443,'3) Release_Label'!$D:$D&amp;'3) Release_Label'!$E:$E,1,0))),vlookup($A443&amp;$B443,{'3) Release_Label'!$D:$D&amp;'3) Release_Label'!$E:$E,'3) Release_Label'!$H:$H},2,0),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E443" s="147" t="str">
        <f t="shared" si="1"/>
        <v/>
      </c>
      <c r="G443" s="97"/>
      <c r="H443" s="155"/>
      <c r="J443" s="92"/>
      <c r="K443" s="98"/>
      <c r="L443" s="92"/>
      <c r="N443" s="92"/>
      <c r="O443" s="92"/>
      <c r="P443" s="92"/>
    </row>
    <row r="444">
      <c r="A444" s="90"/>
      <c r="B444" s="97"/>
      <c r="C444" s="121" t="str">
        <f t="array" ref="C444">ifs(and(isblank($A444),isblank($B444)),"", not(iserror(vlookup($A444&amp;$B444,'3) Release_Label'!$D:$D&amp;'3) Release_Label'!$E:$E,1,0))),vlookup($A444&amp;$B444,{'3) Release_Label'!$D:$D&amp;'3) Release_Label'!$E:$E,'3) Release_Label'!$F:$F},2,0),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D444" s="121" t="str">
        <f t="array" ref="D444">ifs(and(isblank($A444),isblank($B444)),"", not(iserror(vlookup($A444&amp;$B444,'3) Release_Label'!$D:$D&amp;'3) Release_Label'!$E:$E,1,0))),vlookup($A444&amp;$B444,{'3) Release_Label'!$D:$D&amp;'3) Release_Label'!$E:$E,'3) Release_Label'!$H:$H},2,0),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E444" s="147" t="str">
        <f t="shared" si="1"/>
        <v/>
      </c>
      <c r="G444" s="97"/>
      <c r="H444" s="155"/>
      <c r="J444" s="92"/>
      <c r="K444" s="98"/>
      <c r="L444" s="92"/>
      <c r="N444" s="92"/>
      <c r="O444" s="92"/>
      <c r="P444" s="92"/>
    </row>
    <row r="445">
      <c r="A445" s="90"/>
      <c r="B445" s="97"/>
      <c r="C445" s="121" t="str">
        <f t="array" ref="C445">ifs(and(isblank($A445),isblank($B445)),"", not(iserror(vlookup($A445&amp;$B445,'3) Release_Label'!$D:$D&amp;'3) Release_Label'!$E:$E,1,0))),vlookup($A445&amp;$B445,{'3) Release_Label'!$D:$D&amp;'3) Release_Label'!$E:$E,'3) Release_Label'!$F:$F},2,0),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D445" s="121" t="str">
        <f t="array" ref="D445">ifs(and(isblank($A445),isblank($B445)),"", not(iserror(vlookup($A445&amp;$B445,'3) Release_Label'!$D:$D&amp;'3) Release_Label'!$E:$E,1,0))),vlookup($A445&amp;$B445,{'3) Release_Label'!$D:$D&amp;'3) Release_Label'!$E:$E,'3) Release_Label'!$H:$H},2,0),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E445" s="147" t="str">
        <f t="shared" si="1"/>
        <v/>
      </c>
      <c r="G445" s="97"/>
      <c r="H445" s="155"/>
      <c r="J445" s="92"/>
      <c r="K445" s="98"/>
      <c r="L445" s="92"/>
      <c r="N445" s="92"/>
      <c r="O445" s="92"/>
      <c r="P445" s="92"/>
    </row>
    <row r="446">
      <c r="A446" s="28"/>
      <c r="B446" s="97"/>
      <c r="C446" s="121" t="str">
        <f t="array" ref="C446">ifs(and(isblank($A446),isblank($B446)),"", not(iserror(vlookup($A446&amp;$B446,'3) Release_Label'!$D:$D&amp;'3) Release_Label'!$E:$E,1,0))),vlookup($A446&amp;$B446,{'3) Release_Label'!$D:$D&amp;'3) Release_Label'!$E:$E,'3) Release_Label'!$F:$F},2,0),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D446" s="121" t="str">
        <f t="array" ref="D446">ifs(and(isblank($A446),isblank($B446)),"", not(iserror(vlookup($A446&amp;$B446,'3) Release_Label'!$D:$D&amp;'3) Release_Label'!$E:$E,1,0))),vlookup($A446&amp;$B446,{'3) Release_Label'!$D:$D&amp;'3) Release_Label'!$E:$E,'3) Release_Label'!$H:$H},2,0),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E446" s="147" t="str">
        <f t="shared" si="1"/>
        <v/>
      </c>
      <c r="G446" s="97"/>
      <c r="H446" s="155"/>
      <c r="J446" s="92"/>
      <c r="K446" s="98"/>
      <c r="L446" s="92"/>
      <c r="N446" s="92"/>
      <c r="O446" s="92"/>
      <c r="P446" s="92"/>
    </row>
    <row r="447">
      <c r="A447" s="28"/>
      <c r="B447" s="97"/>
      <c r="C447" s="121" t="str">
        <f t="array" ref="C447">ifs(and(isblank($A447),isblank($B447)),"", not(iserror(vlookup($A447&amp;$B447,'3) Release_Label'!$D:$D&amp;'3) Release_Label'!$E:$E,1,0))),vlookup($A447&amp;$B447,{'3) Release_Label'!$D:$D&amp;'3) Release_Label'!$E:$E,'3) Release_Label'!$F:$F},2,0),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D447" s="121" t="str">
        <f t="array" ref="D447">ifs(and(isblank($A447),isblank($B447)),"", not(iserror(vlookup($A447&amp;$B447,'3) Release_Label'!$D:$D&amp;'3) Release_Label'!$E:$E,1,0))),vlookup($A447&amp;$B447,{'3) Release_Label'!$D:$D&amp;'3) Release_Label'!$E:$E,'3) Release_Label'!$H:$H},2,0),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E447" s="147" t="str">
        <f t="shared" si="1"/>
        <v/>
      </c>
      <c r="G447" s="97"/>
      <c r="H447" s="155"/>
      <c r="J447" s="92"/>
      <c r="K447" s="98"/>
      <c r="L447" s="92"/>
      <c r="N447" s="92"/>
      <c r="O447" s="92"/>
      <c r="P447" s="92"/>
    </row>
    <row r="448">
      <c r="A448" s="28"/>
      <c r="B448" s="97"/>
      <c r="C448" s="121" t="str">
        <f t="array" ref="C448">ifs(and(isblank($A448),isblank($B448)),"", not(iserror(vlookup($A448&amp;$B448,'3) Release_Label'!$D:$D&amp;'3) Release_Label'!$E:$E,1,0))),vlookup($A448&amp;$B448,{'3) Release_Label'!$D:$D&amp;'3) Release_Label'!$E:$E,'3) Release_Label'!$F:$F},2,0),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D448" s="121" t="str">
        <f t="array" ref="D448">ifs(and(isblank($A448),isblank($B448)),"", not(iserror(vlookup($A448&amp;$B448,'3) Release_Label'!$D:$D&amp;'3) Release_Label'!$E:$E,1,0))),vlookup($A448&amp;$B448,{'3) Release_Label'!$D:$D&amp;'3) Release_Label'!$E:$E,'3) Release_Label'!$H:$H},2,0),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E448" s="147" t="str">
        <f t="shared" si="1"/>
        <v/>
      </c>
      <c r="G448" s="97"/>
      <c r="H448" s="155"/>
      <c r="J448" s="92"/>
      <c r="K448" s="98"/>
      <c r="L448" s="92"/>
      <c r="N448" s="92"/>
      <c r="O448" s="92"/>
      <c r="P448" s="92"/>
    </row>
    <row r="449">
      <c r="A449" s="28"/>
      <c r="B449" s="97"/>
      <c r="C449" s="121" t="str">
        <f t="array" ref="C449">ifs(and(isblank($A449),isblank($B449)),"", not(iserror(vlookup($A449&amp;$B449,'3) Release_Label'!$D:$D&amp;'3) Release_Label'!$E:$E,1,0))),vlookup($A449&amp;$B449,{'3) Release_Label'!$D:$D&amp;'3) Release_Label'!$E:$E,'3) Release_Label'!$F:$F},2,0),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D449" s="121" t="str">
        <f t="array" ref="D449">ifs(and(isblank($A449),isblank($B449)),"", not(iserror(vlookup($A449&amp;$B449,'3) Release_Label'!$D:$D&amp;'3) Release_Label'!$E:$E,1,0))),vlookup($A449&amp;$B449,{'3) Release_Label'!$D:$D&amp;'3) Release_Label'!$E:$E,'3) Release_Label'!$H:$H},2,0),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E449" s="147" t="str">
        <f t="shared" si="1"/>
        <v/>
      </c>
      <c r="G449" s="97"/>
      <c r="H449" s="155"/>
      <c r="J449" s="92"/>
      <c r="K449" s="98"/>
      <c r="L449" s="92"/>
      <c r="N449" s="92"/>
      <c r="O449" s="92"/>
      <c r="P449" s="92"/>
    </row>
    <row r="450">
      <c r="A450" s="28"/>
      <c r="B450" s="97"/>
      <c r="C450" s="121" t="str">
        <f t="array" ref="C450">ifs(and(isblank($A450),isblank($B450)),"", not(iserror(vlookup($A450&amp;$B450,'3) Release_Label'!$D:$D&amp;'3) Release_Label'!$E:$E,1,0))),vlookup($A450&amp;$B450,{'3) Release_Label'!$D:$D&amp;'3) Release_Label'!$E:$E,'3) Release_Label'!$F:$F},2,0),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D450" s="121" t="str">
        <f t="array" ref="D450">ifs(and(isblank($A450),isblank($B450)),"", not(iserror(vlookup($A450&amp;$B450,'3) Release_Label'!$D:$D&amp;'3) Release_Label'!$E:$E,1,0))),vlookup($A450&amp;$B450,{'3) Release_Label'!$D:$D&amp;'3) Release_Label'!$E:$E,'3) Release_Label'!$H:$H},2,0),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E450" s="147" t="str">
        <f t="shared" si="1"/>
        <v/>
      </c>
      <c r="G450" s="97"/>
      <c r="H450" s="155"/>
      <c r="J450" s="92"/>
      <c r="K450" s="98"/>
      <c r="L450" s="92"/>
      <c r="N450" s="92"/>
      <c r="O450" s="92"/>
      <c r="P450" s="92"/>
    </row>
    <row r="451">
      <c r="A451" s="28"/>
      <c r="B451" s="97"/>
      <c r="C451" s="121" t="str">
        <f t="array" ref="C451">ifs(and(isblank($A451),isblank($B451)),"", not(iserror(vlookup($A451&amp;$B451,'3) Release_Label'!$D:$D&amp;'3) Release_Label'!$E:$E,1,0))),vlookup($A451&amp;$B451,{'3) Release_Label'!$D:$D&amp;'3) Release_Label'!$E:$E,'3) Release_Label'!$F:$F},2,0),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D451" s="121" t="str">
        <f t="array" ref="D451">ifs(and(isblank($A451),isblank($B451)),"", not(iserror(vlookup($A451&amp;$B451,'3) Release_Label'!$D:$D&amp;'3) Release_Label'!$E:$E,1,0))),vlookup($A451&amp;$B451,{'3) Release_Label'!$D:$D&amp;'3) Release_Label'!$E:$E,'3) Release_Label'!$H:$H},2,0),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E451" s="147" t="str">
        <f t="shared" si="1"/>
        <v/>
      </c>
      <c r="G451" s="97"/>
      <c r="H451" s="155"/>
      <c r="J451" s="92"/>
      <c r="K451" s="98"/>
      <c r="L451" s="92"/>
      <c r="N451" s="92"/>
      <c r="O451" s="92"/>
      <c r="P451" s="92"/>
    </row>
    <row r="452">
      <c r="A452" s="28"/>
      <c r="B452" s="97"/>
      <c r="C452" s="121" t="str">
        <f t="array" ref="C452">ifs(and(isblank($A452),isblank($B452)),"", not(iserror(vlookup($A452&amp;$B452,'3) Release_Label'!$D:$D&amp;'3) Release_Label'!$E:$E,1,0))),vlookup($A452&amp;$B452,{'3) Release_Label'!$D:$D&amp;'3) Release_Label'!$E:$E,'3) Release_Label'!$F:$F},2,0),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D452" s="121" t="str">
        <f t="array" ref="D452">ifs(and(isblank($A452),isblank($B452)),"", not(iserror(vlookup($A452&amp;$B452,'3) Release_Label'!$D:$D&amp;'3) Release_Label'!$E:$E,1,0))),vlookup($A452&amp;$B452,{'3) Release_Label'!$D:$D&amp;'3) Release_Label'!$E:$E,'3) Release_Label'!$H:$H},2,0),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E452" s="147" t="str">
        <f t="shared" si="1"/>
        <v/>
      </c>
      <c r="G452" s="97"/>
      <c r="H452" s="155"/>
      <c r="J452" s="92"/>
      <c r="K452" s="98"/>
      <c r="L452" s="92"/>
      <c r="N452" s="92"/>
      <c r="O452" s="92"/>
      <c r="P452" s="92"/>
    </row>
    <row r="453">
      <c r="A453" s="28"/>
      <c r="B453" s="97"/>
      <c r="C453" s="121" t="str">
        <f t="array" ref="C453">ifs(and(isblank($A453),isblank($B453)),"", not(iserror(vlookup($A453&amp;$B453,'3) Release_Label'!$D:$D&amp;'3) Release_Label'!$E:$E,1,0))),vlookup($A453&amp;$B453,{'3) Release_Label'!$D:$D&amp;'3) Release_Label'!$E:$E,'3) Release_Label'!$F:$F},2,0),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D453" s="121" t="str">
        <f t="array" ref="D453">ifs(and(isblank($A453),isblank($B453)),"", not(iserror(vlookup($A453&amp;$B453,'3) Release_Label'!$D:$D&amp;'3) Release_Label'!$E:$E,1,0))),vlookup($A453&amp;$B453,{'3) Release_Label'!$D:$D&amp;'3) Release_Label'!$E:$E,'3) Release_Label'!$H:$H},2,0),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E453" s="147" t="str">
        <f t="shared" si="1"/>
        <v/>
      </c>
      <c r="G453" s="97"/>
      <c r="H453" s="155"/>
      <c r="J453" s="92"/>
      <c r="K453" s="98"/>
      <c r="L453" s="92"/>
      <c r="N453" s="92"/>
      <c r="O453" s="92"/>
      <c r="P453" s="92"/>
    </row>
    <row r="454">
      <c r="A454" s="28"/>
      <c r="B454" s="97"/>
      <c r="C454" s="121" t="str">
        <f t="array" ref="C454">ifs(and(isblank($A454),isblank($B454)),"", not(iserror(vlookup($A454&amp;$B454,'3) Release_Label'!$D:$D&amp;'3) Release_Label'!$E:$E,1,0))),vlookup($A454&amp;$B454,{'3) Release_Label'!$D:$D&amp;'3) Release_Label'!$E:$E,'3) Release_Label'!$F:$F},2,0),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D454" s="121" t="str">
        <f t="array" ref="D454">ifs(and(isblank($A454),isblank($B454)),"", not(iserror(vlookup($A454&amp;$B454,'3) Release_Label'!$D:$D&amp;'3) Release_Label'!$E:$E,1,0))),vlookup($A454&amp;$B454,{'3) Release_Label'!$D:$D&amp;'3) Release_Label'!$E:$E,'3) Release_Label'!$H:$H},2,0),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E454" s="147" t="str">
        <f t="shared" si="1"/>
        <v/>
      </c>
      <c r="G454" s="97"/>
      <c r="H454" s="155"/>
      <c r="J454" s="92"/>
      <c r="K454" s="98"/>
      <c r="L454" s="92"/>
      <c r="N454" s="92"/>
      <c r="O454" s="92"/>
      <c r="P454" s="92"/>
    </row>
    <row r="455">
      <c r="A455" s="28"/>
      <c r="B455" s="97"/>
      <c r="C455" s="121" t="str">
        <f t="array" ref="C455">ifs(and(isblank($A455),isblank($B455)),"", not(iserror(vlookup($A455&amp;$B455,'3) Release_Label'!$D:$D&amp;'3) Release_Label'!$E:$E,1,0))),vlookup($A455&amp;$B455,{'3) Release_Label'!$D:$D&amp;'3) Release_Label'!$E:$E,'3) Release_Label'!$F:$F},2,0),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D455" s="121" t="str">
        <f t="array" ref="D455">ifs(and(isblank($A455),isblank($B455)),"", not(iserror(vlookup($A455&amp;$B455,'3) Release_Label'!$D:$D&amp;'3) Release_Label'!$E:$E,1,0))),vlookup($A455&amp;$B455,{'3) Release_Label'!$D:$D&amp;'3) Release_Label'!$E:$E,'3) Release_Label'!$H:$H},2,0),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E455" s="147" t="str">
        <f t="shared" si="1"/>
        <v/>
      </c>
      <c r="G455" s="97"/>
      <c r="H455" s="155"/>
      <c r="J455" s="92"/>
      <c r="K455" s="98"/>
      <c r="L455" s="92"/>
      <c r="N455" s="92"/>
      <c r="O455" s="92"/>
      <c r="P455" s="92"/>
    </row>
    <row r="456">
      <c r="A456" s="28"/>
      <c r="B456" s="97"/>
      <c r="C456" s="121" t="str">
        <f t="array" ref="C456">ifs(and(isblank($A456),isblank($B456)),"", not(iserror(vlookup($A456&amp;$B456,'3) Release_Label'!$D:$D&amp;'3) Release_Label'!$E:$E,1,0))),vlookup($A456&amp;$B456,{'3) Release_Label'!$D:$D&amp;'3) Release_Label'!$E:$E,'3) Release_Label'!$F:$F},2,0),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D456" s="121" t="str">
        <f t="array" ref="D456">ifs(and(isblank($A456),isblank($B456)),"", not(iserror(vlookup($A456&amp;$B456,'3) Release_Label'!$D:$D&amp;'3) Release_Label'!$E:$E,1,0))),vlookup($A456&amp;$B456,{'3) Release_Label'!$D:$D&amp;'3) Release_Label'!$E:$E,'3) Release_Label'!$H:$H},2,0),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E456" s="147" t="str">
        <f t="shared" si="1"/>
        <v/>
      </c>
      <c r="G456" s="97"/>
      <c r="H456" s="155"/>
      <c r="J456" s="92"/>
      <c r="K456" s="98"/>
      <c r="L456" s="92"/>
      <c r="N456" s="92"/>
      <c r="O456" s="92"/>
      <c r="P456" s="92"/>
    </row>
    <row r="457">
      <c r="A457" s="28"/>
      <c r="B457" s="97"/>
      <c r="C457" s="121" t="str">
        <f t="array" ref="C457">ifs(and(isblank($A457),isblank($B457)),"", not(iserror(vlookup($A457&amp;$B457,'3) Release_Label'!$D:$D&amp;'3) Release_Label'!$E:$E,1,0))),vlookup($A457&amp;$B457,{'3) Release_Label'!$D:$D&amp;'3) Release_Label'!$E:$E,'3) Release_Label'!$F:$F},2,0),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D457" s="121" t="str">
        <f t="array" ref="D457">ifs(and(isblank($A457),isblank($B457)),"", not(iserror(vlookup($A457&amp;$B457,'3) Release_Label'!$D:$D&amp;'3) Release_Label'!$E:$E,1,0))),vlookup($A457&amp;$B457,{'3) Release_Label'!$D:$D&amp;'3) Release_Label'!$E:$E,'3) Release_Label'!$H:$H},2,0),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E457" s="147" t="str">
        <f t="shared" si="1"/>
        <v/>
      </c>
      <c r="G457" s="97"/>
      <c r="H457" s="155"/>
      <c r="J457" s="92"/>
      <c r="K457" s="98"/>
      <c r="L457" s="92"/>
      <c r="N457" s="92"/>
      <c r="O457" s="92"/>
      <c r="P457" s="92"/>
    </row>
    <row r="458">
      <c r="A458" s="28"/>
      <c r="B458" s="97"/>
      <c r="C458" s="121" t="str">
        <f t="array" ref="C458">ifs(and(isblank($A458),isblank($B458)),"", not(iserror(vlookup($A458&amp;$B458,'3) Release_Label'!$D:$D&amp;'3) Release_Label'!$E:$E,1,0))),vlookup($A458&amp;$B458,{'3) Release_Label'!$D:$D&amp;'3) Release_Label'!$E:$E,'3) Release_Label'!$F:$F},2,0),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D458" s="121" t="str">
        <f t="array" ref="D458">ifs(and(isblank($A458),isblank($B458)),"", not(iserror(vlookup($A458&amp;$B458,'3) Release_Label'!$D:$D&amp;'3) Release_Label'!$E:$E,1,0))),vlookup($A458&amp;$B458,{'3) Release_Label'!$D:$D&amp;'3) Release_Label'!$E:$E,'3) Release_Label'!$H:$H},2,0),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E458" s="147" t="str">
        <f t="shared" si="1"/>
        <v/>
      </c>
      <c r="G458" s="97"/>
      <c r="H458" s="155"/>
      <c r="J458" s="92"/>
      <c r="K458" s="98"/>
      <c r="L458" s="92"/>
      <c r="N458" s="92"/>
      <c r="O458" s="92"/>
      <c r="P458" s="92"/>
    </row>
    <row r="459">
      <c r="A459" s="28"/>
      <c r="B459" s="97"/>
      <c r="C459" s="121" t="str">
        <f t="array" ref="C459">ifs(and(isblank($A459),isblank($B459)),"", not(iserror(vlookup($A459&amp;$B459,'3) Release_Label'!$D:$D&amp;'3) Release_Label'!$E:$E,1,0))),vlookup($A459&amp;$B459,{'3) Release_Label'!$D:$D&amp;'3) Release_Label'!$E:$E,'3) Release_Label'!$F:$F},2,0),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D459" s="121" t="str">
        <f t="array" ref="D459">ifs(and(isblank($A459),isblank($B459)),"", not(iserror(vlookup($A459&amp;$B459,'3) Release_Label'!$D:$D&amp;'3) Release_Label'!$E:$E,1,0))),vlookup($A459&amp;$B459,{'3) Release_Label'!$D:$D&amp;'3) Release_Label'!$E:$E,'3) Release_Label'!$H:$H},2,0),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E459" s="147" t="str">
        <f t="shared" si="1"/>
        <v/>
      </c>
      <c r="G459" s="97"/>
      <c r="H459" s="155"/>
      <c r="J459" s="92"/>
      <c r="K459" s="98"/>
      <c r="L459" s="92"/>
      <c r="N459" s="92"/>
      <c r="O459" s="92"/>
      <c r="P459" s="92"/>
    </row>
    <row r="460">
      <c r="A460" s="28"/>
      <c r="B460" s="97"/>
      <c r="C460" s="121" t="str">
        <f t="array" ref="C460">ifs(and(isblank($A460),isblank($B460)),"", not(iserror(vlookup($A460&amp;$B460,'3) Release_Label'!$D:$D&amp;'3) Release_Label'!$E:$E,1,0))),vlookup($A460&amp;$B460,{'3) Release_Label'!$D:$D&amp;'3) Release_Label'!$E:$E,'3) Release_Label'!$F:$F},2,0),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D460" s="121" t="str">
        <f t="array" ref="D460">ifs(and(isblank($A460),isblank($B460)),"", not(iserror(vlookup($A460&amp;$B460,'3) Release_Label'!$D:$D&amp;'3) Release_Label'!$E:$E,1,0))),vlookup($A460&amp;$B460,{'3) Release_Label'!$D:$D&amp;'3) Release_Label'!$E:$E,'3) Release_Label'!$H:$H},2,0),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E460" s="147" t="str">
        <f t="shared" si="1"/>
        <v/>
      </c>
      <c r="G460" s="97"/>
      <c r="H460" s="155"/>
      <c r="J460" s="92"/>
      <c r="K460" s="98"/>
      <c r="L460" s="92"/>
      <c r="N460" s="92"/>
      <c r="O460" s="92"/>
      <c r="P460" s="92"/>
    </row>
    <row r="461">
      <c r="A461" s="28"/>
      <c r="B461" s="97"/>
      <c r="C461" s="121" t="str">
        <f t="array" ref="C461">ifs(and(isblank($A461),isblank($B461)),"", not(iserror(vlookup($A461&amp;$B461,'3) Release_Label'!$D:$D&amp;'3) Release_Label'!$E:$E,1,0))),vlookup($A461&amp;$B461,{'3) Release_Label'!$D:$D&amp;'3) Release_Label'!$E:$E,'3) Release_Label'!$F:$F},2,0),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D461" s="121" t="str">
        <f t="array" ref="D461">ifs(and(isblank($A461),isblank($B461)),"", not(iserror(vlookup($A461&amp;$B461,'3) Release_Label'!$D:$D&amp;'3) Release_Label'!$E:$E,1,0))),vlookup($A461&amp;$B461,{'3) Release_Label'!$D:$D&amp;'3) Release_Label'!$E:$E,'3) Release_Label'!$H:$H},2,0),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E461" s="147" t="str">
        <f t="shared" si="1"/>
        <v/>
      </c>
      <c r="G461" s="97"/>
      <c r="H461" s="155"/>
      <c r="J461" s="92"/>
      <c r="K461" s="98"/>
      <c r="L461" s="92"/>
      <c r="N461" s="92"/>
      <c r="O461" s="92"/>
      <c r="P461" s="92"/>
    </row>
    <row r="462">
      <c r="A462" s="28"/>
      <c r="B462" s="97"/>
      <c r="C462" s="121" t="str">
        <f t="array" ref="C462">ifs(and(isblank($A462),isblank($B462)),"", not(iserror(vlookup($A462&amp;$B462,'3) Release_Label'!$D:$D&amp;'3) Release_Label'!$E:$E,1,0))),vlookup($A462&amp;$B462,{'3) Release_Label'!$D:$D&amp;'3) Release_Label'!$E:$E,'3) Release_Label'!$F:$F},2,0),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D462" s="121" t="str">
        <f t="array" ref="D462">ifs(and(isblank($A462),isblank($B462)),"", not(iserror(vlookup($A462&amp;$B462,'3) Release_Label'!$D:$D&amp;'3) Release_Label'!$E:$E,1,0))),vlookup($A462&amp;$B462,{'3) Release_Label'!$D:$D&amp;'3) Release_Label'!$E:$E,'3) Release_Label'!$H:$H},2,0),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E462" s="147" t="str">
        <f t="shared" si="1"/>
        <v/>
      </c>
      <c r="G462" s="97"/>
      <c r="H462" s="155"/>
      <c r="J462" s="92"/>
      <c r="K462" s="98"/>
      <c r="L462" s="92"/>
      <c r="N462" s="92"/>
      <c r="O462" s="92"/>
      <c r="P462" s="92"/>
    </row>
    <row r="463">
      <c r="A463" s="28"/>
      <c r="B463" s="97"/>
      <c r="C463" s="121" t="str">
        <f t="array" ref="C463">ifs(and(isblank($A463),isblank($B463)),"", not(iserror(vlookup($A463&amp;$B463,'3) Release_Label'!$D:$D&amp;'3) Release_Label'!$E:$E,1,0))),vlookup($A463&amp;$B463,{'3) Release_Label'!$D:$D&amp;'3) Release_Label'!$E:$E,'3) Release_Label'!$F:$F},2,0),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D463" s="121" t="str">
        <f t="array" ref="D463">ifs(and(isblank($A463),isblank($B463)),"", not(iserror(vlookup($A463&amp;$B463,'3) Release_Label'!$D:$D&amp;'3) Release_Label'!$E:$E,1,0))),vlookup($A463&amp;$B463,{'3) Release_Label'!$D:$D&amp;'3) Release_Label'!$E:$E,'3) Release_Label'!$H:$H},2,0),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E463" s="147" t="str">
        <f t="shared" si="1"/>
        <v/>
      </c>
      <c r="G463" s="97"/>
      <c r="H463" s="155"/>
      <c r="J463" s="92"/>
      <c r="K463" s="98"/>
      <c r="L463" s="92"/>
      <c r="N463" s="92"/>
      <c r="O463" s="92"/>
      <c r="P463" s="92"/>
    </row>
    <row r="464">
      <c r="A464" s="28"/>
      <c r="B464" s="97"/>
      <c r="C464" s="121" t="str">
        <f t="array" ref="C464">ifs(and(isblank($A464),isblank($B464)),"", not(iserror(vlookup($A464&amp;$B464,'3) Release_Label'!$D:$D&amp;'3) Release_Label'!$E:$E,1,0))),vlookup($A464&amp;$B464,{'3) Release_Label'!$D:$D&amp;'3) Release_Label'!$E:$E,'3) Release_Label'!$F:$F},2,0),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D464" s="121" t="str">
        <f t="array" ref="D464">ifs(and(isblank($A464),isblank($B464)),"", not(iserror(vlookup($A464&amp;$B464,'3) Release_Label'!$D:$D&amp;'3) Release_Label'!$E:$E,1,0))),vlookup($A464&amp;$B464,{'3) Release_Label'!$D:$D&amp;'3) Release_Label'!$E:$E,'3) Release_Label'!$H:$H},2,0),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E464" s="147" t="str">
        <f t="shared" si="1"/>
        <v/>
      </c>
      <c r="G464" s="97"/>
      <c r="H464" s="155"/>
      <c r="J464" s="92"/>
      <c r="K464" s="98"/>
      <c r="L464" s="92"/>
      <c r="N464" s="92"/>
      <c r="O464" s="92"/>
      <c r="P464" s="92"/>
    </row>
    <row r="465">
      <c r="A465" s="28"/>
      <c r="B465" s="97"/>
      <c r="C465" s="121" t="str">
        <f t="array" ref="C465">ifs(and(isblank($A465),isblank($B465)),"", not(iserror(vlookup($A465&amp;$B465,'3) Release_Label'!$D:$D&amp;'3) Release_Label'!$E:$E,1,0))),vlookup($A465&amp;$B465,{'3) Release_Label'!$D:$D&amp;'3) Release_Label'!$E:$E,'3) Release_Label'!$F:$F},2,0),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D465" s="121" t="str">
        <f t="array" ref="D465">ifs(and(isblank($A465),isblank($B465)),"", not(iserror(vlookup($A465&amp;$B465,'3) Release_Label'!$D:$D&amp;'3) Release_Label'!$E:$E,1,0))),vlookup($A465&amp;$B465,{'3) Release_Label'!$D:$D&amp;'3) Release_Label'!$E:$E,'3) Release_Label'!$H:$H},2,0),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E465" s="147" t="str">
        <f t="shared" si="1"/>
        <v/>
      </c>
      <c r="G465" s="97"/>
      <c r="H465" s="155"/>
      <c r="J465" s="92"/>
      <c r="K465" s="98"/>
      <c r="L465" s="92"/>
      <c r="N465" s="92"/>
      <c r="O465" s="92"/>
      <c r="P465" s="92"/>
    </row>
    <row r="466">
      <c r="A466" s="28"/>
      <c r="B466" s="97"/>
      <c r="C466" s="121" t="str">
        <f t="array" ref="C466">ifs(and(isblank($A466),isblank($B466)),"", not(iserror(vlookup($A466&amp;$B466,'3) Release_Label'!$D:$D&amp;'3) Release_Label'!$E:$E,1,0))),vlookup($A466&amp;$B466,{'3) Release_Label'!$D:$D&amp;'3) Release_Label'!$E:$E,'3) Release_Label'!$F:$F},2,0),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D466" s="121" t="str">
        <f t="array" ref="D466">ifs(and(isblank($A466),isblank($B466)),"", not(iserror(vlookup($A466&amp;$B466,'3) Release_Label'!$D:$D&amp;'3) Release_Label'!$E:$E,1,0))),vlookup($A466&amp;$B466,{'3) Release_Label'!$D:$D&amp;'3) Release_Label'!$E:$E,'3) Release_Label'!$H:$H},2,0),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E466" s="147" t="str">
        <f t="shared" si="1"/>
        <v/>
      </c>
      <c r="G466" s="97"/>
      <c r="H466" s="155"/>
      <c r="J466" s="92"/>
      <c r="K466" s="98"/>
      <c r="L466" s="92"/>
      <c r="N466" s="92"/>
      <c r="O466" s="92"/>
      <c r="P466" s="92"/>
    </row>
    <row r="467">
      <c r="A467" s="28"/>
      <c r="B467" s="97"/>
      <c r="C467" s="121" t="str">
        <f t="array" ref="C467">ifs(and(isblank($A467),isblank($B467)),"", not(iserror(vlookup($A467&amp;$B467,'3) Release_Label'!$D:$D&amp;'3) Release_Label'!$E:$E,1,0))),vlookup($A467&amp;$B467,{'3) Release_Label'!$D:$D&amp;'3) Release_Label'!$E:$E,'3) Release_Label'!$F:$F},2,0),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D467" s="121" t="str">
        <f t="array" ref="D467">ifs(and(isblank($A467),isblank($B467)),"", not(iserror(vlookup($A467&amp;$B467,'3) Release_Label'!$D:$D&amp;'3) Release_Label'!$E:$E,1,0))),vlookup($A467&amp;$B467,{'3) Release_Label'!$D:$D&amp;'3) Release_Label'!$E:$E,'3) Release_Label'!$H:$H},2,0),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E467" s="147" t="str">
        <f t="shared" si="1"/>
        <v/>
      </c>
      <c r="G467" s="97"/>
      <c r="H467" s="155"/>
      <c r="J467" s="92"/>
      <c r="K467" s="98"/>
      <c r="L467" s="92"/>
      <c r="N467" s="92"/>
      <c r="O467" s="92"/>
      <c r="P467" s="92"/>
    </row>
    <row r="468">
      <c r="A468" s="28"/>
      <c r="B468" s="97"/>
      <c r="C468" s="121" t="str">
        <f t="array" ref="C468">ifs(and(isblank($A468),isblank($B468)),"", not(iserror(vlookup($A468&amp;$B468,'3) Release_Label'!$D:$D&amp;'3) Release_Label'!$E:$E,1,0))),vlookup($A468&amp;$B468,{'3) Release_Label'!$D:$D&amp;'3) Release_Label'!$E:$E,'3) Release_Label'!$F:$F},2,0),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D468" s="121" t="str">
        <f t="array" ref="D468">ifs(and(isblank($A468),isblank($B468)),"", not(iserror(vlookup($A468&amp;$B468,'3) Release_Label'!$D:$D&amp;'3) Release_Label'!$E:$E,1,0))),vlookup($A468&amp;$B468,{'3) Release_Label'!$D:$D&amp;'3) Release_Label'!$E:$E,'3) Release_Label'!$H:$H},2,0),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E468" s="147" t="str">
        <f t="shared" si="1"/>
        <v/>
      </c>
      <c r="G468" s="97"/>
      <c r="H468" s="155"/>
      <c r="J468" s="92"/>
      <c r="K468" s="98"/>
      <c r="L468" s="92"/>
      <c r="N468" s="92"/>
      <c r="O468" s="92"/>
      <c r="P468" s="92"/>
    </row>
    <row r="469">
      <c r="A469" s="28"/>
      <c r="B469" s="97"/>
      <c r="C469" s="121" t="str">
        <f t="array" ref="C469">ifs(and(isblank($A469),isblank($B469)),"", not(iserror(vlookup($A469&amp;$B469,'3) Release_Label'!$D:$D&amp;'3) Release_Label'!$E:$E,1,0))),vlookup($A469&amp;$B469,{'3) Release_Label'!$D:$D&amp;'3) Release_Label'!$E:$E,'3) Release_Label'!$F:$F},2,0),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D469" s="121" t="str">
        <f t="array" ref="D469">ifs(and(isblank($A469),isblank($B469)),"", not(iserror(vlookup($A469&amp;$B469,'3) Release_Label'!$D:$D&amp;'3) Release_Label'!$E:$E,1,0))),vlookup($A469&amp;$B469,{'3) Release_Label'!$D:$D&amp;'3) Release_Label'!$E:$E,'3) Release_Label'!$H:$H},2,0),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E469" s="147" t="str">
        <f t="shared" si="1"/>
        <v/>
      </c>
      <c r="G469" s="97"/>
      <c r="H469" s="155"/>
      <c r="J469" s="92"/>
      <c r="K469" s="98"/>
      <c r="L469" s="92"/>
      <c r="N469" s="92"/>
      <c r="O469" s="92"/>
      <c r="P469" s="92"/>
    </row>
    <row r="470">
      <c r="A470" s="28"/>
      <c r="B470" s="97"/>
      <c r="C470" s="121" t="str">
        <f t="array" ref="C470">ifs(and(isblank($A470),isblank($B470)),"", not(iserror(vlookup($A470&amp;$B470,'3) Release_Label'!$D:$D&amp;'3) Release_Label'!$E:$E,1,0))),vlookup($A470&amp;$B470,{'3) Release_Label'!$D:$D&amp;'3) Release_Label'!$E:$E,'3) Release_Label'!$F:$F},2,0),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D470" s="121" t="str">
        <f t="array" ref="D470">ifs(and(isblank($A470),isblank($B470)),"", not(iserror(vlookup($A470&amp;$B470,'3) Release_Label'!$D:$D&amp;'3) Release_Label'!$E:$E,1,0))),vlookup($A470&amp;$B470,{'3) Release_Label'!$D:$D&amp;'3) Release_Label'!$E:$E,'3) Release_Label'!$H:$H},2,0),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E470" s="147" t="str">
        <f t="shared" si="1"/>
        <v/>
      </c>
      <c r="G470" s="97"/>
      <c r="H470" s="155"/>
      <c r="J470" s="92"/>
      <c r="K470" s="98"/>
      <c r="L470" s="92"/>
      <c r="N470" s="92"/>
      <c r="O470" s="92"/>
      <c r="P470" s="92"/>
    </row>
    <row r="471">
      <c r="A471" s="28"/>
      <c r="B471" s="97"/>
      <c r="C471" s="121" t="str">
        <f t="array" ref="C471">ifs(and(isblank($A471),isblank($B471)),"", not(iserror(vlookup($A471&amp;$B471,'3) Release_Label'!$D:$D&amp;'3) Release_Label'!$E:$E,1,0))),vlookup($A471&amp;$B471,{'3) Release_Label'!$D:$D&amp;'3) Release_Label'!$E:$E,'3) Release_Label'!$F:$F},2,0),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D471" s="121" t="str">
        <f t="array" ref="D471">ifs(and(isblank($A471),isblank($B471)),"", not(iserror(vlookup($A471&amp;$B471,'3) Release_Label'!$D:$D&amp;'3) Release_Label'!$E:$E,1,0))),vlookup($A471&amp;$B471,{'3) Release_Label'!$D:$D&amp;'3) Release_Label'!$E:$E,'3) Release_Label'!$H:$H},2,0),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E471" s="147" t="str">
        <f t="shared" si="1"/>
        <v/>
      </c>
      <c r="G471" s="97"/>
      <c r="H471" s="155"/>
      <c r="J471" s="92"/>
      <c r="K471" s="98"/>
      <c r="L471" s="92"/>
      <c r="N471" s="92"/>
      <c r="O471" s="92"/>
      <c r="P471" s="92"/>
    </row>
    <row r="472">
      <c r="A472" s="28"/>
      <c r="B472" s="97"/>
      <c r="C472" s="121" t="str">
        <f t="array" ref="C472">ifs(and(isblank($A472),isblank($B472)),"", not(iserror(vlookup($A472&amp;$B472,'3) Release_Label'!$D:$D&amp;'3) Release_Label'!$E:$E,1,0))),vlookup($A472&amp;$B472,{'3) Release_Label'!$D:$D&amp;'3) Release_Label'!$E:$E,'3) Release_Label'!$F:$F},2,0),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D472" s="121" t="str">
        <f t="array" ref="D472">ifs(and(isblank($A472),isblank($B472)),"", not(iserror(vlookup($A472&amp;$B472,'3) Release_Label'!$D:$D&amp;'3) Release_Label'!$E:$E,1,0))),vlookup($A472&amp;$B472,{'3) Release_Label'!$D:$D&amp;'3) Release_Label'!$E:$E,'3) Release_Label'!$H:$H},2,0),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E472" s="147" t="str">
        <f t="shared" si="1"/>
        <v/>
      </c>
      <c r="G472" s="97"/>
      <c r="H472" s="155"/>
      <c r="J472" s="92"/>
      <c r="K472" s="98"/>
      <c r="L472" s="92"/>
      <c r="N472" s="92"/>
      <c r="O472" s="92"/>
      <c r="P472" s="92"/>
    </row>
    <row r="473">
      <c r="A473" s="28"/>
      <c r="B473" s="97"/>
      <c r="C473" s="121" t="str">
        <f t="array" ref="C473">ifs(and(isblank($A473),isblank($B473)),"", not(iserror(vlookup($A473&amp;$B473,'3) Release_Label'!$D:$D&amp;'3) Release_Label'!$E:$E,1,0))),vlookup($A473&amp;$B473,{'3) Release_Label'!$D:$D&amp;'3) Release_Label'!$E:$E,'3) Release_Label'!$F:$F},2,0),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D473" s="121" t="str">
        <f t="array" ref="D473">ifs(and(isblank($A473),isblank($B473)),"", not(iserror(vlookup($A473&amp;$B473,'3) Release_Label'!$D:$D&amp;'3) Release_Label'!$E:$E,1,0))),vlookup($A473&amp;$B473,{'3) Release_Label'!$D:$D&amp;'3) Release_Label'!$E:$E,'3) Release_Label'!$H:$H},2,0),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E473" s="147" t="str">
        <f t="shared" si="1"/>
        <v/>
      </c>
      <c r="G473" s="97"/>
      <c r="H473" s="155"/>
      <c r="J473" s="92"/>
      <c r="K473" s="98"/>
      <c r="L473" s="92"/>
      <c r="N473" s="92"/>
      <c r="O473" s="92"/>
      <c r="P473" s="92"/>
    </row>
    <row r="474">
      <c r="A474" s="28"/>
      <c r="B474" s="97"/>
      <c r="C474" s="121" t="str">
        <f t="array" ref="C474">ifs(and(isblank($A474),isblank($B474)),"", not(iserror(vlookup($A474&amp;$B474,'3) Release_Label'!$D:$D&amp;'3) Release_Label'!$E:$E,1,0))),vlookup($A474&amp;$B474,{'3) Release_Label'!$D:$D&amp;'3) Release_Label'!$E:$E,'3) Release_Label'!$F:$F},2,0),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D474" s="121" t="str">
        <f t="array" ref="D474">ifs(and(isblank($A474),isblank($B474)),"", not(iserror(vlookup($A474&amp;$B474,'3) Release_Label'!$D:$D&amp;'3) Release_Label'!$E:$E,1,0))),vlookup($A474&amp;$B474,{'3) Release_Label'!$D:$D&amp;'3) Release_Label'!$E:$E,'3) Release_Label'!$H:$H},2,0),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E474" s="147" t="str">
        <f t="shared" si="1"/>
        <v/>
      </c>
      <c r="G474" s="97"/>
      <c r="H474" s="155"/>
      <c r="J474" s="92"/>
      <c r="K474" s="98"/>
      <c r="L474" s="92"/>
      <c r="N474" s="92"/>
      <c r="O474" s="92"/>
      <c r="P474" s="92"/>
    </row>
    <row r="475">
      <c r="A475" s="28"/>
      <c r="B475" s="97"/>
      <c r="C475" s="121" t="str">
        <f t="array" ref="C475">ifs(and(isblank($A475),isblank($B475)),"", not(iserror(vlookup($A475&amp;$B475,'3) Release_Label'!$D:$D&amp;'3) Release_Label'!$E:$E,1,0))),vlookup($A475&amp;$B475,{'3) Release_Label'!$D:$D&amp;'3) Release_Label'!$E:$E,'3) Release_Label'!$F:$F},2,0),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D475" s="121" t="str">
        <f t="array" ref="D475">ifs(and(isblank($A475),isblank($B475)),"", not(iserror(vlookup($A475&amp;$B475,'3) Release_Label'!$D:$D&amp;'3) Release_Label'!$E:$E,1,0))),vlookup($A475&amp;$B475,{'3) Release_Label'!$D:$D&amp;'3) Release_Label'!$E:$E,'3) Release_Label'!$H:$H},2,0),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E475" s="147" t="str">
        <f t="shared" si="1"/>
        <v/>
      </c>
      <c r="G475" s="97"/>
      <c r="H475" s="155"/>
      <c r="J475" s="92"/>
      <c r="K475" s="98"/>
      <c r="L475" s="92"/>
      <c r="N475" s="92"/>
      <c r="O475" s="92"/>
      <c r="P475" s="92"/>
    </row>
    <row r="476">
      <c r="A476" s="28"/>
      <c r="B476" s="97"/>
      <c r="C476" s="121" t="str">
        <f t="array" ref="C476">ifs(and(isblank($A476),isblank($B476)),"", not(iserror(vlookup($A476&amp;$B476,'3) Release_Label'!$D:$D&amp;'3) Release_Label'!$E:$E,1,0))),vlookup($A476&amp;$B476,{'3) Release_Label'!$D:$D&amp;'3) Release_Label'!$E:$E,'3) Release_Label'!$F:$F},2,0),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D476" s="121" t="str">
        <f t="array" ref="D476">ifs(and(isblank($A476),isblank($B476)),"", not(iserror(vlookup($A476&amp;$B476,'3) Release_Label'!$D:$D&amp;'3) Release_Label'!$E:$E,1,0))),vlookup($A476&amp;$B476,{'3) Release_Label'!$D:$D&amp;'3) Release_Label'!$E:$E,'3) Release_Label'!$H:$H},2,0),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E476" s="147" t="str">
        <f t="shared" si="1"/>
        <v/>
      </c>
      <c r="G476" s="97"/>
      <c r="H476" s="155"/>
      <c r="J476" s="92"/>
      <c r="K476" s="98"/>
      <c r="L476" s="92"/>
      <c r="N476" s="92"/>
      <c r="O476" s="92"/>
      <c r="P476" s="92"/>
    </row>
    <row r="477">
      <c r="A477" s="28"/>
      <c r="B477" s="97"/>
      <c r="C477" s="121" t="str">
        <f t="array" ref="C477">ifs(and(isblank($A477),isblank($B477)),"", not(iserror(vlookup($A477&amp;$B477,'3) Release_Label'!$D:$D&amp;'3) Release_Label'!$E:$E,1,0))),vlookup($A477&amp;$B477,{'3) Release_Label'!$D:$D&amp;'3) Release_Label'!$E:$E,'3) Release_Label'!$F:$F},2,0),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D477" s="121" t="str">
        <f t="array" ref="D477">ifs(and(isblank($A477),isblank($B477)),"", not(iserror(vlookup($A477&amp;$B477,'3) Release_Label'!$D:$D&amp;'3) Release_Label'!$E:$E,1,0))),vlookup($A477&amp;$B477,{'3) Release_Label'!$D:$D&amp;'3) Release_Label'!$E:$E,'3) Release_Label'!$H:$H},2,0),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E477" s="147" t="str">
        <f t="shared" si="1"/>
        <v/>
      </c>
      <c r="G477" s="97"/>
      <c r="H477" s="155"/>
      <c r="J477" s="92"/>
      <c r="K477" s="98"/>
      <c r="L477" s="92"/>
      <c r="N477" s="92"/>
      <c r="O477" s="92"/>
      <c r="P477" s="92"/>
    </row>
    <row r="478">
      <c r="A478" s="28"/>
      <c r="B478" s="97"/>
      <c r="C478" s="121" t="str">
        <f t="array" ref="C478">ifs(and(isblank($A478),isblank($B478)),"", not(iserror(vlookup($A478&amp;$B478,'3) Release_Label'!$D:$D&amp;'3) Release_Label'!$E:$E,1,0))),vlookup($A478&amp;$B478,{'3) Release_Label'!$D:$D&amp;'3) Release_Label'!$E:$E,'3) Release_Label'!$F:$F},2,0),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D478" s="121" t="str">
        <f t="array" ref="D478">ifs(and(isblank($A478),isblank($B478)),"", not(iserror(vlookup($A478&amp;$B478,'3) Release_Label'!$D:$D&amp;'3) Release_Label'!$E:$E,1,0))),vlookup($A478&amp;$B478,{'3) Release_Label'!$D:$D&amp;'3) Release_Label'!$E:$E,'3) Release_Label'!$H:$H},2,0),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E478" s="147" t="str">
        <f t="shared" si="1"/>
        <v/>
      </c>
      <c r="G478" s="97"/>
      <c r="H478" s="155"/>
      <c r="J478" s="92"/>
      <c r="K478" s="98"/>
      <c r="L478" s="92"/>
      <c r="N478" s="92"/>
      <c r="O478" s="92"/>
      <c r="P478" s="92"/>
    </row>
    <row r="479">
      <c r="A479" s="28"/>
      <c r="B479" s="97"/>
      <c r="C479" s="121" t="str">
        <f t="array" ref="C479">ifs(and(isblank($A479),isblank($B479)),"", not(iserror(vlookup($A479&amp;$B479,'3) Release_Label'!$D:$D&amp;'3) Release_Label'!$E:$E,1,0))),vlookup($A479&amp;$B479,{'3) Release_Label'!$D:$D&amp;'3) Release_Label'!$E:$E,'3) Release_Label'!$F:$F},2,0),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D479" s="121" t="str">
        <f t="array" ref="D479">ifs(and(isblank($A479),isblank($B479)),"", not(iserror(vlookup($A479&amp;$B479,'3) Release_Label'!$D:$D&amp;'3) Release_Label'!$E:$E,1,0))),vlookup($A479&amp;$B479,{'3) Release_Label'!$D:$D&amp;'3) Release_Label'!$E:$E,'3) Release_Label'!$H:$H},2,0),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E479" s="147" t="str">
        <f t="shared" si="1"/>
        <v/>
      </c>
      <c r="G479" s="97"/>
      <c r="H479" s="155"/>
      <c r="J479" s="92"/>
      <c r="K479" s="98"/>
      <c r="L479" s="92"/>
      <c r="N479" s="92"/>
      <c r="O479" s="92"/>
      <c r="P479" s="92"/>
    </row>
    <row r="480">
      <c r="A480" s="28"/>
      <c r="B480" s="97"/>
      <c r="C480" s="121" t="str">
        <f t="array" ref="C480">ifs(and(isblank($A480),isblank($B480)),"", not(iserror(vlookup($A480&amp;$B480,'3) Release_Label'!$D:$D&amp;'3) Release_Label'!$E:$E,1,0))),vlookup($A480&amp;$B480,{'3) Release_Label'!$D:$D&amp;'3) Release_Label'!$E:$E,'3) Release_Label'!$F:$F},2,0),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D480" s="121" t="str">
        <f t="array" ref="D480">ifs(and(isblank($A480),isblank($B480)),"", not(iserror(vlookup($A480&amp;$B480,'3) Release_Label'!$D:$D&amp;'3) Release_Label'!$E:$E,1,0))),vlookup($A480&amp;$B480,{'3) Release_Label'!$D:$D&amp;'3) Release_Label'!$E:$E,'3) Release_Label'!$H:$H},2,0),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E480" s="147" t="str">
        <f t="shared" si="1"/>
        <v/>
      </c>
      <c r="G480" s="97"/>
      <c r="H480" s="155"/>
      <c r="J480" s="92"/>
      <c r="K480" s="98"/>
      <c r="L480" s="92"/>
      <c r="N480" s="92"/>
      <c r="O480" s="92"/>
      <c r="P480" s="92"/>
    </row>
    <row r="481">
      <c r="A481" s="28"/>
      <c r="B481" s="97"/>
      <c r="C481" s="121" t="str">
        <f t="array" ref="C481">ifs(and(isblank($A481),isblank($B481)),"", not(iserror(vlookup($A481&amp;$B481,'3) Release_Label'!$D:$D&amp;'3) Release_Label'!$E:$E,1,0))),vlookup($A481&amp;$B481,{'3) Release_Label'!$D:$D&amp;'3) Release_Label'!$E:$E,'3) Release_Label'!$F:$F},2,0),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D481" s="121" t="str">
        <f t="array" ref="D481">ifs(and(isblank($A481),isblank($B481)),"", not(iserror(vlookup($A481&amp;$B481,'3) Release_Label'!$D:$D&amp;'3) Release_Label'!$E:$E,1,0))),vlookup($A481&amp;$B481,{'3) Release_Label'!$D:$D&amp;'3) Release_Label'!$E:$E,'3) Release_Label'!$H:$H},2,0),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E481" s="147" t="str">
        <f t="shared" si="1"/>
        <v/>
      </c>
      <c r="G481" s="97"/>
      <c r="H481" s="155"/>
      <c r="J481" s="92"/>
      <c r="K481" s="98"/>
      <c r="L481" s="92"/>
      <c r="N481" s="92"/>
      <c r="O481" s="92"/>
      <c r="P481" s="92"/>
    </row>
    <row r="482">
      <c r="A482" s="28"/>
      <c r="B482" s="97"/>
      <c r="C482" s="121" t="str">
        <f t="array" ref="C482">ifs(and(isblank($A482),isblank($B482)),"", not(iserror(vlookup($A482&amp;$B482,'3) Release_Label'!$D:$D&amp;'3) Release_Label'!$E:$E,1,0))),vlookup($A482&amp;$B482,{'3) Release_Label'!$D:$D&amp;'3) Release_Label'!$E:$E,'3) Release_Label'!$F:$F},2,0),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D482" s="121" t="str">
        <f t="array" ref="D482">ifs(and(isblank($A482),isblank($B482)),"", not(iserror(vlookup($A482&amp;$B482,'3) Release_Label'!$D:$D&amp;'3) Release_Label'!$E:$E,1,0))),vlookup($A482&amp;$B482,{'3) Release_Label'!$D:$D&amp;'3) Release_Label'!$E:$E,'3) Release_Label'!$H:$H},2,0),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E482" s="147" t="str">
        <f t="shared" si="1"/>
        <v/>
      </c>
      <c r="G482" s="97"/>
      <c r="H482" s="155"/>
      <c r="J482" s="92"/>
      <c r="K482" s="98"/>
      <c r="L482" s="92"/>
      <c r="N482" s="92"/>
      <c r="O482" s="92"/>
      <c r="P482" s="92"/>
    </row>
    <row r="483">
      <c r="A483" s="28"/>
      <c r="B483" s="97"/>
      <c r="C483" s="121" t="str">
        <f t="array" ref="C483">ifs(and(isblank($A483),isblank($B483)),"", not(iserror(vlookup($A483&amp;$B483,'3) Release_Label'!$D:$D&amp;'3) Release_Label'!$E:$E,1,0))),vlookup($A483&amp;$B483,{'3) Release_Label'!$D:$D&amp;'3) Release_Label'!$E:$E,'3) Release_Label'!$F:$F},2,0),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D483" s="121" t="str">
        <f t="array" ref="D483">ifs(and(isblank($A483),isblank($B483)),"", not(iserror(vlookup($A483&amp;$B483,'3) Release_Label'!$D:$D&amp;'3) Release_Label'!$E:$E,1,0))),vlookup($A483&amp;$B483,{'3) Release_Label'!$D:$D&amp;'3) Release_Label'!$E:$E,'3) Release_Label'!$H:$H},2,0),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E483" s="147" t="str">
        <f t="shared" si="1"/>
        <v/>
      </c>
      <c r="G483" s="97"/>
      <c r="H483" s="155"/>
      <c r="J483" s="92"/>
      <c r="K483" s="98"/>
      <c r="L483" s="92"/>
      <c r="N483" s="92"/>
      <c r="O483" s="92"/>
      <c r="P483" s="92"/>
    </row>
    <row r="484">
      <c r="A484" s="28"/>
      <c r="B484" s="97"/>
      <c r="C484" s="121" t="str">
        <f t="array" ref="C484">ifs(and(isblank($A484),isblank($B484)),"", not(iserror(vlookup($A484&amp;$B484,'3) Release_Label'!$D:$D&amp;'3) Release_Label'!$E:$E,1,0))),vlookup($A484&amp;$B484,{'3) Release_Label'!$D:$D&amp;'3) Release_Label'!$E:$E,'3) Release_Label'!$F:$F},2,0),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D484" s="121" t="str">
        <f t="array" ref="D484">ifs(and(isblank($A484),isblank($B484)),"", not(iserror(vlookup($A484&amp;$B484,'3) Release_Label'!$D:$D&amp;'3) Release_Label'!$E:$E,1,0))),vlookup($A484&amp;$B484,{'3) Release_Label'!$D:$D&amp;'3) Release_Label'!$E:$E,'3) Release_Label'!$H:$H},2,0),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E484" s="147" t="str">
        <f t="shared" si="1"/>
        <v/>
      </c>
      <c r="G484" s="97"/>
      <c r="H484" s="155"/>
      <c r="J484" s="92"/>
      <c r="K484" s="98"/>
      <c r="L484" s="92"/>
      <c r="N484" s="92"/>
      <c r="O484" s="92"/>
      <c r="P484" s="92"/>
    </row>
    <row r="485">
      <c r="A485" s="28"/>
      <c r="B485" s="97"/>
      <c r="C485" s="121" t="str">
        <f t="array" ref="C485">ifs(and(isblank($A485),isblank($B485)),"", not(iserror(vlookup($A485&amp;$B485,'3) Release_Label'!$D:$D&amp;'3) Release_Label'!$E:$E,1,0))),vlookup($A485&amp;$B485,{'3) Release_Label'!$D:$D&amp;'3) Release_Label'!$E:$E,'3) Release_Label'!$F:$F},2,0),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D485" s="121" t="str">
        <f t="array" ref="D485">ifs(and(isblank($A485),isblank($B485)),"", not(iserror(vlookup($A485&amp;$B485,'3) Release_Label'!$D:$D&amp;'3) Release_Label'!$E:$E,1,0))),vlookup($A485&amp;$B485,{'3) Release_Label'!$D:$D&amp;'3) Release_Label'!$E:$E,'3) Release_Label'!$H:$H},2,0),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E485" s="147" t="str">
        <f t="shared" si="1"/>
        <v/>
      </c>
      <c r="G485" s="97"/>
      <c r="H485" s="155"/>
      <c r="J485" s="92"/>
      <c r="K485" s="98"/>
      <c r="L485" s="92"/>
      <c r="N485" s="92"/>
      <c r="O485" s="92"/>
      <c r="P485" s="92"/>
    </row>
    <row r="486">
      <c r="A486" s="28"/>
      <c r="B486" s="97"/>
      <c r="C486" s="121" t="str">
        <f t="array" ref="C486">ifs(and(isblank($A486),isblank($B486)),"", not(iserror(vlookup($A486&amp;$B486,'3) Release_Label'!$D:$D&amp;'3) Release_Label'!$E:$E,1,0))),vlookup($A486&amp;$B486,{'3) Release_Label'!$D:$D&amp;'3) Release_Label'!$E:$E,'3) Release_Label'!$F:$F},2,0),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D486" s="121" t="str">
        <f t="array" ref="D486">ifs(and(isblank($A486),isblank($B486)),"", not(iserror(vlookup($A486&amp;$B486,'3) Release_Label'!$D:$D&amp;'3) Release_Label'!$E:$E,1,0))),vlookup($A486&amp;$B486,{'3) Release_Label'!$D:$D&amp;'3) Release_Label'!$E:$E,'3) Release_Label'!$H:$H},2,0),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E486" s="147" t="str">
        <f t="shared" si="1"/>
        <v/>
      </c>
      <c r="G486" s="97"/>
      <c r="H486" s="155"/>
      <c r="J486" s="92"/>
      <c r="K486" s="98"/>
      <c r="L486" s="92"/>
      <c r="N486" s="92"/>
      <c r="O486" s="92"/>
      <c r="P486" s="92"/>
    </row>
    <row r="487">
      <c r="A487" s="28"/>
      <c r="B487" s="97"/>
      <c r="C487" s="121" t="str">
        <f t="array" ref="C487">ifs(and(isblank($A487),isblank($B487)),"", not(iserror(vlookup($A487&amp;$B487,'3) Release_Label'!$D:$D&amp;'3) Release_Label'!$E:$E,1,0))),vlookup($A487&amp;$B487,{'3) Release_Label'!$D:$D&amp;'3) Release_Label'!$E:$E,'3) Release_Label'!$F:$F},2,0),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D487" s="121" t="str">
        <f t="array" ref="D487">ifs(and(isblank($A487),isblank($B487)),"", not(iserror(vlookup($A487&amp;$B487,'3) Release_Label'!$D:$D&amp;'3) Release_Label'!$E:$E,1,0))),vlookup($A487&amp;$B487,{'3) Release_Label'!$D:$D&amp;'3) Release_Label'!$E:$E,'3) Release_Label'!$H:$H},2,0),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E487" s="147" t="str">
        <f t="shared" si="1"/>
        <v/>
      </c>
      <c r="G487" s="97"/>
      <c r="H487" s="155"/>
      <c r="J487" s="92"/>
      <c r="K487" s="98"/>
      <c r="L487" s="92"/>
      <c r="N487" s="92"/>
      <c r="O487" s="92"/>
      <c r="P487" s="92"/>
    </row>
    <row r="488">
      <c r="A488" s="28"/>
      <c r="B488" s="97"/>
      <c r="C488" s="121" t="str">
        <f t="array" ref="C488">ifs(and(isblank($A488),isblank($B488)),"", not(iserror(vlookup($A488&amp;$B488,'3) Release_Label'!$D:$D&amp;'3) Release_Label'!$E:$E,1,0))),vlookup($A488&amp;$B488,{'3) Release_Label'!$D:$D&amp;'3) Release_Label'!$E:$E,'3) Release_Label'!$F:$F},2,0),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D488" s="121" t="str">
        <f t="array" ref="D488">ifs(and(isblank($A488),isblank($B488)),"", not(iserror(vlookup($A488&amp;$B488,'3) Release_Label'!$D:$D&amp;'3) Release_Label'!$E:$E,1,0))),vlookup($A488&amp;$B488,{'3) Release_Label'!$D:$D&amp;'3) Release_Label'!$E:$E,'3) Release_Label'!$H:$H},2,0),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E488" s="147" t="str">
        <f t="shared" si="1"/>
        <v/>
      </c>
      <c r="G488" s="97"/>
      <c r="H488" s="155"/>
      <c r="J488" s="92"/>
      <c r="K488" s="98"/>
      <c r="L488" s="92"/>
      <c r="N488" s="92"/>
      <c r="O488" s="92"/>
      <c r="P488" s="92"/>
    </row>
    <row r="489">
      <c r="A489" s="28"/>
      <c r="B489" s="97"/>
      <c r="C489" s="121" t="str">
        <f t="array" ref="C489">ifs(and(isblank($A489),isblank($B489)),"", not(iserror(vlookup($A489&amp;$B489,'3) Release_Label'!$D:$D&amp;'3) Release_Label'!$E:$E,1,0))),vlookup($A489&amp;$B489,{'3) Release_Label'!$D:$D&amp;'3) Release_Label'!$E:$E,'3) Release_Label'!$F:$F},2,0),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D489" s="121" t="str">
        <f t="array" ref="D489">ifs(and(isblank($A489),isblank($B489)),"", not(iserror(vlookup($A489&amp;$B489,'3) Release_Label'!$D:$D&amp;'3) Release_Label'!$E:$E,1,0))),vlookup($A489&amp;$B489,{'3) Release_Label'!$D:$D&amp;'3) Release_Label'!$E:$E,'3) Release_Label'!$H:$H},2,0),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E489" s="147" t="str">
        <f t="shared" si="1"/>
        <v/>
      </c>
      <c r="G489" s="97"/>
      <c r="H489" s="155"/>
      <c r="J489" s="92"/>
      <c r="K489" s="98"/>
      <c r="L489" s="92"/>
      <c r="N489" s="92"/>
      <c r="O489" s="92"/>
      <c r="P489" s="92"/>
    </row>
    <row r="490">
      <c r="A490" s="28"/>
      <c r="B490" s="97"/>
      <c r="C490" s="121" t="str">
        <f t="array" ref="C490">ifs(and(isblank($A490),isblank($B490)),"", not(iserror(vlookup($A490&amp;$B490,'3) Release_Label'!$D:$D&amp;'3) Release_Label'!$E:$E,1,0))),vlookup($A490&amp;$B490,{'3) Release_Label'!$D:$D&amp;'3) Release_Label'!$E:$E,'3) Release_Label'!$F:$F},2,0),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D490" s="121" t="str">
        <f t="array" ref="D490">ifs(and(isblank($A490),isblank($B490)),"", not(iserror(vlookup($A490&amp;$B490,'3) Release_Label'!$D:$D&amp;'3) Release_Label'!$E:$E,1,0))),vlookup($A490&amp;$B490,{'3) Release_Label'!$D:$D&amp;'3) Release_Label'!$E:$E,'3) Release_Label'!$H:$H},2,0),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E490" s="147" t="str">
        <f t="shared" si="1"/>
        <v/>
      </c>
      <c r="G490" s="97"/>
      <c r="H490" s="155"/>
      <c r="J490" s="92"/>
      <c r="K490" s="98"/>
      <c r="L490" s="92"/>
      <c r="N490" s="92"/>
      <c r="O490" s="92"/>
      <c r="P490" s="92"/>
    </row>
    <row r="491">
      <c r="A491" s="28"/>
      <c r="B491" s="97"/>
      <c r="C491" s="121" t="str">
        <f t="array" ref="C491">ifs(and(isblank($A491),isblank($B491)),"", not(iserror(vlookup($A491&amp;$B491,'3) Release_Label'!$D:$D&amp;'3) Release_Label'!$E:$E,1,0))),vlookup($A491&amp;$B491,{'3) Release_Label'!$D:$D&amp;'3) Release_Label'!$E:$E,'3) Release_Label'!$F:$F},2,0),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D491" s="121" t="str">
        <f t="array" ref="D491">ifs(and(isblank($A491),isblank($B491)),"", not(iserror(vlookup($A491&amp;$B491,'3) Release_Label'!$D:$D&amp;'3) Release_Label'!$E:$E,1,0))),vlookup($A491&amp;$B491,{'3) Release_Label'!$D:$D&amp;'3) Release_Label'!$E:$E,'3) Release_Label'!$H:$H},2,0),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E491" s="147" t="str">
        <f t="shared" si="1"/>
        <v/>
      </c>
      <c r="G491" s="97"/>
      <c r="H491" s="155"/>
      <c r="J491" s="92"/>
      <c r="K491" s="98"/>
      <c r="L491" s="92"/>
      <c r="N491" s="92"/>
      <c r="O491" s="92"/>
      <c r="P491" s="92"/>
    </row>
    <row r="492">
      <c r="A492" s="28"/>
      <c r="B492" s="97"/>
      <c r="C492" s="121" t="str">
        <f t="array" ref="C492">ifs(and(isblank($A492),isblank($B492)),"", not(iserror(vlookup($A492&amp;$B492,'3) Release_Label'!$D:$D&amp;'3) Release_Label'!$E:$E,1,0))),vlookup($A492&amp;$B492,{'3) Release_Label'!$D:$D&amp;'3) Release_Label'!$E:$E,'3) Release_Label'!$F:$F},2,0),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D492" s="121" t="str">
        <f t="array" ref="D492">ifs(and(isblank($A492),isblank($B492)),"", not(iserror(vlookup($A492&amp;$B492,'3) Release_Label'!$D:$D&amp;'3) Release_Label'!$E:$E,1,0))),vlookup($A492&amp;$B492,{'3) Release_Label'!$D:$D&amp;'3) Release_Label'!$E:$E,'3) Release_Label'!$H:$H},2,0),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E492" s="147" t="str">
        <f t="shared" si="1"/>
        <v/>
      </c>
      <c r="G492" s="97"/>
      <c r="H492" s="155"/>
      <c r="J492" s="92"/>
      <c r="K492" s="98"/>
      <c r="L492" s="92"/>
      <c r="N492" s="92"/>
      <c r="O492" s="92"/>
      <c r="P492" s="92"/>
    </row>
    <row r="493">
      <c r="A493" s="28"/>
      <c r="B493" s="97"/>
      <c r="C493" s="121" t="str">
        <f t="array" ref="C493">ifs(and(isblank($A493),isblank($B493)),"", not(iserror(vlookup($A493&amp;$B493,'3) Release_Label'!$D:$D&amp;'3) Release_Label'!$E:$E,1,0))),vlookup($A493&amp;$B493,{'3) Release_Label'!$D:$D&amp;'3) Release_Label'!$E:$E,'3) Release_Label'!$F:$F},2,0),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D493" s="121" t="str">
        <f t="array" ref="D493">ifs(and(isblank($A493),isblank($B493)),"", not(iserror(vlookup($A493&amp;$B493,'3) Release_Label'!$D:$D&amp;'3) Release_Label'!$E:$E,1,0))),vlookup($A493&amp;$B493,{'3) Release_Label'!$D:$D&amp;'3) Release_Label'!$E:$E,'3) Release_Label'!$H:$H},2,0),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E493" s="147" t="str">
        <f t="shared" si="1"/>
        <v/>
      </c>
      <c r="G493" s="97"/>
      <c r="H493" s="155"/>
      <c r="J493" s="92"/>
      <c r="K493" s="98"/>
      <c r="L493" s="92"/>
      <c r="N493" s="92"/>
      <c r="O493" s="92"/>
      <c r="P493" s="92"/>
    </row>
    <row r="494">
      <c r="A494" s="28"/>
      <c r="B494" s="97"/>
      <c r="C494" s="121" t="str">
        <f t="array" ref="C494">ifs(and(isblank($A494),isblank($B494)),"", not(iserror(vlookup($A494&amp;$B494,'3) Release_Label'!$D:$D&amp;'3) Release_Label'!$E:$E,1,0))),vlookup($A494&amp;$B494,{'3) Release_Label'!$D:$D&amp;'3) Release_Label'!$E:$E,'3) Release_Label'!$F:$F},2,0),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D494" s="121" t="str">
        <f t="array" ref="D494">ifs(and(isblank($A494),isblank($B494)),"", not(iserror(vlookup($A494&amp;$B494,'3) Release_Label'!$D:$D&amp;'3) Release_Label'!$E:$E,1,0))),vlookup($A494&amp;$B494,{'3) Release_Label'!$D:$D&amp;'3) Release_Label'!$E:$E,'3) Release_Label'!$H:$H},2,0),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E494" s="147" t="str">
        <f t="shared" si="1"/>
        <v/>
      </c>
      <c r="G494" s="97"/>
      <c r="H494" s="155"/>
      <c r="J494" s="92"/>
      <c r="K494" s="98"/>
      <c r="L494" s="92"/>
      <c r="N494" s="92"/>
      <c r="O494" s="92"/>
      <c r="P494" s="92"/>
    </row>
    <row r="495">
      <c r="A495" s="28"/>
      <c r="B495" s="97"/>
      <c r="C495" s="121" t="str">
        <f t="array" ref="C495">ifs(and(isblank($A495),isblank($B495)),"", not(iserror(vlookup($A495&amp;$B495,'3) Release_Label'!$D:$D&amp;'3) Release_Label'!$E:$E,1,0))),vlookup($A495&amp;$B495,{'3) Release_Label'!$D:$D&amp;'3) Release_Label'!$E:$E,'3) Release_Label'!$F:$F},2,0),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D495" s="121" t="str">
        <f t="array" ref="D495">ifs(and(isblank($A495),isblank($B495)),"", not(iserror(vlookup($A495&amp;$B495,'3) Release_Label'!$D:$D&amp;'3) Release_Label'!$E:$E,1,0))),vlookup($A495&amp;$B495,{'3) Release_Label'!$D:$D&amp;'3) Release_Label'!$E:$E,'3) Release_Label'!$H:$H},2,0),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E495" s="147" t="str">
        <f t="shared" si="1"/>
        <v/>
      </c>
      <c r="G495" s="97"/>
      <c r="H495" s="155"/>
      <c r="J495" s="92"/>
      <c r="K495" s="98"/>
      <c r="L495" s="92"/>
      <c r="N495" s="92"/>
      <c r="O495" s="92"/>
      <c r="P495" s="92"/>
    </row>
    <row r="496">
      <c r="A496" s="28"/>
      <c r="B496" s="97"/>
      <c r="C496" s="121" t="str">
        <f t="array" ref="C496">ifs(and(isblank($A496),isblank($B496)),"", not(iserror(vlookup($A496&amp;$B496,'3) Release_Label'!$D:$D&amp;'3) Release_Label'!$E:$E,1,0))),vlookup($A496&amp;$B496,{'3) Release_Label'!$D:$D&amp;'3) Release_Label'!$E:$E,'3) Release_Label'!$F:$F},2,0),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D496" s="121" t="str">
        <f t="array" ref="D496">ifs(and(isblank($A496),isblank($B496)),"", not(iserror(vlookup($A496&amp;$B496,'3) Release_Label'!$D:$D&amp;'3) Release_Label'!$E:$E,1,0))),vlookup($A496&amp;$B496,{'3) Release_Label'!$D:$D&amp;'3) Release_Label'!$E:$E,'3) Release_Label'!$H:$H},2,0),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E496" s="147" t="str">
        <f t="shared" si="1"/>
        <v/>
      </c>
      <c r="G496" s="97"/>
      <c r="H496" s="155"/>
      <c r="J496" s="92"/>
      <c r="K496" s="98"/>
      <c r="L496" s="92"/>
      <c r="N496" s="92"/>
      <c r="O496" s="92"/>
      <c r="P496" s="92"/>
    </row>
    <row r="497">
      <c r="A497" s="28"/>
      <c r="B497" s="97"/>
      <c r="C497" s="121" t="str">
        <f t="array" ref="C497">ifs(and(isblank($A497),isblank($B497)),"", not(iserror(vlookup($A497&amp;$B497,'3) Release_Label'!$D:$D&amp;'3) Release_Label'!$E:$E,1,0))),vlookup($A497&amp;$B497,{'3) Release_Label'!$D:$D&amp;'3) Release_Label'!$E:$E,'3) Release_Label'!$F:$F},2,0),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D497" s="121" t="str">
        <f t="array" ref="D497">ifs(and(isblank($A497),isblank($B497)),"", not(iserror(vlookup($A497&amp;$B497,'3) Release_Label'!$D:$D&amp;'3) Release_Label'!$E:$E,1,0))),vlookup($A497&amp;$B497,{'3) Release_Label'!$D:$D&amp;'3) Release_Label'!$E:$E,'3) Release_Label'!$H:$H},2,0),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E497" s="147" t="str">
        <f t="shared" si="1"/>
        <v/>
      </c>
      <c r="G497" s="97"/>
      <c r="H497" s="155"/>
      <c r="J497" s="92"/>
      <c r="K497" s="98"/>
      <c r="L497" s="92"/>
      <c r="N497" s="92"/>
      <c r="O497" s="92"/>
      <c r="P497" s="92"/>
    </row>
    <row r="498">
      <c r="A498" s="28"/>
      <c r="B498" s="97"/>
      <c r="C498" s="121" t="str">
        <f t="array" ref="C498">ifs(and(isblank($A498),isblank($B498)),"", not(iserror(vlookup($A498&amp;$B498,'3) Release_Label'!$D:$D&amp;'3) Release_Label'!$E:$E,1,0))),vlookup($A498&amp;$B498,{'3) Release_Label'!$D:$D&amp;'3) Release_Label'!$E:$E,'3) Release_Label'!$F:$F},2,0),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D498" s="121" t="str">
        <f t="array" ref="D498">ifs(and(isblank($A498),isblank($B498)),"", not(iserror(vlookup($A498&amp;$B498,'3) Release_Label'!$D:$D&amp;'3) Release_Label'!$E:$E,1,0))),vlookup($A498&amp;$B498,{'3) Release_Label'!$D:$D&amp;'3) Release_Label'!$E:$E,'3) Release_Label'!$H:$H},2,0),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E498" s="147" t="str">
        <f t="shared" si="1"/>
        <v/>
      </c>
      <c r="G498" s="97"/>
      <c r="H498" s="155"/>
      <c r="J498" s="92"/>
      <c r="K498" s="98"/>
      <c r="L498" s="92"/>
      <c r="N498" s="92"/>
      <c r="O498" s="92"/>
      <c r="P498" s="92"/>
    </row>
    <row r="499">
      <c r="A499" s="28"/>
      <c r="B499" s="97"/>
      <c r="C499" s="121" t="str">
        <f t="array" ref="C499">ifs(and(isblank($A499),isblank($B499)),"", not(iserror(vlookup($A499&amp;$B499,'3) Release_Label'!$D:$D&amp;'3) Release_Label'!$E:$E,1,0))),vlookup($A499&amp;$B499,{'3) Release_Label'!$D:$D&amp;'3) Release_Label'!$E:$E,'3) Release_Label'!$F:$F},2,0),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D499" s="121" t="str">
        <f t="array" ref="D499">ifs(and(isblank($A499),isblank($B499)),"", not(iserror(vlookup($A499&amp;$B499,'3) Release_Label'!$D:$D&amp;'3) Release_Label'!$E:$E,1,0))),vlookup($A499&amp;$B499,{'3) Release_Label'!$D:$D&amp;'3) Release_Label'!$E:$E,'3) Release_Label'!$H:$H},2,0),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E499" s="147" t="str">
        <f t="shared" si="1"/>
        <v/>
      </c>
      <c r="G499" s="97"/>
      <c r="H499" s="155"/>
      <c r="J499" s="92"/>
      <c r="K499" s="98"/>
      <c r="L499" s="92"/>
      <c r="N499" s="92"/>
      <c r="O499" s="92"/>
      <c r="P499" s="92"/>
    </row>
    <row r="500">
      <c r="A500" s="28"/>
      <c r="B500" s="97"/>
      <c r="C500" s="121" t="str">
        <f t="array" ref="C500">ifs(and(isblank($A500),isblank($B500)),"", not(iserror(vlookup($A500&amp;$B500,'3) Release_Label'!$D:$D&amp;'3) Release_Label'!$E:$E,1,0))),vlookup($A500&amp;$B500,{'3) Release_Label'!$D:$D&amp;'3) Release_Label'!$E:$E,'3) Release_Label'!$F:$F},2,0),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D500" s="121" t="str">
        <f t="array" ref="D500">ifs(and(isblank($A500),isblank($B500)),"", not(iserror(vlookup($A500&amp;$B500,'3) Release_Label'!$D:$D&amp;'3) Release_Label'!$E:$E,1,0))),vlookup($A500&amp;$B500,{'3) Release_Label'!$D:$D&amp;'3) Release_Label'!$E:$E,'3) Release_Label'!$H:$H},2,0),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E500" s="147" t="str">
        <f t="shared" si="1"/>
        <v/>
      </c>
      <c r="G500" s="97"/>
      <c r="H500" s="155"/>
      <c r="J500" s="92"/>
      <c r="K500" s="98"/>
      <c r="L500" s="92"/>
      <c r="N500" s="92"/>
      <c r="O500" s="92"/>
      <c r="P500" s="92"/>
    </row>
    <row r="501">
      <c r="A501" s="28"/>
      <c r="B501" s="97"/>
      <c r="C501" s="121" t="str">
        <f t="array" ref="C501">ifs(and(isblank($A501),isblank($B501)),"", not(iserror(vlookup($A501&amp;$B501,'3) Release_Label'!$D:$D&amp;'3) Release_Label'!$E:$E,1,0))),vlookup($A501&amp;$B501,{'3) Release_Label'!$D:$D&amp;'3) Release_Label'!$E:$E,'3) Release_Label'!$F:$F},2,0),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D501" s="121" t="str">
        <f t="array" ref="D501">ifs(and(isblank($A501),isblank($B501)),"", not(iserror(vlookup($A501&amp;$B501,'3) Release_Label'!$D:$D&amp;'3) Release_Label'!$E:$E,1,0))),vlookup($A501&amp;$B501,{'3) Release_Label'!$D:$D&amp;'3) Release_Label'!$E:$E,'3) Release_Label'!$H:$H},2,0),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E501" s="147" t="str">
        <f t="shared" si="1"/>
        <v/>
      </c>
      <c r="G501" s="97"/>
      <c r="H501" s="155"/>
      <c r="J501" s="92"/>
      <c r="K501" s="98"/>
      <c r="L501" s="92"/>
      <c r="N501" s="92"/>
      <c r="O501" s="92"/>
      <c r="P501" s="92"/>
    </row>
    <row r="502">
      <c r="A502" s="28"/>
      <c r="B502" s="97"/>
      <c r="C502" s="121" t="str">
        <f t="array" ref="C502">ifs(and(isblank($A502),isblank($B502)),"", not(iserror(vlookup($A502&amp;$B502,'3) Release_Label'!$D:$D&amp;'3) Release_Label'!$E:$E,1,0))),vlookup($A502&amp;$B502,{'3) Release_Label'!$D:$D&amp;'3) Release_Label'!$E:$E,'3) Release_Label'!$F:$F},2,0),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D502" s="121" t="str">
        <f t="array" ref="D502">ifs(and(isblank($A502),isblank($B502)),"", not(iserror(vlookup($A502&amp;$B502,'3) Release_Label'!$D:$D&amp;'3) Release_Label'!$E:$E,1,0))),vlookup($A502&amp;$B502,{'3) Release_Label'!$D:$D&amp;'3) Release_Label'!$E:$E,'3) Release_Label'!$H:$H},2,0),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E502" s="147" t="str">
        <f t="shared" si="1"/>
        <v/>
      </c>
      <c r="G502" s="97"/>
      <c r="H502" s="155"/>
      <c r="J502" s="92"/>
      <c r="K502" s="98"/>
      <c r="L502" s="92"/>
      <c r="N502" s="92"/>
      <c r="O502" s="92"/>
      <c r="P502" s="92"/>
    </row>
    <row r="503">
      <c r="A503" s="28"/>
      <c r="B503" s="97"/>
      <c r="C503" s="121" t="str">
        <f t="array" ref="C503">ifs(and(isblank($A503),isblank($B503)),"", not(iserror(vlookup($A503&amp;$B503,'3) Release_Label'!$D:$D&amp;'3) Release_Label'!$E:$E,1,0))),vlookup($A503&amp;$B503,{'3) Release_Label'!$D:$D&amp;'3) Release_Label'!$E:$E,'3) Release_Label'!$F:$F},2,0),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D503" s="121" t="str">
        <f t="array" ref="D503">ifs(and(isblank($A503),isblank($B503)),"", not(iserror(vlookup($A503&amp;$B503,'3) Release_Label'!$D:$D&amp;'3) Release_Label'!$E:$E,1,0))),vlookup($A503&amp;$B503,{'3) Release_Label'!$D:$D&amp;'3) Release_Label'!$E:$E,'3) Release_Label'!$H:$H},2,0),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E503" s="147" t="str">
        <f t="shared" si="1"/>
        <v/>
      </c>
      <c r="G503" s="97"/>
      <c r="H503" s="155"/>
      <c r="J503" s="92"/>
      <c r="K503" s="98"/>
      <c r="L503" s="92"/>
      <c r="N503" s="92"/>
      <c r="O503" s="92"/>
      <c r="P503" s="92"/>
    </row>
    <row r="504">
      <c r="A504" s="28"/>
      <c r="B504" s="97"/>
      <c r="C504" s="121" t="str">
        <f t="array" ref="C504">ifs(and(isblank($A504),isblank($B504)),"", not(iserror(vlookup($A504&amp;$B504,'3) Release_Label'!$D:$D&amp;'3) Release_Label'!$E:$E,1,0))),vlookup($A504&amp;$B504,{'3) Release_Label'!$D:$D&amp;'3) Release_Label'!$E:$E,'3) Release_Label'!$F:$F},2,0),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D504" s="121" t="str">
        <f t="array" ref="D504">ifs(and(isblank($A504),isblank($B504)),"", not(iserror(vlookup($A504&amp;$B504,'3) Release_Label'!$D:$D&amp;'3) Release_Label'!$E:$E,1,0))),vlookup($A504&amp;$B504,{'3) Release_Label'!$D:$D&amp;'3) Release_Label'!$E:$E,'3) Release_Label'!$H:$H},2,0),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E504" s="147" t="str">
        <f t="shared" si="1"/>
        <v/>
      </c>
      <c r="G504" s="97"/>
      <c r="H504" s="155"/>
      <c r="J504" s="92"/>
      <c r="K504" s="98"/>
      <c r="L504" s="92"/>
      <c r="N504" s="92"/>
      <c r="O504" s="92"/>
      <c r="P504" s="92"/>
    </row>
    <row r="505">
      <c r="A505" s="28"/>
      <c r="B505" s="97"/>
      <c r="C505" s="121" t="str">
        <f t="array" ref="C505">ifs(and(isblank($A505),isblank($B505)),"", not(iserror(vlookup($A505&amp;$B505,'3) Release_Label'!$D:$D&amp;'3) Release_Label'!$E:$E,1,0))),vlookup($A505&amp;$B505,{'3) Release_Label'!$D:$D&amp;'3) Release_Label'!$E:$E,'3) Release_Label'!$F:$F},2,0),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D505" s="121" t="str">
        <f t="array" ref="D505">ifs(and(isblank($A505),isblank($B505)),"", not(iserror(vlookup($A505&amp;$B505,'3) Release_Label'!$D:$D&amp;'3) Release_Label'!$E:$E,1,0))),vlookup($A505&amp;$B505,{'3) Release_Label'!$D:$D&amp;'3) Release_Label'!$E:$E,'3) Release_Label'!$H:$H},2,0),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E505" s="147" t="str">
        <f t="shared" si="1"/>
        <v/>
      </c>
      <c r="G505" s="97"/>
      <c r="H505" s="155"/>
      <c r="J505" s="92"/>
      <c r="K505" s="98"/>
      <c r="L505" s="92"/>
      <c r="N505" s="92"/>
      <c r="O505" s="92"/>
      <c r="P505" s="92"/>
    </row>
    <row r="506">
      <c r="A506" s="28"/>
      <c r="B506" s="97"/>
      <c r="C506" s="121" t="str">
        <f t="array" ref="C506">ifs(and(isblank($A506),isblank($B506)),"", not(iserror(vlookup($A506&amp;$B506,'3) Release_Label'!$D:$D&amp;'3) Release_Label'!$E:$E,1,0))),vlookup($A506&amp;$B506,{'3) Release_Label'!$D:$D&amp;'3) Release_Label'!$E:$E,'3) Release_Label'!$F:$F},2,0),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D506" s="121" t="str">
        <f t="array" ref="D506">ifs(and(isblank($A506),isblank($B506)),"", not(iserror(vlookup($A506&amp;$B506,'3) Release_Label'!$D:$D&amp;'3) Release_Label'!$E:$E,1,0))),vlookup($A506&amp;$B506,{'3) Release_Label'!$D:$D&amp;'3) Release_Label'!$E:$E,'3) Release_Label'!$H:$H},2,0),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E506" s="147" t="str">
        <f t="shared" si="1"/>
        <v/>
      </c>
      <c r="G506" s="97"/>
      <c r="H506" s="155"/>
      <c r="J506" s="92"/>
      <c r="K506" s="98"/>
      <c r="L506" s="92"/>
      <c r="N506" s="92"/>
      <c r="O506" s="92"/>
      <c r="P506" s="92"/>
    </row>
    <row r="507">
      <c r="A507" s="28"/>
      <c r="B507" s="97"/>
      <c r="C507" s="121" t="str">
        <f t="array" ref="C507">ifs(and(isblank($A507),isblank($B507)),"", not(iserror(vlookup($A507&amp;$B507,'3) Release_Label'!$D:$D&amp;'3) Release_Label'!$E:$E,1,0))),vlookup($A507&amp;$B507,{'3) Release_Label'!$D:$D&amp;'3) Release_Label'!$E:$E,'3) Release_Label'!$F:$F},2,0),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D507" s="121" t="str">
        <f t="array" ref="D507">ifs(and(isblank($A507),isblank($B507)),"", not(iserror(vlookup($A507&amp;$B507,'3) Release_Label'!$D:$D&amp;'3) Release_Label'!$E:$E,1,0))),vlookup($A507&amp;$B507,{'3) Release_Label'!$D:$D&amp;'3) Release_Label'!$E:$E,'3) Release_Label'!$H:$H},2,0),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E507" s="147" t="str">
        <f t="shared" si="1"/>
        <v/>
      </c>
      <c r="G507" s="97"/>
      <c r="H507" s="155"/>
      <c r="J507" s="92"/>
      <c r="K507" s="98"/>
      <c r="L507" s="92"/>
      <c r="N507" s="92"/>
      <c r="O507" s="92"/>
      <c r="P507" s="92"/>
    </row>
    <row r="508">
      <c r="A508" s="28"/>
      <c r="B508" s="97"/>
      <c r="C508" s="121" t="str">
        <f t="array" ref="C508">ifs(and(isblank($A508),isblank($B508)),"", not(iserror(vlookup($A508&amp;$B508,'3) Release_Label'!$D:$D&amp;'3) Release_Label'!$E:$E,1,0))),vlookup($A508&amp;$B508,{'3) Release_Label'!$D:$D&amp;'3) Release_Label'!$E:$E,'3) Release_Label'!$F:$F},2,0),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D508" s="121" t="str">
        <f t="array" ref="D508">ifs(and(isblank($A508),isblank($B508)),"", not(iserror(vlookup($A508&amp;$B508,'3) Release_Label'!$D:$D&amp;'3) Release_Label'!$E:$E,1,0))),vlookup($A508&amp;$B508,{'3) Release_Label'!$D:$D&amp;'3) Release_Label'!$E:$E,'3) Release_Label'!$H:$H},2,0),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E508" s="147" t="str">
        <f t="shared" si="1"/>
        <v/>
      </c>
      <c r="G508" s="97"/>
      <c r="H508" s="155"/>
      <c r="J508" s="92"/>
      <c r="K508" s="98"/>
      <c r="L508" s="92"/>
      <c r="N508" s="92"/>
      <c r="O508" s="92"/>
      <c r="P508" s="92"/>
    </row>
    <row r="509">
      <c r="A509" s="28"/>
      <c r="B509" s="97"/>
      <c r="C509" s="121" t="str">
        <f t="array" ref="C509">ifs(and(isblank($A509),isblank($B509)),"", not(iserror(vlookup($A509&amp;$B509,'3) Release_Label'!$D:$D&amp;'3) Release_Label'!$E:$E,1,0))),vlookup($A509&amp;$B509,{'3) Release_Label'!$D:$D&amp;'3) Release_Label'!$E:$E,'3) Release_Label'!$F:$F},2,0),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D509" s="121" t="str">
        <f t="array" ref="D509">ifs(and(isblank($A509),isblank($B509)),"", not(iserror(vlookup($A509&amp;$B509,'3) Release_Label'!$D:$D&amp;'3) Release_Label'!$E:$E,1,0))),vlookup($A509&amp;$B509,{'3) Release_Label'!$D:$D&amp;'3) Release_Label'!$E:$E,'3) Release_Label'!$H:$H},2,0),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E509" s="147" t="str">
        <f t="shared" si="1"/>
        <v/>
      </c>
      <c r="G509" s="97"/>
      <c r="H509" s="155"/>
      <c r="J509" s="92"/>
      <c r="K509" s="98"/>
      <c r="L509" s="92"/>
      <c r="N509" s="92"/>
      <c r="O509" s="92"/>
      <c r="P509" s="92"/>
    </row>
    <row r="510">
      <c r="A510" s="28"/>
      <c r="B510" s="97"/>
      <c r="C510" s="121" t="str">
        <f t="array" ref="C510">ifs(and(isblank($A510),isblank($B510)),"", not(iserror(vlookup($A510&amp;$B510,'3) Release_Label'!$D:$D&amp;'3) Release_Label'!$E:$E,1,0))),vlookup($A510&amp;$B510,{'3) Release_Label'!$D:$D&amp;'3) Release_Label'!$E:$E,'3) Release_Label'!$F:$F},2,0),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D510" s="121" t="str">
        <f t="array" ref="D510">ifs(and(isblank($A510),isblank($B510)),"", not(iserror(vlookup($A510&amp;$B510,'3) Release_Label'!$D:$D&amp;'3) Release_Label'!$E:$E,1,0))),vlookup($A510&amp;$B510,{'3) Release_Label'!$D:$D&amp;'3) Release_Label'!$E:$E,'3) Release_Label'!$H:$H},2,0),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E510" s="147" t="str">
        <f t="shared" si="1"/>
        <v/>
      </c>
      <c r="G510" s="97"/>
      <c r="H510" s="155"/>
      <c r="J510" s="92"/>
      <c r="K510" s="98"/>
      <c r="L510" s="92"/>
      <c r="N510" s="92"/>
      <c r="O510" s="92"/>
      <c r="P510" s="92"/>
    </row>
    <row r="511">
      <c r="A511" s="28"/>
      <c r="B511" s="97"/>
      <c r="C511" s="121" t="str">
        <f t="array" ref="C511">ifs(and(isblank($A511),isblank($B511)),"", not(iserror(vlookup($A511&amp;$B511,'3) Release_Label'!$D:$D&amp;'3) Release_Label'!$E:$E,1,0))),vlookup($A511&amp;$B511,{'3) Release_Label'!$D:$D&amp;'3) Release_Label'!$E:$E,'3) Release_Label'!$F:$F},2,0),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D511" s="121" t="str">
        <f t="array" ref="D511">ifs(and(isblank($A511),isblank($B511)),"", not(iserror(vlookup($A511&amp;$B511,'3) Release_Label'!$D:$D&amp;'3) Release_Label'!$E:$E,1,0))),vlookup($A511&amp;$B511,{'3) Release_Label'!$D:$D&amp;'3) Release_Label'!$E:$E,'3) Release_Label'!$H:$H},2,0),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E511" s="147" t="str">
        <f t="shared" si="1"/>
        <v/>
      </c>
      <c r="G511" s="97"/>
      <c r="H511" s="155"/>
      <c r="J511" s="92"/>
      <c r="K511" s="98"/>
      <c r="L511" s="92"/>
      <c r="N511" s="92"/>
      <c r="O511" s="92"/>
      <c r="P511" s="92"/>
    </row>
    <row r="512">
      <c r="A512" s="28"/>
      <c r="B512" s="97"/>
      <c r="C512" s="121" t="str">
        <f t="array" ref="C512">ifs(and(isblank($A512),isblank($B512)),"", not(iserror(vlookup($A512&amp;$B512,'3) Release_Label'!$D:$D&amp;'3) Release_Label'!$E:$E,1,0))),vlookup($A512&amp;$B512,{'3) Release_Label'!$D:$D&amp;'3) Release_Label'!$E:$E,'3) Release_Label'!$F:$F},2,0),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D512" s="121" t="str">
        <f t="array" ref="D512">ifs(and(isblank($A512),isblank($B512)),"", not(iserror(vlookup($A512&amp;$B512,'3) Release_Label'!$D:$D&amp;'3) Release_Label'!$E:$E,1,0))),vlookup($A512&amp;$B512,{'3) Release_Label'!$D:$D&amp;'3) Release_Label'!$E:$E,'3) Release_Label'!$H:$H},2,0),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E512" s="147" t="str">
        <f t="shared" si="1"/>
        <v/>
      </c>
      <c r="G512" s="97"/>
      <c r="H512" s="155"/>
      <c r="J512" s="92"/>
      <c r="K512" s="98"/>
      <c r="L512" s="92"/>
      <c r="N512" s="92"/>
      <c r="O512" s="92"/>
      <c r="P512" s="92"/>
    </row>
    <row r="513">
      <c r="A513" s="28"/>
      <c r="B513" s="97"/>
      <c r="C513" s="121" t="str">
        <f t="array" ref="C513">ifs(and(isblank($A513),isblank($B513)),"", not(iserror(vlookup($A513&amp;$B513,'3) Release_Label'!$D:$D&amp;'3) Release_Label'!$E:$E,1,0))),vlookup($A513&amp;$B513,{'3) Release_Label'!$D:$D&amp;'3) Release_Label'!$E:$E,'3) Release_Label'!$F:$F},2,0),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D513" s="121" t="str">
        <f t="array" ref="D513">ifs(and(isblank($A513),isblank($B513)),"", not(iserror(vlookup($A513&amp;$B513,'3) Release_Label'!$D:$D&amp;'3) Release_Label'!$E:$E,1,0))),vlookup($A513&amp;$B513,{'3) Release_Label'!$D:$D&amp;'3) Release_Label'!$E:$E,'3) Release_Label'!$H:$H},2,0),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E513" s="147" t="str">
        <f t="shared" si="1"/>
        <v/>
      </c>
      <c r="G513" s="97"/>
      <c r="H513" s="155"/>
      <c r="J513" s="92"/>
      <c r="K513" s="98"/>
      <c r="L513" s="92"/>
      <c r="N513" s="92"/>
      <c r="O513" s="92"/>
      <c r="P513" s="92"/>
    </row>
    <row r="514">
      <c r="A514" s="28"/>
      <c r="B514" s="97"/>
      <c r="C514" s="121" t="str">
        <f t="array" ref="C514">ifs(and(isblank($A514),isblank($B514)),"", not(iserror(vlookup($A514&amp;$B514,'3) Release_Label'!$D:$D&amp;'3) Release_Label'!$E:$E,1,0))),vlookup($A514&amp;$B514,{'3) Release_Label'!$D:$D&amp;'3) Release_Label'!$E:$E,'3) Release_Label'!$F:$F},2,0),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D514" s="121" t="str">
        <f t="array" ref="D514">ifs(and(isblank($A514),isblank($B514)),"", not(iserror(vlookup($A514&amp;$B514,'3) Release_Label'!$D:$D&amp;'3) Release_Label'!$E:$E,1,0))),vlookup($A514&amp;$B514,{'3) Release_Label'!$D:$D&amp;'3) Release_Label'!$E:$E,'3) Release_Label'!$H:$H},2,0),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E514" s="147" t="str">
        <f t="shared" si="1"/>
        <v/>
      </c>
      <c r="G514" s="97"/>
      <c r="H514" s="155"/>
      <c r="J514" s="92"/>
      <c r="K514" s="98"/>
      <c r="L514" s="92"/>
      <c r="N514" s="92"/>
      <c r="O514" s="92"/>
      <c r="P514" s="92"/>
    </row>
    <row r="515">
      <c r="A515" s="28"/>
      <c r="B515" s="97"/>
      <c r="C515" s="121" t="str">
        <f t="array" ref="C515">ifs(and(isblank($A515),isblank($B515)),"", not(iserror(vlookup($A515&amp;$B515,'3) Release_Label'!$D:$D&amp;'3) Release_Label'!$E:$E,1,0))),vlookup($A515&amp;$B515,{'3) Release_Label'!$D:$D&amp;'3) Release_Label'!$E:$E,'3) Release_Label'!$F:$F},2,0),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D515" s="121" t="str">
        <f t="array" ref="D515">ifs(and(isblank($A515),isblank($B515)),"", not(iserror(vlookup($A515&amp;$B515,'3) Release_Label'!$D:$D&amp;'3) Release_Label'!$E:$E,1,0))),vlookup($A515&amp;$B515,{'3) Release_Label'!$D:$D&amp;'3) Release_Label'!$E:$E,'3) Release_Label'!$H:$H},2,0),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E515" s="147" t="str">
        <f t="shared" si="1"/>
        <v/>
      </c>
      <c r="G515" s="97"/>
      <c r="H515" s="155"/>
      <c r="J515" s="92"/>
      <c r="K515" s="98"/>
      <c r="L515" s="92"/>
      <c r="N515" s="92"/>
      <c r="O515" s="92"/>
      <c r="P515" s="92"/>
    </row>
    <row r="516">
      <c r="A516" s="28"/>
      <c r="B516" s="97"/>
      <c r="C516" s="121" t="str">
        <f t="array" ref="C516">ifs(and(isblank($A516),isblank($B516)),"", not(iserror(vlookup($A516&amp;$B516,'3) Release_Label'!$D:$D&amp;'3) Release_Label'!$E:$E,1,0))),vlookup($A516&amp;$B516,{'3) Release_Label'!$D:$D&amp;'3) Release_Label'!$E:$E,'3) Release_Label'!$F:$F},2,0),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D516" s="121" t="str">
        <f t="array" ref="D516">ifs(and(isblank($A516),isblank($B516)),"", not(iserror(vlookup($A516&amp;$B516,'3) Release_Label'!$D:$D&amp;'3) Release_Label'!$E:$E,1,0))),vlookup($A516&amp;$B516,{'3) Release_Label'!$D:$D&amp;'3) Release_Label'!$E:$E,'3) Release_Label'!$H:$H},2,0),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E516" s="147" t="str">
        <f t="shared" si="1"/>
        <v/>
      </c>
      <c r="G516" s="97"/>
      <c r="H516" s="155"/>
      <c r="J516" s="92"/>
      <c r="K516" s="98"/>
      <c r="L516" s="92"/>
      <c r="N516" s="92"/>
      <c r="O516" s="92"/>
      <c r="P516" s="92"/>
    </row>
    <row r="517">
      <c r="A517" s="28"/>
      <c r="B517" s="97"/>
      <c r="C517" s="121" t="str">
        <f t="array" ref="C517">ifs(and(isblank($A517),isblank($B517)),"", not(iserror(vlookup($A517&amp;$B517,'3) Release_Label'!$D:$D&amp;'3) Release_Label'!$E:$E,1,0))),vlookup($A517&amp;$B517,{'3) Release_Label'!$D:$D&amp;'3) Release_Label'!$E:$E,'3) Release_Label'!$F:$F},2,0),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D517" s="121" t="str">
        <f t="array" ref="D517">ifs(and(isblank($A517),isblank($B517)),"", not(iserror(vlookup($A517&amp;$B517,'3) Release_Label'!$D:$D&amp;'3) Release_Label'!$E:$E,1,0))),vlookup($A517&amp;$B517,{'3) Release_Label'!$D:$D&amp;'3) Release_Label'!$E:$E,'3) Release_Label'!$H:$H},2,0),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E517" s="147" t="str">
        <f t="shared" si="1"/>
        <v/>
      </c>
      <c r="G517" s="97"/>
      <c r="H517" s="155"/>
      <c r="J517" s="92"/>
      <c r="K517" s="98"/>
      <c r="L517" s="92"/>
      <c r="N517" s="92"/>
      <c r="O517" s="92"/>
      <c r="P517" s="92"/>
    </row>
    <row r="518">
      <c r="A518" s="28"/>
      <c r="B518" s="97"/>
      <c r="C518" s="121" t="str">
        <f t="array" ref="C518">ifs(and(isblank($A518),isblank($B518)),"", not(iserror(vlookup($A518&amp;$B518,'3) Release_Label'!$D:$D&amp;'3) Release_Label'!$E:$E,1,0))),vlookup($A518&amp;$B518,{'3) Release_Label'!$D:$D&amp;'3) Release_Label'!$E:$E,'3) Release_Label'!$F:$F},2,0),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D518" s="121" t="str">
        <f t="array" ref="D518">ifs(and(isblank($A518),isblank($B518)),"", not(iserror(vlookup($A518&amp;$B518,'3) Release_Label'!$D:$D&amp;'3) Release_Label'!$E:$E,1,0))),vlookup($A518&amp;$B518,{'3) Release_Label'!$D:$D&amp;'3) Release_Label'!$E:$E,'3) Release_Label'!$H:$H},2,0),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E518" s="147" t="str">
        <f t="shared" si="1"/>
        <v/>
      </c>
      <c r="G518" s="97"/>
      <c r="H518" s="155"/>
      <c r="J518" s="92"/>
      <c r="K518" s="98"/>
      <c r="L518" s="92"/>
      <c r="N518" s="92"/>
      <c r="O518" s="92"/>
      <c r="P518" s="92"/>
    </row>
    <row r="519">
      <c r="A519" s="28"/>
      <c r="B519" s="97"/>
      <c r="C519" s="121" t="str">
        <f t="array" ref="C519">ifs(and(isblank($A519),isblank($B519)),"", not(iserror(vlookup($A519&amp;$B519,'3) Release_Label'!$D:$D&amp;'3) Release_Label'!$E:$E,1,0))),vlookup($A519&amp;$B519,{'3) Release_Label'!$D:$D&amp;'3) Release_Label'!$E:$E,'3) Release_Label'!$F:$F},2,0),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D519" s="121" t="str">
        <f t="array" ref="D519">ifs(and(isblank($A519),isblank($B519)),"", not(iserror(vlookup($A519&amp;$B519,'3) Release_Label'!$D:$D&amp;'3) Release_Label'!$E:$E,1,0))),vlookup($A519&amp;$B519,{'3) Release_Label'!$D:$D&amp;'3) Release_Label'!$E:$E,'3) Release_Label'!$H:$H},2,0),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E519" s="147" t="str">
        <f t="shared" si="1"/>
        <v/>
      </c>
      <c r="G519" s="97"/>
      <c r="H519" s="155"/>
      <c r="J519" s="92"/>
      <c r="K519" s="98"/>
      <c r="L519" s="92"/>
      <c r="N519" s="92"/>
      <c r="O519" s="92"/>
      <c r="P519" s="92"/>
    </row>
    <row r="520">
      <c r="A520" s="28"/>
      <c r="B520" s="97"/>
      <c r="C520" s="121" t="str">
        <f t="array" ref="C520">ifs(and(isblank($A520),isblank($B520)),"", not(iserror(vlookup($A520&amp;$B520,'3) Release_Label'!$D:$D&amp;'3) Release_Label'!$E:$E,1,0))),vlookup($A520&amp;$B520,{'3) Release_Label'!$D:$D&amp;'3) Release_Label'!$E:$E,'3) Release_Label'!$F:$F},2,0),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D520" s="121" t="str">
        <f t="array" ref="D520">ifs(and(isblank($A520),isblank($B520)),"", not(iserror(vlookup($A520&amp;$B520,'3) Release_Label'!$D:$D&amp;'3) Release_Label'!$E:$E,1,0))),vlookup($A520&amp;$B520,{'3) Release_Label'!$D:$D&amp;'3) Release_Label'!$E:$E,'3) Release_Label'!$H:$H},2,0),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E520" s="147" t="str">
        <f t="shared" si="1"/>
        <v/>
      </c>
      <c r="G520" s="97"/>
      <c r="H520" s="155"/>
      <c r="J520" s="92"/>
      <c r="K520" s="98"/>
      <c r="L520" s="92"/>
      <c r="N520" s="92"/>
      <c r="O520" s="92"/>
      <c r="P520" s="92"/>
    </row>
    <row r="521">
      <c r="A521" s="28"/>
      <c r="B521" s="97"/>
      <c r="C521" s="121" t="str">
        <f t="array" ref="C521">ifs(and(isblank($A521),isblank($B521)),"", not(iserror(vlookup($A521&amp;$B521,'3) Release_Label'!$D:$D&amp;'3) Release_Label'!$E:$E,1,0))),vlookup($A521&amp;$B521,{'3) Release_Label'!$D:$D&amp;'3) Release_Label'!$E:$E,'3) Release_Label'!$F:$F},2,0),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D521" s="121" t="str">
        <f t="array" ref="D521">ifs(and(isblank($A521),isblank($B521)),"", not(iserror(vlookup($A521&amp;$B521,'3) Release_Label'!$D:$D&amp;'3) Release_Label'!$E:$E,1,0))),vlookup($A521&amp;$B521,{'3) Release_Label'!$D:$D&amp;'3) Release_Label'!$E:$E,'3) Release_Label'!$H:$H},2,0),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E521" s="147" t="str">
        <f t="shared" si="1"/>
        <v/>
      </c>
      <c r="G521" s="97"/>
      <c r="H521" s="155"/>
      <c r="J521" s="92"/>
      <c r="K521" s="98"/>
      <c r="L521" s="92"/>
      <c r="N521" s="92"/>
      <c r="O521" s="92"/>
      <c r="P521" s="92"/>
    </row>
    <row r="522">
      <c r="A522" s="28"/>
      <c r="B522" s="97"/>
      <c r="C522" s="121" t="str">
        <f t="array" ref="C522">ifs(and(isblank($A522),isblank($B522)),"", not(iserror(vlookup($A522&amp;$B522,'3) Release_Label'!$D:$D&amp;'3) Release_Label'!$E:$E,1,0))),vlookup($A522&amp;$B522,{'3) Release_Label'!$D:$D&amp;'3) Release_Label'!$E:$E,'3) Release_Label'!$F:$F},2,0),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D522" s="121" t="str">
        <f t="array" ref="D522">ifs(and(isblank($A522),isblank($B522)),"", not(iserror(vlookup($A522&amp;$B522,'3) Release_Label'!$D:$D&amp;'3) Release_Label'!$E:$E,1,0))),vlookup($A522&amp;$B522,{'3) Release_Label'!$D:$D&amp;'3) Release_Label'!$E:$E,'3) Release_Label'!$H:$H},2,0),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E522" s="147" t="str">
        <f t="shared" si="1"/>
        <v/>
      </c>
      <c r="G522" s="97"/>
      <c r="H522" s="155"/>
      <c r="J522" s="92"/>
      <c r="K522" s="98"/>
      <c r="L522" s="92"/>
      <c r="N522" s="92"/>
      <c r="O522" s="92"/>
      <c r="P522" s="92"/>
    </row>
    <row r="523">
      <c r="A523" s="28"/>
      <c r="B523" s="97"/>
      <c r="C523" s="121" t="str">
        <f t="array" ref="C523">ifs(and(isblank($A523),isblank($B523)),"", not(iserror(vlookup($A523&amp;$B523,'3) Release_Label'!$D:$D&amp;'3) Release_Label'!$E:$E,1,0))),vlookup($A523&amp;$B523,{'3) Release_Label'!$D:$D&amp;'3) Release_Label'!$E:$E,'3) Release_Label'!$F:$F},2,0),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D523" s="121" t="str">
        <f t="array" ref="D523">ifs(and(isblank($A523),isblank($B523)),"", not(iserror(vlookup($A523&amp;$B523,'3) Release_Label'!$D:$D&amp;'3) Release_Label'!$E:$E,1,0))),vlookup($A523&amp;$B523,{'3) Release_Label'!$D:$D&amp;'3) Release_Label'!$E:$E,'3) Release_Label'!$H:$H},2,0),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E523" s="147" t="str">
        <f t="shared" si="1"/>
        <v/>
      </c>
      <c r="G523" s="97"/>
      <c r="H523" s="155"/>
      <c r="J523" s="92"/>
      <c r="K523" s="98"/>
      <c r="L523" s="92"/>
      <c r="N523" s="92"/>
      <c r="O523" s="92"/>
      <c r="P523" s="92"/>
    </row>
    <row r="524">
      <c r="A524" s="28"/>
      <c r="B524" s="97"/>
      <c r="C524" s="121" t="str">
        <f t="array" ref="C524">ifs(and(isblank($A524),isblank($B524)),"", not(iserror(vlookup($A524&amp;$B524,'3) Release_Label'!$D:$D&amp;'3) Release_Label'!$E:$E,1,0))),vlookup($A524&amp;$B524,{'3) Release_Label'!$D:$D&amp;'3) Release_Label'!$E:$E,'3) Release_Label'!$F:$F},2,0),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D524" s="121" t="str">
        <f t="array" ref="D524">ifs(and(isblank($A524),isblank($B524)),"", not(iserror(vlookup($A524&amp;$B524,'3) Release_Label'!$D:$D&amp;'3) Release_Label'!$E:$E,1,0))),vlookup($A524&amp;$B524,{'3) Release_Label'!$D:$D&amp;'3) Release_Label'!$E:$E,'3) Release_Label'!$H:$H},2,0),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E524" s="147" t="str">
        <f t="shared" si="1"/>
        <v/>
      </c>
      <c r="G524" s="97"/>
      <c r="H524" s="155"/>
      <c r="J524" s="92"/>
      <c r="K524" s="98"/>
      <c r="L524" s="92"/>
      <c r="N524" s="92"/>
      <c r="O524" s="92"/>
      <c r="P524" s="92"/>
    </row>
    <row r="525">
      <c r="A525" s="28"/>
      <c r="B525" s="97"/>
      <c r="C525" s="121" t="str">
        <f t="array" ref="C525">ifs(and(isblank($A525),isblank($B525)),"", not(iserror(vlookup($A525&amp;$B525,'3) Release_Label'!$D:$D&amp;'3) Release_Label'!$E:$E,1,0))),vlookup($A525&amp;$B525,{'3) Release_Label'!$D:$D&amp;'3) Release_Label'!$E:$E,'3) Release_Label'!$F:$F},2,0),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D525" s="121" t="str">
        <f t="array" ref="D525">ifs(and(isblank($A525),isblank($B525)),"", not(iserror(vlookup($A525&amp;$B525,'3) Release_Label'!$D:$D&amp;'3) Release_Label'!$E:$E,1,0))),vlookup($A525&amp;$B525,{'3) Release_Label'!$D:$D&amp;'3) Release_Label'!$E:$E,'3) Release_Label'!$H:$H},2,0),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E525" s="147" t="str">
        <f t="shared" si="1"/>
        <v/>
      </c>
      <c r="G525" s="97"/>
      <c r="H525" s="155"/>
      <c r="J525" s="92"/>
      <c r="K525" s="98"/>
      <c r="L525" s="92"/>
      <c r="N525" s="92"/>
      <c r="O525" s="92"/>
      <c r="P525" s="92"/>
    </row>
    <row r="526">
      <c r="A526" s="28"/>
      <c r="B526" s="97"/>
      <c r="C526" s="121" t="str">
        <f t="array" ref="C526">ifs(and(isblank($A526),isblank($B526)),"", not(iserror(vlookup($A526&amp;$B526,'3) Release_Label'!$D:$D&amp;'3) Release_Label'!$E:$E,1,0))),vlookup($A526&amp;$B526,{'3) Release_Label'!$D:$D&amp;'3) Release_Label'!$E:$E,'3) Release_Label'!$F:$F},2,0),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D526" s="121" t="str">
        <f t="array" ref="D526">ifs(and(isblank($A526),isblank($B526)),"", not(iserror(vlookup($A526&amp;$B526,'3) Release_Label'!$D:$D&amp;'3) Release_Label'!$E:$E,1,0))),vlookup($A526&amp;$B526,{'3) Release_Label'!$D:$D&amp;'3) Release_Label'!$E:$E,'3) Release_Label'!$H:$H},2,0),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E526" s="147" t="str">
        <f t="shared" si="1"/>
        <v/>
      </c>
      <c r="G526" s="97"/>
      <c r="H526" s="155"/>
      <c r="J526" s="92"/>
      <c r="K526" s="98"/>
      <c r="L526" s="92"/>
      <c r="N526" s="92"/>
      <c r="O526" s="92"/>
      <c r="P526" s="92"/>
    </row>
    <row r="527">
      <c r="A527" s="28"/>
      <c r="B527" s="97"/>
      <c r="C527" s="121" t="str">
        <f t="array" ref="C527">ifs(and(isblank($A527),isblank($B527)),"", not(iserror(vlookup($A527&amp;$B527,'3) Release_Label'!$D:$D&amp;'3) Release_Label'!$E:$E,1,0))),vlookup($A527&amp;$B527,{'3) Release_Label'!$D:$D&amp;'3) Release_Label'!$E:$E,'3) Release_Label'!$F:$F},2,0),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D527" s="121" t="str">
        <f t="array" ref="D527">ifs(and(isblank($A527),isblank($B527)),"", not(iserror(vlookup($A527&amp;$B527,'3) Release_Label'!$D:$D&amp;'3) Release_Label'!$E:$E,1,0))),vlookup($A527&amp;$B527,{'3) Release_Label'!$D:$D&amp;'3) Release_Label'!$E:$E,'3) Release_Label'!$H:$H},2,0),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E527" s="147" t="str">
        <f t="shared" si="1"/>
        <v/>
      </c>
      <c r="G527" s="97"/>
      <c r="H527" s="155"/>
      <c r="J527" s="92"/>
      <c r="K527" s="98"/>
      <c r="L527" s="92"/>
      <c r="N527" s="92"/>
      <c r="O527" s="92"/>
      <c r="P527" s="92"/>
    </row>
    <row r="528">
      <c r="A528" s="28"/>
      <c r="B528" s="97"/>
      <c r="C528" s="121" t="str">
        <f t="array" ref="C528">ifs(and(isblank($A528),isblank($B528)),"", not(iserror(vlookup($A528&amp;$B528,'3) Release_Label'!$D:$D&amp;'3) Release_Label'!$E:$E,1,0))),vlookup($A528&amp;$B528,{'3) Release_Label'!$D:$D&amp;'3) Release_Label'!$E:$E,'3) Release_Label'!$F:$F},2,0),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D528" s="121" t="str">
        <f t="array" ref="D528">ifs(and(isblank($A528),isblank($B528)),"", not(iserror(vlookup($A528&amp;$B528,'3) Release_Label'!$D:$D&amp;'3) Release_Label'!$E:$E,1,0))),vlookup($A528&amp;$B528,{'3) Release_Label'!$D:$D&amp;'3) Release_Label'!$E:$E,'3) Release_Label'!$H:$H},2,0),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E528" s="147" t="str">
        <f t="shared" si="1"/>
        <v/>
      </c>
      <c r="G528" s="97"/>
      <c r="H528" s="155"/>
      <c r="J528" s="92"/>
      <c r="K528" s="98"/>
      <c r="L528" s="92"/>
      <c r="N528" s="92"/>
      <c r="O528" s="92"/>
      <c r="P528" s="92"/>
    </row>
    <row r="529">
      <c r="A529" s="28"/>
      <c r="B529" s="97"/>
      <c r="C529" s="121" t="str">
        <f t="array" ref="C529">ifs(and(isblank($A529),isblank($B529)),"", not(iserror(vlookup($A529&amp;$B529,'3) Release_Label'!$D:$D&amp;'3) Release_Label'!$E:$E,1,0))),vlookup($A529&amp;$B529,{'3) Release_Label'!$D:$D&amp;'3) Release_Label'!$E:$E,'3) Release_Label'!$F:$F},2,0),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D529" s="121" t="str">
        <f t="array" ref="D529">ifs(and(isblank($A529),isblank($B529)),"", not(iserror(vlookup($A529&amp;$B529,'3) Release_Label'!$D:$D&amp;'3) Release_Label'!$E:$E,1,0))),vlookup($A529&amp;$B529,{'3) Release_Label'!$D:$D&amp;'3) Release_Label'!$E:$E,'3) Release_Label'!$H:$H},2,0),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E529" s="147" t="str">
        <f t="shared" si="1"/>
        <v/>
      </c>
      <c r="G529" s="97"/>
      <c r="H529" s="155"/>
      <c r="J529" s="92"/>
      <c r="K529" s="98"/>
      <c r="L529" s="92"/>
      <c r="N529" s="92"/>
      <c r="O529" s="92"/>
      <c r="P529" s="92"/>
    </row>
    <row r="530">
      <c r="A530" s="28"/>
      <c r="B530" s="97"/>
      <c r="C530" s="121" t="str">
        <f t="array" ref="C530">ifs(and(isblank($A530),isblank($B530)),"", not(iserror(vlookup($A530&amp;$B530,'3) Release_Label'!$D:$D&amp;'3) Release_Label'!$E:$E,1,0))),vlookup($A530&amp;$B530,{'3) Release_Label'!$D:$D&amp;'3) Release_Label'!$E:$E,'3) Release_Label'!$F:$F},2,0),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D530" s="121" t="str">
        <f t="array" ref="D530">ifs(and(isblank($A530),isblank($B530)),"", not(iserror(vlookup($A530&amp;$B530,'3) Release_Label'!$D:$D&amp;'3) Release_Label'!$E:$E,1,0))),vlookup($A530&amp;$B530,{'3) Release_Label'!$D:$D&amp;'3) Release_Label'!$E:$E,'3) Release_Label'!$H:$H},2,0),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E530" s="147" t="str">
        <f t="shared" si="1"/>
        <v/>
      </c>
      <c r="G530" s="97"/>
      <c r="H530" s="155"/>
      <c r="J530" s="92"/>
      <c r="K530" s="98"/>
      <c r="L530" s="92"/>
      <c r="N530" s="92"/>
      <c r="O530" s="92"/>
      <c r="P530" s="92"/>
    </row>
    <row r="531">
      <c r="A531" s="28"/>
      <c r="B531" s="97"/>
      <c r="C531" s="121" t="str">
        <f t="array" ref="C531">ifs(and(isblank($A531),isblank($B531)),"", not(iserror(vlookup($A531&amp;$B531,'3) Release_Label'!$D:$D&amp;'3) Release_Label'!$E:$E,1,0))),vlookup($A531&amp;$B531,{'3) Release_Label'!$D:$D&amp;'3) Release_Label'!$E:$E,'3) Release_Label'!$F:$F},2,0),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D531" s="121" t="str">
        <f t="array" ref="D531">ifs(and(isblank($A531),isblank($B531)),"", not(iserror(vlookup($A531&amp;$B531,'3) Release_Label'!$D:$D&amp;'3) Release_Label'!$E:$E,1,0))),vlookup($A531&amp;$B531,{'3) Release_Label'!$D:$D&amp;'3) Release_Label'!$E:$E,'3) Release_Label'!$H:$H},2,0),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E531" s="147" t="str">
        <f t="shared" si="1"/>
        <v/>
      </c>
      <c r="G531" s="97"/>
      <c r="H531" s="155"/>
      <c r="J531" s="92"/>
      <c r="K531" s="98"/>
      <c r="L531" s="92"/>
      <c r="N531" s="92"/>
      <c r="O531" s="92"/>
      <c r="P531" s="92"/>
    </row>
    <row r="532">
      <c r="A532" s="28"/>
      <c r="B532" s="97"/>
      <c r="C532" s="121" t="str">
        <f t="array" ref="C532">ifs(and(isblank($A532),isblank($B532)),"", not(iserror(vlookup($A532&amp;$B532,'3) Release_Label'!$D:$D&amp;'3) Release_Label'!$E:$E,1,0))),vlookup($A532&amp;$B532,{'3) Release_Label'!$D:$D&amp;'3) Release_Label'!$E:$E,'3) Release_Label'!$F:$F},2,0),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D532" s="121" t="str">
        <f t="array" ref="D532">ifs(and(isblank($A532),isblank($B532)),"", not(iserror(vlookup($A532&amp;$B532,'3) Release_Label'!$D:$D&amp;'3) Release_Label'!$E:$E,1,0))),vlookup($A532&amp;$B532,{'3) Release_Label'!$D:$D&amp;'3) Release_Label'!$E:$E,'3) Release_Label'!$H:$H},2,0),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E532" s="147" t="str">
        <f t="shared" si="1"/>
        <v/>
      </c>
      <c r="G532" s="97"/>
      <c r="H532" s="155"/>
      <c r="J532" s="92"/>
      <c r="K532" s="98"/>
      <c r="L532" s="92"/>
      <c r="N532" s="92"/>
      <c r="O532" s="92"/>
      <c r="P532" s="92"/>
    </row>
    <row r="533">
      <c r="A533" s="28"/>
      <c r="B533" s="97"/>
      <c r="C533" s="121" t="str">
        <f t="array" ref="C533">ifs(and(isblank($A533),isblank($B533)),"", not(iserror(vlookup($A533&amp;$B533,'3) Release_Label'!$D:$D&amp;'3) Release_Label'!$E:$E,1,0))),vlookup($A533&amp;$B533,{'3) Release_Label'!$D:$D&amp;'3) Release_Label'!$E:$E,'3) Release_Label'!$F:$F},2,0),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D533" s="121" t="str">
        <f t="array" ref="D533">ifs(and(isblank($A533),isblank($B533)),"", not(iserror(vlookup($A533&amp;$B533,'3) Release_Label'!$D:$D&amp;'3) Release_Label'!$E:$E,1,0))),vlookup($A533&amp;$B533,{'3) Release_Label'!$D:$D&amp;'3) Release_Label'!$E:$E,'3) Release_Label'!$H:$H},2,0),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E533" s="147" t="str">
        <f t="shared" si="1"/>
        <v/>
      </c>
      <c r="G533" s="97"/>
      <c r="H533" s="155"/>
      <c r="J533" s="92"/>
      <c r="K533" s="98"/>
      <c r="L533" s="92"/>
      <c r="N533" s="92"/>
      <c r="O533" s="92"/>
      <c r="P533" s="92"/>
    </row>
    <row r="534">
      <c r="A534" s="28"/>
      <c r="B534" s="97"/>
      <c r="C534" s="121" t="str">
        <f t="array" ref="C534">ifs(and(isblank($A534),isblank($B534)),"", not(iserror(vlookup($A534&amp;$B534,'3) Release_Label'!$D:$D&amp;'3) Release_Label'!$E:$E,1,0))),vlookup($A534&amp;$B534,{'3) Release_Label'!$D:$D&amp;'3) Release_Label'!$E:$E,'3) Release_Label'!$F:$F},2,0),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D534" s="121" t="str">
        <f t="array" ref="D534">ifs(and(isblank($A534),isblank($B534)),"", not(iserror(vlookup($A534&amp;$B534,'3) Release_Label'!$D:$D&amp;'3) Release_Label'!$E:$E,1,0))),vlookup($A534&amp;$B534,{'3) Release_Label'!$D:$D&amp;'3) Release_Label'!$E:$E,'3) Release_Label'!$H:$H},2,0),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E534" s="147" t="str">
        <f t="shared" si="1"/>
        <v/>
      </c>
      <c r="G534" s="97"/>
      <c r="H534" s="155"/>
      <c r="J534" s="92"/>
      <c r="K534" s="98"/>
      <c r="L534" s="92"/>
      <c r="N534" s="92"/>
      <c r="O534" s="92"/>
      <c r="P534" s="92"/>
    </row>
    <row r="535">
      <c r="A535" s="28"/>
      <c r="B535" s="97"/>
      <c r="C535" s="121" t="str">
        <f t="array" ref="C535">ifs(and(isblank($A535),isblank($B535)),"", not(iserror(vlookup($A535&amp;$B535,'3) Release_Label'!$D:$D&amp;'3) Release_Label'!$E:$E,1,0))),vlookup($A535&amp;$B535,{'3) Release_Label'!$D:$D&amp;'3) Release_Label'!$E:$E,'3) Release_Label'!$F:$F},2,0),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D535" s="121" t="str">
        <f t="array" ref="D535">ifs(and(isblank($A535),isblank($B535)),"", not(iserror(vlookup($A535&amp;$B535,'3) Release_Label'!$D:$D&amp;'3) Release_Label'!$E:$E,1,0))),vlookup($A535&amp;$B535,{'3) Release_Label'!$D:$D&amp;'3) Release_Label'!$E:$E,'3) Release_Label'!$H:$H},2,0),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E535" s="147" t="str">
        <f t="shared" si="1"/>
        <v/>
      </c>
      <c r="G535" s="97"/>
      <c r="H535" s="155"/>
      <c r="J535" s="92"/>
      <c r="K535" s="98"/>
      <c r="L535" s="92"/>
      <c r="N535" s="92"/>
      <c r="O535" s="92"/>
      <c r="P535" s="92"/>
    </row>
    <row r="536">
      <c r="A536" s="28"/>
      <c r="B536" s="97"/>
      <c r="C536" s="121" t="str">
        <f t="array" ref="C536">ifs(and(isblank($A536),isblank($B536)),"", not(iserror(vlookup($A536&amp;$B536,'3) Release_Label'!$D:$D&amp;'3) Release_Label'!$E:$E,1,0))),vlookup($A536&amp;$B536,{'3) Release_Label'!$D:$D&amp;'3) Release_Label'!$E:$E,'3) Release_Label'!$F:$F},2,0),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D536" s="121" t="str">
        <f t="array" ref="D536">ifs(and(isblank($A536),isblank($B536)),"", not(iserror(vlookup($A536&amp;$B536,'3) Release_Label'!$D:$D&amp;'3) Release_Label'!$E:$E,1,0))),vlookup($A536&amp;$B536,{'3) Release_Label'!$D:$D&amp;'3) Release_Label'!$E:$E,'3) Release_Label'!$H:$H},2,0),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E536" s="147" t="str">
        <f t="shared" si="1"/>
        <v/>
      </c>
      <c r="G536" s="97"/>
      <c r="H536" s="155"/>
      <c r="J536" s="92"/>
      <c r="K536" s="98"/>
      <c r="L536" s="92"/>
      <c r="N536" s="92"/>
      <c r="O536" s="92"/>
      <c r="P536" s="92"/>
    </row>
    <row r="537">
      <c r="A537" s="28"/>
      <c r="B537" s="97"/>
      <c r="C537" s="121" t="str">
        <f t="array" ref="C537">ifs(and(isblank($A537),isblank($B537)),"", not(iserror(vlookup($A537&amp;$B537,'3) Release_Label'!$D:$D&amp;'3) Release_Label'!$E:$E,1,0))),vlookup($A537&amp;$B537,{'3) Release_Label'!$D:$D&amp;'3) Release_Label'!$E:$E,'3) Release_Label'!$F:$F},2,0),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D537" s="121" t="str">
        <f t="array" ref="D537">ifs(and(isblank($A537),isblank($B537)),"", not(iserror(vlookup($A537&amp;$B537,'3) Release_Label'!$D:$D&amp;'3) Release_Label'!$E:$E,1,0))),vlookup($A537&amp;$B537,{'3) Release_Label'!$D:$D&amp;'3) Release_Label'!$E:$E,'3) Release_Label'!$H:$H},2,0),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E537" s="147" t="str">
        <f t="shared" si="1"/>
        <v/>
      </c>
      <c r="G537" s="97"/>
      <c r="H537" s="155"/>
      <c r="J537" s="92"/>
      <c r="K537" s="98"/>
      <c r="L537" s="92"/>
      <c r="N537" s="92"/>
      <c r="O537" s="92"/>
      <c r="P537" s="92"/>
    </row>
    <row r="538">
      <c r="A538" s="28"/>
      <c r="B538" s="97"/>
      <c r="C538" s="121" t="str">
        <f t="array" ref="C538">ifs(and(isblank($A538),isblank($B538)),"", not(iserror(vlookup($A538&amp;$B538,'3) Release_Label'!$D:$D&amp;'3) Release_Label'!$E:$E,1,0))),vlookup($A538&amp;$B538,{'3) Release_Label'!$D:$D&amp;'3) Release_Label'!$E:$E,'3) Release_Label'!$F:$F},2,0),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D538" s="121" t="str">
        <f t="array" ref="D538">ifs(and(isblank($A538),isblank($B538)),"", not(iserror(vlookup($A538&amp;$B538,'3) Release_Label'!$D:$D&amp;'3) Release_Label'!$E:$E,1,0))),vlookup($A538&amp;$B538,{'3) Release_Label'!$D:$D&amp;'3) Release_Label'!$E:$E,'3) Release_Label'!$H:$H},2,0),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E538" s="147" t="str">
        <f t="shared" si="1"/>
        <v/>
      </c>
      <c r="G538" s="97"/>
      <c r="H538" s="155"/>
      <c r="J538" s="92"/>
      <c r="K538" s="98"/>
      <c r="L538" s="92"/>
      <c r="N538" s="92"/>
      <c r="O538" s="92"/>
      <c r="P538" s="92"/>
    </row>
    <row r="539">
      <c r="A539" s="28"/>
      <c r="B539" s="97"/>
      <c r="C539" s="121" t="str">
        <f t="array" ref="C539">ifs(and(isblank($A539),isblank($B539)),"", not(iserror(vlookup($A539&amp;$B539,'3) Release_Label'!$D:$D&amp;'3) Release_Label'!$E:$E,1,0))),vlookup($A539&amp;$B539,{'3) Release_Label'!$D:$D&amp;'3) Release_Label'!$E:$E,'3) Release_Label'!$F:$F},2,0),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D539" s="121" t="str">
        <f t="array" ref="D539">ifs(and(isblank($A539),isblank($B539)),"", not(iserror(vlookup($A539&amp;$B539,'3) Release_Label'!$D:$D&amp;'3) Release_Label'!$E:$E,1,0))),vlookup($A539&amp;$B539,{'3) Release_Label'!$D:$D&amp;'3) Release_Label'!$E:$E,'3) Release_Label'!$H:$H},2,0),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E539" s="147" t="str">
        <f t="shared" si="1"/>
        <v/>
      </c>
      <c r="G539" s="97"/>
      <c r="H539" s="155"/>
      <c r="J539" s="92"/>
      <c r="K539" s="98"/>
      <c r="L539" s="92"/>
      <c r="N539" s="92"/>
      <c r="O539" s="92"/>
      <c r="P539" s="92"/>
    </row>
    <row r="540">
      <c r="A540" s="28"/>
      <c r="B540" s="97"/>
      <c r="C540" s="121" t="str">
        <f t="array" ref="C540">ifs(and(isblank($A540),isblank($B540)),"", not(iserror(vlookup($A540&amp;$B540,'3) Release_Label'!$D:$D&amp;'3) Release_Label'!$E:$E,1,0))),vlookup($A540&amp;$B540,{'3) Release_Label'!$D:$D&amp;'3) Release_Label'!$E:$E,'3) Release_Label'!$F:$F},2,0),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D540" s="121" t="str">
        <f t="array" ref="D540">ifs(and(isblank($A540),isblank($B540)),"", not(iserror(vlookup($A540&amp;$B540,'3) Release_Label'!$D:$D&amp;'3) Release_Label'!$E:$E,1,0))),vlookup($A540&amp;$B540,{'3) Release_Label'!$D:$D&amp;'3) Release_Label'!$E:$E,'3) Release_Label'!$H:$H},2,0),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E540" s="147" t="str">
        <f t="shared" si="1"/>
        <v/>
      </c>
      <c r="G540" s="97"/>
      <c r="H540" s="155"/>
      <c r="J540" s="92"/>
      <c r="K540" s="98"/>
      <c r="L540" s="92"/>
      <c r="N540" s="92"/>
      <c r="O540" s="92"/>
      <c r="P540" s="92"/>
    </row>
    <row r="541">
      <c r="A541" s="28"/>
      <c r="B541" s="97"/>
      <c r="C541" s="121" t="str">
        <f t="array" ref="C541">ifs(and(isblank($A541),isblank($B541)),"", not(iserror(vlookup($A541&amp;$B541,'3) Release_Label'!$D:$D&amp;'3) Release_Label'!$E:$E,1,0))),vlookup($A541&amp;$B541,{'3) Release_Label'!$D:$D&amp;'3) Release_Label'!$E:$E,'3) Release_Label'!$F:$F},2,0),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D541" s="121" t="str">
        <f t="array" ref="D541">ifs(and(isblank($A541),isblank($B541)),"", not(iserror(vlookup($A541&amp;$B541,'3) Release_Label'!$D:$D&amp;'3) Release_Label'!$E:$E,1,0))),vlookup($A541&amp;$B541,{'3) Release_Label'!$D:$D&amp;'3) Release_Label'!$E:$E,'3) Release_Label'!$H:$H},2,0),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E541" s="147" t="str">
        <f t="shared" si="1"/>
        <v/>
      </c>
      <c r="G541" s="97"/>
      <c r="H541" s="155"/>
      <c r="J541" s="92"/>
      <c r="K541" s="98"/>
      <c r="L541" s="92"/>
      <c r="N541" s="92"/>
      <c r="O541" s="92"/>
      <c r="P541" s="92"/>
    </row>
    <row r="542">
      <c r="A542" s="28"/>
      <c r="B542" s="97"/>
      <c r="C542" s="121" t="str">
        <f t="array" ref="C542">ifs(and(isblank($A542),isblank($B542)),"", not(iserror(vlookup($A542&amp;$B542,'3) Release_Label'!$D:$D&amp;'3) Release_Label'!$E:$E,1,0))),vlookup($A542&amp;$B542,{'3) Release_Label'!$D:$D&amp;'3) Release_Label'!$E:$E,'3) Release_Label'!$F:$F},2,0),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D542" s="121" t="str">
        <f t="array" ref="D542">ifs(and(isblank($A542),isblank($B542)),"", not(iserror(vlookup($A542&amp;$B542,'3) Release_Label'!$D:$D&amp;'3) Release_Label'!$E:$E,1,0))),vlookup($A542&amp;$B542,{'3) Release_Label'!$D:$D&amp;'3) Release_Label'!$E:$E,'3) Release_Label'!$H:$H},2,0),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E542" s="147" t="str">
        <f t="shared" si="1"/>
        <v/>
      </c>
      <c r="G542" s="97"/>
      <c r="H542" s="155"/>
      <c r="J542" s="92"/>
      <c r="K542" s="98"/>
      <c r="L542" s="92"/>
      <c r="N542" s="92"/>
      <c r="O542" s="92"/>
      <c r="P542" s="92"/>
    </row>
    <row r="543">
      <c r="A543" s="28"/>
      <c r="B543" s="97"/>
      <c r="C543" s="121" t="str">
        <f t="array" ref="C543">ifs(and(isblank($A543),isblank($B543)),"", not(iserror(vlookup($A543&amp;$B543,'3) Release_Label'!$D:$D&amp;'3) Release_Label'!$E:$E,1,0))),vlookup($A543&amp;$B543,{'3) Release_Label'!$D:$D&amp;'3) Release_Label'!$E:$E,'3) Release_Label'!$F:$F},2,0),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D543" s="121" t="str">
        <f t="array" ref="D543">ifs(and(isblank($A543),isblank($B543)),"", not(iserror(vlookup($A543&amp;$B543,'3) Release_Label'!$D:$D&amp;'3) Release_Label'!$E:$E,1,0))),vlookup($A543&amp;$B543,{'3) Release_Label'!$D:$D&amp;'3) Release_Label'!$E:$E,'3) Release_Label'!$H:$H},2,0),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E543" s="147" t="str">
        <f t="shared" si="1"/>
        <v/>
      </c>
      <c r="G543" s="97"/>
      <c r="H543" s="155"/>
      <c r="J543" s="92"/>
      <c r="K543" s="98"/>
      <c r="L543" s="92"/>
      <c r="N543" s="92"/>
      <c r="O543" s="92"/>
      <c r="P543" s="92"/>
    </row>
    <row r="544">
      <c r="A544" s="28"/>
      <c r="B544" s="97"/>
      <c r="C544" s="121" t="str">
        <f t="array" ref="C544">ifs(and(isblank($A544),isblank($B544)),"", not(iserror(vlookup($A544&amp;$B544,'3) Release_Label'!$D:$D&amp;'3) Release_Label'!$E:$E,1,0))),vlookup($A544&amp;$B544,{'3) Release_Label'!$D:$D&amp;'3) Release_Label'!$E:$E,'3) Release_Label'!$F:$F},2,0),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D544" s="121" t="str">
        <f t="array" ref="D544">ifs(and(isblank($A544),isblank($B544)),"", not(iserror(vlookup($A544&amp;$B544,'3) Release_Label'!$D:$D&amp;'3) Release_Label'!$E:$E,1,0))),vlookup($A544&amp;$B544,{'3) Release_Label'!$D:$D&amp;'3) Release_Label'!$E:$E,'3) Release_Label'!$H:$H},2,0),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E544" s="147" t="str">
        <f t="shared" si="1"/>
        <v/>
      </c>
      <c r="G544" s="97"/>
      <c r="H544" s="155"/>
      <c r="J544" s="92"/>
      <c r="K544" s="98"/>
      <c r="L544" s="92"/>
      <c r="N544" s="92"/>
      <c r="O544" s="92"/>
      <c r="P544" s="92"/>
    </row>
    <row r="545">
      <c r="A545" s="28"/>
      <c r="B545" s="97"/>
      <c r="C545" s="121" t="str">
        <f t="array" ref="C545">ifs(and(isblank($A545),isblank($B545)),"", not(iserror(vlookup($A545&amp;$B545,'3) Release_Label'!$D:$D&amp;'3) Release_Label'!$E:$E,1,0))),vlookup($A545&amp;$B545,{'3) Release_Label'!$D:$D&amp;'3) Release_Label'!$E:$E,'3) Release_Label'!$F:$F},2,0),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D545" s="121" t="str">
        <f t="array" ref="D545">ifs(and(isblank($A545),isblank($B545)),"", not(iserror(vlookup($A545&amp;$B545,'3) Release_Label'!$D:$D&amp;'3) Release_Label'!$E:$E,1,0))),vlookup($A545&amp;$B545,{'3) Release_Label'!$D:$D&amp;'3) Release_Label'!$E:$E,'3) Release_Label'!$H:$H},2,0),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E545" s="147" t="str">
        <f t="shared" si="1"/>
        <v/>
      </c>
      <c r="G545" s="97"/>
      <c r="H545" s="155"/>
      <c r="J545" s="92"/>
      <c r="K545" s="98"/>
      <c r="L545" s="92"/>
      <c r="N545" s="92"/>
      <c r="O545" s="92"/>
      <c r="P545" s="92"/>
    </row>
    <row r="546">
      <c r="A546" s="28"/>
      <c r="B546" s="97"/>
      <c r="C546" s="121" t="str">
        <f t="array" ref="C546">ifs(and(isblank($A546),isblank($B546)),"", not(iserror(vlookup($A546&amp;$B546,'3) Release_Label'!$D:$D&amp;'3) Release_Label'!$E:$E,1,0))),vlookup($A546&amp;$B546,{'3) Release_Label'!$D:$D&amp;'3) Release_Label'!$E:$E,'3) Release_Label'!$F:$F},2,0),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D546" s="121" t="str">
        <f t="array" ref="D546">ifs(and(isblank($A546),isblank($B546)),"", not(iserror(vlookup($A546&amp;$B546,'3) Release_Label'!$D:$D&amp;'3) Release_Label'!$E:$E,1,0))),vlookup($A546&amp;$B546,{'3) Release_Label'!$D:$D&amp;'3) Release_Label'!$E:$E,'3) Release_Label'!$H:$H},2,0),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E546" s="147" t="str">
        <f t="shared" si="1"/>
        <v/>
      </c>
      <c r="G546" s="97"/>
      <c r="H546" s="155"/>
      <c r="J546" s="92"/>
      <c r="K546" s="98"/>
      <c r="L546" s="92"/>
      <c r="N546" s="92"/>
      <c r="O546" s="92"/>
      <c r="P546" s="92"/>
    </row>
    <row r="547">
      <c r="A547" s="28"/>
      <c r="B547" s="97"/>
      <c r="C547" s="121" t="str">
        <f t="array" ref="C547">ifs(and(isblank($A547),isblank($B547)),"", not(iserror(vlookup($A547&amp;$B547,'3) Release_Label'!$D:$D&amp;'3) Release_Label'!$E:$E,1,0))),vlookup($A547&amp;$B547,{'3) Release_Label'!$D:$D&amp;'3) Release_Label'!$E:$E,'3) Release_Label'!$F:$F},2,0),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D547" s="121" t="str">
        <f t="array" ref="D547">ifs(and(isblank($A547),isblank($B547)),"", not(iserror(vlookup($A547&amp;$B547,'3) Release_Label'!$D:$D&amp;'3) Release_Label'!$E:$E,1,0))),vlookup($A547&amp;$B547,{'3) Release_Label'!$D:$D&amp;'3) Release_Label'!$E:$E,'3) Release_Label'!$H:$H},2,0),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E547" s="147" t="str">
        <f t="shared" si="1"/>
        <v/>
      </c>
      <c r="G547" s="97"/>
      <c r="H547" s="155"/>
      <c r="J547" s="92"/>
      <c r="K547" s="98"/>
      <c r="L547" s="92"/>
      <c r="N547" s="92"/>
      <c r="O547" s="92"/>
      <c r="P547" s="92"/>
    </row>
    <row r="548">
      <c r="A548" s="28"/>
      <c r="B548" s="97"/>
      <c r="C548" s="121" t="str">
        <f t="array" ref="C548">ifs(and(isblank($A548),isblank($B548)),"", not(iserror(vlookup($A548&amp;$B548,'3) Release_Label'!$D:$D&amp;'3) Release_Label'!$E:$E,1,0))),vlookup($A548&amp;$B548,{'3) Release_Label'!$D:$D&amp;'3) Release_Label'!$E:$E,'3) Release_Label'!$F:$F},2,0),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D548" s="121" t="str">
        <f t="array" ref="D548">ifs(and(isblank($A548),isblank($B548)),"", not(iserror(vlookup($A548&amp;$B548,'3) Release_Label'!$D:$D&amp;'3) Release_Label'!$E:$E,1,0))),vlookup($A548&amp;$B548,{'3) Release_Label'!$D:$D&amp;'3) Release_Label'!$E:$E,'3) Release_Label'!$H:$H},2,0),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E548" s="147" t="str">
        <f t="shared" si="1"/>
        <v/>
      </c>
      <c r="G548" s="97"/>
      <c r="H548" s="155"/>
      <c r="J548" s="92"/>
      <c r="K548" s="98"/>
      <c r="L548" s="92"/>
      <c r="N548" s="92"/>
      <c r="O548" s="92"/>
      <c r="P548" s="92"/>
    </row>
    <row r="549">
      <c r="A549" s="28"/>
      <c r="B549" s="97"/>
      <c r="C549" s="121" t="str">
        <f t="array" ref="C549">ifs(and(isblank($A549),isblank($B549)),"", not(iserror(vlookup($A549&amp;$B549,'3) Release_Label'!$D:$D&amp;'3) Release_Label'!$E:$E,1,0))),vlookup($A549&amp;$B549,{'3) Release_Label'!$D:$D&amp;'3) Release_Label'!$E:$E,'3) Release_Label'!$F:$F},2,0),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D549" s="121" t="str">
        <f t="array" ref="D549">ifs(and(isblank($A549),isblank($B549)),"", not(iserror(vlookup($A549&amp;$B549,'3) Release_Label'!$D:$D&amp;'3) Release_Label'!$E:$E,1,0))),vlookup($A549&amp;$B549,{'3) Release_Label'!$D:$D&amp;'3) Release_Label'!$E:$E,'3) Release_Label'!$H:$H},2,0),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E549" s="147" t="str">
        <f t="shared" si="1"/>
        <v/>
      </c>
      <c r="G549" s="97"/>
      <c r="H549" s="155"/>
      <c r="J549" s="92"/>
      <c r="K549" s="98"/>
      <c r="L549" s="92"/>
      <c r="N549" s="92"/>
      <c r="O549" s="92"/>
      <c r="P549" s="92"/>
    </row>
    <row r="550">
      <c r="A550" s="28"/>
      <c r="B550" s="97"/>
      <c r="C550" s="121" t="str">
        <f t="array" ref="C550">ifs(and(isblank($A550),isblank($B550)),"", not(iserror(vlookup($A550&amp;$B550,'3) Release_Label'!$D:$D&amp;'3) Release_Label'!$E:$E,1,0))),vlookup($A550&amp;$B550,{'3) Release_Label'!$D:$D&amp;'3) Release_Label'!$E:$E,'3) Release_Label'!$F:$F},2,0),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D550" s="121" t="str">
        <f t="array" ref="D550">ifs(and(isblank($A550),isblank($B550)),"", not(iserror(vlookup($A550&amp;$B550,'3) Release_Label'!$D:$D&amp;'3) Release_Label'!$E:$E,1,0))),vlookup($A550&amp;$B550,{'3) Release_Label'!$D:$D&amp;'3) Release_Label'!$E:$E,'3) Release_Label'!$H:$H},2,0),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E550" s="147" t="str">
        <f t="shared" si="1"/>
        <v/>
      </c>
      <c r="G550" s="97"/>
      <c r="H550" s="155"/>
      <c r="J550" s="92"/>
      <c r="K550" s="98"/>
      <c r="L550" s="92"/>
      <c r="N550" s="92"/>
      <c r="O550" s="92"/>
      <c r="P550" s="92"/>
    </row>
    <row r="551">
      <c r="A551" s="28"/>
      <c r="B551" s="97"/>
      <c r="C551" s="121" t="str">
        <f t="array" ref="C551">ifs(and(isblank($A551),isblank($B551)),"", not(iserror(vlookup($A551&amp;$B551,'3) Release_Label'!$D:$D&amp;'3) Release_Label'!$E:$E,1,0))),vlookup($A551&amp;$B551,{'3) Release_Label'!$D:$D&amp;'3) Release_Label'!$E:$E,'3) Release_Label'!$F:$F},2,0),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D551" s="121" t="str">
        <f t="array" ref="D551">ifs(and(isblank($A551),isblank($B551)),"", not(iserror(vlookup($A551&amp;$B551,'3) Release_Label'!$D:$D&amp;'3) Release_Label'!$E:$E,1,0))),vlookup($A551&amp;$B551,{'3) Release_Label'!$D:$D&amp;'3) Release_Label'!$E:$E,'3) Release_Label'!$H:$H},2,0),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E551" s="147" t="str">
        <f t="shared" si="1"/>
        <v/>
      </c>
      <c r="G551" s="97"/>
      <c r="H551" s="155"/>
      <c r="J551" s="92"/>
      <c r="K551" s="98"/>
      <c r="L551" s="92"/>
      <c r="N551" s="92"/>
      <c r="O551" s="92"/>
      <c r="P551" s="92"/>
    </row>
    <row r="552">
      <c r="A552" s="28"/>
      <c r="B552" s="97"/>
      <c r="C552" s="121" t="str">
        <f t="array" ref="C552">ifs(and(isblank($A552),isblank($B552)),"", not(iserror(vlookup($A552&amp;$B552,'3) Release_Label'!$D:$D&amp;'3) Release_Label'!$E:$E,1,0))),vlookup($A552&amp;$B552,{'3) Release_Label'!$D:$D&amp;'3) Release_Label'!$E:$E,'3) Release_Label'!$F:$F},2,0),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D552" s="121" t="str">
        <f t="array" ref="D552">ifs(and(isblank($A552),isblank($B552)),"", not(iserror(vlookup($A552&amp;$B552,'3) Release_Label'!$D:$D&amp;'3) Release_Label'!$E:$E,1,0))),vlookup($A552&amp;$B552,{'3) Release_Label'!$D:$D&amp;'3) Release_Label'!$E:$E,'3) Release_Label'!$H:$H},2,0),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E552" s="147" t="str">
        <f t="shared" si="1"/>
        <v/>
      </c>
      <c r="G552" s="97"/>
      <c r="H552" s="155"/>
      <c r="J552" s="92"/>
      <c r="K552" s="98"/>
      <c r="L552" s="92"/>
      <c r="N552" s="92"/>
      <c r="O552" s="92"/>
      <c r="P552" s="92"/>
    </row>
    <row r="553">
      <c r="A553" s="28"/>
      <c r="B553" s="97"/>
      <c r="C553" s="121" t="str">
        <f t="array" ref="C553">ifs(and(isblank($A553),isblank($B553)),"", not(iserror(vlookup($A553&amp;$B553,'3) Release_Label'!$D:$D&amp;'3) Release_Label'!$E:$E,1,0))),vlookup($A553&amp;$B553,{'3) Release_Label'!$D:$D&amp;'3) Release_Label'!$E:$E,'3) Release_Label'!$F:$F},2,0),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D553" s="121" t="str">
        <f t="array" ref="D553">ifs(and(isblank($A553),isblank($B553)),"", not(iserror(vlookup($A553&amp;$B553,'3) Release_Label'!$D:$D&amp;'3) Release_Label'!$E:$E,1,0))),vlookup($A553&amp;$B553,{'3) Release_Label'!$D:$D&amp;'3) Release_Label'!$E:$E,'3) Release_Label'!$H:$H},2,0),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E553" s="147" t="str">
        <f t="shared" si="1"/>
        <v/>
      </c>
      <c r="G553" s="97"/>
      <c r="H553" s="155"/>
      <c r="J553" s="92"/>
      <c r="K553" s="98"/>
      <c r="L553" s="92"/>
      <c r="N553" s="92"/>
      <c r="O553" s="92"/>
      <c r="P553" s="92"/>
    </row>
    <row r="554">
      <c r="A554" s="28"/>
      <c r="B554" s="97"/>
      <c r="C554" s="121" t="str">
        <f t="array" ref="C554">ifs(and(isblank($A554),isblank($B554)),"", not(iserror(vlookup($A554&amp;$B554,'3) Release_Label'!$D:$D&amp;'3) Release_Label'!$E:$E,1,0))),vlookup($A554&amp;$B554,{'3) Release_Label'!$D:$D&amp;'3) Release_Label'!$E:$E,'3) Release_Label'!$F:$F},2,0),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D554" s="121" t="str">
        <f t="array" ref="D554">ifs(and(isblank($A554),isblank($B554)),"", not(iserror(vlookup($A554&amp;$B554,'3) Release_Label'!$D:$D&amp;'3) Release_Label'!$E:$E,1,0))),vlookup($A554&amp;$B554,{'3) Release_Label'!$D:$D&amp;'3) Release_Label'!$E:$E,'3) Release_Label'!$H:$H},2,0),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E554" s="147" t="str">
        <f t="shared" si="1"/>
        <v/>
      </c>
      <c r="G554" s="97"/>
      <c r="H554" s="155"/>
      <c r="J554" s="92"/>
      <c r="K554" s="98"/>
      <c r="L554" s="92"/>
      <c r="N554" s="92"/>
      <c r="O554" s="92"/>
      <c r="P554" s="92"/>
    </row>
    <row r="555">
      <c r="A555" s="28"/>
      <c r="B555" s="97"/>
      <c r="C555" s="121" t="str">
        <f t="array" ref="C555">ifs(and(isblank($A555),isblank($B555)),"", not(iserror(vlookup($A555&amp;$B555,'3) Release_Label'!$D:$D&amp;'3) Release_Label'!$E:$E,1,0))),vlookup($A555&amp;$B555,{'3) Release_Label'!$D:$D&amp;'3) Release_Label'!$E:$E,'3) Release_Label'!$F:$F},2,0),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D555" s="121" t="str">
        <f t="array" ref="D555">ifs(and(isblank($A555),isblank($B555)),"", not(iserror(vlookup($A555&amp;$B555,'3) Release_Label'!$D:$D&amp;'3) Release_Label'!$E:$E,1,0))),vlookup($A555&amp;$B555,{'3) Release_Label'!$D:$D&amp;'3) Release_Label'!$E:$E,'3) Release_Label'!$H:$H},2,0),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E555" s="147" t="str">
        <f t="shared" si="1"/>
        <v/>
      </c>
      <c r="G555" s="97"/>
      <c r="H555" s="155"/>
      <c r="J555" s="92"/>
      <c r="K555" s="98"/>
      <c r="L555" s="92"/>
      <c r="N555" s="92"/>
      <c r="O555" s="92"/>
      <c r="P555" s="92"/>
    </row>
    <row r="556">
      <c r="A556" s="28"/>
      <c r="B556" s="97"/>
      <c r="C556" s="121" t="str">
        <f t="array" ref="C556">ifs(and(isblank($A556),isblank($B556)),"", not(iserror(vlookup($A556&amp;$B556,'3) Release_Label'!$D:$D&amp;'3) Release_Label'!$E:$E,1,0))),vlookup($A556&amp;$B556,{'3) Release_Label'!$D:$D&amp;'3) Release_Label'!$E:$E,'3) Release_Label'!$F:$F},2,0),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D556" s="121" t="str">
        <f t="array" ref="D556">ifs(and(isblank($A556),isblank($B556)),"", not(iserror(vlookup($A556&amp;$B556,'3) Release_Label'!$D:$D&amp;'3) Release_Label'!$E:$E,1,0))),vlookup($A556&amp;$B556,{'3) Release_Label'!$D:$D&amp;'3) Release_Label'!$E:$E,'3) Release_Label'!$H:$H},2,0),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E556" s="147" t="str">
        <f t="shared" si="1"/>
        <v/>
      </c>
      <c r="G556" s="97"/>
      <c r="H556" s="155"/>
      <c r="J556" s="92"/>
      <c r="K556" s="98"/>
      <c r="L556" s="92"/>
      <c r="N556" s="92"/>
      <c r="O556" s="92"/>
      <c r="P556" s="92"/>
    </row>
    <row r="557">
      <c r="A557" s="28"/>
      <c r="B557" s="97"/>
      <c r="C557" s="121" t="str">
        <f t="array" ref="C557">ifs(and(isblank($A557),isblank($B557)),"", not(iserror(vlookup($A557&amp;$B557,'3) Release_Label'!$D:$D&amp;'3) Release_Label'!$E:$E,1,0))),vlookup($A557&amp;$B557,{'3) Release_Label'!$D:$D&amp;'3) Release_Label'!$E:$E,'3) Release_Label'!$F:$F},2,0),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D557" s="121" t="str">
        <f t="array" ref="D557">ifs(and(isblank($A557),isblank($B557)),"", not(iserror(vlookup($A557&amp;$B557,'3) Release_Label'!$D:$D&amp;'3) Release_Label'!$E:$E,1,0))),vlookup($A557&amp;$B557,{'3) Release_Label'!$D:$D&amp;'3) Release_Label'!$E:$E,'3) Release_Label'!$H:$H},2,0),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E557" s="147" t="str">
        <f t="shared" si="1"/>
        <v/>
      </c>
      <c r="G557" s="97"/>
      <c r="H557" s="155"/>
      <c r="J557" s="92"/>
      <c r="K557" s="98"/>
      <c r="L557" s="92"/>
      <c r="N557" s="92"/>
      <c r="O557" s="92"/>
      <c r="P557" s="92"/>
    </row>
    <row r="558">
      <c r="A558" s="28"/>
      <c r="B558" s="97"/>
      <c r="C558" s="121" t="str">
        <f t="array" ref="C558">ifs(and(isblank($A558),isblank($B558)),"", not(iserror(vlookup($A558&amp;$B558,'3) Release_Label'!$D:$D&amp;'3) Release_Label'!$E:$E,1,0))),vlookup($A558&amp;$B558,{'3) Release_Label'!$D:$D&amp;'3) Release_Label'!$E:$E,'3) Release_Label'!$F:$F},2,0),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D558" s="121" t="str">
        <f t="array" ref="D558">ifs(and(isblank($A558),isblank($B558)),"", not(iserror(vlookup($A558&amp;$B558,'3) Release_Label'!$D:$D&amp;'3) Release_Label'!$E:$E,1,0))),vlookup($A558&amp;$B558,{'3) Release_Label'!$D:$D&amp;'3) Release_Label'!$E:$E,'3) Release_Label'!$H:$H},2,0),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E558" s="147" t="str">
        <f t="shared" si="1"/>
        <v/>
      </c>
      <c r="G558" s="97"/>
      <c r="H558" s="155"/>
      <c r="J558" s="92"/>
      <c r="K558" s="98"/>
      <c r="L558" s="92"/>
      <c r="N558" s="92"/>
      <c r="O558" s="92"/>
      <c r="P558" s="92"/>
    </row>
    <row r="559">
      <c r="A559" s="28"/>
      <c r="B559" s="97"/>
      <c r="C559" s="121" t="str">
        <f t="array" ref="C559">ifs(and(isblank($A559),isblank($B559)),"", not(iserror(vlookup($A559&amp;$B559,'3) Release_Label'!$D:$D&amp;'3) Release_Label'!$E:$E,1,0))),vlookup($A559&amp;$B559,{'3) Release_Label'!$D:$D&amp;'3) Release_Label'!$E:$E,'3) Release_Label'!$F:$F},2,0),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D559" s="121" t="str">
        <f t="array" ref="D559">ifs(and(isblank($A559),isblank($B559)),"", not(iserror(vlookup($A559&amp;$B559,'3) Release_Label'!$D:$D&amp;'3) Release_Label'!$E:$E,1,0))),vlookup($A559&amp;$B559,{'3) Release_Label'!$D:$D&amp;'3) Release_Label'!$E:$E,'3) Release_Label'!$H:$H},2,0),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E559" s="147" t="str">
        <f t="shared" si="1"/>
        <v/>
      </c>
      <c r="G559" s="97"/>
      <c r="H559" s="155"/>
      <c r="J559" s="92"/>
      <c r="K559" s="98"/>
      <c r="L559" s="92"/>
      <c r="N559" s="92"/>
      <c r="O559" s="92"/>
      <c r="P559" s="92"/>
    </row>
    <row r="560">
      <c r="A560" s="28"/>
      <c r="B560" s="97"/>
      <c r="C560" s="121" t="str">
        <f t="array" ref="C560">ifs(and(isblank($A560),isblank($B560)),"", not(iserror(vlookup($A560&amp;$B560,'3) Release_Label'!$D:$D&amp;'3) Release_Label'!$E:$E,1,0))),vlookup($A560&amp;$B560,{'3) Release_Label'!$D:$D&amp;'3) Release_Label'!$E:$E,'3) Release_Label'!$F:$F},2,0),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D560" s="121" t="str">
        <f t="array" ref="D560">ifs(and(isblank($A560),isblank($B560)),"", not(iserror(vlookup($A560&amp;$B560,'3) Release_Label'!$D:$D&amp;'3) Release_Label'!$E:$E,1,0))),vlookup($A560&amp;$B560,{'3) Release_Label'!$D:$D&amp;'3) Release_Label'!$E:$E,'3) Release_Label'!$H:$H},2,0),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E560" s="147" t="str">
        <f t="shared" si="1"/>
        <v/>
      </c>
      <c r="G560" s="97"/>
      <c r="H560" s="155"/>
      <c r="J560" s="92"/>
      <c r="K560" s="98"/>
      <c r="L560" s="92"/>
      <c r="N560" s="92"/>
      <c r="O560" s="92"/>
      <c r="P560" s="92"/>
    </row>
    <row r="561">
      <c r="A561" s="28"/>
      <c r="B561" s="97"/>
      <c r="C561" s="121" t="str">
        <f t="array" ref="C561">ifs(and(isblank($A561),isblank($B561)),"", not(iserror(vlookup($A561&amp;$B561,'3) Release_Label'!$D:$D&amp;'3) Release_Label'!$E:$E,1,0))),vlookup($A561&amp;$B561,{'3) Release_Label'!$D:$D&amp;'3) Release_Label'!$E:$E,'3) Release_Label'!$F:$F},2,0),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D561" s="121" t="str">
        <f t="array" ref="D561">ifs(and(isblank($A561),isblank($B561)),"", not(iserror(vlookup($A561&amp;$B561,'3) Release_Label'!$D:$D&amp;'3) Release_Label'!$E:$E,1,0))),vlookup($A561&amp;$B561,{'3) Release_Label'!$D:$D&amp;'3) Release_Label'!$E:$E,'3) Release_Label'!$H:$H},2,0),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E561" s="147" t="str">
        <f t="shared" si="1"/>
        <v/>
      </c>
      <c r="G561" s="97"/>
      <c r="H561" s="155"/>
      <c r="J561" s="92"/>
      <c r="K561" s="98"/>
      <c r="L561" s="92"/>
      <c r="N561" s="92"/>
      <c r="O561" s="92"/>
      <c r="P561" s="92"/>
    </row>
    <row r="562">
      <c r="A562" s="28"/>
      <c r="B562" s="97"/>
      <c r="C562" s="121" t="str">
        <f t="array" ref="C562">ifs(and(isblank($A562),isblank($B562)),"", not(iserror(vlookup($A562&amp;$B562,'3) Release_Label'!$D:$D&amp;'3) Release_Label'!$E:$E,1,0))),vlookup($A562&amp;$B562,{'3) Release_Label'!$D:$D&amp;'3) Release_Label'!$E:$E,'3) Release_Label'!$F:$F},2,0),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D562" s="121" t="str">
        <f t="array" ref="D562">ifs(and(isblank($A562),isblank($B562)),"", not(iserror(vlookup($A562&amp;$B562,'3) Release_Label'!$D:$D&amp;'3) Release_Label'!$E:$E,1,0))),vlookup($A562&amp;$B562,{'3) Release_Label'!$D:$D&amp;'3) Release_Label'!$E:$E,'3) Release_Label'!$H:$H},2,0),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E562" s="147" t="str">
        <f t="shared" si="1"/>
        <v/>
      </c>
      <c r="G562" s="97"/>
      <c r="H562" s="155"/>
      <c r="J562" s="92"/>
      <c r="K562" s="98"/>
      <c r="L562" s="92"/>
      <c r="N562" s="92"/>
      <c r="O562" s="92"/>
      <c r="P562" s="92"/>
    </row>
    <row r="563">
      <c r="A563" s="28"/>
      <c r="B563" s="97"/>
      <c r="C563" s="121" t="str">
        <f t="array" ref="C563">ifs(and(isblank($A563),isblank($B563)),"", not(iserror(vlookup($A563&amp;$B563,'3) Release_Label'!$D:$D&amp;'3) Release_Label'!$E:$E,1,0))),vlookup($A563&amp;$B563,{'3) Release_Label'!$D:$D&amp;'3) Release_Label'!$E:$E,'3) Release_Label'!$F:$F},2,0),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D563" s="121" t="str">
        <f t="array" ref="D563">ifs(and(isblank($A563),isblank($B563)),"", not(iserror(vlookup($A563&amp;$B563,'3) Release_Label'!$D:$D&amp;'3) Release_Label'!$E:$E,1,0))),vlookup($A563&amp;$B563,{'3) Release_Label'!$D:$D&amp;'3) Release_Label'!$E:$E,'3) Release_Label'!$H:$H},2,0),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E563" s="147" t="str">
        <f t="shared" si="1"/>
        <v/>
      </c>
      <c r="G563" s="97"/>
      <c r="H563" s="155"/>
      <c r="J563" s="92"/>
      <c r="K563" s="98"/>
      <c r="L563" s="92"/>
      <c r="N563" s="92"/>
      <c r="O563" s="92"/>
      <c r="P563" s="92"/>
    </row>
    <row r="564">
      <c r="A564" s="28"/>
      <c r="B564" s="97"/>
      <c r="C564" s="121" t="str">
        <f t="array" ref="C564">ifs(and(isblank($A564),isblank($B564)),"", not(iserror(vlookup($A564&amp;$B564,'3) Release_Label'!$D:$D&amp;'3) Release_Label'!$E:$E,1,0))),vlookup($A564&amp;$B564,{'3) Release_Label'!$D:$D&amp;'3) Release_Label'!$E:$E,'3) Release_Label'!$F:$F},2,0),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D564" s="121" t="str">
        <f t="array" ref="D564">ifs(and(isblank($A564),isblank($B564)),"", not(iserror(vlookup($A564&amp;$B564,'3) Release_Label'!$D:$D&amp;'3) Release_Label'!$E:$E,1,0))),vlookup($A564&amp;$B564,{'3) Release_Label'!$D:$D&amp;'3) Release_Label'!$E:$E,'3) Release_Label'!$H:$H},2,0),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E564" s="147" t="str">
        <f t="shared" si="1"/>
        <v/>
      </c>
      <c r="G564" s="97"/>
      <c r="H564" s="155"/>
      <c r="J564" s="92"/>
      <c r="K564" s="98"/>
      <c r="L564" s="92"/>
      <c r="N564" s="92"/>
      <c r="O564" s="92"/>
      <c r="P564" s="92"/>
    </row>
    <row r="565">
      <c r="A565" s="28"/>
      <c r="B565" s="97"/>
      <c r="C565" s="121" t="str">
        <f t="array" ref="C565">ifs(and(isblank($A565),isblank($B565)),"", not(iserror(vlookup($A565&amp;$B565,'3) Release_Label'!$D:$D&amp;'3) Release_Label'!$E:$E,1,0))),vlookup($A565&amp;$B565,{'3) Release_Label'!$D:$D&amp;'3) Release_Label'!$E:$E,'3) Release_Label'!$F:$F},2,0),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D565" s="121" t="str">
        <f t="array" ref="D565">ifs(and(isblank($A565),isblank($B565)),"", not(iserror(vlookup($A565&amp;$B565,'3) Release_Label'!$D:$D&amp;'3) Release_Label'!$E:$E,1,0))),vlookup($A565&amp;$B565,{'3) Release_Label'!$D:$D&amp;'3) Release_Label'!$E:$E,'3) Release_Label'!$H:$H},2,0),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E565" s="147" t="str">
        <f t="shared" si="1"/>
        <v/>
      </c>
      <c r="G565" s="97"/>
      <c r="H565" s="155"/>
      <c r="J565" s="92"/>
      <c r="K565" s="98"/>
      <c r="L565" s="92"/>
      <c r="N565" s="92"/>
      <c r="O565" s="92"/>
      <c r="P565" s="92"/>
    </row>
    <row r="566">
      <c r="A566" s="28"/>
      <c r="B566" s="97"/>
      <c r="C566" s="121" t="str">
        <f t="array" ref="C566">ifs(and(isblank($A566),isblank($B566)),"", not(iserror(vlookup($A566&amp;$B566,'3) Release_Label'!$D:$D&amp;'3) Release_Label'!$E:$E,1,0))),vlookup($A566&amp;$B566,{'3) Release_Label'!$D:$D&amp;'3) Release_Label'!$E:$E,'3) Release_Label'!$F:$F},2,0),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D566" s="121" t="str">
        <f t="array" ref="D566">ifs(and(isblank($A566),isblank($B566)),"", not(iserror(vlookup($A566&amp;$B566,'3) Release_Label'!$D:$D&amp;'3) Release_Label'!$E:$E,1,0))),vlookup($A566&amp;$B566,{'3) Release_Label'!$D:$D&amp;'3) Release_Label'!$E:$E,'3) Release_Label'!$H:$H},2,0),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E566" s="147" t="str">
        <f t="shared" si="1"/>
        <v/>
      </c>
      <c r="G566" s="97"/>
      <c r="H566" s="155"/>
      <c r="J566" s="92"/>
      <c r="K566" s="98"/>
      <c r="L566" s="92"/>
      <c r="N566" s="92"/>
      <c r="O566" s="92"/>
      <c r="P566" s="92"/>
    </row>
    <row r="567">
      <c r="A567" s="28"/>
      <c r="B567" s="97"/>
      <c r="C567" s="121" t="str">
        <f t="array" ref="C567">ifs(and(isblank($A567),isblank($B567)),"", not(iserror(vlookup($A567&amp;$B567,'3) Release_Label'!$D:$D&amp;'3) Release_Label'!$E:$E,1,0))),vlookup($A567&amp;$B567,{'3) Release_Label'!$D:$D&amp;'3) Release_Label'!$E:$E,'3) Release_Label'!$F:$F},2,0),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D567" s="121" t="str">
        <f t="array" ref="D567">ifs(and(isblank($A567),isblank($B567)),"", not(iserror(vlookup($A567&amp;$B567,'3) Release_Label'!$D:$D&amp;'3) Release_Label'!$E:$E,1,0))),vlookup($A567&amp;$B567,{'3) Release_Label'!$D:$D&amp;'3) Release_Label'!$E:$E,'3) Release_Label'!$H:$H},2,0),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E567" s="147" t="str">
        <f t="shared" si="1"/>
        <v/>
      </c>
      <c r="G567" s="97"/>
      <c r="H567" s="155"/>
      <c r="J567" s="92"/>
      <c r="K567" s="98"/>
      <c r="L567" s="92"/>
      <c r="N567" s="92"/>
      <c r="O567" s="92"/>
      <c r="P567" s="92"/>
    </row>
    <row r="568">
      <c r="A568" s="28"/>
      <c r="B568" s="97"/>
      <c r="C568" s="121" t="str">
        <f t="array" ref="C568">ifs(and(isblank($A568),isblank($B568)),"", not(iserror(vlookup($A568&amp;$B568,'3) Release_Label'!$D:$D&amp;'3) Release_Label'!$E:$E,1,0))),vlookup($A568&amp;$B568,{'3) Release_Label'!$D:$D&amp;'3) Release_Label'!$E:$E,'3) Release_Label'!$F:$F},2,0),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D568" s="121" t="str">
        <f t="array" ref="D568">ifs(and(isblank($A568),isblank($B568)),"", not(iserror(vlookup($A568&amp;$B568,'3) Release_Label'!$D:$D&amp;'3) Release_Label'!$E:$E,1,0))),vlookup($A568&amp;$B568,{'3) Release_Label'!$D:$D&amp;'3) Release_Label'!$E:$E,'3) Release_Label'!$H:$H},2,0),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E568" s="147" t="str">
        <f t="shared" si="1"/>
        <v/>
      </c>
      <c r="G568" s="97"/>
      <c r="H568" s="155"/>
      <c r="J568" s="92"/>
      <c r="K568" s="98"/>
      <c r="L568" s="92"/>
      <c r="N568" s="92"/>
      <c r="O568" s="92"/>
      <c r="P568" s="92"/>
    </row>
    <row r="569">
      <c r="A569" s="28"/>
      <c r="B569" s="97"/>
      <c r="C569" s="121" t="str">
        <f t="array" ref="C569">ifs(and(isblank($A569),isblank($B569)),"", not(iserror(vlookup($A569&amp;$B569,'3) Release_Label'!$D:$D&amp;'3) Release_Label'!$E:$E,1,0))),vlookup($A569&amp;$B569,{'3) Release_Label'!$D:$D&amp;'3) Release_Label'!$E:$E,'3) Release_Label'!$F:$F},2,0),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D569" s="121" t="str">
        <f t="array" ref="D569">ifs(and(isblank($A569),isblank($B569)),"", not(iserror(vlookup($A569&amp;$B569,'3) Release_Label'!$D:$D&amp;'3) Release_Label'!$E:$E,1,0))),vlookup($A569&amp;$B569,{'3) Release_Label'!$D:$D&amp;'3) Release_Label'!$E:$E,'3) Release_Label'!$H:$H},2,0),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E569" s="147" t="str">
        <f t="shared" si="1"/>
        <v/>
      </c>
      <c r="G569" s="97"/>
      <c r="H569" s="155"/>
      <c r="J569" s="92"/>
      <c r="K569" s="98"/>
      <c r="L569" s="92"/>
      <c r="N569" s="92"/>
      <c r="O569" s="92"/>
      <c r="P569" s="92"/>
    </row>
    <row r="570">
      <c r="A570" s="28"/>
      <c r="B570" s="97"/>
      <c r="C570" s="121" t="str">
        <f t="array" ref="C570">ifs(and(isblank($A570),isblank($B570)),"", not(iserror(vlookup($A570&amp;$B570,'3) Release_Label'!$D:$D&amp;'3) Release_Label'!$E:$E,1,0))),vlookup($A570&amp;$B570,{'3) Release_Label'!$D:$D&amp;'3) Release_Label'!$E:$E,'3) Release_Label'!$F:$F},2,0),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D570" s="121" t="str">
        <f t="array" ref="D570">ifs(and(isblank($A570),isblank($B570)),"", not(iserror(vlookup($A570&amp;$B570,'3) Release_Label'!$D:$D&amp;'3) Release_Label'!$E:$E,1,0))),vlookup($A570&amp;$B570,{'3) Release_Label'!$D:$D&amp;'3) Release_Label'!$E:$E,'3) Release_Label'!$H:$H},2,0),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E570" s="147" t="str">
        <f t="shared" si="1"/>
        <v/>
      </c>
      <c r="G570" s="97"/>
      <c r="H570" s="155"/>
      <c r="J570" s="92"/>
      <c r="K570" s="98"/>
      <c r="L570" s="92"/>
      <c r="N570" s="92"/>
      <c r="O570" s="92"/>
      <c r="P570" s="92"/>
    </row>
    <row r="571">
      <c r="A571" s="28"/>
      <c r="B571" s="97"/>
      <c r="C571" s="121" t="str">
        <f t="array" ref="C571">ifs(and(isblank($A571),isblank($B571)),"", not(iserror(vlookup($A571&amp;$B571,'3) Release_Label'!$D:$D&amp;'3) Release_Label'!$E:$E,1,0))),vlookup($A571&amp;$B571,{'3) Release_Label'!$D:$D&amp;'3) Release_Label'!$E:$E,'3) Release_Label'!$F:$F},2,0),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D571" s="121" t="str">
        <f t="array" ref="D571">ifs(and(isblank($A571),isblank($B571)),"", not(iserror(vlookup($A571&amp;$B571,'3) Release_Label'!$D:$D&amp;'3) Release_Label'!$E:$E,1,0))),vlookup($A571&amp;$B571,{'3) Release_Label'!$D:$D&amp;'3) Release_Label'!$E:$E,'3) Release_Label'!$H:$H},2,0),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E571" s="147" t="str">
        <f t="shared" si="1"/>
        <v/>
      </c>
      <c r="G571" s="97"/>
      <c r="H571" s="155"/>
      <c r="J571" s="92"/>
      <c r="K571" s="98"/>
      <c r="L571" s="92"/>
      <c r="N571" s="92"/>
      <c r="O571" s="92"/>
      <c r="P571" s="92"/>
    </row>
    <row r="572">
      <c r="A572" s="28"/>
      <c r="B572" s="97"/>
      <c r="C572" s="121" t="str">
        <f t="array" ref="C572">ifs(and(isblank($A572),isblank($B572)),"", not(iserror(vlookup($A572&amp;$B572,'3) Release_Label'!$D:$D&amp;'3) Release_Label'!$E:$E,1,0))),vlookup($A572&amp;$B572,{'3) Release_Label'!$D:$D&amp;'3) Release_Label'!$E:$E,'3) Release_Label'!$F:$F},2,0),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D572" s="121" t="str">
        <f t="array" ref="D572">ifs(and(isblank($A572),isblank($B572)),"", not(iserror(vlookup($A572&amp;$B572,'3) Release_Label'!$D:$D&amp;'3) Release_Label'!$E:$E,1,0))),vlookup($A572&amp;$B572,{'3) Release_Label'!$D:$D&amp;'3) Release_Label'!$E:$E,'3) Release_Label'!$H:$H},2,0),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E572" s="147" t="str">
        <f t="shared" si="1"/>
        <v/>
      </c>
      <c r="G572" s="97"/>
      <c r="H572" s="155"/>
      <c r="J572" s="92"/>
      <c r="K572" s="98"/>
      <c r="L572" s="92"/>
      <c r="N572" s="92"/>
      <c r="O572" s="92"/>
      <c r="P572" s="92"/>
    </row>
    <row r="573">
      <c r="A573" s="28"/>
      <c r="B573" s="97"/>
      <c r="C573" s="121" t="str">
        <f t="array" ref="C573">ifs(and(isblank($A573),isblank($B573)),"", not(iserror(vlookup($A573&amp;$B573,'3) Release_Label'!$D:$D&amp;'3) Release_Label'!$E:$E,1,0))),vlookup($A573&amp;$B573,{'3) Release_Label'!$D:$D&amp;'3) Release_Label'!$E:$E,'3) Release_Label'!$F:$F},2,0),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D573" s="121" t="str">
        <f t="array" ref="D573">ifs(and(isblank($A573),isblank($B573)),"", not(iserror(vlookup($A573&amp;$B573,'3) Release_Label'!$D:$D&amp;'3) Release_Label'!$E:$E,1,0))),vlookup($A573&amp;$B573,{'3) Release_Label'!$D:$D&amp;'3) Release_Label'!$E:$E,'3) Release_Label'!$H:$H},2,0),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E573" s="147" t="str">
        <f t="shared" si="1"/>
        <v/>
      </c>
      <c r="G573" s="97"/>
      <c r="H573" s="155"/>
      <c r="J573" s="92"/>
      <c r="K573" s="98"/>
      <c r="L573" s="92"/>
      <c r="N573" s="92"/>
      <c r="O573" s="92"/>
      <c r="P573" s="92"/>
    </row>
    <row r="574">
      <c r="A574" s="28"/>
      <c r="B574" s="97"/>
      <c r="C574" s="121" t="str">
        <f t="array" ref="C574">ifs(and(isblank($A574),isblank($B574)),"", not(iserror(vlookup($A574&amp;$B574,'3) Release_Label'!$D:$D&amp;'3) Release_Label'!$E:$E,1,0))),vlookup($A574&amp;$B574,{'3) Release_Label'!$D:$D&amp;'3) Release_Label'!$E:$E,'3) Release_Label'!$F:$F},2,0),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D574" s="121" t="str">
        <f t="array" ref="D574">ifs(and(isblank($A574),isblank($B574)),"", not(iserror(vlookup($A574&amp;$B574,'3) Release_Label'!$D:$D&amp;'3) Release_Label'!$E:$E,1,0))),vlookup($A574&amp;$B574,{'3) Release_Label'!$D:$D&amp;'3) Release_Label'!$E:$E,'3) Release_Label'!$H:$H},2,0),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E574" s="147" t="str">
        <f t="shared" si="1"/>
        <v/>
      </c>
      <c r="G574" s="97"/>
      <c r="H574" s="155"/>
      <c r="J574" s="92"/>
      <c r="K574" s="98"/>
      <c r="L574" s="92"/>
      <c r="N574" s="92"/>
      <c r="O574" s="92"/>
      <c r="P574" s="92"/>
    </row>
    <row r="575">
      <c r="A575" s="28"/>
      <c r="B575" s="97"/>
      <c r="C575" s="121" t="str">
        <f t="array" ref="C575">ifs(and(isblank($A575),isblank($B575)),"", not(iserror(vlookup($A575&amp;$B575,'3) Release_Label'!$D:$D&amp;'3) Release_Label'!$E:$E,1,0))),vlookup($A575&amp;$B575,{'3) Release_Label'!$D:$D&amp;'3) Release_Label'!$E:$E,'3) Release_Label'!$F:$F},2,0),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D575" s="121" t="str">
        <f t="array" ref="D575">ifs(and(isblank($A575),isblank($B575)),"", not(iserror(vlookup($A575&amp;$B575,'3) Release_Label'!$D:$D&amp;'3) Release_Label'!$E:$E,1,0))),vlookup($A575&amp;$B575,{'3) Release_Label'!$D:$D&amp;'3) Release_Label'!$E:$E,'3) Release_Label'!$H:$H},2,0),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E575" s="147" t="str">
        <f t="shared" si="1"/>
        <v/>
      </c>
      <c r="G575" s="97"/>
      <c r="H575" s="155"/>
      <c r="J575" s="92"/>
      <c r="K575" s="98"/>
      <c r="L575" s="92"/>
      <c r="N575" s="92"/>
      <c r="O575" s="92"/>
      <c r="P575" s="92"/>
    </row>
    <row r="576">
      <c r="A576" s="28"/>
      <c r="B576" s="97"/>
      <c r="C576" s="121" t="str">
        <f t="array" ref="C576">ifs(and(isblank($A576),isblank($B576)),"", not(iserror(vlookup($A576&amp;$B576,'3) Release_Label'!$D:$D&amp;'3) Release_Label'!$E:$E,1,0))),vlookup($A576&amp;$B576,{'3) Release_Label'!$D:$D&amp;'3) Release_Label'!$E:$E,'3) Release_Label'!$F:$F},2,0),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D576" s="121" t="str">
        <f t="array" ref="D576">ifs(and(isblank($A576),isblank($B576)),"", not(iserror(vlookup($A576&amp;$B576,'3) Release_Label'!$D:$D&amp;'3) Release_Label'!$E:$E,1,0))),vlookup($A576&amp;$B576,{'3) Release_Label'!$D:$D&amp;'3) Release_Label'!$E:$E,'3) Release_Label'!$H:$H},2,0),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E576" s="147" t="str">
        <f t="shared" si="1"/>
        <v/>
      </c>
      <c r="G576" s="97"/>
      <c r="H576" s="155"/>
      <c r="J576" s="92"/>
      <c r="K576" s="98"/>
      <c r="L576" s="92"/>
      <c r="N576" s="92"/>
      <c r="O576" s="92"/>
      <c r="P576" s="92"/>
    </row>
    <row r="577">
      <c r="A577" s="28"/>
      <c r="B577" s="97"/>
      <c r="C577" s="121" t="str">
        <f t="array" ref="C577">ifs(and(isblank($A577),isblank($B577)),"", not(iserror(vlookup($A577&amp;$B577,'3) Release_Label'!$D:$D&amp;'3) Release_Label'!$E:$E,1,0))),vlookup($A577&amp;$B577,{'3) Release_Label'!$D:$D&amp;'3) Release_Label'!$E:$E,'3) Release_Label'!$F:$F},2,0),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D577" s="121" t="str">
        <f t="array" ref="D577">ifs(and(isblank($A577),isblank($B577)),"", not(iserror(vlookup($A577&amp;$B577,'3) Release_Label'!$D:$D&amp;'3) Release_Label'!$E:$E,1,0))),vlookup($A577&amp;$B577,{'3) Release_Label'!$D:$D&amp;'3) Release_Label'!$E:$E,'3) Release_Label'!$H:$H},2,0),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E577" s="147" t="str">
        <f t="shared" si="1"/>
        <v/>
      </c>
      <c r="G577" s="97"/>
      <c r="H577" s="155"/>
      <c r="J577" s="92"/>
      <c r="K577" s="98"/>
      <c r="L577" s="92"/>
      <c r="N577" s="92"/>
      <c r="O577" s="92"/>
      <c r="P577" s="92"/>
    </row>
    <row r="578">
      <c r="A578" s="28"/>
      <c r="B578" s="97"/>
      <c r="C578" s="121" t="str">
        <f t="array" ref="C578">ifs(and(isblank($A578),isblank($B578)),"", not(iserror(vlookup($A578&amp;$B578,'3) Release_Label'!$D:$D&amp;'3) Release_Label'!$E:$E,1,0))),vlookup($A578&amp;$B578,{'3) Release_Label'!$D:$D&amp;'3) Release_Label'!$E:$E,'3) Release_Label'!$F:$F},2,0),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D578" s="121" t="str">
        <f t="array" ref="D578">ifs(and(isblank($A578),isblank($B578)),"", not(iserror(vlookup($A578&amp;$B578,'3) Release_Label'!$D:$D&amp;'3) Release_Label'!$E:$E,1,0))),vlookup($A578&amp;$B578,{'3) Release_Label'!$D:$D&amp;'3) Release_Label'!$E:$E,'3) Release_Label'!$H:$H},2,0),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E578" s="147" t="str">
        <f t="shared" si="1"/>
        <v/>
      </c>
      <c r="G578" s="97"/>
      <c r="H578" s="155"/>
      <c r="J578" s="92"/>
      <c r="K578" s="98"/>
      <c r="L578" s="92"/>
      <c r="N578" s="92"/>
      <c r="O578" s="92"/>
      <c r="P578" s="92"/>
    </row>
    <row r="579">
      <c r="A579" s="28"/>
      <c r="B579" s="97"/>
      <c r="C579" s="121" t="str">
        <f t="array" ref="C579">ifs(and(isblank($A579),isblank($B579)),"", not(iserror(vlookup($A579&amp;$B579,'3) Release_Label'!$D:$D&amp;'3) Release_Label'!$E:$E,1,0))),vlookup($A579&amp;$B579,{'3) Release_Label'!$D:$D&amp;'3) Release_Label'!$E:$E,'3) Release_Label'!$F:$F},2,0),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D579" s="121" t="str">
        <f t="array" ref="D579">ifs(and(isblank($A579),isblank($B579)),"", not(iserror(vlookup($A579&amp;$B579,'3) Release_Label'!$D:$D&amp;'3) Release_Label'!$E:$E,1,0))),vlookup($A579&amp;$B579,{'3) Release_Label'!$D:$D&amp;'3) Release_Label'!$E:$E,'3) Release_Label'!$H:$H},2,0),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E579" s="147" t="str">
        <f t="shared" si="1"/>
        <v/>
      </c>
      <c r="G579" s="97"/>
      <c r="H579" s="155"/>
      <c r="J579" s="92"/>
      <c r="K579" s="98"/>
      <c r="L579" s="92"/>
      <c r="N579" s="92"/>
      <c r="O579" s="92"/>
      <c r="P579" s="92"/>
    </row>
    <row r="580">
      <c r="A580" s="28"/>
      <c r="B580" s="97"/>
      <c r="C580" s="121" t="str">
        <f t="array" ref="C580">ifs(and(isblank($A580),isblank($B580)),"", not(iserror(vlookup($A580&amp;$B580,'3) Release_Label'!$D:$D&amp;'3) Release_Label'!$E:$E,1,0))),vlookup($A580&amp;$B580,{'3) Release_Label'!$D:$D&amp;'3) Release_Label'!$E:$E,'3) Release_Label'!$F:$F},2,0),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D580" s="121" t="str">
        <f t="array" ref="D580">ifs(and(isblank($A580),isblank($B580)),"", not(iserror(vlookup($A580&amp;$B580,'3) Release_Label'!$D:$D&amp;'3) Release_Label'!$E:$E,1,0))),vlookup($A580&amp;$B580,{'3) Release_Label'!$D:$D&amp;'3) Release_Label'!$E:$E,'3) Release_Label'!$H:$H},2,0),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E580" s="147" t="str">
        <f t="shared" si="1"/>
        <v/>
      </c>
      <c r="G580" s="97"/>
      <c r="H580" s="155"/>
      <c r="J580" s="92"/>
      <c r="K580" s="98"/>
      <c r="L580" s="92"/>
      <c r="N580" s="92"/>
      <c r="O580" s="92"/>
      <c r="P580" s="92"/>
    </row>
    <row r="581">
      <c r="A581" s="28"/>
      <c r="B581" s="97"/>
      <c r="C581" s="121" t="str">
        <f t="array" ref="C581">ifs(and(isblank($A581),isblank($B581)),"", not(iserror(vlookup($A581&amp;$B581,'3) Release_Label'!$D:$D&amp;'3) Release_Label'!$E:$E,1,0))),vlookup($A581&amp;$B581,{'3) Release_Label'!$D:$D&amp;'3) Release_Label'!$E:$E,'3) Release_Label'!$F:$F},2,0),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D581" s="121" t="str">
        <f t="array" ref="D581">ifs(and(isblank($A581),isblank($B581)),"", not(iserror(vlookup($A581&amp;$B581,'3) Release_Label'!$D:$D&amp;'3) Release_Label'!$E:$E,1,0))),vlookup($A581&amp;$B581,{'3) Release_Label'!$D:$D&amp;'3) Release_Label'!$E:$E,'3) Release_Label'!$H:$H},2,0),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E581" s="147" t="str">
        <f t="shared" si="1"/>
        <v/>
      </c>
      <c r="G581" s="97"/>
      <c r="H581" s="155"/>
      <c r="J581" s="92"/>
      <c r="K581" s="98"/>
      <c r="L581" s="92"/>
      <c r="N581" s="92"/>
      <c r="O581" s="92"/>
      <c r="P581" s="92"/>
    </row>
    <row r="582">
      <c r="A582" s="28"/>
      <c r="B582" s="97"/>
      <c r="C582" s="121" t="str">
        <f t="array" ref="C582">ifs(and(isblank($A582),isblank($B582)),"", not(iserror(vlookup($A582&amp;$B582,'3) Release_Label'!$D:$D&amp;'3) Release_Label'!$E:$E,1,0))),vlookup($A582&amp;$B582,{'3) Release_Label'!$D:$D&amp;'3) Release_Label'!$E:$E,'3) Release_Label'!$F:$F},2,0),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D582" s="121" t="str">
        <f t="array" ref="D582">ifs(and(isblank($A582),isblank($B582)),"", not(iserror(vlookup($A582&amp;$B582,'3) Release_Label'!$D:$D&amp;'3) Release_Label'!$E:$E,1,0))),vlookup($A582&amp;$B582,{'3) Release_Label'!$D:$D&amp;'3) Release_Label'!$E:$E,'3) Release_Label'!$H:$H},2,0),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E582" s="147" t="str">
        <f t="shared" si="1"/>
        <v/>
      </c>
      <c r="G582" s="97"/>
      <c r="H582" s="155"/>
      <c r="J582" s="92"/>
      <c r="K582" s="98"/>
      <c r="L582" s="92"/>
      <c r="N582" s="92"/>
      <c r="O582" s="92"/>
      <c r="P582" s="92"/>
    </row>
    <row r="583">
      <c r="A583" s="28"/>
      <c r="B583" s="97"/>
      <c r="C583" s="121" t="str">
        <f t="array" ref="C583">ifs(and(isblank($A583),isblank($B583)),"", not(iserror(vlookup($A583&amp;$B583,'3) Release_Label'!$D:$D&amp;'3) Release_Label'!$E:$E,1,0))),vlookup($A583&amp;$B583,{'3) Release_Label'!$D:$D&amp;'3) Release_Label'!$E:$E,'3) Release_Label'!$F:$F},2,0),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D583" s="121" t="str">
        <f t="array" ref="D583">ifs(and(isblank($A583),isblank($B583)),"", not(iserror(vlookup($A583&amp;$B583,'3) Release_Label'!$D:$D&amp;'3) Release_Label'!$E:$E,1,0))),vlookup($A583&amp;$B583,{'3) Release_Label'!$D:$D&amp;'3) Release_Label'!$E:$E,'3) Release_Label'!$H:$H},2,0),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E583" s="147" t="str">
        <f t="shared" si="1"/>
        <v/>
      </c>
      <c r="G583" s="97"/>
      <c r="H583" s="155"/>
      <c r="J583" s="92"/>
      <c r="K583" s="98"/>
      <c r="L583" s="92"/>
      <c r="N583" s="92"/>
      <c r="O583" s="92"/>
      <c r="P583" s="92"/>
    </row>
    <row r="584">
      <c r="A584" s="28"/>
      <c r="B584" s="97"/>
      <c r="C584" s="121" t="str">
        <f t="array" ref="C584">ifs(and(isblank($A584),isblank($B584)),"", not(iserror(vlookup($A584&amp;$B584,'3) Release_Label'!$D:$D&amp;'3) Release_Label'!$E:$E,1,0))),vlookup($A584&amp;$B584,{'3) Release_Label'!$D:$D&amp;'3) Release_Label'!$E:$E,'3) Release_Label'!$F:$F},2,0),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D584" s="121" t="str">
        <f t="array" ref="D584">ifs(and(isblank($A584),isblank($B584)),"", not(iserror(vlookup($A584&amp;$B584,'3) Release_Label'!$D:$D&amp;'3) Release_Label'!$E:$E,1,0))),vlookup($A584&amp;$B584,{'3) Release_Label'!$D:$D&amp;'3) Release_Label'!$E:$E,'3) Release_Label'!$H:$H},2,0),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E584" s="147" t="str">
        <f t="shared" si="1"/>
        <v/>
      </c>
      <c r="G584" s="97"/>
      <c r="H584" s="155"/>
      <c r="J584" s="92"/>
      <c r="K584" s="98"/>
      <c r="L584" s="92"/>
      <c r="N584" s="92"/>
      <c r="O584" s="92"/>
      <c r="P584" s="92"/>
    </row>
    <row r="585">
      <c r="A585" s="28"/>
      <c r="B585" s="97"/>
      <c r="C585" s="121" t="str">
        <f t="array" ref="C585">ifs(and(isblank($A585),isblank($B585)),"", not(iserror(vlookup($A585&amp;$B585,'3) Release_Label'!$D:$D&amp;'3) Release_Label'!$E:$E,1,0))),vlookup($A585&amp;$B585,{'3) Release_Label'!$D:$D&amp;'3) Release_Label'!$E:$E,'3) Release_Label'!$F:$F},2,0),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D585" s="121" t="str">
        <f t="array" ref="D585">ifs(and(isblank($A585),isblank($B585)),"", not(iserror(vlookup($A585&amp;$B585,'3) Release_Label'!$D:$D&amp;'3) Release_Label'!$E:$E,1,0))),vlookup($A585&amp;$B585,{'3) Release_Label'!$D:$D&amp;'3) Release_Label'!$E:$E,'3) Release_Label'!$H:$H},2,0),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E585" s="147" t="str">
        <f t="shared" si="1"/>
        <v/>
      </c>
      <c r="G585" s="97"/>
      <c r="H585" s="155"/>
      <c r="J585" s="92"/>
      <c r="K585" s="98"/>
      <c r="L585" s="92"/>
      <c r="N585" s="92"/>
      <c r="O585" s="92"/>
      <c r="P585" s="92"/>
    </row>
    <row r="586">
      <c r="A586" s="28"/>
      <c r="B586" s="97"/>
      <c r="C586" s="121" t="str">
        <f t="array" ref="C586">ifs(and(isblank($A586),isblank($B586)),"", not(iserror(vlookup($A586&amp;$B586,'3) Release_Label'!$D:$D&amp;'3) Release_Label'!$E:$E,1,0))),vlookup($A586&amp;$B586,{'3) Release_Label'!$D:$D&amp;'3) Release_Label'!$E:$E,'3) Release_Label'!$F:$F},2,0),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D586" s="121" t="str">
        <f t="array" ref="D586">ifs(and(isblank($A586),isblank($B586)),"", not(iserror(vlookup($A586&amp;$B586,'3) Release_Label'!$D:$D&amp;'3) Release_Label'!$E:$E,1,0))),vlookup($A586&amp;$B586,{'3) Release_Label'!$D:$D&amp;'3) Release_Label'!$E:$E,'3) Release_Label'!$H:$H},2,0),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E586" s="147" t="str">
        <f t="shared" si="1"/>
        <v/>
      </c>
      <c r="G586" s="97"/>
      <c r="H586" s="155"/>
      <c r="J586" s="92"/>
      <c r="K586" s="98"/>
      <c r="L586" s="92"/>
      <c r="N586" s="92"/>
      <c r="O586" s="92"/>
      <c r="P586" s="92"/>
    </row>
    <row r="587">
      <c r="A587" s="28"/>
      <c r="B587" s="97"/>
      <c r="C587" s="121" t="str">
        <f t="array" ref="C587">ifs(and(isblank($A587),isblank($B587)),"", not(iserror(vlookup($A587&amp;$B587,'3) Release_Label'!$D:$D&amp;'3) Release_Label'!$E:$E,1,0))),vlookup($A587&amp;$B587,{'3) Release_Label'!$D:$D&amp;'3) Release_Label'!$E:$E,'3) Release_Label'!$F:$F},2,0),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D587" s="121" t="str">
        <f t="array" ref="D587">ifs(and(isblank($A587),isblank($B587)),"", not(iserror(vlookup($A587&amp;$B587,'3) Release_Label'!$D:$D&amp;'3) Release_Label'!$E:$E,1,0))),vlookup($A587&amp;$B587,{'3) Release_Label'!$D:$D&amp;'3) Release_Label'!$E:$E,'3) Release_Label'!$H:$H},2,0),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E587" s="147" t="str">
        <f t="shared" si="1"/>
        <v/>
      </c>
      <c r="G587" s="97"/>
      <c r="H587" s="155"/>
      <c r="J587" s="92"/>
      <c r="K587" s="98"/>
      <c r="L587" s="92"/>
      <c r="N587" s="92"/>
      <c r="O587" s="92"/>
      <c r="P587" s="92"/>
    </row>
    <row r="588">
      <c r="A588" s="28"/>
      <c r="B588" s="97"/>
      <c r="C588" s="121" t="str">
        <f t="array" ref="C588">ifs(and(isblank($A588),isblank($B588)),"", not(iserror(vlookup($A588&amp;$B588,'3) Release_Label'!$D:$D&amp;'3) Release_Label'!$E:$E,1,0))),vlookup($A588&amp;$B588,{'3) Release_Label'!$D:$D&amp;'3) Release_Label'!$E:$E,'3) Release_Label'!$F:$F},2,0),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D588" s="121" t="str">
        <f t="array" ref="D588">ifs(and(isblank($A588),isblank($B588)),"", not(iserror(vlookup($A588&amp;$B588,'3) Release_Label'!$D:$D&amp;'3) Release_Label'!$E:$E,1,0))),vlookup($A588&amp;$B588,{'3) Release_Label'!$D:$D&amp;'3) Release_Label'!$E:$E,'3) Release_Label'!$H:$H},2,0),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E588" s="147" t="str">
        <f t="shared" si="1"/>
        <v/>
      </c>
      <c r="G588" s="97"/>
      <c r="H588" s="155"/>
      <c r="J588" s="92"/>
      <c r="K588" s="98"/>
      <c r="L588" s="92"/>
      <c r="N588" s="92"/>
      <c r="O588" s="92"/>
      <c r="P588" s="92"/>
    </row>
    <row r="589">
      <c r="A589" s="28"/>
      <c r="B589" s="97"/>
      <c r="C589" s="121" t="str">
        <f t="array" ref="C589">ifs(and(isblank($A589),isblank($B589)),"", not(iserror(vlookup($A589&amp;$B589,'3) Release_Label'!$D:$D&amp;'3) Release_Label'!$E:$E,1,0))),vlookup($A589&amp;$B589,{'3) Release_Label'!$D:$D&amp;'3) Release_Label'!$E:$E,'3) Release_Label'!$F:$F},2,0),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D589" s="121" t="str">
        <f t="array" ref="D589">ifs(and(isblank($A589),isblank($B589)),"", not(iserror(vlookup($A589&amp;$B589,'3) Release_Label'!$D:$D&amp;'3) Release_Label'!$E:$E,1,0))),vlookup($A589&amp;$B589,{'3) Release_Label'!$D:$D&amp;'3) Release_Label'!$E:$E,'3) Release_Label'!$H:$H},2,0),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E589" s="147" t="str">
        <f t="shared" si="1"/>
        <v/>
      </c>
      <c r="G589" s="97"/>
      <c r="H589" s="155"/>
      <c r="J589" s="92"/>
      <c r="K589" s="98"/>
      <c r="L589" s="92"/>
      <c r="N589" s="92"/>
      <c r="O589" s="92"/>
      <c r="P589" s="92"/>
    </row>
    <row r="590">
      <c r="A590" s="28"/>
      <c r="B590" s="97"/>
      <c r="C590" s="121" t="str">
        <f t="array" ref="C590">ifs(and(isblank($A590),isblank($B590)),"", not(iserror(vlookup($A590&amp;$B590,'3) Release_Label'!$D:$D&amp;'3) Release_Label'!$E:$E,1,0))),vlookup($A590&amp;$B590,{'3) Release_Label'!$D:$D&amp;'3) Release_Label'!$E:$E,'3) Release_Label'!$F:$F},2,0),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D590" s="121" t="str">
        <f t="array" ref="D590">ifs(and(isblank($A590),isblank($B590)),"", not(iserror(vlookup($A590&amp;$B590,'3) Release_Label'!$D:$D&amp;'3) Release_Label'!$E:$E,1,0))),vlookup($A590&amp;$B590,{'3) Release_Label'!$D:$D&amp;'3) Release_Label'!$E:$E,'3) Release_Label'!$H:$H},2,0),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E590" s="147" t="str">
        <f t="shared" si="1"/>
        <v/>
      </c>
      <c r="G590" s="97"/>
      <c r="H590" s="155"/>
      <c r="J590" s="92"/>
      <c r="K590" s="98"/>
      <c r="L590" s="92"/>
      <c r="N590" s="92"/>
      <c r="O590" s="92"/>
      <c r="P590" s="92"/>
    </row>
    <row r="591">
      <c r="A591" s="28"/>
      <c r="B591" s="97"/>
      <c r="C591" s="121" t="str">
        <f t="array" ref="C591">ifs(and(isblank($A591),isblank($B591)),"", not(iserror(vlookup($A591&amp;$B591,'3) Release_Label'!$D:$D&amp;'3) Release_Label'!$E:$E,1,0))),vlookup($A591&amp;$B591,{'3) Release_Label'!$D:$D&amp;'3) Release_Label'!$E:$E,'3) Release_Label'!$F:$F},2,0),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D591" s="121" t="str">
        <f t="array" ref="D591">ifs(and(isblank($A591),isblank($B591)),"", not(iserror(vlookup($A591&amp;$B591,'3) Release_Label'!$D:$D&amp;'3) Release_Label'!$E:$E,1,0))),vlookup($A591&amp;$B591,{'3) Release_Label'!$D:$D&amp;'3) Release_Label'!$E:$E,'3) Release_Label'!$H:$H},2,0),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E591" s="147" t="str">
        <f t="shared" si="1"/>
        <v/>
      </c>
      <c r="G591" s="97"/>
      <c r="H591" s="155"/>
      <c r="J591" s="92"/>
      <c r="K591" s="98"/>
      <c r="L591" s="92"/>
      <c r="N591" s="92"/>
      <c r="O591" s="92"/>
      <c r="P591" s="92"/>
    </row>
    <row r="592">
      <c r="A592" s="28"/>
      <c r="B592" s="97"/>
      <c r="C592" s="121" t="str">
        <f t="array" ref="C592">ifs(and(isblank($A592),isblank($B592)),"", not(iserror(vlookup($A592&amp;$B592,'3) Release_Label'!$D:$D&amp;'3) Release_Label'!$E:$E,1,0))),vlookup($A592&amp;$B592,{'3) Release_Label'!$D:$D&amp;'3) Release_Label'!$E:$E,'3) Release_Label'!$F:$F},2,0),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D592" s="121" t="str">
        <f t="array" ref="D592">ifs(and(isblank($A592),isblank($B592)),"", not(iserror(vlookup($A592&amp;$B592,'3) Release_Label'!$D:$D&amp;'3) Release_Label'!$E:$E,1,0))),vlookup($A592&amp;$B592,{'3) Release_Label'!$D:$D&amp;'3) Release_Label'!$E:$E,'3) Release_Label'!$H:$H},2,0),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E592" s="147" t="str">
        <f t="shared" si="1"/>
        <v/>
      </c>
      <c r="G592" s="97"/>
      <c r="H592" s="155"/>
      <c r="J592" s="92"/>
      <c r="K592" s="98"/>
      <c r="L592" s="92"/>
      <c r="N592" s="92"/>
      <c r="O592" s="92"/>
      <c r="P592" s="92"/>
    </row>
    <row r="593">
      <c r="A593" s="28"/>
      <c r="B593" s="97"/>
      <c r="C593" s="121" t="str">
        <f t="array" ref="C593">ifs(and(isblank($A593),isblank($B593)),"", not(iserror(vlookup($A593&amp;$B593,'3) Release_Label'!$D:$D&amp;'3) Release_Label'!$E:$E,1,0))),vlookup($A593&amp;$B593,{'3) Release_Label'!$D:$D&amp;'3) Release_Label'!$E:$E,'3) Release_Label'!$F:$F},2,0),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D593" s="121" t="str">
        <f t="array" ref="D593">ifs(and(isblank($A593),isblank($B593)),"", not(iserror(vlookup($A593&amp;$B593,'3) Release_Label'!$D:$D&amp;'3) Release_Label'!$E:$E,1,0))),vlookup($A593&amp;$B593,{'3) Release_Label'!$D:$D&amp;'3) Release_Label'!$E:$E,'3) Release_Label'!$H:$H},2,0),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E593" s="147" t="str">
        <f t="shared" si="1"/>
        <v/>
      </c>
      <c r="G593" s="97"/>
      <c r="H593" s="155"/>
      <c r="J593" s="92"/>
      <c r="K593" s="98"/>
      <c r="L593" s="92"/>
      <c r="N593" s="92"/>
      <c r="O593" s="92"/>
      <c r="P593" s="92"/>
    </row>
    <row r="594">
      <c r="A594" s="28"/>
      <c r="B594" s="97"/>
      <c r="C594" s="121" t="str">
        <f t="array" ref="C594">ifs(and(isblank($A594),isblank($B594)),"", not(iserror(vlookup($A594&amp;$B594,'3) Release_Label'!$D:$D&amp;'3) Release_Label'!$E:$E,1,0))),vlookup($A594&amp;$B594,{'3) Release_Label'!$D:$D&amp;'3) Release_Label'!$E:$E,'3) Release_Label'!$F:$F},2,0),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D594" s="121" t="str">
        <f t="array" ref="D594">ifs(and(isblank($A594),isblank($B594)),"", not(iserror(vlookup($A594&amp;$B594,'3) Release_Label'!$D:$D&amp;'3) Release_Label'!$E:$E,1,0))),vlookup($A594&amp;$B594,{'3) Release_Label'!$D:$D&amp;'3) Release_Label'!$E:$E,'3) Release_Label'!$H:$H},2,0),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E594" s="147" t="str">
        <f t="shared" si="1"/>
        <v/>
      </c>
      <c r="G594" s="97"/>
      <c r="H594" s="155"/>
      <c r="J594" s="92"/>
      <c r="K594" s="98"/>
      <c r="L594" s="92"/>
      <c r="N594" s="92"/>
      <c r="O594" s="92"/>
      <c r="P594" s="92"/>
    </row>
    <row r="595">
      <c r="A595" s="28"/>
      <c r="B595" s="97"/>
      <c r="C595" s="121" t="str">
        <f t="array" ref="C595">ifs(and(isblank($A595),isblank($B595)),"", not(iserror(vlookup($A595&amp;$B595,'3) Release_Label'!$D:$D&amp;'3) Release_Label'!$E:$E,1,0))),vlookup($A595&amp;$B595,{'3) Release_Label'!$D:$D&amp;'3) Release_Label'!$E:$E,'3) Release_Label'!$F:$F},2,0),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D595" s="121" t="str">
        <f t="array" ref="D595">ifs(and(isblank($A595),isblank($B595)),"", not(iserror(vlookup($A595&amp;$B595,'3) Release_Label'!$D:$D&amp;'3) Release_Label'!$E:$E,1,0))),vlookup($A595&amp;$B595,{'3) Release_Label'!$D:$D&amp;'3) Release_Label'!$E:$E,'3) Release_Label'!$H:$H},2,0),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E595" s="147" t="str">
        <f t="shared" si="1"/>
        <v/>
      </c>
      <c r="G595" s="97"/>
      <c r="H595" s="155"/>
      <c r="J595" s="92"/>
      <c r="K595" s="98"/>
      <c r="L595" s="92"/>
      <c r="N595" s="92"/>
      <c r="O595" s="92"/>
      <c r="P595" s="92"/>
    </row>
    <row r="596">
      <c r="A596" s="28"/>
      <c r="B596" s="97"/>
      <c r="C596" s="121" t="str">
        <f t="array" ref="C596">ifs(and(isblank($A596),isblank($B596)),"", not(iserror(vlookup($A596&amp;$B596,'3) Release_Label'!$D:$D&amp;'3) Release_Label'!$E:$E,1,0))),vlookup($A596&amp;$B596,{'3) Release_Label'!$D:$D&amp;'3) Release_Label'!$E:$E,'3) Release_Label'!$F:$F},2,0),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D596" s="121" t="str">
        <f t="array" ref="D596">ifs(and(isblank($A596),isblank($B596)),"", not(iserror(vlookup($A596&amp;$B596,'3) Release_Label'!$D:$D&amp;'3) Release_Label'!$E:$E,1,0))),vlookup($A596&amp;$B596,{'3) Release_Label'!$D:$D&amp;'3) Release_Label'!$E:$E,'3) Release_Label'!$H:$H},2,0),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E596" s="147" t="str">
        <f t="shared" si="1"/>
        <v/>
      </c>
      <c r="G596" s="97"/>
      <c r="H596" s="155"/>
      <c r="J596" s="92"/>
      <c r="K596" s="98"/>
      <c r="L596" s="92"/>
      <c r="N596" s="92"/>
      <c r="O596" s="92"/>
      <c r="P596" s="92"/>
    </row>
    <row r="597">
      <c r="A597" s="28"/>
      <c r="B597" s="97"/>
      <c r="C597" s="121" t="str">
        <f t="array" ref="C597">ifs(and(isblank($A597),isblank($B597)),"", not(iserror(vlookup($A597&amp;$B597,'3) Release_Label'!$D:$D&amp;'3) Release_Label'!$E:$E,1,0))),vlookup($A597&amp;$B597,{'3) Release_Label'!$D:$D&amp;'3) Release_Label'!$E:$E,'3) Release_Label'!$F:$F},2,0),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D597" s="121" t="str">
        <f t="array" ref="D597">ifs(and(isblank($A597),isblank($B597)),"", not(iserror(vlookup($A597&amp;$B597,'3) Release_Label'!$D:$D&amp;'3) Release_Label'!$E:$E,1,0))),vlookup($A597&amp;$B597,{'3) Release_Label'!$D:$D&amp;'3) Release_Label'!$E:$E,'3) Release_Label'!$H:$H},2,0),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E597" s="147" t="str">
        <f t="shared" si="1"/>
        <v/>
      </c>
      <c r="G597" s="97"/>
      <c r="H597" s="155"/>
      <c r="J597" s="92"/>
      <c r="K597" s="98"/>
      <c r="L597" s="92"/>
      <c r="N597" s="92"/>
      <c r="O597" s="92"/>
      <c r="P597" s="92"/>
    </row>
    <row r="598">
      <c r="A598" s="28"/>
      <c r="B598" s="97"/>
      <c r="C598" s="121" t="str">
        <f t="array" ref="C598">ifs(and(isblank($A598),isblank($B598)),"", not(iserror(vlookup($A598&amp;$B598,'3) Release_Label'!$D:$D&amp;'3) Release_Label'!$E:$E,1,0))),vlookup($A598&amp;$B598,{'3) Release_Label'!$D:$D&amp;'3) Release_Label'!$E:$E,'3) Release_Label'!$F:$F},2,0),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D598" s="121" t="str">
        <f t="array" ref="D598">ifs(and(isblank($A598),isblank($B598)),"", not(iserror(vlookup($A598&amp;$B598,'3) Release_Label'!$D:$D&amp;'3) Release_Label'!$E:$E,1,0))),vlookup($A598&amp;$B598,{'3) Release_Label'!$D:$D&amp;'3) Release_Label'!$E:$E,'3) Release_Label'!$H:$H},2,0),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E598" s="147" t="str">
        <f t="shared" si="1"/>
        <v/>
      </c>
      <c r="G598" s="97"/>
      <c r="H598" s="155"/>
      <c r="J598" s="92"/>
      <c r="K598" s="98"/>
      <c r="L598" s="92"/>
      <c r="N598" s="92"/>
      <c r="O598" s="92"/>
      <c r="P598" s="92"/>
    </row>
    <row r="599">
      <c r="A599" s="28"/>
      <c r="B599" s="97"/>
      <c r="C599" s="121" t="str">
        <f t="array" ref="C599">ifs(and(isblank($A599),isblank($B599)),"", not(iserror(vlookup($A599&amp;$B599,'3) Release_Label'!$D:$D&amp;'3) Release_Label'!$E:$E,1,0))),vlookup($A599&amp;$B599,{'3) Release_Label'!$D:$D&amp;'3) Release_Label'!$E:$E,'3) Release_Label'!$F:$F},2,0),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D599" s="121" t="str">
        <f t="array" ref="D599">ifs(and(isblank($A599),isblank($B599)),"", not(iserror(vlookup($A599&amp;$B599,'3) Release_Label'!$D:$D&amp;'3) Release_Label'!$E:$E,1,0))),vlookup($A599&amp;$B599,{'3) Release_Label'!$D:$D&amp;'3) Release_Label'!$E:$E,'3) Release_Label'!$H:$H},2,0),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E599" s="147" t="str">
        <f t="shared" si="1"/>
        <v/>
      </c>
      <c r="G599" s="97"/>
      <c r="H599" s="155"/>
      <c r="J599" s="92"/>
      <c r="K599" s="98"/>
      <c r="L599" s="92"/>
      <c r="N599" s="92"/>
      <c r="O599" s="92"/>
      <c r="P599" s="92"/>
    </row>
    <row r="600">
      <c r="A600" s="28"/>
      <c r="B600" s="97"/>
      <c r="C600" s="121" t="str">
        <f t="array" ref="C600">ifs(and(isblank($A600),isblank($B600)),"", not(iserror(vlookup($A600&amp;$B600,'3) Release_Label'!$D:$D&amp;'3) Release_Label'!$E:$E,1,0))),vlookup($A600&amp;$B600,{'3) Release_Label'!$D:$D&amp;'3) Release_Label'!$E:$E,'3) Release_Label'!$F:$F},2,0),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D600" s="121" t="str">
        <f t="array" ref="D600">ifs(and(isblank($A600),isblank($B600)),"", not(iserror(vlookup($A600&amp;$B600,'3) Release_Label'!$D:$D&amp;'3) Release_Label'!$E:$E,1,0))),vlookup($A600&amp;$B600,{'3) Release_Label'!$D:$D&amp;'3) Release_Label'!$E:$E,'3) Release_Label'!$H:$H},2,0),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E600" s="147" t="str">
        <f t="shared" si="1"/>
        <v/>
      </c>
      <c r="G600" s="97"/>
      <c r="H600" s="155"/>
      <c r="J600" s="92"/>
      <c r="K600" s="98"/>
      <c r="L600" s="92"/>
      <c r="N600" s="92"/>
      <c r="O600" s="92"/>
      <c r="P600" s="92"/>
    </row>
    <row r="601">
      <c r="A601" s="28"/>
      <c r="B601" s="97"/>
      <c r="C601" s="121" t="str">
        <f t="array" ref="C601">ifs(and(isblank($A601),isblank($B601)),"", not(iserror(vlookup($A601&amp;$B601,'3) Release_Label'!$D:$D&amp;'3) Release_Label'!$E:$E,1,0))),vlookup($A601&amp;$B601,{'3) Release_Label'!$D:$D&amp;'3) Release_Label'!$E:$E,'3) Release_Label'!$F:$F},2,0),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D601" s="121" t="str">
        <f t="array" ref="D601">ifs(and(isblank($A601),isblank($B601)),"", not(iserror(vlookup($A601&amp;$B601,'3) Release_Label'!$D:$D&amp;'3) Release_Label'!$E:$E,1,0))),vlookup($A601&amp;$B601,{'3) Release_Label'!$D:$D&amp;'3) Release_Label'!$E:$E,'3) Release_Label'!$H:$H},2,0),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E601" s="147" t="str">
        <f t="shared" si="1"/>
        <v/>
      </c>
      <c r="G601" s="97"/>
      <c r="H601" s="155"/>
      <c r="J601" s="92"/>
      <c r="K601" s="98"/>
      <c r="L601" s="92"/>
      <c r="N601" s="92"/>
      <c r="O601" s="92"/>
      <c r="P601" s="92"/>
    </row>
    <row r="602">
      <c r="A602" s="28"/>
      <c r="B602" s="97"/>
      <c r="C602" s="121" t="str">
        <f t="array" ref="C602">ifs(and(isblank($A602),isblank($B602)),"", not(iserror(vlookup($A602&amp;$B602,'3) Release_Label'!$D:$D&amp;'3) Release_Label'!$E:$E,1,0))),vlookup($A602&amp;$B602,{'3) Release_Label'!$D:$D&amp;'3) Release_Label'!$E:$E,'3) Release_Label'!$F:$F},2,0),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D602" s="121" t="str">
        <f t="array" ref="D602">ifs(and(isblank($A602),isblank($B602)),"", not(iserror(vlookup($A602&amp;$B602,'3) Release_Label'!$D:$D&amp;'3) Release_Label'!$E:$E,1,0))),vlookup($A602&amp;$B602,{'3) Release_Label'!$D:$D&amp;'3) Release_Label'!$E:$E,'3) Release_Label'!$H:$H},2,0),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E602" s="147" t="str">
        <f t="shared" si="1"/>
        <v/>
      </c>
      <c r="G602" s="97"/>
      <c r="H602" s="155"/>
      <c r="J602" s="92"/>
      <c r="K602" s="98"/>
      <c r="L602" s="92"/>
      <c r="N602" s="92"/>
      <c r="O602" s="92"/>
      <c r="P602" s="92"/>
    </row>
    <row r="603">
      <c r="A603" s="28"/>
      <c r="B603" s="97"/>
      <c r="C603" s="121" t="str">
        <f t="array" ref="C603">ifs(and(isblank($A603),isblank($B603)),"", not(iserror(vlookup($A603&amp;$B603,'3) Release_Label'!$D:$D&amp;'3) Release_Label'!$E:$E,1,0))),vlookup($A603&amp;$B603,{'3) Release_Label'!$D:$D&amp;'3) Release_Label'!$E:$E,'3) Release_Label'!$F:$F},2,0),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D603" s="121" t="str">
        <f t="array" ref="D603">ifs(and(isblank($A603),isblank($B603)),"", not(iserror(vlookup($A603&amp;$B603,'3) Release_Label'!$D:$D&amp;'3) Release_Label'!$E:$E,1,0))),vlookup($A603&amp;$B603,{'3) Release_Label'!$D:$D&amp;'3) Release_Label'!$E:$E,'3) Release_Label'!$H:$H},2,0),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E603" s="147" t="str">
        <f t="shared" si="1"/>
        <v/>
      </c>
      <c r="G603" s="97"/>
      <c r="H603" s="155"/>
      <c r="J603" s="92"/>
      <c r="K603" s="98"/>
      <c r="L603" s="92"/>
      <c r="N603" s="92"/>
      <c r="O603" s="92"/>
      <c r="P603" s="92"/>
    </row>
    <row r="604">
      <c r="A604" s="28"/>
      <c r="B604" s="97"/>
      <c r="C604" s="121" t="str">
        <f t="array" ref="C604">ifs(and(isblank($A604),isblank($B604)),"", not(iserror(vlookup($A604&amp;$B604,'3) Release_Label'!$D:$D&amp;'3) Release_Label'!$E:$E,1,0))),vlookup($A604&amp;$B604,{'3) Release_Label'!$D:$D&amp;'3) Release_Label'!$E:$E,'3) Release_Label'!$F:$F},2,0),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D604" s="121" t="str">
        <f t="array" ref="D604">ifs(and(isblank($A604),isblank($B604)),"", not(iserror(vlookup($A604&amp;$B604,'3) Release_Label'!$D:$D&amp;'3) Release_Label'!$E:$E,1,0))),vlookup($A604&amp;$B604,{'3) Release_Label'!$D:$D&amp;'3) Release_Label'!$E:$E,'3) Release_Label'!$H:$H},2,0),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E604" s="147" t="str">
        <f t="shared" si="1"/>
        <v/>
      </c>
      <c r="G604" s="97"/>
      <c r="H604" s="155"/>
      <c r="J604" s="92"/>
      <c r="K604" s="98"/>
      <c r="L604" s="92"/>
      <c r="N604" s="92"/>
      <c r="O604" s="92"/>
      <c r="P604" s="92"/>
    </row>
    <row r="605">
      <c r="A605" s="28"/>
      <c r="B605" s="97"/>
      <c r="C605" s="121" t="str">
        <f t="array" ref="C605">ifs(and(isblank($A605),isblank($B605)),"", not(iserror(vlookup($A605&amp;$B605,'3) Release_Label'!$D:$D&amp;'3) Release_Label'!$E:$E,1,0))),vlookup($A605&amp;$B605,{'3) Release_Label'!$D:$D&amp;'3) Release_Label'!$E:$E,'3) Release_Label'!$F:$F},2,0),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D605" s="121" t="str">
        <f t="array" ref="D605">ifs(and(isblank($A605),isblank($B605)),"", not(iserror(vlookup($A605&amp;$B605,'3) Release_Label'!$D:$D&amp;'3) Release_Label'!$E:$E,1,0))),vlookup($A605&amp;$B605,{'3) Release_Label'!$D:$D&amp;'3) Release_Label'!$E:$E,'3) Release_Label'!$H:$H},2,0),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E605" s="147" t="str">
        <f t="shared" si="1"/>
        <v/>
      </c>
      <c r="G605" s="97"/>
      <c r="H605" s="155"/>
      <c r="J605" s="92"/>
      <c r="K605" s="98"/>
      <c r="L605" s="92"/>
      <c r="N605" s="92"/>
      <c r="O605" s="92"/>
      <c r="P605" s="92"/>
    </row>
    <row r="606">
      <c r="A606" s="28"/>
      <c r="B606" s="97"/>
      <c r="C606" s="121" t="str">
        <f t="array" ref="C606">ifs(and(isblank($A606),isblank($B606)),"", not(iserror(vlookup($A606&amp;$B606,'3) Release_Label'!$D:$D&amp;'3) Release_Label'!$E:$E,1,0))),vlookup($A606&amp;$B606,{'3) Release_Label'!$D:$D&amp;'3) Release_Label'!$E:$E,'3) Release_Label'!$F:$F},2,0),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D606" s="121" t="str">
        <f t="array" ref="D606">ifs(and(isblank($A606),isblank($B606)),"", not(iserror(vlookup($A606&amp;$B606,'3) Release_Label'!$D:$D&amp;'3) Release_Label'!$E:$E,1,0))),vlookup($A606&amp;$B606,{'3) Release_Label'!$D:$D&amp;'3) Release_Label'!$E:$E,'3) Release_Label'!$H:$H},2,0),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E606" s="147" t="str">
        <f t="shared" si="1"/>
        <v/>
      </c>
      <c r="G606" s="97"/>
      <c r="H606" s="155"/>
      <c r="J606" s="92"/>
      <c r="K606" s="98"/>
      <c r="L606" s="92"/>
      <c r="N606" s="92"/>
      <c r="O606" s="92"/>
      <c r="P606" s="92"/>
    </row>
    <row r="607">
      <c r="A607" s="28"/>
      <c r="B607" s="97"/>
      <c r="C607" s="121" t="str">
        <f t="array" ref="C607">ifs(and(isblank($A607),isblank($B607)),"", not(iserror(vlookup($A607&amp;$B607,'3) Release_Label'!$D:$D&amp;'3) Release_Label'!$E:$E,1,0))),vlookup($A607&amp;$B607,{'3) Release_Label'!$D:$D&amp;'3) Release_Label'!$E:$E,'3) Release_Label'!$F:$F},2,0),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D607" s="121" t="str">
        <f t="array" ref="D607">ifs(and(isblank($A607),isblank($B607)),"", not(iserror(vlookup($A607&amp;$B607,'3) Release_Label'!$D:$D&amp;'3) Release_Label'!$E:$E,1,0))),vlookup($A607&amp;$B607,{'3) Release_Label'!$D:$D&amp;'3) Release_Label'!$E:$E,'3) Release_Label'!$H:$H},2,0),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E607" s="147" t="str">
        <f t="shared" si="1"/>
        <v/>
      </c>
      <c r="G607" s="97"/>
      <c r="H607" s="155"/>
      <c r="J607" s="92"/>
      <c r="K607" s="98"/>
      <c r="L607" s="92"/>
      <c r="N607" s="92"/>
      <c r="O607" s="92"/>
      <c r="P607" s="92"/>
    </row>
    <row r="608">
      <c r="A608" s="28"/>
      <c r="B608" s="97"/>
      <c r="C608" s="121" t="str">
        <f t="array" ref="C608">ifs(and(isblank($A608),isblank($B608)),"", not(iserror(vlookup($A608&amp;$B608,'3) Release_Label'!$D:$D&amp;'3) Release_Label'!$E:$E,1,0))),vlookup($A608&amp;$B608,{'3) Release_Label'!$D:$D&amp;'3) Release_Label'!$E:$E,'3) Release_Label'!$F:$F},2,0),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D608" s="121" t="str">
        <f t="array" ref="D608">ifs(and(isblank($A608),isblank($B608)),"", not(iserror(vlookup($A608&amp;$B608,'3) Release_Label'!$D:$D&amp;'3) Release_Label'!$E:$E,1,0))),vlookup($A608&amp;$B608,{'3) Release_Label'!$D:$D&amp;'3) Release_Label'!$E:$E,'3) Release_Label'!$H:$H},2,0),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E608" s="147" t="str">
        <f t="shared" si="1"/>
        <v/>
      </c>
      <c r="G608" s="97"/>
      <c r="H608" s="155"/>
      <c r="J608" s="92"/>
      <c r="K608" s="98"/>
      <c r="L608" s="92"/>
      <c r="N608" s="92"/>
      <c r="O608" s="92"/>
      <c r="P608" s="92"/>
    </row>
    <row r="609">
      <c r="A609" s="28"/>
      <c r="B609" s="97"/>
      <c r="C609" s="121" t="str">
        <f t="array" ref="C609">ifs(and(isblank($A609),isblank($B609)),"", not(iserror(vlookup($A609&amp;$B609,'3) Release_Label'!$D:$D&amp;'3) Release_Label'!$E:$E,1,0))),vlookup($A609&amp;$B609,{'3) Release_Label'!$D:$D&amp;'3) Release_Label'!$E:$E,'3) Release_Label'!$F:$F},2,0),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D609" s="121" t="str">
        <f t="array" ref="D609">ifs(and(isblank($A609),isblank($B609)),"", not(iserror(vlookup($A609&amp;$B609,'3) Release_Label'!$D:$D&amp;'3) Release_Label'!$E:$E,1,0))),vlookup($A609&amp;$B609,{'3) Release_Label'!$D:$D&amp;'3) Release_Label'!$E:$E,'3) Release_Label'!$H:$H},2,0),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E609" s="147" t="str">
        <f t="shared" si="1"/>
        <v/>
      </c>
      <c r="G609" s="97"/>
      <c r="H609" s="155"/>
      <c r="J609" s="92"/>
      <c r="K609" s="98"/>
      <c r="L609" s="92"/>
      <c r="N609" s="92"/>
      <c r="O609" s="92"/>
      <c r="P609" s="92"/>
    </row>
    <row r="610">
      <c r="A610" s="28"/>
      <c r="B610" s="97"/>
      <c r="C610" s="121" t="str">
        <f t="array" ref="C610">ifs(and(isblank($A610),isblank($B610)),"", not(iserror(vlookup($A610&amp;$B610,'3) Release_Label'!$D:$D&amp;'3) Release_Label'!$E:$E,1,0))),vlookup($A610&amp;$B610,{'3) Release_Label'!$D:$D&amp;'3) Release_Label'!$E:$E,'3) Release_Label'!$F:$F},2,0),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D610" s="121" t="str">
        <f t="array" ref="D610">ifs(and(isblank($A610),isblank($B610)),"", not(iserror(vlookup($A610&amp;$B610,'3) Release_Label'!$D:$D&amp;'3) Release_Label'!$E:$E,1,0))),vlookup($A610&amp;$B610,{'3) Release_Label'!$D:$D&amp;'3) Release_Label'!$E:$E,'3) Release_Label'!$H:$H},2,0),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E610" s="147" t="str">
        <f t="shared" si="1"/>
        <v/>
      </c>
      <c r="G610" s="97"/>
      <c r="H610" s="155"/>
      <c r="J610" s="92"/>
      <c r="K610" s="98"/>
      <c r="L610" s="92"/>
      <c r="N610" s="92"/>
      <c r="O610" s="92"/>
      <c r="P610" s="92"/>
    </row>
    <row r="611">
      <c r="A611" s="28"/>
      <c r="B611" s="97"/>
      <c r="C611" s="121" t="str">
        <f t="array" ref="C611">ifs(and(isblank($A611),isblank($B611)),"", not(iserror(vlookup($A611&amp;$B611,'3) Release_Label'!$D:$D&amp;'3) Release_Label'!$E:$E,1,0))),vlookup($A611&amp;$B611,{'3) Release_Label'!$D:$D&amp;'3) Release_Label'!$E:$E,'3) Release_Label'!$F:$F},2,0),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D611" s="121" t="str">
        <f t="array" ref="D611">ifs(and(isblank($A611),isblank($B611)),"", not(iserror(vlookup($A611&amp;$B611,'3) Release_Label'!$D:$D&amp;'3) Release_Label'!$E:$E,1,0))),vlookup($A611&amp;$B611,{'3) Release_Label'!$D:$D&amp;'3) Release_Label'!$E:$E,'3) Release_Label'!$H:$H},2,0),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E611" s="147" t="str">
        <f t="shared" si="1"/>
        <v/>
      </c>
      <c r="G611" s="97"/>
      <c r="H611" s="155"/>
      <c r="J611" s="92"/>
      <c r="K611" s="98"/>
      <c r="L611" s="92"/>
      <c r="N611" s="92"/>
      <c r="O611" s="92"/>
      <c r="P611" s="92"/>
    </row>
    <row r="612">
      <c r="A612" s="28"/>
      <c r="B612" s="97"/>
      <c r="C612" s="121" t="str">
        <f t="array" ref="C612">ifs(and(isblank($A612),isblank($B612)),"", not(iserror(vlookup($A612&amp;$B612,'3) Release_Label'!$D:$D&amp;'3) Release_Label'!$E:$E,1,0))),vlookup($A612&amp;$B612,{'3) Release_Label'!$D:$D&amp;'3) Release_Label'!$E:$E,'3) Release_Label'!$F:$F},2,0),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D612" s="121" t="str">
        <f t="array" ref="D612">ifs(and(isblank($A612),isblank($B612)),"", not(iserror(vlookup($A612&amp;$B612,'3) Release_Label'!$D:$D&amp;'3) Release_Label'!$E:$E,1,0))),vlookup($A612&amp;$B612,{'3) Release_Label'!$D:$D&amp;'3) Release_Label'!$E:$E,'3) Release_Label'!$H:$H},2,0),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E612" s="147" t="str">
        <f t="shared" si="1"/>
        <v/>
      </c>
      <c r="G612" s="97"/>
      <c r="H612" s="155"/>
      <c r="J612" s="92"/>
      <c r="K612" s="98"/>
      <c r="L612" s="92"/>
      <c r="N612" s="92"/>
      <c r="O612" s="92"/>
      <c r="P612" s="92"/>
    </row>
    <row r="613">
      <c r="A613" s="28"/>
      <c r="B613" s="97"/>
      <c r="C613" s="121" t="str">
        <f t="array" ref="C613">ifs(and(isblank($A613),isblank($B613)),"", not(iserror(vlookup($A613&amp;$B613,'3) Release_Label'!$D:$D&amp;'3) Release_Label'!$E:$E,1,0))),vlookup($A613&amp;$B613,{'3) Release_Label'!$D:$D&amp;'3) Release_Label'!$E:$E,'3) Release_Label'!$F:$F},2,0),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D613" s="121" t="str">
        <f t="array" ref="D613">ifs(and(isblank($A613),isblank($B613)),"", not(iserror(vlookup($A613&amp;$B613,'3) Release_Label'!$D:$D&amp;'3) Release_Label'!$E:$E,1,0))),vlookup($A613&amp;$B613,{'3) Release_Label'!$D:$D&amp;'3) Release_Label'!$E:$E,'3) Release_Label'!$H:$H},2,0),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E613" s="147" t="str">
        <f t="shared" si="1"/>
        <v/>
      </c>
      <c r="G613" s="97"/>
      <c r="H613" s="155"/>
      <c r="J613" s="92"/>
      <c r="K613" s="98"/>
      <c r="L613" s="92"/>
      <c r="N613" s="92"/>
      <c r="O613" s="92"/>
      <c r="P613" s="92"/>
    </row>
    <row r="614">
      <c r="A614" s="28"/>
      <c r="B614" s="97"/>
      <c r="C614" s="121" t="str">
        <f t="array" ref="C614">ifs(and(isblank($A614),isblank($B614)),"", not(iserror(vlookup($A614&amp;$B614,'3) Release_Label'!$D:$D&amp;'3) Release_Label'!$E:$E,1,0))),vlookup($A614&amp;$B614,{'3) Release_Label'!$D:$D&amp;'3) Release_Label'!$E:$E,'3) Release_Label'!$F:$F},2,0),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D614" s="121" t="str">
        <f t="array" ref="D614">ifs(and(isblank($A614),isblank($B614)),"", not(iserror(vlookup($A614&amp;$B614,'3) Release_Label'!$D:$D&amp;'3) Release_Label'!$E:$E,1,0))),vlookup($A614&amp;$B614,{'3) Release_Label'!$D:$D&amp;'3) Release_Label'!$E:$E,'3) Release_Label'!$H:$H},2,0),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E614" s="147" t="str">
        <f t="shared" si="1"/>
        <v/>
      </c>
      <c r="G614" s="97"/>
      <c r="H614" s="155"/>
      <c r="J614" s="92"/>
      <c r="K614" s="98"/>
      <c r="L614" s="92"/>
      <c r="N614" s="92"/>
      <c r="O614" s="92"/>
      <c r="P614" s="92"/>
    </row>
    <row r="615">
      <c r="A615" s="28"/>
      <c r="B615" s="97"/>
      <c r="C615" s="121" t="str">
        <f t="array" ref="C615">ifs(and(isblank($A615),isblank($B615)),"", not(iserror(vlookup($A615&amp;$B615,'3) Release_Label'!$D:$D&amp;'3) Release_Label'!$E:$E,1,0))),vlookup($A615&amp;$B615,{'3) Release_Label'!$D:$D&amp;'3) Release_Label'!$E:$E,'3) Release_Label'!$F:$F},2,0),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D615" s="121" t="str">
        <f t="array" ref="D615">ifs(and(isblank($A615),isblank($B615)),"", not(iserror(vlookup($A615&amp;$B615,'3) Release_Label'!$D:$D&amp;'3) Release_Label'!$E:$E,1,0))),vlookup($A615&amp;$B615,{'3) Release_Label'!$D:$D&amp;'3) Release_Label'!$E:$E,'3) Release_Label'!$H:$H},2,0),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E615" s="147" t="str">
        <f t="shared" si="1"/>
        <v/>
      </c>
      <c r="G615" s="97"/>
      <c r="H615" s="155"/>
      <c r="J615" s="92"/>
      <c r="K615" s="98"/>
      <c r="L615" s="92"/>
      <c r="N615" s="92"/>
      <c r="O615" s="92"/>
      <c r="P615" s="92"/>
    </row>
    <row r="616">
      <c r="A616" s="28"/>
      <c r="B616" s="97"/>
      <c r="C616" s="121" t="str">
        <f t="array" ref="C616">ifs(and(isblank($A616),isblank($B616)),"", not(iserror(vlookup($A616&amp;$B616,'3) Release_Label'!$D:$D&amp;'3) Release_Label'!$E:$E,1,0))),vlookup($A616&amp;$B616,{'3) Release_Label'!$D:$D&amp;'3) Release_Label'!$E:$E,'3) Release_Label'!$F:$F},2,0),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D616" s="121" t="str">
        <f t="array" ref="D616">ifs(and(isblank($A616),isblank($B616)),"", not(iserror(vlookup($A616&amp;$B616,'3) Release_Label'!$D:$D&amp;'3) Release_Label'!$E:$E,1,0))),vlookup($A616&amp;$B616,{'3) Release_Label'!$D:$D&amp;'3) Release_Label'!$E:$E,'3) Release_Label'!$H:$H},2,0),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E616" s="147" t="str">
        <f t="shared" si="1"/>
        <v/>
      </c>
      <c r="G616" s="97"/>
      <c r="H616" s="155"/>
      <c r="J616" s="92"/>
      <c r="K616" s="98"/>
      <c r="L616" s="92"/>
      <c r="N616" s="92"/>
      <c r="O616" s="92"/>
      <c r="P616" s="92"/>
    </row>
    <row r="617">
      <c r="A617" s="28"/>
      <c r="B617" s="97"/>
      <c r="C617" s="121" t="str">
        <f t="array" ref="C617">ifs(and(isblank($A617),isblank($B617)),"", not(iserror(vlookup($A617&amp;$B617,'3) Release_Label'!$D:$D&amp;'3) Release_Label'!$E:$E,1,0))),vlookup($A617&amp;$B617,{'3) Release_Label'!$D:$D&amp;'3) Release_Label'!$E:$E,'3) Release_Label'!$F:$F},2,0),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D617" s="121" t="str">
        <f t="array" ref="D617">ifs(and(isblank($A617),isblank($B617)),"", not(iserror(vlookup($A617&amp;$B617,'3) Release_Label'!$D:$D&amp;'3) Release_Label'!$E:$E,1,0))),vlookup($A617&amp;$B617,{'3) Release_Label'!$D:$D&amp;'3) Release_Label'!$E:$E,'3) Release_Label'!$H:$H},2,0),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E617" s="147" t="str">
        <f t="shared" si="1"/>
        <v/>
      </c>
      <c r="G617" s="97"/>
      <c r="H617" s="155"/>
      <c r="J617" s="92"/>
      <c r="K617" s="98"/>
      <c r="L617" s="92"/>
      <c r="N617" s="92"/>
      <c r="O617" s="92"/>
      <c r="P617" s="92"/>
    </row>
    <row r="618">
      <c r="A618" s="28"/>
      <c r="B618" s="97"/>
      <c r="C618" s="121" t="str">
        <f t="array" ref="C618">ifs(and(isblank($A618),isblank($B618)),"", not(iserror(vlookup($A618&amp;$B618,'3) Release_Label'!$D:$D&amp;'3) Release_Label'!$E:$E,1,0))),vlookup($A618&amp;$B618,{'3) Release_Label'!$D:$D&amp;'3) Release_Label'!$E:$E,'3) Release_Label'!$F:$F},2,0), or(and(not(isblank($B618)),$B618=$B617,$A618&lt;&gt;$A617),and(not(isblank($A618)),$A618=$A617,$B618&lt;&gt;$B617)),"ID LISTS UNALIGNED",and($A618&lt;&gt;"",countif('3) Release_Label'!$D:$D,$A618)=0),"NO UPC MATCH in Release_Label",and($B618&lt;&gt;"",countif('3) Release_Label'!$E:$E,$B618)=0),"NO CATALOG ID MATCH in Release_Label",iserror(vlookup($A618&amp;$B618,'3) Release_Label'!$D:$D&amp;'3) Release_Label'!$E:$E,1,0)),"NO UPC-CATALOG ID pair MATCH in Release_Label" )</f>
        <v/>
      </c>
      <c r="D618" s="121" t="str">
        <f t="array" ref="D618">ifs(and(isblank($A618),isblank($B618)),"", not(iserror(vlookup($A618&amp;$B618,'3) Release_Label'!$D:$D&amp;'3) Release_Label'!$E:$E,1,0))),vlookup($A618&amp;$B618,{'3) Release_Label'!$D:$D&amp;'3) Release_Label'!$E:$E,'3) Release_Label'!$H:$H},2,0), or(and(not(isblank($B618)),$B618=$B617,$A618&lt;&gt;$A617),and(not(isblank($A618)),$A618=$A617,$B618&lt;&gt;$B617)),"ID LISTS UNALIGNED",and($A618&lt;&gt;"",countif('3) Release_Label'!$D:$D,$A618)=0),"NO UPC MATCH in Release_Label",and($B618&lt;&gt;"",countif('3) Release_Label'!$E:$E,$B618)=0),"NO CATALOG ID MATCH in Release_Label",iserror(vlookup($A618&amp;$B618,'3) Release_Label'!$D:$D&amp;'3) Release_Label'!$E:$E,1,0)),"NO UPC-CATALOG ID pair MATCH in Release_Label" )</f>
        <v/>
      </c>
      <c r="E618" s="147" t="str">
        <f t="shared" si="1"/>
        <v/>
      </c>
      <c r="G618" s="97"/>
      <c r="H618" s="155"/>
      <c r="J618" s="92"/>
      <c r="K618" s="98"/>
      <c r="L618" s="92"/>
      <c r="N618" s="92"/>
      <c r="O618" s="92"/>
      <c r="P618" s="92"/>
    </row>
    <row r="619">
      <c r="A619" s="28"/>
      <c r="B619" s="97"/>
      <c r="C619" s="121" t="str">
        <f t="array" ref="C619">ifs(and(isblank($A619),isblank($B619)),"", not(iserror(vlookup($A619&amp;$B619,'3) Release_Label'!$D:$D&amp;'3) Release_Label'!$E:$E,1,0))),vlookup($A619&amp;$B619,{'3) Release_Label'!$D:$D&amp;'3) Release_Label'!$E:$E,'3) Release_Label'!$F:$F},2,0), or(and(not(isblank($B619)),$B619=$B618,$A619&lt;&gt;$A618),and(not(isblank($A619)),$A619=$A618,$B619&lt;&gt;$B618)),"ID LISTS UNALIGNED",and($A619&lt;&gt;"",countif('3) Release_Label'!$D:$D,$A619)=0),"NO UPC MATCH in Release_Label",and($B619&lt;&gt;"",countif('3) Release_Label'!$E:$E,$B619)=0),"NO CATALOG ID MATCH in Release_Label",iserror(vlookup($A619&amp;$B619,'3) Release_Label'!$D:$D&amp;'3) Release_Label'!$E:$E,1,0)),"NO UPC-CATALOG ID pair MATCH in Release_Label" )</f>
        <v/>
      </c>
      <c r="D619" s="121" t="str">
        <f t="array" ref="D619">ifs(and(isblank($A619),isblank($B619)),"", not(iserror(vlookup($A619&amp;$B619,'3) Release_Label'!$D:$D&amp;'3) Release_Label'!$E:$E,1,0))),vlookup($A619&amp;$B619,{'3) Release_Label'!$D:$D&amp;'3) Release_Label'!$E:$E,'3) Release_Label'!$H:$H},2,0), or(and(not(isblank($B619)),$B619=$B618,$A619&lt;&gt;$A618),and(not(isblank($A619)),$A619=$A618,$B619&lt;&gt;$B618)),"ID LISTS UNALIGNED",and($A619&lt;&gt;"",countif('3) Release_Label'!$D:$D,$A619)=0),"NO UPC MATCH in Release_Label",and($B619&lt;&gt;"",countif('3) Release_Label'!$E:$E,$B619)=0),"NO CATALOG ID MATCH in Release_Label",iserror(vlookup($A619&amp;$B619,'3) Release_Label'!$D:$D&amp;'3) Release_Label'!$E:$E,1,0)),"NO UPC-CATALOG ID pair MATCH in Release_Label" )</f>
        <v/>
      </c>
      <c r="E619" s="147" t="str">
        <f t="shared" si="1"/>
        <v/>
      </c>
      <c r="G619" s="97"/>
      <c r="H619" s="155"/>
      <c r="J619" s="92"/>
      <c r="K619" s="98"/>
      <c r="L619" s="92"/>
      <c r="N619" s="92"/>
      <c r="O619" s="92"/>
      <c r="P619" s="92"/>
    </row>
    <row r="620">
      <c r="A620" s="28"/>
      <c r="B620" s="97"/>
      <c r="C620" s="121" t="str">
        <f t="array" ref="C620">ifs(and(isblank($A620),isblank($B620)),"", not(iserror(vlookup($A620&amp;$B620,'3) Release_Label'!$D:$D&amp;'3) Release_Label'!$E:$E,1,0))),vlookup($A620&amp;$B620,{'3) Release_Label'!$D:$D&amp;'3) Release_Label'!$E:$E,'3) Release_Label'!$F:$F},2,0), or(and(not(isblank($B620)),$B620=$B619,$A620&lt;&gt;$A619),and(not(isblank($A620)),$A620=$A619,$B620&lt;&gt;$B619)),"ID LISTS UNALIGNED",and($A620&lt;&gt;"",countif('3) Release_Label'!$D:$D,$A620)=0),"NO UPC MATCH in Release_Label",and($B620&lt;&gt;"",countif('3) Release_Label'!$E:$E,$B620)=0),"NO CATALOG ID MATCH in Release_Label",iserror(vlookup($A620&amp;$B620,'3) Release_Label'!$D:$D&amp;'3) Release_Label'!$E:$E,1,0)),"NO UPC-CATALOG ID pair MATCH in Release_Label" )</f>
        <v/>
      </c>
      <c r="D620" s="121" t="str">
        <f t="array" ref="D620">ifs(and(isblank($A620),isblank($B620)),"", not(iserror(vlookup($A620&amp;$B620,'3) Release_Label'!$D:$D&amp;'3) Release_Label'!$E:$E,1,0))),vlookup($A620&amp;$B620,{'3) Release_Label'!$D:$D&amp;'3) Release_Label'!$E:$E,'3) Release_Label'!$H:$H},2,0), or(and(not(isblank($B620)),$B620=$B619,$A620&lt;&gt;$A619),and(not(isblank($A620)),$A620=$A619,$B620&lt;&gt;$B619)),"ID LISTS UNALIGNED",and($A620&lt;&gt;"",countif('3) Release_Label'!$D:$D,$A620)=0),"NO UPC MATCH in Release_Label",and($B620&lt;&gt;"",countif('3) Release_Label'!$E:$E,$B620)=0),"NO CATALOG ID MATCH in Release_Label",iserror(vlookup($A620&amp;$B620,'3) Release_Label'!$D:$D&amp;'3) Release_Label'!$E:$E,1,0)),"NO UPC-CATALOG ID pair MATCH in Release_Label" )</f>
        <v/>
      </c>
      <c r="E620" s="147" t="str">
        <f t="shared" si="1"/>
        <v/>
      </c>
      <c r="G620" s="97"/>
      <c r="H620" s="155"/>
      <c r="J620" s="92"/>
      <c r="K620" s="98"/>
      <c r="L620" s="92"/>
      <c r="N620" s="92"/>
      <c r="O620" s="92"/>
      <c r="P620" s="92"/>
    </row>
    <row r="621">
      <c r="A621" s="28"/>
      <c r="B621" s="97"/>
      <c r="C621" s="121" t="str">
        <f t="array" ref="C621">ifs(and(isblank($A621),isblank($B621)),"", not(iserror(vlookup($A621&amp;$B621,'3) Release_Label'!$D:$D&amp;'3) Release_Label'!$E:$E,1,0))),vlookup($A621&amp;$B621,{'3) Release_Label'!$D:$D&amp;'3) Release_Label'!$E:$E,'3) Release_Label'!$F:$F},2,0), or(and(not(isblank($B621)),$B621=$B620,$A621&lt;&gt;$A620),and(not(isblank($A621)),$A621=$A620,$B621&lt;&gt;$B620)),"ID LISTS UNALIGNED",and($A621&lt;&gt;"",countif('3) Release_Label'!$D:$D,$A621)=0),"NO UPC MATCH in Release_Label",and($B621&lt;&gt;"",countif('3) Release_Label'!$E:$E,$B621)=0),"NO CATALOG ID MATCH in Release_Label",iserror(vlookup($A621&amp;$B621,'3) Release_Label'!$D:$D&amp;'3) Release_Label'!$E:$E,1,0)),"NO UPC-CATALOG ID pair MATCH in Release_Label" )</f>
        <v/>
      </c>
      <c r="D621" s="121" t="str">
        <f t="array" ref="D621">ifs(and(isblank($A621),isblank($B621)),"", not(iserror(vlookup($A621&amp;$B621,'3) Release_Label'!$D:$D&amp;'3) Release_Label'!$E:$E,1,0))),vlookup($A621&amp;$B621,{'3) Release_Label'!$D:$D&amp;'3) Release_Label'!$E:$E,'3) Release_Label'!$H:$H},2,0), or(and(not(isblank($B621)),$B621=$B620,$A621&lt;&gt;$A620),and(not(isblank($A621)),$A621=$A620,$B621&lt;&gt;$B620)),"ID LISTS UNALIGNED",and($A621&lt;&gt;"",countif('3) Release_Label'!$D:$D,$A621)=0),"NO UPC MATCH in Release_Label",and($B621&lt;&gt;"",countif('3) Release_Label'!$E:$E,$B621)=0),"NO CATALOG ID MATCH in Release_Label",iserror(vlookup($A621&amp;$B621,'3) Release_Label'!$D:$D&amp;'3) Release_Label'!$E:$E,1,0)),"NO UPC-CATALOG ID pair MATCH in Release_Label" )</f>
        <v/>
      </c>
      <c r="E621" s="147" t="str">
        <f t="shared" si="1"/>
        <v/>
      </c>
      <c r="G621" s="97"/>
      <c r="H621" s="155"/>
      <c r="J621" s="92"/>
      <c r="K621" s="98"/>
      <c r="L621" s="92"/>
      <c r="N621" s="92"/>
      <c r="O621" s="92"/>
      <c r="P621" s="92"/>
    </row>
    <row r="622">
      <c r="A622" s="28"/>
      <c r="B622" s="97"/>
      <c r="C622" s="121" t="str">
        <f t="array" ref="C622">ifs(and(isblank($A622),isblank($B622)),"", not(iserror(vlookup($A622&amp;$B622,'3) Release_Label'!$D:$D&amp;'3) Release_Label'!$E:$E,1,0))),vlookup($A622&amp;$B622,{'3) Release_Label'!$D:$D&amp;'3) Release_Label'!$E:$E,'3) Release_Label'!$F:$F},2,0), or(and(not(isblank($B622)),$B622=$B621,$A622&lt;&gt;$A621),and(not(isblank($A622)),$A622=$A621,$B622&lt;&gt;$B621)),"ID LISTS UNALIGNED",and($A622&lt;&gt;"",countif('3) Release_Label'!$D:$D,$A622)=0),"NO UPC MATCH in Release_Label",and($B622&lt;&gt;"",countif('3) Release_Label'!$E:$E,$B622)=0),"NO CATALOG ID MATCH in Release_Label",iserror(vlookup($A622&amp;$B622,'3) Release_Label'!$D:$D&amp;'3) Release_Label'!$E:$E,1,0)),"NO UPC-CATALOG ID pair MATCH in Release_Label" )</f>
        <v/>
      </c>
      <c r="D622" s="121" t="str">
        <f t="array" ref="D622">ifs(and(isblank($A622),isblank($B622)),"", not(iserror(vlookup($A622&amp;$B622,'3) Release_Label'!$D:$D&amp;'3) Release_Label'!$E:$E,1,0))),vlookup($A622&amp;$B622,{'3) Release_Label'!$D:$D&amp;'3) Release_Label'!$E:$E,'3) Release_Label'!$H:$H},2,0), or(and(not(isblank($B622)),$B622=$B621,$A622&lt;&gt;$A621),and(not(isblank($A622)),$A622=$A621,$B622&lt;&gt;$B621)),"ID LISTS UNALIGNED",and($A622&lt;&gt;"",countif('3) Release_Label'!$D:$D,$A622)=0),"NO UPC MATCH in Release_Label",and($B622&lt;&gt;"",countif('3) Release_Label'!$E:$E,$B622)=0),"NO CATALOG ID MATCH in Release_Label",iserror(vlookup($A622&amp;$B622,'3) Release_Label'!$D:$D&amp;'3) Release_Label'!$E:$E,1,0)),"NO UPC-CATALOG ID pair MATCH in Release_Label" )</f>
        <v/>
      </c>
      <c r="E622" s="147" t="str">
        <f t="shared" si="1"/>
        <v/>
      </c>
      <c r="G622" s="97"/>
      <c r="H622" s="155"/>
      <c r="J622" s="92"/>
      <c r="K622" s="98"/>
      <c r="L622" s="92"/>
      <c r="N622" s="92"/>
      <c r="O622" s="92"/>
      <c r="P622" s="92"/>
    </row>
    <row r="623">
      <c r="A623" s="28"/>
      <c r="B623" s="97"/>
      <c r="C623" s="121" t="str">
        <f t="array" ref="C623">ifs(and(isblank($A623),isblank($B623)),"", not(iserror(vlookup($A623&amp;$B623,'3) Release_Label'!$D:$D&amp;'3) Release_Label'!$E:$E,1,0))),vlookup($A623&amp;$B623,{'3) Release_Label'!$D:$D&amp;'3) Release_Label'!$E:$E,'3) Release_Label'!$F:$F},2,0), or(and(not(isblank($B623)),$B623=$B622,$A623&lt;&gt;$A622),and(not(isblank($A623)),$A623=$A622,$B623&lt;&gt;$B622)),"ID LISTS UNALIGNED",and($A623&lt;&gt;"",countif('3) Release_Label'!$D:$D,$A623)=0),"NO UPC MATCH in Release_Label",and($B623&lt;&gt;"",countif('3) Release_Label'!$E:$E,$B623)=0),"NO CATALOG ID MATCH in Release_Label",iserror(vlookup($A623&amp;$B623,'3) Release_Label'!$D:$D&amp;'3) Release_Label'!$E:$E,1,0)),"NO UPC-CATALOG ID pair MATCH in Release_Label" )</f>
        <v/>
      </c>
      <c r="D623" s="121" t="str">
        <f t="array" ref="D623">ifs(and(isblank($A623),isblank($B623)),"", not(iserror(vlookup($A623&amp;$B623,'3) Release_Label'!$D:$D&amp;'3) Release_Label'!$E:$E,1,0))),vlookup($A623&amp;$B623,{'3) Release_Label'!$D:$D&amp;'3) Release_Label'!$E:$E,'3) Release_Label'!$H:$H},2,0), or(and(not(isblank($B623)),$B623=$B622,$A623&lt;&gt;$A622),and(not(isblank($A623)),$A623=$A622,$B623&lt;&gt;$B622)),"ID LISTS UNALIGNED",and($A623&lt;&gt;"",countif('3) Release_Label'!$D:$D,$A623)=0),"NO UPC MATCH in Release_Label",and($B623&lt;&gt;"",countif('3) Release_Label'!$E:$E,$B623)=0),"NO CATALOG ID MATCH in Release_Label",iserror(vlookup($A623&amp;$B623,'3) Release_Label'!$D:$D&amp;'3) Release_Label'!$E:$E,1,0)),"NO UPC-CATALOG ID pair MATCH in Release_Label" )</f>
        <v/>
      </c>
      <c r="E623" s="147" t="str">
        <f t="shared" si="1"/>
        <v/>
      </c>
      <c r="G623" s="97"/>
      <c r="H623" s="155"/>
      <c r="J623" s="92"/>
      <c r="K623" s="98"/>
      <c r="L623" s="92"/>
      <c r="N623" s="92"/>
      <c r="O623" s="92"/>
      <c r="P623" s="92"/>
    </row>
    <row r="624">
      <c r="A624" s="28"/>
      <c r="B624" s="97"/>
      <c r="C624" s="121" t="str">
        <f t="array" ref="C624">ifs(and(isblank($A624),isblank($B624)),"", not(iserror(vlookup($A624&amp;$B624,'3) Release_Label'!$D:$D&amp;'3) Release_Label'!$E:$E,1,0))),vlookup($A624&amp;$B624,{'3) Release_Label'!$D:$D&amp;'3) Release_Label'!$E:$E,'3) Release_Label'!$F:$F},2,0), or(and(not(isblank($B624)),$B624=$B623,$A624&lt;&gt;$A623),and(not(isblank($A624)),$A624=$A623,$B624&lt;&gt;$B623)),"ID LISTS UNALIGNED",and($A624&lt;&gt;"",countif('3) Release_Label'!$D:$D,$A624)=0),"NO UPC MATCH in Release_Label",and($B624&lt;&gt;"",countif('3) Release_Label'!$E:$E,$B624)=0),"NO CATALOG ID MATCH in Release_Label",iserror(vlookup($A624&amp;$B624,'3) Release_Label'!$D:$D&amp;'3) Release_Label'!$E:$E,1,0)),"NO UPC-CATALOG ID pair MATCH in Release_Label" )</f>
        <v/>
      </c>
      <c r="D624" s="121" t="str">
        <f t="array" ref="D624">ifs(and(isblank($A624),isblank($B624)),"", not(iserror(vlookup($A624&amp;$B624,'3) Release_Label'!$D:$D&amp;'3) Release_Label'!$E:$E,1,0))),vlookup($A624&amp;$B624,{'3) Release_Label'!$D:$D&amp;'3) Release_Label'!$E:$E,'3) Release_Label'!$H:$H},2,0), or(and(not(isblank($B624)),$B624=$B623,$A624&lt;&gt;$A623),and(not(isblank($A624)),$A624=$A623,$B624&lt;&gt;$B623)),"ID LISTS UNALIGNED",and($A624&lt;&gt;"",countif('3) Release_Label'!$D:$D,$A624)=0),"NO UPC MATCH in Release_Label",and($B624&lt;&gt;"",countif('3) Release_Label'!$E:$E,$B624)=0),"NO CATALOG ID MATCH in Release_Label",iserror(vlookup($A624&amp;$B624,'3) Release_Label'!$D:$D&amp;'3) Release_Label'!$E:$E,1,0)),"NO UPC-CATALOG ID pair MATCH in Release_Label" )</f>
        <v/>
      </c>
      <c r="E624" s="147" t="str">
        <f t="shared" si="1"/>
        <v/>
      </c>
      <c r="G624" s="97"/>
      <c r="H624" s="155"/>
      <c r="J624" s="92"/>
      <c r="K624" s="98"/>
      <c r="L624" s="92"/>
      <c r="N624" s="92"/>
      <c r="O624" s="92"/>
      <c r="P624" s="92"/>
    </row>
    <row r="625">
      <c r="A625" s="28"/>
      <c r="B625" s="97"/>
      <c r="C625" s="121" t="str">
        <f t="array" ref="C625">ifs(and(isblank($A625),isblank($B625)),"", not(iserror(vlookup($A625&amp;$B625,'3) Release_Label'!$D:$D&amp;'3) Release_Label'!$E:$E,1,0))),vlookup($A625&amp;$B625,{'3) Release_Label'!$D:$D&amp;'3) Release_Label'!$E:$E,'3) Release_Label'!$F:$F},2,0), or(and(not(isblank($B625)),$B625=$B624,$A625&lt;&gt;$A624),and(not(isblank($A625)),$A625=$A624,$B625&lt;&gt;$B624)),"ID LISTS UNALIGNED",and($A625&lt;&gt;"",countif('3) Release_Label'!$D:$D,$A625)=0),"NO UPC MATCH in Release_Label",and($B625&lt;&gt;"",countif('3) Release_Label'!$E:$E,$B625)=0),"NO CATALOG ID MATCH in Release_Label",iserror(vlookup($A625&amp;$B625,'3) Release_Label'!$D:$D&amp;'3) Release_Label'!$E:$E,1,0)),"NO UPC-CATALOG ID pair MATCH in Release_Label" )</f>
        <v/>
      </c>
      <c r="D625" s="121" t="str">
        <f t="array" ref="D625">ifs(and(isblank($A625),isblank($B625)),"", not(iserror(vlookup($A625&amp;$B625,'3) Release_Label'!$D:$D&amp;'3) Release_Label'!$E:$E,1,0))),vlookup($A625&amp;$B625,{'3) Release_Label'!$D:$D&amp;'3) Release_Label'!$E:$E,'3) Release_Label'!$H:$H},2,0), or(and(not(isblank($B625)),$B625=$B624,$A625&lt;&gt;$A624),and(not(isblank($A625)),$A625=$A624,$B625&lt;&gt;$B624)),"ID LISTS UNALIGNED",and($A625&lt;&gt;"",countif('3) Release_Label'!$D:$D,$A625)=0),"NO UPC MATCH in Release_Label",and($B625&lt;&gt;"",countif('3) Release_Label'!$E:$E,$B625)=0),"NO CATALOG ID MATCH in Release_Label",iserror(vlookup($A625&amp;$B625,'3) Release_Label'!$D:$D&amp;'3) Release_Label'!$E:$E,1,0)),"NO UPC-CATALOG ID pair MATCH in Release_Label" )</f>
        <v/>
      </c>
      <c r="E625" s="147" t="str">
        <f t="shared" si="1"/>
        <v/>
      </c>
      <c r="G625" s="97"/>
      <c r="H625" s="155"/>
      <c r="J625" s="92"/>
      <c r="K625" s="98"/>
      <c r="L625" s="92"/>
      <c r="N625" s="92"/>
      <c r="O625" s="92"/>
      <c r="P625" s="92"/>
    </row>
    <row r="626">
      <c r="A626" s="28"/>
      <c r="B626" s="97"/>
      <c r="C626" s="121" t="str">
        <f t="array" ref="C626">ifs(and(isblank($A626),isblank($B626)),"", not(iserror(vlookup($A626&amp;$B626,'3) Release_Label'!$D:$D&amp;'3) Release_Label'!$E:$E,1,0))),vlookup($A626&amp;$B626,{'3) Release_Label'!$D:$D&amp;'3) Release_Label'!$E:$E,'3) Release_Label'!$F:$F},2,0), or(and(not(isblank($B626)),$B626=$B625,$A626&lt;&gt;$A625),and(not(isblank($A626)),$A626=$A625,$B626&lt;&gt;$B625)),"ID LISTS UNALIGNED",and($A626&lt;&gt;"",countif('3) Release_Label'!$D:$D,$A626)=0),"NO UPC MATCH in Release_Label",and($B626&lt;&gt;"",countif('3) Release_Label'!$E:$E,$B626)=0),"NO CATALOG ID MATCH in Release_Label",iserror(vlookup($A626&amp;$B626,'3) Release_Label'!$D:$D&amp;'3) Release_Label'!$E:$E,1,0)),"NO UPC-CATALOG ID pair MATCH in Release_Label" )</f>
        <v/>
      </c>
      <c r="D626" s="121" t="str">
        <f t="array" ref="D626">ifs(and(isblank($A626),isblank($B626)),"", not(iserror(vlookup($A626&amp;$B626,'3) Release_Label'!$D:$D&amp;'3) Release_Label'!$E:$E,1,0))),vlookup($A626&amp;$B626,{'3) Release_Label'!$D:$D&amp;'3) Release_Label'!$E:$E,'3) Release_Label'!$H:$H},2,0), or(and(not(isblank($B626)),$B626=$B625,$A626&lt;&gt;$A625),and(not(isblank($A626)),$A626=$A625,$B626&lt;&gt;$B625)),"ID LISTS UNALIGNED",and($A626&lt;&gt;"",countif('3) Release_Label'!$D:$D,$A626)=0),"NO UPC MATCH in Release_Label",and($B626&lt;&gt;"",countif('3) Release_Label'!$E:$E,$B626)=0),"NO CATALOG ID MATCH in Release_Label",iserror(vlookup($A626&amp;$B626,'3) Release_Label'!$D:$D&amp;'3) Release_Label'!$E:$E,1,0)),"NO UPC-CATALOG ID pair MATCH in Release_Label" )</f>
        <v/>
      </c>
      <c r="E626" s="147" t="str">
        <f t="shared" si="1"/>
        <v/>
      </c>
      <c r="G626" s="97"/>
      <c r="H626" s="155"/>
      <c r="J626" s="92"/>
      <c r="K626" s="98"/>
      <c r="L626" s="92"/>
      <c r="N626" s="92"/>
      <c r="O626" s="92"/>
      <c r="P626" s="92"/>
    </row>
    <row r="627">
      <c r="A627" s="28"/>
      <c r="B627" s="97"/>
      <c r="C627" s="121" t="str">
        <f t="array" ref="C627">ifs(and(isblank($A627),isblank($B627)),"", not(iserror(vlookup($A627&amp;$B627,'3) Release_Label'!$D:$D&amp;'3) Release_Label'!$E:$E,1,0))),vlookup($A627&amp;$B627,{'3) Release_Label'!$D:$D&amp;'3) Release_Label'!$E:$E,'3) Release_Label'!$F:$F},2,0), or(and(not(isblank($B627)),$B627=$B626,$A627&lt;&gt;$A626),and(not(isblank($A627)),$A627=$A626,$B627&lt;&gt;$B626)),"ID LISTS UNALIGNED",and($A627&lt;&gt;"",countif('3) Release_Label'!$D:$D,$A627)=0),"NO UPC MATCH in Release_Label",and($B627&lt;&gt;"",countif('3) Release_Label'!$E:$E,$B627)=0),"NO CATALOG ID MATCH in Release_Label",iserror(vlookup($A627&amp;$B627,'3) Release_Label'!$D:$D&amp;'3) Release_Label'!$E:$E,1,0)),"NO UPC-CATALOG ID pair MATCH in Release_Label" )</f>
        <v/>
      </c>
      <c r="D627" s="121" t="str">
        <f t="array" ref="D627">ifs(and(isblank($A627),isblank($B627)),"", not(iserror(vlookup($A627&amp;$B627,'3) Release_Label'!$D:$D&amp;'3) Release_Label'!$E:$E,1,0))),vlookup($A627&amp;$B627,{'3) Release_Label'!$D:$D&amp;'3) Release_Label'!$E:$E,'3) Release_Label'!$H:$H},2,0), or(and(not(isblank($B627)),$B627=$B626,$A627&lt;&gt;$A626),and(not(isblank($A627)),$A627=$A626,$B627&lt;&gt;$B626)),"ID LISTS UNALIGNED",and($A627&lt;&gt;"",countif('3) Release_Label'!$D:$D,$A627)=0),"NO UPC MATCH in Release_Label",and($B627&lt;&gt;"",countif('3) Release_Label'!$E:$E,$B627)=0),"NO CATALOG ID MATCH in Release_Label",iserror(vlookup($A627&amp;$B627,'3) Release_Label'!$D:$D&amp;'3) Release_Label'!$E:$E,1,0)),"NO UPC-CATALOG ID pair MATCH in Release_Label" )</f>
        <v/>
      </c>
      <c r="E627" s="147" t="str">
        <f t="shared" si="1"/>
        <v/>
      </c>
      <c r="G627" s="97"/>
      <c r="H627" s="155"/>
      <c r="J627" s="92"/>
      <c r="K627" s="98"/>
      <c r="L627" s="92"/>
      <c r="N627" s="92"/>
      <c r="O627" s="92"/>
      <c r="P627" s="92"/>
    </row>
    <row r="628">
      <c r="A628" s="28"/>
      <c r="B628" s="97"/>
      <c r="C628" s="121" t="str">
        <f t="array" ref="C628">ifs(and(isblank($A628),isblank($B628)),"", not(iserror(vlookup($A628&amp;$B628,'3) Release_Label'!$D:$D&amp;'3) Release_Label'!$E:$E,1,0))),vlookup($A628&amp;$B628,{'3) Release_Label'!$D:$D&amp;'3) Release_Label'!$E:$E,'3) Release_Label'!$F:$F},2,0), or(and(not(isblank($B628)),$B628=$B627,$A628&lt;&gt;$A627),and(not(isblank($A628)),$A628=$A627,$B628&lt;&gt;$B627)),"ID LISTS UNALIGNED",and($A628&lt;&gt;"",countif('3) Release_Label'!$D:$D,$A628)=0),"NO UPC MATCH in Release_Label",and($B628&lt;&gt;"",countif('3) Release_Label'!$E:$E,$B628)=0),"NO CATALOG ID MATCH in Release_Label",iserror(vlookup($A628&amp;$B628,'3) Release_Label'!$D:$D&amp;'3) Release_Label'!$E:$E,1,0)),"NO UPC-CATALOG ID pair MATCH in Release_Label" )</f>
        <v/>
      </c>
      <c r="D628" s="121" t="str">
        <f t="array" ref="D628">ifs(and(isblank($A628),isblank($B628)),"", not(iserror(vlookup($A628&amp;$B628,'3) Release_Label'!$D:$D&amp;'3) Release_Label'!$E:$E,1,0))),vlookup($A628&amp;$B628,{'3) Release_Label'!$D:$D&amp;'3) Release_Label'!$E:$E,'3) Release_Label'!$H:$H},2,0), or(and(not(isblank($B628)),$B628=$B627,$A628&lt;&gt;$A627),and(not(isblank($A628)),$A628=$A627,$B628&lt;&gt;$B627)),"ID LISTS UNALIGNED",and($A628&lt;&gt;"",countif('3) Release_Label'!$D:$D,$A628)=0),"NO UPC MATCH in Release_Label",and($B628&lt;&gt;"",countif('3) Release_Label'!$E:$E,$B628)=0),"NO CATALOG ID MATCH in Release_Label",iserror(vlookup($A628&amp;$B628,'3) Release_Label'!$D:$D&amp;'3) Release_Label'!$E:$E,1,0)),"NO UPC-CATALOG ID pair MATCH in Release_Label" )</f>
        <v/>
      </c>
      <c r="E628" s="147" t="str">
        <f t="shared" si="1"/>
        <v/>
      </c>
      <c r="G628" s="97"/>
      <c r="H628" s="155"/>
      <c r="J628" s="92"/>
      <c r="K628" s="98"/>
      <c r="L628" s="92"/>
      <c r="N628" s="92"/>
      <c r="O628" s="92"/>
      <c r="P628" s="92"/>
    </row>
    <row r="629">
      <c r="A629" s="28"/>
      <c r="B629" s="97"/>
      <c r="C629" s="121" t="str">
        <f t="array" ref="C629">ifs(and(isblank($A629),isblank($B629)),"", not(iserror(vlookup($A629&amp;$B629,'3) Release_Label'!$D:$D&amp;'3) Release_Label'!$E:$E,1,0))),vlookup($A629&amp;$B629,{'3) Release_Label'!$D:$D&amp;'3) Release_Label'!$E:$E,'3) Release_Label'!$F:$F},2,0), or(and(not(isblank($B629)),$B629=$B628,$A629&lt;&gt;$A628),and(not(isblank($A629)),$A629=$A628,$B629&lt;&gt;$B628)),"ID LISTS UNALIGNED",and($A629&lt;&gt;"",countif('3) Release_Label'!$D:$D,$A629)=0),"NO UPC MATCH in Release_Label",and($B629&lt;&gt;"",countif('3) Release_Label'!$E:$E,$B629)=0),"NO CATALOG ID MATCH in Release_Label",iserror(vlookup($A629&amp;$B629,'3) Release_Label'!$D:$D&amp;'3) Release_Label'!$E:$E,1,0)),"NO UPC-CATALOG ID pair MATCH in Release_Label" )</f>
        <v/>
      </c>
      <c r="D629" s="121" t="str">
        <f t="array" ref="D629">ifs(and(isblank($A629),isblank($B629)),"", not(iserror(vlookup($A629&amp;$B629,'3) Release_Label'!$D:$D&amp;'3) Release_Label'!$E:$E,1,0))),vlookup($A629&amp;$B629,{'3) Release_Label'!$D:$D&amp;'3) Release_Label'!$E:$E,'3) Release_Label'!$H:$H},2,0), or(and(not(isblank($B629)),$B629=$B628,$A629&lt;&gt;$A628),and(not(isblank($A629)),$A629=$A628,$B629&lt;&gt;$B628)),"ID LISTS UNALIGNED",and($A629&lt;&gt;"",countif('3) Release_Label'!$D:$D,$A629)=0),"NO UPC MATCH in Release_Label",and($B629&lt;&gt;"",countif('3) Release_Label'!$E:$E,$B629)=0),"NO CATALOG ID MATCH in Release_Label",iserror(vlookup($A629&amp;$B629,'3) Release_Label'!$D:$D&amp;'3) Release_Label'!$E:$E,1,0)),"NO UPC-CATALOG ID pair MATCH in Release_Label" )</f>
        <v/>
      </c>
      <c r="E629" s="147" t="str">
        <f t="shared" si="1"/>
        <v/>
      </c>
      <c r="G629" s="97"/>
      <c r="H629" s="155"/>
      <c r="J629" s="92"/>
      <c r="K629" s="98"/>
      <c r="L629" s="92"/>
      <c r="N629" s="92"/>
      <c r="O629" s="92"/>
      <c r="P629" s="92"/>
    </row>
    <row r="630">
      <c r="A630" s="28"/>
      <c r="B630" s="97"/>
      <c r="C630" s="121" t="str">
        <f t="array" ref="C630">ifs(and(isblank($A630),isblank($B630)),"", not(iserror(vlookup($A630&amp;$B630,'3) Release_Label'!$D:$D&amp;'3) Release_Label'!$E:$E,1,0))),vlookup($A630&amp;$B630,{'3) Release_Label'!$D:$D&amp;'3) Release_Label'!$E:$E,'3) Release_Label'!$F:$F},2,0), or(and(not(isblank($B630)),$B630=$B629,$A630&lt;&gt;$A629),and(not(isblank($A630)),$A630=$A629,$B630&lt;&gt;$B629)),"ID LISTS UNALIGNED",and($A630&lt;&gt;"",countif('3) Release_Label'!$D:$D,$A630)=0),"NO UPC MATCH in Release_Label",and($B630&lt;&gt;"",countif('3) Release_Label'!$E:$E,$B630)=0),"NO CATALOG ID MATCH in Release_Label",iserror(vlookup($A630&amp;$B630,'3) Release_Label'!$D:$D&amp;'3) Release_Label'!$E:$E,1,0)),"NO UPC-CATALOG ID pair MATCH in Release_Label" )</f>
        <v/>
      </c>
      <c r="D630" s="121" t="str">
        <f t="array" ref="D630">ifs(and(isblank($A630),isblank($B630)),"", not(iserror(vlookup($A630&amp;$B630,'3) Release_Label'!$D:$D&amp;'3) Release_Label'!$E:$E,1,0))),vlookup($A630&amp;$B630,{'3) Release_Label'!$D:$D&amp;'3) Release_Label'!$E:$E,'3) Release_Label'!$H:$H},2,0), or(and(not(isblank($B630)),$B630=$B629,$A630&lt;&gt;$A629),and(not(isblank($A630)),$A630=$A629,$B630&lt;&gt;$B629)),"ID LISTS UNALIGNED",and($A630&lt;&gt;"",countif('3) Release_Label'!$D:$D,$A630)=0),"NO UPC MATCH in Release_Label",and($B630&lt;&gt;"",countif('3) Release_Label'!$E:$E,$B630)=0),"NO CATALOG ID MATCH in Release_Label",iserror(vlookup($A630&amp;$B630,'3) Release_Label'!$D:$D&amp;'3) Release_Label'!$E:$E,1,0)),"NO UPC-CATALOG ID pair MATCH in Release_Label" )</f>
        <v/>
      </c>
      <c r="E630" s="147" t="str">
        <f t="shared" si="1"/>
        <v/>
      </c>
      <c r="G630" s="97"/>
      <c r="H630" s="155"/>
      <c r="J630" s="92"/>
      <c r="K630" s="98"/>
      <c r="L630" s="92"/>
      <c r="N630" s="92"/>
      <c r="O630" s="92"/>
      <c r="P630" s="92"/>
    </row>
    <row r="631">
      <c r="A631" s="28"/>
      <c r="B631" s="97"/>
      <c r="C631" s="121" t="str">
        <f t="array" ref="C631">ifs(and(isblank($A631),isblank($B631)),"", not(iserror(vlookup($A631&amp;$B631,'3) Release_Label'!$D:$D&amp;'3) Release_Label'!$E:$E,1,0))),vlookup($A631&amp;$B631,{'3) Release_Label'!$D:$D&amp;'3) Release_Label'!$E:$E,'3) Release_Label'!$F:$F},2,0), or(and(not(isblank($B631)),$B631=$B630,$A631&lt;&gt;$A630),and(not(isblank($A631)),$A631=$A630,$B631&lt;&gt;$B630)),"ID LISTS UNALIGNED",and($A631&lt;&gt;"",countif('3) Release_Label'!$D:$D,$A631)=0),"NO UPC MATCH in Release_Label",and($B631&lt;&gt;"",countif('3) Release_Label'!$E:$E,$B631)=0),"NO CATALOG ID MATCH in Release_Label",iserror(vlookup($A631&amp;$B631,'3) Release_Label'!$D:$D&amp;'3) Release_Label'!$E:$E,1,0)),"NO UPC-CATALOG ID pair MATCH in Release_Label" )</f>
        <v/>
      </c>
      <c r="D631" s="121" t="str">
        <f t="array" ref="D631">ifs(and(isblank($A631),isblank($B631)),"", not(iserror(vlookup($A631&amp;$B631,'3) Release_Label'!$D:$D&amp;'3) Release_Label'!$E:$E,1,0))),vlookup($A631&amp;$B631,{'3) Release_Label'!$D:$D&amp;'3) Release_Label'!$E:$E,'3) Release_Label'!$H:$H},2,0), or(and(not(isblank($B631)),$B631=$B630,$A631&lt;&gt;$A630),and(not(isblank($A631)),$A631=$A630,$B631&lt;&gt;$B630)),"ID LISTS UNALIGNED",and($A631&lt;&gt;"",countif('3) Release_Label'!$D:$D,$A631)=0),"NO UPC MATCH in Release_Label",and($B631&lt;&gt;"",countif('3) Release_Label'!$E:$E,$B631)=0),"NO CATALOG ID MATCH in Release_Label",iserror(vlookup($A631&amp;$B631,'3) Release_Label'!$D:$D&amp;'3) Release_Label'!$E:$E,1,0)),"NO UPC-CATALOG ID pair MATCH in Release_Label" )</f>
        <v/>
      </c>
      <c r="E631" s="147" t="str">
        <f t="shared" si="1"/>
        <v/>
      </c>
      <c r="G631" s="97"/>
      <c r="H631" s="155"/>
      <c r="J631" s="92"/>
      <c r="K631" s="98"/>
      <c r="L631" s="92"/>
      <c r="N631" s="92"/>
      <c r="O631" s="92"/>
      <c r="P631" s="92"/>
    </row>
    <row r="632">
      <c r="A632" s="28"/>
      <c r="B632" s="97"/>
      <c r="C632" s="121" t="str">
        <f t="array" ref="C632">ifs(and(isblank($A632),isblank($B632)),"", not(iserror(vlookup($A632&amp;$B632,'3) Release_Label'!$D:$D&amp;'3) Release_Label'!$E:$E,1,0))),vlookup($A632&amp;$B632,{'3) Release_Label'!$D:$D&amp;'3) Release_Label'!$E:$E,'3) Release_Label'!$F:$F},2,0), or(and(not(isblank($B632)),$B632=$B631,$A632&lt;&gt;$A631),and(not(isblank($A632)),$A632=$A631,$B632&lt;&gt;$B631)),"ID LISTS UNALIGNED",and($A632&lt;&gt;"",countif('3) Release_Label'!$D:$D,$A632)=0),"NO UPC MATCH in Release_Label",and($B632&lt;&gt;"",countif('3) Release_Label'!$E:$E,$B632)=0),"NO CATALOG ID MATCH in Release_Label",iserror(vlookup($A632&amp;$B632,'3) Release_Label'!$D:$D&amp;'3) Release_Label'!$E:$E,1,0)),"NO UPC-CATALOG ID pair MATCH in Release_Label" )</f>
        <v/>
      </c>
      <c r="D632" s="121" t="str">
        <f t="array" ref="D632">ifs(and(isblank($A632),isblank($B632)),"", not(iserror(vlookup($A632&amp;$B632,'3) Release_Label'!$D:$D&amp;'3) Release_Label'!$E:$E,1,0))),vlookup($A632&amp;$B632,{'3) Release_Label'!$D:$D&amp;'3) Release_Label'!$E:$E,'3) Release_Label'!$H:$H},2,0), or(and(not(isblank($B632)),$B632=$B631,$A632&lt;&gt;$A631),and(not(isblank($A632)),$A632=$A631,$B632&lt;&gt;$B631)),"ID LISTS UNALIGNED",and($A632&lt;&gt;"",countif('3) Release_Label'!$D:$D,$A632)=0),"NO UPC MATCH in Release_Label",and($B632&lt;&gt;"",countif('3) Release_Label'!$E:$E,$B632)=0),"NO CATALOG ID MATCH in Release_Label",iserror(vlookup($A632&amp;$B632,'3) Release_Label'!$D:$D&amp;'3) Release_Label'!$E:$E,1,0)),"NO UPC-CATALOG ID pair MATCH in Release_Label" )</f>
        <v/>
      </c>
      <c r="E632" s="147" t="str">
        <f t="shared" si="1"/>
        <v/>
      </c>
      <c r="G632" s="97"/>
      <c r="H632" s="155"/>
      <c r="J632" s="92"/>
      <c r="K632" s="98"/>
      <c r="L632" s="92"/>
      <c r="N632" s="92"/>
      <c r="O632" s="92"/>
      <c r="P632" s="92"/>
    </row>
    <row r="633">
      <c r="A633" s="28"/>
      <c r="B633" s="97"/>
      <c r="C633" s="121" t="str">
        <f t="array" ref="C633">ifs(and(isblank($A633),isblank($B633)),"", not(iserror(vlookup($A633&amp;$B633,'3) Release_Label'!$D:$D&amp;'3) Release_Label'!$E:$E,1,0))),vlookup($A633&amp;$B633,{'3) Release_Label'!$D:$D&amp;'3) Release_Label'!$E:$E,'3) Release_Label'!$F:$F},2,0), or(and(not(isblank($B633)),$B633=$B632,$A633&lt;&gt;$A632),and(not(isblank($A633)),$A633=$A632,$B633&lt;&gt;$B632)),"ID LISTS UNALIGNED",and($A633&lt;&gt;"",countif('3) Release_Label'!$D:$D,$A633)=0),"NO UPC MATCH in Release_Label",and($B633&lt;&gt;"",countif('3) Release_Label'!$E:$E,$B633)=0),"NO CATALOG ID MATCH in Release_Label",iserror(vlookup($A633&amp;$B633,'3) Release_Label'!$D:$D&amp;'3) Release_Label'!$E:$E,1,0)),"NO UPC-CATALOG ID pair MATCH in Release_Label" )</f>
        <v/>
      </c>
      <c r="D633" s="121" t="str">
        <f t="array" ref="D633">ifs(and(isblank($A633),isblank($B633)),"", not(iserror(vlookup($A633&amp;$B633,'3) Release_Label'!$D:$D&amp;'3) Release_Label'!$E:$E,1,0))),vlookup($A633&amp;$B633,{'3) Release_Label'!$D:$D&amp;'3) Release_Label'!$E:$E,'3) Release_Label'!$H:$H},2,0), or(and(not(isblank($B633)),$B633=$B632,$A633&lt;&gt;$A632),and(not(isblank($A633)),$A633=$A632,$B633&lt;&gt;$B632)),"ID LISTS UNALIGNED",and($A633&lt;&gt;"",countif('3) Release_Label'!$D:$D,$A633)=0),"NO UPC MATCH in Release_Label",and($B633&lt;&gt;"",countif('3) Release_Label'!$E:$E,$B633)=0),"NO CATALOG ID MATCH in Release_Label",iserror(vlookup($A633&amp;$B633,'3) Release_Label'!$D:$D&amp;'3) Release_Label'!$E:$E,1,0)),"NO UPC-CATALOG ID pair MATCH in Release_Label" )</f>
        <v/>
      </c>
      <c r="E633" s="147" t="str">
        <f t="shared" si="1"/>
        <v/>
      </c>
      <c r="G633" s="97"/>
      <c r="H633" s="155"/>
      <c r="J633" s="92"/>
      <c r="K633" s="98"/>
      <c r="L633" s="92"/>
      <c r="N633" s="92"/>
      <c r="O633" s="92"/>
      <c r="P633" s="92"/>
    </row>
    <row r="634">
      <c r="A634" s="28"/>
      <c r="B634" s="97"/>
      <c r="C634" s="121" t="str">
        <f t="array" ref="C634">ifs(and(isblank($A634),isblank($B634)),"", not(iserror(vlookup($A634&amp;$B634,'3) Release_Label'!$D:$D&amp;'3) Release_Label'!$E:$E,1,0))),vlookup($A634&amp;$B634,{'3) Release_Label'!$D:$D&amp;'3) Release_Label'!$E:$E,'3) Release_Label'!$F:$F},2,0), or(and(not(isblank($B634)),$B634=$B633,$A634&lt;&gt;$A633),and(not(isblank($A634)),$A634=$A633,$B634&lt;&gt;$B633)),"ID LISTS UNALIGNED",and($A634&lt;&gt;"",countif('3) Release_Label'!$D:$D,$A634)=0),"NO UPC MATCH in Release_Label",and($B634&lt;&gt;"",countif('3) Release_Label'!$E:$E,$B634)=0),"NO CATALOG ID MATCH in Release_Label",iserror(vlookup($A634&amp;$B634,'3) Release_Label'!$D:$D&amp;'3) Release_Label'!$E:$E,1,0)),"NO UPC-CATALOG ID pair MATCH in Release_Label" )</f>
        <v/>
      </c>
      <c r="D634" s="121" t="str">
        <f t="array" ref="D634">ifs(and(isblank($A634),isblank($B634)),"", not(iserror(vlookup($A634&amp;$B634,'3) Release_Label'!$D:$D&amp;'3) Release_Label'!$E:$E,1,0))),vlookup($A634&amp;$B634,{'3) Release_Label'!$D:$D&amp;'3) Release_Label'!$E:$E,'3) Release_Label'!$H:$H},2,0), or(and(not(isblank($B634)),$B634=$B633,$A634&lt;&gt;$A633),and(not(isblank($A634)),$A634=$A633,$B634&lt;&gt;$B633)),"ID LISTS UNALIGNED",and($A634&lt;&gt;"",countif('3) Release_Label'!$D:$D,$A634)=0),"NO UPC MATCH in Release_Label",and($B634&lt;&gt;"",countif('3) Release_Label'!$E:$E,$B634)=0),"NO CATALOG ID MATCH in Release_Label",iserror(vlookup($A634&amp;$B634,'3) Release_Label'!$D:$D&amp;'3) Release_Label'!$E:$E,1,0)),"NO UPC-CATALOG ID pair MATCH in Release_Label" )</f>
        <v/>
      </c>
      <c r="E634" s="147" t="str">
        <f t="shared" si="1"/>
        <v/>
      </c>
      <c r="G634" s="97"/>
      <c r="H634" s="155"/>
      <c r="J634" s="92"/>
      <c r="K634" s="98"/>
      <c r="L634" s="92"/>
      <c r="N634" s="92"/>
      <c r="O634" s="92"/>
      <c r="P634" s="92"/>
    </row>
    <row r="635">
      <c r="A635" s="28"/>
      <c r="B635" s="97"/>
      <c r="C635" s="121" t="str">
        <f t="array" ref="C635">ifs(and(isblank($A635),isblank($B635)),"", not(iserror(vlookup($A635&amp;$B635,'3) Release_Label'!$D:$D&amp;'3) Release_Label'!$E:$E,1,0))),vlookup($A635&amp;$B635,{'3) Release_Label'!$D:$D&amp;'3) Release_Label'!$E:$E,'3) Release_Label'!$F:$F},2,0), or(and(not(isblank($B635)),$B635=$B634,$A635&lt;&gt;$A634),and(not(isblank($A635)),$A635=$A634,$B635&lt;&gt;$B634)),"ID LISTS UNALIGNED",and($A635&lt;&gt;"",countif('3) Release_Label'!$D:$D,$A635)=0),"NO UPC MATCH in Release_Label",and($B635&lt;&gt;"",countif('3) Release_Label'!$E:$E,$B635)=0),"NO CATALOG ID MATCH in Release_Label",iserror(vlookup($A635&amp;$B635,'3) Release_Label'!$D:$D&amp;'3) Release_Label'!$E:$E,1,0)),"NO UPC-CATALOG ID pair MATCH in Release_Label" )</f>
        <v/>
      </c>
      <c r="D635" s="121" t="str">
        <f t="array" ref="D635">ifs(and(isblank($A635),isblank($B635)),"", not(iserror(vlookup($A635&amp;$B635,'3) Release_Label'!$D:$D&amp;'3) Release_Label'!$E:$E,1,0))),vlookup($A635&amp;$B635,{'3) Release_Label'!$D:$D&amp;'3) Release_Label'!$E:$E,'3) Release_Label'!$H:$H},2,0), or(and(not(isblank($B635)),$B635=$B634,$A635&lt;&gt;$A634),and(not(isblank($A635)),$A635=$A634,$B635&lt;&gt;$B634)),"ID LISTS UNALIGNED",and($A635&lt;&gt;"",countif('3) Release_Label'!$D:$D,$A635)=0),"NO UPC MATCH in Release_Label",and($B635&lt;&gt;"",countif('3) Release_Label'!$E:$E,$B635)=0),"NO CATALOG ID MATCH in Release_Label",iserror(vlookup($A635&amp;$B635,'3) Release_Label'!$D:$D&amp;'3) Release_Label'!$E:$E,1,0)),"NO UPC-CATALOG ID pair MATCH in Release_Label" )</f>
        <v/>
      </c>
      <c r="E635" s="147" t="str">
        <f t="shared" si="1"/>
        <v/>
      </c>
      <c r="G635" s="97"/>
      <c r="H635" s="155"/>
      <c r="J635" s="92"/>
      <c r="K635" s="98"/>
      <c r="L635" s="92"/>
      <c r="N635" s="92"/>
      <c r="O635" s="92"/>
      <c r="P635" s="92"/>
    </row>
    <row r="636">
      <c r="A636" s="28"/>
      <c r="B636" s="97"/>
      <c r="C636" s="121" t="str">
        <f t="array" ref="C636">ifs(and(isblank($A636),isblank($B636)),"", not(iserror(vlookup($A636&amp;$B636,'3) Release_Label'!$D:$D&amp;'3) Release_Label'!$E:$E,1,0))),vlookup($A636&amp;$B636,{'3) Release_Label'!$D:$D&amp;'3) Release_Label'!$E:$E,'3) Release_Label'!$F:$F},2,0), or(and(not(isblank($B636)),$B636=$B635,$A636&lt;&gt;$A635),and(not(isblank($A636)),$A636=$A635,$B636&lt;&gt;$B635)),"ID LISTS UNALIGNED",and($A636&lt;&gt;"",countif('3) Release_Label'!$D:$D,$A636)=0),"NO UPC MATCH in Release_Label",and($B636&lt;&gt;"",countif('3) Release_Label'!$E:$E,$B636)=0),"NO CATALOG ID MATCH in Release_Label",iserror(vlookup($A636&amp;$B636,'3) Release_Label'!$D:$D&amp;'3) Release_Label'!$E:$E,1,0)),"NO UPC-CATALOG ID pair MATCH in Release_Label" )</f>
        <v/>
      </c>
      <c r="D636" s="121" t="str">
        <f t="array" ref="D636">ifs(and(isblank($A636),isblank($B636)),"", not(iserror(vlookup($A636&amp;$B636,'3) Release_Label'!$D:$D&amp;'3) Release_Label'!$E:$E,1,0))),vlookup($A636&amp;$B636,{'3) Release_Label'!$D:$D&amp;'3) Release_Label'!$E:$E,'3) Release_Label'!$H:$H},2,0), or(and(not(isblank($B636)),$B636=$B635,$A636&lt;&gt;$A635),and(not(isblank($A636)),$A636=$A635,$B636&lt;&gt;$B635)),"ID LISTS UNALIGNED",and($A636&lt;&gt;"",countif('3) Release_Label'!$D:$D,$A636)=0),"NO UPC MATCH in Release_Label",and($B636&lt;&gt;"",countif('3) Release_Label'!$E:$E,$B636)=0),"NO CATALOG ID MATCH in Release_Label",iserror(vlookup($A636&amp;$B636,'3) Release_Label'!$D:$D&amp;'3) Release_Label'!$E:$E,1,0)),"NO UPC-CATALOG ID pair MATCH in Release_Label" )</f>
        <v/>
      </c>
      <c r="E636" s="147" t="str">
        <f t="shared" si="1"/>
        <v/>
      </c>
      <c r="G636" s="97"/>
      <c r="H636" s="155"/>
      <c r="J636" s="92"/>
      <c r="K636" s="98"/>
      <c r="L636" s="92"/>
      <c r="N636" s="92"/>
      <c r="O636" s="92"/>
      <c r="P636" s="92"/>
    </row>
    <row r="637">
      <c r="A637" s="28"/>
      <c r="B637" s="97"/>
      <c r="C637" s="121" t="str">
        <f t="array" ref="C637">ifs(and(isblank($A637),isblank($B637)),"", not(iserror(vlookup($A637&amp;$B637,'3) Release_Label'!$D:$D&amp;'3) Release_Label'!$E:$E,1,0))),vlookup($A637&amp;$B637,{'3) Release_Label'!$D:$D&amp;'3) Release_Label'!$E:$E,'3) Release_Label'!$F:$F},2,0), or(and(not(isblank($B637)),$B637=$B636,$A637&lt;&gt;$A636),and(not(isblank($A637)),$A637=$A636,$B637&lt;&gt;$B636)),"ID LISTS UNALIGNED",and($A637&lt;&gt;"",countif('3) Release_Label'!$D:$D,$A637)=0),"NO UPC MATCH in Release_Label",and($B637&lt;&gt;"",countif('3) Release_Label'!$E:$E,$B637)=0),"NO CATALOG ID MATCH in Release_Label",iserror(vlookup($A637&amp;$B637,'3) Release_Label'!$D:$D&amp;'3) Release_Label'!$E:$E,1,0)),"NO UPC-CATALOG ID pair MATCH in Release_Label" )</f>
        <v/>
      </c>
      <c r="D637" s="121" t="str">
        <f t="array" ref="D637">ifs(and(isblank($A637),isblank($B637)),"", not(iserror(vlookup($A637&amp;$B637,'3) Release_Label'!$D:$D&amp;'3) Release_Label'!$E:$E,1,0))),vlookup($A637&amp;$B637,{'3) Release_Label'!$D:$D&amp;'3) Release_Label'!$E:$E,'3) Release_Label'!$H:$H},2,0), or(and(not(isblank($B637)),$B637=$B636,$A637&lt;&gt;$A636),and(not(isblank($A637)),$A637=$A636,$B637&lt;&gt;$B636)),"ID LISTS UNALIGNED",and($A637&lt;&gt;"",countif('3) Release_Label'!$D:$D,$A637)=0),"NO UPC MATCH in Release_Label",and($B637&lt;&gt;"",countif('3) Release_Label'!$E:$E,$B637)=0),"NO CATALOG ID MATCH in Release_Label",iserror(vlookup($A637&amp;$B637,'3) Release_Label'!$D:$D&amp;'3) Release_Label'!$E:$E,1,0)),"NO UPC-CATALOG ID pair MATCH in Release_Label" )</f>
        <v/>
      </c>
      <c r="E637" s="147" t="str">
        <f t="shared" si="1"/>
        <v/>
      </c>
      <c r="G637" s="97"/>
      <c r="H637" s="155"/>
      <c r="J637" s="92"/>
      <c r="K637" s="98"/>
      <c r="L637" s="92"/>
      <c r="N637" s="92"/>
      <c r="O637" s="92"/>
      <c r="P637" s="92"/>
    </row>
    <row r="638">
      <c r="A638" s="28"/>
      <c r="B638" s="97"/>
      <c r="C638" s="121" t="str">
        <f t="array" ref="C638">ifs(and(isblank($A638),isblank($B638)),"", not(iserror(vlookup($A638&amp;$B638,'3) Release_Label'!$D:$D&amp;'3) Release_Label'!$E:$E,1,0))),vlookup($A638&amp;$B638,{'3) Release_Label'!$D:$D&amp;'3) Release_Label'!$E:$E,'3) Release_Label'!$F:$F},2,0), or(and(not(isblank($B638)),$B638=$B637,$A638&lt;&gt;$A637),and(not(isblank($A638)),$A638=$A637,$B638&lt;&gt;$B637)),"ID LISTS UNALIGNED",and($A638&lt;&gt;"",countif('3) Release_Label'!$D:$D,$A638)=0),"NO UPC MATCH in Release_Label",and($B638&lt;&gt;"",countif('3) Release_Label'!$E:$E,$B638)=0),"NO CATALOG ID MATCH in Release_Label",iserror(vlookup($A638&amp;$B638,'3) Release_Label'!$D:$D&amp;'3) Release_Label'!$E:$E,1,0)),"NO UPC-CATALOG ID pair MATCH in Release_Label" )</f>
        <v/>
      </c>
      <c r="D638" s="121" t="str">
        <f t="array" ref="D638">ifs(and(isblank($A638),isblank($B638)),"", not(iserror(vlookup($A638&amp;$B638,'3) Release_Label'!$D:$D&amp;'3) Release_Label'!$E:$E,1,0))),vlookup($A638&amp;$B638,{'3) Release_Label'!$D:$D&amp;'3) Release_Label'!$E:$E,'3) Release_Label'!$H:$H},2,0), or(and(not(isblank($B638)),$B638=$B637,$A638&lt;&gt;$A637),and(not(isblank($A638)),$A638=$A637,$B638&lt;&gt;$B637)),"ID LISTS UNALIGNED",and($A638&lt;&gt;"",countif('3) Release_Label'!$D:$D,$A638)=0),"NO UPC MATCH in Release_Label",and($B638&lt;&gt;"",countif('3) Release_Label'!$E:$E,$B638)=0),"NO CATALOG ID MATCH in Release_Label",iserror(vlookup($A638&amp;$B638,'3) Release_Label'!$D:$D&amp;'3) Release_Label'!$E:$E,1,0)),"NO UPC-CATALOG ID pair MATCH in Release_Label" )</f>
        <v/>
      </c>
      <c r="E638" s="147" t="str">
        <f t="shared" si="1"/>
        <v/>
      </c>
      <c r="G638" s="97"/>
      <c r="H638" s="155"/>
      <c r="J638" s="92"/>
      <c r="K638" s="98"/>
      <c r="L638" s="92"/>
      <c r="N638" s="92"/>
      <c r="O638" s="92"/>
      <c r="P638" s="92"/>
    </row>
    <row r="639">
      <c r="A639" s="28"/>
      <c r="B639" s="97"/>
      <c r="C639" s="121" t="str">
        <f t="array" ref="C639">ifs(and(isblank($A639),isblank($B639)),"", not(iserror(vlookup($A639&amp;$B639,'3) Release_Label'!$D:$D&amp;'3) Release_Label'!$E:$E,1,0))),vlookup($A639&amp;$B639,{'3) Release_Label'!$D:$D&amp;'3) Release_Label'!$E:$E,'3) Release_Label'!$F:$F},2,0), or(and(not(isblank($B639)),$B639=$B638,$A639&lt;&gt;$A638),and(not(isblank($A639)),$A639=$A638,$B639&lt;&gt;$B638)),"ID LISTS UNALIGNED",and($A639&lt;&gt;"",countif('3) Release_Label'!$D:$D,$A639)=0),"NO UPC MATCH in Release_Label",and($B639&lt;&gt;"",countif('3) Release_Label'!$E:$E,$B639)=0),"NO CATALOG ID MATCH in Release_Label",iserror(vlookup($A639&amp;$B639,'3) Release_Label'!$D:$D&amp;'3) Release_Label'!$E:$E,1,0)),"NO UPC-CATALOG ID pair MATCH in Release_Label" )</f>
        <v/>
      </c>
      <c r="D639" s="121" t="str">
        <f t="array" ref="D639">ifs(and(isblank($A639),isblank($B639)),"", not(iserror(vlookup($A639&amp;$B639,'3) Release_Label'!$D:$D&amp;'3) Release_Label'!$E:$E,1,0))),vlookup($A639&amp;$B639,{'3) Release_Label'!$D:$D&amp;'3) Release_Label'!$E:$E,'3) Release_Label'!$H:$H},2,0), or(and(not(isblank($B639)),$B639=$B638,$A639&lt;&gt;$A638),and(not(isblank($A639)),$A639=$A638,$B639&lt;&gt;$B638)),"ID LISTS UNALIGNED",and($A639&lt;&gt;"",countif('3) Release_Label'!$D:$D,$A639)=0),"NO UPC MATCH in Release_Label",and($B639&lt;&gt;"",countif('3) Release_Label'!$E:$E,$B639)=0),"NO CATALOG ID MATCH in Release_Label",iserror(vlookup($A639&amp;$B639,'3) Release_Label'!$D:$D&amp;'3) Release_Label'!$E:$E,1,0)),"NO UPC-CATALOG ID pair MATCH in Release_Label" )</f>
        <v/>
      </c>
      <c r="E639" s="147" t="str">
        <f t="shared" si="1"/>
        <v/>
      </c>
      <c r="G639" s="97"/>
      <c r="H639" s="155"/>
      <c r="J639" s="92"/>
      <c r="K639" s="98"/>
      <c r="L639" s="92"/>
      <c r="N639" s="92"/>
      <c r="O639" s="92"/>
      <c r="P639" s="92"/>
    </row>
    <row r="640">
      <c r="A640" s="28"/>
      <c r="B640" s="97"/>
      <c r="C640" s="121" t="str">
        <f t="array" ref="C640">ifs(and(isblank($A640),isblank($B640)),"", not(iserror(vlookup($A640&amp;$B640,'3) Release_Label'!$D:$D&amp;'3) Release_Label'!$E:$E,1,0))),vlookup($A640&amp;$B640,{'3) Release_Label'!$D:$D&amp;'3) Release_Label'!$E:$E,'3) Release_Label'!$F:$F},2,0), or(and(not(isblank($B640)),$B640=$B639,$A640&lt;&gt;$A639),and(not(isblank($A640)),$A640=$A639,$B640&lt;&gt;$B639)),"ID LISTS UNALIGNED",and($A640&lt;&gt;"",countif('3) Release_Label'!$D:$D,$A640)=0),"NO UPC MATCH in Release_Label",and($B640&lt;&gt;"",countif('3) Release_Label'!$E:$E,$B640)=0),"NO CATALOG ID MATCH in Release_Label",iserror(vlookup($A640&amp;$B640,'3) Release_Label'!$D:$D&amp;'3) Release_Label'!$E:$E,1,0)),"NO UPC-CATALOG ID pair MATCH in Release_Label" )</f>
        <v/>
      </c>
      <c r="D640" s="121" t="str">
        <f t="array" ref="D640">ifs(and(isblank($A640),isblank($B640)),"", not(iserror(vlookup($A640&amp;$B640,'3) Release_Label'!$D:$D&amp;'3) Release_Label'!$E:$E,1,0))),vlookup($A640&amp;$B640,{'3) Release_Label'!$D:$D&amp;'3) Release_Label'!$E:$E,'3) Release_Label'!$H:$H},2,0), or(and(not(isblank($B640)),$B640=$B639,$A640&lt;&gt;$A639),and(not(isblank($A640)),$A640=$A639,$B640&lt;&gt;$B639)),"ID LISTS UNALIGNED",and($A640&lt;&gt;"",countif('3) Release_Label'!$D:$D,$A640)=0),"NO UPC MATCH in Release_Label",and($B640&lt;&gt;"",countif('3) Release_Label'!$E:$E,$B640)=0),"NO CATALOG ID MATCH in Release_Label",iserror(vlookup($A640&amp;$B640,'3) Release_Label'!$D:$D&amp;'3) Release_Label'!$E:$E,1,0)),"NO UPC-CATALOG ID pair MATCH in Release_Label" )</f>
        <v/>
      </c>
      <c r="E640" s="147" t="str">
        <f t="shared" si="1"/>
        <v/>
      </c>
      <c r="G640" s="97"/>
      <c r="H640" s="155"/>
      <c r="J640" s="92"/>
      <c r="K640" s="98"/>
      <c r="L640" s="92"/>
      <c r="N640" s="92"/>
      <c r="O640" s="92"/>
      <c r="P640" s="92"/>
    </row>
    <row r="641">
      <c r="A641" s="28"/>
      <c r="B641" s="97"/>
      <c r="C641" s="121" t="str">
        <f t="array" ref="C641">ifs(and(isblank($A641),isblank($B641)),"", not(iserror(vlookup($A641&amp;$B641,'3) Release_Label'!$D:$D&amp;'3) Release_Label'!$E:$E,1,0))),vlookup($A641&amp;$B641,{'3) Release_Label'!$D:$D&amp;'3) Release_Label'!$E:$E,'3) Release_Label'!$F:$F},2,0), or(and(not(isblank($B641)),$B641=$B640,$A641&lt;&gt;$A640),and(not(isblank($A641)),$A641=$A640,$B641&lt;&gt;$B640)),"ID LISTS UNALIGNED",and($A641&lt;&gt;"",countif('3) Release_Label'!$D:$D,$A641)=0),"NO UPC MATCH in Release_Label",and($B641&lt;&gt;"",countif('3) Release_Label'!$E:$E,$B641)=0),"NO CATALOG ID MATCH in Release_Label",iserror(vlookup($A641&amp;$B641,'3) Release_Label'!$D:$D&amp;'3) Release_Label'!$E:$E,1,0)),"NO UPC-CATALOG ID pair MATCH in Release_Label" )</f>
        <v/>
      </c>
      <c r="D641" s="121" t="str">
        <f t="array" ref="D641">ifs(and(isblank($A641),isblank($B641)),"", not(iserror(vlookup($A641&amp;$B641,'3) Release_Label'!$D:$D&amp;'3) Release_Label'!$E:$E,1,0))),vlookup($A641&amp;$B641,{'3) Release_Label'!$D:$D&amp;'3) Release_Label'!$E:$E,'3) Release_Label'!$H:$H},2,0), or(and(not(isblank($B641)),$B641=$B640,$A641&lt;&gt;$A640),and(not(isblank($A641)),$A641=$A640,$B641&lt;&gt;$B640)),"ID LISTS UNALIGNED",and($A641&lt;&gt;"",countif('3) Release_Label'!$D:$D,$A641)=0),"NO UPC MATCH in Release_Label",and($B641&lt;&gt;"",countif('3) Release_Label'!$E:$E,$B641)=0),"NO CATALOG ID MATCH in Release_Label",iserror(vlookup($A641&amp;$B641,'3) Release_Label'!$D:$D&amp;'3) Release_Label'!$E:$E,1,0)),"NO UPC-CATALOG ID pair MATCH in Release_Label" )</f>
        <v/>
      </c>
      <c r="E641" s="147" t="str">
        <f t="shared" si="1"/>
        <v/>
      </c>
      <c r="G641" s="97"/>
      <c r="H641" s="155"/>
      <c r="J641" s="92"/>
      <c r="K641" s="98"/>
      <c r="L641" s="92"/>
      <c r="N641" s="92"/>
      <c r="O641" s="92"/>
      <c r="P641" s="92"/>
    </row>
    <row r="642">
      <c r="A642" s="28"/>
      <c r="B642" s="97"/>
      <c r="C642" s="121" t="str">
        <f t="array" ref="C642">ifs(and(isblank($A642),isblank($B642)),"", not(iserror(vlookup($A642&amp;$B642,'3) Release_Label'!$D:$D&amp;'3) Release_Label'!$E:$E,1,0))),vlookup($A642&amp;$B642,{'3) Release_Label'!$D:$D&amp;'3) Release_Label'!$E:$E,'3) Release_Label'!$F:$F},2,0), or(and(not(isblank($B642)),$B642=$B641,$A642&lt;&gt;$A641),and(not(isblank($A642)),$A642=$A641,$B642&lt;&gt;$B641)),"ID LISTS UNALIGNED",and($A642&lt;&gt;"",countif('3) Release_Label'!$D:$D,$A642)=0),"NO UPC MATCH in Release_Label",and($B642&lt;&gt;"",countif('3) Release_Label'!$E:$E,$B642)=0),"NO CATALOG ID MATCH in Release_Label",iserror(vlookup($A642&amp;$B642,'3) Release_Label'!$D:$D&amp;'3) Release_Label'!$E:$E,1,0)),"NO UPC-CATALOG ID pair MATCH in Release_Label" )</f>
        <v/>
      </c>
      <c r="D642" s="121" t="str">
        <f t="array" ref="D642">ifs(and(isblank($A642),isblank($B642)),"", not(iserror(vlookup($A642&amp;$B642,'3) Release_Label'!$D:$D&amp;'3) Release_Label'!$E:$E,1,0))),vlookup($A642&amp;$B642,{'3) Release_Label'!$D:$D&amp;'3) Release_Label'!$E:$E,'3) Release_Label'!$H:$H},2,0), or(and(not(isblank($B642)),$B642=$B641,$A642&lt;&gt;$A641),and(not(isblank($A642)),$A642=$A641,$B642&lt;&gt;$B641)),"ID LISTS UNALIGNED",and($A642&lt;&gt;"",countif('3) Release_Label'!$D:$D,$A642)=0),"NO UPC MATCH in Release_Label",and($B642&lt;&gt;"",countif('3) Release_Label'!$E:$E,$B642)=0),"NO CATALOG ID MATCH in Release_Label",iserror(vlookup($A642&amp;$B642,'3) Release_Label'!$D:$D&amp;'3) Release_Label'!$E:$E,1,0)),"NO UPC-CATALOG ID pair MATCH in Release_Label" )</f>
        <v/>
      </c>
      <c r="E642" s="147" t="str">
        <f t="shared" si="1"/>
        <v/>
      </c>
      <c r="G642" s="97"/>
      <c r="H642" s="155"/>
      <c r="J642" s="92"/>
      <c r="K642" s="98"/>
      <c r="L642" s="92"/>
      <c r="N642" s="92"/>
      <c r="O642" s="92"/>
      <c r="P642" s="92"/>
    </row>
    <row r="643">
      <c r="A643" s="28"/>
      <c r="B643" s="97"/>
      <c r="C643" s="121" t="str">
        <f t="array" ref="C643">ifs(and(isblank($A643),isblank($B643)),"", not(iserror(vlookup($A643&amp;$B643,'3) Release_Label'!$D:$D&amp;'3) Release_Label'!$E:$E,1,0))),vlookup($A643&amp;$B643,{'3) Release_Label'!$D:$D&amp;'3) Release_Label'!$E:$E,'3) Release_Label'!$F:$F},2,0), or(and(not(isblank($B643)),$B643=$B642,$A643&lt;&gt;$A642),and(not(isblank($A643)),$A643=$A642,$B643&lt;&gt;$B642)),"ID LISTS UNALIGNED",and($A643&lt;&gt;"",countif('3) Release_Label'!$D:$D,$A643)=0),"NO UPC MATCH in Release_Label",and($B643&lt;&gt;"",countif('3) Release_Label'!$E:$E,$B643)=0),"NO CATALOG ID MATCH in Release_Label",iserror(vlookup($A643&amp;$B643,'3) Release_Label'!$D:$D&amp;'3) Release_Label'!$E:$E,1,0)),"NO UPC-CATALOG ID pair MATCH in Release_Label" )</f>
        <v/>
      </c>
      <c r="D643" s="121" t="str">
        <f t="array" ref="D643">ifs(and(isblank($A643),isblank($B643)),"", not(iserror(vlookup($A643&amp;$B643,'3) Release_Label'!$D:$D&amp;'3) Release_Label'!$E:$E,1,0))),vlookup($A643&amp;$B643,{'3) Release_Label'!$D:$D&amp;'3) Release_Label'!$E:$E,'3) Release_Label'!$H:$H},2,0), or(and(not(isblank($B643)),$B643=$B642,$A643&lt;&gt;$A642),and(not(isblank($A643)),$A643=$A642,$B643&lt;&gt;$B642)),"ID LISTS UNALIGNED",and($A643&lt;&gt;"",countif('3) Release_Label'!$D:$D,$A643)=0),"NO UPC MATCH in Release_Label",and($B643&lt;&gt;"",countif('3) Release_Label'!$E:$E,$B643)=0),"NO CATALOG ID MATCH in Release_Label",iserror(vlookup($A643&amp;$B643,'3) Release_Label'!$D:$D&amp;'3) Release_Label'!$E:$E,1,0)),"NO UPC-CATALOG ID pair MATCH in Release_Label" )</f>
        <v/>
      </c>
      <c r="E643" s="147" t="str">
        <f t="shared" si="1"/>
        <v/>
      </c>
      <c r="G643" s="97"/>
      <c r="H643" s="155"/>
      <c r="J643" s="92"/>
      <c r="K643" s="98"/>
      <c r="L643" s="92"/>
      <c r="N643" s="92"/>
      <c r="O643" s="92"/>
      <c r="P643" s="92"/>
    </row>
    <row r="644">
      <c r="A644" s="28"/>
      <c r="B644" s="97"/>
      <c r="C644" s="121" t="str">
        <f t="array" ref="C644">ifs(and(isblank($A644),isblank($B644)),"", not(iserror(vlookup($A644&amp;$B644,'3) Release_Label'!$D:$D&amp;'3) Release_Label'!$E:$E,1,0))),vlookup($A644&amp;$B644,{'3) Release_Label'!$D:$D&amp;'3) Release_Label'!$E:$E,'3) Release_Label'!$F:$F},2,0), or(and(not(isblank($B644)),$B644=$B643,$A644&lt;&gt;$A643),and(not(isblank($A644)),$A644=$A643,$B644&lt;&gt;$B643)),"ID LISTS UNALIGNED",and($A644&lt;&gt;"",countif('3) Release_Label'!$D:$D,$A644)=0),"NO UPC MATCH in Release_Label",and($B644&lt;&gt;"",countif('3) Release_Label'!$E:$E,$B644)=0),"NO CATALOG ID MATCH in Release_Label",iserror(vlookup($A644&amp;$B644,'3) Release_Label'!$D:$D&amp;'3) Release_Label'!$E:$E,1,0)),"NO UPC-CATALOG ID pair MATCH in Release_Label" )</f>
        <v/>
      </c>
      <c r="D644" s="121" t="str">
        <f t="array" ref="D644">ifs(and(isblank($A644),isblank($B644)),"", not(iserror(vlookup($A644&amp;$B644,'3) Release_Label'!$D:$D&amp;'3) Release_Label'!$E:$E,1,0))),vlookup($A644&amp;$B644,{'3) Release_Label'!$D:$D&amp;'3) Release_Label'!$E:$E,'3) Release_Label'!$H:$H},2,0), or(and(not(isblank($B644)),$B644=$B643,$A644&lt;&gt;$A643),and(not(isblank($A644)),$A644=$A643,$B644&lt;&gt;$B643)),"ID LISTS UNALIGNED",and($A644&lt;&gt;"",countif('3) Release_Label'!$D:$D,$A644)=0),"NO UPC MATCH in Release_Label",and($B644&lt;&gt;"",countif('3) Release_Label'!$E:$E,$B644)=0),"NO CATALOG ID MATCH in Release_Label",iserror(vlookup($A644&amp;$B644,'3) Release_Label'!$D:$D&amp;'3) Release_Label'!$E:$E,1,0)),"NO UPC-CATALOG ID pair MATCH in Release_Label" )</f>
        <v/>
      </c>
      <c r="E644" s="147" t="str">
        <f t="shared" si="1"/>
        <v/>
      </c>
      <c r="G644" s="97"/>
      <c r="H644" s="155"/>
      <c r="J644" s="92"/>
      <c r="K644" s="98"/>
      <c r="L644" s="92"/>
      <c r="N644" s="92"/>
      <c r="O644" s="92"/>
      <c r="P644" s="92"/>
    </row>
    <row r="645">
      <c r="A645" s="28"/>
      <c r="B645" s="97"/>
      <c r="C645" s="121" t="str">
        <f t="array" ref="C645">ifs(and(isblank($A645),isblank($B645)),"", not(iserror(vlookup($A645&amp;$B645,'3) Release_Label'!$D:$D&amp;'3) Release_Label'!$E:$E,1,0))),vlookup($A645&amp;$B645,{'3) Release_Label'!$D:$D&amp;'3) Release_Label'!$E:$E,'3) Release_Label'!$F:$F},2,0), or(and(not(isblank($B645)),$B645=$B644,$A645&lt;&gt;$A644),and(not(isblank($A645)),$A645=$A644,$B645&lt;&gt;$B644)),"ID LISTS UNALIGNED",and($A645&lt;&gt;"",countif('3) Release_Label'!$D:$D,$A645)=0),"NO UPC MATCH in Release_Label",and($B645&lt;&gt;"",countif('3) Release_Label'!$E:$E,$B645)=0),"NO CATALOG ID MATCH in Release_Label",iserror(vlookup($A645&amp;$B645,'3) Release_Label'!$D:$D&amp;'3) Release_Label'!$E:$E,1,0)),"NO UPC-CATALOG ID pair MATCH in Release_Label" )</f>
        <v/>
      </c>
      <c r="D645" s="121" t="str">
        <f t="array" ref="D645">ifs(and(isblank($A645),isblank($B645)),"", not(iserror(vlookup($A645&amp;$B645,'3) Release_Label'!$D:$D&amp;'3) Release_Label'!$E:$E,1,0))),vlookup($A645&amp;$B645,{'3) Release_Label'!$D:$D&amp;'3) Release_Label'!$E:$E,'3) Release_Label'!$H:$H},2,0), or(and(not(isblank($B645)),$B645=$B644,$A645&lt;&gt;$A644),and(not(isblank($A645)),$A645=$A644,$B645&lt;&gt;$B644)),"ID LISTS UNALIGNED",and($A645&lt;&gt;"",countif('3) Release_Label'!$D:$D,$A645)=0),"NO UPC MATCH in Release_Label",and($B645&lt;&gt;"",countif('3) Release_Label'!$E:$E,$B645)=0),"NO CATALOG ID MATCH in Release_Label",iserror(vlookup($A645&amp;$B645,'3) Release_Label'!$D:$D&amp;'3) Release_Label'!$E:$E,1,0)),"NO UPC-CATALOG ID pair MATCH in Release_Label" )</f>
        <v/>
      </c>
      <c r="E645" s="147" t="str">
        <f t="shared" si="1"/>
        <v/>
      </c>
      <c r="G645" s="97"/>
      <c r="H645" s="155"/>
      <c r="J645" s="92"/>
      <c r="K645" s="98"/>
      <c r="L645" s="92"/>
      <c r="N645" s="92"/>
      <c r="O645" s="92"/>
      <c r="P645" s="92"/>
    </row>
    <row r="646">
      <c r="A646" s="28"/>
      <c r="B646" s="97"/>
      <c r="C646" s="121" t="str">
        <f t="array" ref="C646">ifs(and(isblank($A646),isblank($B646)),"", not(iserror(vlookup($A646&amp;$B646,'3) Release_Label'!$D:$D&amp;'3) Release_Label'!$E:$E,1,0))),vlookup($A646&amp;$B646,{'3) Release_Label'!$D:$D&amp;'3) Release_Label'!$E:$E,'3) Release_Label'!$F:$F},2,0), or(and(not(isblank($B646)),$B646=$B645,$A646&lt;&gt;$A645),and(not(isblank($A646)),$A646=$A645,$B646&lt;&gt;$B645)),"ID LISTS UNALIGNED",and($A646&lt;&gt;"",countif('3) Release_Label'!$D:$D,$A646)=0),"NO UPC MATCH in Release_Label",and($B646&lt;&gt;"",countif('3) Release_Label'!$E:$E,$B646)=0),"NO CATALOG ID MATCH in Release_Label",iserror(vlookup($A646&amp;$B646,'3) Release_Label'!$D:$D&amp;'3) Release_Label'!$E:$E,1,0)),"NO UPC-CATALOG ID pair MATCH in Release_Label" )</f>
        <v/>
      </c>
      <c r="D646" s="121" t="str">
        <f t="array" ref="D646">ifs(and(isblank($A646),isblank($B646)),"", not(iserror(vlookup($A646&amp;$B646,'3) Release_Label'!$D:$D&amp;'3) Release_Label'!$E:$E,1,0))),vlookup($A646&amp;$B646,{'3) Release_Label'!$D:$D&amp;'3) Release_Label'!$E:$E,'3) Release_Label'!$H:$H},2,0), or(and(not(isblank($B646)),$B646=$B645,$A646&lt;&gt;$A645),and(not(isblank($A646)),$A646=$A645,$B646&lt;&gt;$B645)),"ID LISTS UNALIGNED",and($A646&lt;&gt;"",countif('3) Release_Label'!$D:$D,$A646)=0),"NO UPC MATCH in Release_Label",and($B646&lt;&gt;"",countif('3) Release_Label'!$E:$E,$B646)=0),"NO CATALOG ID MATCH in Release_Label",iserror(vlookup($A646&amp;$B646,'3) Release_Label'!$D:$D&amp;'3) Release_Label'!$E:$E,1,0)),"NO UPC-CATALOG ID pair MATCH in Release_Label" )</f>
        <v/>
      </c>
      <c r="E646" s="147" t="str">
        <f t="shared" si="1"/>
        <v/>
      </c>
      <c r="G646" s="97"/>
      <c r="H646" s="155"/>
      <c r="J646" s="92"/>
      <c r="K646" s="98"/>
      <c r="L646" s="92"/>
      <c r="N646" s="92"/>
      <c r="O646" s="92"/>
      <c r="P646" s="92"/>
    </row>
    <row r="647">
      <c r="A647" s="28"/>
      <c r="B647" s="97"/>
      <c r="C647" s="121" t="str">
        <f t="array" ref="C647">ifs(and(isblank($A647),isblank($B647)),"", not(iserror(vlookup($A647&amp;$B647,'3) Release_Label'!$D:$D&amp;'3) Release_Label'!$E:$E,1,0))),vlookup($A647&amp;$B647,{'3) Release_Label'!$D:$D&amp;'3) Release_Label'!$E:$E,'3) Release_Label'!$F:$F},2,0), or(and(not(isblank($B647)),$B647=$B646,$A647&lt;&gt;$A646),and(not(isblank($A647)),$A647=$A646,$B647&lt;&gt;$B646)),"ID LISTS UNALIGNED",and($A647&lt;&gt;"",countif('3) Release_Label'!$D:$D,$A647)=0),"NO UPC MATCH in Release_Label",and($B647&lt;&gt;"",countif('3) Release_Label'!$E:$E,$B647)=0),"NO CATALOG ID MATCH in Release_Label",iserror(vlookup($A647&amp;$B647,'3) Release_Label'!$D:$D&amp;'3) Release_Label'!$E:$E,1,0)),"NO UPC-CATALOG ID pair MATCH in Release_Label" )</f>
        <v/>
      </c>
      <c r="D647" s="121" t="str">
        <f t="array" ref="D647">ifs(and(isblank($A647),isblank($B647)),"", not(iserror(vlookup($A647&amp;$B647,'3) Release_Label'!$D:$D&amp;'3) Release_Label'!$E:$E,1,0))),vlookup($A647&amp;$B647,{'3) Release_Label'!$D:$D&amp;'3) Release_Label'!$E:$E,'3) Release_Label'!$H:$H},2,0), or(and(not(isblank($B647)),$B647=$B646,$A647&lt;&gt;$A646),and(not(isblank($A647)),$A647=$A646,$B647&lt;&gt;$B646)),"ID LISTS UNALIGNED",and($A647&lt;&gt;"",countif('3) Release_Label'!$D:$D,$A647)=0),"NO UPC MATCH in Release_Label",and($B647&lt;&gt;"",countif('3) Release_Label'!$E:$E,$B647)=0),"NO CATALOG ID MATCH in Release_Label",iserror(vlookup($A647&amp;$B647,'3) Release_Label'!$D:$D&amp;'3) Release_Label'!$E:$E,1,0)),"NO UPC-CATALOG ID pair MATCH in Release_Label" )</f>
        <v/>
      </c>
      <c r="E647" s="147" t="str">
        <f t="shared" si="1"/>
        <v/>
      </c>
      <c r="G647" s="97"/>
      <c r="H647" s="155"/>
      <c r="J647" s="92"/>
      <c r="K647" s="98"/>
      <c r="L647" s="92"/>
      <c r="N647" s="92"/>
      <c r="O647" s="92"/>
      <c r="P647" s="92"/>
    </row>
    <row r="648">
      <c r="A648" s="28"/>
      <c r="B648" s="97"/>
      <c r="C648" s="121" t="str">
        <f t="array" ref="C648">ifs(and(isblank($A648),isblank($B648)),"", not(iserror(vlookup($A648&amp;$B648,'3) Release_Label'!$D:$D&amp;'3) Release_Label'!$E:$E,1,0))),vlookup($A648&amp;$B648,{'3) Release_Label'!$D:$D&amp;'3) Release_Label'!$E:$E,'3) Release_Label'!$F:$F},2,0), or(and(not(isblank($B648)),$B648=$B647,$A648&lt;&gt;$A647),and(not(isblank($A648)),$A648=$A647,$B648&lt;&gt;$B647)),"ID LISTS UNALIGNED",and($A648&lt;&gt;"",countif('3) Release_Label'!$D:$D,$A648)=0),"NO UPC MATCH in Release_Label",and($B648&lt;&gt;"",countif('3) Release_Label'!$E:$E,$B648)=0),"NO CATALOG ID MATCH in Release_Label",iserror(vlookup($A648&amp;$B648,'3) Release_Label'!$D:$D&amp;'3) Release_Label'!$E:$E,1,0)),"NO UPC-CATALOG ID pair MATCH in Release_Label" )</f>
        <v/>
      </c>
      <c r="D648" s="121" t="str">
        <f t="array" ref="D648">ifs(and(isblank($A648),isblank($B648)),"", not(iserror(vlookup($A648&amp;$B648,'3) Release_Label'!$D:$D&amp;'3) Release_Label'!$E:$E,1,0))),vlookup($A648&amp;$B648,{'3) Release_Label'!$D:$D&amp;'3) Release_Label'!$E:$E,'3) Release_Label'!$H:$H},2,0), or(and(not(isblank($B648)),$B648=$B647,$A648&lt;&gt;$A647),and(not(isblank($A648)),$A648=$A647,$B648&lt;&gt;$B647)),"ID LISTS UNALIGNED",and($A648&lt;&gt;"",countif('3) Release_Label'!$D:$D,$A648)=0),"NO UPC MATCH in Release_Label",and($B648&lt;&gt;"",countif('3) Release_Label'!$E:$E,$B648)=0),"NO CATALOG ID MATCH in Release_Label",iserror(vlookup($A648&amp;$B648,'3) Release_Label'!$D:$D&amp;'3) Release_Label'!$E:$E,1,0)),"NO UPC-CATALOG ID pair MATCH in Release_Label" )</f>
        <v/>
      </c>
      <c r="E648" s="147" t="str">
        <f t="shared" si="1"/>
        <v/>
      </c>
      <c r="G648" s="97"/>
      <c r="H648" s="155"/>
      <c r="J648" s="92"/>
      <c r="K648" s="98"/>
      <c r="L648" s="92"/>
      <c r="N648" s="92"/>
      <c r="O648" s="92"/>
      <c r="P648" s="92"/>
    </row>
    <row r="649">
      <c r="A649" s="28"/>
      <c r="B649" s="97"/>
      <c r="C649" s="121" t="str">
        <f t="array" ref="C649">ifs(and(isblank($A649),isblank($B649)),"", not(iserror(vlookup($A649&amp;$B649,'3) Release_Label'!$D:$D&amp;'3) Release_Label'!$E:$E,1,0))),vlookup($A649&amp;$B649,{'3) Release_Label'!$D:$D&amp;'3) Release_Label'!$E:$E,'3) Release_Label'!$F:$F},2,0), or(and(not(isblank($B649)),$B649=$B648,$A649&lt;&gt;$A648),and(not(isblank($A649)),$A649=$A648,$B649&lt;&gt;$B648)),"ID LISTS UNALIGNED",and($A649&lt;&gt;"",countif('3) Release_Label'!$D:$D,$A649)=0),"NO UPC MATCH in Release_Label",and($B649&lt;&gt;"",countif('3) Release_Label'!$E:$E,$B649)=0),"NO CATALOG ID MATCH in Release_Label",iserror(vlookup($A649&amp;$B649,'3) Release_Label'!$D:$D&amp;'3) Release_Label'!$E:$E,1,0)),"NO UPC-CATALOG ID pair MATCH in Release_Label" )</f>
        <v/>
      </c>
      <c r="D649" s="121" t="str">
        <f t="array" ref="D649">ifs(and(isblank($A649),isblank($B649)),"", not(iserror(vlookup($A649&amp;$B649,'3) Release_Label'!$D:$D&amp;'3) Release_Label'!$E:$E,1,0))),vlookup($A649&amp;$B649,{'3) Release_Label'!$D:$D&amp;'3) Release_Label'!$E:$E,'3) Release_Label'!$H:$H},2,0), or(and(not(isblank($B649)),$B649=$B648,$A649&lt;&gt;$A648),and(not(isblank($A649)),$A649=$A648,$B649&lt;&gt;$B648)),"ID LISTS UNALIGNED",and($A649&lt;&gt;"",countif('3) Release_Label'!$D:$D,$A649)=0),"NO UPC MATCH in Release_Label",and($B649&lt;&gt;"",countif('3) Release_Label'!$E:$E,$B649)=0),"NO CATALOG ID MATCH in Release_Label",iserror(vlookup($A649&amp;$B649,'3) Release_Label'!$D:$D&amp;'3) Release_Label'!$E:$E,1,0)),"NO UPC-CATALOG ID pair MATCH in Release_Label" )</f>
        <v/>
      </c>
      <c r="E649" s="147" t="str">
        <f t="shared" si="1"/>
        <v/>
      </c>
      <c r="G649" s="97"/>
      <c r="H649" s="155"/>
      <c r="J649" s="92"/>
      <c r="K649" s="98"/>
      <c r="L649" s="92"/>
      <c r="N649" s="92"/>
      <c r="O649" s="92"/>
      <c r="P649" s="92"/>
    </row>
    <row r="650">
      <c r="A650" s="28"/>
      <c r="B650" s="97"/>
      <c r="C650" s="121" t="str">
        <f t="array" ref="C650">ifs(and(isblank($A650),isblank($B650)),"", not(iserror(vlookup($A650&amp;$B650,'3) Release_Label'!$D:$D&amp;'3) Release_Label'!$E:$E,1,0))),vlookup($A650&amp;$B650,{'3) Release_Label'!$D:$D&amp;'3) Release_Label'!$E:$E,'3) Release_Label'!$F:$F},2,0), or(and(not(isblank($B650)),$B650=$B649,$A650&lt;&gt;$A649),and(not(isblank($A650)),$A650=$A649,$B650&lt;&gt;$B649)),"ID LISTS UNALIGNED",and($A650&lt;&gt;"",countif('3) Release_Label'!$D:$D,$A650)=0),"NO UPC MATCH in Release_Label",and($B650&lt;&gt;"",countif('3) Release_Label'!$E:$E,$B650)=0),"NO CATALOG ID MATCH in Release_Label",iserror(vlookup($A650&amp;$B650,'3) Release_Label'!$D:$D&amp;'3) Release_Label'!$E:$E,1,0)),"NO UPC-CATALOG ID pair MATCH in Release_Label" )</f>
        <v/>
      </c>
      <c r="D650" s="121" t="str">
        <f t="array" ref="D650">ifs(and(isblank($A650),isblank($B650)),"", not(iserror(vlookup($A650&amp;$B650,'3) Release_Label'!$D:$D&amp;'3) Release_Label'!$E:$E,1,0))),vlookup($A650&amp;$B650,{'3) Release_Label'!$D:$D&amp;'3) Release_Label'!$E:$E,'3) Release_Label'!$H:$H},2,0), or(and(not(isblank($B650)),$B650=$B649,$A650&lt;&gt;$A649),and(not(isblank($A650)),$A650=$A649,$B650&lt;&gt;$B649)),"ID LISTS UNALIGNED",and($A650&lt;&gt;"",countif('3) Release_Label'!$D:$D,$A650)=0),"NO UPC MATCH in Release_Label",and($B650&lt;&gt;"",countif('3) Release_Label'!$E:$E,$B650)=0),"NO CATALOG ID MATCH in Release_Label",iserror(vlookup($A650&amp;$B650,'3) Release_Label'!$D:$D&amp;'3) Release_Label'!$E:$E,1,0)),"NO UPC-CATALOG ID pair MATCH in Release_Label" )</f>
        <v/>
      </c>
      <c r="E650" s="147" t="str">
        <f t="shared" si="1"/>
        <v/>
      </c>
      <c r="G650" s="97"/>
      <c r="H650" s="155"/>
      <c r="J650" s="92"/>
      <c r="K650" s="98"/>
      <c r="L650" s="92"/>
      <c r="N650" s="92"/>
      <c r="O650" s="92"/>
      <c r="P650" s="92"/>
    </row>
    <row r="651">
      <c r="A651" s="28"/>
      <c r="B651" s="97"/>
      <c r="C651" s="121" t="str">
        <f t="array" ref="C651">ifs(and(isblank($A651),isblank($B651)),"", not(iserror(vlookup($A651&amp;$B651,'3) Release_Label'!$D:$D&amp;'3) Release_Label'!$E:$E,1,0))),vlookup($A651&amp;$B651,{'3) Release_Label'!$D:$D&amp;'3) Release_Label'!$E:$E,'3) Release_Label'!$F:$F},2,0), or(and(not(isblank($B651)),$B651=$B650,$A651&lt;&gt;$A650),and(not(isblank($A651)),$A651=$A650,$B651&lt;&gt;$B650)),"ID LISTS UNALIGNED",and($A651&lt;&gt;"",countif('3) Release_Label'!$D:$D,$A651)=0),"NO UPC MATCH in Release_Label",and($B651&lt;&gt;"",countif('3) Release_Label'!$E:$E,$B651)=0),"NO CATALOG ID MATCH in Release_Label",iserror(vlookup($A651&amp;$B651,'3) Release_Label'!$D:$D&amp;'3) Release_Label'!$E:$E,1,0)),"NO UPC-CATALOG ID pair MATCH in Release_Label" )</f>
        <v/>
      </c>
      <c r="D651" s="121" t="str">
        <f t="array" ref="D651">ifs(and(isblank($A651),isblank($B651)),"", not(iserror(vlookup($A651&amp;$B651,'3) Release_Label'!$D:$D&amp;'3) Release_Label'!$E:$E,1,0))),vlookup($A651&amp;$B651,{'3) Release_Label'!$D:$D&amp;'3) Release_Label'!$E:$E,'3) Release_Label'!$H:$H},2,0), or(and(not(isblank($B651)),$B651=$B650,$A651&lt;&gt;$A650),and(not(isblank($A651)),$A651=$A650,$B651&lt;&gt;$B650)),"ID LISTS UNALIGNED",and($A651&lt;&gt;"",countif('3) Release_Label'!$D:$D,$A651)=0),"NO UPC MATCH in Release_Label",and($B651&lt;&gt;"",countif('3) Release_Label'!$E:$E,$B651)=0),"NO CATALOG ID MATCH in Release_Label",iserror(vlookup($A651&amp;$B651,'3) Release_Label'!$D:$D&amp;'3) Release_Label'!$E:$E,1,0)),"NO UPC-CATALOG ID pair MATCH in Release_Label" )</f>
        <v/>
      </c>
      <c r="E651" s="147" t="str">
        <f t="shared" si="1"/>
        <v/>
      </c>
      <c r="G651" s="97"/>
      <c r="H651" s="155"/>
      <c r="J651" s="92"/>
      <c r="K651" s="98"/>
      <c r="L651" s="92"/>
      <c r="N651" s="92"/>
      <c r="O651" s="92"/>
      <c r="P651" s="92"/>
    </row>
    <row r="652">
      <c r="A652" s="28"/>
      <c r="B652" s="97"/>
      <c r="C652" s="121" t="str">
        <f t="array" ref="C652">ifs(and(isblank($A652),isblank($B652)),"", not(iserror(vlookup($A652&amp;$B652,'3) Release_Label'!$D:$D&amp;'3) Release_Label'!$E:$E,1,0))),vlookup($A652&amp;$B652,{'3) Release_Label'!$D:$D&amp;'3) Release_Label'!$E:$E,'3) Release_Label'!$F:$F},2,0), or(and(not(isblank($B652)),$B652=$B651,$A652&lt;&gt;$A651),and(not(isblank($A652)),$A652=$A651,$B652&lt;&gt;$B651)),"ID LISTS UNALIGNED",and($A652&lt;&gt;"",countif('3) Release_Label'!$D:$D,$A652)=0),"NO UPC MATCH in Release_Label",and($B652&lt;&gt;"",countif('3) Release_Label'!$E:$E,$B652)=0),"NO CATALOG ID MATCH in Release_Label",iserror(vlookup($A652&amp;$B652,'3) Release_Label'!$D:$D&amp;'3) Release_Label'!$E:$E,1,0)),"NO UPC-CATALOG ID pair MATCH in Release_Label" )</f>
        <v/>
      </c>
      <c r="D652" s="121" t="str">
        <f t="array" ref="D652">ifs(and(isblank($A652),isblank($B652)),"", not(iserror(vlookup($A652&amp;$B652,'3) Release_Label'!$D:$D&amp;'3) Release_Label'!$E:$E,1,0))),vlookup($A652&amp;$B652,{'3) Release_Label'!$D:$D&amp;'3) Release_Label'!$E:$E,'3) Release_Label'!$H:$H},2,0), or(and(not(isblank($B652)),$B652=$B651,$A652&lt;&gt;$A651),and(not(isblank($A652)),$A652=$A651,$B652&lt;&gt;$B651)),"ID LISTS UNALIGNED",and($A652&lt;&gt;"",countif('3) Release_Label'!$D:$D,$A652)=0),"NO UPC MATCH in Release_Label",and($B652&lt;&gt;"",countif('3) Release_Label'!$E:$E,$B652)=0),"NO CATALOG ID MATCH in Release_Label",iserror(vlookup($A652&amp;$B652,'3) Release_Label'!$D:$D&amp;'3) Release_Label'!$E:$E,1,0)),"NO UPC-CATALOG ID pair MATCH in Release_Label" )</f>
        <v/>
      </c>
      <c r="E652" s="147" t="str">
        <f t="shared" si="1"/>
        <v/>
      </c>
      <c r="G652" s="97"/>
      <c r="H652" s="155"/>
      <c r="J652" s="92"/>
      <c r="K652" s="98"/>
      <c r="L652" s="92"/>
      <c r="N652" s="92"/>
      <c r="O652" s="92"/>
      <c r="P652" s="92"/>
    </row>
    <row r="653">
      <c r="A653" s="28"/>
      <c r="B653" s="97"/>
      <c r="C653" s="121" t="str">
        <f t="array" ref="C653">ifs(and(isblank($A653),isblank($B653)),"", not(iserror(vlookup($A653&amp;$B653,'3) Release_Label'!$D:$D&amp;'3) Release_Label'!$E:$E,1,0))),vlookup($A653&amp;$B653,{'3) Release_Label'!$D:$D&amp;'3) Release_Label'!$E:$E,'3) Release_Label'!$F:$F},2,0), or(and(not(isblank($B653)),$B653=$B652,$A653&lt;&gt;$A652),and(not(isblank($A653)),$A653=$A652,$B653&lt;&gt;$B652)),"ID LISTS UNALIGNED",and($A653&lt;&gt;"",countif('3) Release_Label'!$D:$D,$A653)=0),"NO UPC MATCH in Release_Label",and($B653&lt;&gt;"",countif('3) Release_Label'!$E:$E,$B653)=0),"NO CATALOG ID MATCH in Release_Label",iserror(vlookup($A653&amp;$B653,'3) Release_Label'!$D:$D&amp;'3) Release_Label'!$E:$E,1,0)),"NO UPC-CATALOG ID pair MATCH in Release_Label" )</f>
        <v/>
      </c>
      <c r="D653" s="121" t="str">
        <f t="array" ref="D653">ifs(and(isblank($A653),isblank($B653)),"", not(iserror(vlookup($A653&amp;$B653,'3) Release_Label'!$D:$D&amp;'3) Release_Label'!$E:$E,1,0))),vlookup($A653&amp;$B653,{'3) Release_Label'!$D:$D&amp;'3) Release_Label'!$E:$E,'3) Release_Label'!$H:$H},2,0), or(and(not(isblank($B653)),$B653=$B652,$A653&lt;&gt;$A652),and(not(isblank($A653)),$A653=$A652,$B653&lt;&gt;$B652)),"ID LISTS UNALIGNED",and($A653&lt;&gt;"",countif('3) Release_Label'!$D:$D,$A653)=0),"NO UPC MATCH in Release_Label",and($B653&lt;&gt;"",countif('3) Release_Label'!$E:$E,$B653)=0),"NO CATALOG ID MATCH in Release_Label",iserror(vlookup($A653&amp;$B653,'3) Release_Label'!$D:$D&amp;'3) Release_Label'!$E:$E,1,0)),"NO UPC-CATALOG ID pair MATCH in Release_Label" )</f>
        <v/>
      </c>
      <c r="E653" s="147" t="str">
        <f t="shared" si="1"/>
        <v/>
      </c>
      <c r="G653" s="97"/>
      <c r="H653" s="155"/>
      <c r="J653" s="92"/>
      <c r="K653" s="98"/>
      <c r="L653" s="92"/>
      <c r="N653" s="92"/>
      <c r="O653" s="92"/>
      <c r="P653" s="92"/>
    </row>
    <row r="654">
      <c r="A654" s="28"/>
      <c r="B654" s="97"/>
      <c r="C654" s="121" t="str">
        <f t="array" ref="C654">ifs(and(isblank($A654),isblank($B654)),"", not(iserror(vlookup($A654&amp;$B654,'3) Release_Label'!$D:$D&amp;'3) Release_Label'!$E:$E,1,0))),vlookup($A654&amp;$B654,{'3) Release_Label'!$D:$D&amp;'3) Release_Label'!$E:$E,'3) Release_Label'!$F:$F},2,0), or(and(not(isblank($B654)),$B654=$B653,$A654&lt;&gt;$A653),and(not(isblank($A654)),$A654=$A653,$B654&lt;&gt;$B653)),"ID LISTS UNALIGNED",and($A654&lt;&gt;"",countif('3) Release_Label'!$D:$D,$A654)=0),"NO UPC MATCH in Release_Label",and($B654&lt;&gt;"",countif('3) Release_Label'!$E:$E,$B654)=0),"NO CATALOG ID MATCH in Release_Label",iserror(vlookup($A654&amp;$B654,'3) Release_Label'!$D:$D&amp;'3) Release_Label'!$E:$E,1,0)),"NO UPC-CATALOG ID pair MATCH in Release_Label" )</f>
        <v/>
      </c>
      <c r="D654" s="121" t="str">
        <f t="array" ref="D654">ifs(and(isblank($A654),isblank($B654)),"", not(iserror(vlookup($A654&amp;$B654,'3) Release_Label'!$D:$D&amp;'3) Release_Label'!$E:$E,1,0))),vlookup($A654&amp;$B654,{'3) Release_Label'!$D:$D&amp;'3) Release_Label'!$E:$E,'3) Release_Label'!$H:$H},2,0), or(and(not(isblank($B654)),$B654=$B653,$A654&lt;&gt;$A653),and(not(isblank($A654)),$A654=$A653,$B654&lt;&gt;$B653)),"ID LISTS UNALIGNED",and($A654&lt;&gt;"",countif('3) Release_Label'!$D:$D,$A654)=0),"NO UPC MATCH in Release_Label",and($B654&lt;&gt;"",countif('3) Release_Label'!$E:$E,$B654)=0),"NO CATALOG ID MATCH in Release_Label",iserror(vlookup($A654&amp;$B654,'3) Release_Label'!$D:$D&amp;'3) Release_Label'!$E:$E,1,0)),"NO UPC-CATALOG ID pair MATCH in Release_Label" )</f>
        <v/>
      </c>
      <c r="E654" s="147" t="str">
        <f t="shared" si="1"/>
        <v/>
      </c>
      <c r="G654" s="97"/>
      <c r="H654" s="155"/>
      <c r="J654" s="92"/>
      <c r="K654" s="98"/>
      <c r="L654" s="92"/>
      <c r="N654" s="92"/>
      <c r="O654" s="92"/>
      <c r="P654" s="92"/>
    </row>
    <row r="655">
      <c r="A655" s="28"/>
      <c r="B655" s="97"/>
      <c r="C655" s="121" t="str">
        <f t="array" ref="C655">ifs(and(isblank($A655),isblank($B655)),"", not(iserror(vlookup($A655&amp;$B655,'3) Release_Label'!$D:$D&amp;'3) Release_Label'!$E:$E,1,0))),vlookup($A655&amp;$B655,{'3) Release_Label'!$D:$D&amp;'3) Release_Label'!$E:$E,'3) Release_Label'!$F:$F},2,0), or(and(not(isblank($B655)),$B655=$B654,$A655&lt;&gt;$A654),and(not(isblank($A655)),$A655=$A654,$B655&lt;&gt;$B654)),"ID LISTS UNALIGNED",and($A655&lt;&gt;"",countif('3) Release_Label'!$D:$D,$A655)=0),"NO UPC MATCH in Release_Label",and($B655&lt;&gt;"",countif('3) Release_Label'!$E:$E,$B655)=0),"NO CATALOG ID MATCH in Release_Label",iserror(vlookup($A655&amp;$B655,'3) Release_Label'!$D:$D&amp;'3) Release_Label'!$E:$E,1,0)),"NO UPC-CATALOG ID pair MATCH in Release_Label" )</f>
        <v/>
      </c>
      <c r="D655" s="121" t="str">
        <f t="array" ref="D655">ifs(and(isblank($A655),isblank($B655)),"", not(iserror(vlookup($A655&amp;$B655,'3) Release_Label'!$D:$D&amp;'3) Release_Label'!$E:$E,1,0))),vlookup($A655&amp;$B655,{'3) Release_Label'!$D:$D&amp;'3) Release_Label'!$E:$E,'3) Release_Label'!$H:$H},2,0), or(and(not(isblank($B655)),$B655=$B654,$A655&lt;&gt;$A654),and(not(isblank($A655)),$A655=$A654,$B655&lt;&gt;$B654)),"ID LISTS UNALIGNED",and($A655&lt;&gt;"",countif('3) Release_Label'!$D:$D,$A655)=0),"NO UPC MATCH in Release_Label",and($B655&lt;&gt;"",countif('3) Release_Label'!$E:$E,$B655)=0),"NO CATALOG ID MATCH in Release_Label",iserror(vlookup($A655&amp;$B655,'3) Release_Label'!$D:$D&amp;'3) Release_Label'!$E:$E,1,0)),"NO UPC-CATALOG ID pair MATCH in Release_Label" )</f>
        <v/>
      </c>
      <c r="E655" s="147" t="str">
        <f t="shared" si="1"/>
        <v/>
      </c>
      <c r="G655" s="97"/>
      <c r="H655" s="155"/>
      <c r="J655" s="92"/>
      <c r="K655" s="98"/>
      <c r="L655" s="92"/>
      <c r="N655" s="92"/>
      <c r="O655" s="92"/>
      <c r="P655" s="92"/>
    </row>
    <row r="656">
      <c r="A656" s="28"/>
      <c r="B656" s="97"/>
      <c r="C656" s="121" t="str">
        <f t="array" ref="C656">ifs(and(isblank($A656),isblank($B656)),"", not(iserror(vlookup($A656&amp;$B656,'3) Release_Label'!$D:$D&amp;'3) Release_Label'!$E:$E,1,0))),vlookup($A656&amp;$B656,{'3) Release_Label'!$D:$D&amp;'3) Release_Label'!$E:$E,'3) Release_Label'!$F:$F},2,0), or(and(not(isblank($B656)),$B656=$B655,$A656&lt;&gt;$A655),and(not(isblank($A656)),$A656=$A655,$B656&lt;&gt;$B655)),"ID LISTS UNALIGNED",and($A656&lt;&gt;"",countif('3) Release_Label'!$D:$D,$A656)=0),"NO UPC MATCH in Release_Label",and($B656&lt;&gt;"",countif('3) Release_Label'!$E:$E,$B656)=0),"NO CATALOG ID MATCH in Release_Label",iserror(vlookup($A656&amp;$B656,'3) Release_Label'!$D:$D&amp;'3) Release_Label'!$E:$E,1,0)),"NO UPC-CATALOG ID pair MATCH in Release_Label" )</f>
        <v/>
      </c>
      <c r="D656" s="121" t="str">
        <f t="array" ref="D656">ifs(and(isblank($A656),isblank($B656)),"", not(iserror(vlookup($A656&amp;$B656,'3) Release_Label'!$D:$D&amp;'3) Release_Label'!$E:$E,1,0))),vlookup($A656&amp;$B656,{'3) Release_Label'!$D:$D&amp;'3) Release_Label'!$E:$E,'3) Release_Label'!$H:$H},2,0), or(and(not(isblank($B656)),$B656=$B655,$A656&lt;&gt;$A655),and(not(isblank($A656)),$A656=$A655,$B656&lt;&gt;$B655)),"ID LISTS UNALIGNED",and($A656&lt;&gt;"",countif('3) Release_Label'!$D:$D,$A656)=0),"NO UPC MATCH in Release_Label",and($B656&lt;&gt;"",countif('3) Release_Label'!$E:$E,$B656)=0),"NO CATALOG ID MATCH in Release_Label",iserror(vlookup($A656&amp;$B656,'3) Release_Label'!$D:$D&amp;'3) Release_Label'!$E:$E,1,0)),"NO UPC-CATALOG ID pair MATCH in Release_Label" )</f>
        <v/>
      </c>
      <c r="E656" s="147" t="str">
        <f t="shared" si="1"/>
        <v/>
      </c>
      <c r="G656" s="97"/>
      <c r="H656" s="155"/>
      <c r="J656" s="92"/>
      <c r="K656" s="98"/>
      <c r="L656" s="92"/>
      <c r="N656" s="92"/>
      <c r="O656" s="92"/>
      <c r="P656" s="92"/>
    </row>
    <row r="657">
      <c r="A657" s="28"/>
      <c r="B657" s="97"/>
      <c r="C657" s="121" t="str">
        <f t="array" ref="C657">ifs(and(isblank($A657),isblank($B657)),"", not(iserror(vlookup($A657&amp;$B657,'3) Release_Label'!$D:$D&amp;'3) Release_Label'!$E:$E,1,0))),vlookup($A657&amp;$B657,{'3) Release_Label'!$D:$D&amp;'3) Release_Label'!$E:$E,'3) Release_Label'!$F:$F},2,0), or(and(not(isblank($B657)),$B657=$B656,$A657&lt;&gt;$A656),and(not(isblank($A657)),$A657=$A656,$B657&lt;&gt;$B656)),"ID LISTS UNALIGNED",and($A657&lt;&gt;"",countif('3) Release_Label'!$D:$D,$A657)=0),"NO UPC MATCH in Release_Label",and($B657&lt;&gt;"",countif('3) Release_Label'!$E:$E,$B657)=0),"NO CATALOG ID MATCH in Release_Label",iserror(vlookup($A657&amp;$B657,'3) Release_Label'!$D:$D&amp;'3) Release_Label'!$E:$E,1,0)),"NO UPC-CATALOG ID pair MATCH in Release_Label" )</f>
        <v/>
      </c>
      <c r="D657" s="121" t="str">
        <f t="array" ref="D657">ifs(and(isblank($A657),isblank($B657)),"", not(iserror(vlookup($A657&amp;$B657,'3) Release_Label'!$D:$D&amp;'3) Release_Label'!$E:$E,1,0))),vlookup($A657&amp;$B657,{'3) Release_Label'!$D:$D&amp;'3) Release_Label'!$E:$E,'3) Release_Label'!$H:$H},2,0), or(and(not(isblank($B657)),$B657=$B656,$A657&lt;&gt;$A656),and(not(isblank($A657)),$A657=$A656,$B657&lt;&gt;$B656)),"ID LISTS UNALIGNED",and($A657&lt;&gt;"",countif('3) Release_Label'!$D:$D,$A657)=0),"NO UPC MATCH in Release_Label",and($B657&lt;&gt;"",countif('3) Release_Label'!$E:$E,$B657)=0),"NO CATALOG ID MATCH in Release_Label",iserror(vlookup($A657&amp;$B657,'3) Release_Label'!$D:$D&amp;'3) Release_Label'!$E:$E,1,0)),"NO UPC-CATALOG ID pair MATCH in Release_Label" )</f>
        <v/>
      </c>
      <c r="E657" s="147" t="str">
        <f t="shared" si="1"/>
        <v/>
      </c>
      <c r="G657" s="97"/>
      <c r="H657" s="155"/>
      <c r="J657" s="92"/>
      <c r="K657" s="98"/>
      <c r="L657" s="92"/>
      <c r="N657" s="92"/>
      <c r="O657" s="92"/>
      <c r="P657" s="92"/>
    </row>
    <row r="658">
      <c r="A658" s="28"/>
      <c r="B658" s="97"/>
      <c r="C658" s="121" t="str">
        <f t="array" ref="C658">ifs(and(isblank($A658),isblank($B658)),"", not(iserror(vlookup($A658&amp;$B658,'3) Release_Label'!$D:$D&amp;'3) Release_Label'!$E:$E,1,0))),vlookup($A658&amp;$B658,{'3) Release_Label'!$D:$D&amp;'3) Release_Label'!$E:$E,'3) Release_Label'!$F:$F},2,0), or(and(not(isblank($B658)),$B658=$B657,$A658&lt;&gt;$A657),and(not(isblank($A658)),$A658=$A657,$B658&lt;&gt;$B657)),"ID LISTS UNALIGNED",and($A658&lt;&gt;"",countif('3) Release_Label'!$D:$D,$A658)=0),"NO UPC MATCH in Release_Label",and($B658&lt;&gt;"",countif('3) Release_Label'!$E:$E,$B658)=0),"NO CATALOG ID MATCH in Release_Label",iserror(vlookup($A658&amp;$B658,'3) Release_Label'!$D:$D&amp;'3) Release_Label'!$E:$E,1,0)),"NO UPC-CATALOG ID pair MATCH in Release_Label" )</f>
        <v/>
      </c>
      <c r="D658" s="121" t="str">
        <f t="array" ref="D658">ifs(and(isblank($A658),isblank($B658)),"", not(iserror(vlookup($A658&amp;$B658,'3) Release_Label'!$D:$D&amp;'3) Release_Label'!$E:$E,1,0))),vlookup($A658&amp;$B658,{'3) Release_Label'!$D:$D&amp;'3) Release_Label'!$E:$E,'3) Release_Label'!$H:$H},2,0), or(and(not(isblank($B658)),$B658=$B657,$A658&lt;&gt;$A657),and(not(isblank($A658)),$A658=$A657,$B658&lt;&gt;$B657)),"ID LISTS UNALIGNED",and($A658&lt;&gt;"",countif('3) Release_Label'!$D:$D,$A658)=0),"NO UPC MATCH in Release_Label",and($B658&lt;&gt;"",countif('3) Release_Label'!$E:$E,$B658)=0),"NO CATALOG ID MATCH in Release_Label",iserror(vlookup($A658&amp;$B658,'3) Release_Label'!$D:$D&amp;'3) Release_Label'!$E:$E,1,0)),"NO UPC-CATALOG ID pair MATCH in Release_Label" )</f>
        <v/>
      </c>
      <c r="E658" s="147" t="str">
        <f t="shared" si="1"/>
        <v/>
      </c>
      <c r="G658" s="97"/>
      <c r="H658" s="155"/>
      <c r="J658" s="92"/>
      <c r="K658" s="98"/>
      <c r="L658" s="92"/>
      <c r="N658" s="92"/>
      <c r="O658" s="92"/>
      <c r="P658" s="92"/>
    </row>
    <row r="659">
      <c r="A659" s="28"/>
      <c r="B659" s="97"/>
      <c r="C659" s="121" t="str">
        <f t="array" ref="C659">ifs(and(isblank($A659),isblank($B659)),"", not(iserror(vlookup($A659&amp;$B659,'3) Release_Label'!$D:$D&amp;'3) Release_Label'!$E:$E,1,0))),vlookup($A659&amp;$B659,{'3) Release_Label'!$D:$D&amp;'3) Release_Label'!$E:$E,'3) Release_Label'!$F:$F},2,0), or(and(not(isblank($B659)),$B659=$B658,$A659&lt;&gt;$A658),and(not(isblank($A659)),$A659=$A658,$B659&lt;&gt;$B658)),"ID LISTS UNALIGNED",and($A659&lt;&gt;"",countif('3) Release_Label'!$D:$D,$A659)=0),"NO UPC MATCH in Release_Label",and($B659&lt;&gt;"",countif('3) Release_Label'!$E:$E,$B659)=0),"NO CATALOG ID MATCH in Release_Label",iserror(vlookup($A659&amp;$B659,'3) Release_Label'!$D:$D&amp;'3) Release_Label'!$E:$E,1,0)),"NO UPC-CATALOG ID pair MATCH in Release_Label" )</f>
        <v/>
      </c>
      <c r="D659" s="121" t="str">
        <f t="array" ref="D659">ifs(and(isblank($A659),isblank($B659)),"", not(iserror(vlookup($A659&amp;$B659,'3) Release_Label'!$D:$D&amp;'3) Release_Label'!$E:$E,1,0))),vlookup($A659&amp;$B659,{'3) Release_Label'!$D:$D&amp;'3) Release_Label'!$E:$E,'3) Release_Label'!$H:$H},2,0), or(and(not(isblank($B659)),$B659=$B658,$A659&lt;&gt;$A658),and(not(isblank($A659)),$A659=$A658,$B659&lt;&gt;$B658)),"ID LISTS UNALIGNED",and($A659&lt;&gt;"",countif('3) Release_Label'!$D:$D,$A659)=0),"NO UPC MATCH in Release_Label",and($B659&lt;&gt;"",countif('3) Release_Label'!$E:$E,$B659)=0),"NO CATALOG ID MATCH in Release_Label",iserror(vlookup($A659&amp;$B659,'3) Release_Label'!$D:$D&amp;'3) Release_Label'!$E:$E,1,0)),"NO UPC-CATALOG ID pair MATCH in Release_Label" )</f>
        <v/>
      </c>
      <c r="E659" s="147" t="str">
        <f t="shared" si="1"/>
        <v/>
      </c>
      <c r="G659" s="97"/>
      <c r="H659" s="155"/>
      <c r="J659" s="92"/>
      <c r="K659" s="98"/>
      <c r="L659" s="92"/>
      <c r="N659" s="92"/>
      <c r="O659" s="92"/>
      <c r="P659" s="92"/>
    </row>
    <row r="660">
      <c r="A660" s="28"/>
      <c r="B660" s="97"/>
      <c r="C660" s="121" t="str">
        <f t="array" ref="C660">ifs(and(isblank($A660),isblank($B660)),"", not(iserror(vlookup($A660&amp;$B660,'3) Release_Label'!$D:$D&amp;'3) Release_Label'!$E:$E,1,0))),vlookup($A660&amp;$B660,{'3) Release_Label'!$D:$D&amp;'3) Release_Label'!$E:$E,'3) Release_Label'!$F:$F},2,0), or(and(not(isblank($B660)),$B660=$B659,$A660&lt;&gt;$A659),and(not(isblank($A660)),$A660=$A659,$B660&lt;&gt;$B659)),"ID LISTS UNALIGNED",and($A660&lt;&gt;"",countif('3) Release_Label'!$D:$D,$A660)=0),"NO UPC MATCH in Release_Label",and($B660&lt;&gt;"",countif('3) Release_Label'!$E:$E,$B660)=0),"NO CATALOG ID MATCH in Release_Label",iserror(vlookup($A660&amp;$B660,'3) Release_Label'!$D:$D&amp;'3) Release_Label'!$E:$E,1,0)),"NO UPC-CATALOG ID pair MATCH in Release_Label" )</f>
        <v/>
      </c>
      <c r="D660" s="121" t="str">
        <f t="array" ref="D660">ifs(and(isblank($A660),isblank($B660)),"", not(iserror(vlookup($A660&amp;$B660,'3) Release_Label'!$D:$D&amp;'3) Release_Label'!$E:$E,1,0))),vlookup($A660&amp;$B660,{'3) Release_Label'!$D:$D&amp;'3) Release_Label'!$E:$E,'3) Release_Label'!$H:$H},2,0), or(and(not(isblank($B660)),$B660=$B659,$A660&lt;&gt;$A659),and(not(isblank($A660)),$A660=$A659,$B660&lt;&gt;$B659)),"ID LISTS UNALIGNED",and($A660&lt;&gt;"",countif('3) Release_Label'!$D:$D,$A660)=0),"NO UPC MATCH in Release_Label",and($B660&lt;&gt;"",countif('3) Release_Label'!$E:$E,$B660)=0),"NO CATALOG ID MATCH in Release_Label",iserror(vlookup($A660&amp;$B660,'3) Release_Label'!$D:$D&amp;'3) Release_Label'!$E:$E,1,0)),"NO UPC-CATALOG ID pair MATCH in Release_Label" )</f>
        <v/>
      </c>
      <c r="E660" s="147" t="str">
        <f t="shared" si="1"/>
        <v/>
      </c>
      <c r="G660" s="97"/>
      <c r="H660" s="155"/>
      <c r="J660" s="92"/>
      <c r="K660" s="98"/>
      <c r="L660" s="92"/>
      <c r="N660" s="92"/>
      <c r="O660" s="92"/>
      <c r="P660" s="92"/>
    </row>
    <row r="661">
      <c r="A661" s="28"/>
      <c r="B661" s="97"/>
      <c r="C661" s="121" t="str">
        <f t="array" ref="C661">ifs(and(isblank($A661),isblank($B661)),"", not(iserror(vlookup($A661&amp;$B661,'3) Release_Label'!$D:$D&amp;'3) Release_Label'!$E:$E,1,0))),vlookup($A661&amp;$B661,{'3) Release_Label'!$D:$D&amp;'3) Release_Label'!$E:$E,'3) Release_Label'!$F:$F},2,0), or(and(not(isblank($B661)),$B661=$B660,$A661&lt;&gt;$A660),and(not(isblank($A661)),$A661=$A660,$B661&lt;&gt;$B660)),"ID LISTS UNALIGNED",and($A661&lt;&gt;"",countif('3) Release_Label'!$D:$D,$A661)=0),"NO UPC MATCH in Release_Label",and($B661&lt;&gt;"",countif('3) Release_Label'!$E:$E,$B661)=0),"NO CATALOG ID MATCH in Release_Label",iserror(vlookup($A661&amp;$B661,'3) Release_Label'!$D:$D&amp;'3) Release_Label'!$E:$E,1,0)),"NO UPC-CATALOG ID pair MATCH in Release_Label" )</f>
        <v/>
      </c>
      <c r="D661" s="121" t="str">
        <f t="array" ref="D661">ifs(and(isblank($A661),isblank($B661)),"", not(iserror(vlookup($A661&amp;$B661,'3) Release_Label'!$D:$D&amp;'3) Release_Label'!$E:$E,1,0))),vlookup($A661&amp;$B661,{'3) Release_Label'!$D:$D&amp;'3) Release_Label'!$E:$E,'3) Release_Label'!$H:$H},2,0), or(and(not(isblank($B661)),$B661=$B660,$A661&lt;&gt;$A660),and(not(isblank($A661)),$A661=$A660,$B661&lt;&gt;$B660)),"ID LISTS UNALIGNED",and($A661&lt;&gt;"",countif('3) Release_Label'!$D:$D,$A661)=0),"NO UPC MATCH in Release_Label",and($B661&lt;&gt;"",countif('3) Release_Label'!$E:$E,$B661)=0),"NO CATALOG ID MATCH in Release_Label",iserror(vlookup($A661&amp;$B661,'3) Release_Label'!$D:$D&amp;'3) Release_Label'!$E:$E,1,0)),"NO UPC-CATALOG ID pair MATCH in Release_Label" )</f>
        <v/>
      </c>
      <c r="E661" s="147" t="str">
        <f t="shared" si="1"/>
        <v/>
      </c>
      <c r="G661" s="97"/>
      <c r="H661" s="155"/>
      <c r="J661" s="92"/>
      <c r="K661" s="98"/>
      <c r="L661" s="92"/>
      <c r="N661" s="92"/>
      <c r="O661" s="92"/>
      <c r="P661" s="92"/>
    </row>
    <row r="662">
      <c r="A662" s="28"/>
      <c r="B662" s="97"/>
      <c r="C662" s="121" t="str">
        <f t="array" ref="C662">ifs(and(isblank($A662),isblank($B662)),"", not(iserror(vlookup($A662&amp;$B662,'3) Release_Label'!$D:$D&amp;'3) Release_Label'!$E:$E,1,0))),vlookup($A662&amp;$B662,{'3) Release_Label'!$D:$D&amp;'3) Release_Label'!$E:$E,'3) Release_Label'!$F:$F},2,0), or(and(not(isblank($B662)),$B662=$B661,$A662&lt;&gt;$A661),and(not(isblank($A662)),$A662=$A661,$B662&lt;&gt;$B661)),"ID LISTS UNALIGNED",and($A662&lt;&gt;"",countif('3) Release_Label'!$D:$D,$A662)=0),"NO UPC MATCH in Release_Label",and($B662&lt;&gt;"",countif('3) Release_Label'!$E:$E,$B662)=0),"NO CATALOG ID MATCH in Release_Label",iserror(vlookup($A662&amp;$B662,'3) Release_Label'!$D:$D&amp;'3) Release_Label'!$E:$E,1,0)),"NO UPC-CATALOG ID pair MATCH in Release_Label" )</f>
        <v/>
      </c>
      <c r="D662" s="121" t="str">
        <f t="array" ref="D662">ifs(and(isblank($A662),isblank($B662)),"", not(iserror(vlookup($A662&amp;$B662,'3) Release_Label'!$D:$D&amp;'3) Release_Label'!$E:$E,1,0))),vlookup($A662&amp;$B662,{'3) Release_Label'!$D:$D&amp;'3) Release_Label'!$E:$E,'3) Release_Label'!$H:$H},2,0), or(and(not(isblank($B662)),$B662=$B661,$A662&lt;&gt;$A661),and(not(isblank($A662)),$A662=$A661,$B662&lt;&gt;$B661)),"ID LISTS UNALIGNED",and($A662&lt;&gt;"",countif('3) Release_Label'!$D:$D,$A662)=0),"NO UPC MATCH in Release_Label",and($B662&lt;&gt;"",countif('3) Release_Label'!$E:$E,$B662)=0),"NO CATALOG ID MATCH in Release_Label",iserror(vlookup($A662&amp;$B662,'3) Release_Label'!$D:$D&amp;'3) Release_Label'!$E:$E,1,0)),"NO UPC-CATALOG ID pair MATCH in Release_Label" )</f>
        <v/>
      </c>
      <c r="E662" s="147" t="str">
        <f t="shared" si="1"/>
        <v/>
      </c>
      <c r="G662" s="97"/>
      <c r="H662" s="155"/>
      <c r="J662" s="92"/>
      <c r="K662" s="98"/>
      <c r="L662" s="92"/>
      <c r="N662" s="92"/>
      <c r="O662" s="92"/>
      <c r="P662" s="92"/>
    </row>
    <row r="663">
      <c r="A663" s="28"/>
      <c r="B663" s="97"/>
      <c r="C663" s="121" t="str">
        <f t="array" ref="C663">ifs(and(isblank($A663),isblank($B663)),"", not(iserror(vlookup($A663&amp;$B663,'3) Release_Label'!$D:$D&amp;'3) Release_Label'!$E:$E,1,0))),vlookup($A663&amp;$B663,{'3) Release_Label'!$D:$D&amp;'3) Release_Label'!$E:$E,'3) Release_Label'!$F:$F},2,0), or(and(not(isblank($B663)),$B663=$B662,$A663&lt;&gt;$A662),and(not(isblank($A663)),$A663=$A662,$B663&lt;&gt;$B662)),"ID LISTS UNALIGNED",and($A663&lt;&gt;"",countif('3) Release_Label'!$D:$D,$A663)=0),"NO UPC MATCH in Release_Label",and($B663&lt;&gt;"",countif('3) Release_Label'!$E:$E,$B663)=0),"NO CATALOG ID MATCH in Release_Label",iserror(vlookup($A663&amp;$B663,'3) Release_Label'!$D:$D&amp;'3) Release_Label'!$E:$E,1,0)),"NO UPC-CATALOG ID pair MATCH in Release_Label" )</f>
        <v/>
      </c>
      <c r="D663" s="121" t="str">
        <f t="array" ref="D663">ifs(and(isblank($A663),isblank($B663)),"", not(iserror(vlookup($A663&amp;$B663,'3) Release_Label'!$D:$D&amp;'3) Release_Label'!$E:$E,1,0))),vlookup($A663&amp;$B663,{'3) Release_Label'!$D:$D&amp;'3) Release_Label'!$E:$E,'3) Release_Label'!$H:$H},2,0), or(and(not(isblank($B663)),$B663=$B662,$A663&lt;&gt;$A662),and(not(isblank($A663)),$A663=$A662,$B663&lt;&gt;$B662)),"ID LISTS UNALIGNED",and($A663&lt;&gt;"",countif('3) Release_Label'!$D:$D,$A663)=0),"NO UPC MATCH in Release_Label",and($B663&lt;&gt;"",countif('3) Release_Label'!$E:$E,$B663)=0),"NO CATALOG ID MATCH in Release_Label",iserror(vlookup($A663&amp;$B663,'3) Release_Label'!$D:$D&amp;'3) Release_Label'!$E:$E,1,0)),"NO UPC-CATALOG ID pair MATCH in Release_Label" )</f>
        <v/>
      </c>
      <c r="E663" s="147" t="str">
        <f t="shared" si="1"/>
        <v/>
      </c>
      <c r="G663" s="97"/>
      <c r="H663" s="155"/>
      <c r="J663" s="92"/>
      <c r="K663" s="98"/>
      <c r="L663" s="92"/>
      <c r="N663" s="92"/>
      <c r="O663" s="92"/>
      <c r="P663" s="92"/>
    </row>
    <row r="664">
      <c r="A664" s="28"/>
      <c r="B664" s="97"/>
      <c r="C664" s="121" t="str">
        <f t="array" ref="C664">ifs(and(isblank($A664),isblank($B664)),"", not(iserror(vlookup($A664&amp;$B664,'3) Release_Label'!$D:$D&amp;'3) Release_Label'!$E:$E,1,0))),vlookup($A664&amp;$B664,{'3) Release_Label'!$D:$D&amp;'3) Release_Label'!$E:$E,'3) Release_Label'!$F:$F},2,0), or(and(not(isblank($B664)),$B664=$B663,$A664&lt;&gt;$A663),and(not(isblank($A664)),$A664=$A663,$B664&lt;&gt;$B663)),"ID LISTS UNALIGNED",and($A664&lt;&gt;"",countif('3) Release_Label'!$D:$D,$A664)=0),"NO UPC MATCH in Release_Label",and($B664&lt;&gt;"",countif('3) Release_Label'!$E:$E,$B664)=0),"NO CATALOG ID MATCH in Release_Label",iserror(vlookup($A664&amp;$B664,'3) Release_Label'!$D:$D&amp;'3) Release_Label'!$E:$E,1,0)),"NO UPC-CATALOG ID pair MATCH in Release_Label" )</f>
        <v/>
      </c>
      <c r="D664" s="121" t="str">
        <f t="array" ref="D664">ifs(and(isblank($A664),isblank($B664)),"", not(iserror(vlookup($A664&amp;$B664,'3) Release_Label'!$D:$D&amp;'3) Release_Label'!$E:$E,1,0))),vlookup($A664&amp;$B664,{'3) Release_Label'!$D:$D&amp;'3) Release_Label'!$E:$E,'3) Release_Label'!$H:$H},2,0), or(and(not(isblank($B664)),$B664=$B663,$A664&lt;&gt;$A663),and(not(isblank($A664)),$A664=$A663,$B664&lt;&gt;$B663)),"ID LISTS UNALIGNED",and($A664&lt;&gt;"",countif('3) Release_Label'!$D:$D,$A664)=0),"NO UPC MATCH in Release_Label",and($B664&lt;&gt;"",countif('3) Release_Label'!$E:$E,$B664)=0),"NO CATALOG ID MATCH in Release_Label",iserror(vlookup($A664&amp;$B664,'3) Release_Label'!$D:$D&amp;'3) Release_Label'!$E:$E,1,0)),"NO UPC-CATALOG ID pair MATCH in Release_Label" )</f>
        <v/>
      </c>
      <c r="E664" s="147" t="str">
        <f t="shared" si="1"/>
        <v/>
      </c>
      <c r="G664" s="97"/>
      <c r="H664" s="155"/>
      <c r="J664" s="92"/>
      <c r="K664" s="98"/>
      <c r="L664" s="92"/>
      <c r="N664" s="92"/>
      <c r="O664" s="92"/>
      <c r="P664" s="92"/>
    </row>
    <row r="665">
      <c r="A665" s="28"/>
      <c r="B665" s="97"/>
      <c r="C665" s="121" t="str">
        <f t="array" ref="C665">ifs(and(isblank($A665),isblank($B665)),"", not(iserror(vlookup($A665&amp;$B665,'3) Release_Label'!$D:$D&amp;'3) Release_Label'!$E:$E,1,0))),vlookup($A665&amp;$B665,{'3) Release_Label'!$D:$D&amp;'3) Release_Label'!$E:$E,'3) Release_Label'!$F:$F},2,0), or(and(not(isblank($B665)),$B665=$B664,$A665&lt;&gt;$A664),and(not(isblank($A665)),$A665=$A664,$B665&lt;&gt;$B664)),"ID LISTS UNALIGNED",and($A665&lt;&gt;"",countif('3) Release_Label'!$D:$D,$A665)=0),"NO UPC MATCH in Release_Label",and($B665&lt;&gt;"",countif('3) Release_Label'!$E:$E,$B665)=0),"NO CATALOG ID MATCH in Release_Label",iserror(vlookup($A665&amp;$B665,'3) Release_Label'!$D:$D&amp;'3) Release_Label'!$E:$E,1,0)),"NO UPC-CATALOG ID pair MATCH in Release_Label" )</f>
        <v/>
      </c>
      <c r="D665" s="121" t="str">
        <f t="array" ref="D665">ifs(and(isblank($A665),isblank($B665)),"", not(iserror(vlookup($A665&amp;$B665,'3) Release_Label'!$D:$D&amp;'3) Release_Label'!$E:$E,1,0))),vlookup($A665&amp;$B665,{'3) Release_Label'!$D:$D&amp;'3) Release_Label'!$E:$E,'3) Release_Label'!$H:$H},2,0), or(and(not(isblank($B665)),$B665=$B664,$A665&lt;&gt;$A664),and(not(isblank($A665)),$A665=$A664,$B665&lt;&gt;$B664)),"ID LISTS UNALIGNED",and($A665&lt;&gt;"",countif('3) Release_Label'!$D:$D,$A665)=0),"NO UPC MATCH in Release_Label",and($B665&lt;&gt;"",countif('3) Release_Label'!$E:$E,$B665)=0),"NO CATALOG ID MATCH in Release_Label",iserror(vlookup($A665&amp;$B665,'3) Release_Label'!$D:$D&amp;'3) Release_Label'!$E:$E,1,0)),"NO UPC-CATALOG ID pair MATCH in Release_Label" )</f>
        <v/>
      </c>
      <c r="E665" s="147" t="str">
        <f t="shared" si="1"/>
        <v/>
      </c>
      <c r="G665" s="97"/>
      <c r="H665" s="155"/>
      <c r="J665" s="92"/>
      <c r="K665" s="98"/>
      <c r="L665" s="92"/>
      <c r="N665" s="92"/>
      <c r="O665" s="92"/>
      <c r="P665" s="92"/>
    </row>
    <row r="666">
      <c r="A666" s="28"/>
      <c r="B666" s="97"/>
      <c r="C666" s="121" t="str">
        <f t="array" ref="C666">ifs(and(isblank($A666),isblank($B666)),"", not(iserror(vlookup($A666&amp;$B666,'3) Release_Label'!$D:$D&amp;'3) Release_Label'!$E:$E,1,0))),vlookup($A666&amp;$B666,{'3) Release_Label'!$D:$D&amp;'3) Release_Label'!$E:$E,'3) Release_Label'!$F:$F},2,0), or(and(not(isblank($B666)),$B666=$B665,$A666&lt;&gt;$A665),and(not(isblank($A666)),$A666=$A665,$B666&lt;&gt;$B665)),"ID LISTS UNALIGNED",and($A666&lt;&gt;"",countif('3) Release_Label'!$D:$D,$A666)=0),"NO UPC MATCH in Release_Label",and($B666&lt;&gt;"",countif('3) Release_Label'!$E:$E,$B666)=0),"NO CATALOG ID MATCH in Release_Label",iserror(vlookup($A666&amp;$B666,'3) Release_Label'!$D:$D&amp;'3) Release_Label'!$E:$E,1,0)),"NO UPC-CATALOG ID pair MATCH in Release_Label" )</f>
        <v/>
      </c>
      <c r="D666" s="121" t="str">
        <f t="array" ref="D666">ifs(and(isblank($A666),isblank($B666)),"", not(iserror(vlookup($A666&amp;$B666,'3) Release_Label'!$D:$D&amp;'3) Release_Label'!$E:$E,1,0))),vlookup($A666&amp;$B666,{'3) Release_Label'!$D:$D&amp;'3) Release_Label'!$E:$E,'3) Release_Label'!$H:$H},2,0), or(and(not(isblank($B666)),$B666=$B665,$A666&lt;&gt;$A665),and(not(isblank($A666)),$A666=$A665,$B666&lt;&gt;$B665)),"ID LISTS UNALIGNED",and($A666&lt;&gt;"",countif('3) Release_Label'!$D:$D,$A666)=0),"NO UPC MATCH in Release_Label",and($B666&lt;&gt;"",countif('3) Release_Label'!$E:$E,$B666)=0),"NO CATALOG ID MATCH in Release_Label",iserror(vlookup($A666&amp;$B666,'3) Release_Label'!$D:$D&amp;'3) Release_Label'!$E:$E,1,0)),"NO UPC-CATALOG ID pair MATCH in Release_Label" )</f>
        <v/>
      </c>
      <c r="E666" s="147" t="str">
        <f t="shared" si="1"/>
        <v/>
      </c>
      <c r="G666" s="97"/>
      <c r="H666" s="155"/>
      <c r="J666" s="92"/>
      <c r="K666" s="98"/>
      <c r="L666" s="92"/>
      <c r="N666" s="92"/>
      <c r="O666" s="92"/>
      <c r="P666" s="92"/>
    </row>
    <row r="667">
      <c r="A667" s="28"/>
      <c r="B667" s="97"/>
      <c r="C667" s="121" t="str">
        <f t="array" ref="C667">ifs(and(isblank($A667),isblank($B667)),"", not(iserror(vlookup($A667&amp;$B667,'3) Release_Label'!$D:$D&amp;'3) Release_Label'!$E:$E,1,0))),vlookup($A667&amp;$B667,{'3) Release_Label'!$D:$D&amp;'3) Release_Label'!$E:$E,'3) Release_Label'!$F:$F},2,0), or(and(not(isblank($B667)),$B667=$B666,$A667&lt;&gt;$A666),and(not(isblank($A667)),$A667=$A666,$B667&lt;&gt;$B666)),"ID LISTS UNALIGNED",and($A667&lt;&gt;"",countif('3) Release_Label'!$D:$D,$A667)=0),"NO UPC MATCH in Release_Label",and($B667&lt;&gt;"",countif('3) Release_Label'!$E:$E,$B667)=0),"NO CATALOG ID MATCH in Release_Label",iserror(vlookup($A667&amp;$B667,'3) Release_Label'!$D:$D&amp;'3) Release_Label'!$E:$E,1,0)),"NO UPC-CATALOG ID pair MATCH in Release_Label" )</f>
        <v/>
      </c>
      <c r="D667" s="121" t="str">
        <f t="array" ref="D667">ifs(and(isblank($A667),isblank($B667)),"", not(iserror(vlookup($A667&amp;$B667,'3) Release_Label'!$D:$D&amp;'3) Release_Label'!$E:$E,1,0))),vlookup($A667&amp;$B667,{'3) Release_Label'!$D:$D&amp;'3) Release_Label'!$E:$E,'3) Release_Label'!$H:$H},2,0), or(and(not(isblank($B667)),$B667=$B666,$A667&lt;&gt;$A666),and(not(isblank($A667)),$A667=$A666,$B667&lt;&gt;$B666)),"ID LISTS UNALIGNED",and($A667&lt;&gt;"",countif('3) Release_Label'!$D:$D,$A667)=0),"NO UPC MATCH in Release_Label",and($B667&lt;&gt;"",countif('3) Release_Label'!$E:$E,$B667)=0),"NO CATALOG ID MATCH in Release_Label",iserror(vlookup($A667&amp;$B667,'3) Release_Label'!$D:$D&amp;'3) Release_Label'!$E:$E,1,0)),"NO UPC-CATALOG ID pair MATCH in Release_Label" )</f>
        <v/>
      </c>
      <c r="E667" s="147" t="str">
        <f t="shared" si="1"/>
        <v/>
      </c>
      <c r="G667" s="97"/>
      <c r="H667" s="155"/>
      <c r="J667" s="92"/>
      <c r="K667" s="98"/>
      <c r="L667" s="92"/>
      <c r="N667" s="92"/>
      <c r="O667" s="92"/>
      <c r="P667" s="92"/>
    </row>
    <row r="668">
      <c r="A668" s="28"/>
      <c r="B668" s="97"/>
      <c r="C668" s="121" t="str">
        <f t="array" ref="C668">ifs(and(isblank($A668),isblank($B668)),"", not(iserror(vlookup($A668&amp;$B668,'3) Release_Label'!$D:$D&amp;'3) Release_Label'!$E:$E,1,0))),vlookup($A668&amp;$B668,{'3) Release_Label'!$D:$D&amp;'3) Release_Label'!$E:$E,'3) Release_Label'!$F:$F},2,0), or(and(not(isblank($B668)),$B668=$B667,$A668&lt;&gt;$A667),and(not(isblank($A668)),$A668=$A667,$B668&lt;&gt;$B667)),"ID LISTS UNALIGNED",and($A668&lt;&gt;"",countif('3) Release_Label'!$D:$D,$A668)=0),"NO UPC MATCH in Release_Label",and($B668&lt;&gt;"",countif('3) Release_Label'!$E:$E,$B668)=0),"NO CATALOG ID MATCH in Release_Label",iserror(vlookup($A668&amp;$B668,'3) Release_Label'!$D:$D&amp;'3) Release_Label'!$E:$E,1,0)),"NO UPC-CATALOG ID pair MATCH in Release_Label" )</f>
        <v/>
      </c>
      <c r="D668" s="121" t="str">
        <f t="array" ref="D668">ifs(and(isblank($A668),isblank($B668)),"", not(iserror(vlookup($A668&amp;$B668,'3) Release_Label'!$D:$D&amp;'3) Release_Label'!$E:$E,1,0))),vlookup($A668&amp;$B668,{'3) Release_Label'!$D:$D&amp;'3) Release_Label'!$E:$E,'3) Release_Label'!$H:$H},2,0), or(and(not(isblank($B668)),$B668=$B667,$A668&lt;&gt;$A667),and(not(isblank($A668)),$A668=$A667,$B668&lt;&gt;$B667)),"ID LISTS UNALIGNED",and($A668&lt;&gt;"",countif('3) Release_Label'!$D:$D,$A668)=0),"NO UPC MATCH in Release_Label",and($B668&lt;&gt;"",countif('3) Release_Label'!$E:$E,$B668)=0),"NO CATALOG ID MATCH in Release_Label",iserror(vlookup($A668&amp;$B668,'3) Release_Label'!$D:$D&amp;'3) Release_Label'!$E:$E,1,0)),"NO UPC-CATALOG ID pair MATCH in Release_Label" )</f>
        <v/>
      </c>
      <c r="E668" s="147" t="str">
        <f t="shared" si="1"/>
        <v/>
      </c>
      <c r="G668" s="97"/>
      <c r="H668" s="155"/>
      <c r="J668" s="92"/>
      <c r="K668" s="98"/>
      <c r="L668" s="92"/>
      <c r="N668" s="92"/>
      <c r="O668" s="92"/>
      <c r="P668" s="92"/>
    </row>
    <row r="669">
      <c r="A669" s="28"/>
      <c r="B669" s="97"/>
      <c r="C669" s="121" t="str">
        <f t="array" ref="C669">ifs(and(isblank($A669),isblank($B669)),"", not(iserror(vlookup($A669&amp;$B669,'3) Release_Label'!$D:$D&amp;'3) Release_Label'!$E:$E,1,0))),vlookup($A669&amp;$B669,{'3) Release_Label'!$D:$D&amp;'3) Release_Label'!$E:$E,'3) Release_Label'!$F:$F},2,0), or(and(not(isblank($B669)),$B669=$B668,$A669&lt;&gt;$A668),and(not(isblank($A669)),$A669=$A668,$B669&lt;&gt;$B668)),"ID LISTS UNALIGNED",and($A669&lt;&gt;"",countif('3) Release_Label'!$D:$D,$A669)=0),"NO UPC MATCH in Release_Label",and($B669&lt;&gt;"",countif('3) Release_Label'!$E:$E,$B669)=0),"NO CATALOG ID MATCH in Release_Label",iserror(vlookup($A669&amp;$B669,'3) Release_Label'!$D:$D&amp;'3) Release_Label'!$E:$E,1,0)),"NO UPC-CATALOG ID pair MATCH in Release_Label" )</f>
        <v/>
      </c>
      <c r="D669" s="121" t="str">
        <f t="array" ref="D669">ifs(and(isblank($A669),isblank($B669)),"", not(iserror(vlookup($A669&amp;$B669,'3) Release_Label'!$D:$D&amp;'3) Release_Label'!$E:$E,1,0))),vlookup($A669&amp;$B669,{'3) Release_Label'!$D:$D&amp;'3) Release_Label'!$E:$E,'3) Release_Label'!$H:$H},2,0), or(and(not(isblank($B669)),$B669=$B668,$A669&lt;&gt;$A668),and(not(isblank($A669)),$A669=$A668,$B669&lt;&gt;$B668)),"ID LISTS UNALIGNED",and($A669&lt;&gt;"",countif('3) Release_Label'!$D:$D,$A669)=0),"NO UPC MATCH in Release_Label",and($B669&lt;&gt;"",countif('3) Release_Label'!$E:$E,$B669)=0),"NO CATALOG ID MATCH in Release_Label",iserror(vlookup($A669&amp;$B669,'3) Release_Label'!$D:$D&amp;'3) Release_Label'!$E:$E,1,0)),"NO UPC-CATALOG ID pair MATCH in Release_Label" )</f>
        <v/>
      </c>
      <c r="E669" s="147" t="str">
        <f t="shared" si="1"/>
        <v/>
      </c>
      <c r="G669" s="97"/>
      <c r="H669" s="155"/>
      <c r="J669" s="92"/>
      <c r="K669" s="98"/>
      <c r="L669" s="92"/>
      <c r="N669" s="92"/>
      <c r="O669" s="92"/>
      <c r="P669" s="92"/>
    </row>
    <row r="670">
      <c r="A670" s="28"/>
      <c r="B670" s="97"/>
      <c r="C670" s="121" t="str">
        <f t="array" ref="C670">ifs(and(isblank($A670),isblank($B670)),"", not(iserror(vlookup($A670&amp;$B670,'3) Release_Label'!$D:$D&amp;'3) Release_Label'!$E:$E,1,0))),vlookup($A670&amp;$B670,{'3) Release_Label'!$D:$D&amp;'3) Release_Label'!$E:$E,'3) Release_Label'!$F:$F},2,0), or(and(not(isblank($B670)),$B670=$B669,$A670&lt;&gt;$A669),and(not(isblank($A670)),$A670=$A669,$B670&lt;&gt;$B669)),"ID LISTS UNALIGNED",and($A670&lt;&gt;"",countif('3) Release_Label'!$D:$D,$A670)=0),"NO UPC MATCH in Release_Label",and($B670&lt;&gt;"",countif('3) Release_Label'!$E:$E,$B670)=0),"NO CATALOG ID MATCH in Release_Label",iserror(vlookup($A670&amp;$B670,'3) Release_Label'!$D:$D&amp;'3) Release_Label'!$E:$E,1,0)),"NO UPC-CATALOG ID pair MATCH in Release_Label" )</f>
        <v/>
      </c>
      <c r="D670" s="121" t="str">
        <f t="array" ref="D670">ifs(and(isblank($A670),isblank($B670)),"", not(iserror(vlookup($A670&amp;$B670,'3) Release_Label'!$D:$D&amp;'3) Release_Label'!$E:$E,1,0))),vlookup($A670&amp;$B670,{'3) Release_Label'!$D:$D&amp;'3) Release_Label'!$E:$E,'3) Release_Label'!$H:$H},2,0), or(and(not(isblank($B670)),$B670=$B669,$A670&lt;&gt;$A669),and(not(isblank($A670)),$A670=$A669,$B670&lt;&gt;$B669)),"ID LISTS UNALIGNED",and($A670&lt;&gt;"",countif('3) Release_Label'!$D:$D,$A670)=0),"NO UPC MATCH in Release_Label",and($B670&lt;&gt;"",countif('3) Release_Label'!$E:$E,$B670)=0),"NO CATALOG ID MATCH in Release_Label",iserror(vlookup($A670&amp;$B670,'3) Release_Label'!$D:$D&amp;'3) Release_Label'!$E:$E,1,0)),"NO UPC-CATALOG ID pair MATCH in Release_Label" )</f>
        <v/>
      </c>
      <c r="E670" s="147" t="str">
        <f t="shared" si="1"/>
        <v/>
      </c>
      <c r="G670" s="97"/>
      <c r="H670" s="155"/>
      <c r="J670" s="92"/>
      <c r="K670" s="98"/>
      <c r="L670" s="92"/>
      <c r="N670" s="92"/>
      <c r="O670" s="92"/>
      <c r="P670" s="92"/>
    </row>
    <row r="671">
      <c r="A671" s="28"/>
      <c r="B671" s="97"/>
      <c r="C671" s="121" t="str">
        <f t="array" ref="C671">ifs(and(isblank($A671),isblank($B671)),"", not(iserror(vlookup($A671&amp;$B671,'3) Release_Label'!$D:$D&amp;'3) Release_Label'!$E:$E,1,0))),vlookup($A671&amp;$B671,{'3) Release_Label'!$D:$D&amp;'3) Release_Label'!$E:$E,'3) Release_Label'!$F:$F},2,0), or(and(not(isblank($B671)),$B671=$B670,$A671&lt;&gt;$A670),and(not(isblank($A671)),$A671=$A670,$B671&lt;&gt;$B670)),"ID LISTS UNALIGNED",and($A671&lt;&gt;"",countif('3) Release_Label'!$D:$D,$A671)=0),"NO UPC MATCH in Release_Label",and($B671&lt;&gt;"",countif('3) Release_Label'!$E:$E,$B671)=0),"NO CATALOG ID MATCH in Release_Label",iserror(vlookup($A671&amp;$B671,'3) Release_Label'!$D:$D&amp;'3) Release_Label'!$E:$E,1,0)),"NO UPC-CATALOG ID pair MATCH in Release_Label" )</f>
        <v/>
      </c>
      <c r="D671" s="121" t="str">
        <f t="array" ref="D671">ifs(and(isblank($A671),isblank($B671)),"", not(iserror(vlookup($A671&amp;$B671,'3) Release_Label'!$D:$D&amp;'3) Release_Label'!$E:$E,1,0))),vlookup($A671&amp;$B671,{'3) Release_Label'!$D:$D&amp;'3) Release_Label'!$E:$E,'3) Release_Label'!$H:$H},2,0), or(and(not(isblank($B671)),$B671=$B670,$A671&lt;&gt;$A670),and(not(isblank($A671)),$A671=$A670,$B671&lt;&gt;$B670)),"ID LISTS UNALIGNED",and($A671&lt;&gt;"",countif('3) Release_Label'!$D:$D,$A671)=0),"NO UPC MATCH in Release_Label",and($B671&lt;&gt;"",countif('3) Release_Label'!$E:$E,$B671)=0),"NO CATALOG ID MATCH in Release_Label",iserror(vlookup($A671&amp;$B671,'3) Release_Label'!$D:$D&amp;'3) Release_Label'!$E:$E,1,0)),"NO UPC-CATALOG ID pair MATCH in Release_Label" )</f>
        <v/>
      </c>
      <c r="E671" s="147" t="str">
        <f t="shared" si="1"/>
        <v/>
      </c>
      <c r="G671" s="97"/>
      <c r="H671" s="155"/>
      <c r="J671" s="92"/>
      <c r="K671" s="98"/>
      <c r="L671" s="92"/>
      <c r="N671" s="92"/>
      <c r="O671" s="92"/>
      <c r="P671" s="92"/>
    </row>
    <row r="672">
      <c r="A672" s="28"/>
      <c r="B672" s="97"/>
      <c r="C672" s="121" t="str">
        <f t="array" ref="C672">ifs(and(isblank($A672),isblank($B672)),"", not(iserror(vlookup($A672&amp;$B672,'3) Release_Label'!$D:$D&amp;'3) Release_Label'!$E:$E,1,0))),vlookup($A672&amp;$B672,{'3) Release_Label'!$D:$D&amp;'3) Release_Label'!$E:$E,'3) Release_Label'!$F:$F},2,0), or(and(not(isblank($B672)),$B672=$B671,$A672&lt;&gt;$A671),and(not(isblank($A672)),$A672=$A671,$B672&lt;&gt;$B671)),"ID LISTS UNALIGNED",and($A672&lt;&gt;"",countif('3) Release_Label'!$D:$D,$A672)=0),"NO UPC MATCH in Release_Label",and($B672&lt;&gt;"",countif('3) Release_Label'!$E:$E,$B672)=0),"NO CATALOG ID MATCH in Release_Label",iserror(vlookup($A672&amp;$B672,'3) Release_Label'!$D:$D&amp;'3) Release_Label'!$E:$E,1,0)),"NO UPC-CATALOG ID pair MATCH in Release_Label" )</f>
        <v/>
      </c>
      <c r="D672" s="121" t="str">
        <f t="array" ref="D672">ifs(and(isblank($A672),isblank($B672)),"", not(iserror(vlookup($A672&amp;$B672,'3) Release_Label'!$D:$D&amp;'3) Release_Label'!$E:$E,1,0))),vlookup($A672&amp;$B672,{'3) Release_Label'!$D:$D&amp;'3) Release_Label'!$E:$E,'3) Release_Label'!$H:$H},2,0), or(and(not(isblank($B672)),$B672=$B671,$A672&lt;&gt;$A671),and(not(isblank($A672)),$A672=$A671,$B672&lt;&gt;$B671)),"ID LISTS UNALIGNED",and($A672&lt;&gt;"",countif('3) Release_Label'!$D:$D,$A672)=0),"NO UPC MATCH in Release_Label",and($B672&lt;&gt;"",countif('3) Release_Label'!$E:$E,$B672)=0),"NO CATALOG ID MATCH in Release_Label",iserror(vlookup($A672&amp;$B672,'3) Release_Label'!$D:$D&amp;'3) Release_Label'!$E:$E,1,0)),"NO UPC-CATALOG ID pair MATCH in Release_Label" )</f>
        <v/>
      </c>
      <c r="E672" s="147" t="str">
        <f t="shared" si="1"/>
        <v/>
      </c>
      <c r="G672" s="97"/>
      <c r="H672" s="155"/>
      <c r="J672" s="92"/>
      <c r="K672" s="98"/>
      <c r="L672" s="92"/>
      <c r="N672" s="92"/>
      <c r="O672" s="92"/>
      <c r="P672" s="92"/>
    </row>
    <row r="673">
      <c r="A673" s="28"/>
      <c r="B673" s="97"/>
      <c r="C673" s="121" t="str">
        <f t="array" ref="C673">ifs(and(isblank($A673),isblank($B673)),"", not(iserror(vlookup($A673&amp;$B673,'3) Release_Label'!$D:$D&amp;'3) Release_Label'!$E:$E,1,0))),vlookup($A673&amp;$B673,{'3) Release_Label'!$D:$D&amp;'3) Release_Label'!$E:$E,'3) Release_Label'!$F:$F},2,0), or(and(not(isblank($B673)),$B673=$B672,$A673&lt;&gt;$A672),and(not(isblank($A673)),$A673=$A672,$B673&lt;&gt;$B672)),"ID LISTS UNALIGNED",and($A673&lt;&gt;"",countif('3) Release_Label'!$D:$D,$A673)=0),"NO UPC MATCH in Release_Label",and($B673&lt;&gt;"",countif('3) Release_Label'!$E:$E,$B673)=0),"NO CATALOG ID MATCH in Release_Label",iserror(vlookup($A673&amp;$B673,'3) Release_Label'!$D:$D&amp;'3) Release_Label'!$E:$E,1,0)),"NO UPC-CATALOG ID pair MATCH in Release_Label" )</f>
        <v/>
      </c>
      <c r="D673" s="121" t="str">
        <f t="array" ref="D673">ifs(and(isblank($A673),isblank($B673)),"", not(iserror(vlookup($A673&amp;$B673,'3) Release_Label'!$D:$D&amp;'3) Release_Label'!$E:$E,1,0))),vlookup($A673&amp;$B673,{'3) Release_Label'!$D:$D&amp;'3) Release_Label'!$E:$E,'3) Release_Label'!$H:$H},2,0), or(and(not(isblank($B673)),$B673=$B672,$A673&lt;&gt;$A672),and(not(isblank($A673)),$A673=$A672,$B673&lt;&gt;$B672)),"ID LISTS UNALIGNED",and($A673&lt;&gt;"",countif('3) Release_Label'!$D:$D,$A673)=0),"NO UPC MATCH in Release_Label",and($B673&lt;&gt;"",countif('3) Release_Label'!$E:$E,$B673)=0),"NO CATALOG ID MATCH in Release_Label",iserror(vlookup($A673&amp;$B673,'3) Release_Label'!$D:$D&amp;'3) Release_Label'!$E:$E,1,0)),"NO UPC-CATALOG ID pair MATCH in Release_Label" )</f>
        <v/>
      </c>
      <c r="E673" s="147" t="str">
        <f t="shared" si="1"/>
        <v/>
      </c>
      <c r="G673" s="97"/>
      <c r="H673" s="155"/>
      <c r="J673" s="92"/>
      <c r="K673" s="98"/>
      <c r="L673" s="92"/>
      <c r="N673" s="92"/>
      <c r="O673" s="92"/>
      <c r="P673" s="92"/>
    </row>
    <row r="674">
      <c r="A674" s="28"/>
      <c r="B674" s="97"/>
      <c r="C674" s="121" t="str">
        <f t="array" ref="C674">ifs(and(isblank($A674),isblank($B674)),"", not(iserror(vlookup($A674&amp;$B674,'3) Release_Label'!$D:$D&amp;'3) Release_Label'!$E:$E,1,0))),vlookup($A674&amp;$B674,{'3) Release_Label'!$D:$D&amp;'3) Release_Label'!$E:$E,'3) Release_Label'!$F:$F},2,0), or(and(not(isblank($B674)),$B674=$B673,$A674&lt;&gt;$A673),and(not(isblank($A674)),$A674=$A673,$B674&lt;&gt;$B673)),"ID LISTS UNALIGNED",and($A674&lt;&gt;"",countif('3) Release_Label'!$D:$D,$A674)=0),"NO UPC MATCH in Release_Label",and($B674&lt;&gt;"",countif('3) Release_Label'!$E:$E,$B674)=0),"NO CATALOG ID MATCH in Release_Label",iserror(vlookup($A674&amp;$B674,'3) Release_Label'!$D:$D&amp;'3) Release_Label'!$E:$E,1,0)),"NO UPC-CATALOG ID pair MATCH in Release_Label" )</f>
        <v/>
      </c>
      <c r="D674" s="121" t="str">
        <f t="array" ref="D674">ifs(and(isblank($A674),isblank($B674)),"", not(iserror(vlookup($A674&amp;$B674,'3) Release_Label'!$D:$D&amp;'3) Release_Label'!$E:$E,1,0))),vlookup($A674&amp;$B674,{'3) Release_Label'!$D:$D&amp;'3) Release_Label'!$E:$E,'3) Release_Label'!$H:$H},2,0), or(and(not(isblank($B674)),$B674=$B673,$A674&lt;&gt;$A673),and(not(isblank($A674)),$A674=$A673,$B674&lt;&gt;$B673)),"ID LISTS UNALIGNED",and($A674&lt;&gt;"",countif('3) Release_Label'!$D:$D,$A674)=0),"NO UPC MATCH in Release_Label",and($B674&lt;&gt;"",countif('3) Release_Label'!$E:$E,$B674)=0),"NO CATALOG ID MATCH in Release_Label",iserror(vlookup($A674&amp;$B674,'3) Release_Label'!$D:$D&amp;'3) Release_Label'!$E:$E,1,0)),"NO UPC-CATALOG ID pair MATCH in Release_Label" )</f>
        <v/>
      </c>
      <c r="E674" s="147" t="str">
        <f t="shared" si="1"/>
        <v/>
      </c>
      <c r="G674" s="97"/>
      <c r="H674" s="155"/>
      <c r="J674" s="92"/>
      <c r="K674" s="98"/>
      <c r="L674" s="92"/>
      <c r="N674" s="92"/>
      <c r="O674" s="92"/>
      <c r="P674" s="92"/>
    </row>
    <row r="675">
      <c r="A675" s="28"/>
      <c r="B675" s="97"/>
      <c r="C675" s="121" t="str">
        <f t="array" ref="C675">ifs(and(isblank($A675),isblank($B675)),"", not(iserror(vlookup($A675&amp;$B675,'3) Release_Label'!$D:$D&amp;'3) Release_Label'!$E:$E,1,0))),vlookup($A675&amp;$B675,{'3) Release_Label'!$D:$D&amp;'3) Release_Label'!$E:$E,'3) Release_Label'!$F:$F},2,0), or(and(not(isblank($B675)),$B675=$B674,$A675&lt;&gt;$A674),and(not(isblank($A675)),$A675=$A674,$B675&lt;&gt;$B674)),"ID LISTS UNALIGNED",and($A675&lt;&gt;"",countif('3) Release_Label'!$D:$D,$A675)=0),"NO UPC MATCH in Release_Label",and($B675&lt;&gt;"",countif('3) Release_Label'!$E:$E,$B675)=0),"NO CATALOG ID MATCH in Release_Label",iserror(vlookup($A675&amp;$B675,'3) Release_Label'!$D:$D&amp;'3) Release_Label'!$E:$E,1,0)),"NO UPC-CATALOG ID pair MATCH in Release_Label" )</f>
        <v/>
      </c>
      <c r="D675" s="121" t="str">
        <f t="array" ref="D675">ifs(and(isblank($A675),isblank($B675)),"", not(iserror(vlookup($A675&amp;$B675,'3) Release_Label'!$D:$D&amp;'3) Release_Label'!$E:$E,1,0))),vlookup($A675&amp;$B675,{'3) Release_Label'!$D:$D&amp;'3) Release_Label'!$E:$E,'3) Release_Label'!$H:$H},2,0), or(and(not(isblank($B675)),$B675=$B674,$A675&lt;&gt;$A674),and(not(isblank($A675)),$A675=$A674,$B675&lt;&gt;$B674)),"ID LISTS UNALIGNED",and($A675&lt;&gt;"",countif('3) Release_Label'!$D:$D,$A675)=0),"NO UPC MATCH in Release_Label",and($B675&lt;&gt;"",countif('3) Release_Label'!$E:$E,$B675)=0),"NO CATALOG ID MATCH in Release_Label",iserror(vlookup($A675&amp;$B675,'3) Release_Label'!$D:$D&amp;'3) Release_Label'!$E:$E,1,0)),"NO UPC-CATALOG ID pair MATCH in Release_Label" )</f>
        <v/>
      </c>
      <c r="E675" s="147" t="str">
        <f t="shared" si="1"/>
        <v/>
      </c>
      <c r="G675" s="97"/>
      <c r="H675" s="155"/>
      <c r="J675" s="92"/>
      <c r="K675" s="98"/>
      <c r="L675" s="92"/>
      <c r="N675" s="92"/>
      <c r="O675" s="92"/>
      <c r="P675" s="92"/>
    </row>
    <row r="676">
      <c r="A676" s="28"/>
      <c r="B676" s="97"/>
      <c r="C676" s="121" t="str">
        <f t="array" ref="C676">ifs(and(isblank($A676),isblank($B676)),"", not(iserror(vlookup($A676&amp;$B676,'3) Release_Label'!$D:$D&amp;'3) Release_Label'!$E:$E,1,0))),vlookup($A676&amp;$B676,{'3) Release_Label'!$D:$D&amp;'3) Release_Label'!$E:$E,'3) Release_Label'!$F:$F},2,0), or(and(not(isblank($B676)),$B676=$B675,$A676&lt;&gt;$A675),and(not(isblank($A676)),$A676=$A675,$B676&lt;&gt;$B675)),"ID LISTS UNALIGNED",and($A676&lt;&gt;"",countif('3) Release_Label'!$D:$D,$A676)=0),"NO UPC MATCH in Release_Label",and($B676&lt;&gt;"",countif('3) Release_Label'!$E:$E,$B676)=0),"NO CATALOG ID MATCH in Release_Label",iserror(vlookup($A676&amp;$B676,'3) Release_Label'!$D:$D&amp;'3) Release_Label'!$E:$E,1,0)),"NO UPC-CATALOG ID pair MATCH in Release_Label" )</f>
        <v/>
      </c>
      <c r="D676" s="121" t="str">
        <f t="array" ref="D676">ifs(and(isblank($A676),isblank($B676)),"", not(iserror(vlookup($A676&amp;$B676,'3) Release_Label'!$D:$D&amp;'3) Release_Label'!$E:$E,1,0))),vlookup($A676&amp;$B676,{'3) Release_Label'!$D:$D&amp;'3) Release_Label'!$E:$E,'3) Release_Label'!$H:$H},2,0), or(and(not(isblank($B676)),$B676=$B675,$A676&lt;&gt;$A675),and(not(isblank($A676)),$A676=$A675,$B676&lt;&gt;$B675)),"ID LISTS UNALIGNED",and($A676&lt;&gt;"",countif('3) Release_Label'!$D:$D,$A676)=0),"NO UPC MATCH in Release_Label",and($B676&lt;&gt;"",countif('3) Release_Label'!$E:$E,$B676)=0),"NO CATALOG ID MATCH in Release_Label",iserror(vlookup($A676&amp;$B676,'3) Release_Label'!$D:$D&amp;'3) Release_Label'!$E:$E,1,0)),"NO UPC-CATALOG ID pair MATCH in Release_Label" )</f>
        <v/>
      </c>
      <c r="E676" s="147" t="str">
        <f t="shared" si="1"/>
        <v/>
      </c>
      <c r="G676" s="97"/>
      <c r="H676" s="155"/>
      <c r="J676" s="92"/>
      <c r="K676" s="98"/>
      <c r="L676" s="92"/>
      <c r="N676" s="92"/>
      <c r="O676" s="92"/>
      <c r="P676" s="92"/>
    </row>
    <row r="677">
      <c r="A677" s="28"/>
      <c r="B677" s="97"/>
      <c r="C677" s="121" t="str">
        <f t="array" ref="C677">ifs(and(isblank($A677),isblank($B677)),"", not(iserror(vlookup($A677&amp;$B677,'3) Release_Label'!$D:$D&amp;'3) Release_Label'!$E:$E,1,0))),vlookup($A677&amp;$B677,{'3) Release_Label'!$D:$D&amp;'3) Release_Label'!$E:$E,'3) Release_Label'!$F:$F},2,0), or(and(not(isblank($B677)),$B677=$B676,$A677&lt;&gt;$A676),and(not(isblank($A677)),$A677=$A676,$B677&lt;&gt;$B676)),"ID LISTS UNALIGNED",and($A677&lt;&gt;"",countif('3) Release_Label'!$D:$D,$A677)=0),"NO UPC MATCH in Release_Label",and($B677&lt;&gt;"",countif('3) Release_Label'!$E:$E,$B677)=0),"NO CATALOG ID MATCH in Release_Label",iserror(vlookup($A677&amp;$B677,'3) Release_Label'!$D:$D&amp;'3) Release_Label'!$E:$E,1,0)),"NO UPC-CATALOG ID pair MATCH in Release_Label" )</f>
        <v/>
      </c>
      <c r="D677" s="121" t="str">
        <f t="array" ref="D677">ifs(and(isblank($A677),isblank($B677)),"", not(iserror(vlookup($A677&amp;$B677,'3) Release_Label'!$D:$D&amp;'3) Release_Label'!$E:$E,1,0))),vlookup($A677&amp;$B677,{'3) Release_Label'!$D:$D&amp;'3) Release_Label'!$E:$E,'3) Release_Label'!$H:$H},2,0), or(and(not(isblank($B677)),$B677=$B676,$A677&lt;&gt;$A676),and(not(isblank($A677)),$A677=$A676,$B677&lt;&gt;$B676)),"ID LISTS UNALIGNED",and($A677&lt;&gt;"",countif('3) Release_Label'!$D:$D,$A677)=0),"NO UPC MATCH in Release_Label",and($B677&lt;&gt;"",countif('3) Release_Label'!$E:$E,$B677)=0),"NO CATALOG ID MATCH in Release_Label",iserror(vlookup($A677&amp;$B677,'3) Release_Label'!$D:$D&amp;'3) Release_Label'!$E:$E,1,0)),"NO UPC-CATALOG ID pair MATCH in Release_Label" )</f>
        <v/>
      </c>
      <c r="E677" s="147" t="str">
        <f t="shared" si="1"/>
        <v/>
      </c>
      <c r="G677" s="97"/>
      <c r="H677" s="155"/>
      <c r="J677" s="92"/>
      <c r="K677" s="98"/>
      <c r="L677" s="92"/>
      <c r="N677" s="92"/>
      <c r="O677" s="92"/>
      <c r="P677" s="92"/>
    </row>
    <row r="678">
      <c r="A678" s="28"/>
      <c r="B678" s="97"/>
      <c r="C678" s="121" t="str">
        <f t="array" ref="C678">ifs(and(isblank($A678),isblank($B678)),"", not(iserror(vlookup($A678&amp;$B678,'3) Release_Label'!$D:$D&amp;'3) Release_Label'!$E:$E,1,0))),vlookup($A678&amp;$B678,{'3) Release_Label'!$D:$D&amp;'3) Release_Label'!$E:$E,'3) Release_Label'!$F:$F},2,0), or(and(not(isblank($B678)),$B678=$B677,$A678&lt;&gt;$A677),and(not(isblank($A678)),$A678=$A677,$B678&lt;&gt;$B677)),"ID LISTS UNALIGNED",and($A678&lt;&gt;"",countif('3) Release_Label'!$D:$D,$A678)=0),"NO UPC MATCH in Release_Label",and($B678&lt;&gt;"",countif('3) Release_Label'!$E:$E,$B678)=0),"NO CATALOG ID MATCH in Release_Label",iserror(vlookup($A678&amp;$B678,'3) Release_Label'!$D:$D&amp;'3) Release_Label'!$E:$E,1,0)),"NO UPC-CATALOG ID pair MATCH in Release_Label" )</f>
        <v/>
      </c>
      <c r="D678" s="121" t="str">
        <f t="array" ref="D678">ifs(and(isblank($A678),isblank($B678)),"", not(iserror(vlookup($A678&amp;$B678,'3) Release_Label'!$D:$D&amp;'3) Release_Label'!$E:$E,1,0))),vlookup($A678&amp;$B678,{'3) Release_Label'!$D:$D&amp;'3) Release_Label'!$E:$E,'3) Release_Label'!$H:$H},2,0), or(and(not(isblank($B678)),$B678=$B677,$A678&lt;&gt;$A677),and(not(isblank($A678)),$A678=$A677,$B678&lt;&gt;$B677)),"ID LISTS UNALIGNED",and($A678&lt;&gt;"",countif('3) Release_Label'!$D:$D,$A678)=0),"NO UPC MATCH in Release_Label",and($B678&lt;&gt;"",countif('3) Release_Label'!$E:$E,$B678)=0),"NO CATALOG ID MATCH in Release_Label",iserror(vlookup($A678&amp;$B678,'3) Release_Label'!$D:$D&amp;'3) Release_Label'!$E:$E,1,0)),"NO UPC-CATALOG ID pair MATCH in Release_Label" )</f>
        <v/>
      </c>
      <c r="E678" s="147" t="str">
        <f t="shared" si="1"/>
        <v/>
      </c>
      <c r="G678" s="97"/>
      <c r="H678" s="155"/>
      <c r="J678" s="92"/>
      <c r="K678" s="98"/>
      <c r="L678" s="92"/>
      <c r="N678" s="92"/>
      <c r="O678" s="92"/>
      <c r="P678" s="92"/>
    </row>
    <row r="679">
      <c r="A679" s="28"/>
      <c r="B679" s="97"/>
      <c r="C679" s="121" t="str">
        <f t="array" ref="C679">ifs(and(isblank($A679),isblank($B679)),"", not(iserror(vlookup($A679&amp;$B679,'3) Release_Label'!$D:$D&amp;'3) Release_Label'!$E:$E,1,0))),vlookup($A679&amp;$B679,{'3) Release_Label'!$D:$D&amp;'3) Release_Label'!$E:$E,'3) Release_Label'!$F:$F},2,0), or(and(not(isblank($B679)),$B679=$B678,$A679&lt;&gt;$A678),and(not(isblank($A679)),$A679=$A678,$B679&lt;&gt;$B678)),"ID LISTS UNALIGNED",and($A679&lt;&gt;"",countif('3) Release_Label'!$D:$D,$A679)=0),"NO UPC MATCH in Release_Label",and($B679&lt;&gt;"",countif('3) Release_Label'!$E:$E,$B679)=0),"NO CATALOG ID MATCH in Release_Label",iserror(vlookup($A679&amp;$B679,'3) Release_Label'!$D:$D&amp;'3) Release_Label'!$E:$E,1,0)),"NO UPC-CATALOG ID pair MATCH in Release_Label" )</f>
        <v/>
      </c>
      <c r="D679" s="121" t="str">
        <f t="array" ref="D679">ifs(and(isblank($A679),isblank($B679)),"", not(iserror(vlookup($A679&amp;$B679,'3) Release_Label'!$D:$D&amp;'3) Release_Label'!$E:$E,1,0))),vlookup($A679&amp;$B679,{'3) Release_Label'!$D:$D&amp;'3) Release_Label'!$E:$E,'3) Release_Label'!$H:$H},2,0), or(and(not(isblank($B679)),$B679=$B678,$A679&lt;&gt;$A678),and(not(isblank($A679)),$A679=$A678,$B679&lt;&gt;$B678)),"ID LISTS UNALIGNED",and($A679&lt;&gt;"",countif('3) Release_Label'!$D:$D,$A679)=0),"NO UPC MATCH in Release_Label",and($B679&lt;&gt;"",countif('3) Release_Label'!$E:$E,$B679)=0),"NO CATALOG ID MATCH in Release_Label",iserror(vlookup($A679&amp;$B679,'3) Release_Label'!$D:$D&amp;'3) Release_Label'!$E:$E,1,0)),"NO UPC-CATALOG ID pair MATCH in Release_Label" )</f>
        <v/>
      </c>
      <c r="E679" s="147" t="str">
        <f t="shared" si="1"/>
        <v/>
      </c>
      <c r="G679" s="97"/>
      <c r="H679" s="155"/>
      <c r="J679" s="92"/>
      <c r="K679" s="98"/>
      <c r="L679" s="92"/>
      <c r="N679" s="92"/>
      <c r="O679" s="92"/>
      <c r="P679" s="92"/>
    </row>
    <row r="680">
      <c r="A680" s="28"/>
      <c r="B680" s="97"/>
      <c r="C680" s="121" t="str">
        <f t="array" ref="C680">ifs(and(isblank($A680),isblank($B680)),"", not(iserror(vlookup($A680&amp;$B680,'3) Release_Label'!$D:$D&amp;'3) Release_Label'!$E:$E,1,0))),vlookup($A680&amp;$B680,{'3) Release_Label'!$D:$D&amp;'3) Release_Label'!$E:$E,'3) Release_Label'!$F:$F},2,0), or(and(not(isblank($B680)),$B680=$B679,$A680&lt;&gt;$A679),and(not(isblank($A680)),$A680=$A679,$B680&lt;&gt;$B679)),"ID LISTS UNALIGNED",and($A680&lt;&gt;"",countif('3) Release_Label'!$D:$D,$A680)=0),"NO UPC MATCH in Release_Label",and($B680&lt;&gt;"",countif('3) Release_Label'!$E:$E,$B680)=0),"NO CATALOG ID MATCH in Release_Label",iserror(vlookup($A680&amp;$B680,'3) Release_Label'!$D:$D&amp;'3) Release_Label'!$E:$E,1,0)),"NO UPC-CATALOG ID pair MATCH in Release_Label" )</f>
        <v/>
      </c>
      <c r="D680" s="121" t="str">
        <f t="array" ref="D680">ifs(and(isblank($A680),isblank($B680)),"", not(iserror(vlookup($A680&amp;$B680,'3) Release_Label'!$D:$D&amp;'3) Release_Label'!$E:$E,1,0))),vlookup($A680&amp;$B680,{'3) Release_Label'!$D:$D&amp;'3) Release_Label'!$E:$E,'3) Release_Label'!$H:$H},2,0), or(and(not(isblank($B680)),$B680=$B679,$A680&lt;&gt;$A679),and(not(isblank($A680)),$A680=$A679,$B680&lt;&gt;$B679)),"ID LISTS UNALIGNED",and($A680&lt;&gt;"",countif('3) Release_Label'!$D:$D,$A680)=0),"NO UPC MATCH in Release_Label",and($B680&lt;&gt;"",countif('3) Release_Label'!$E:$E,$B680)=0),"NO CATALOG ID MATCH in Release_Label",iserror(vlookup($A680&amp;$B680,'3) Release_Label'!$D:$D&amp;'3) Release_Label'!$E:$E,1,0)),"NO UPC-CATALOG ID pair MATCH in Release_Label" )</f>
        <v/>
      </c>
      <c r="E680" s="147" t="str">
        <f t="shared" si="1"/>
        <v/>
      </c>
      <c r="G680" s="97"/>
      <c r="H680" s="155"/>
      <c r="J680" s="92"/>
      <c r="K680" s="98"/>
      <c r="L680" s="92"/>
      <c r="N680" s="92"/>
      <c r="O680" s="92"/>
      <c r="P680" s="92"/>
    </row>
    <row r="681">
      <c r="A681" s="28"/>
      <c r="B681" s="97"/>
      <c r="C681" s="121" t="str">
        <f t="array" ref="C681">ifs(and(isblank($A681),isblank($B681)),"", not(iserror(vlookup($A681&amp;$B681,'3) Release_Label'!$D:$D&amp;'3) Release_Label'!$E:$E,1,0))),vlookup($A681&amp;$B681,{'3) Release_Label'!$D:$D&amp;'3) Release_Label'!$E:$E,'3) Release_Label'!$F:$F},2,0), or(and(not(isblank($B681)),$B681=$B680,$A681&lt;&gt;$A680),and(not(isblank($A681)),$A681=$A680,$B681&lt;&gt;$B680)),"ID LISTS UNALIGNED",and($A681&lt;&gt;"",countif('3) Release_Label'!$D:$D,$A681)=0),"NO UPC MATCH in Release_Label",and($B681&lt;&gt;"",countif('3) Release_Label'!$E:$E,$B681)=0),"NO CATALOG ID MATCH in Release_Label",iserror(vlookup($A681&amp;$B681,'3) Release_Label'!$D:$D&amp;'3) Release_Label'!$E:$E,1,0)),"NO UPC-CATALOG ID pair MATCH in Release_Label" )</f>
        <v/>
      </c>
      <c r="D681" s="121" t="str">
        <f t="array" ref="D681">ifs(and(isblank($A681),isblank($B681)),"", not(iserror(vlookup($A681&amp;$B681,'3) Release_Label'!$D:$D&amp;'3) Release_Label'!$E:$E,1,0))),vlookup($A681&amp;$B681,{'3) Release_Label'!$D:$D&amp;'3) Release_Label'!$E:$E,'3) Release_Label'!$H:$H},2,0), or(and(not(isblank($B681)),$B681=$B680,$A681&lt;&gt;$A680),and(not(isblank($A681)),$A681=$A680,$B681&lt;&gt;$B680)),"ID LISTS UNALIGNED",and($A681&lt;&gt;"",countif('3) Release_Label'!$D:$D,$A681)=0),"NO UPC MATCH in Release_Label",and($B681&lt;&gt;"",countif('3) Release_Label'!$E:$E,$B681)=0),"NO CATALOG ID MATCH in Release_Label",iserror(vlookup($A681&amp;$B681,'3) Release_Label'!$D:$D&amp;'3) Release_Label'!$E:$E,1,0)),"NO UPC-CATALOG ID pair MATCH in Release_Label" )</f>
        <v/>
      </c>
      <c r="E681" s="147" t="str">
        <f t="shared" si="1"/>
        <v/>
      </c>
      <c r="G681" s="97"/>
      <c r="H681" s="155"/>
      <c r="J681" s="92"/>
      <c r="K681" s="98"/>
      <c r="L681" s="92"/>
      <c r="N681" s="92"/>
      <c r="O681" s="92"/>
      <c r="P681" s="92"/>
    </row>
    <row r="682">
      <c r="A682" s="28"/>
      <c r="B682" s="97"/>
      <c r="C682" s="121" t="str">
        <f t="array" ref="C682">ifs(and(isblank($A682),isblank($B682)),"", not(iserror(vlookup($A682&amp;$B682,'3) Release_Label'!$D:$D&amp;'3) Release_Label'!$E:$E,1,0))),vlookup($A682&amp;$B682,{'3) Release_Label'!$D:$D&amp;'3) Release_Label'!$E:$E,'3) Release_Label'!$F:$F},2,0), or(and(not(isblank($B682)),$B682=$B681,$A682&lt;&gt;$A681),and(not(isblank($A682)),$A682=$A681,$B682&lt;&gt;$B681)),"ID LISTS UNALIGNED",and($A682&lt;&gt;"",countif('3) Release_Label'!$D:$D,$A682)=0),"NO UPC MATCH in Release_Label",and($B682&lt;&gt;"",countif('3) Release_Label'!$E:$E,$B682)=0),"NO CATALOG ID MATCH in Release_Label",iserror(vlookup($A682&amp;$B682,'3) Release_Label'!$D:$D&amp;'3) Release_Label'!$E:$E,1,0)),"NO UPC-CATALOG ID pair MATCH in Release_Label" )</f>
        <v/>
      </c>
      <c r="D682" s="121" t="str">
        <f t="array" ref="D682">ifs(and(isblank($A682),isblank($B682)),"", not(iserror(vlookup($A682&amp;$B682,'3) Release_Label'!$D:$D&amp;'3) Release_Label'!$E:$E,1,0))),vlookup($A682&amp;$B682,{'3) Release_Label'!$D:$D&amp;'3) Release_Label'!$E:$E,'3) Release_Label'!$H:$H},2,0), or(and(not(isblank($B682)),$B682=$B681,$A682&lt;&gt;$A681),and(not(isblank($A682)),$A682=$A681,$B682&lt;&gt;$B681)),"ID LISTS UNALIGNED",and($A682&lt;&gt;"",countif('3) Release_Label'!$D:$D,$A682)=0),"NO UPC MATCH in Release_Label",and($B682&lt;&gt;"",countif('3) Release_Label'!$E:$E,$B682)=0),"NO CATALOG ID MATCH in Release_Label",iserror(vlookup($A682&amp;$B682,'3) Release_Label'!$D:$D&amp;'3) Release_Label'!$E:$E,1,0)),"NO UPC-CATALOG ID pair MATCH in Release_Label" )</f>
        <v/>
      </c>
      <c r="E682" s="147" t="str">
        <f t="shared" si="1"/>
        <v/>
      </c>
      <c r="G682" s="97"/>
      <c r="H682" s="155"/>
      <c r="J682" s="92"/>
      <c r="K682" s="98"/>
      <c r="L682" s="92"/>
      <c r="N682" s="92"/>
      <c r="O682" s="92"/>
      <c r="P682" s="92"/>
    </row>
    <row r="683">
      <c r="A683" s="28"/>
      <c r="B683" s="97"/>
      <c r="C683" s="121" t="str">
        <f t="array" ref="C683">ifs(and(isblank($A683),isblank($B683)),"", not(iserror(vlookup($A683&amp;$B683,'3) Release_Label'!$D:$D&amp;'3) Release_Label'!$E:$E,1,0))),vlookup($A683&amp;$B683,{'3) Release_Label'!$D:$D&amp;'3) Release_Label'!$E:$E,'3) Release_Label'!$F:$F},2,0), or(and(not(isblank($B683)),$B683=$B682,$A683&lt;&gt;$A682),and(not(isblank($A683)),$A683=$A682,$B683&lt;&gt;$B682)),"ID LISTS UNALIGNED",and($A683&lt;&gt;"",countif('3) Release_Label'!$D:$D,$A683)=0),"NO UPC MATCH in Release_Label",and($B683&lt;&gt;"",countif('3) Release_Label'!$E:$E,$B683)=0),"NO CATALOG ID MATCH in Release_Label",iserror(vlookup($A683&amp;$B683,'3) Release_Label'!$D:$D&amp;'3) Release_Label'!$E:$E,1,0)),"NO UPC-CATALOG ID pair MATCH in Release_Label" )</f>
        <v/>
      </c>
      <c r="D683" s="121" t="str">
        <f t="array" ref="D683">ifs(and(isblank($A683),isblank($B683)),"", not(iserror(vlookup($A683&amp;$B683,'3) Release_Label'!$D:$D&amp;'3) Release_Label'!$E:$E,1,0))),vlookup($A683&amp;$B683,{'3) Release_Label'!$D:$D&amp;'3) Release_Label'!$E:$E,'3) Release_Label'!$H:$H},2,0), or(and(not(isblank($B683)),$B683=$B682,$A683&lt;&gt;$A682),and(not(isblank($A683)),$A683=$A682,$B683&lt;&gt;$B682)),"ID LISTS UNALIGNED",and($A683&lt;&gt;"",countif('3) Release_Label'!$D:$D,$A683)=0),"NO UPC MATCH in Release_Label",and($B683&lt;&gt;"",countif('3) Release_Label'!$E:$E,$B683)=0),"NO CATALOG ID MATCH in Release_Label",iserror(vlookup($A683&amp;$B683,'3) Release_Label'!$D:$D&amp;'3) Release_Label'!$E:$E,1,0)),"NO UPC-CATALOG ID pair MATCH in Release_Label" )</f>
        <v/>
      </c>
      <c r="E683" s="147" t="str">
        <f t="shared" si="1"/>
        <v/>
      </c>
      <c r="G683" s="97"/>
      <c r="H683" s="155"/>
      <c r="J683" s="92"/>
      <c r="K683" s="98"/>
      <c r="L683" s="92"/>
      <c r="N683" s="92"/>
      <c r="O683" s="92"/>
      <c r="P683" s="92"/>
    </row>
    <row r="684">
      <c r="A684" s="28"/>
      <c r="B684" s="97"/>
      <c r="C684" s="121" t="str">
        <f t="array" ref="C684">ifs(and(isblank($A684),isblank($B684)),"", not(iserror(vlookup($A684&amp;$B684,'3) Release_Label'!$D:$D&amp;'3) Release_Label'!$E:$E,1,0))),vlookup($A684&amp;$B684,{'3) Release_Label'!$D:$D&amp;'3) Release_Label'!$E:$E,'3) Release_Label'!$F:$F},2,0), or(and(not(isblank($B684)),$B684=$B683,$A684&lt;&gt;$A683),and(not(isblank($A684)),$A684=$A683,$B684&lt;&gt;$B683)),"ID LISTS UNALIGNED",and($A684&lt;&gt;"",countif('3) Release_Label'!$D:$D,$A684)=0),"NO UPC MATCH in Release_Label",and($B684&lt;&gt;"",countif('3) Release_Label'!$E:$E,$B684)=0),"NO CATALOG ID MATCH in Release_Label",iserror(vlookup($A684&amp;$B684,'3) Release_Label'!$D:$D&amp;'3) Release_Label'!$E:$E,1,0)),"NO UPC-CATALOG ID pair MATCH in Release_Label" )</f>
        <v/>
      </c>
      <c r="D684" s="121" t="str">
        <f t="array" ref="D684">ifs(and(isblank($A684),isblank($B684)),"", not(iserror(vlookup($A684&amp;$B684,'3) Release_Label'!$D:$D&amp;'3) Release_Label'!$E:$E,1,0))),vlookup($A684&amp;$B684,{'3) Release_Label'!$D:$D&amp;'3) Release_Label'!$E:$E,'3) Release_Label'!$H:$H},2,0), or(and(not(isblank($B684)),$B684=$B683,$A684&lt;&gt;$A683),and(not(isblank($A684)),$A684=$A683,$B684&lt;&gt;$B683)),"ID LISTS UNALIGNED",and($A684&lt;&gt;"",countif('3) Release_Label'!$D:$D,$A684)=0),"NO UPC MATCH in Release_Label",and($B684&lt;&gt;"",countif('3) Release_Label'!$E:$E,$B684)=0),"NO CATALOG ID MATCH in Release_Label",iserror(vlookup($A684&amp;$B684,'3) Release_Label'!$D:$D&amp;'3) Release_Label'!$E:$E,1,0)),"NO UPC-CATALOG ID pair MATCH in Release_Label" )</f>
        <v/>
      </c>
      <c r="E684" s="147" t="str">
        <f t="shared" si="1"/>
        <v/>
      </c>
      <c r="G684" s="97"/>
      <c r="H684" s="155"/>
      <c r="J684" s="92"/>
      <c r="K684" s="98"/>
      <c r="L684" s="92"/>
      <c r="N684" s="92"/>
      <c r="O684" s="92"/>
      <c r="P684" s="92"/>
    </row>
    <row r="685">
      <c r="A685" s="28"/>
      <c r="B685" s="97"/>
      <c r="C685" s="121" t="str">
        <f t="array" ref="C685">ifs(and(isblank($A685),isblank($B685)),"", not(iserror(vlookup($A685&amp;$B685,'3) Release_Label'!$D:$D&amp;'3) Release_Label'!$E:$E,1,0))),vlookup($A685&amp;$B685,{'3) Release_Label'!$D:$D&amp;'3) Release_Label'!$E:$E,'3) Release_Label'!$F:$F},2,0), or(and(not(isblank($B685)),$B685=$B684,$A685&lt;&gt;$A684),and(not(isblank($A685)),$A685=$A684,$B685&lt;&gt;$B684)),"ID LISTS UNALIGNED",and($A685&lt;&gt;"",countif('3) Release_Label'!$D:$D,$A685)=0),"NO UPC MATCH in Release_Label",and($B685&lt;&gt;"",countif('3) Release_Label'!$E:$E,$B685)=0),"NO CATALOG ID MATCH in Release_Label",iserror(vlookup($A685&amp;$B685,'3) Release_Label'!$D:$D&amp;'3) Release_Label'!$E:$E,1,0)),"NO UPC-CATALOG ID pair MATCH in Release_Label" )</f>
        <v/>
      </c>
      <c r="D685" s="121" t="str">
        <f t="array" ref="D685">ifs(and(isblank($A685),isblank($B685)),"", not(iserror(vlookup($A685&amp;$B685,'3) Release_Label'!$D:$D&amp;'3) Release_Label'!$E:$E,1,0))),vlookup($A685&amp;$B685,{'3) Release_Label'!$D:$D&amp;'3) Release_Label'!$E:$E,'3) Release_Label'!$H:$H},2,0), or(and(not(isblank($B685)),$B685=$B684,$A685&lt;&gt;$A684),and(not(isblank($A685)),$A685=$A684,$B685&lt;&gt;$B684)),"ID LISTS UNALIGNED",and($A685&lt;&gt;"",countif('3) Release_Label'!$D:$D,$A685)=0),"NO UPC MATCH in Release_Label",and($B685&lt;&gt;"",countif('3) Release_Label'!$E:$E,$B685)=0),"NO CATALOG ID MATCH in Release_Label",iserror(vlookup($A685&amp;$B685,'3) Release_Label'!$D:$D&amp;'3) Release_Label'!$E:$E,1,0)),"NO UPC-CATALOG ID pair MATCH in Release_Label" )</f>
        <v/>
      </c>
      <c r="E685" s="147" t="str">
        <f t="shared" si="1"/>
        <v/>
      </c>
      <c r="G685" s="97"/>
      <c r="H685" s="155"/>
      <c r="J685" s="92"/>
      <c r="K685" s="98"/>
      <c r="L685" s="92"/>
      <c r="N685" s="92"/>
      <c r="O685" s="92"/>
      <c r="P685" s="92"/>
    </row>
    <row r="686">
      <c r="A686" s="28"/>
      <c r="B686" s="97"/>
      <c r="C686" s="121" t="str">
        <f t="array" ref="C686">ifs(and(isblank($A686),isblank($B686)),"", not(iserror(vlookup($A686&amp;$B686,'3) Release_Label'!$D:$D&amp;'3) Release_Label'!$E:$E,1,0))),vlookup($A686&amp;$B686,{'3) Release_Label'!$D:$D&amp;'3) Release_Label'!$E:$E,'3) Release_Label'!$F:$F},2,0), or(and(not(isblank($B686)),$B686=$B685,$A686&lt;&gt;$A685),and(not(isblank($A686)),$A686=$A685,$B686&lt;&gt;$B685)),"ID LISTS UNALIGNED",and($A686&lt;&gt;"",countif('3) Release_Label'!$D:$D,$A686)=0),"NO UPC MATCH in Release_Label",and($B686&lt;&gt;"",countif('3) Release_Label'!$E:$E,$B686)=0),"NO CATALOG ID MATCH in Release_Label",iserror(vlookup($A686&amp;$B686,'3) Release_Label'!$D:$D&amp;'3) Release_Label'!$E:$E,1,0)),"NO UPC-CATALOG ID pair MATCH in Release_Label" )</f>
        <v/>
      </c>
      <c r="D686" s="121" t="str">
        <f t="array" ref="D686">ifs(and(isblank($A686),isblank($B686)),"", not(iserror(vlookup($A686&amp;$B686,'3) Release_Label'!$D:$D&amp;'3) Release_Label'!$E:$E,1,0))),vlookup($A686&amp;$B686,{'3) Release_Label'!$D:$D&amp;'3) Release_Label'!$E:$E,'3) Release_Label'!$H:$H},2,0), or(and(not(isblank($B686)),$B686=$B685,$A686&lt;&gt;$A685),and(not(isblank($A686)),$A686=$A685,$B686&lt;&gt;$B685)),"ID LISTS UNALIGNED",and($A686&lt;&gt;"",countif('3) Release_Label'!$D:$D,$A686)=0),"NO UPC MATCH in Release_Label",and($B686&lt;&gt;"",countif('3) Release_Label'!$E:$E,$B686)=0),"NO CATALOG ID MATCH in Release_Label",iserror(vlookup($A686&amp;$B686,'3) Release_Label'!$D:$D&amp;'3) Release_Label'!$E:$E,1,0)),"NO UPC-CATALOG ID pair MATCH in Release_Label" )</f>
        <v/>
      </c>
      <c r="E686" s="147" t="str">
        <f t="shared" si="1"/>
        <v/>
      </c>
      <c r="G686" s="97"/>
      <c r="H686" s="155"/>
      <c r="J686" s="92"/>
      <c r="K686" s="98"/>
      <c r="L686" s="92"/>
      <c r="N686" s="92"/>
      <c r="O686" s="92"/>
      <c r="P686" s="92"/>
    </row>
    <row r="687">
      <c r="A687" s="28"/>
      <c r="B687" s="97"/>
      <c r="C687" s="121" t="str">
        <f t="array" ref="C687">ifs(and(isblank($A687),isblank($B687)),"", not(iserror(vlookup($A687&amp;$B687,'3) Release_Label'!$D:$D&amp;'3) Release_Label'!$E:$E,1,0))),vlookup($A687&amp;$B687,{'3) Release_Label'!$D:$D&amp;'3) Release_Label'!$E:$E,'3) Release_Label'!$F:$F},2,0), or(and(not(isblank($B687)),$B687=$B686,$A687&lt;&gt;$A686),and(not(isblank($A687)),$A687=$A686,$B687&lt;&gt;$B686)),"ID LISTS UNALIGNED",and($A687&lt;&gt;"",countif('3) Release_Label'!$D:$D,$A687)=0),"NO UPC MATCH in Release_Label",and($B687&lt;&gt;"",countif('3) Release_Label'!$E:$E,$B687)=0),"NO CATALOG ID MATCH in Release_Label",iserror(vlookup($A687&amp;$B687,'3) Release_Label'!$D:$D&amp;'3) Release_Label'!$E:$E,1,0)),"NO UPC-CATALOG ID pair MATCH in Release_Label" )</f>
        <v/>
      </c>
      <c r="D687" s="121" t="str">
        <f t="array" ref="D687">ifs(and(isblank($A687),isblank($B687)),"", not(iserror(vlookup($A687&amp;$B687,'3) Release_Label'!$D:$D&amp;'3) Release_Label'!$E:$E,1,0))),vlookup($A687&amp;$B687,{'3) Release_Label'!$D:$D&amp;'3) Release_Label'!$E:$E,'3) Release_Label'!$H:$H},2,0), or(and(not(isblank($B687)),$B687=$B686,$A687&lt;&gt;$A686),and(not(isblank($A687)),$A687=$A686,$B687&lt;&gt;$B686)),"ID LISTS UNALIGNED",and($A687&lt;&gt;"",countif('3) Release_Label'!$D:$D,$A687)=0),"NO UPC MATCH in Release_Label",and($B687&lt;&gt;"",countif('3) Release_Label'!$E:$E,$B687)=0),"NO CATALOG ID MATCH in Release_Label",iserror(vlookup($A687&amp;$B687,'3) Release_Label'!$D:$D&amp;'3) Release_Label'!$E:$E,1,0)),"NO UPC-CATALOG ID pair MATCH in Release_Label" )</f>
        <v/>
      </c>
      <c r="E687" s="147" t="str">
        <f t="shared" si="1"/>
        <v/>
      </c>
      <c r="G687" s="97"/>
      <c r="H687" s="155"/>
      <c r="J687" s="92"/>
      <c r="K687" s="98"/>
      <c r="L687" s="92"/>
      <c r="N687" s="92"/>
      <c r="O687" s="92"/>
      <c r="P687" s="92"/>
    </row>
    <row r="688">
      <c r="A688" s="28"/>
      <c r="B688" s="97"/>
      <c r="C688" s="121" t="str">
        <f t="array" ref="C688">ifs(and(isblank($A688),isblank($B688)),"", not(iserror(vlookup($A688&amp;$B688,'3) Release_Label'!$D:$D&amp;'3) Release_Label'!$E:$E,1,0))),vlookup($A688&amp;$B688,{'3) Release_Label'!$D:$D&amp;'3) Release_Label'!$E:$E,'3) Release_Label'!$F:$F},2,0), or(and(not(isblank($B688)),$B688=$B687,$A688&lt;&gt;$A687),and(not(isblank($A688)),$A688=$A687,$B688&lt;&gt;$B687)),"ID LISTS UNALIGNED",and($A688&lt;&gt;"",countif('3) Release_Label'!$D:$D,$A688)=0),"NO UPC MATCH in Release_Label",and($B688&lt;&gt;"",countif('3) Release_Label'!$E:$E,$B688)=0),"NO CATALOG ID MATCH in Release_Label",iserror(vlookup($A688&amp;$B688,'3) Release_Label'!$D:$D&amp;'3) Release_Label'!$E:$E,1,0)),"NO UPC-CATALOG ID pair MATCH in Release_Label" )</f>
        <v/>
      </c>
      <c r="D688" s="121" t="str">
        <f t="array" ref="D688">ifs(and(isblank($A688),isblank($B688)),"", not(iserror(vlookup($A688&amp;$B688,'3) Release_Label'!$D:$D&amp;'3) Release_Label'!$E:$E,1,0))),vlookup($A688&amp;$B688,{'3) Release_Label'!$D:$D&amp;'3) Release_Label'!$E:$E,'3) Release_Label'!$H:$H},2,0), or(and(not(isblank($B688)),$B688=$B687,$A688&lt;&gt;$A687),and(not(isblank($A688)),$A688=$A687,$B688&lt;&gt;$B687)),"ID LISTS UNALIGNED",and($A688&lt;&gt;"",countif('3) Release_Label'!$D:$D,$A688)=0),"NO UPC MATCH in Release_Label",and($B688&lt;&gt;"",countif('3) Release_Label'!$E:$E,$B688)=0),"NO CATALOG ID MATCH in Release_Label",iserror(vlookup($A688&amp;$B688,'3) Release_Label'!$D:$D&amp;'3) Release_Label'!$E:$E,1,0)),"NO UPC-CATALOG ID pair MATCH in Release_Label" )</f>
        <v/>
      </c>
      <c r="E688" s="147" t="str">
        <f t="shared" si="1"/>
        <v/>
      </c>
      <c r="G688" s="97"/>
      <c r="H688" s="155"/>
      <c r="J688" s="92"/>
      <c r="K688" s="98"/>
      <c r="L688" s="92"/>
      <c r="N688" s="92"/>
      <c r="O688" s="92"/>
      <c r="P688" s="92"/>
    </row>
    <row r="689">
      <c r="A689" s="28"/>
      <c r="B689" s="97"/>
      <c r="C689" s="121" t="str">
        <f t="array" ref="C689">ifs(and(isblank($A689),isblank($B689)),"", not(iserror(vlookup($A689&amp;$B689,'3) Release_Label'!$D:$D&amp;'3) Release_Label'!$E:$E,1,0))),vlookup($A689&amp;$B689,{'3) Release_Label'!$D:$D&amp;'3) Release_Label'!$E:$E,'3) Release_Label'!$F:$F},2,0), or(and(not(isblank($B689)),$B689=$B688,$A689&lt;&gt;$A688),and(not(isblank($A689)),$A689=$A688,$B689&lt;&gt;$B688)),"ID LISTS UNALIGNED",and($A689&lt;&gt;"",countif('3) Release_Label'!$D:$D,$A689)=0),"NO UPC MATCH in Release_Label",and($B689&lt;&gt;"",countif('3) Release_Label'!$E:$E,$B689)=0),"NO CATALOG ID MATCH in Release_Label",iserror(vlookup($A689&amp;$B689,'3) Release_Label'!$D:$D&amp;'3) Release_Label'!$E:$E,1,0)),"NO UPC-CATALOG ID pair MATCH in Release_Label" )</f>
        <v/>
      </c>
      <c r="D689" s="121" t="str">
        <f t="array" ref="D689">ifs(and(isblank($A689),isblank($B689)),"", not(iserror(vlookup($A689&amp;$B689,'3) Release_Label'!$D:$D&amp;'3) Release_Label'!$E:$E,1,0))),vlookup($A689&amp;$B689,{'3) Release_Label'!$D:$D&amp;'3) Release_Label'!$E:$E,'3) Release_Label'!$H:$H},2,0), or(and(not(isblank($B689)),$B689=$B688,$A689&lt;&gt;$A688),and(not(isblank($A689)),$A689=$A688,$B689&lt;&gt;$B688)),"ID LISTS UNALIGNED",and($A689&lt;&gt;"",countif('3) Release_Label'!$D:$D,$A689)=0),"NO UPC MATCH in Release_Label",and($B689&lt;&gt;"",countif('3) Release_Label'!$E:$E,$B689)=0),"NO CATALOG ID MATCH in Release_Label",iserror(vlookup($A689&amp;$B689,'3) Release_Label'!$D:$D&amp;'3) Release_Label'!$E:$E,1,0)),"NO UPC-CATALOG ID pair MATCH in Release_Label" )</f>
        <v/>
      </c>
      <c r="E689" s="147" t="str">
        <f t="shared" si="1"/>
        <v/>
      </c>
      <c r="G689" s="97"/>
      <c r="H689" s="155"/>
      <c r="J689" s="92"/>
      <c r="K689" s="98"/>
      <c r="L689" s="92"/>
      <c r="N689" s="92"/>
      <c r="O689" s="92"/>
      <c r="P689" s="92"/>
    </row>
    <row r="690">
      <c r="A690" s="28"/>
      <c r="B690" s="97"/>
      <c r="C690" s="121" t="str">
        <f t="array" ref="C690">ifs(and(isblank($A690),isblank($B690)),"", not(iserror(vlookup($A690&amp;$B690,'3) Release_Label'!$D:$D&amp;'3) Release_Label'!$E:$E,1,0))),vlookup($A690&amp;$B690,{'3) Release_Label'!$D:$D&amp;'3) Release_Label'!$E:$E,'3) Release_Label'!$F:$F},2,0), or(and(not(isblank($B690)),$B690=$B689,$A690&lt;&gt;$A689),and(not(isblank($A690)),$A690=$A689,$B690&lt;&gt;$B689)),"ID LISTS UNALIGNED",and($A690&lt;&gt;"",countif('3) Release_Label'!$D:$D,$A690)=0),"NO UPC MATCH in Release_Label",and($B690&lt;&gt;"",countif('3) Release_Label'!$E:$E,$B690)=0),"NO CATALOG ID MATCH in Release_Label",iserror(vlookup($A690&amp;$B690,'3) Release_Label'!$D:$D&amp;'3) Release_Label'!$E:$E,1,0)),"NO UPC-CATALOG ID pair MATCH in Release_Label" )</f>
        <v/>
      </c>
      <c r="D690" s="121" t="str">
        <f t="array" ref="D690">ifs(and(isblank($A690),isblank($B690)),"", not(iserror(vlookup($A690&amp;$B690,'3) Release_Label'!$D:$D&amp;'3) Release_Label'!$E:$E,1,0))),vlookup($A690&amp;$B690,{'3) Release_Label'!$D:$D&amp;'3) Release_Label'!$E:$E,'3) Release_Label'!$H:$H},2,0), or(and(not(isblank($B690)),$B690=$B689,$A690&lt;&gt;$A689),and(not(isblank($A690)),$A690=$A689,$B690&lt;&gt;$B689)),"ID LISTS UNALIGNED",and($A690&lt;&gt;"",countif('3) Release_Label'!$D:$D,$A690)=0),"NO UPC MATCH in Release_Label",and($B690&lt;&gt;"",countif('3) Release_Label'!$E:$E,$B690)=0),"NO CATALOG ID MATCH in Release_Label",iserror(vlookup($A690&amp;$B690,'3) Release_Label'!$D:$D&amp;'3) Release_Label'!$E:$E,1,0)),"NO UPC-CATALOG ID pair MATCH in Release_Label" )</f>
        <v/>
      </c>
      <c r="E690" s="147" t="str">
        <f t="shared" si="1"/>
        <v/>
      </c>
      <c r="G690" s="97"/>
      <c r="H690" s="155"/>
      <c r="J690" s="92"/>
      <c r="K690" s="98"/>
      <c r="L690" s="92"/>
      <c r="N690" s="92"/>
      <c r="O690" s="92"/>
      <c r="P690" s="92"/>
    </row>
    <row r="691">
      <c r="A691" s="28"/>
      <c r="B691" s="97"/>
      <c r="C691" s="121" t="str">
        <f t="array" ref="C691">ifs(and(isblank($A691),isblank($B691)),"", not(iserror(vlookup($A691&amp;$B691,'3) Release_Label'!$D:$D&amp;'3) Release_Label'!$E:$E,1,0))),vlookup($A691&amp;$B691,{'3) Release_Label'!$D:$D&amp;'3) Release_Label'!$E:$E,'3) Release_Label'!$F:$F},2,0), or(and(not(isblank($B691)),$B691=$B690,$A691&lt;&gt;$A690),and(not(isblank($A691)),$A691=$A690,$B691&lt;&gt;$B690)),"ID LISTS UNALIGNED",and($A691&lt;&gt;"",countif('3) Release_Label'!$D:$D,$A691)=0),"NO UPC MATCH in Release_Label",and($B691&lt;&gt;"",countif('3) Release_Label'!$E:$E,$B691)=0),"NO CATALOG ID MATCH in Release_Label",iserror(vlookup($A691&amp;$B691,'3) Release_Label'!$D:$D&amp;'3) Release_Label'!$E:$E,1,0)),"NO UPC-CATALOG ID pair MATCH in Release_Label" )</f>
        <v/>
      </c>
      <c r="D691" s="121" t="str">
        <f t="array" ref="D691">ifs(and(isblank($A691),isblank($B691)),"", not(iserror(vlookup($A691&amp;$B691,'3) Release_Label'!$D:$D&amp;'3) Release_Label'!$E:$E,1,0))),vlookup($A691&amp;$B691,{'3) Release_Label'!$D:$D&amp;'3) Release_Label'!$E:$E,'3) Release_Label'!$H:$H},2,0), or(and(not(isblank($B691)),$B691=$B690,$A691&lt;&gt;$A690),and(not(isblank($A691)),$A691=$A690,$B691&lt;&gt;$B690)),"ID LISTS UNALIGNED",and($A691&lt;&gt;"",countif('3) Release_Label'!$D:$D,$A691)=0),"NO UPC MATCH in Release_Label",and($B691&lt;&gt;"",countif('3) Release_Label'!$E:$E,$B691)=0),"NO CATALOG ID MATCH in Release_Label",iserror(vlookup($A691&amp;$B691,'3) Release_Label'!$D:$D&amp;'3) Release_Label'!$E:$E,1,0)),"NO UPC-CATALOG ID pair MATCH in Release_Label" )</f>
        <v/>
      </c>
      <c r="E691" s="147" t="str">
        <f t="shared" si="1"/>
        <v/>
      </c>
      <c r="G691" s="97"/>
      <c r="H691" s="155"/>
      <c r="J691" s="92"/>
      <c r="K691" s="98"/>
      <c r="L691" s="92"/>
      <c r="N691" s="92"/>
      <c r="O691" s="92"/>
      <c r="P691" s="92"/>
    </row>
    <row r="692">
      <c r="A692" s="28"/>
      <c r="B692" s="97"/>
      <c r="C692" s="121" t="str">
        <f t="array" ref="C692">ifs(and(isblank($A692),isblank($B692)),"", not(iserror(vlookup($A692&amp;$B692,'3) Release_Label'!$D:$D&amp;'3) Release_Label'!$E:$E,1,0))),vlookup($A692&amp;$B692,{'3) Release_Label'!$D:$D&amp;'3) Release_Label'!$E:$E,'3) Release_Label'!$F:$F},2,0), or(and(not(isblank($B692)),$B692=$B691,$A692&lt;&gt;$A691),and(not(isblank($A692)),$A692=$A691,$B692&lt;&gt;$B691)),"ID LISTS UNALIGNED",and($A692&lt;&gt;"",countif('3) Release_Label'!$D:$D,$A692)=0),"NO UPC MATCH in Release_Label",and($B692&lt;&gt;"",countif('3) Release_Label'!$E:$E,$B692)=0),"NO CATALOG ID MATCH in Release_Label",iserror(vlookup($A692&amp;$B692,'3) Release_Label'!$D:$D&amp;'3) Release_Label'!$E:$E,1,0)),"NO UPC-CATALOG ID pair MATCH in Release_Label" )</f>
        <v/>
      </c>
      <c r="D692" s="121" t="str">
        <f t="array" ref="D692">ifs(and(isblank($A692),isblank($B692)),"", not(iserror(vlookup($A692&amp;$B692,'3) Release_Label'!$D:$D&amp;'3) Release_Label'!$E:$E,1,0))),vlookup($A692&amp;$B692,{'3) Release_Label'!$D:$D&amp;'3) Release_Label'!$E:$E,'3) Release_Label'!$H:$H},2,0), or(and(not(isblank($B692)),$B692=$B691,$A692&lt;&gt;$A691),and(not(isblank($A692)),$A692=$A691,$B692&lt;&gt;$B691)),"ID LISTS UNALIGNED",and($A692&lt;&gt;"",countif('3) Release_Label'!$D:$D,$A692)=0),"NO UPC MATCH in Release_Label",and($B692&lt;&gt;"",countif('3) Release_Label'!$E:$E,$B692)=0),"NO CATALOG ID MATCH in Release_Label",iserror(vlookup($A692&amp;$B692,'3) Release_Label'!$D:$D&amp;'3) Release_Label'!$E:$E,1,0)),"NO UPC-CATALOG ID pair MATCH in Release_Label" )</f>
        <v/>
      </c>
      <c r="E692" s="147" t="str">
        <f t="shared" si="1"/>
        <v/>
      </c>
      <c r="G692" s="97"/>
      <c r="H692" s="155"/>
      <c r="J692" s="92"/>
      <c r="K692" s="98"/>
      <c r="L692" s="92"/>
      <c r="N692" s="92"/>
      <c r="O692" s="92"/>
      <c r="P692" s="92"/>
    </row>
    <row r="693">
      <c r="A693" s="28"/>
      <c r="B693" s="97"/>
      <c r="C693" s="121" t="str">
        <f t="array" ref="C693">ifs(and(isblank($A693),isblank($B693)),"", not(iserror(vlookup($A693&amp;$B693,'3) Release_Label'!$D:$D&amp;'3) Release_Label'!$E:$E,1,0))),vlookup($A693&amp;$B693,{'3) Release_Label'!$D:$D&amp;'3) Release_Label'!$E:$E,'3) Release_Label'!$F:$F},2,0), or(and(not(isblank($B693)),$B693=$B692,$A693&lt;&gt;$A692),and(not(isblank($A693)),$A693=$A692,$B693&lt;&gt;$B692)),"ID LISTS UNALIGNED",and($A693&lt;&gt;"",countif('3) Release_Label'!$D:$D,$A693)=0),"NO UPC MATCH in Release_Label",and($B693&lt;&gt;"",countif('3) Release_Label'!$E:$E,$B693)=0),"NO CATALOG ID MATCH in Release_Label",iserror(vlookup($A693&amp;$B693,'3) Release_Label'!$D:$D&amp;'3) Release_Label'!$E:$E,1,0)),"NO UPC-CATALOG ID pair MATCH in Release_Label" )</f>
        <v/>
      </c>
      <c r="D693" s="121" t="str">
        <f t="array" ref="D693">ifs(and(isblank($A693),isblank($B693)),"", not(iserror(vlookup($A693&amp;$B693,'3) Release_Label'!$D:$D&amp;'3) Release_Label'!$E:$E,1,0))),vlookup($A693&amp;$B693,{'3) Release_Label'!$D:$D&amp;'3) Release_Label'!$E:$E,'3) Release_Label'!$H:$H},2,0), or(and(not(isblank($B693)),$B693=$B692,$A693&lt;&gt;$A692),and(not(isblank($A693)),$A693=$A692,$B693&lt;&gt;$B692)),"ID LISTS UNALIGNED",and($A693&lt;&gt;"",countif('3) Release_Label'!$D:$D,$A693)=0),"NO UPC MATCH in Release_Label",and($B693&lt;&gt;"",countif('3) Release_Label'!$E:$E,$B693)=0),"NO CATALOG ID MATCH in Release_Label",iserror(vlookup($A693&amp;$B693,'3) Release_Label'!$D:$D&amp;'3) Release_Label'!$E:$E,1,0)),"NO UPC-CATALOG ID pair MATCH in Release_Label" )</f>
        <v/>
      </c>
      <c r="E693" s="147" t="str">
        <f t="shared" si="1"/>
        <v/>
      </c>
      <c r="G693" s="97"/>
      <c r="H693" s="155"/>
      <c r="J693" s="92"/>
      <c r="K693" s="98"/>
      <c r="L693" s="92"/>
      <c r="N693" s="92"/>
      <c r="O693" s="92"/>
      <c r="P693" s="92"/>
    </row>
    <row r="694">
      <c r="A694" s="28"/>
      <c r="B694" s="97"/>
      <c r="C694" s="121" t="str">
        <f t="array" ref="C694">ifs(and(isblank($A694),isblank($B694)),"", not(iserror(vlookup($A694&amp;$B694,'3) Release_Label'!$D:$D&amp;'3) Release_Label'!$E:$E,1,0))),vlookup($A694&amp;$B694,{'3) Release_Label'!$D:$D&amp;'3) Release_Label'!$E:$E,'3) Release_Label'!$F:$F},2,0), or(and(not(isblank($B694)),$B694=$B693,$A694&lt;&gt;$A693),and(not(isblank($A694)),$A694=$A693,$B694&lt;&gt;$B693)),"ID LISTS UNALIGNED",and($A694&lt;&gt;"",countif('3) Release_Label'!$D:$D,$A694)=0),"NO UPC MATCH in Release_Label",and($B694&lt;&gt;"",countif('3) Release_Label'!$E:$E,$B694)=0),"NO CATALOG ID MATCH in Release_Label",iserror(vlookup($A694&amp;$B694,'3) Release_Label'!$D:$D&amp;'3) Release_Label'!$E:$E,1,0)),"NO UPC-CATALOG ID pair MATCH in Release_Label" )</f>
        <v/>
      </c>
      <c r="D694" s="121" t="str">
        <f t="array" ref="D694">ifs(and(isblank($A694),isblank($B694)),"", not(iserror(vlookup($A694&amp;$B694,'3) Release_Label'!$D:$D&amp;'3) Release_Label'!$E:$E,1,0))),vlookup($A694&amp;$B694,{'3) Release_Label'!$D:$D&amp;'3) Release_Label'!$E:$E,'3) Release_Label'!$H:$H},2,0), or(and(not(isblank($B694)),$B694=$B693,$A694&lt;&gt;$A693),and(not(isblank($A694)),$A694=$A693,$B694&lt;&gt;$B693)),"ID LISTS UNALIGNED",and($A694&lt;&gt;"",countif('3) Release_Label'!$D:$D,$A694)=0),"NO UPC MATCH in Release_Label",and($B694&lt;&gt;"",countif('3) Release_Label'!$E:$E,$B694)=0),"NO CATALOG ID MATCH in Release_Label",iserror(vlookup($A694&amp;$B694,'3) Release_Label'!$D:$D&amp;'3) Release_Label'!$E:$E,1,0)),"NO UPC-CATALOG ID pair MATCH in Release_Label" )</f>
        <v/>
      </c>
      <c r="E694" s="147" t="str">
        <f t="shared" si="1"/>
        <v/>
      </c>
      <c r="G694" s="97"/>
      <c r="H694" s="155"/>
      <c r="J694" s="92"/>
      <c r="K694" s="98"/>
      <c r="L694" s="92"/>
      <c r="N694" s="92"/>
      <c r="O694" s="92"/>
      <c r="P694" s="92"/>
    </row>
    <row r="695">
      <c r="A695" s="28"/>
      <c r="B695" s="97"/>
      <c r="C695" s="121" t="str">
        <f t="array" ref="C695">ifs(and(isblank($A695),isblank($B695)),"", not(iserror(vlookup($A695&amp;$B695,'3) Release_Label'!$D:$D&amp;'3) Release_Label'!$E:$E,1,0))),vlookup($A695&amp;$B695,{'3) Release_Label'!$D:$D&amp;'3) Release_Label'!$E:$E,'3) Release_Label'!$F:$F},2,0), or(and(not(isblank($B695)),$B695=$B694,$A695&lt;&gt;$A694),and(not(isblank($A695)),$A695=$A694,$B695&lt;&gt;$B694)),"ID LISTS UNALIGNED",and($A695&lt;&gt;"",countif('3) Release_Label'!$D:$D,$A695)=0),"NO UPC MATCH in Release_Label",and($B695&lt;&gt;"",countif('3) Release_Label'!$E:$E,$B695)=0),"NO CATALOG ID MATCH in Release_Label",iserror(vlookup($A695&amp;$B695,'3) Release_Label'!$D:$D&amp;'3) Release_Label'!$E:$E,1,0)),"NO UPC-CATALOG ID pair MATCH in Release_Label" )</f>
        <v/>
      </c>
      <c r="D695" s="121" t="str">
        <f t="array" ref="D695">ifs(and(isblank($A695),isblank($B695)),"", not(iserror(vlookup($A695&amp;$B695,'3) Release_Label'!$D:$D&amp;'3) Release_Label'!$E:$E,1,0))),vlookup($A695&amp;$B695,{'3) Release_Label'!$D:$D&amp;'3) Release_Label'!$E:$E,'3) Release_Label'!$H:$H},2,0), or(and(not(isblank($B695)),$B695=$B694,$A695&lt;&gt;$A694),and(not(isblank($A695)),$A695=$A694,$B695&lt;&gt;$B694)),"ID LISTS UNALIGNED",and($A695&lt;&gt;"",countif('3) Release_Label'!$D:$D,$A695)=0),"NO UPC MATCH in Release_Label",and($B695&lt;&gt;"",countif('3) Release_Label'!$E:$E,$B695)=0),"NO CATALOG ID MATCH in Release_Label",iserror(vlookup($A695&amp;$B695,'3) Release_Label'!$D:$D&amp;'3) Release_Label'!$E:$E,1,0)),"NO UPC-CATALOG ID pair MATCH in Release_Label" )</f>
        <v/>
      </c>
      <c r="E695" s="147" t="str">
        <f t="shared" si="1"/>
        <v/>
      </c>
      <c r="G695" s="97"/>
      <c r="H695" s="155"/>
      <c r="J695" s="92"/>
      <c r="K695" s="98"/>
      <c r="L695" s="92"/>
      <c r="N695" s="92"/>
      <c r="O695" s="92"/>
      <c r="P695" s="92"/>
    </row>
    <row r="696">
      <c r="A696" s="28"/>
      <c r="B696" s="97"/>
      <c r="C696" s="121" t="str">
        <f t="array" ref="C696">ifs(and(isblank($A696),isblank($B696)),"", not(iserror(vlookup($A696&amp;$B696,'3) Release_Label'!$D:$D&amp;'3) Release_Label'!$E:$E,1,0))),vlookup($A696&amp;$B696,{'3) Release_Label'!$D:$D&amp;'3) Release_Label'!$E:$E,'3) Release_Label'!$F:$F},2,0), or(and(not(isblank($B696)),$B696=$B695,$A696&lt;&gt;$A695),and(not(isblank($A696)),$A696=$A695,$B696&lt;&gt;$B695)),"ID LISTS UNALIGNED",and($A696&lt;&gt;"",countif('3) Release_Label'!$D:$D,$A696)=0),"NO UPC MATCH in Release_Label",and($B696&lt;&gt;"",countif('3) Release_Label'!$E:$E,$B696)=0),"NO CATALOG ID MATCH in Release_Label",iserror(vlookup($A696&amp;$B696,'3) Release_Label'!$D:$D&amp;'3) Release_Label'!$E:$E,1,0)),"NO UPC-CATALOG ID pair MATCH in Release_Label" )</f>
        <v/>
      </c>
      <c r="D696" s="121" t="str">
        <f t="array" ref="D696">ifs(and(isblank($A696),isblank($B696)),"", not(iserror(vlookup($A696&amp;$B696,'3) Release_Label'!$D:$D&amp;'3) Release_Label'!$E:$E,1,0))),vlookup($A696&amp;$B696,{'3) Release_Label'!$D:$D&amp;'3) Release_Label'!$E:$E,'3) Release_Label'!$H:$H},2,0), or(and(not(isblank($B696)),$B696=$B695,$A696&lt;&gt;$A695),and(not(isblank($A696)),$A696=$A695,$B696&lt;&gt;$B695)),"ID LISTS UNALIGNED",and($A696&lt;&gt;"",countif('3) Release_Label'!$D:$D,$A696)=0),"NO UPC MATCH in Release_Label",and($B696&lt;&gt;"",countif('3) Release_Label'!$E:$E,$B696)=0),"NO CATALOG ID MATCH in Release_Label",iserror(vlookup($A696&amp;$B696,'3) Release_Label'!$D:$D&amp;'3) Release_Label'!$E:$E,1,0)),"NO UPC-CATALOG ID pair MATCH in Release_Label" )</f>
        <v/>
      </c>
      <c r="E696" s="147" t="str">
        <f t="shared" si="1"/>
        <v/>
      </c>
      <c r="G696" s="97"/>
      <c r="H696" s="155"/>
      <c r="J696" s="92"/>
      <c r="K696" s="98"/>
      <c r="L696" s="92"/>
      <c r="N696" s="92"/>
      <c r="O696" s="92"/>
      <c r="P696" s="92"/>
    </row>
    <row r="697">
      <c r="A697" s="28"/>
      <c r="B697" s="97"/>
      <c r="C697" s="121" t="str">
        <f t="array" ref="C697">ifs(and(isblank($A697),isblank($B697)),"", not(iserror(vlookup($A697&amp;$B697,'3) Release_Label'!$D:$D&amp;'3) Release_Label'!$E:$E,1,0))),vlookup($A697&amp;$B697,{'3) Release_Label'!$D:$D&amp;'3) Release_Label'!$E:$E,'3) Release_Label'!$F:$F},2,0), or(and(not(isblank($B697)),$B697=$B696,$A697&lt;&gt;$A696),and(not(isblank($A697)),$A697=$A696,$B697&lt;&gt;$B696)),"ID LISTS UNALIGNED",and($A697&lt;&gt;"",countif('3) Release_Label'!$D:$D,$A697)=0),"NO UPC MATCH in Release_Label",and($B697&lt;&gt;"",countif('3) Release_Label'!$E:$E,$B697)=0),"NO CATALOG ID MATCH in Release_Label",iserror(vlookup($A697&amp;$B697,'3) Release_Label'!$D:$D&amp;'3) Release_Label'!$E:$E,1,0)),"NO UPC-CATALOG ID pair MATCH in Release_Label" )</f>
        <v/>
      </c>
      <c r="D697" s="121" t="str">
        <f t="array" ref="D697">ifs(and(isblank($A697),isblank($B697)),"", not(iserror(vlookup($A697&amp;$B697,'3) Release_Label'!$D:$D&amp;'3) Release_Label'!$E:$E,1,0))),vlookup($A697&amp;$B697,{'3) Release_Label'!$D:$D&amp;'3) Release_Label'!$E:$E,'3) Release_Label'!$H:$H},2,0), or(and(not(isblank($B697)),$B697=$B696,$A697&lt;&gt;$A696),and(not(isblank($A697)),$A697=$A696,$B697&lt;&gt;$B696)),"ID LISTS UNALIGNED",and($A697&lt;&gt;"",countif('3) Release_Label'!$D:$D,$A697)=0),"NO UPC MATCH in Release_Label",and($B697&lt;&gt;"",countif('3) Release_Label'!$E:$E,$B697)=0),"NO CATALOG ID MATCH in Release_Label",iserror(vlookup($A697&amp;$B697,'3) Release_Label'!$D:$D&amp;'3) Release_Label'!$E:$E,1,0)),"NO UPC-CATALOG ID pair MATCH in Release_Label" )</f>
        <v/>
      </c>
      <c r="E697" s="147" t="str">
        <f t="shared" si="1"/>
        <v/>
      </c>
      <c r="G697" s="97"/>
      <c r="H697" s="155"/>
      <c r="J697" s="92"/>
      <c r="K697" s="98"/>
      <c r="L697" s="92"/>
      <c r="N697" s="92"/>
      <c r="O697" s="92"/>
      <c r="P697" s="92"/>
    </row>
    <row r="698">
      <c r="A698" s="28"/>
      <c r="B698" s="97"/>
      <c r="C698" s="121" t="str">
        <f t="array" ref="C698">ifs(and(isblank($A698),isblank($B698)),"", not(iserror(vlookup($A698&amp;$B698,'3) Release_Label'!$D:$D&amp;'3) Release_Label'!$E:$E,1,0))),vlookup($A698&amp;$B698,{'3) Release_Label'!$D:$D&amp;'3) Release_Label'!$E:$E,'3) Release_Label'!$F:$F},2,0), or(and(not(isblank($B698)),$B698=$B697,$A698&lt;&gt;$A697),and(not(isblank($A698)),$A698=$A697,$B698&lt;&gt;$B697)),"ID LISTS UNALIGNED",and($A698&lt;&gt;"",countif('3) Release_Label'!$D:$D,$A698)=0),"NO UPC MATCH in Release_Label",and($B698&lt;&gt;"",countif('3) Release_Label'!$E:$E,$B698)=0),"NO CATALOG ID MATCH in Release_Label",iserror(vlookup($A698&amp;$B698,'3) Release_Label'!$D:$D&amp;'3) Release_Label'!$E:$E,1,0)),"NO UPC-CATALOG ID pair MATCH in Release_Label" )</f>
        <v/>
      </c>
      <c r="D698" s="121" t="str">
        <f t="array" ref="D698">ifs(and(isblank($A698),isblank($B698)),"", not(iserror(vlookup($A698&amp;$B698,'3) Release_Label'!$D:$D&amp;'3) Release_Label'!$E:$E,1,0))),vlookup($A698&amp;$B698,{'3) Release_Label'!$D:$D&amp;'3) Release_Label'!$E:$E,'3) Release_Label'!$H:$H},2,0), or(and(not(isblank($B698)),$B698=$B697,$A698&lt;&gt;$A697),and(not(isblank($A698)),$A698=$A697,$B698&lt;&gt;$B697)),"ID LISTS UNALIGNED",and($A698&lt;&gt;"",countif('3) Release_Label'!$D:$D,$A698)=0),"NO UPC MATCH in Release_Label",and($B698&lt;&gt;"",countif('3) Release_Label'!$E:$E,$B698)=0),"NO CATALOG ID MATCH in Release_Label",iserror(vlookup($A698&amp;$B698,'3) Release_Label'!$D:$D&amp;'3) Release_Label'!$E:$E,1,0)),"NO UPC-CATALOG ID pair MATCH in Release_Label" )</f>
        <v/>
      </c>
      <c r="E698" s="147" t="str">
        <f t="shared" si="1"/>
        <v/>
      </c>
      <c r="G698" s="97"/>
      <c r="H698" s="155"/>
      <c r="J698" s="92"/>
      <c r="K698" s="98"/>
      <c r="L698" s="92"/>
      <c r="N698" s="92"/>
      <c r="O698" s="92"/>
      <c r="P698" s="92"/>
    </row>
    <row r="699">
      <c r="A699" s="28"/>
      <c r="B699" s="97"/>
      <c r="C699" s="121" t="str">
        <f t="array" ref="C699">ifs(and(isblank($A699),isblank($B699)),"", not(iserror(vlookup($A699&amp;$B699,'3) Release_Label'!$D:$D&amp;'3) Release_Label'!$E:$E,1,0))),vlookup($A699&amp;$B699,{'3) Release_Label'!$D:$D&amp;'3) Release_Label'!$E:$E,'3) Release_Label'!$F:$F},2,0), or(and(not(isblank($B699)),$B699=$B698,$A699&lt;&gt;$A698),and(not(isblank($A699)),$A699=$A698,$B699&lt;&gt;$B698)),"ID LISTS UNALIGNED",and($A699&lt;&gt;"",countif('3) Release_Label'!$D:$D,$A699)=0),"NO UPC MATCH in Release_Label",and($B699&lt;&gt;"",countif('3) Release_Label'!$E:$E,$B699)=0),"NO CATALOG ID MATCH in Release_Label",iserror(vlookup($A699&amp;$B699,'3) Release_Label'!$D:$D&amp;'3) Release_Label'!$E:$E,1,0)),"NO UPC-CATALOG ID pair MATCH in Release_Label" )</f>
        <v/>
      </c>
      <c r="D699" s="121" t="str">
        <f t="array" ref="D699">ifs(and(isblank($A699),isblank($B699)),"", not(iserror(vlookup($A699&amp;$B699,'3) Release_Label'!$D:$D&amp;'3) Release_Label'!$E:$E,1,0))),vlookup($A699&amp;$B699,{'3) Release_Label'!$D:$D&amp;'3) Release_Label'!$E:$E,'3) Release_Label'!$H:$H},2,0), or(and(not(isblank($B699)),$B699=$B698,$A699&lt;&gt;$A698),and(not(isblank($A699)),$A699=$A698,$B699&lt;&gt;$B698)),"ID LISTS UNALIGNED",and($A699&lt;&gt;"",countif('3) Release_Label'!$D:$D,$A699)=0),"NO UPC MATCH in Release_Label",and($B699&lt;&gt;"",countif('3) Release_Label'!$E:$E,$B699)=0),"NO CATALOG ID MATCH in Release_Label",iserror(vlookup($A699&amp;$B699,'3) Release_Label'!$D:$D&amp;'3) Release_Label'!$E:$E,1,0)),"NO UPC-CATALOG ID pair MATCH in Release_Label" )</f>
        <v/>
      </c>
      <c r="E699" s="147" t="str">
        <f t="shared" si="1"/>
        <v/>
      </c>
      <c r="G699" s="97"/>
      <c r="H699" s="155"/>
      <c r="J699" s="92"/>
      <c r="K699" s="98"/>
      <c r="L699" s="92"/>
      <c r="N699" s="92"/>
      <c r="O699" s="92"/>
      <c r="P699" s="92"/>
    </row>
    <row r="700">
      <c r="A700" s="28"/>
      <c r="B700" s="97"/>
      <c r="C700" s="121" t="str">
        <f t="array" ref="C700">ifs(and(isblank($A700),isblank($B700)),"", not(iserror(vlookup($A700&amp;$B700,'3) Release_Label'!$D:$D&amp;'3) Release_Label'!$E:$E,1,0))),vlookup($A700&amp;$B700,{'3) Release_Label'!$D:$D&amp;'3) Release_Label'!$E:$E,'3) Release_Label'!$F:$F},2,0), or(and(not(isblank($B700)),$B700=$B699,$A700&lt;&gt;$A699),and(not(isblank($A700)),$A700=$A699,$B700&lt;&gt;$B699)),"ID LISTS UNALIGNED",and($A700&lt;&gt;"",countif('3) Release_Label'!$D:$D,$A700)=0),"NO UPC MATCH in Release_Label",and($B700&lt;&gt;"",countif('3) Release_Label'!$E:$E,$B700)=0),"NO CATALOG ID MATCH in Release_Label",iserror(vlookup($A700&amp;$B700,'3) Release_Label'!$D:$D&amp;'3) Release_Label'!$E:$E,1,0)),"NO UPC-CATALOG ID pair MATCH in Release_Label" )</f>
        <v/>
      </c>
      <c r="D700" s="121" t="str">
        <f t="array" ref="D700">ifs(and(isblank($A700),isblank($B700)),"", not(iserror(vlookup($A700&amp;$B700,'3) Release_Label'!$D:$D&amp;'3) Release_Label'!$E:$E,1,0))),vlookup($A700&amp;$B700,{'3) Release_Label'!$D:$D&amp;'3) Release_Label'!$E:$E,'3) Release_Label'!$H:$H},2,0), or(and(not(isblank($B700)),$B700=$B699,$A700&lt;&gt;$A699),and(not(isblank($A700)),$A700=$A699,$B700&lt;&gt;$B699)),"ID LISTS UNALIGNED",and($A700&lt;&gt;"",countif('3) Release_Label'!$D:$D,$A700)=0),"NO UPC MATCH in Release_Label",and($B700&lt;&gt;"",countif('3) Release_Label'!$E:$E,$B700)=0),"NO CATALOG ID MATCH in Release_Label",iserror(vlookup($A700&amp;$B700,'3) Release_Label'!$D:$D&amp;'3) Release_Label'!$E:$E,1,0)),"NO UPC-CATALOG ID pair MATCH in Release_Label" )</f>
        <v/>
      </c>
      <c r="E700" s="147" t="str">
        <f t="shared" si="1"/>
        <v/>
      </c>
      <c r="G700" s="97"/>
      <c r="H700" s="155"/>
      <c r="J700" s="92"/>
      <c r="K700" s="98"/>
      <c r="L700" s="92"/>
      <c r="N700" s="92"/>
      <c r="O700" s="92"/>
      <c r="P700" s="92"/>
    </row>
    <row r="701">
      <c r="A701" s="28"/>
      <c r="B701" s="97"/>
      <c r="C701" s="121" t="str">
        <f t="array" ref="C701">ifs(and(isblank($A701),isblank($B701)),"", not(iserror(vlookup($A701&amp;$B701,'3) Release_Label'!$D:$D&amp;'3) Release_Label'!$E:$E,1,0))),vlookup($A701&amp;$B701,{'3) Release_Label'!$D:$D&amp;'3) Release_Label'!$E:$E,'3) Release_Label'!$F:$F},2,0), or(and(not(isblank($B701)),$B701=$B700,$A701&lt;&gt;$A700),and(not(isblank($A701)),$A701=$A700,$B701&lt;&gt;$B700)),"ID LISTS UNALIGNED",and($A701&lt;&gt;"",countif('3) Release_Label'!$D:$D,$A701)=0),"NO UPC MATCH in Release_Label",and($B701&lt;&gt;"",countif('3) Release_Label'!$E:$E,$B701)=0),"NO CATALOG ID MATCH in Release_Label",iserror(vlookup($A701&amp;$B701,'3) Release_Label'!$D:$D&amp;'3) Release_Label'!$E:$E,1,0)),"NO UPC-CATALOG ID pair MATCH in Release_Label" )</f>
        <v/>
      </c>
      <c r="D701" s="121" t="str">
        <f t="array" ref="D701">ifs(and(isblank($A701),isblank($B701)),"", not(iserror(vlookup($A701&amp;$B701,'3) Release_Label'!$D:$D&amp;'3) Release_Label'!$E:$E,1,0))),vlookup($A701&amp;$B701,{'3) Release_Label'!$D:$D&amp;'3) Release_Label'!$E:$E,'3) Release_Label'!$H:$H},2,0), or(and(not(isblank($B701)),$B701=$B700,$A701&lt;&gt;$A700),and(not(isblank($A701)),$A701=$A700,$B701&lt;&gt;$B700)),"ID LISTS UNALIGNED",and($A701&lt;&gt;"",countif('3) Release_Label'!$D:$D,$A701)=0),"NO UPC MATCH in Release_Label",and($B701&lt;&gt;"",countif('3) Release_Label'!$E:$E,$B701)=0),"NO CATALOG ID MATCH in Release_Label",iserror(vlookup($A701&amp;$B701,'3) Release_Label'!$D:$D&amp;'3) Release_Label'!$E:$E,1,0)),"NO UPC-CATALOG ID pair MATCH in Release_Label" )</f>
        <v/>
      </c>
      <c r="E701" s="147" t="str">
        <f t="shared" si="1"/>
        <v/>
      </c>
      <c r="G701" s="97"/>
      <c r="H701" s="155"/>
      <c r="J701" s="92"/>
      <c r="K701" s="98"/>
      <c r="L701" s="92"/>
      <c r="N701" s="92"/>
      <c r="O701" s="92"/>
      <c r="P701" s="92"/>
    </row>
    <row r="702">
      <c r="A702" s="28"/>
      <c r="B702" s="97"/>
      <c r="C702" s="121" t="str">
        <f t="array" ref="C702">ifs(and(isblank($A702),isblank($B702)),"", not(iserror(vlookup($A702&amp;$B702,'3) Release_Label'!$D:$D&amp;'3) Release_Label'!$E:$E,1,0))),vlookup($A702&amp;$B702,{'3) Release_Label'!$D:$D&amp;'3) Release_Label'!$E:$E,'3) Release_Label'!$F:$F},2,0), or(and(not(isblank($B702)),$B702=$B701,$A702&lt;&gt;$A701),and(not(isblank($A702)),$A702=$A701,$B702&lt;&gt;$B701)),"ID LISTS UNALIGNED",and($A702&lt;&gt;"",countif('3) Release_Label'!$D:$D,$A702)=0),"NO UPC MATCH in Release_Label",and($B702&lt;&gt;"",countif('3) Release_Label'!$E:$E,$B702)=0),"NO CATALOG ID MATCH in Release_Label",iserror(vlookup($A702&amp;$B702,'3) Release_Label'!$D:$D&amp;'3) Release_Label'!$E:$E,1,0)),"NO UPC-CATALOG ID pair MATCH in Release_Label" )</f>
        <v/>
      </c>
      <c r="D702" s="121" t="str">
        <f t="array" ref="D702">ifs(and(isblank($A702),isblank($B702)),"", not(iserror(vlookup($A702&amp;$B702,'3) Release_Label'!$D:$D&amp;'3) Release_Label'!$E:$E,1,0))),vlookup($A702&amp;$B702,{'3) Release_Label'!$D:$D&amp;'3) Release_Label'!$E:$E,'3) Release_Label'!$H:$H},2,0), or(and(not(isblank($B702)),$B702=$B701,$A702&lt;&gt;$A701),and(not(isblank($A702)),$A702=$A701,$B702&lt;&gt;$B701)),"ID LISTS UNALIGNED",and($A702&lt;&gt;"",countif('3) Release_Label'!$D:$D,$A702)=0),"NO UPC MATCH in Release_Label",and($B702&lt;&gt;"",countif('3) Release_Label'!$E:$E,$B702)=0),"NO CATALOG ID MATCH in Release_Label",iserror(vlookup($A702&amp;$B702,'3) Release_Label'!$D:$D&amp;'3) Release_Label'!$E:$E,1,0)),"NO UPC-CATALOG ID pair MATCH in Release_Label" )</f>
        <v/>
      </c>
      <c r="E702" s="147" t="str">
        <f t="shared" si="1"/>
        <v/>
      </c>
      <c r="G702" s="97"/>
      <c r="H702" s="155"/>
      <c r="J702" s="92"/>
      <c r="K702" s="98"/>
      <c r="L702" s="92"/>
      <c r="N702" s="92"/>
      <c r="O702" s="92"/>
      <c r="P702" s="92"/>
    </row>
    <row r="703">
      <c r="A703" s="28"/>
      <c r="B703" s="97"/>
      <c r="C703" s="121" t="str">
        <f t="array" ref="C703">ifs(and(isblank($A703),isblank($B703)),"", not(iserror(vlookup($A703&amp;$B703,'3) Release_Label'!$D:$D&amp;'3) Release_Label'!$E:$E,1,0))),vlookup($A703&amp;$B703,{'3) Release_Label'!$D:$D&amp;'3) Release_Label'!$E:$E,'3) Release_Label'!$F:$F},2,0), or(and(not(isblank($B703)),$B703=$B702,$A703&lt;&gt;$A702),and(not(isblank($A703)),$A703=$A702,$B703&lt;&gt;$B702)),"ID LISTS UNALIGNED",and($A703&lt;&gt;"",countif('3) Release_Label'!$D:$D,$A703)=0),"NO UPC MATCH in Release_Label",and($B703&lt;&gt;"",countif('3) Release_Label'!$E:$E,$B703)=0),"NO CATALOG ID MATCH in Release_Label",iserror(vlookup($A703&amp;$B703,'3) Release_Label'!$D:$D&amp;'3) Release_Label'!$E:$E,1,0)),"NO UPC-CATALOG ID pair MATCH in Release_Label" )</f>
        <v/>
      </c>
      <c r="D703" s="121" t="str">
        <f t="array" ref="D703">ifs(and(isblank($A703),isblank($B703)),"", not(iserror(vlookup($A703&amp;$B703,'3) Release_Label'!$D:$D&amp;'3) Release_Label'!$E:$E,1,0))),vlookup($A703&amp;$B703,{'3) Release_Label'!$D:$D&amp;'3) Release_Label'!$E:$E,'3) Release_Label'!$H:$H},2,0), or(and(not(isblank($B703)),$B703=$B702,$A703&lt;&gt;$A702),and(not(isblank($A703)),$A703=$A702,$B703&lt;&gt;$B702)),"ID LISTS UNALIGNED",and($A703&lt;&gt;"",countif('3) Release_Label'!$D:$D,$A703)=0),"NO UPC MATCH in Release_Label",and($B703&lt;&gt;"",countif('3) Release_Label'!$E:$E,$B703)=0),"NO CATALOG ID MATCH in Release_Label",iserror(vlookup($A703&amp;$B703,'3) Release_Label'!$D:$D&amp;'3) Release_Label'!$E:$E,1,0)),"NO UPC-CATALOG ID pair MATCH in Release_Label" )</f>
        <v/>
      </c>
      <c r="E703" s="147" t="str">
        <f t="shared" si="1"/>
        <v/>
      </c>
      <c r="G703" s="97"/>
      <c r="H703" s="155"/>
      <c r="J703" s="92"/>
      <c r="K703" s="98"/>
      <c r="L703" s="92"/>
      <c r="N703" s="92"/>
      <c r="O703" s="92"/>
      <c r="P703" s="92"/>
    </row>
    <row r="704">
      <c r="A704" s="28"/>
      <c r="B704" s="97"/>
      <c r="C704" s="121" t="str">
        <f t="array" ref="C704">ifs(and(isblank($A704),isblank($B704)),"", not(iserror(vlookup($A704&amp;$B704,'3) Release_Label'!$D:$D&amp;'3) Release_Label'!$E:$E,1,0))),vlookup($A704&amp;$B704,{'3) Release_Label'!$D:$D&amp;'3) Release_Label'!$E:$E,'3) Release_Label'!$F:$F},2,0), or(and(not(isblank($B704)),$B704=$B703,$A704&lt;&gt;$A703),and(not(isblank($A704)),$A704=$A703,$B704&lt;&gt;$B703)),"ID LISTS UNALIGNED",and($A704&lt;&gt;"",countif('3) Release_Label'!$D:$D,$A704)=0),"NO UPC MATCH in Release_Label",and($B704&lt;&gt;"",countif('3) Release_Label'!$E:$E,$B704)=0),"NO CATALOG ID MATCH in Release_Label",iserror(vlookup($A704&amp;$B704,'3) Release_Label'!$D:$D&amp;'3) Release_Label'!$E:$E,1,0)),"NO UPC-CATALOG ID pair MATCH in Release_Label" )</f>
        <v/>
      </c>
      <c r="D704" s="121" t="str">
        <f t="array" ref="D704">ifs(and(isblank($A704),isblank($B704)),"", not(iserror(vlookup($A704&amp;$B704,'3) Release_Label'!$D:$D&amp;'3) Release_Label'!$E:$E,1,0))),vlookup($A704&amp;$B704,{'3) Release_Label'!$D:$D&amp;'3) Release_Label'!$E:$E,'3) Release_Label'!$H:$H},2,0), or(and(not(isblank($B704)),$B704=$B703,$A704&lt;&gt;$A703),and(not(isblank($A704)),$A704=$A703,$B704&lt;&gt;$B703)),"ID LISTS UNALIGNED",and($A704&lt;&gt;"",countif('3) Release_Label'!$D:$D,$A704)=0),"NO UPC MATCH in Release_Label",and($B704&lt;&gt;"",countif('3) Release_Label'!$E:$E,$B704)=0),"NO CATALOG ID MATCH in Release_Label",iserror(vlookup($A704&amp;$B704,'3) Release_Label'!$D:$D&amp;'3) Release_Label'!$E:$E,1,0)),"NO UPC-CATALOG ID pair MATCH in Release_Label" )</f>
        <v/>
      </c>
      <c r="E704" s="147" t="str">
        <f t="shared" si="1"/>
        <v/>
      </c>
      <c r="G704" s="97"/>
      <c r="H704" s="155"/>
      <c r="J704" s="92"/>
      <c r="K704" s="98"/>
      <c r="L704" s="92"/>
      <c r="N704" s="92"/>
      <c r="O704" s="92"/>
      <c r="P704" s="92"/>
    </row>
    <row r="705">
      <c r="A705" s="28"/>
      <c r="B705" s="97"/>
      <c r="C705" s="121" t="str">
        <f t="array" ref="C705">ifs(and(isblank($A705),isblank($B705)),"", not(iserror(vlookup($A705&amp;$B705,'3) Release_Label'!$D:$D&amp;'3) Release_Label'!$E:$E,1,0))),vlookup($A705&amp;$B705,{'3) Release_Label'!$D:$D&amp;'3) Release_Label'!$E:$E,'3) Release_Label'!$F:$F},2,0), or(and(not(isblank($B705)),$B705=$B704,$A705&lt;&gt;$A704),and(not(isblank($A705)),$A705=$A704,$B705&lt;&gt;$B704)),"ID LISTS UNALIGNED",and($A705&lt;&gt;"",countif('3) Release_Label'!$D:$D,$A705)=0),"NO UPC MATCH in Release_Label",and($B705&lt;&gt;"",countif('3) Release_Label'!$E:$E,$B705)=0),"NO CATALOG ID MATCH in Release_Label",iserror(vlookup($A705&amp;$B705,'3) Release_Label'!$D:$D&amp;'3) Release_Label'!$E:$E,1,0)),"NO UPC-CATALOG ID pair MATCH in Release_Label" )</f>
        <v/>
      </c>
      <c r="D705" s="121" t="str">
        <f t="array" ref="D705">ifs(and(isblank($A705),isblank($B705)),"", not(iserror(vlookup($A705&amp;$B705,'3) Release_Label'!$D:$D&amp;'3) Release_Label'!$E:$E,1,0))),vlookup($A705&amp;$B705,{'3) Release_Label'!$D:$D&amp;'3) Release_Label'!$E:$E,'3) Release_Label'!$H:$H},2,0), or(and(not(isblank($B705)),$B705=$B704,$A705&lt;&gt;$A704),and(not(isblank($A705)),$A705=$A704,$B705&lt;&gt;$B704)),"ID LISTS UNALIGNED",and($A705&lt;&gt;"",countif('3) Release_Label'!$D:$D,$A705)=0),"NO UPC MATCH in Release_Label",and($B705&lt;&gt;"",countif('3) Release_Label'!$E:$E,$B705)=0),"NO CATALOG ID MATCH in Release_Label",iserror(vlookup($A705&amp;$B705,'3) Release_Label'!$D:$D&amp;'3) Release_Label'!$E:$E,1,0)),"NO UPC-CATALOG ID pair MATCH in Release_Label" )</f>
        <v/>
      </c>
      <c r="E705" s="147" t="str">
        <f t="shared" si="1"/>
        <v/>
      </c>
      <c r="G705" s="97"/>
      <c r="H705" s="155"/>
      <c r="J705" s="92"/>
      <c r="K705" s="98"/>
      <c r="L705" s="92"/>
      <c r="N705" s="92"/>
      <c r="O705" s="92"/>
      <c r="P705" s="92"/>
    </row>
    <row r="706">
      <c r="A706" s="28"/>
      <c r="B706" s="97"/>
      <c r="C706" s="121" t="str">
        <f t="array" ref="C706">ifs(and(isblank($A706),isblank($B706)),"", not(iserror(vlookup($A706&amp;$B706,'3) Release_Label'!$D:$D&amp;'3) Release_Label'!$E:$E,1,0))),vlookup($A706&amp;$B706,{'3) Release_Label'!$D:$D&amp;'3) Release_Label'!$E:$E,'3) Release_Label'!$F:$F},2,0), or(and(not(isblank($B706)),$B706=$B705,$A706&lt;&gt;$A705),and(not(isblank($A706)),$A706=$A705,$B706&lt;&gt;$B705)),"ID LISTS UNALIGNED",and($A706&lt;&gt;"",countif('3) Release_Label'!$D:$D,$A706)=0),"NO UPC MATCH in Release_Label",and($B706&lt;&gt;"",countif('3) Release_Label'!$E:$E,$B706)=0),"NO CATALOG ID MATCH in Release_Label",iserror(vlookup($A706&amp;$B706,'3) Release_Label'!$D:$D&amp;'3) Release_Label'!$E:$E,1,0)),"NO UPC-CATALOG ID pair MATCH in Release_Label" )</f>
        <v/>
      </c>
      <c r="D706" s="121" t="str">
        <f t="array" ref="D706">ifs(and(isblank($A706),isblank($B706)),"", not(iserror(vlookup($A706&amp;$B706,'3) Release_Label'!$D:$D&amp;'3) Release_Label'!$E:$E,1,0))),vlookup($A706&amp;$B706,{'3) Release_Label'!$D:$D&amp;'3) Release_Label'!$E:$E,'3) Release_Label'!$H:$H},2,0), or(and(not(isblank($B706)),$B706=$B705,$A706&lt;&gt;$A705),and(not(isblank($A706)),$A706=$A705,$B706&lt;&gt;$B705)),"ID LISTS UNALIGNED",and($A706&lt;&gt;"",countif('3) Release_Label'!$D:$D,$A706)=0),"NO UPC MATCH in Release_Label",and($B706&lt;&gt;"",countif('3) Release_Label'!$E:$E,$B706)=0),"NO CATALOG ID MATCH in Release_Label",iserror(vlookup($A706&amp;$B706,'3) Release_Label'!$D:$D&amp;'3) Release_Label'!$E:$E,1,0)),"NO UPC-CATALOG ID pair MATCH in Release_Label" )</f>
        <v/>
      </c>
      <c r="E706" s="147" t="str">
        <f t="shared" si="1"/>
        <v/>
      </c>
      <c r="G706" s="97"/>
      <c r="H706" s="155"/>
      <c r="J706" s="92"/>
      <c r="K706" s="98"/>
      <c r="L706" s="92"/>
      <c r="N706" s="92"/>
      <c r="O706" s="92"/>
      <c r="P706" s="92"/>
    </row>
    <row r="707">
      <c r="A707" s="28"/>
      <c r="B707" s="97"/>
      <c r="C707" s="121" t="str">
        <f t="array" ref="C707">ifs(and(isblank($A707),isblank($B707)),"", not(iserror(vlookup($A707&amp;$B707,'3) Release_Label'!$D:$D&amp;'3) Release_Label'!$E:$E,1,0))),vlookup($A707&amp;$B707,{'3) Release_Label'!$D:$D&amp;'3) Release_Label'!$E:$E,'3) Release_Label'!$F:$F},2,0), or(and(not(isblank($B707)),$B707=$B706,$A707&lt;&gt;$A706),and(not(isblank($A707)),$A707=$A706,$B707&lt;&gt;$B706)),"ID LISTS UNALIGNED",and($A707&lt;&gt;"",countif('3) Release_Label'!$D:$D,$A707)=0),"NO UPC MATCH in Release_Label",and($B707&lt;&gt;"",countif('3) Release_Label'!$E:$E,$B707)=0),"NO CATALOG ID MATCH in Release_Label",iserror(vlookup($A707&amp;$B707,'3) Release_Label'!$D:$D&amp;'3) Release_Label'!$E:$E,1,0)),"NO UPC-CATALOG ID pair MATCH in Release_Label" )</f>
        <v/>
      </c>
      <c r="D707" s="121" t="str">
        <f t="array" ref="D707">ifs(and(isblank($A707),isblank($B707)),"", not(iserror(vlookup($A707&amp;$B707,'3) Release_Label'!$D:$D&amp;'3) Release_Label'!$E:$E,1,0))),vlookup($A707&amp;$B707,{'3) Release_Label'!$D:$D&amp;'3) Release_Label'!$E:$E,'3) Release_Label'!$H:$H},2,0), or(and(not(isblank($B707)),$B707=$B706,$A707&lt;&gt;$A706),and(not(isblank($A707)),$A707=$A706,$B707&lt;&gt;$B706)),"ID LISTS UNALIGNED",and($A707&lt;&gt;"",countif('3) Release_Label'!$D:$D,$A707)=0),"NO UPC MATCH in Release_Label",and($B707&lt;&gt;"",countif('3) Release_Label'!$E:$E,$B707)=0),"NO CATALOG ID MATCH in Release_Label",iserror(vlookup($A707&amp;$B707,'3) Release_Label'!$D:$D&amp;'3) Release_Label'!$E:$E,1,0)),"NO UPC-CATALOG ID pair MATCH in Release_Label" )</f>
        <v/>
      </c>
      <c r="E707" s="147" t="str">
        <f t="shared" si="1"/>
        <v/>
      </c>
      <c r="G707" s="97"/>
      <c r="H707" s="155"/>
      <c r="J707" s="92"/>
      <c r="K707" s="98"/>
      <c r="L707" s="92"/>
      <c r="N707" s="92"/>
      <c r="O707" s="92"/>
      <c r="P707" s="92"/>
    </row>
    <row r="708">
      <c r="A708" s="28"/>
      <c r="B708" s="97"/>
      <c r="C708" s="121" t="str">
        <f t="array" ref="C708">ifs(and(isblank($A708),isblank($B708)),"", not(iserror(vlookup($A708&amp;$B708,'3) Release_Label'!$D:$D&amp;'3) Release_Label'!$E:$E,1,0))),vlookup($A708&amp;$B708,{'3) Release_Label'!$D:$D&amp;'3) Release_Label'!$E:$E,'3) Release_Label'!$F:$F},2,0), or(and(not(isblank($B708)),$B708=$B707,$A708&lt;&gt;$A707),and(not(isblank($A708)),$A708=$A707,$B708&lt;&gt;$B707)),"ID LISTS UNALIGNED",and($A708&lt;&gt;"",countif('3) Release_Label'!$D:$D,$A708)=0),"NO UPC MATCH in Release_Label",and($B708&lt;&gt;"",countif('3) Release_Label'!$E:$E,$B708)=0),"NO CATALOG ID MATCH in Release_Label",iserror(vlookup($A708&amp;$B708,'3) Release_Label'!$D:$D&amp;'3) Release_Label'!$E:$E,1,0)),"NO UPC-CATALOG ID pair MATCH in Release_Label" )</f>
        <v/>
      </c>
      <c r="D708" s="121" t="str">
        <f t="array" ref="D708">ifs(and(isblank($A708),isblank($B708)),"", not(iserror(vlookup($A708&amp;$B708,'3) Release_Label'!$D:$D&amp;'3) Release_Label'!$E:$E,1,0))),vlookup($A708&amp;$B708,{'3) Release_Label'!$D:$D&amp;'3) Release_Label'!$E:$E,'3) Release_Label'!$H:$H},2,0), or(and(not(isblank($B708)),$B708=$B707,$A708&lt;&gt;$A707),and(not(isblank($A708)),$A708=$A707,$B708&lt;&gt;$B707)),"ID LISTS UNALIGNED",and($A708&lt;&gt;"",countif('3) Release_Label'!$D:$D,$A708)=0),"NO UPC MATCH in Release_Label",and($B708&lt;&gt;"",countif('3) Release_Label'!$E:$E,$B708)=0),"NO CATALOG ID MATCH in Release_Label",iserror(vlookup($A708&amp;$B708,'3) Release_Label'!$D:$D&amp;'3) Release_Label'!$E:$E,1,0)),"NO UPC-CATALOG ID pair MATCH in Release_Label" )</f>
        <v/>
      </c>
      <c r="E708" s="147" t="str">
        <f t="shared" si="1"/>
        <v/>
      </c>
      <c r="G708" s="97"/>
      <c r="H708" s="155"/>
      <c r="J708" s="92"/>
      <c r="K708" s="98"/>
      <c r="L708" s="92"/>
      <c r="N708" s="92"/>
      <c r="O708" s="92"/>
      <c r="P708" s="92"/>
    </row>
    <row r="709">
      <c r="A709" s="28"/>
      <c r="B709" s="97"/>
      <c r="C709" s="121" t="str">
        <f t="array" ref="C709">ifs(and(isblank($A709),isblank($B709)),"", not(iserror(vlookup($A709&amp;$B709,'3) Release_Label'!$D:$D&amp;'3) Release_Label'!$E:$E,1,0))),vlookup($A709&amp;$B709,{'3) Release_Label'!$D:$D&amp;'3) Release_Label'!$E:$E,'3) Release_Label'!$F:$F},2,0), or(and(not(isblank($B709)),$B709=$B708,$A709&lt;&gt;$A708),and(not(isblank($A709)),$A709=$A708,$B709&lt;&gt;$B708)),"ID LISTS UNALIGNED",and($A709&lt;&gt;"",countif('3) Release_Label'!$D:$D,$A709)=0),"NO UPC MATCH in Release_Label",and($B709&lt;&gt;"",countif('3) Release_Label'!$E:$E,$B709)=0),"NO CATALOG ID MATCH in Release_Label",iserror(vlookup($A709&amp;$B709,'3) Release_Label'!$D:$D&amp;'3) Release_Label'!$E:$E,1,0)),"NO UPC-CATALOG ID pair MATCH in Release_Label" )</f>
        <v/>
      </c>
      <c r="D709" s="121" t="str">
        <f t="array" ref="D709">ifs(and(isblank($A709),isblank($B709)),"", not(iserror(vlookup($A709&amp;$B709,'3) Release_Label'!$D:$D&amp;'3) Release_Label'!$E:$E,1,0))),vlookup($A709&amp;$B709,{'3) Release_Label'!$D:$D&amp;'3) Release_Label'!$E:$E,'3) Release_Label'!$H:$H},2,0), or(and(not(isblank($B709)),$B709=$B708,$A709&lt;&gt;$A708),and(not(isblank($A709)),$A709=$A708,$B709&lt;&gt;$B708)),"ID LISTS UNALIGNED",and($A709&lt;&gt;"",countif('3) Release_Label'!$D:$D,$A709)=0),"NO UPC MATCH in Release_Label",and($B709&lt;&gt;"",countif('3) Release_Label'!$E:$E,$B709)=0),"NO CATALOG ID MATCH in Release_Label",iserror(vlookup($A709&amp;$B709,'3) Release_Label'!$D:$D&amp;'3) Release_Label'!$E:$E,1,0)),"NO UPC-CATALOG ID pair MATCH in Release_Label" )</f>
        <v/>
      </c>
      <c r="E709" s="147" t="str">
        <f t="shared" si="1"/>
        <v/>
      </c>
      <c r="G709" s="97"/>
      <c r="H709" s="155"/>
      <c r="J709" s="92"/>
      <c r="K709" s="98"/>
      <c r="L709" s="92"/>
      <c r="N709" s="92"/>
      <c r="O709" s="92"/>
      <c r="P709" s="92"/>
    </row>
    <row r="710">
      <c r="A710" s="28"/>
      <c r="B710" s="97"/>
      <c r="C710" s="121" t="str">
        <f t="array" ref="C710">ifs(and(isblank($A710),isblank($B710)),"", not(iserror(vlookup($A710&amp;$B710,'3) Release_Label'!$D:$D&amp;'3) Release_Label'!$E:$E,1,0))),vlookup($A710&amp;$B710,{'3) Release_Label'!$D:$D&amp;'3) Release_Label'!$E:$E,'3) Release_Label'!$F:$F},2,0), or(and(not(isblank($B710)),$B710=$B709,$A710&lt;&gt;$A709),and(not(isblank($A710)),$A710=$A709,$B710&lt;&gt;$B709)),"ID LISTS UNALIGNED",and($A710&lt;&gt;"",countif('3) Release_Label'!$D:$D,$A710)=0),"NO UPC MATCH in Release_Label",and($B710&lt;&gt;"",countif('3) Release_Label'!$E:$E,$B710)=0),"NO CATALOG ID MATCH in Release_Label",iserror(vlookup($A710&amp;$B710,'3) Release_Label'!$D:$D&amp;'3) Release_Label'!$E:$E,1,0)),"NO UPC-CATALOG ID pair MATCH in Release_Label" )</f>
        <v/>
      </c>
      <c r="D710" s="121" t="str">
        <f t="array" ref="D710">ifs(and(isblank($A710),isblank($B710)),"", not(iserror(vlookup($A710&amp;$B710,'3) Release_Label'!$D:$D&amp;'3) Release_Label'!$E:$E,1,0))),vlookup($A710&amp;$B710,{'3) Release_Label'!$D:$D&amp;'3) Release_Label'!$E:$E,'3) Release_Label'!$H:$H},2,0), or(and(not(isblank($B710)),$B710=$B709,$A710&lt;&gt;$A709),and(not(isblank($A710)),$A710=$A709,$B710&lt;&gt;$B709)),"ID LISTS UNALIGNED",and($A710&lt;&gt;"",countif('3) Release_Label'!$D:$D,$A710)=0),"NO UPC MATCH in Release_Label",and($B710&lt;&gt;"",countif('3) Release_Label'!$E:$E,$B710)=0),"NO CATALOG ID MATCH in Release_Label",iserror(vlookup($A710&amp;$B710,'3) Release_Label'!$D:$D&amp;'3) Release_Label'!$E:$E,1,0)),"NO UPC-CATALOG ID pair MATCH in Release_Label" )</f>
        <v/>
      </c>
      <c r="E710" s="147" t="str">
        <f t="shared" si="1"/>
        <v/>
      </c>
      <c r="G710" s="97"/>
      <c r="H710" s="155"/>
      <c r="J710" s="92"/>
      <c r="K710" s="98"/>
      <c r="L710" s="92"/>
      <c r="N710" s="92"/>
      <c r="O710" s="92"/>
      <c r="P710" s="92"/>
    </row>
    <row r="711">
      <c r="A711" s="28"/>
      <c r="B711" s="97"/>
      <c r="C711" s="121" t="str">
        <f t="array" ref="C711">ifs(and(isblank($A711),isblank($B711)),"", not(iserror(vlookup($A711&amp;$B711,'3) Release_Label'!$D:$D&amp;'3) Release_Label'!$E:$E,1,0))),vlookup($A711&amp;$B711,{'3) Release_Label'!$D:$D&amp;'3) Release_Label'!$E:$E,'3) Release_Label'!$F:$F},2,0), or(and(not(isblank($B711)),$B711=$B710,$A711&lt;&gt;$A710),and(not(isblank($A711)),$A711=$A710,$B711&lt;&gt;$B710)),"ID LISTS UNALIGNED",and($A711&lt;&gt;"",countif('3) Release_Label'!$D:$D,$A711)=0),"NO UPC MATCH in Release_Label",and($B711&lt;&gt;"",countif('3) Release_Label'!$E:$E,$B711)=0),"NO CATALOG ID MATCH in Release_Label",iserror(vlookup($A711&amp;$B711,'3) Release_Label'!$D:$D&amp;'3) Release_Label'!$E:$E,1,0)),"NO UPC-CATALOG ID pair MATCH in Release_Label" )</f>
        <v/>
      </c>
      <c r="D711" s="121" t="str">
        <f t="array" ref="D711">ifs(and(isblank($A711),isblank($B711)),"", not(iserror(vlookup($A711&amp;$B711,'3) Release_Label'!$D:$D&amp;'3) Release_Label'!$E:$E,1,0))),vlookup($A711&amp;$B711,{'3) Release_Label'!$D:$D&amp;'3) Release_Label'!$E:$E,'3) Release_Label'!$H:$H},2,0), or(and(not(isblank($B711)),$B711=$B710,$A711&lt;&gt;$A710),and(not(isblank($A711)),$A711=$A710,$B711&lt;&gt;$B710)),"ID LISTS UNALIGNED",and($A711&lt;&gt;"",countif('3) Release_Label'!$D:$D,$A711)=0),"NO UPC MATCH in Release_Label",and($B711&lt;&gt;"",countif('3) Release_Label'!$E:$E,$B711)=0),"NO CATALOG ID MATCH in Release_Label",iserror(vlookup($A711&amp;$B711,'3) Release_Label'!$D:$D&amp;'3) Release_Label'!$E:$E,1,0)),"NO UPC-CATALOG ID pair MATCH in Release_Label" )</f>
        <v/>
      </c>
      <c r="E711" s="147" t="str">
        <f t="shared" si="1"/>
        <v/>
      </c>
      <c r="G711" s="97"/>
      <c r="H711" s="155"/>
      <c r="J711" s="92"/>
      <c r="K711" s="98"/>
      <c r="L711" s="92"/>
      <c r="N711" s="92"/>
      <c r="O711" s="92"/>
      <c r="P711" s="92"/>
    </row>
    <row r="712">
      <c r="A712" s="28"/>
      <c r="B712" s="97"/>
      <c r="C712" s="121" t="str">
        <f t="array" ref="C712">ifs(and(isblank($A712),isblank($B712)),"", not(iserror(vlookup($A712&amp;$B712,'3) Release_Label'!$D:$D&amp;'3) Release_Label'!$E:$E,1,0))),vlookup($A712&amp;$B712,{'3) Release_Label'!$D:$D&amp;'3) Release_Label'!$E:$E,'3) Release_Label'!$F:$F},2,0), or(and(not(isblank($B712)),$B712=$B711,$A712&lt;&gt;$A711),and(not(isblank($A712)),$A712=$A711,$B712&lt;&gt;$B711)),"ID LISTS UNALIGNED",and($A712&lt;&gt;"",countif('3) Release_Label'!$D:$D,$A712)=0),"NO UPC MATCH in Release_Label",and($B712&lt;&gt;"",countif('3) Release_Label'!$E:$E,$B712)=0),"NO CATALOG ID MATCH in Release_Label",iserror(vlookup($A712&amp;$B712,'3) Release_Label'!$D:$D&amp;'3) Release_Label'!$E:$E,1,0)),"NO UPC-CATALOG ID pair MATCH in Release_Label" )</f>
        <v/>
      </c>
      <c r="D712" s="121" t="str">
        <f t="array" ref="D712">ifs(and(isblank($A712),isblank($B712)),"", not(iserror(vlookup($A712&amp;$B712,'3) Release_Label'!$D:$D&amp;'3) Release_Label'!$E:$E,1,0))),vlookup($A712&amp;$B712,{'3) Release_Label'!$D:$D&amp;'3) Release_Label'!$E:$E,'3) Release_Label'!$H:$H},2,0), or(and(not(isblank($B712)),$B712=$B711,$A712&lt;&gt;$A711),and(not(isblank($A712)),$A712=$A711,$B712&lt;&gt;$B711)),"ID LISTS UNALIGNED",and($A712&lt;&gt;"",countif('3) Release_Label'!$D:$D,$A712)=0),"NO UPC MATCH in Release_Label",and($B712&lt;&gt;"",countif('3) Release_Label'!$E:$E,$B712)=0),"NO CATALOG ID MATCH in Release_Label",iserror(vlookup($A712&amp;$B712,'3) Release_Label'!$D:$D&amp;'3) Release_Label'!$E:$E,1,0)),"NO UPC-CATALOG ID pair MATCH in Release_Label" )</f>
        <v/>
      </c>
      <c r="E712" s="147" t="str">
        <f t="shared" si="1"/>
        <v/>
      </c>
      <c r="G712" s="97"/>
      <c r="H712" s="155"/>
      <c r="J712" s="92"/>
      <c r="K712" s="98"/>
      <c r="L712" s="92"/>
      <c r="N712" s="92"/>
      <c r="O712" s="92"/>
      <c r="P712" s="92"/>
    </row>
    <row r="713">
      <c r="A713" s="28"/>
      <c r="B713" s="97"/>
      <c r="C713" s="121" t="str">
        <f t="array" ref="C713">ifs(and(isblank($A713),isblank($B713)),"", not(iserror(vlookup($A713&amp;$B713,'3) Release_Label'!$D:$D&amp;'3) Release_Label'!$E:$E,1,0))),vlookup($A713&amp;$B713,{'3) Release_Label'!$D:$D&amp;'3) Release_Label'!$E:$E,'3) Release_Label'!$F:$F},2,0), or(and(not(isblank($B713)),$B713=$B712,$A713&lt;&gt;$A712),and(not(isblank($A713)),$A713=$A712,$B713&lt;&gt;$B712)),"ID LISTS UNALIGNED",and($A713&lt;&gt;"",countif('3) Release_Label'!$D:$D,$A713)=0),"NO UPC MATCH in Release_Label",and($B713&lt;&gt;"",countif('3) Release_Label'!$E:$E,$B713)=0),"NO CATALOG ID MATCH in Release_Label",iserror(vlookup($A713&amp;$B713,'3) Release_Label'!$D:$D&amp;'3) Release_Label'!$E:$E,1,0)),"NO UPC-CATALOG ID pair MATCH in Release_Label" )</f>
        <v/>
      </c>
      <c r="D713" s="121" t="str">
        <f t="array" ref="D713">ifs(and(isblank($A713),isblank($B713)),"", not(iserror(vlookup($A713&amp;$B713,'3) Release_Label'!$D:$D&amp;'3) Release_Label'!$E:$E,1,0))),vlookup($A713&amp;$B713,{'3) Release_Label'!$D:$D&amp;'3) Release_Label'!$E:$E,'3) Release_Label'!$H:$H},2,0), or(and(not(isblank($B713)),$B713=$B712,$A713&lt;&gt;$A712),and(not(isblank($A713)),$A713=$A712,$B713&lt;&gt;$B712)),"ID LISTS UNALIGNED",and($A713&lt;&gt;"",countif('3) Release_Label'!$D:$D,$A713)=0),"NO UPC MATCH in Release_Label",and($B713&lt;&gt;"",countif('3) Release_Label'!$E:$E,$B713)=0),"NO CATALOG ID MATCH in Release_Label",iserror(vlookup($A713&amp;$B713,'3) Release_Label'!$D:$D&amp;'3) Release_Label'!$E:$E,1,0)),"NO UPC-CATALOG ID pair MATCH in Release_Label" )</f>
        <v/>
      </c>
      <c r="E713" s="147" t="str">
        <f t="shared" si="1"/>
        <v/>
      </c>
      <c r="G713" s="97"/>
      <c r="H713" s="155"/>
      <c r="J713" s="92"/>
      <c r="K713" s="98"/>
      <c r="L713" s="92"/>
      <c r="N713" s="92"/>
      <c r="O713" s="92"/>
      <c r="P713" s="92"/>
    </row>
    <row r="714">
      <c r="A714" s="28"/>
      <c r="B714" s="97"/>
      <c r="C714" s="121" t="str">
        <f t="array" ref="C714">ifs(and(isblank($A714),isblank($B714)),"", not(iserror(vlookup($A714&amp;$B714,'3) Release_Label'!$D:$D&amp;'3) Release_Label'!$E:$E,1,0))),vlookup($A714&amp;$B714,{'3) Release_Label'!$D:$D&amp;'3) Release_Label'!$E:$E,'3) Release_Label'!$F:$F},2,0), or(and(not(isblank($B714)),$B714=$B713,$A714&lt;&gt;$A713),and(not(isblank($A714)),$A714=$A713,$B714&lt;&gt;$B713)),"ID LISTS UNALIGNED",and($A714&lt;&gt;"",countif('3) Release_Label'!$D:$D,$A714)=0),"NO UPC MATCH in Release_Label",and($B714&lt;&gt;"",countif('3) Release_Label'!$E:$E,$B714)=0),"NO CATALOG ID MATCH in Release_Label",iserror(vlookup($A714&amp;$B714,'3) Release_Label'!$D:$D&amp;'3) Release_Label'!$E:$E,1,0)),"NO UPC-CATALOG ID pair MATCH in Release_Label" )</f>
        <v/>
      </c>
      <c r="D714" s="121" t="str">
        <f t="array" ref="D714">ifs(and(isblank($A714),isblank($B714)),"", not(iserror(vlookup($A714&amp;$B714,'3) Release_Label'!$D:$D&amp;'3) Release_Label'!$E:$E,1,0))),vlookup($A714&amp;$B714,{'3) Release_Label'!$D:$D&amp;'3) Release_Label'!$E:$E,'3) Release_Label'!$H:$H},2,0), or(and(not(isblank($B714)),$B714=$B713,$A714&lt;&gt;$A713),and(not(isblank($A714)),$A714=$A713,$B714&lt;&gt;$B713)),"ID LISTS UNALIGNED",and($A714&lt;&gt;"",countif('3) Release_Label'!$D:$D,$A714)=0),"NO UPC MATCH in Release_Label",and($B714&lt;&gt;"",countif('3) Release_Label'!$E:$E,$B714)=0),"NO CATALOG ID MATCH in Release_Label",iserror(vlookup($A714&amp;$B714,'3) Release_Label'!$D:$D&amp;'3) Release_Label'!$E:$E,1,0)),"NO UPC-CATALOG ID pair MATCH in Release_Label" )</f>
        <v/>
      </c>
      <c r="E714" s="147" t="str">
        <f t="shared" si="1"/>
        <v/>
      </c>
      <c r="G714" s="97"/>
      <c r="H714" s="155"/>
      <c r="J714" s="92"/>
      <c r="K714" s="98"/>
      <c r="L714" s="92"/>
      <c r="N714" s="92"/>
      <c r="O714" s="92"/>
      <c r="P714" s="92"/>
    </row>
    <row r="715">
      <c r="A715" s="28"/>
      <c r="B715" s="97"/>
      <c r="C715" s="121" t="str">
        <f t="array" ref="C715">ifs(and(isblank($A715),isblank($B715)),"", not(iserror(vlookup($A715&amp;$B715,'3) Release_Label'!$D:$D&amp;'3) Release_Label'!$E:$E,1,0))),vlookup($A715&amp;$B715,{'3) Release_Label'!$D:$D&amp;'3) Release_Label'!$E:$E,'3) Release_Label'!$F:$F},2,0), or(and(not(isblank($B715)),$B715=$B714,$A715&lt;&gt;$A714),and(not(isblank($A715)),$A715=$A714,$B715&lt;&gt;$B714)),"ID LISTS UNALIGNED",and($A715&lt;&gt;"",countif('3) Release_Label'!$D:$D,$A715)=0),"NO UPC MATCH in Release_Label",and($B715&lt;&gt;"",countif('3) Release_Label'!$E:$E,$B715)=0),"NO CATALOG ID MATCH in Release_Label",iserror(vlookup($A715&amp;$B715,'3) Release_Label'!$D:$D&amp;'3) Release_Label'!$E:$E,1,0)),"NO UPC-CATALOG ID pair MATCH in Release_Label" )</f>
        <v/>
      </c>
      <c r="D715" s="121" t="str">
        <f t="array" ref="D715">ifs(and(isblank($A715),isblank($B715)),"", not(iserror(vlookup($A715&amp;$B715,'3) Release_Label'!$D:$D&amp;'3) Release_Label'!$E:$E,1,0))),vlookup($A715&amp;$B715,{'3) Release_Label'!$D:$D&amp;'3) Release_Label'!$E:$E,'3) Release_Label'!$H:$H},2,0), or(and(not(isblank($B715)),$B715=$B714,$A715&lt;&gt;$A714),and(not(isblank($A715)),$A715=$A714,$B715&lt;&gt;$B714)),"ID LISTS UNALIGNED",and($A715&lt;&gt;"",countif('3) Release_Label'!$D:$D,$A715)=0),"NO UPC MATCH in Release_Label",and($B715&lt;&gt;"",countif('3) Release_Label'!$E:$E,$B715)=0),"NO CATALOG ID MATCH in Release_Label",iserror(vlookup($A715&amp;$B715,'3) Release_Label'!$D:$D&amp;'3) Release_Label'!$E:$E,1,0)),"NO UPC-CATALOG ID pair MATCH in Release_Label" )</f>
        <v/>
      </c>
      <c r="E715" s="147" t="str">
        <f t="shared" si="1"/>
        <v/>
      </c>
      <c r="G715" s="97"/>
      <c r="H715" s="155"/>
      <c r="J715" s="92"/>
      <c r="K715" s="98"/>
      <c r="L715" s="92"/>
      <c r="N715" s="92"/>
      <c r="O715" s="92"/>
      <c r="P715" s="92"/>
    </row>
    <row r="716">
      <c r="A716" s="28"/>
      <c r="B716" s="97"/>
      <c r="C716" s="121" t="str">
        <f t="array" ref="C716">ifs(and(isblank($A716),isblank($B716)),"", not(iserror(vlookup($A716&amp;$B716,'3) Release_Label'!$D:$D&amp;'3) Release_Label'!$E:$E,1,0))),vlookup($A716&amp;$B716,{'3) Release_Label'!$D:$D&amp;'3) Release_Label'!$E:$E,'3) Release_Label'!$F:$F},2,0), or(and(not(isblank($B716)),$B716=$B715,$A716&lt;&gt;$A715),and(not(isblank($A716)),$A716=$A715,$B716&lt;&gt;$B715)),"ID LISTS UNALIGNED",and($A716&lt;&gt;"",countif('3) Release_Label'!$D:$D,$A716)=0),"NO UPC MATCH in Release_Label",and($B716&lt;&gt;"",countif('3) Release_Label'!$E:$E,$B716)=0),"NO CATALOG ID MATCH in Release_Label",iserror(vlookup($A716&amp;$B716,'3) Release_Label'!$D:$D&amp;'3) Release_Label'!$E:$E,1,0)),"NO UPC-CATALOG ID pair MATCH in Release_Label" )</f>
        <v/>
      </c>
      <c r="D716" s="121" t="str">
        <f t="array" ref="D716">ifs(and(isblank($A716),isblank($B716)),"", not(iserror(vlookup($A716&amp;$B716,'3) Release_Label'!$D:$D&amp;'3) Release_Label'!$E:$E,1,0))),vlookup($A716&amp;$B716,{'3) Release_Label'!$D:$D&amp;'3) Release_Label'!$E:$E,'3) Release_Label'!$H:$H},2,0), or(and(not(isblank($B716)),$B716=$B715,$A716&lt;&gt;$A715),and(not(isblank($A716)),$A716=$A715,$B716&lt;&gt;$B715)),"ID LISTS UNALIGNED",and($A716&lt;&gt;"",countif('3) Release_Label'!$D:$D,$A716)=0),"NO UPC MATCH in Release_Label",and($B716&lt;&gt;"",countif('3) Release_Label'!$E:$E,$B716)=0),"NO CATALOG ID MATCH in Release_Label",iserror(vlookup($A716&amp;$B716,'3) Release_Label'!$D:$D&amp;'3) Release_Label'!$E:$E,1,0)),"NO UPC-CATALOG ID pair MATCH in Release_Label" )</f>
        <v/>
      </c>
      <c r="E716" s="147" t="str">
        <f t="shared" si="1"/>
        <v/>
      </c>
      <c r="G716" s="97"/>
      <c r="H716" s="155"/>
      <c r="J716" s="92"/>
      <c r="K716" s="98"/>
      <c r="L716" s="92"/>
      <c r="N716" s="92"/>
      <c r="O716" s="92"/>
      <c r="P716" s="92"/>
    </row>
    <row r="717">
      <c r="A717" s="28"/>
      <c r="B717" s="97"/>
      <c r="C717" s="121" t="str">
        <f t="array" ref="C717">ifs(and(isblank($A717),isblank($B717)),"", not(iserror(vlookup($A717&amp;$B717,'3) Release_Label'!$D:$D&amp;'3) Release_Label'!$E:$E,1,0))),vlookup($A717&amp;$B717,{'3) Release_Label'!$D:$D&amp;'3) Release_Label'!$E:$E,'3) Release_Label'!$F:$F},2,0), or(and(not(isblank($B717)),$B717=$B716,$A717&lt;&gt;$A716),and(not(isblank($A717)),$A717=$A716,$B717&lt;&gt;$B716)),"ID LISTS UNALIGNED",and($A717&lt;&gt;"",countif('3) Release_Label'!$D:$D,$A717)=0),"NO UPC MATCH in Release_Label",and($B717&lt;&gt;"",countif('3) Release_Label'!$E:$E,$B717)=0),"NO CATALOG ID MATCH in Release_Label",iserror(vlookup($A717&amp;$B717,'3) Release_Label'!$D:$D&amp;'3) Release_Label'!$E:$E,1,0)),"NO UPC-CATALOG ID pair MATCH in Release_Label" )</f>
        <v/>
      </c>
      <c r="D717" s="121" t="str">
        <f t="array" ref="D717">ifs(and(isblank($A717),isblank($B717)),"", not(iserror(vlookup($A717&amp;$B717,'3) Release_Label'!$D:$D&amp;'3) Release_Label'!$E:$E,1,0))),vlookup($A717&amp;$B717,{'3) Release_Label'!$D:$D&amp;'3) Release_Label'!$E:$E,'3) Release_Label'!$H:$H},2,0), or(and(not(isblank($B717)),$B717=$B716,$A717&lt;&gt;$A716),and(not(isblank($A717)),$A717=$A716,$B717&lt;&gt;$B716)),"ID LISTS UNALIGNED",and($A717&lt;&gt;"",countif('3) Release_Label'!$D:$D,$A717)=0),"NO UPC MATCH in Release_Label",and($B717&lt;&gt;"",countif('3) Release_Label'!$E:$E,$B717)=0),"NO CATALOG ID MATCH in Release_Label",iserror(vlookup($A717&amp;$B717,'3) Release_Label'!$D:$D&amp;'3) Release_Label'!$E:$E,1,0)),"NO UPC-CATALOG ID pair MATCH in Release_Label" )</f>
        <v/>
      </c>
      <c r="E717" s="147" t="str">
        <f t="shared" si="1"/>
        <v/>
      </c>
      <c r="G717" s="97"/>
      <c r="H717" s="155"/>
      <c r="J717" s="92"/>
      <c r="K717" s="98"/>
      <c r="L717" s="92"/>
      <c r="N717" s="92"/>
      <c r="O717" s="92"/>
      <c r="P717" s="92"/>
    </row>
    <row r="718">
      <c r="A718" s="28"/>
      <c r="B718" s="97"/>
      <c r="C718" s="121" t="str">
        <f t="array" ref="C718">ifs(and(isblank($A718),isblank($B718)),"", not(iserror(vlookup($A718&amp;$B718,'3) Release_Label'!$D:$D&amp;'3) Release_Label'!$E:$E,1,0))),vlookup($A718&amp;$B718,{'3) Release_Label'!$D:$D&amp;'3) Release_Label'!$E:$E,'3) Release_Label'!$F:$F},2,0), or(and(not(isblank($B718)),$B718=$B717,$A718&lt;&gt;$A717),and(not(isblank($A718)),$A718=$A717,$B718&lt;&gt;$B717)),"ID LISTS UNALIGNED",and($A718&lt;&gt;"",countif('3) Release_Label'!$D:$D,$A718)=0),"NO UPC MATCH in Release_Label",and($B718&lt;&gt;"",countif('3) Release_Label'!$E:$E,$B718)=0),"NO CATALOG ID MATCH in Release_Label",iserror(vlookup($A718&amp;$B718,'3) Release_Label'!$D:$D&amp;'3) Release_Label'!$E:$E,1,0)),"NO UPC-CATALOG ID pair MATCH in Release_Label" )</f>
        <v/>
      </c>
      <c r="D718" s="121" t="str">
        <f t="array" ref="D718">ifs(and(isblank($A718),isblank($B718)),"", not(iserror(vlookup($A718&amp;$B718,'3) Release_Label'!$D:$D&amp;'3) Release_Label'!$E:$E,1,0))),vlookup($A718&amp;$B718,{'3) Release_Label'!$D:$D&amp;'3) Release_Label'!$E:$E,'3) Release_Label'!$H:$H},2,0), or(and(not(isblank($B718)),$B718=$B717,$A718&lt;&gt;$A717),and(not(isblank($A718)),$A718=$A717,$B718&lt;&gt;$B717)),"ID LISTS UNALIGNED",and($A718&lt;&gt;"",countif('3) Release_Label'!$D:$D,$A718)=0),"NO UPC MATCH in Release_Label",and($B718&lt;&gt;"",countif('3) Release_Label'!$E:$E,$B718)=0),"NO CATALOG ID MATCH in Release_Label",iserror(vlookup($A718&amp;$B718,'3) Release_Label'!$D:$D&amp;'3) Release_Label'!$E:$E,1,0)),"NO UPC-CATALOG ID pair MATCH in Release_Label" )</f>
        <v/>
      </c>
      <c r="E718" s="147" t="str">
        <f t="shared" si="1"/>
        <v/>
      </c>
      <c r="G718" s="97"/>
      <c r="H718" s="155"/>
      <c r="J718" s="92"/>
      <c r="K718" s="98"/>
      <c r="L718" s="92"/>
      <c r="N718" s="92"/>
      <c r="O718" s="92"/>
      <c r="P718" s="92"/>
    </row>
    <row r="719">
      <c r="A719" s="28"/>
      <c r="B719" s="97"/>
      <c r="C719" s="121" t="str">
        <f t="array" ref="C719">ifs(and(isblank($A719),isblank($B719)),"", not(iserror(vlookup($A719&amp;$B719,'3) Release_Label'!$D:$D&amp;'3) Release_Label'!$E:$E,1,0))),vlookup($A719&amp;$B719,{'3) Release_Label'!$D:$D&amp;'3) Release_Label'!$E:$E,'3) Release_Label'!$F:$F},2,0), or(and(not(isblank($B719)),$B719=$B718,$A719&lt;&gt;$A718),and(not(isblank($A719)),$A719=$A718,$B719&lt;&gt;$B718)),"ID LISTS UNALIGNED",and($A719&lt;&gt;"",countif('3) Release_Label'!$D:$D,$A719)=0),"NO UPC MATCH in Release_Label",and($B719&lt;&gt;"",countif('3) Release_Label'!$E:$E,$B719)=0),"NO CATALOG ID MATCH in Release_Label",iserror(vlookup($A719&amp;$B719,'3) Release_Label'!$D:$D&amp;'3) Release_Label'!$E:$E,1,0)),"NO UPC-CATALOG ID pair MATCH in Release_Label" )</f>
        <v/>
      </c>
      <c r="D719" s="121" t="str">
        <f t="array" ref="D719">ifs(and(isblank($A719),isblank($B719)),"", not(iserror(vlookup($A719&amp;$B719,'3) Release_Label'!$D:$D&amp;'3) Release_Label'!$E:$E,1,0))),vlookup($A719&amp;$B719,{'3) Release_Label'!$D:$D&amp;'3) Release_Label'!$E:$E,'3) Release_Label'!$H:$H},2,0), or(and(not(isblank($B719)),$B719=$B718,$A719&lt;&gt;$A718),and(not(isblank($A719)),$A719=$A718,$B719&lt;&gt;$B718)),"ID LISTS UNALIGNED",and($A719&lt;&gt;"",countif('3) Release_Label'!$D:$D,$A719)=0),"NO UPC MATCH in Release_Label",and($B719&lt;&gt;"",countif('3) Release_Label'!$E:$E,$B719)=0),"NO CATALOG ID MATCH in Release_Label",iserror(vlookup($A719&amp;$B719,'3) Release_Label'!$D:$D&amp;'3) Release_Label'!$E:$E,1,0)),"NO UPC-CATALOG ID pair MATCH in Release_Label" )</f>
        <v/>
      </c>
      <c r="E719" s="147" t="str">
        <f t="shared" si="1"/>
        <v/>
      </c>
      <c r="G719" s="97"/>
      <c r="H719" s="155"/>
      <c r="J719" s="92"/>
      <c r="K719" s="98"/>
      <c r="L719" s="92"/>
      <c r="N719" s="92"/>
      <c r="O719" s="92"/>
      <c r="P719" s="92"/>
    </row>
    <row r="720">
      <c r="A720" s="28"/>
      <c r="B720" s="97"/>
      <c r="C720" s="121" t="str">
        <f t="array" ref="C720">ifs(and(isblank($A720),isblank($B720)),"", not(iserror(vlookup($A720&amp;$B720,'3) Release_Label'!$D:$D&amp;'3) Release_Label'!$E:$E,1,0))),vlookup($A720&amp;$B720,{'3) Release_Label'!$D:$D&amp;'3) Release_Label'!$E:$E,'3) Release_Label'!$F:$F},2,0), or(and(not(isblank($B720)),$B720=$B719,$A720&lt;&gt;$A719),and(not(isblank($A720)),$A720=$A719,$B720&lt;&gt;$B719)),"ID LISTS UNALIGNED",and($A720&lt;&gt;"",countif('3) Release_Label'!$D:$D,$A720)=0),"NO UPC MATCH in Release_Label",and($B720&lt;&gt;"",countif('3) Release_Label'!$E:$E,$B720)=0),"NO CATALOG ID MATCH in Release_Label",iserror(vlookup($A720&amp;$B720,'3) Release_Label'!$D:$D&amp;'3) Release_Label'!$E:$E,1,0)),"NO UPC-CATALOG ID pair MATCH in Release_Label" )</f>
        <v/>
      </c>
      <c r="D720" s="121" t="str">
        <f t="array" ref="D720">ifs(and(isblank($A720),isblank($B720)),"", not(iserror(vlookup($A720&amp;$B720,'3) Release_Label'!$D:$D&amp;'3) Release_Label'!$E:$E,1,0))),vlookup($A720&amp;$B720,{'3) Release_Label'!$D:$D&amp;'3) Release_Label'!$E:$E,'3) Release_Label'!$H:$H},2,0), or(and(not(isblank($B720)),$B720=$B719,$A720&lt;&gt;$A719),and(not(isblank($A720)),$A720=$A719,$B720&lt;&gt;$B719)),"ID LISTS UNALIGNED",and($A720&lt;&gt;"",countif('3) Release_Label'!$D:$D,$A720)=0),"NO UPC MATCH in Release_Label",and($B720&lt;&gt;"",countif('3) Release_Label'!$E:$E,$B720)=0),"NO CATALOG ID MATCH in Release_Label",iserror(vlookup($A720&amp;$B720,'3) Release_Label'!$D:$D&amp;'3) Release_Label'!$E:$E,1,0)),"NO UPC-CATALOG ID pair MATCH in Release_Label" )</f>
        <v/>
      </c>
      <c r="E720" s="147" t="str">
        <f t="shared" si="1"/>
        <v/>
      </c>
      <c r="G720" s="97"/>
      <c r="H720" s="155"/>
      <c r="J720" s="92"/>
      <c r="K720" s="98"/>
      <c r="L720" s="92"/>
      <c r="N720" s="92"/>
      <c r="O720" s="92"/>
      <c r="P720" s="92"/>
    </row>
    <row r="721">
      <c r="A721" s="28"/>
      <c r="B721" s="97"/>
      <c r="C721" s="121" t="str">
        <f t="array" ref="C721">ifs(and(isblank($A721),isblank($B721)),"", not(iserror(vlookup($A721&amp;$B721,'3) Release_Label'!$D:$D&amp;'3) Release_Label'!$E:$E,1,0))),vlookup($A721&amp;$B721,{'3) Release_Label'!$D:$D&amp;'3) Release_Label'!$E:$E,'3) Release_Label'!$F:$F},2,0), or(and(not(isblank($B721)),$B721=$B720,$A721&lt;&gt;$A720),and(not(isblank($A721)),$A721=$A720,$B721&lt;&gt;$B720)),"ID LISTS UNALIGNED",and($A721&lt;&gt;"",countif('3) Release_Label'!$D:$D,$A721)=0),"NO UPC MATCH in Release_Label",and($B721&lt;&gt;"",countif('3) Release_Label'!$E:$E,$B721)=0),"NO CATALOG ID MATCH in Release_Label",iserror(vlookup($A721&amp;$B721,'3) Release_Label'!$D:$D&amp;'3) Release_Label'!$E:$E,1,0)),"NO UPC-CATALOG ID pair MATCH in Release_Label" )</f>
        <v/>
      </c>
      <c r="D721" s="121" t="str">
        <f t="array" ref="D721">ifs(and(isblank($A721),isblank($B721)),"", not(iserror(vlookup($A721&amp;$B721,'3) Release_Label'!$D:$D&amp;'3) Release_Label'!$E:$E,1,0))),vlookup($A721&amp;$B721,{'3) Release_Label'!$D:$D&amp;'3) Release_Label'!$E:$E,'3) Release_Label'!$H:$H},2,0), or(and(not(isblank($B721)),$B721=$B720,$A721&lt;&gt;$A720),and(not(isblank($A721)),$A721=$A720,$B721&lt;&gt;$B720)),"ID LISTS UNALIGNED",and($A721&lt;&gt;"",countif('3) Release_Label'!$D:$D,$A721)=0),"NO UPC MATCH in Release_Label",and($B721&lt;&gt;"",countif('3) Release_Label'!$E:$E,$B721)=0),"NO CATALOG ID MATCH in Release_Label",iserror(vlookup($A721&amp;$B721,'3) Release_Label'!$D:$D&amp;'3) Release_Label'!$E:$E,1,0)),"NO UPC-CATALOG ID pair MATCH in Release_Label" )</f>
        <v/>
      </c>
      <c r="E721" s="147" t="str">
        <f t="shared" si="1"/>
        <v/>
      </c>
      <c r="G721" s="97"/>
      <c r="H721" s="155"/>
      <c r="J721" s="92"/>
      <c r="K721" s="98"/>
      <c r="L721" s="92"/>
      <c r="N721" s="92"/>
      <c r="O721" s="92"/>
      <c r="P721" s="92"/>
    </row>
    <row r="722">
      <c r="A722" s="28"/>
      <c r="B722" s="97"/>
      <c r="C722" s="121" t="str">
        <f t="array" ref="C722">ifs(and(isblank($A722),isblank($B722)),"", not(iserror(vlookup($A722&amp;$B722,'3) Release_Label'!$D:$D&amp;'3) Release_Label'!$E:$E,1,0))),vlookup($A722&amp;$B722,{'3) Release_Label'!$D:$D&amp;'3) Release_Label'!$E:$E,'3) Release_Label'!$F:$F},2,0), or(and(not(isblank($B722)),$B722=$B721,$A722&lt;&gt;$A721),and(not(isblank($A722)),$A722=$A721,$B722&lt;&gt;$B721)),"ID LISTS UNALIGNED",and($A722&lt;&gt;"",countif('3) Release_Label'!$D:$D,$A722)=0),"NO UPC MATCH in Release_Label",and($B722&lt;&gt;"",countif('3) Release_Label'!$E:$E,$B722)=0),"NO CATALOG ID MATCH in Release_Label",iserror(vlookup($A722&amp;$B722,'3) Release_Label'!$D:$D&amp;'3) Release_Label'!$E:$E,1,0)),"NO UPC-CATALOG ID pair MATCH in Release_Label" )</f>
        <v/>
      </c>
      <c r="D722" s="121" t="str">
        <f t="array" ref="D722">ifs(and(isblank($A722),isblank($B722)),"", not(iserror(vlookup($A722&amp;$B722,'3) Release_Label'!$D:$D&amp;'3) Release_Label'!$E:$E,1,0))),vlookup($A722&amp;$B722,{'3) Release_Label'!$D:$D&amp;'3) Release_Label'!$E:$E,'3) Release_Label'!$H:$H},2,0), or(and(not(isblank($B722)),$B722=$B721,$A722&lt;&gt;$A721),and(not(isblank($A722)),$A722=$A721,$B722&lt;&gt;$B721)),"ID LISTS UNALIGNED",and($A722&lt;&gt;"",countif('3) Release_Label'!$D:$D,$A722)=0),"NO UPC MATCH in Release_Label",and($B722&lt;&gt;"",countif('3) Release_Label'!$E:$E,$B722)=0),"NO CATALOG ID MATCH in Release_Label",iserror(vlookup($A722&amp;$B722,'3) Release_Label'!$D:$D&amp;'3) Release_Label'!$E:$E,1,0)),"NO UPC-CATALOG ID pair MATCH in Release_Label" )</f>
        <v/>
      </c>
      <c r="E722" s="147" t="str">
        <f t="shared" si="1"/>
        <v/>
      </c>
      <c r="G722" s="97"/>
      <c r="H722" s="155"/>
      <c r="J722" s="92"/>
      <c r="K722" s="98"/>
      <c r="L722" s="92"/>
      <c r="N722" s="92"/>
      <c r="O722" s="92"/>
      <c r="P722" s="92"/>
    </row>
    <row r="723">
      <c r="A723" s="28"/>
      <c r="B723" s="97"/>
      <c r="C723" s="121" t="str">
        <f t="array" ref="C723">ifs(and(isblank($A723),isblank($B723)),"", not(iserror(vlookup($A723&amp;$B723,'3) Release_Label'!$D:$D&amp;'3) Release_Label'!$E:$E,1,0))),vlookup($A723&amp;$B723,{'3) Release_Label'!$D:$D&amp;'3) Release_Label'!$E:$E,'3) Release_Label'!$F:$F},2,0), or(and(not(isblank($B723)),$B723=$B722,$A723&lt;&gt;$A722),and(not(isblank($A723)),$A723=$A722,$B723&lt;&gt;$B722)),"ID LISTS UNALIGNED",and($A723&lt;&gt;"",countif('3) Release_Label'!$D:$D,$A723)=0),"NO UPC MATCH in Release_Label",and($B723&lt;&gt;"",countif('3) Release_Label'!$E:$E,$B723)=0),"NO CATALOG ID MATCH in Release_Label",iserror(vlookup($A723&amp;$B723,'3) Release_Label'!$D:$D&amp;'3) Release_Label'!$E:$E,1,0)),"NO UPC-CATALOG ID pair MATCH in Release_Label" )</f>
        <v/>
      </c>
      <c r="D723" s="121" t="str">
        <f t="array" ref="D723">ifs(and(isblank($A723),isblank($B723)),"", not(iserror(vlookup($A723&amp;$B723,'3) Release_Label'!$D:$D&amp;'3) Release_Label'!$E:$E,1,0))),vlookup($A723&amp;$B723,{'3) Release_Label'!$D:$D&amp;'3) Release_Label'!$E:$E,'3) Release_Label'!$H:$H},2,0), or(and(not(isblank($B723)),$B723=$B722,$A723&lt;&gt;$A722),and(not(isblank($A723)),$A723=$A722,$B723&lt;&gt;$B722)),"ID LISTS UNALIGNED",and($A723&lt;&gt;"",countif('3) Release_Label'!$D:$D,$A723)=0),"NO UPC MATCH in Release_Label",and($B723&lt;&gt;"",countif('3) Release_Label'!$E:$E,$B723)=0),"NO CATALOG ID MATCH in Release_Label",iserror(vlookup($A723&amp;$B723,'3) Release_Label'!$D:$D&amp;'3) Release_Label'!$E:$E,1,0)),"NO UPC-CATALOG ID pair MATCH in Release_Label" )</f>
        <v/>
      </c>
      <c r="E723" s="147" t="str">
        <f t="shared" si="1"/>
        <v/>
      </c>
      <c r="G723" s="97"/>
      <c r="H723" s="155"/>
      <c r="J723" s="92"/>
      <c r="K723" s="98"/>
      <c r="L723" s="92"/>
      <c r="N723" s="92"/>
      <c r="O723" s="92"/>
      <c r="P723" s="92"/>
    </row>
    <row r="724">
      <c r="A724" s="28"/>
      <c r="B724" s="97"/>
      <c r="C724" s="121" t="str">
        <f t="array" ref="C724">ifs(and(isblank($A724),isblank($B724)),"", not(iserror(vlookup($A724&amp;$B724,'3) Release_Label'!$D:$D&amp;'3) Release_Label'!$E:$E,1,0))),vlookup($A724&amp;$B724,{'3) Release_Label'!$D:$D&amp;'3) Release_Label'!$E:$E,'3) Release_Label'!$F:$F},2,0), or(and(not(isblank($B724)),$B724=$B723,$A724&lt;&gt;$A723),and(not(isblank($A724)),$A724=$A723,$B724&lt;&gt;$B723)),"ID LISTS UNALIGNED",and($A724&lt;&gt;"",countif('3) Release_Label'!$D:$D,$A724)=0),"NO UPC MATCH in Release_Label",and($B724&lt;&gt;"",countif('3) Release_Label'!$E:$E,$B724)=0),"NO CATALOG ID MATCH in Release_Label",iserror(vlookup($A724&amp;$B724,'3) Release_Label'!$D:$D&amp;'3) Release_Label'!$E:$E,1,0)),"NO UPC-CATALOG ID pair MATCH in Release_Label" )</f>
        <v/>
      </c>
      <c r="D724" s="121" t="str">
        <f t="array" ref="D724">ifs(and(isblank($A724),isblank($B724)),"", not(iserror(vlookup($A724&amp;$B724,'3) Release_Label'!$D:$D&amp;'3) Release_Label'!$E:$E,1,0))),vlookup($A724&amp;$B724,{'3) Release_Label'!$D:$D&amp;'3) Release_Label'!$E:$E,'3) Release_Label'!$H:$H},2,0), or(and(not(isblank($B724)),$B724=$B723,$A724&lt;&gt;$A723),and(not(isblank($A724)),$A724=$A723,$B724&lt;&gt;$B723)),"ID LISTS UNALIGNED",and($A724&lt;&gt;"",countif('3) Release_Label'!$D:$D,$A724)=0),"NO UPC MATCH in Release_Label",and($B724&lt;&gt;"",countif('3) Release_Label'!$E:$E,$B724)=0),"NO CATALOG ID MATCH in Release_Label",iserror(vlookup($A724&amp;$B724,'3) Release_Label'!$D:$D&amp;'3) Release_Label'!$E:$E,1,0)),"NO UPC-CATALOG ID pair MATCH in Release_Label" )</f>
        <v/>
      </c>
      <c r="E724" s="147" t="str">
        <f t="shared" si="1"/>
        <v/>
      </c>
      <c r="G724" s="97"/>
      <c r="H724" s="155"/>
      <c r="J724" s="92"/>
      <c r="K724" s="98"/>
      <c r="L724" s="92"/>
      <c r="N724" s="92"/>
      <c r="O724" s="92"/>
      <c r="P724" s="92"/>
    </row>
    <row r="725">
      <c r="A725" s="28"/>
      <c r="B725" s="97"/>
      <c r="C725" s="121" t="str">
        <f t="array" ref="C725">ifs(and(isblank($A725),isblank($B725)),"", not(iserror(vlookup($A725&amp;$B725,'3) Release_Label'!$D:$D&amp;'3) Release_Label'!$E:$E,1,0))),vlookup($A725&amp;$B725,{'3) Release_Label'!$D:$D&amp;'3) Release_Label'!$E:$E,'3) Release_Label'!$F:$F},2,0), or(and(not(isblank($B725)),$B725=$B724,$A725&lt;&gt;$A724),and(not(isblank($A725)),$A725=$A724,$B725&lt;&gt;$B724)),"ID LISTS UNALIGNED",and($A725&lt;&gt;"",countif('3) Release_Label'!$D:$D,$A725)=0),"NO UPC MATCH in Release_Label",and($B725&lt;&gt;"",countif('3) Release_Label'!$E:$E,$B725)=0),"NO CATALOG ID MATCH in Release_Label",iserror(vlookup($A725&amp;$B725,'3) Release_Label'!$D:$D&amp;'3) Release_Label'!$E:$E,1,0)),"NO UPC-CATALOG ID pair MATCH in Release_Label" )</f>
        <v/>
      </c>
      <c r="D725" s="121" t="str">
        <f t="array" ref="D725">ifs(and(isblank($A725),isblank($B725)),"", not(iserror(vlookup($A725&amp;$B725,'3) Release_Label'!$D:$D&amp;'3) Release_Label'!$E:$E,1,0))),vlookup($A725&amp;$B725,{'3) Release_Label'!$D:$D&amp;'3) Release_Label'!$E:$E,'3) Release_Label'!$H:$H},2,0), or(and(not(isblank($B725)),$B725=$B724,$A725&lt;&gt;$A724),and(not(isblank($A725)),$A725=$A724,$B725&lt;&gt;$B724)),"ID LISTS UNALIGNED",and($A725&lt;&gt;"",countif('3) Release_Label'!$D:$D,$A725)=0),"NO UPC MATCH in Release_Label",and($B725&lt;&gt;"",countif('3) Release_Label'!$E:$E,$B725)=0),"NO CATALOG ID MATCH in Release_Label",iserror(vlookup($A725&amp;$B725,'3) Release_Label'!$D:$D&amp;'3) Release_Label'!$E:$E,1,0)),"NO UPC-CATALOG ID pair MATCH in Release_Label" )</f>
        <v/>
      </c>
      <c r="E725" s="147" t="str">
        <f t="shared" si="1"/>
        <v/>
      </c>
      <c r="G725" s="97"/>
      <c r="H725" s="155"/>
      <c r="J725" s="92"/>
      <c r="K725" s="98"/>
      <c r="L725" s="92"/>
      <c r="N725" s="92"/>
      <c r="O725" s="92"/>
      <c r="P725" s="92"/>
    </row>
    <row r="726">
      <c r="A726" s="28"/>
      <c r="B726" s="97"/>
      <c r="C726" s="121" t="str">
        <f t="array" ref="C726">ifs(and(isblank($A726),isblank($B726)),"", not(iserror(vlookup($A726&amp;$B726,'3) Release_Label'!$D:$D&amp;'3) Release_Label'!$E:$E,1,0))),vlookup($A726&amp;$B726,{'3) Release_Label'!$D:$D&amp;'3) Release_Label'!$E:$E,'3) Release_Label'!$F:$F},2,0), or(and(not(isblank($B726)),$B726=$B725,$A726&lt;&gt;$A725),and(not(isblank($A726)),$A726=$A725,$B726&lt;&gt;$B725)),"ID LISTS UNALIGNED",and($A726&lt;&gt;"",countif('3) Release_Label'!$D:$D,$A726)=0),"NO UPC MATCH in Release_Label",and($B726&lt;&gt;"",countif('3) Release_Label'!$E:$E,$B726)=0),"NO CATALOG ID MATCH in Release_Label",iserror(vlookup($A726&amp;$B726,'3) Release_Label'!$D:$D&amp;'3) Release_Label'!$E:$E,1,0)),"NO UPC-CATALOG ID pair MATCH in Release_Label" )</f>
        <v/>
      </c>
      <c r="D726" s="121" t="str">
        <f t="array" ref="D726">ifs(and(isblank($A726),isblank($B726)),"", not(iserror(vlookup($A726&amp;$B726,'3) Release_Label'!$D:$D&amp;'3) Release_Label'!$E:$E,1,0))),vlookup($A726&amp;$B726,{'3) Release_Label'!$D:$D&amp;'3) Release_Label'!$E:$E,'3) Release_Label'!$H:$H},2,0), or(and(not(isblank($B726)),$B726=$B725,$A726&lt;&gt;$A725),and(not(isblank($A726)),$A726=$A725,$B726&lt;&gt;$B725)),"ID LISTS UNALIGNED",and($A726&lt;&gt;"",countif('3) Release_Label'!$D:$D,$A726)=0),"NO UPC MATCH in Release_Label",and($B726&lt;&gt;"",countif('3) Release_Label'!$E:$E,$B726)=0),"NO CATALOG ID MATCH in Release_Label",iserror(vlookup($A726&amp;$B726,'3) Release_Label'!$D:$D&amp;'3) Release_Label'!$E:$E,1,0)),"NO UPC-CATALOG ID pair MATCH in Release_Label" )</f>
        <v/>
      </c>
      <c r="E726" s="147" t="str">
        <f t="shared" si="1"/>
        <v/>
      </c>
      <c r="G726" s="97"/>
      <c r="H726" s="155"/>
      <c r="J726" s="92"/>
      <c r="K726" s="98"/>
      <c r="L726" s="92"/>
      <c r="N726" s="92"/>
      <c r="O726" s="92"/>
      <c r="P726" s="92"/>
    </row>
    <row r="727">
      <c r="A727" s="28"/>
      <c r="B727" s="97"/>
      <c r="C727" s="121" t="str">
        <f t="array" ref="C727">ifs(and(isblank($A727),isblank($B727)),"", not(iserror(vlookup($A727&amp;$B727,'3) Release_Label'!$D:$D&amp;'3) Release_Label'!$E:$E,1,0))),vlookup($A727&amp;$B727,{'3) Release_Label'!$D:$D&amp;'3) Release_Label'!$E:$E,'3) Release_Label'!$F:$F},2,0), or(and(not(isblank($B727)),$B727=$B726,$A727&lt;&gt;$A726),and(not(isblank($A727)),$A727=$A726,$B727&lt;&gt;$B726)),"ID LISTS UNALIGNED",and($A727&lt;&gt;"",countif('3) Release_Label'!$D:$D,$A727)=0),"NO UPC MATCH in Release_Label",and($B727&lt;&gt;"",countif('3) Release_Label'!$E:$E,$B727)=0),"NO CATALOG ID MATCH in Release_Label",iserror(vlookup($A727&amp;$B727,'3) Release_Label'!$D:$D&amp;'3) Release_Label'!$E:$E,1,0)),"NO UPC-CATALOG ID pair MATCH in Release_Label" )</f>
        <v/>
      </c>
      <c r="D727" s="121" t="str">
        <f t="array" ref="D727">ifs(and(isblank($A727),isblank($B727)),"", not(iserror(vlookup($A727&amp;$B727,'3) Release_Label'!$D:$D&amp;'3) Release_Label'!$E:$E,1,0))),vlookup($A727&amp;$B727,{'3) Release_Label'!$D:$D&amp;'3) Release_Label'!$E:$E,'3) Release_Label'!$H:$H},2,0), or(and(not(isblank($B727)),$B727=$B726,$A727&lt;&gt;$A726),and(not(isblank($A727)),$A727=$A726,$B727&lt;&gt;$B726)),"ID LISTS UNALIGNED",and($A727&lt;&gt;"",countif('3) Release_Label'!$D:$D,$A727)=0),"NO UPC MATCH in Release_Label",and($B727&lt;&gt;"",countif('3) Release_Label'!$E:$E,$B727)=0),"NO CATALOG ID MATCH in Release_Label",iserror(vlookup($A727&amp;$B727,'3) Release_Label'!$D:$D&amp;'3) Release_Label'!$E:$E,1,0)),"NO UPC-CATALOG ID pair MATCH in Release_Label" )</f>
        <v/>
      </c>
      <c r="E727" s="147" t="str">
        <f t="shared" si="1"/>
        <v/>
      </c>
      <c r="G727" s="97"/>
      <c r="H727" s="155"/>
      <c r="J727" s="92"/>
      <c r="K727" s="98"/>
      <c r="L727" s="92"/>
      <c r="N727" s="92"/>
      <c r="O727" s="92"/>
      <c r="P727" s="92"/>
    </row>
    <row r="728">
      <c r="A728" s="28"/>
      <c r="B728" s="97"/>
      <c r="C728" s="121" t="str">
        <f t="array" ref="C728">ifs(and(isblank($A728),isblank($B728)),"", not(iserror(vlookup($A728&amp;$B728,'3) Release_Label'!$D:$D&amp;'3) Release_Label'!$E:$E,1,0))),vlookup($A728&amp;$B728,{'3) Release_Label'!$D:$D&amp;'3) Release_Label'!$E:$E,'3) Release_Label'!$F:$F},2,0), or(and(not(isblank($B728)),$B728=$B727,$A728&lt;&gt;$A727),and(not(isblank($A728)),$A728=$A727,$B728&lt;&gt;$B727)),"ID LISTS UNALIGNED",and($A728&lt;&gt;"",countif('3) Release_Label'!$D:$D,$A728)=0),"NO UPC MATCH in Release_Label",and($B728&lt;&gt;"",countif('3) Release_Label'!$E:$E,$B728)=0),"NO CATALOG ID MATCH in Release_Label",iserror(vlookup($A728&amp;$B728,'3) Release_Label'!$D:$D&amp;'3) Release_Label'!$E:$E,1,0)),"NO UPC-CATALOG ID pair MATCH in Release_Label" )</f>
        <v/>
      </c>
      <c r="D728" s="121" t="str">
        <f t="array" ref="D728">ifs(and(isblank($A728),isblank($B728)),"", not(iserror(vlookup($A728&amp;$B728,'3) Release_Label'!$D:$D&amp;'3) Release_Label'!$E:$E,1,0))),vlookup($A728&amp;$B728,{'3) Release_Label'!$D:$D&amp;'3) Release_Label'!$E:$E,'3) Release_Label'!$H:$H},2,0), or(and(not(isblank($B728)),$B728=$B727,$A728&lt;&gt;$A727),and(not(isblank($A728)),$A728=$A727,$B728&lt;&gt;$B727)),"ID LISTS UNALIGNED",and($A728&lt;&gt;"",countif('3) Release_Label'!$D:$D,$A728)=0),"NO UPC MATCH in Release_Label",and($B728&lt;&gt;"",countif('3) Release_Label'!$E:$E,$B728)=0),"NO CATALOG ID MATCH in Release_Label",iserror(vlookup($A728&amp;$B728,'3) Release_Label'!$D:$D&amp;'3) Release_Label'!$E:$E,1,0)),"NO UPC-CATALOG ID pair MATCH in Release_Label" )</f>
        <v/>
      </c>
      <c r="E728" s="147" t="str">
        <f t="shared" si="1"/>
        <v/>
      </c>
      <c r="G728" s="97"/>
      <c r="H728" s="155"/>
      <c r="J728" s="92"/>
      <c r="K728" s="98"/>
      <c r="L728" s="92"/>
      <c r="N728" s="92"/>
      <c r="O728" s="92"/>
      <c r="P728" s="92"/>
    </row>
    <row r="729">
      <c r="A729" s="28"/>
      <c r="B729" s="97"/>
      <c r="C729" s="121" t="str">
        <f t="array" ref="C729">ifs(and(isblank($A729),isblank($B729)),"", not(iserror(vlookup($A729&amp;$B729,'3) Release_Label'!$D:$D&amp;'3) Release_Label'!$E:$E,1,0))),vlookup($A729&amp;$B729,{'3) Release_Label'!$D:$D&amp;'3) Release_Label'!$E:$E,'3) Release_Label'!$F:$F},2,0), or(and(not(isblank($B729)),$B729=$B728,$A729&lt;&gt;$A728),and(not(isblank($A729)),$A729=$A728,$B729&lt;&gt;$B728)),"ID LISTS UNALIGNED",and($A729&lt;&gt;"",countif('3) Release_Label'!$D:$D,$A729)=0),"NO UPC MATCH in Release_Label",and($B729&lt;&gt;"",countif('3) Release_Label'!$E:$E,$B729)=0),"NO CATALOG ID MATCH in Release_Label",iserror(vlookup($A729&amp;$B729,'3) Release_Label'!$D:$D&amp;'3) Release_Label'!$E:$E,1,0)),"NO UPC-CATALOG ID pair MATCH in Release_Label" )</f>
        <v/>
      </c>
      <c r="D729" s="121" t="str">
        <f t="array" ref="D729">ifs(and(isblank($A729),isblank($B729)),"", not(iserror(vlookup($A729&amp;$B729,'3) Release_Label'!$D:$D&amp;'3) Release_Label'!$E:$E,1,0))),vlookup($A729&amp;$B729,{'3) Release_Label'!$D:$D&amp;'3) Release_Label'!$E:$E,'3) Release_Label'!$H:$H},2,0), or(and(not(isblank($B729)),$B729=$B728,$A729&lt;&gt;$A728),and(not(isblank($A729)),$A729=$A728,$B729&lt;&gt;$B728)),"ID LISTS UNALIGNED",and($A729&lt;&gt;"",countif('3) Release_Label'!$D:$D,$A729)=0),"NO UPC MATCH in Release_Label",and($B729&lt;&gt;"",countif('3) Release_Label'!$E:$E,$B729)=0),"NO CATALOG ID MATCH in Release_Label",iserror(vlookup($A729&amp;$B729,'3) Release_Label'!$D:$D&amp;'3) Release_Label'!$E:$E,1,0)),"NO UPC-CATALOG ID pair MATCH in Release_Label" )</f>
        <v/>
      </c>
      <c r="E729" s="147" t="str">
        <f t="shared" si="1"/>
        <v/>
      </c>
      <c r="G729" s="97"/>
      <c r="H729" s="155"/>
      <c r="J729" s="92"/>
      <c r="K729" s="98"/>
      <c r="L729" s="92"/>
      <c r="N729" s="92"/>
      <c r="O729" s="92"/>
      <c r="P729" s="92"/>
    </row>
    <row r="730">
      <c r="A730" s="28"/>
      <c r="B730" s="97"/>
      <c r="C730" s="121" t="str">
        <f t="array" ref="C730">ifs(and(isblank($A730),isblank($B730)),"", not(iserror(vlookup($A730&amp;$B730,'3) Release_Label'!$D:$D&amp;'3) Release_Label'!$E:$E,1,0))),vlookup($A730&amp;$B730,{'3) Release_Label'!$D:$D&amp;'3) Release_Label'!$E:$E,'3) Release_Label'!$F:$F},2,0), or(and(not(isblank($B730)),$B730=$B729,$A730&lt;&gt;$A729),and(not(isblank($A730)),$A730=$A729,$B730&lt;&gt;$B729)),"ID LISTS UNALIGNED",and($A730&lt;&gt;"",countif('3) Release_Label'!$D:$D,$A730)=0),"NO UPC MATCH in Release_Label",and($B730&lt;&gt;"",countif('3) Release_Label'!$E:$E,$B730)=0),"NO CATALOG ID MATCH in Release_Label",iserror(vlookup($A730&amp;$B730,'3) Release_Label'!$D:$D&amp;'3) Release_Label'!$E:$E,1,0)),"NO UPC-CATALOG ID pair MATCH in Release_Label" )</f>
        <v/>
      </c>
      <c r="D730" s="121" t="str">
        <f t="array" ref="D730">ifs(and(isblank($A730),isblank($B730)),"", not(iserror(vlookup($A730&amp;$B730,'3) Release_Label'!$D:$D&amp;'3) Release_Label'!$E:$E,1,0))),vlookup($A730&amp;$B730,{'3) Release_Label'!$D:$D&amp;'3) Release_Label'!$E:$E,'3) Release_Label'!$H:$H},2,0), or(and(not(isblank($B730)),$B730=$B729,$A730&lt;&gt;$A729),and(not(isblank($A730)),$A730=$A729,$B730&lt;&gt;$B729)),"ID LISTS UNALIGNED",and($A730&lt;&gt;"",countif('3) Release_Label'!$D:$D,$A730)=0),"NO UPC MATCH in Release_Label",and($B730&lt;&gt;"",countif('3) Release_Label'!$E:$E,$B730)=0),"NO CATALOG ID MATCH in Release_Label",iserror(vlookup($A730&amp;$B730,'3) Release_Label'!$D:$D&amp;'3) Release_Label'!$E:$E,1,0)),"NO UPC-CATALOG ID pair MATCH in Release_Label" )</f>
        <v/>
      </c>
      <c r="E730" s="147" t="str">
        <f t="shared" si="1"/>
        <v/>
      </c>
      <c r="G730" s="97"/>
      <c r="H730" s="155"/>
      <c r="J730" s="92"/>
      <c r="K730" s="98"/>
      <c r="L730" s="92"/>
      <c r="N730" s="92"/>
      <c r="O730" s="92"/>
      <c r="P730" s="92"/>
    </row>
    <row r="731">
      <c r="A731" s="28"/>
      <c r="B731" s="97"/>
      <c r="C731" s="121" t="str">
        <f t="array" ref="C731">ifs(and(isblank($A731),isblank($B731)),"", not(iserror(vlookup($A731&amp;$B731,'3) Release_Label'!$D:$D&amp;'3) Release_Label'!$E:$E,1,0))),vlookup($A731&amp;$B731,{'3) Release_Label'!$D:$D&amp;'3) Release_Label'!$E:$E,'3) Release_Label'!$F:$F},2,0), or(and(not(isblank($B731)),$B731=$B730,$A731&lt;&gt;$A730),and(not(isblank($A731)),$A731=$A730,$B731&lt;&gt;$B730)),"ID LISTS UNALIGNED",and($A731&lt;&gt;"",countif('3) Release_Label'!$D:$D,$A731)=0),"NO UPC MATCH in Release_Label",and($B731&lt;&gt;"",countif('3) Release_Label'!$E:$E,$B731)=0),"NO CATALOG ID MATCH in Release_Label",iserror(vlookup($A731&amp;$B731,'3) Release_Label'!$D:$D&amp;'3) Release_Label'!$E:$E,1,0)),"NO UPC-CATALOG ID pair MATCH in Release_Label" )</f>
        <v/>
      </c>
      <c r="D731" s="121" t="str">
        <f t="array" ref="D731">ifs(and(isblank($A731),isblank($B731)),"", not(iserror(vlookup($A731&amp;$B731,'3) Release_Label'!$D:$D&amp;'3) Release_Label'!$E:$E,1,0))),vlookup($A731&amp;$B731,{'3) Release_Label'!$D:$D&amp;'3) Release_Label'!$E:$E,'3) Release_Label'!$H:$H},2,0), or(and(not(isblank($B731)),$B731=$B730,$A731&lt;&gt;$A730),and(not(isblank($A731)),$A731=$A730,$B731&lt;&gt;$B730)),"ID LISTS UNALIGNED",and($A731&lt;&gt;"",countif('3) Release_Label'!$D:$D,$A731)=0),"NO UPC MATCH in Release_Label",and($B731&lt;&gt;"",countif('3) Release_Label'!$E:$E,$B731)=0),"NO CATALOG ID MATCH in Release_Label",iserror(vlookup($A731&amp;$B731,'3) Release_Label'!$D:$D&amp;'3) Release_Label'!$E:$E,1,0)),"NO UPC-CATALOG ID pair MATCH in Release_Label" )</f>
        <v/>
      </c>
      <c r="E731" s="147" t="str">
        <f t="shared" si="1"/>
        <v/>
      </c>
      <c r="G731" s="97"/>
      <c r="H731" s="155"/>
      <c r="J731" s="92"/>
      <c r="K731" s="98"/>
      <c r="L731" s="92"/>
      <c r="N731" s="92"/>
      <c r="O731" s="92"/>
      <c r="P731" s="92"/>
    </row>
    <row r="732">
      <c r="A732" s="28"/>
      <c r="B732" s="97"/>
      <c r="C732" s="121" t="str">
        <f t="array" ref="C732">ifs(and(isblank($A732),isblank($B732)),"", not(iserror(vlookup($A732&amp;$B732,'3) Release_Label'!$D:$D&amp;'3) Release_Label'!$E:$E,1,0))),vlookup($A732&amp;$B732,{'3) Release_Label'!$D:$D&amp;'3) Release_Label'!$E:$E,'3) Release_Label'!$F:$F},2,0), or(and(not(isblank($B732)),$B732=$B731,$A732&lt;&gt;$A731),and(not(isblank($A732)),$A732=$A731,$B732&lt;&gt;$B731)),"ID LISTS UNALIGNED",and($A732&lt;&gt;"",countif('3) Release_Label'!$D:$D,$A732)=0),"NO UPC MATCH in Release_Label",and($B732&lt;&gt;"",countif('3) Release_Label'!$E:$E,$B732)=0),"NO CATALOG ID MATCH in Release_Label",iserror(vlookup($A732&amp;$B732,'3) Release_Label'!$D:$D&amp;'3) Release_Label'!$E:$E,1,0)),"NO UPC-CATALOG ID pair MATCH in Release_Label" )</f>
        <v/>
      </c>
      <c r="D732" s="121" t="str">
        <f t="array" ref="D732">ifs(and(isblank($A732),isblank($B732)),"", not(iserror(vlookup($A732&amp;$B732,'3) Release_Label'!$D:$D&amp;'3) Release_Label'!$E:$E,1,0))),vlookup($A732&amp;$B732,{'3) Release_Label'!$D:$D&amp;'3) Release_Label'!$E:$E,'3) Release_Label'!$H:$H},2,0), or(and(not(isblank($B732)),$B732=$B731,$A732&lt;&gt;$A731),and(not(isblank($A732)),$A732=$A731,$B732&lt;&gt;$B731)),"ID LISTS UNALIGNED",and($A732&lt;&gt;"",countif('3) Release_Label'!$D:$D,$A732)=0),"NO UPC MATCH in Release_Label",and($B732&lt;&gt;"",countif('3) Release_Label'!$E:$E,$B732)=0),"NO CATALOG ID MATCH in Release_Label",iserror(vlookup($A732&amp;$B732,'3) Release_Label'!$D:$D&amp;'3) Release_Label'!$E:$E,1,0)),"NO UPC-CATALOG ID pair MATCH in Release_Label" )</f>
        <v/>
      </c>
      <c r="E732" s="147" t="str">
        <f t="shared" si="1"/>
        <v/>
      </c>
      <c r="G732" s="97"/>
      <c r="H732" s="155"/>
      <c r="J732" s="92"/>
      <c r="K732" s="98"/>
      <c r="L732" s="92"/>
      <c r="N732" s="92"/>
      <c r="O732" s="92"/>
      <c r="P732" s="92"/>
    </row>
    <row r="733">
      <c r="A733" s="28"/>
      <c r="B733" s="97"/>
      <c r="C733" s="121" t="str">
        <f t="array" ref="C733">ifs(and(isblank($A733),isblank($B733)),"", not(iserror(vlookup($A733&amp;$B733,'3) Release_Label'!$D:$D&amp;'3) Release_Label'!$E:$E,1,0))),vlookup($A733&amp;$B733,{'3) Release_Label'!$D:$D&amp;'3) Release_Label'!$E:$E,'3) Release_Label'!$F:$F},2,0), or(and(not(isblank($B733)),$B733=$B732,$A733&lt;&gt;$A732),and(not(isblank($A733)),$A733=$A732,$B733&lt;&gt;$B732)),"ID LISTS UNALIGNED",and($A733&lt;&gt;"",countif('3) Release_Label'!$D:$D,$A733)=0),"NO UPC MATCH in Release_Label",and($B733&lt;&gt;"",countif('3) Release_Label'!$E:$E,$B733)=0),"NO CATALOG ID MATCH in Release_Label",iserror(vlookup($A733&amp;$B733,'3) Release_Label'!$D:$D&amp;'3) Release_Label'!$E:$E,1,0)),"NO UPC-CATALOG ID pair MATCH in Release_Label" )</f>
        <v/>
      </c>
      <c r="D733" s="121" t="str">
        <f t="array" ref="D733">ifs(and(isblank($A733),isblank($B733)),"", not(iserror(vlookup($A733&amp;$B733,'3) Release_Label'!$D:$D&amp;'3) Release_Label'!$E:$E,1,0))),vlookup($A733&amp;$B733,{'3) Release_Label'!$D:$D&amp;'3) Release_Label'!$E:$E,'3) Release_Label'!$H:$H},2,0), or(and(not(isblank($B733)),$B733=$B732,$A733&lt;&gt;$A732),and(not(isblank($A733)),$A733=$A732,$B733&lt;&gt;$B732)),"ID LISTS UNALIGNED",and($A733&lt;&gt;"",countif('3) Release_Label'!$D:$D,$A733)=0),"NO UPC MATCH in Release_Label",and($B733&lt;&gt;"",countif('3) Release_Label'!$E:$E,$B733)=0),"NO CATALOG ID MATCH in Release_Label",iserror(vlookup($A733&amp;$B733,'3) Release_Label'!$D:$D&amp;'3) Release_Label'!$E:$E,1,0)),"NO UPC-CATALOG ID pair MATCH in Release_Label" )</f>
        <v/>
      </c>
      <c r="E733" s="147" t="str">
        <f t="shared" si="1"/>
        <v/>
      </c>
      <c r="G733" s="97"/>
      <c r="H733" s="155"/>
      <c r="J733" s="92"/>
      <c r="K733" s="98"/>
      <c r="L733" s="92"/>
      <c r="N733" s="92"/>
      <c r="O733" s="92"/>
      <c r="P733" s="92"/>
    </row>
    <row r="734">
      <c r="A734" s="28"/>
      <c r="B734" s="97"/>
      <c r="C734" s="121" t="str">
        <f t="array" ref="C734">ifs(and(isblank($A734),isblank($B734)),"", not(iserror(vlookup($A734&amp;$B734,'3) Release_Label'!$D:$D&amp;'3) Release_Label'!$E:$E,1,0))),vlookup($A734&amp;$B734,{'3) Release_Label'!$D:$D&amp;'3) Release_Label'!$E:$E,'3) Release_Label'!$F:$F},2,0), or(and(not(isblank($B734)),$B734=$B733,$A734&lt;&gt;$A733),and(not(isblank($A734)),$A734=$A733,$B734&lt;&gt;$B733)),"ID LISTS UNALIGNED",and($A734&lt;&gt;"",countif('3) Release_Label'!$D:$D,$A734)=0),"NO UPC MATCH in Release_Label",and($B734&lt;&gt;"",countif('3) Release_Label'!$E:$E,$B734)=0),"NO CATALOG ID MATCH in Release_Label",iserror(vlookup($A734&amp;$B734,'3) Release_Label'!$D:$D&amp;'3) Release_Label'!$E:$E,1,0)),"NO UPC-CATALOG ID pair MATCH in Release_Label" )</f>
        <v/>
      </c>
      <c r="D734" s="121" t="str">
        <f t="array" ref="D734">ifs(and(isblank($A734),isblank($B734)),"", not(iserror(vlookup($A734&amp;$B734,'3) Release_Label'!$D:$D&amp;'3) Release_Label'!$E:$E,1,0))),vlookup($A734&amp;$B734,{'3) Release_Label'!$D:$D&amp;'3) Release_Label'!$E:$E,'3) Release_Label'!$H:$H},2,0), or(and(not(isblank($B734)),$B734=$B733,$A734&lt;&gt;$A733),and(not(isblank($A734)),$A734=$A733,$B734&lt;&gt;$B733)),"ID LISTS UNALIGNED",and($A734&lt;&gt;"",countif('3) Release_Label'!$D:$D,$A734)=0),"NO UPC MATCH in Release_Label",and($B734&lt;&gt;"",countif('3) Release_Label'!$E:$E,$B734)=0),"NO CATALOG ID MATCH in Release_Label",iserror(vlookup($A734&amp;$B734,'3) Release_Label'!$D:$D&amp;'3) Release_Label'!$E:$E,1,0)),"NO UPC-CATALOG ID pair MATCH in Release_Label" )</f>
        <v/>
      </c>
      <c r="E734" s="147" t="str">
        <f t="shared" si="1"/>
        <v/>
      </c>
      <c r="G734" s="97"/>
      <c r="H734" s="155"/>
      <c r="J734" s="92"/>
      <c r="K734" s="98"/>
      <c r="L734" s="92"/>
      <c r="N734" s="92"/>
      <c r="O734" s="92"/>
      <c r="P734" s="92"/>
    </row>
    <row r="735">
      <c r="A735" s="28"/>
      <c r="B735" s="97"/>
      <c r="C735" s="121" t="str">
        <f t="array" ref="C735">ifs(and(isblank($A735),isblank($B735)),"", not(iserror(vlookup($A735&amp;$B735,'3) Release_Label'!$D:$D&amp;'3) Release_Label'!$E:$E,1,0))),vlookup($A735&amp;$B735,{'3) Release_Label'!$D:$D&amp;'3) Release_Label'!$E:$E,'3) Release_Label'!$F:$F},2,0), or(and(not(isblank($B735)),$B735=$B734,$A735&lt;&gt;$A734),and(not(isblank($A735)),$A735=$A734,$B735&lt;&gt;$B734)),"ID LISTS UNALIGNED",and($A735&lt;&gt;"",countif('3) Release_Label'!$D:$D,$A735)=0),"NO UPC MATCH in Release_Label",and($B735&lt;&gt;"",countif('3) Release_Label'!$E:$E,$B735)=0),"NO CATALOG ID MATCH in Release_Label",iserror(vlookup($A735&amp;$B735,'3) Release_Label'!$D:$D&amp;'3) Release_Label'!$E:$E,1,0)),"NO UPC-CATALOG ID pair MATCH in Release_Label" )</f>
        <v/>
      </c>
      <c r="D735" s="121" t="str">
        <f t="array" ref="D735">ifs(and(isblank($A735),isblank($B735)),"", not(iserror(vlookup($A735&amp;$B735,'3) Release_Label'!$D:$D&amp;'3) Release_Label'!$E:$E,1,0))),vlookup($A735&amp;$B735,{'3) Release_Label'!$D:$D&amp;'3) Release_Label'!$E:$E,'3) Release_Label'!$H:$H},2,0), or(and(not(isblank($B735)),$B735=$B734,$A735&lt;&gt;$A734),and(not(isblank($A735)),$A735=$A734,$B735&lt;&gt;$B734)),"ID LISTS UNALIGNED",and($A735&lt;&gt;"",countif('3) Release_Label'!$D:$D,$A735)=0),"NO UPC MATCH in Release_Label",and($B735&lt;&gt;"",countif('3) Release_Label'!$E:$E,$B735)=0),"NO CATALOG ID MATCH in Release_Label",iserror(vlookup($A735&amp;$B735,'3) Release_Label'!$D:$D&amp;'3) Release_Label'!$E:$E,1,0)),"NO UPC-CATALOG ID pair MATCH in Release_Label" )</f>
        <v/>
      </c>
      <c r="E735" s="147" t="str">
        <f t="shared" si="1"/>
        <v/>
      </c>
      <c r="G735" s="97"/>
      <c r="H735" s="155"/>
      <c r="J735" s="92"/>
      <c r="K735" s="98"/>
      <c r="L735" s="92"/>
      <c r="N735" s="92"/>
      <c r="O735" s="92"/>
      <c r="P735" s="92"/>
    </row>
    <row r="736">
      <c r="A736" s="28"/>
      <c r="B736" s="97"/>
      <c r="C736" s="121" t="str">
        <f t="array" ref="C736">ifs(and(isblank($A736),isblank($B736)),"", not(iserror(vlookup($A736&amp;$B736,'3) Release_Label'!$D:$D&amp;'3) Release_Label'!$E:$E,1,0))),vlookup($A736&amp;$B736,{'3) Release_Label'!$D:$D&amp;'3) Release_Label'!$E:$E,'3) Release_Label'!$F:$F},2,0), or(and(not(isblank($B736)),$B736=$B735,$A736&lt;&gt;$A735),and(not(isblank($A736)),$A736=$A735,$B736&lt;&gt;$B735)),"ID LISTS UNALIGNED",and($A736&lt;&gt;"",countif('3) Release_Label'!$D:$D,$A736)=0),"NO UPC MATCH in Release_Label",and($B736&lt;&gt;"",countif('3) Release_Label'!$E:$E,$B736)=0),"NO CATALOG ID MATCH in Release_Label",iserror(vlookup($A736&amp;$B736,'3) Release_Label'!$D:$D&amp;'3) Release_Label'!$E:$E,1,0)),"NO UPC-CATALOG ID pair MATCH in Release_Label" )</f>
        <v/>
      </c>
      <c r="D736" s="121" t="str">
        <f t="array" ref="D736">ifs(and(isblank($A736),isblank($B736)),"", not(iserror(vlookup($A736&amp;$B736,'3) Release_Label'!$D:$D&amp;'3) Release_Label'!$E:$E,1,0))),vlookup($A736&amp;$B736,{'3) Release_Label'!$D:$D&amp;'3) Release_Label'!$E:$E,'3) Release_Label'!$H:$H},2,0), or(and(not(isblank($B736)),$B736=$B735,$A736&lt;&gt;$A735),and(not(isblank($A736)),$A736=$A735,$B736&lt;&gt;$B735)),"ID LISTS UNALIGNED",and($A736&lt;&gt;"",countif('3) Release_Label'!$D:$D,$A736)=0),"NO UPC MATCH in Release_Label",and($B736&lt;&gt;"",countif('3) Release_Label'!$E:$E,$B736)=0),"NO CATALOG ID MATCH in Release_Label",iserror(vlookup($A736&amp;$B736,'3) Release_Label'!$D:$D&amp;'3) Release_Label'!$E:$E,1,0)),"NO UPC-CATALOG ID pair MATCH in Release_Label" )</f>
        <v/>
      </c>
      <c r="E736" s="147" t="str">
        <f t="shared" si="1"/>
        <v/>
      </c>
      <c r="G736" s="97"/>
      <c r="H736" s="155"/>
      <c r="J736" s="92"/>
      <c r="K736" s="98"/>
      <c r="L736" s="92"/>
      <c r="N736" s="92"/>
      <c r="O736" s="92"/>
      <c r="P736" s="92"/>
    </row>
    <row r="737">
      <c r="A737" s="28"/>
      <c r="B737" s="97"/>
      <c r="C737" s="121" t="str">
        <f t="array" ref="C737">ifs(and(isblank($A737),isblank($B737)),"", not(iserror(vlookup($A737&amp;$B737,'3) Release_Label'!$D:$D&amp;'3) Release_Label'!$E:$E,1,0))),vlookup($A737&amp;$B737,{'3) Release_Label'!$D:$D&amp;'3) Release_Label'!$E:$E,'3) Release_Label'!$F:$F},2,0), or(and(not(isblank($B737)),$B737=$B736,$A737&lt;&gt;$A736),and(not(isblank($A737)),$A737=$A736,$B737&lt;&gt;$B736)),"ID LISTS UNALIGNED",and($A737&lt;&gt;"",countif('3) Release_Label'!$D:$D,$A737)=0),"NO UPC MATCH in Release_Label",and($B737&lt;&gt;"",countif('3) Release_Label'!$E:$E,$B737)=0),"NO CATALOG ID MATCH in Release_Label",iserror(vlookup($A737&amp;$B737,'3) Release_Label'!$D:$D&amp;'3) Release_Label'!$E:$E,1,0)),"NO UPC-CATALOG ID pair MATCH in Release_Label" )</f>
        <v/>
      </c>
      <c r="D737" s="121" t="str">
        <f t="array" ref="D737">ifs(and(isblank($A737),isblank($B737)),"", not(iserror(vlookup($A737&amp;$B737,'3) Release_Label'!$D:$D&amp;'3) Release_Label'!$E:$E,1,0))),vlookup($A737&amp;$B737,{'3) Release_Label'!$D:$D&amp;'3) Release_Label'!$E:$E,'3) Release_Label'!$H:$H},2,0), or(and(not(isblank($B737)),$B737=$B736,$A737&lt;&gt;$A736),and(not(isblank($A737)),$A737=$A736,$B737&lt;&gt;$B736)),"ID LISTS UNALIGNED",and($A737&lt;&gt;"",countif('3) Release_Label'!$D:$D,$A737)=0),"NO UPC MATCH in Release_Label",and($B737&lt;&gt;"",countif('3) Release_Label'!$E:$E,$B737)=0),"NO CATALOG ID MATCH in Release_Label",iserror(vlookup($A737&amp;$B737,'3) Release_Label'!$D:$D&amp;'3) Release_Label'!$E:$E,1,0)),"NO UPC-CATALOG ID pair MATCH in Release_Label" )</f>
        <v/>
      </c>
      <c r="E737" s="147" t="str">
        <f t="shared" si="1"/>
        <v/>
      </c>
      <c r="G737" s="97"/>
      <c r="H737" s="155"/>
      <c r="J737" s="92"/>
      <c r="K737" s="98"/>
      <c r="L737" s="92"/>
      <c r="N737" s="92"/>
      <c r="O737" s="92"/>
      <c r="P737" s="92"/>
    </row>
    <row r="738">
      <c r="A738" s="28"/>
      <c r="B738" s="97"/>
      <c r="C738" s="121" t="str">
        <f t="array" ref="C738">ifs(and(isblank($A738),isblank($B738)),"", not(iserror(vlookup($A738&amp;$B738,'3) Release_Label'!$D:$D&amp;'3) Release_Label'!$E:$E,1,0))),vlookup($A738&amp;$B738,{'3) Release_Label'!$D:$D&amp;'3) Release_Label'!$E:$E,'3) Release_Label'!$F:$F},2,0), or(and(not(isblank($B738)),$B738=$B737,$A738&lt;&gt;$A737),and(not(isblank($A738)),$A738=$A737,$B738&lt;&gt;$B737)),"ID LISTS UNALIGNED",and($A738&lt;&gt;"",countif('3) Release_Label'!$D:$D,$A738)=0),"NO UPC MATCH in Release_Label",and($B738&lt;&gt;"",countif('3) Release_Label'!$E:$E,$B738)=0),"NO CATALOG ID MATCH in Release_Label",iserror(vlookup($A738&amp;$B738,'3) Release_Label'!$D:$D&amp;'3) Release_Label'!$E:$E,1,0)),"NO UPC-CATALOG ID pair MATCH in Release_Label" )</f>
        <v/>
      </c>
      <c r="D738" s="121" t="str">
        <f t="array" ref="D738">ifs(and(isblank($A738),isblank($B738)),"", not(iserror(vlookup($A738&amp;$B738,'3) Release_Label'!$D:$D&amp;'3) Release_Label'!$E:$E,1,0))),vlookup($A738&amp;$B738,{'3) Release_Label'!$D:$D&amp;'3) Release_Label'!$E:$E,'3) Release_Label'!$H:$H},2,0), or(and(not(isblank($B738)),$B738=$B737,$A738&lt;&gt;$A737),and(not(isblank($A738)),$A738=$A737,$B738&lt;&gt;$B737)),"ID LISTS UNALIGNED",and($A738&lt;&gt;"",countif('3) Release_Label'!$D:$D,$A738)=0),"NO UPC MATCH in Release_Label",and($B738&lt;&gt;"",countif('3) Release_Label'!$E:$E,$B738)=0),"NO CATALOG ID MATCH in Release_Label",iserror(vlookup($A738&amp;$B738,'3) Release_Label'!$D:$D&amp;'3) Release_Label'!$E:$E,1,0)),"NO UPC-CATALOG ID pair MATCH in Release_Label" )</f>
        <v/>
      </c>
      <c r="E738" s="147" t="str">
        <f t="shared" si="1"/>
        <v/>
      </c>
      <c r="G738" s="97"/>
      <c r="H738" s="155"/>
      <c r="J738" s="92"/>
      <c r="K738" s="98"/>
      <c r="L738" s="92"/>
      <c r="N738" s="92"/>
      <c r="O738" s="92"/>
      <c r="P738" s="92"/>
    </row>
    <row r="739">
      <c r="A739" s="28"/>
      <c r="B739" s="97"/>
      <c r="C739" s="121" t="str">
        <f t="array" ref="C739">ifs(and(isblank($A739),isblank($B739)),"", not(iserror(vlookup($A739&amp;$B739,'3) Release_Label'!$D:$D&amp;'3) Release_Label'!$E:$E,1,0))),vlookup($A739&amp;$B739,{'3) Release_Label'!$D:$D&amp;'3) Release_Label'!$E:$E,'3) Release_Label'!$F:$F},2,0), or(and(not(isblank($B739)),$B739=$B738,$A739&lt;&gt;$A738),and(not(isblank($A739)),$A739=$A738,$B739&lt;&gt;$B738)),"ID LISTS UNALIGNED",and($A739&lt;&gt;"",countif('3) Release_Label'!$D:$D,$A739)=0),"NO UPC MATCH in Release_Label",and($B739&lt;&gt;"",countif('3) Release_Label'!$E:$E,$B739)=0),"NO CATALOG ID MATCH in Release_Label",iserror(vlookup($A739&amp;$B739,'3) Release_Label'!$D:$D&amp;'3) Release_Label'!$E:$E,1,0)),"NO UPC-CATALOG ID pair MATCH in Release_Label" )</f>
        <v/>
      </c>
      <c r="D739" s="121" t="str">
        <f t="array" ref="D739">ifs(and(isblank($A739),isblank($B739)),"", not(iserror(vlookup($A739&amp;$B739,'3) Release_Label'!$D:$D&amp;'3) Release_Label'!$E:$E,1,0))),vlookup($A739&amp;$B739,{'3) Release_Label'!$D:$D&amp;'3) Release_Label'!$E:$E,'3) Release_Label'!$H:$H},2,0), or(and(not(isblank($B739)),$B739=$B738,$A739&lt;&gt;$A738),and(not(isblank($A739)),$A739=$A738,$B739&lt;&gt;$B738)),"ID LISTS UNALIGNED",and($A739&lt;&gt;"",countif('3) Release_Label'!$D:$D,$A739)=0),"NO UPC MATCH in Release_Label",and($B739&lt;&gt;"",countif('3) Release_Label'!$E:$E,$B739)=0),"NO CATALOG ID MATCH in Release_Label",iserror(vlookup($A739&amp;$B739,'3) Release_Label'!$D:$D&amp;'3) Release_Label'!$E:$E,1,0)),"NO UPC-CATALOG ID pair MATCH in Release_Label" )</f>
        <v/>
      </c>
      <c r="E739" s="147" t="str">
        <f t="shared" si="1"/>
        <v/>
      </c>
      <c r="G739" s="97"/>
      <c r="H739" s="155"/>
      <c r="J739" s="92"/>
      <c r="K739" s="98"/>
      <c r="L739" s="92"/>
      <c r="N739" s="92"/>
      <c r="O739" s="92"/>
      <c r="P739" s="92"/>
    </row>
    <row r="740">
      <c r="A740" s="28"/>
      <c r="B740" s="97"/>
      <c r="C740" s="121" t="str">
        <f t="array" ref="C740">ifs(and(isblank($A740),isblank($B740)),"", not(iserror(vlookup($A740&amp;$B740,'3) Release_Label'!$D:$D&amp;'3) Release_Label'!$E:$E,1,0))),vlookup($A740&amp;$B740,{'3) Release_Label'!$D:$D&amp;'3) Release_Label'!$E:$E,'3) Release_Label'!$F:$F},2,0), or(and(not(isblank($B740)),$B740=$B739,$A740&lt;&gt;$A739),and(not(isblank($A740)),$A740=$A739,$B740&lt;&gt;$B739)),"ID LISTS UNALIGNED",and($A740&lt;&gt;"",countif('3) Release_Label'!$D:$D,$A740)=0),"NO UPC MATCH in Release_Label",and($B740&lt;&gt;"",countif('3) Release_Label'!$E:$E,$B740)=0),"NO CATALOG ID MATCH in Release_Label",iserror(vlookup($A740&amp;$B740,'3) Release_Label'!$D:$D&amp;'3) Release_Label'!$E:$E,1,0)),"NO UPC-CATALOG ID pair MATCH in Release_Label" )</f>
        <v/>
      </c>
      <c r="D740" s="121" t="str">
        <f t="array" ref="D740">ifs(and(isblank($A740),isblank($B740)),"", not(iserror(vlookup($A740&amp;$B740,'3) Release_Label'!$D:$D&amp;'3) Release_Label'!$E:$E,1,0))),vlookup($A740&amp;$B740,{'3) Release_Label'!$D:$D&amp;'3) Release_Label'!$E:$E,'3) Release_Label'!$H:$H},2,0), or(and(not(isblank($B740)),$B740=$B739,$A740&lt;&gt;$A739),and(not(isblank($A740)),$A740=$A739,$B740&lt;&gt;$B739)),"ID LISTS UNALIGNED",and($A740&lt;&gt;"",countif('3) Release_Label'!$D:$D,$A740)=0),"NO UPC MATCH in Release_Label",and($B740&lt;&gt;"",countif('3) Release_Label'!$E:$E,$B740)=0),"NO CATALOG ID MATCH in Release_Label",iserror(vlookup($A740&amp;$B740,'3) Release_Label'!$D:$D&amp;'3) Release_Label'!$E:$E,1,0)),"NO UPC-CATALOG ID pair MATCH in Release_Label" )</f>
        <v/>
      </c>
      <c r="E740" s="147" t="str">
        <f t="shared" si="1"/>
        <v/>
      </c>
      <c r="G740" s="97"/>
      <c r="H740" s="155"/>
      <c r="J740" s="92"/>
      <c r="K740" s="98"/>
      <c r="L740" s="92"/>
      <c r="N740" s="92"/>
      <c r="O740" s="92"/>
      <c r="P740" s="92"/>
    </row>
    <row r="741">
      <c r="A741" s="28"/>
      <c r="B741" s="97"/>
      <c r="C741" s="121" t="str">
        <f t="array" ref="C741">ifs(and(isblank($A741),isblank($B741)),"", not(iserror(vlookup($A741&amp;$B741,'3) Release_Label'!$D:$D&amp;'3) Release_Label'!$E:$E,1,0))),vlookup($A741&amp;$B741,{'3) Release_Label'!$D:$D&amp;'3) Release_Label'!$E:$E,'3) Release_Label'!$F:$F},2,0), or(and(not(isblank($B741)),$B741=$B740,$A741&lt;&gt;$A740),and(not(isblank($A741)),$A741=$A740,$B741&lt;&gt;$B740)),"ID LISTS UNALIGNED",and($A741&lt;&gt;"",countif('3) Release_Label'!$D:$D,$A741)=0),"NO UPC MATCH in Release_Label",and($B741&lt;&gt;"",countif('3) Release_Label'!$E:$E,$B741)=0),"NO CATALOG ID MATCH in Release_Label",iserror(vlookup($A741&amp;$B741,'3) Release_Label'!$D:$D&amp;'3) Release_Label'!$E:$E,1,0)),"NO UPC-CATALOG ID pair MATCH in Release_Label" )</f>
        <v/>
      </c>
      <c r="D741" s="121" t="str">
        <f t="array" ref="D741">ifs(and(isblank($A741),isblank($B741)),"", not(iserror(vlookup($A741&amp;$B741,'3) Release_Label'!$D:$D&amp;'3) Release_Label'!$E:$E,1,0))),vlookup($A741&amp;$B741,{'3) Release_Label'!$D:$D&amp;'3) Release_Label'!$E:$E,'3) Release_Label'!$H:$H},2,0), or(and(not(isblank($B741)),$B741=$B740,$A741&lt;&gt;$A740),and(not(isblank($A741)),$A741=$A740,$B741&lt;&gt;$B740)),"ID LISTS UNALIGNED",and($A741&lt;&gt;"",countif('3) Release_Label'!$D:$D,$A741)=0),"NO UPC MATCH in Release_Label",and($B741&lt;&gt;"",countif('3) Release_Label'!$E:$E,$B741)=0),"NO CATALOG ID MATCH in Release_Label",iserror(vlookup($A741&amp;$B741,'3) Release_Label'!$D:$D&amp;'3) Release_Label'!$E:$E,1,0)),"NO UPC-CATALOG ID pair MATCH in Release_Label" )</f>
        <v/>
      </c>
      <c r="E741" s="147" t="str">
        <f t="shared" si="1"/>
        <v/>
      </c>
      <c r="G741" s="97"/>
      <c r="H741" s="155"/>
      <c r="J741" s="92"/>
      <c r="K741" s="98"/>
      <c r="L741" s="92"/>
      <c r="N741" s="92"/>
      <c r="O741" s="92"/>
      <c r="P741" s="92"/>
    </row>
    <row r="742">
      <c r="A742" s="28"/>
      <c r="B742" s="97"/>
      <c r="C742" s="121" t="str">
        <f t="array" ref="C742">ifs(and(isblank($A742),isblank($B742)),"", not(iserror(vlookup($A742&amp;$B742,'3) Release_Label'!$D:$D&amp;'3) Release_Label'!$E:$E,1,0))),vlookup($A742&amp;$B742,{'3) Release_Label'!$D:$D&amp;'3) Release_Label'!$E:$E,'3) Release_Label'!$F:$F},2,0), or(and(not(isblank($B742)),$B742=$B741,$A742&lt;&gt;$A741),and(not(isblank($A742)),$A742=$A741,$B742&lt;&gt;$B741)),"ID LISTS UNALIGNED",and($A742&lt;&gt;"",countif('3) Release_Label'!$D:$D,$A742)=0),"NO UPC MATCH in Release_Label",and($B742&lt;&gt;"",countif('3) Release_Label'!$E:$E,$B742)=0),"NO CATALOG ID MATCH in Release_Label",iserror(vlookup($A742&amp;$B742,'3) Release_Label'!$D:$D&amp;'3) Release_Label'!$E:$E,1,0)),"NO UPC-CATALOG ID pair MATCH in Release_Label" )</f>
        <v/>
      </c>
      <c r="D742" s="121" t="str">
        <f t="array" ref="D742">ifs(and(isblank($A742),isblank($B742)),"", not(iserror(vlookup($A742&amp;$B742,'3) Release_Label'!$D:$D&amp;'3) Release_Label'!$E:$E,1,0))),vlookup($A742&amp;$B742,{'3) Release_Label'!$D:$D&amp;'3) Release_Label'!$E:$E,'3) Release_Label'!$H:$H},2,0), or(and(not(isblank($B742)),$B742=$B741,$A742&lt;&gt;$A741),and(not(isblank($A742)),$A742=$A741,$B742&lt;&gt;$B741)),"ID LISTS UNALIGNED",and($A742&lt;&gt;"",countif('3) Release_Label'!$D:$D,$A742)=0),"NO UPC MATCH in Release_Label",and($B742&lt;&gt;"",countif('3) Release_Label'!$E:$E,$B742)=0),"NO CATALOG ID MATCH in Release_Label",iserror(vlookup($A742&amp;$B742,'3) Release_Label'!$D:$D&amp;'3) Release_Label'!$E:$E,1,0)),"NO UPC-CATALOG ID pair MATCH in Release_Label" )</f>
        <v/>
      </c>
      <c r="E742" s="147" t="str">
        <f t="shared" si="1"/>
        <v/>
      </c>
      <c r="G742" s="97"/>
      <c r="H742" s="155"/>
      <c r="J742" s="92"/>
      <c r="K742" s="98"/>
      <c r="L742" s="92"/>
      <c r="N742" s="92"/>
      <c r="O742" s="92"/>
      <c r="P742" s="92"/>
    </row>
    <row r="743">
      <c r="A743" s="28"/>
      <c r="B743" s="97"/>
      <c r="C743" s="121" t="str">
        <f t="array" ref="C743">ifs(and(isblank($A743),isblank($B743)),"", not(iserror(vlookup($A743&amp;$B743,'3) Release_Label'!$D:$D&amp;'3) Release_Label'!$E:$E,1,0))),vlookup($A743&amp;$B743,{'3) Release_Label'!$D:$D&amp;'3) Release_Label'!$E:$E,'3) Release_Label'!$F:$F},2,0), or(and(not(isblank($B743)),$B743=$B742,$A743&lt;&gt;$A742),and(not(isblank($A743)),$A743=$A742,$B743&lt;&gt;$B742)),"ID LISTS UNALIGNED",and($A743&lt;&gt;"",countif('3) Release_Label'!$D:$D,$A743)=0),"NO UPC MATCH in Release_Label",and($B743&lt;&gt;"",countif('3) Release_Label'!$E:$E,$B743)=0),"NO CATALOG ID MATCH in Release_Label",iserror(vlookup($A743&amp;$B743,'3) Release_Label'!$D:$D&amp;'3) Release_Label'!$E:$E,1,0)),"NO UPC-CATALOG ID pair MATCH in Release_Label" )</f>
        <v/>
      </c>
      <c r="D743" s="121" t="str">
        <f t="array" ref="D743">ifs(and(isblank($A743),isblank($B743)),"", not(iserror(vlookup($A743&amp;$B743,'3) Release_Label'!$D:$D&amp;'3) Release_Label'!$E:$E,1,0))),vlookup($A743&amp;$B743,{'3) Release_Label'!$D:$D&amp;'3) Release_Label'!$E:$E,'3) Release_Label'!$H:$H},2,0), or(and(not(isblank($B743)),$B743=$B742,$A743&lt;&gt;$A742),and(not(isblank($A743)),$A743=$A742,$B743&lt;&gt;$B742)),"ID LISTS UNALIGNED",and($A743&lt;&gt;"",countif('3) Release_Label'!$D:$D,$A743)=0),"NO UPC MATCH in Release_Label",and($B743&lt;&gt;"",countif('3) Release_Label'!$E:$E,$B743)=0),"NO CATALOG ID MATCH in Release_Label",iserror(vlookup($A743&amp;$B743,'3) Release_Label'!$D:$D&amp;'3) Release_Label'!$E:$E,1,0)),"NO UPC-CATALOG ID pair MATCH in Release_Label" )</f>
        <v/>
      </c>
      <c r="E743" s="147" t="str">
        <f t="shared" si="1"/>
        <v/>
      </c>
      <c r="G743" s="97"/>
      <c r="H743" s="155"/>
      <c r="J743" s="92"/>
      <c r="K743" s="98"/>
      <c r="L743" s="92"/>
      <c r="N743" s="92"/>
      <c r="O743" s="92"/>
      <c r="P743" s="92"/>
    </row>
    <row r="744">
      <c r="A744" s="28"/>
      <c r="B744" s="97"/>
      <c r="C744" s="121" t="str">
        <f t="array" ref="C744">ifs(and(isblank($A744),isblank($B744)),"", not(iserror(vlookup($A744&amp;$B744,'3) Release_Label'!$D:$D&amp;'3) Release_Label'!$E:$E,1,0))),vlookup($A744&amp;$B744,{'3) Release_Label'!$D:$D&amp;'3) Release_Label'!$E:$E,'3) Release_Label'!$F:$F},2,0), or(and(not(isblank($B744)),$B744=$B743,$A744&lt;&gt;$A743),and(not(isblank($A744)),$A744=$A743,$B744&lt;&gt;$B743)),"ID LISTS UNALIGNED",and($A744&lt;&gt;"",countif('3) Release_Label'!$D:$D,$A744)=0),"NO UPC MATCH in Release_Label",and($B744&lt;&gt;"",countif('3) Release_Label'!$E:$E,$B744)=0),"NO CATALOG ID MATCH in Release_Label",iserror(vlookup($A744&amp;$B744,'3) Release_Label'!$D:$D&amp;'3) Release_Label'!$E:$E,1,0)),"NO UPC-CATALOG ID pair MATCH in Release_Label" )</f>
        <v/>
      </c>
      <c r="D744" s="121" t="str">
        <f t="array" ref="D744">ifs(and(isblank($A744),isblank($B744)),"", not(iserror(vlookup($A744&amp;$B744,'3) Release_Label'!$D:$D&amp;'3) Release_Label'!$E:$E,1,0))),vlookup($A744&amp;$B744,{'3) Release_Label'!$D:$D&amp;'3) Release_Label'!$E:$E,'3) Release_Label'!$H:$H},2,0), or(and(not(isblank($B744)),$B744=$B743,$A744&lt;&gt;$A743),and(not(isblank($A744)),$A744=$A743,$B744&lt;&gt;$B743)),"ID LISTS UNALIGNED",and($A744&lt;&gt;"",countif('3) Release_Label'!$D:$D,$A744)=0),"NO UPC MATCH in Release_Label",and($B744&lt;&gt;"",countif('3) Release_Label'!$E:$E,$B744)=0),"NO CATALOG ID MATCH in Release_Label",iserror(vlookup($A744&amp;$B744,'3) Release_Label'!$D:$D&amp;'3) Release_Label'!$E:$E,1,0)),"NO UPC-CATALOG ID pair MATCH in Release_Label" )</f>
        <v/>
      </c>
      <c r="E744" s="147" t="str">
        <f t="shared" si="1"/>
        <v/>
      </c>
      <c r="G744" s="97"/>
      <c r="H744" s="155"/>
      <c r="J744" s="92"/>
      <c r="K744" s="98"/>
      <c r="L744" s="92"/>
      <c r="N744" s="92"/>
      <c r="O744" s="92"/>
      <c r="P744" s="92"/>
    </row>
    <row r="745">
      <c r="A745" s="28"/>
      <c r="B745" s="97"/>
      <c r="C745" s="121" t="str">
        <f t="array" ref="C745">ifs(and(isblank($A745),isblank($B745)),"", not(iserror(vlookup($A745&amp;$B745,'3) Release_Label'!$D:$D&amp;'3) Release_Label'!$E:$E,1,0))),vlookup($A745&amp;$B745,{'3) Release_Label'!$D:$D&amp;'3) Release_Label'!$E:$E,'3) Release_Label'!$F:$F},2,0), or(and(not(isblank($B745)),$B745=$B744,$A745&lt;&gt;$A744),and(not(isblank($A745)),$A745=$A744,$B745&lt;&gt;$B744)),"ID LISTS UNALIGNED",and($A745&lt;&gt;"",countif('3) Release_Label'!$D:$D,$A745)=0),"NO UPC MATCH in Release_Label",and($B745&lt;&gt;"",countif('3) Release_Label'!$E:$E,$B745)=0),"NO CATALOG ID MATCH in Release_Label",iserror(vlookup($A745&amp;$B745,'3) Release_Label'!$D:$D&amp;'3) Release_Label'!$E:$E,1,0)),"NO UPC-CATALOG ID pair MATCH in Release_Label" )</f>
        <v/>
      </c>
      <c r="D745" s="121" t="str">
        <f t="array" ref="D745">ifs(and(isblank($A745),isblank($B745)),"", not(iserror(vlookup($A745&amp;$B745,'3) Release_Label'!$D:$D&amp;'3) Release_Label'!$E:$E,1,0))),vlookup($A745&amp;$B745,{'3) Release_Label'!$D:$D&amp;'3) Release_Label'!$E:$E,'3) Release_Label'!$H:$H},2,0), or(and(not(isblank($B745)),$B745=$B744,$A745&lt;&gt;$A744),and(not(isblank($A745)),$A745=$A744,$B745&lt;&gt;$B744)),"ID LISTS UNALIGNED",and($A745&lt;&gt;"",countif('3) Release_Label'!$D:$D,$A745)=0),"NO UPC MATCH in Release_Label",and($B745&lt;&gt;"",countif('3) Release_Label'!$E:$E,$B745)=0),"NO CATALOG ID MATCH in Release_Label",iserror(vlookup($A745&amp;$B745,'3) Release_Label'!$D:$D&amp;'3) Release_Label'!$E:$E,1,0)),"NO UPC-CATALOG ID pair MATCH in Release_Label" )</f>
        <v/>
      </c>
      <c r="E745" s="147" t="str">
        <f t="shared" si="1"/>
        <v/>
      </c>
      <c r="G745" s="97"/>
      <c r="H745" s="155"/>
      <c r="J745" s="92"/>
      <c r="K745" s="98"/>
      <c r="L745" s="92"/>
      <c r="N745" s="92"/>
      <c r="O745" s="92"/>
      <c r="P745" s="92"/>
    </row>
    <row r="746">
      <c r="A746" s="28"/>
      <c r="B746" s="97"/>
      <c r="C746" s="121" t="str">
        <f t="array" ref="C746">ifs(and(isblank($A746),isblank($B746)),"", not(iserror(vlookup($A746&amp;$B746,'3) Release_Label'!$D:$D&amp;'3) Release_Label'!$E:$E,1,0))),vlookup($A746&amp;$B746,{'3) Release_Label'!$D:$D&amp;'3) Release_Label'!$E:$E,'3) Release_Label'!$F:$F},2,0), or(and(not(isblank($B746)),$B746=$B745,$A746&lt;&gt;$A745),and(not(isblank($A746)),$A746=$A745,$B746&lt;&gt;$B745)),"ID LISTS UNALIGNED",and($A746&lt;&gt;"",countif('3) Release_Label'!$D:$D,$A746)=0),"NO UPC MATCH in Release_Label",and($B746&lt;&gt;"",countif('3) Release_Label'!$E:$E,$B746)=0),"NO CATALOG ID MATCH in Release_Label",iserror(vlookup($A746&amp;$B746,'3) Release_Label'!$D:$D&amp;'3) Release_Label'!$E:$E,1,0)),"NO UPC-CATALOG ID pair MATCH in Release_Label" )</f>
        <v/>
      </c>
      <c r="D746" s="121" t="str">
        <f t="array" ref="D746">ifs(and(isblank($A746),isblank($B746)),"", not(iserror(vlookup($A746&amp;$B746,'3) Release_Label'!$D:$D&amp;'3) Release_Label'!$E:$E,1,0))),vlookup($A746&amp;$B746,{'3) Release_Label'!$D:$D&amp;'3) Release_Label'!$E:$E,'3) Release_Label'!$H:$H},2,0), or(and(not(isblank($B746)),$B746=$B745,$A746&lt;&gt;$A745),and(not(isblank($A746)),$A746=$A745,$B746&lt;&gt;$B745)),"ID LISTS UNALIGNED",and($A746&lt;&gt;"",countif('3) Release_Label'!$D:$D,$A746)=0),"NO UPC MATCH in Release_Label",and($B746&lt;&gt;"",countif('3) Release_Label'!$E:$E,$B746)=0),"NO CATALOG ID MATCH in Release_Label",iserror(vlookup($A746&amp;$B746,'3) Release_Label'!$D:$D&amp;'3) Release_Label'!$E:$E,1,0)),"NO UPC-CATALOG ID pair MATCH in Release_Label" )</f>
        <v/>
      </c>
      <c r="E746" s="147" t="str">
        <f t="shared" si="1"/>
        <v/>
      </c>
      <c r="G746" s="97"/>
      <c r="H746" s="155"/>
      <c r="J746" s="92"/>
      <c r="K746" s="98"/>
      <c r="L746" s="92"/>
      <c r="N746" s="92"/>
      <c r="O746" s="92"/>
      <c r="P746" s="92"/>
    </row>
    <row r="747">
      <c r="A747" s="28"/>
      <c r="B747" s="97"/>
      <c r="C747" s="121" t="str">
        <f t="array" ref="C747">ifs(and(isblank($A747),isblank($B747)),"", not(iserror(vlookup($A747&amp;$B747,'3) Release_Label'!$D:$D&amp;'3) Release_Label'!$E:$E,1,0))),vlookup($A747&amp;$B747,{'3) Release_Label'!$D:$D&amp;'3) Release_Label'!$E:$E,'3) Release_Label'!$F:$F},2,0), or(and(not(isblank($B747)),$B747=$B746,$A747&lt;&gt;$A746),and(not(isblank($A747)),$A747=$A746,$B747&lt;&gt;$B746)),"ID LISTS UNALIGNED",and($A747&lt;&gt;"",countif('3) Release_Label'!$D:$D,$A747)=0),"NO UPC MATCH in Release_Label",and($B747&lt;&gt;"",countif('3) Release_Label'!$E:$E,$B747)=0),"NO CATALOG ID MATCH in Release_Label",iserror(vlookup($A747&amp;$B747,'3) Release_Label'!$D:$D&amp;'3) Release_Label'!$E:$E,1,0)),"NO UPC-CATALOG ID pair MATCH in Release_Label" )</f>
        <v/>
      </c>
      <c r="D747" s="121" t="str">
        <f t="array" ref="D747">ifs(and(isblank($A747),isblank($B747)),"", not(iserror(vlookup($A747&amp;$B747,'3) Release_Label'!$D:$D&amp;'3) Release_Label'!$E:$E,1,0))),vlookup($A747&amp;$B747,{'3) Release_Label'!$D:$D&amp;'3) Release_Label'!$E:$E,'3) Release_Label'!$H:$H},2,0), or(and(not(isblank($B747)),$B747=$B746,$A747&lt;&gt;$A746),and(not(isblank($A747)),$A747=$A746,$B747&lt;&gt;$B746)),"ID LISTS UNALIGNED",and($A747&lt;&gt;"",countif('3) Release_Label'!$D:$D,$A747)=0),"NO UPC MATCH in Release_Label",and($B747&lt;&gt;"",countif('3) Release_Label'!$E:$E,$B747)=0),"NO CATALOG ID MATCH in Release_Label",iserror(vlookup($A747&amp;$B747,'3) Release_Label'!$D:$D&amp;'3) Release_Label'!$E:$E,1,0)),"NO UPC-CATALOG ID pair MATCH in Release_Label" )</f>
        <v/>
      </c>
      <c r="E747" s="147" t="str">
        <f t="shared" si="1"/>
        <v/>
      </c>
      <c r="G747" s="97"/>
      <c r="H747" s="155"/>
      <c r="J747" s="92"/>
      <c r="K747" s="98"/>
      <c r="L747" s="92"/>
      <c r="N747" s="92"/>
      <c r="O747" s="92"/>
      <c r="P747" s="92"/>
    </row>
    <row r="748">
      <c r="A748" s="28"/>
      <c r="B748" s="97"/>
      <c r="C748" s="121" t="str">
        <f t="array" ref="C748">ifs(and(isblank($A748),isblank($B748)),"", not(iserror(vlookup($A748&amp;$B748,'3) Release_Label'!$D:$D&amp;'3) Release_Label'!$E:$E,1,0))),vlookup($A748&amp;$B748,{'3) Release_Label'!$D:$D&amp;'3) Release_Label'!$E:$E,'3) Release_Label'!$F:$F},2,0), or(and(not(isblank($B748)),$B748=$B747,$A748&lt;&gt;$A747),and(not(isblank($A748)),$A748=$A747,$B748&lt;&gt;$B747)),"ID LISTS UNALIGNED",and($A748&lt;&gt;"",countif('3) Release_Label'!$D:$D,$A748)=0),"NO UPC MATCH in Release_Label",and($B748&lt;&gt;"",countif('3) Release_Label'!$E:$E,$B748)=0),"NO CATALOG ID MATCH in Release_Label",iserror(vlookup($A748&amp;$B748,'3) Release_Label'!$D:$D&amp;'3) Release_Label'!$E:$E,1,0)),"NO UPC-CATALOG ID pair MATCH in Release_Label" )</f>
        <v/>
      </c>
      <c r="D748" s="121" t="str">
        <f t="array" ref="D748">ifs(and(isblank($A748),isblank($B748)),"", not(iserror(vlookup($A748&amp;$B748,'3) Release_Label'!$D:$D&amp;'3) Release_Label'!$E:$E,1,0))),vlookup($A748&amp;$B748,{'3) Release_Label'!$D:$D&amp;'3) Release_Label'!$E:$E,'3) Release_Label'!$H:$H},2,0), or(and(not(isblank($B748)),$B748=$B747,$A748&lt;&gt;$A747),and(not(isblank($A748)),$A748=$A747,$B748&lt;&gt;$B747)),"ID LISTS UNALIGNED",and($A748&lt;&gt;"",countif('3) Release_Label'!$D:$D,$A748)=0),"NO UPC MATCH in Release_Label",and($B748&lt;&gt;"",countif('3) Release_Label'!$E:$E,$B748)=0),"NO CATALOG ID MATCH in Release_Label",iserror(vlookup($A748&amp;$B748,'3) Release_Label'!$D:$D&amp;'3) Release_Label'!$E:$E,1,0)),"NO UPC-CATALOG ID pair MATCH in Release_Label" )</f>
        <v/>
      </c>
      <c r="E748" s="147" t="str">
        <f t="shared" si="1"/>
        <v/>
      </c>
      <c r="G748" s="97"/>
      <c r="H748" s="155"/>
      <c r="J748" s="92"/>
      <c r="K748" s="98"/>
      <c r="L748" s="92"/>
      <c r="N748" s="92"/>
      <c r="O748" s="92"/>
      <c r="P748" s="92"/>
    </row>
    <row r="749">
      <c r="A749" s="28"/>
      <c r="B749" s="97"/>
      <c r="C749" s="121" t="str">
        <f t="array" ref="C749">ifs(and(isblank($A749),isblank($B749)),"", not(iserror(vlookup($A749&amp;$B749,'3) Release_Label'!$D:$D&amp;'3) Release_Label'!$E:$E,1,0))),vlookup($A749&amp;$B749,{'3) Release_Label'!$D:$D&amp;'3) Release_Label'!$E:$E,'3) Release_Label'!$F:$F},2,0), or(and(not(isblank($B749)),$B749=$B748,$A749&lt;&gt;$A748),and(not(isblank($A749)),$A749=$A748,$B749&lt;&gt;$B748)),"ID LISTS UNALIGNED",and($A749&lt;&gt;"",countif('3) Release_Label'!$D:$D,$A749)=0),"NO UPC MATCH in Release_Label",and($B749&lt;&gt;"",countif('3) Release_Label'!$E:$E,$B749)=0),"NO CATALOG ID MATCH in Release_Label",iserror(vlookup($A749&amp;$B749,'3) Release_Label'!$D:$D&amp;'3) Release_Label'!$E:$E,1,0)),"NO UPC-CATALOG ID pair MATCH in Release_Label" )</f>
        <v/>
      </c>
      <c r="D749" s="121" t="str">
        <f t="array" ref="D749">ifs(and(isblank($A749),isblank($B749)),"", not(iserror(vlookup($A749&amp;$B749,'3) Release_Label'!$D:$D&amp;'3) Release_Label'!$E:$E,1,0))),vlookup($A749&amp;$B749,{'3) Release_Label'!$D:$D&amp;'3) Release_Label'!$E:$E,'3) Release_Label'!$H:$H},2,0), or(and(not(isblank($B749)),$B749=$B748,$A749&lt;&gt;$A748),and(not(isblank($A749)),$A749=$A748,$B749&lt;&gt;$B748)),"ID LISTS UNALIGNED",and($A749&lt;&gt;"",countif('3) Release_Label'!$D:$D,$A749)=0),"NO UPC MATCH in Release_Label",and($B749&lt;&gt;"",countif('3) Release_Label'!$E:$E,$B749)=0),"NO CATALOG ID MATCH in Release_Label",iserror(vlookup($A749&amp;$B749,'3) Release_Label'!$D:$D&amp;'3) Release_Label'!$E:$E,1,0)),"NO UPC-CATALOG ID pair MATCH in Release_Label" )</f>
        <v/>
      </c>
      <c r="E749" s="147" t="str">
        <f t="shared" si="1"/>
        <v/>
      </c>
      <c r="G749" s="97"/>
      <c r="H749" s="155"/>
      <c r="J749" s="92"/>
      <c r="K749" s="98"/>
      <c r="L749" s="92"/>
      <c r="N749" s="92"/>
      <c r="O749" s="92"/>
      <c r="P749" s="92"/>
    </row>
    <row r="750">
      <c r="A750" s="28"/>
      <c r="B750" s="97"/>
      <c r="C750" s="121" t="str">
        <f t="array" ref="C750">ifs(and(isblank($A750),isblank($B750)),"", not(iserror(vlookup($A750&amp;$B750,'3) Release_Label'!$D:$D&amp;'3) Release_Label'!$E:$E,1,0))),vlookup($A750&amp;$B750,{'3) Release_Label'!$D:$D&amp;'3) Release_Label'!$E:$E,'3) Release_Label'!$F:$F},2,0), or(and(not(isblank($B750)),$B750=$B749,$A750&lt;&gt;$A749),and(not(isblank($A750)),$A750=$A749,$B750&lt;&gt;$B749)),"ID LISTS UNALIGNED",and($A750&lt;&gt;"",countif('3) Release_Label'!$D:$D,$A750)=0),"NO UPC MATCH in Release_Label",and($B750&lt;&gt;"",countif('3) Release_Label'!$E:$E,$B750)=0),"NO CATALOG ID MATCH in Release_Label",iserror(vlookup($A750&amp;$B750,'3) Release_Label'!$D:$D&amp;'3) Release_Label'!$E:$E,1,0)),"NO UPC-CATALOG ID pair MATCH in Release_Label" )</f>
        <v/>
      </c>
      <c r="D750" s="121" t="str">
        <f t="array" ref="D750">ifs(and(isblank($A750),isblank($B750)),"", not(iserror(vlookup($A750&amp;$B750,'3) Release_Label'!$D:$D&amp;'3) Release_Label'!$E:$E,1,0))),vlookup($A750&amp;$B750,{'3) Release_Label'!$D:$D&amp;'3) Release_Label'!$E:$E,'3) Release_Label'!$H:$H},2,0), or(and(not(isblank($B750)),$B750=$B749,$A750&lt;&gt;$A749),and(not(isblank($A750)),$A750=$A749,$B750&lt;&gt;$B749)),"ID LISTS UNALIGNED",and($A750&lt;&gt;"",countif('3) Release_Label'!$D:$D,$A750)=0),"NO UPC MATCH in Release_Label",and($B750&lt;&gt;"",countif('3) Release_Label'!$E:$E,$B750)=0),"NO CATALOG ID MATCH in Release_Label",iserror(vlookup($A750&amp;$B750,'3) Release_Label'!$D:$D&amp;'3) Release_Label'!$E:$E,1,0)),"NO UPC-CATALOG ID pair MATCH in Release_Label" )</f>
        <v/>
      </c>
      <c r="E750" s="147" t="str">
        <f t="shared" si="1"/>
        <v/>
      </c>
      <c r="G750" s="97"/>
      <c r="H750" s="155"/>
      <c r="J750" s="92"/>
      <c r="K750" s="98"/>
      <c r="L750" s="92"/>
      <c r="N750" s="92"/>
      <c r="O750" s="92"/>
      <c r="P750" s="92"/>
    </row>
    <row r="751">
      <c r="A751" s="28"/>
      <c r="B751" s="97"/>
      <c r="C751" s="121" t="str">
        <f t="array" ref="C751">ifs(and(isblank($A751),isblank($B751)),"", not(iserror(vlookup($A751&amp;$B751,'3) Release_Label'!$D:$D&amp;'3) Release_Label'!$E:$E,1,0))),vlookup($A751&amp;$B751,{'3) Release_Label'!$D:$D&amp;'3) Release_Label'!$E:$E,'3) Release_Label'!$F:$F},2,0), or(and(not(isblank($B751)),$B751=$B750,$A751&lt;&gt;$A750),and(not(isblank($A751)),$A751=$A750,$B751&lt;&gt;$B750)),"ID LISTS UNALIGNED",and($A751&lt;&gt;"",countif('3) Release_Label'!$D:$D,$A751)=0),"NO UPC MATCH in Release_Label",and($B751&lt;&gt;"",countif('3) Release_Label'!$E:$E,$B751)=0),"NO CATALOG ID MATCH in Release_Label",iserror(vlookup($A751&amp;$B751,'3) Release_Label'!$D:$D&amp;'3) Release_Label'!$E:$E,1,0)),"NO UPC-CATALOG ID pair MATCH in Release_Label" )</f>
        <v/>
      </c>
      <c r="D751" s="121" t="str">
        <f t="array" ref="D751">ifs(and(isblank($A751),isblank($B751)),"", not(iserror(vlookup($A751&amp;$B751,'3) Release_Label'!$D:$D&amp;'3) Release_Label'!$E:$E,1,0))),vlookup($A751&amp;$B751,{'3) Release_Label'!$D:$D&amp;'3) Release_Label'!$E:$E,'3) Release_Label'!$H:$H},2,0), or(and(not(isblank($B751)),$B751=$B750,$A751&lt;&gt;$A750),and(not(isblank($A751)),$A751=$A750,$B751&lt;&gt;$B750)),"ID LISTS UNALIGNED",and($A751&lt;&gt;"",countif('3) Release_Label'!$D:$D,$A751)=0),"NO UPC MATCH in Release_Label",and($B751&lt;&gt;"",countif('3) Release_Label'!$E:$E,$B751)=0),"NO CATALOG ID MATCH in Release_Label",iserror(vlookup($A751&amp;$B751,'3) Release_Label'!$D:$D&amp;'3) Release_Label'!$E:$E,1,0)),"NO UPC-CATALOG ID pair MATCH in Release_Label" )</f>
        <v/>
      </c>
      <c r="E751" s="147" t="str">
        <f t="shared" si="1"/>
        <v/>
      </c>
      <c r="G751" s="97"/>
      <c r="H751" s="155"/>
      <c r="J751" s="92"/>
      <c r="K751" s="98"/>
      <c r="L751" s="92"/>
      <c r="N751" s="92"/>
      <c r="O751" s="92"/>
      <c r="P751" s="92"/>
    </row>
    <row r="752">
      <c r="A752" s="28"/>
      <c r="B752" s="97"/>
      <c r="C752" s="121" t="str">
        <f t="array" ref="C752">ifs(and(isblank($A752),isblank($B752)),"", not(iserror(vlookup($A752&amp;$B752,'3) Release_Label'!$D:$D&amp;'3) Release_Label'!$E:$E,1,0))),vlookup($A752&amp;$B752,{'3) Release_Label'!$D:$D&amp;'3) Release_Label'!$E:$E,'3) Release_Label'!$F:$F},2,0), or(and(not(isblank($B752)),$B752=$B751,$A752&lt;&gt;$A751),and(not(isblank($A752)),$A752=$A751,$B752&lt;&gt;$B751)),"ID LISTS UNALIGNED",and($A752&lt;&gt;"",countif('3) Release_Label'!$D:$D,$A752)=0),"NO UPC MATCH in Release_Label",and($B752&lt;&gt;"",countif('3) Release_Label'!$E:$E,$B752)=0),"NO CATALOG ID MATCH in Release_Label",iserror(vlookup($A752&amp;$B752,'3) Release_Label'!$D:$D&amp;'3) Release_Label'!$E:$E,1,0)),"NO UPC-CATALOG ID pair MATCH in Release_Label" )</f>
        <v/>
      </c>
      <c r="D752" s="121" t="str">
        <f t="array" ref="D752">ifs(and(isblank($A752),isblank($B752)),"", not(iserror(vlookup($A752&amp;$B752,'3) Release_Label'!$D:$D&amp;'3) Release_Label'!$E:$E,1,0))),vlookup($A752&amp;$B752,{'3) Release_Label'!$D:$D&amp;'3) Release_Label'!$E:$E,'3) Release_Label'!$H:$H},2,0), or(and(not(isblank($B752)),$B752=$B751,$A752&lt;&gt;$A751),and(not(isblank($A752)),$A752=$A751,$B752&lt;&gt;$B751)),"ID LISTS UNALIGNED",and($A752&lt;&gt;"",countif('3) Release_Label'!$D:$D,$A752)=0),"NO UPC MATCH in Release_Label",and($B752&lt;&gt;"",countif('3) Release_Label'!$E:$E,$B752)=0),"NO CATALOG ID MATCH in Release_Label",iserror(vlookup($A752&amp;$B752,'3) Release_Label'!$D:$D&amp;'3) Release_Label'!$E:$E,1,0)),"NO UPC-CATALOG ID pair MATCH in Release_Label" )</f>
        <v/>
      </c>
      <c r="E752" s="147" t="str">
        <f t="shared" si="1"/>
        <v/>
      </c>
      <c r="G752" s="97"/>
      <c r="H752" s="155"/>
      <c r="J752" s="92"/>
      <c r="K752" s="98"/>
      <c r="L752" s="92"/>
      <c r="N752" s="92"/>
      <c r="O752" s="92"/>
      <c r="P752" s="92"/>
    </row>
    <row r="753">
      <c r="A753" s="28"/>
      <c r="B753" s="97"/>
      <c r="C753" s="121" t="str">
        <f t="array" ref="C753">ifs(and(isblank($A753),isblank($B753)),"", not(iserror(vlookup($A753&amp;$B753,'3) Release_Label'!$D:$D&amp;'3) Release_Label'!$E:$E,1,0))),vlookup($A753&amp;$B753,{'3) Release_Label'!$D:$D&amp;'3) Release_Label'!$E:$E,'3) Release_Label'!$F:$F},2,0), or(and(not(isblank($B753)),$B753=$B752,$A753&lt;&gt;$A752),and(not(isblank($A753)),$A753=$A752,$B753&lt;&gt;$B752)),"ID LISTS UNALIGNED",and($A753&lt;&gt;"",countif('3) Release_Label'!$D:$D,$A753)=0),"NO UPC MATCH in Release_Label",and($B753&lt;&gt;"",countif('3) Release_Label'!$E:$E,$B753)=0),"NO CATALOG ID MATCH in Release_Label",iserror(vlookup($A753&amp;$B753,'3) Release_Label'!$D:$D&amp;'3) Release_Label'!$E:$E,1,0)),"NO UPC-CATALOG ID pair MATCH in Release_Label" )</f>
        <v/>
      </c>
      <c r="D753" s="121" t="str">
        <f t="array" ref="D753">ifs(and(isblank($A753),isblank($B753)),"", not(iserror(vlookup($A753&amp;$B753,'3) Release_Label'!$D:$D&amp;'3) Release_Label'!$E:$E,1,0))),vlookup($A753&amp;$B753,{'3) Release_Label'!$D:$D&amp;'3) Release_Label'!$E:$E,'3) Release_Label'!$H:$H},2,0), or(and(not(isblank($B753)),$B753=$B752,$A753&lt;&gt;$A752),and(not(isblank($A753)),$A753=$A752,$B753&lt;&gt;$B752)),"ID LISTS UNALIGNED",and($A753&lt;&gt;"",countif('3) Release_Label'!$D:$D,$A753)=0),"NO UPC MATCH in Release_Label",and($B753&lt;&gt;"",countif('3) Release_Label'!$E:$E,$B753)=0),"NO CATALOG ID MATCH in Release_Label",iserror(vlookup($A753&amp;$B753,'3) Release_Label'!$D:$D&amp;'3) Release_Label'!$E:$E,1,0)),"NO UPC-CATALOG ID pair MATCH in Release_Label" )</f>
        <v/>
      </c>
      <c r="E753" s="147" t="str">
        <f t="shared" si="1"/>
        <v/>
      </c>
      <c r="G753" s="97"/>
      <c r="H753" s="155"/>
      <c r="J753" s="92"/>
      <c r="K753" s="98"/>
      <c r="L753" s="92"/>
      <c r="N753" s="92"/>
      <c r="O753" s="92"/>
      <c r="P753" s="92"/>
    </row>
    <row r="754">
      <c r="A754" s="28"/>
      <c r="B754" s="97"/>
      <c r="C754" s="121" t="str">
        <f t="array" ref="C754">ifs(and(isblank($A754),isblank($B754)),"", not(iserror(vlookup($A754&amp;$B754,'3) Release_Label'!$D:$D&amp;'3) Release_Label'!$E:$E,1,0))),vlookup($A754&amp;$B754,{'3) Release_Label'!$D:$D&amp;'3) Release_Label'!$E:$E,'3) Release_Label'!$F:$F},2,0), or(and(not(isblank($B754)),$B754=$B753,$A754&lt;&gt;$A753),and(not(isblank($A754)),$A754=$A753,$B754&lt;&gt;$B753)),"ID LISTS UNALIGNED",and($A754&lt;&gt;"",countif('3) Release_Label'!$D:$D,$A754)=0),"NO UPC MATCH in Release_Label",and($B754&lt;&gt;"",countif('3) Release_Label'!$E:$E,$B754)=0),"NO CATALOG ID MATCH in Release_Label",iserror(vlookup($A754&amp;$B754,'3) Release_Label'!$D:$D&amp;'3) Release_Label'!$E:$E,1,0)),"NO UPC-CATALOG ID pair MATCH in Release_Label" )</f>
        <v/>
      </c>
      <c r="D754" s="121" t="str">
        <f t="array" ref="D754">ifs(and(isblank($A754),isblank($B754)),"", not(iserror(vlookup($A754&amp;$B754,'3) Release_Label'!$D:$D&amp;'3) Release_Label'!$E:$E,1,0))),vlookup($A754&amp;$B754,{'3) Release_Label'!$D:$D&amp;'3) Release_Label'!$E:$E,'3) Release_Label'!$H:$H},2,0), or(and(not(isblank($B754)),$B754=$B753,$A754&lt;&gt;$A753),and(not(isblank($A754)),$A754=$A753,$B754&lt;&gt;$B753)),"ID LISTS UNALIGNED",and($A754&lt;&gt;"",countif('3) Release_Label'!$D:$D,$A754)=0),"NO UPC MATCH in Release_Label",and($B754&lt;&gt;"",countif('3) Release_Label'!$E:$E,$B754)=0),"NO CATALOG ID MATCH in Release_Label",iserror(vlookup($A754&amp;$B754,'3) Release_Label'!$D:$D&amp;'3) Release_Label'!$E:$E,1,0)),"NO UPC-CATALOG ID pair MATCH in Release_Label" )</f>
        <v/>
      </c>
      <c r="E754" s="147" t="str">
        <f t="shared" si="1"/>
        <v/>
      </c>
      <c r="G754" s="97"/>
      <c r="H754" s="155"/>
      <c r="J754" s="92"/>
      <c r="K754" s="98"/>
      <c r="L754" s="92"/>
      <c r="N754" s="92"/>
      <c r="O754" s="92"/>
      <c r="P754" s="92"/>
    </row>
    <row r="755">
      <c r="A755" s="28"/>
      <c r="B755" s="97"/>
      <c r="C755" s="121" t="str">
        <f t="array" ref="C755">ifs(and(isblank($A755),isblank($B755)),"", not(iserror(vlookup($A755&amp;$B755,'3) Release_Label'!$D:$D&amp;'3) Release_Label'!$E:$E,1,0))),vlookup($A755&amp;$B755,{'3) Release_Label'!$D:$D&amp;'3) Release_Label'!$E:$E,'3) Release_Label'!$F:$F},2,0), or(and(not(isblank($B755)),$B755=$B754,$A755&lt;&gt;$A754),and(not(isblank($A755)),$A755=$A754,$B755&lt;&gt;$B754)),"ID LISTS UNALIGNED",and($A755&lt;&gt;"",countif('3) Release_Label'!$D:$D,$A755)=0),"NO UPC MATCH in Release_Label",and($B755&lt;&gt;"",countif('3) Release_Label'!$E:$E,$B755)=0),"NO CATALOG ID MATCH in Release_Label",iserror(vlookup($A755&amp;$B755,'3) Release_Label'!$D:$D&amp;'3) Release_Label'!$E:$E,1,0)),"NO UPC-CATALOG ID pair MATCH in Release_Label" )</f>
        <v/>
      </c>
      <c r="D755" s="121" t="str">
        <f t="array" ref="D755">ifs(and(isblank($A755),isblank($B755)),"", not(iserror(vlookup($A755&amp;$B755,'3) Release_Label'!$D:$D&amp;'3) Release_Label'!$E:$E,1,0))),vlookup($A755&amp;$B755,{'3) Release_Label'!$D:$D&amp;'3) Release_Label'!$E:$E,'3) Release_Label'!$H:$H},2,0), or(and(not(isblank($B755)),$B755=$B754,$A755&lt;&gt;$A754),and(not(isblank($A755)),$A755=$A754,$B755&lt;&gt;$B754)),"ID LISTS UNALIGNED",and($A755&lt;&gt;"",countif('3) Release_Label'!$D:$D,$A755)=0),"NO UPC MATCH in Release_Label",and($B755&lt;&gt;"",countif('3) Release_Label'!$E:$E,$B755)=0),"NO CATALOG ID MATCH in Release_Label",iserror(vlookup($A755&amp;$B755,'3) Release_Label'!$D:$D&amp;'3) Release_Label'!$E:$E,1,0)),"NO UPC-CATALOG ID pair MATCH in Release_Label" )</f>
        <v/>
      </c>
      <c r="E755" s="147" t="str">
        <f t="shared" si="1"/>
        <v/>
      </c>
      <c r="G755" s="97"/>
      <c r="H755" s="155"/>
      <c r="J755" s="92"/>
      <c r="K755" s="98"/>
      <c r="L755" s="92"/>
      <c r="N755" s="92"/>
      <c r="O755" s="92"/>
      <c r="P755" s="92"/>
    </row>
    <row r="756">
      <c r="A756" s="28"/>
      <c r="B756" s="97"/>
      <c r="C756" s="121" t="str">
        <f t="array" ref="C756">ifs(and(isblank($A756),isblank($B756)),"", not(iserror(vlookup($A756&amp;$B756,'3) Release_Label'!$D:$D&amp;'3) Release_Label'!$E:$E,1,0))),vlookup($A756&amp;$B756,{'3) Release_Label'!$D:$D&amp;'3) Release_Label'!$E:$E,'3) Release_Label'!$F:$F},2,0), or(and(not(isblank($B756)),$B756=$B755,$A756&lt;&gt;$A755),and(not(isblank($A756)),$A756=$A755,$B756&lt;&gt;$B755)),"ID LISTS UNALIGNED",and($A756&lt;&gt;"",countif('3) Release_Label'!$D:$D,$A756)=0),"NO UPC MATCH in Release_Label",and($B756&lt;&gt;"",countif('3) Release_Label'!$E:$E,$B756)=0),"NO CATALOG ID MATCH in Release_Label",iserror(vlookup($A756&amp;$B756,'3) Release_Label'!$D:$D&amp;'3) Release_Label'!$E:$E,1,0)),"NO UPC-CATALOG ID pair MATCH in Release_Label" )</f>
        <v/>
      </c>
      <c r="D756" s="121" t="str">
        <f t="array" ref="D756">ifs(and(isblank($A756),isblank($B756)),"", not(iserror(vlookup($A756&amp;$B756,'3) Release_Label'!$D:$D&amp;'3) Release_Label'!$E:$E,1,0))),vlookup($A756&amp;$B756,{'3) Release_Label'!$D:$D&amp;'3) Release_Label'!$E:$E,'3) Release_Label'!$H:$H},2,0), or(and(not(isblank($B756)),$B756=$B755,$A756&lt;&gt;$A755),and(not(isblank($A756)),$A756=$A755,$B756&lt;&gt;$B755)),"ID LISTS UNALIGNED",and($A756&lt;&gt;"",countif('3) Release_Label'!$D:$D,$A756)=0),"NO UPC MATCH in Release_Label",and($B756&lt;&gt;"",countif('3) Release_Label'!$E:$E,$B756)=0),"NO CATALOG ID MATCH in Release_Label",iserror(vlookup($A756&amp;$B756,'3) Release_Label'!$D:$D&amp;'3) Release_Label'!$E:$E,1,0)),"NO UPC-CATALOG ID pair MATCH in Release_Label" )</f>
        <v/>
      </c>
      <c r="E756" s="147" t="str">
        <f t="shared" si="1"/>
        <v/>
      </c>
      <c r="G756" s="97"/>
      <c r="H756" s="155"/>
      <c r="J756" s="92"/>
      <c r="K756" s="98"/>
      <c r="L756" s="92"/>
      <c r="N756" s="92"/>
      <c r="O756" s="92"/>
      <c r="P756" s="92"/>
    </row>
    <row r="757">
      <c r="A757" s="28"/>
      <c r="B757" s="97"/>
      <c r="C757" s="121" t="str">
        <f t="array" ref="C757">ifs(and(isblank($A757),isblank($B757)),"", not(iserror(vlookup($A757&amp;$B757,'3) Release_Label'!$D:$D&amp;'3) Release_Label'!$E:$E,1,0))),vlookup($A757&amp;$B757,{'3) Release_Label'!$D:$D&amp;'3) Release_Label'!$E:$E,'3) Release_Label'!$F:$F},2,0), or(and(not(isblank($B757)),$B757=$B756,$A757&lt;&gt;$A756),and(not(isblank($A757)),$A757=$A756,$B757&lt;&gt;$B756)),"ID LISTS UNALIGNED",and($A757&lt;&gt;"",countif('3) Release_Label'!$D:$D,$A757)=0),"NO UPC MATCH in Release_Label",and($B757&lt;&gt;"",countif('3) Release_Label'!$E:$E,$B757)=0),"NO CATALOG ID MATCH in Release_Label",iserror(vlookup($A757&amp;$B757,'3) Release_Label'!$D:$D&amp;'3) Release_Label'!$E:$E,1,0)),"NO UPC-CATALOG ID pair MATCH in Release_Label" )</f>
        <v/>
      </c>
      <c r="D757" s="121" t="str">
        <f t="array" ref="D757">ifs(and(isblank($A757),isblank($B757)),"", not(iserror(vlookup($A757&amp;$B757,'3) Release_Label'!$D:$D&amp;'3) Release_Label'!$E:$E,1,0))),vlookup($A757&amp;$B757,{'3) Release_Label'!$D:$D&amp;'3) Release_Label'!$E:$E,'3) Release_Label'!$H:$H},2,0), or(and(not(isblank($B757)),$B757=$B756,$A757&lt;&gt;$A756),and(not(isblank($A757)),$A757=$A756,$B757&lt;&gt;$B756)),"ID LISTS UNALIGNED",and($A757&lt;&gt;"",countif('3) Release_Label'!$D:$D,$A757)=0),"NO UPC MATCH in Release_Label",and($B757&lt;&gt;"",countif('3) Release_Label'!$E:$E,$B757)=0),"NO CATALOG ID MATCH in Release_Label",iserror(vlookup($A757&amp;$B757,'3) Release_Label'!$D:$D&amp;'3) Release_Label'!$E:$E,1,0)),"NO UPC-CATALOG ID pair MATCH in Release_Label" )</f>
        <v/>
      </c>
      <c r="E757" s="147" t="str">
        <f t="shared" si="1"/>
        <v/>
      </c>
      <c r="G757" s="97"/>
      <c r="H757" s="155"/>
      <c r="J757" s="92"/>
      <c r="K757" s="98"/>
      <c r="L757" s="92"/>
      <c r="N757" s="92"/>
      <c r="O757" s="92"/>
      <c r="P757" s="92"/>
    </row>
    <row r="758">
      <c r="A758" s="28"/>
      <c r="B758" s="97"/>
      <c r="C758" s="121" t="str">
        <f t="array" ref="C758">ifs(and(isblank($A758),isblank($B758)),"", not(iserror(vlookup($A758&amp;$B758,'3) Release_Label'!$D:$D&amp;'3) Release_Label'!$E:$E,1,0))),vlookup($A758&amp;$B758,{'3) Release_Label'!$D:$D&amp;'3) Release_Label'!$E:$E,'3) Release_Label'!$F:$F},2,0), or(and(not(isblank($B758)),$B758=$B757,$A758&lt;&gt;$A757),and(not(isblank($A758)),$A758=$A757,$B758&lt;&gt;$B757)),"ID LISTS UNALIGNED",and($A758&lt;&gt;"",countif('3) Release_Label'!$D:$D,$A758)=0),"NO UPC MATCH in Release_Label",and($B758&lt;&gt;"",countif('3) Release_Label'!$E:$E,$B758)=0),"NO CATALOG ID MATCH in Release_Label",iserror(vlookup($A758&amp;$B758,'3) Release_Label'!$D:$D&amp;'3) Release_Label'!$E:$E,1,0)),"NO UPC-CATALOG ID pair MATCH in Release_Label" )</f>
        <v/>
      </c>
      <c r="D758" s="121" t="str">
        <f t="array" ref="D758">ifs(and(isblank($A758),isblank($B758)),"", not(iserror(vlookup($A758&amp;$B758,'3) Release_Label'!$D:$D&amp;'3) Release_Label'!$E:$E,1,0))),vlookup($A758&amp;$B758,{'3) Release_Label'!$D:$D&amp;'3) Release_Label'!$E:$E,'3) Release_Label'!$H:$H},2,0), or(and(not(isblank($B758)),$B758=$B757,$A758&lt;&gt;$A757),and(not(isblank($A758)),$A758=$A757,$B758&lt;&gt;$B757)),"ID LISTS UNALIGNED",and($A758&lt;&gt;"",countif('3) Release_Label'!$D:$D,$A758)=0),"NO UPC MATCH in Release_Label",and($B758&lt;&gt;"",countif('3) Release_Label'!$E:$E,$B758)=0),"NO CATALOG ID MATCH in Release_Label",iserror(vlookup($A758&amp;$B758,'3) Release_Label'!$D:$D&amp;'3) Release_Label'!$E:$E,1,0)),"NO UPC-CATALOG ID pair MATCH in Release_Label" )</f>
        <v/>
      </c>
      <c r="E758" s="147" t="str">
        <f t="shared" si="1"/>
        <v/>
      </c>
      <c r="G758" s="97"/>
      <c r="H758" s="155"/>
      <c r="J758" s="92"/>
      <c r="K758" s="98"/>
      <c r="L758" s="92"/>
      <c r="N758" s="92"/>
      <c r="O758" s="92"/>
      <c r="P758" s="92"/>
    </row>
    <row r="759">
      <c r="A759" s="28"/>
      <c r="B759" s="97"/>
      <c r="C759" s="121" t="str">
        <f t="array" ref="C759">ifs(and(isblank($A759),isblank($B759)),"", not(iserror(vlookup($A759&amp;$B759,'3) Release_Label'!$D:$D&amp;'3) Release_Label'!$E:$E,1,0))),vlookup($A759&amp;$B759,{'3) Release_Label'!$D:$D&amp;'3) Release_Label'!$E:$E,'3) Release_Label'!$F:$F},2,0), or(and(not(isblank($B759)),$B759=$B758,$A759&lt;&gt;$A758),and(not(isblank($A759)),$A759=$A758,$B759&lt;&gt;$B758)),"ID LISTS UNALIGNED",and($A759&lt;&gt;"",countif('3) Release_Label'!$D:$D,$A759)=0),"NO UPC MATCH in Release_Label",and($B759&lt;&gt;"",countif('3) Release_Label'!$E:$E,$B759)=0),"NO CATALOG ID MATCH in Release_Label",iserror(vlookup($A759&amp;$B759,'3) Release_Label'!$D:$D&amp;'3) Release_Label'!$E:$E,1,0)),"NO UPC-CATALOG ID pair MATCH in Release_Label" )</f>
        <v/>
      </c>
      <c r="D759" s="121" t="str">
        <f t="array" ref="D759">ifs(and(isblank($A759),isblank($B759)),"", not(iserror(vlookup($A759&amp;$B759,'3) Release_Label'!$D:$D&amp;'3) Release_Label'!$E:$E,1,0))),vlookup($A759&amp;$B759,{'3) Release_Label'!$D:$D&amp;'3) Release_Label'!$E:$E,'3) Release_Label'!$H:$H},2,0), or(and(not(isblank($B759)),$B759=$B758,$A759&lt;&gt;$A758),and(not(isblank($A759)),$A759=$A758,$B759&lt;&gt;$B758)),"ID LISTS UNALIGNED",and($A759&lt;&gt;"",countif('3) Release_Label'!$D:$D,$A759)=0),"NO UPC MATCH in Release_Label",and($B759&lt;&gt;"",countif('3) Release_Label'!$E:$E,$B759)=0),"NO CATALOG ID MATCH in Release_Label",iserror(vlookup($A759&amp;$B759,'3) Release_Label'!$D:$D&amp;'3) Release_Label'!$E:$E,1,0)),"NO UPC-CATALOG ID pair MATCH in Release_Label" )</f>
        <v/>
      </c>
      <c r="E759" s="147" t="str">
        <f t="shared" si="1"/>
        <v/>
      </c>
      <c r="G759" s="97"/>
      <c r="H759" s="155"/>
      <c r="J759" s="92"/>
      <c r="K759" s="98"/>
      <c r="L759" s="92"/>
      <c r="N759" s="92"/>
      <c r="O759" s="92"/>
      <c r="P759" s="92"/>
    </row>
    <row r="760">
      <c r="A760" s="28"/>
      <c r="B760" s="97"/>
      <c r="C760" s="121" t="str">
        <f t="array" ref="C760">ifs(and(isblank($A760),isblank($B760)),"", not(iserror(vlookup($A760&amp;$B760,'3) Release_Label'!$D:$D&amp;'3) Release_Label'!$E:$E,1,0))),vlookup($A760&amp;$B760,{'3) Release_Label'!$D:$D&amp;'3) Release_Label'!$E:$E,'3) Release_Label'!$F:$F},2,0), or(and(not(isblank($B760)),$B760=$B759,$A760&lt;&gt;$A759),and(not(isblank($A760)),$A760=$A759,$B760&lt;&gt;$B759)),"ID LISTS UNALIGNED",and($A760&lt;&gt;"",countif('3) Release_Label'!$D:$D,$A760)=0),"NO UPC MATCH in Release_Label",and($B760&lt;&gt;"",countif('3) Release_Label'!$E:$E,$B760)=0),"NO CATALOG ID MATCH in Release_Label",iserror(vlookup($A760&amp;$B760,'3) Release_Label'!$D:$D&amp;'3) Release_Label'!$E:$E,1,0)),"NO UPC-CATALOG ID pair MATCH in Release_Label" )</f>
        <v/>
      </c>
      <c r="D760" s="121" t="str">
        <f t="array" ref="D760">ifs(and(isblank($A760),isblank($B760)),"", not(iserror(vlookup($A760&amp;$B760,'3) Release_Label'!$D:$D&amp;'3) Release_Label'!$E:$E,1,0))),vlookup($A760&amp;$B760,{'3) Release_Label'!$D:$D&amp;'3) Release_Label'!$E:$E,'3) Release_Label'!$H:$H},2,0), or(and(not(isblank($B760)),$B760=$B759,$A760&lt;&gt;$A759),and(not(isblank($A760)),$A760=$A759,$B760&lt;&gt;$B759)),"ID LISTS UNALIGNED",and($A760&lt;&gt;"",countif('3) Release_Label'!$D:$D,$A760)=0),"NO UPC MATCH in Release_Label",and($B760&lt;&gt;"",countif('3) Release_Label'!$E:$E,$B760)=0),"NO CATALOG ID MATCH in Release_Label",iserror(vlookup($A760&amp;$B760,'3) Release_Label'!$D:$D&amp;'3) Release_Label'!$E:$E,1,0)),"NO UPC-CATALOG ID pair MATCH in Release_Label" )</f>
        <v/>
      </c>
      <c r="E760" s="147" t="str">
        <f t="shared" si="1"/>
        <v/>
      </c>
      <c r="G760" s="97"/>
      <c r="H760" s="155"/>
      <c r="J760" s="92"/>
      <c r="K760" s="98"/>
      <c r="L760" s="92"/>
      <c r="N760" s="92"/>
      <c r="O760" s="92"/>
      <c r="P760" s="92"/>
    </row>
    <row r="761">
      <c r="A761" s="28"/>
      <c r="B761" s="97"/>
      <c r="C761" s="121" t="str">
        <f t="array" ref="C761">ifs(and(isblank($A761),isblank($B761)),"", not(iserror(vlookup($A761&amp;$B761,'3) Release_Label'!$D:$D&amp;'3) Release_Label'!$E:$E,1,0))),vlookup($A761&amp;$B761,{'3) Release_Label'!$D:$D&amp;'3) Release_Label'!$E:$E,'3) Release_Label'!$F:$F},2,0), or(and(not(isblank($B761)),$B761=$B760,$A761&lt;&gt;$A760),and(not(isblank($A761)),$A761=$A760,$B761&lt;&gt;$B760)),"ID LISTS UNALIGNED",and($A761&lt;&gt;"",countif('3) Release_Label'!$D:$D,$A761)=0),"NO UPC MATCH in Release_Label",and($B761&lt;&gt;"",countif('3) Release_Label'!$E:$E,$B761)=0),"NO CATALOG ID MATCH in Release_Label",iserror(vlookup($A761&amp;$B761,'3) Release_Label'!$D:$D&amp;'3) Release_Label'!$E:$E,1,0)),"NO UPC-CATALOG ID pair MATCH in Release_Label" )</f>
        <v/>
      </c>
      <c r="D761" s="121" t="str">
        <f t="array" ref="D761">ifs(and(isblank($A761),isblank($B761)),"", not(iserror(vlookup($A761&amp;$B761,'3) Release_Label'!$D:$D&amp;'3) Release_Label'!$E:$E,1,0))),vlookup($A761&amp;$B761,{'3) Release_Label'!$D:$D&amp;'3) Release_Label'!$E:$E,'3) Release_Label'!$H:$H},2,0), or(and(not(isblank($B761)),$B761=$B760,$A761&lt;&gt;$A760),and(not(isblank($A761)),$A761=$A760,$B761&lt;&gt;$B760)),"ID LISTS UNALIGNED",and($A761&lt;&gt;"",countif('3) Release_Label'!$D:$D,$A761)=0),"NO UPC MATCH in Release_Label",and($B761&lt;&gt;"",countif('3) Release_Label'!$E:$E,$B761)=0),"NO CATALOG ID MATCH in Release_Label",iserror(vlookup($A761&amp;$B761,'3) Release_Label'!$D:$D&amp;'3) Release_Label'!$E:$E,1,0)),"NO UPC-CATALOG ID pair MATCH in Release_Label" )</f>
        <v/>
      </c>
      <c r="E761" s="147" t="str">
        <f t="shared" si="1"/>
        <v/>
      </c>
      <c r="G761" s="97"/>
      <c r="H761" s="155"/>
      <c r="J761" s="92"/>
      <c r="K761" s="98"/>
      <c r="L761" s="92"/>
      <c r="N761" s="92"/>
      <c r="O761" s="92"/>
      <c r="P761" s="92"/>
    </row>
    <row r="762">
      <c r="A762" s="28"/>
      <c r="B762" s="97"/>
      <c r="C762" s="121" t="str">
        <f t="array" ref="C762">ifs(and(isblank($A762),isblank($B762)),"", not(iserror(vlookup($A762&amp;$B762,'3) Release_Label'!$D:$D&amp;'3) Release_Label'!$E:$E,1,0))),vlookup($A762&amp;$B762,{'3) Release_Label'!$D:$D&amp;'3) Release_Label'!$E:$E,'3) Release_Label'!$F:$F},2,0), or(and(not(isblank($B762)),$B762=$B761,$A762&lt;&gt;$A761),and(not(isblank($A762)),$A762=$A761,$B762&lt;&gt;$B761)),"ID LISTS UNALIGNED",and($A762&lt;&gt;"",countif('3) Release_Label'!$D:$D,$A762)=0),"NO UPC MATCH in Release_Label",and($B762&lt;&gt;"",countif('3) Release_Label'!$E:$E,$B762)=0),"NO CATALOG ID MATCH in Release_Label",iserror(vlookup($A762&amp;$B762,'3) Release_Label'!$D:$D&amp;'3) Release_Label'!$E:$E,1,0)),"NO UPC-CATALOG ID pair MATCH in Release_Label" )</f>
        <v/>
      </c>
      <c r="D762" s="121" t="str">
        <f t="array" ref="D762">ifs(and(isblank($A762),isblank($B762)),"", not(iserror(vlookup($A762&amp;$B762,'3) Release_Label'!$D:$D&amp;'3) Release_Label'!$E:$E,1,0))),vlookup($A762&amp;$B762,{'3) Release_Label'!$D:$D&amp;'3) Release_Label'!$E:$E,'3) Release_Label'!$H:$H},2,0), or(and(not(isblank($B762)),$B762=$B761,$A762&lt;&gt;$A761),and(not(isblank($A762)),$A762=$A761,$B762&lt;&gt;$B761)),"ID LISTS UNALIGNED",and($A762&lt;&gt;"",countif('3) Release_Label'!$D:$D,$A762)=0),"NO UPC MATCH in Release_Label",and($B762&lt;&gt;"",countif('3) Release_Label'!$E:$E,$B762)=0),"NO CATALOG ID MATCH in Release_Label",iserror(vlookup($A762&amp;$B762,'3) Release_Label'!$D:$D&amp;'3) Release_Label'!$E:$E,1,0)),"NO UPC-CATALOG ID pair MATCH in Release_Label" )</f>
        <v/>
      </c>
      <c r="E762" s="147" t="str">
        <f t="shared" si="1"/>
        <v/>
      </c>
      <c r="G762" s="97"/>
      <c r="H762" s="155"/>
      <c r="J762" s="92"/>
      <c r="K762" s="98"/>
      <c r="L762" s="92"/>
      <c r="N762" s="92"/>
      <c r="O762" s="92"/>
      <c r="P762" s="92"/>
    </row>
    <row r="763">
      <c r="A763" s="28"/>
      <c r="B763" s="97"/>
      <c r="C763" s="121" t="str">
        <f t="array" ref="C763">ifs(and(isblank($A763),isblank($B763)),"", not(iserror(vlookup($A763&amp;$B763,'3) Release_Label'!$D:$D&amp;'3) Release_Label'!$E:$E,1,0))),vlookup($A763&amp;$B763,{'3) Release_Label'!$D:$D&amp;'3) Release_Label'!$E:$E,'3) Release_Label'!$F:$F},2,0), or(and(not(isblank($B763)),$B763=$B762,$A763&lt;&gt;$A762),and(not(isblank($A763)),$A763=$A762,$B763&lt;&gt;$B762)),"ID LISTS UNALIGNED",and($A763&lt;&gt;"",countif('3) Release_Label'!$D:$D,$A763)=0),"NO UPC MATCH in Release_Label",and($B763&lt;&gt;"",countif('3) Release_Label'!$E:$E,$B763)=0),"NO CATALOG ID MATCH in Release_Label",iserror(vlookup($A763&amp;$B763,'3) Release_Label'!$D:$D&amp;'3) Release_Label'!$E:$E,1,0)),"NO UPC-CATALOG ID pair MATCH in Release_Label" )</f>
        <v/>
      </c>
      <c r="D763" s="121" t="str">
        <f t="array" ref="D763">ifs(and(isblank($A763),isblank($B763)),"", not(iserror(vlookup($A763&amp;$B763,'3) Release_Label'!$D:$D&amp;'3) Release_Label'!$E:$E,1,0))),vlookup($A763&amp;$B763,{'3) Release_Label'!$D:$D&amp;'3) Release_Label'!$E:$E,'3) Release_Label'!$H:$H},2,0), or(and(not(isblank($B763)),$B763=$B762,$A763&lt;&gt;$A762),and(not(isblank($A763)),$A763=$A762,$B763&lt;&gt;$B762)),"ID LISTS UNALIGNED",and($A763&lt;&gt;"",countif('3) Release_Label'!$D:$D,$A763)=0),"NO UPC MATCH in Release_Label",and($B763&lt;&gt;"",countif('3) Release_Label'!$E:$E,$B763)=0),"NO CATALOG ID MATCH in Release_Label",iserror(vlookup($A763&amp;$B763,'3) Release_Label'!$D:$D&amp;'3) Release_Label'!$E:$E,1,0)),"NO UPC-CATALOG ID pair MATCH in Release_Label" )</f>
        <v/>
      </c>
      <c r="E763" s="147" t="str">
        <f t="shared" si="1"/>
        <v/>
      </c>
      <c r="G763" s="97"/>
      <c r="H763" s="155"/>
      <c r="J763" s="92"/>
      <c r="K763" s="98"/>
      <c r="L763" s="92"/>
      <c r="N763" s="92"/>
      <c r="O763" s="92"/>
      <c r="P763" s="92"/>
    </row>
    <row r="764">
      <c r="A764" s="28"/>
      <c r="B764" s="97"/>
      <c r="C764" s="121" t="str">
        <f t="array" ref="C764">ifs(and(isblank($A764),isblank($B764)),"", not(iserror(vlookup($A764&amp;$B764,'3) Release_Label'!$D:$D&amp;'3) Release_Label'!$E:$E,1,0))),vlookup($A764&amp;$B764,{'3) Release_Label'!$D:$D&amp;'3) Release_Label'!$E:$E,'3) Release_Label'!$F:$F},2,0), or(and(not(isblank($B764)),$B764=$B763,$A764&lt;&gt;$A763),and(not(isblank($A764)),$A764=$A763,$B764&lt;&gt;$B763)),"ID LISTS UNALIGNED",and($A764&lt;&gt;"",countif('3) Release_Label'!$D:$D,$A764)=0),"NO UPC MATCH in Release_Label",and($B764&lt;&gt;"",countif('3) Release_Label'!$E:$E,$B764)=0),"NO CATALOG ID MATCH in Release_Label",iserror(vlookup($A764&amp;$B764,'3) Release_Label'!$D:$D&amp;'3) Release_Label'!$E:$E,1,0)),"NO UPC-CATALOG ID pair MATCH in Release_Label" )</f>
        <v/>
      </c>
      <c r="D764" s="121" t="str">
        <f t="array" ref="D764">ifs(and(isblank($A764),isblank($B764)),"", not(iserror(vlookup($A764&amp;$B764,'3) Release_Label'!$D:$D&amp;'3) Release_Label'!$E:$E,1,0))),vlookup($A764&amp;$B764,{'3) Release_Label'!$D:$D&amp;'3) Release_Label'!$E:$E,'3) Release_Label'!$H:$H},2,0), or(and(not(isblank($B764)),$B764=$B763,$A764&lt;&gt;$A763),and(not(isblank($A764)),$A764=$A763,$B764&lt;&gt;$B763)),"ID LISTS UNALIGNED",and($A764&lt;&gt;"",countif('3) Release_Label'!$D:$D,$A764)=0),"NO UPC MATCH in Release_Label",and($B764&lt;&gt;"",countif('3) Release_Label'!$E:$E,$B764)=0),"NO CATALOG ID MATCH in Release_Label",iserror(vlookup($A764&amp;$B764,'3) Release_Label'!$D:$D&amp;'3) Release_Label'!$E:$E,1,0)),"NO UPC-CATALOG ID pair MATCH in Release_Label" )</f>
        <v/>
      </c>
      <c r="E764" s="147" t="str">
        <f t="shared" si="1"/>
        <v/>
      </c>
      <c r="G764" s="97"/>
      <c r="H764" s="155"/>
      <c r="J764" s="92"/>
      <c r="K764" s="98"/>
      <c r="L764" s="92"/>
      <c r="N764" s="92"/>
      <c r="O764" s="92"/>
      <c r="P764" s="92"/>
    </row>
    <row r="765">
      <c r="A765" s="28"/>
      <c r="B765" s="97"/>
      <c r="C765" s="121" t="str">
        <f t="array" ref="C765">ifs(and(isblank($A765),isblank($B765)),"", not(iserror(vlookup($A765&amp;$B765,'3) Release_Label'!$D:$D&amp;'3) Release_Label'!$E:$E,1,0))),vlookup($A765&amp;$B765,{'3) Release_Label'!$D:$D&amp;'3) Release_Label'!$E:$E,'3) Release_Label'!$F:$F},2,0), or(and(not(isblank($B765)),$B765=$B764,$A765&lt;&gt;$A764),and(not(isblank($A765)),$A765=$A764,$B765&lt;&gt;$B764)),"ID LISTS UNALIGNED",and($A765&lt;&gt;"",countif('3) Release_Label'!$D:$D,$A765)=0),"NO UPC MATCH in Release_Label",and($B765&lt;&gt;"",countif('3) Release_Label'!$E:$E,$B765)=0),"NO CATALOG ID MATCH in Release_Label",iserror(vlookup($A765&amp;$B765,'3) Release_Label'!$D:$D&amp;'3) Release_Label'!$E:$E,1,0)),"NO UPC-CATALOG ID pair MATCH in Release_Label" )</f>
        <v/>
      </c>
      <c r="D765" s="121" t="str">
        <f t="array" ref="D765">ifs(and(isblank($A765),isblank($B765)),"", not(iserror(vlookup($A765&amp;$B765,'3) Release_Label'!$D:$D&amp;'3) Release_Label'!$E:$E,1,0))),vlookup($A765&amp;$B765,{'3) Release_Label'!$D:$D&amp;'3) Release_Label'!$E:$E,'3) Release_Label'!$H:$H},2,0), or(and(not(isblank($B765)),$B765=$B764,$A765&lt;&gt;$A764),and(not(isblank($A765)),$A765=$A764,$B765&lt;&gt;$B764)),"ID LISTS UNALIGNED",and($A765&lt;&gt;"",countif('3) Release_Label'!$D:$D,$A765)=0),"NO UPC MATCH in Release_Label",and($B765&lt;&gt;"",countif('3) Release_Label'!$E:$E,$B765)=0),"NO CATALOG ID MATCH in Release_Label",iserror(vlookup($A765&amp;$B765,'3) Release_Label'!$D:$D&amp;'3) Release_Label'!$E:$E,1,0)),"NO UPC-CATALOG ID pair MATCH in Release_Label" )</f>
        <v/>
      </c>
      <c r="E765" s="147" t="str">
        <f t="shared" si="1"/>
        <v/>
      </c>
      <c r="G765" s="97"/>
      <c r="H765" s="155"/>
      <c r="J765" s="92"/>
      <c r="K765" s="98"/>
      <c r="L765" s="92"/>
      <c r="N765" s="92"/>
      <c r="O765" s="92"/>
      <c r="P765" s="92"/>
    </row>
    <row r="766">
      <c r="A766" s="28"/>
      <c r="B766" s="97"/>
      <c r="C766" s="121" t="str">
        <f t="array" ref="C766">ifs(and(isblank($A766),isblank($B766)),"", not(iserror(vlookup($A766&amp;$B766,'3) Release_Label'!$D:$D&amp;'3) Release_Label'!$E:$E,1,0))),vlookup($A766&amp;$B766,{'3) Release_Label'!$D:$D&amp;'3) Release_Label'!$E:$E,'3) Release_Label'!$F:$F},2,0), or(and(not(isblank($B766)),$B766=$B765,$A766&lt;&gt;$A765),and(not(isblank($A766)),$A766=$A765,$B766&lt;&gt;$B765)),"ID LISTS UNALIGNED",and($A766&lt;&gt;"",countif('3) Release_Label'!$D:$D,$A766)=0),"NO UPC MATCH in Release_Label",and($B766&lt;&gt;"",countif('3) Release_Label'!$E:$E,$B766)=0),"NO CATALOG ID MATCH in Release_Label",iserror(vlookup($A766&amp;$B766,'3) Release_Label'!$D:$D&amp;'3) Release_Label'!$E:$E,1,0)),"NO UPC-CATALOG ID pair MATCH in Release_Label" )</f>
        <v/>
      </c>
      <c r="D766" s="121" t="str">
        <f t="array" ref="D766">ifs(and(isblank($A766),isblank($B766)),"", not(iserror(vlookup($A766&amp;$B766,'3) Release_Label'!$D:$D&amp;'3) Release_Label'!$E:$E,1,0))),vlookup($A766&amp;$B766,{'3) Release_Label'!$D:$D&amp;'3) Release_Label'!$E:$E,'3) Release_Label'!$H:$H},2,0), or(and(not(isblank($B766)),$B766=$B765,$A766&lt;&gt;$A765),and(not(isblank($A766)),$A766=$A765,$B766&lt;&gt;$B765)),"ID LISTS UNALIGNED",and($A766&lt;&gt;"",countif('3) Release_Label'!$D:$D,$A766)=0),"NO UPC MATCH in Release_Label",and($B766&lt;&gt;"",countif('3) Release_Label'!$E:$E,$B766)=0),"NO CATALOG ID MATCH in Release_Label",iserror(vlookup($A766&amp;$B766,'3) Release_Label'!$D:$D&amp;'3) Release_Label'!$E:$E,1,0)),"NO UPC-CATALOG ID pair MATCH in Release_Label" )</f>
        <v/>
      </c>
      <c r="E766" s="147" t="str">
        <f t="shared" si="1"/>
        <v/>
      </c>
      <c r="G766" s="97"/>
      <c r="H766" s="155"/>
      <c r="J766" s="92"/>
      <c r="K766" s="98"/>
      <c r="L766" s="92"/>
      <c r="N766" s="92"/>
      <c r="O766" s="92"/>
      <c r="P766" s="92"/>
    </row>
    <row r="767">
      <c r="A767" s="28"/>
      <c r="B767" s="97"/>
      <c r="C767" s="121" t="str">
        <f t="array" ref="C767">ifs(and(isblank($A767),isblank($B767)),"", not(iserror(vlookup($A767&amp;$B767,'3) Release_Label'!$D:$D&amp;'3) Release_Label'!$E:$E,1,0))),vlookup($A767&amp;$B767,{'3) Release_Label'!$D:$D&amp;'3) Release_Label'!$E:$E,'3) Release_Label'!$F:$F},2,0), or(and(not(isblank($B767)),$B767=$B766,$A767&lt;&gt;$A766),and(not(isblank($A767)),$A767=$A766,$B767&lt;&gt;$B766)),"ID LISTS UNALIGNED",and($A767&lt;&gt;"",countif('3) Release_Label'!$D:$D,$A767)=0),"NO UPC MATCH in Release_Label",and($B767&lt;&gt;"",countif('3) Release_Label'!$E:$E,$B767)=0),"NO CATALOG ID MATCH in Release_Label",iserror(vlookup($A767&amp;$B767,'3) Release_Label'!$D:$D&amp;'3) Release_Label'!$E:$E,1,0)),"NO UPC-CATALOG ID pair MATCH in Release_Label" )</f>
        <v/>
      </c>
      <c r="D767" s="121" t="str">
        <f t="array" ref="D767">ifs(and(isblank($A767),isblank($B767)),"", not(iserror(vlookup($A767&amp;$B767,'3) Release_Label'!$D:$D&amp;'3) Release_Label'!$E:$E,1,0))),vlookup($A767&amp;$B767,{'3) Release_Label'!$D:$D&amp;'3) Release_Label'!$E:$E,'3) Release_Label'!$H:$H},2,0), or(and(not(isblank($B767)),$B767=$B766,$A767&lt;&gt;$A766),and(not(isblank($A767)),$A767=$A766,$B767&lt;&gt;$B766)),"ID LISTS UNALIGNED",and($A767&lt;&gt;"",countif('3) Release_Label'!$D:$D,$A767)=0),"NO UPC MATCH in Release_Label",and($B767&lt;&gt;"",countif('3) Release_Label'!$E:$E,$B767)=0),"NO CATALOG ID MATCH in Release_Label",iserror(vlookup($A767&amp;$B767,'3) Release_Label'!$D:$D&amp;'3) Release_Label'!$E:$E,1,0)),"NO UPC-CATALOG ID pair MATCH in Release_Label" )</f>
        <v/>
      </c>
      <c r="E767" s="147" t="str">
        <f t="shared" si="1"/>
        <v/>
      </c>
      <c r="G767" s="97"/>
      <c r="H767" s="155"/>
      <c r="J767" s="92"/>
      <c r="K767" s="98"/>
      <c r="L767" s="92"/>
      <c r="N767" s="92"/>
      <c r="O767" s="92"/>
      <c r="P767" s="92"/>
    </row>
    <row r="768">
      <c r="A768" s="28"/>
      <c r="B768" s="97"/>
      <c r="C768" s="121" t="str">
        <f t="array" ref="C768">ifs(and(isblank($A768),isblank($B768)),"", not(iserror(vlookup($A768&amp;$B768,'3) Release_Label'!$D:$D&amp;'3) Release_Label'!$E:$E,1,0))),vlookup($A768&amp;$B768,{'3) Release_Label'!$D:$D&amp;'3) Release_Label'!$E:$E,'3) Release_Label'!$F:$F},2,0), or(and(not(isblank($B768)),$B768=$B767,$A768&lt;&gt;$A767),and(not(isblank($A768)),$A768=$A767,$B768&lt;&gt;$B767)),"ID LISTS UNALIGNED",and($A768&lt;&gt;"",countif('3) Release_Label'!$D:$D,$A768)=0),"NO UPC MATCH in Release_Label",and($B768&lt;&gt;"",countif('3) Release_Label'!$E:$E,$B768)=0),"NO CATALOG ID MATCH in Release_Label",iserror(vlookup($A768&amp;$B768,'3) Release_Label'!$D:$D&amp;'3) Release_Label'!$E:$E,1,0)),"NO UPC-CATALOG ID pair MATCH in Release_Label" )</f>
        <v/>
      </c>
      <c r="D768" s="121" t="str">
        <f t="array" ref="D768">ifs(and(isblank($A768),isblank($B768)),"", not(iserror(vlookup($A768&amp;$B768,'3) Release_Label'!$D:$D&amp;'3) Release_Label'!$E:$E,1,0))),vlookup($A768&amp;$B768,{'3) Release_Label'!$D:$D&amp;'3) Release_Label'!$E:$E,'3) Release_Label'!$H:$H},2,0), or(and(not(isblank($B768)),$B768=$B767,$A768&lt;&gt;$A767),and(not(isblank($A768)),$A768=$A767,$B768&lt;&gt;$B767)),"ID LISTS UNALIGNED",and($A768&lt;&gt;"",countif('3) Release_Label'!$D:$D,$A768)=0),"NO UPC MATCH in Release_Label",and($B768&lt;&gt;"",countif('3) Release_Label'!$E:$E,$B768)=0),"NO CATALOG ID MATCH in Release_Label",iserror(vlookup($A768&amp;$B768,'3) Release_Label'!$D:$D&amp;'3) Release_Label'!$E:$E,1,0)),"NO UPC-CATALOG ID pair MATCH in Release_Label" )</f>
        <v/>
      </c>
      <c r="E768" s="147" t="str">
        <f t="shared" si="1"/>
        <v/>
      </c>
      <c r="G768" s="97"/>
      <c r="H768" s="155"/>
      <c r="J768" s="92"/>
      <c r="K768" s="98"/>
      <c r="L768" s="92"/>
      <c r="N768" s="92"/>
      <c r="O768" s="92"/>
      <c r="P768" s="92"/>
    </row>
    <row r="769">
      <c r="A769" s="28"/>
      <c r="B769" s="97"/>
      <c r="C769" s="121" t="str">
        <f t="array" ref="C769">ifs(and(isblank($A769),isblank($B769)),"", not(iserror(vlookup($A769&amp;$B769,'3) Release_Label'!$D:$D&amp;'3) Release_Label'!$E:$E,1,0))),vlookup($A769&amp;$B769,{'3) Release_Label'!$D:$D&amp;'3) Release_Label'!$E:$E,'3) Release_Label'!$F:$F},2,0), or(and(not(isblank($B769)),$B769=$B768,$A769&lt;&gt;$A768),and(not(isblank($A769)),$A769=$A768,$B769&lt;&gt;$B768)),"ID LISTS UNALIGNED",and($A769&lt;&gt;"",countif('3) Release_Label'!$D:$D,$A769)=0),"NO UPC MATCH in Release_Label",and($B769&lt;&gt;"",countif('3) Release_Label'!$E:$E,$B769)=0),"NO CATALOG ID MATCH in Release_Label",iserror(vlookup($A769&amp;$B769,'3) Release_Label'!$D:$D&amp;'3) Release_Label'!$E:$E,1,0)),"NO UPC-CATALOG ID pair MATCH in Release_Label" )</f>
        <v/>
      </c>
      <c r="D769" s="121" t="str">
        <f t="array" ref="D769">ifs(and(isblank($A769),isblank($B769)),"", not(iserror(vlookup($A769&amp;$B769,'3) Release_Label'!$D:$D&amp;'3) Release_Label'!$E:$E,1,0))),vlookup($A769&amp;$B769,{'3) Release_Label'!$D:$D&amp;'3) Release_Label'!$E:$E,'3) Release_Label'!$H:$H},2,0), or(and(not(isblank($B769)),$B769=$B768,$A769&lt;&gt;$A768),and(not(isblank($A769)),$A769=$A768,$B769&lt;&gt;$B768)),"ID LISTS UNALIGNED",and($A769&lt;&gt;"",countif('3) Release_Label'!$D:$D,$A769)=0),"NO UPC MATCH in Release_Label",and($B769&lt;&gt;"",countif('3) Release_Label'!$E:$E,$B769)=0),"NO CATALOG ID MATCH in Release_Label",iserror(vlookup($A769&amp;$B769,'3) Release_Label'!$D:$D&amp;'3) Release_Label'!$E:$E,1,0)),"NO UPC-CATALOG ID pair MATCH in Release_Label" )</f>
        <v/>
      </c>
      <c r="E769" s="147" t="str">
        <f t="shared" si="1"/>
        <v/>
      </c>
      <c r="G769" s="97"/>
      <c r="H769" s="155"/>
      <c r="J769" s="92"/>
      <c r="K769" s="98"/>
      <c r="L769" s="92"/>
      <c r="N769" s="92"/>
      <c r="O769" s="92"/>
      <c r="P769" s="92"/>
    </row>
    <row r="770">
      <c r="A770" s="28"/>
      <c r="B770" s="97"/>
      <c r="C770" s="121" t="str">
        <f t="array" ref="C770">ifs(and(isblank($A770),isblank($B770)),"", not(iserror(vlookup($A770&amp;$B770,'3) Release_Label'!$D:$D&amp;'3) Release_Label'!$E:$E,1,0))),vlookup($A770&amp;$B770,{'3) Release_Label'!$D:$D&amp;'3) Release_Label'!$E:$E,'3) Release_Label'!$F:$F},2,0), or(and(not(isblank($B770)),$B770=$B769,$A770&lt;&gt;$A769),and(not(isblank($A770)),$A770=$A769,$B770&lt;&gt;$B769)),"ID LISTS UNALIGNED",and($A770&lt;&gt;"",countif('3) Release_Label'!$D:$D,$A770)=0),"NO UPC MATCH in Release_Label",and($B770&lt;&gt;"",countif('3) Release_Label'!$E:$E,$B770)=0),"NO CATALOG ID MATCH in Release_Label",iserror(vlookup($A770&amp;$B770,'3) Release_Label'!$D:$D&amp;'3) Release_Label'!$E:$E,1,0)),"NO UPC-CATALOG ID pair MATCH in Release_Label" )</f>
        <v/>
      </c>
      <c r="D770" s="121" t="str">
        <f t="array" ref="D770">ifs(and(isblank($A770),isblank($B770)),"", not(iserror(vlookup($A770&amp;$B770,'3) Release_Label'!$D:$D&amp;'3) Release_Label'!$E:$E,1,0))),vlookup($A770&amp;$B770,{'3) Release_Label'!$D:$D&amp;'3) Release_Label'!$E:$E,'3) Release_Label'!$H:$H},2,0), or(and(not(isblank($B770)),$B770=$B769,$A770&lt;&gt;$A769),and(not(isblank($A770)),$A770=$A769,$B770&lt;&gt;$B769)),"ID LISTS UNALIGNED",and($A770&lt;&gt;"",countif('3) Release_Label'!$D:$D,$A770)=0),"NO UPC MATCH in Release_Label",and($B770&lt;&gt;"",countif('3) Release_Label'!$E:$E,$B770)=0),"NO CATALOG ID MATCH in Release_Label",iserror(vlookup($A770&amp;$B770,'3) Release_Label'!$D:$D&amp;'3) Release_Label'!$E:$E,1,0)),"NO UPC-CATALOG ID pair MATCH in Release_Label" )</f>
        <v/>
      </c>
      <c r="E770" s="147" t="str">
        <f t="shared" si="1"/>
        <v/>
      </c>
      <c r="G770" s="97"/>
      <c r="H770" s="155"/>
      <c r="J770" s="92"/>
      <c r="K770" s="98"/>
      <c r="L770" s="92"/>
      <c r="N770" s="92"/>
      <c r="O770" s="92"/>
      <c r="P770" s="92"/>
    </row>
    <row r="771">
      <c r="A771" s="28"/>
      <c r="B771" s="97"/>
      <c r="C771" s="121" t="str">
        <f t="array" ref="C771">ifs(and(isblank($A771),isblank($B771)),"", not(iserror(vlookup($A771&amp;$B771,'3) Release_Label'!$D:$D&amp;'3) Release_Label'!$E:$E,1,0))),vlookup($A771&amp;$B771,{'3) Release_Label'!$D:$D&amp;'3) Release_Label'!$E:$E,'3) Release_Label'!$F:$F},2,0), or(and(not(isblank($B771)),$B771=$B770,$A771&lt;&gt;$A770),and(not(isblank($A771)),$A771=$A770,$B771&lt;&gt;$B770)),"ID LISTS UNALIGNED",and($A771&lt;&gt;"",countif('3) Release_Label'!$D:$D,$A771)=0),"NO UPC MATCH in Release_Label",and($B771&lt;&gt;"",countif('3) Release_Label'!$E:$E,$B771)=0),"NO CATALOG ID MATCH in Release_Label",iserror(vlookup($A771&amp;$B771,'3) Release_Label'!$D:$D&amp;'3) Release_Label'!$E:$E,1,0)),"NO UPC-CATALOG ID pair MATCH in Release_Label" )</f>
        <v/>
      </c>
      <c r="D771" s="121" t="str">
        <f t="array" ref="D771">ifs(and(isblank($A771),isblank($B771)),"", not(iserror(vlookup($A771&amp;$B771,'3) Release_Label'!$D:$D&amp;'3) Release_Label'!$E:$E,1,0))),vlookup($A771&amp;$B771,{'3) Release_Label'!$D:$D&amp;'3) Release_Label'!$E:$E,'3) Release_Label'!$H:$H},2,0), or(and(not(isblank($B771)),$B771=$B770,$A771&lt;&gt;$A770),and(not(isblank($A771)),$A771=$A770,$B771&lt;&gt;$B770)),"ID LISTS UNALIGNED",and($A771&lt;&gt;"",countif('3) Release_Label'!$D:$D,$A771)=0),"NO UPC MATCH in Release_Label",and($B771&lt;&gt;"",countif('3) Release_Label'!$E:$E,$B771)=0),"NO CATALOG ID MATCH in Release_Label",iserror(vlookup($A771&amp;$B771,'3) Release_Label'!$D:$D&amp;'3) Release_Label'!$E:$E,1,0)),"NO UPC-CATALOG ID pair MATCH in Release_Label" )</f>
        <v/>
      </c>
      <c r="E771" s="147" t="str">
        <f t="shared" si="1"/>
        <v/>
      </c>
      <c r="G771" s="97"/>
      <c r="H771" s="155"/>
      <c r="J771" s="92"/>
      <c r="K771" s="98"/>
      <c r="L771" s="92"/>
      <c r="N771" s="92"/>
      <c r="O771" s="92"/>
      <c r="P771" s="92"/>
    </row>
    <row r="772">
      <c r="A772" s="28"/>
      <c r="B772" s="97"/>
      <c r="C772" s="121" t="str">
        <f t="array" ref="C772">ifs(and(isblank($A772),isblank($B772)),"", not(iserror(vlookup($A772&amp;$B772,'3) Release_Label'!$D:$D&amp;'3) Release_Label'!$E:$E,1,0))),vlookup($A772&amp;$B772,{'3) Release_Label'!$D:$D&amp;'3) Release_Label'!$E:$E,'3) Release_Label'!$F:$F},2,0), or(and(not(isblank($B772)),$B772=$B771,$A772&lt;&gt;$A771),and(not(isblank($A772)),$A772=$A771,$B772&lt;&gt;$B771)),"ID LISTS UNALIGNED",and($A772&lt;&gt;"",countif('3) Release_Label'!$D:$D,$A772)=0),"NO UPC MATCH in Release_Label",and($B772&lt;&gt;"",countif('3) Release_Label'!$E:$E,$B772)=0),"NO CATALOG ID MATCH in Release_Label",iserror(vlookup($A772&amp;$B772,'3) Release_Label'!$D:$D&amp;'3) Release_Label'!$E:$E,1,0)),"NO UPC-CATALOG ID pair MATCH in Release_Label" )</f>
        <v/>
      </c>
      <c r="D772" s="121" t="str">
        <f t="array" ref="D772">ifs(and(isblank($A772),isblank($B772)),"", not(iserror(vlookup($A772&amp;$B772,'3) Release_Label'!$D:$D&amp;'3) Release_Label'!$E:$E,1,0))),vlookup($A772&amp;$B772,{'3) Release_Label'!$D:$D&amp;'3) Release_Label'!$E:$E,'3) Release_Label'!$H:$H},2,0), or(and(not(isblank($B772)),$B772=$B771,$A772&lt;&gt;$A771),and(not(isblank($A772)),$A772=$A771,$B772&lt;&gt;$B771)),"ID LISTS UNALIGNED",and($A772&lt;&gt;"",countif('3) Release_Label'!$D:$D,$A772)=0),"NO UPC MATCH in Release_Label",and($B772&lt;&gt;"",countif('3) Release_Label'!$E:$E,$B772)=0),"NO CATALOG ID MATCH in Release_Label",iserror(vlookup($A772&amp;$B772,'3) Release_Label'!$D:$D&amp;'3) Release_Label'!$E:$E,1,0)),"NO UPC-CATALOG ID pair MATCH in Release_Label" )</f>
        <v/>
      </c>
      <c r="E772" s="147" t="str">
        <f t="shared" si="1"/>
        <v/>
      </c>
      <c r="G772" s="97"/>
      <c r="H772" s="155"/>
      <c r="J772" s="92"/>
      <c r="K772" s="98"/>
      <c r="L772" s="92"/>
      <c r="N772" s="92"/>
      <c r="O772" s="92"/>
      <c r="P772" s="92"/>
    </row>
    <row r="773">
      <c r="A773" s="28"/>
      <c r="B773" s="97"/>
      <c r="C773" s="121" t="str">
        <f t="array" ref="C773">ifs(and(isblank($A773),isblank($B773)),"", not(iserror(vlookup($A773&amp;$B773,'3) Release_Label'!$D:$D&amp;'3) Release_Label'!$E:$E,1,0))),vlookup($A773&amp;$B773,{'3) Release_Label'!$D:$D&amp;'3) Release_Label'!$E:$E,'3) Release_Label'!$F:$F},2,0), or(and(not(isblank($B773)),$B773=$B772,$A773&lt;&gt;$A772),and(not(isblank($A773)),$A773=$A772,$B773&lt;&gt;$B772)),"ID LISTS UNALIGNED",and($A773&lt;&gt;"",countif('3) Release_Label'!$D:$D,$A773)=0),"NO UPC MATCH in Release_Label",and($B773&lt;&gt;"",countif('3) Release_Label'!$E:$E,$B773)=0),"NO CATALOG ID MATCH in Release_Label",iserror(vlookup($A773&amp;$B773,'3) Release_Label'!$D:$D&amp;'3) Release_Label'!$E:$E,1,0)),"NO UPC-CATALOG ID pair MATCH in Release_Label" )</f>
        <v/>
      </c>
      <c r="D773" s="121" t="str">
        <f t="array" ref="D773">ifs(and(isblank($A773),isblank($B773)),"", not(iserror(vlookup($A773&amp;$B773,'3) Release_Label'!$D:$D&amp;'3) Release_Label'!$E:$E,1,0))),vlookup($A773&amp;$B773,{'3) Release_Label'!$D:$D&amp;'3) Release_Label'!$E:$E,'3) Release_Label'!$H:$H},2,0), or(and(not(isblank($B773)),$B773=$B772,$A773&lt;&gt;$A772),and(not(isblank($A773)),$A773=$A772,$B773&lt;&gt;$B772)),"ID LISTS UNALIGNED",and($A773&lt;&gt;"",countif('3) Release_Label'!$D:$D,$A773)=0),"NO UPC MATCH in Release_Label",and($B773&lt;&gt;"",countif('3) Release_Label'!$E:$E,$B773)=0),"NO CATALOG ID MATCH in Release_Label",iserror(vlookup($A773&amp;$B773,'3) Release_Label'!$D:$D&amp;'3) Release_Label'!$E:$E,1,0)),"NO UPC-CATALOG ID pair MATCH in Release_Label" )</f>
        <v/>
      </c>
      <c r="E773" s="147" t="str">
        <f t="shared" si="1"/>
        <v/>
      </c>
      <c r="G773" s="97"/>
      <c r="H773" s="155"/>
      <c r="J773" s="92"/>
      <c r="K773" s="98"/>
      <c r="L773" s="92"/>
      <c r="N773" s="92"/>
      <c r="O773" s="92"/>
      <c r="P773" s="92"/>
    </row>
    <row r="774">
      <c r="A774" s="28"/>
      <c r="B774" s="97"/>
      <c r="C774" s="121" t="str">
        <f t="array" ref="C774">ifs(and(isblank($A774),isblank($B774)),"", not(iserror(vlookup($A774&amp;$B774,'3) Release_Label'!$D:$D&amp;'3) Release_Label'!$E:$E,1,0))),vlookup($A774&amp;$B774,{'3) Release_Label'!$D:$D&amp;'3) Release_Label'!$E:$E,'3) Release_Label'!$F:$F},2,0), or(and(not(isblank($B774)),$B774=$B773,$A774&lt;&gt;$A773),and(not(isblank($A774)),$A774=$A773,$B774&lt;&gt;$B773)),"ID LISTS UNALIGNED",and($A774&lt;&gt;"",countif('3) Release_Label'!$D:$D,$A774)=0),"NO UPC MATCH in Release_Label",and($B774&lt;&gt;"",countif('3) Release_Label'!$E:$E,$B774)=0),"NO CATALOG ID MATCH in Release_Label",iserror(vlookup($A774&amp;$B774,'3) Release_Label'!$D:$D&amp;'3) Release_Label'!$E:$E,1,0)),"NO UPC-CATALOG ID pair MATCH in Release_Label" )</f>
        <v/>
      </c>
      <c r="D774" s="121" t="str">
        <f t="array" ref="D774">ifs(and(isblank($A774),isblank($B774)),"", not(iserror(vlookup($A774&amp;$B774,'3) Release_Label'!$D:$D&amp;'3) Release_Label'!$E:$E,1,0))),vlookup($A774&amp;$B774,{'3) Release_Label'!$D:$D&amp;'3) Release_Label'!$E:$E,'3) Release_Label'!$H:$H},2,0), or(and(not(isblank($B774)),$B774=$B773,$A774&lt;&gt;$A773),and(not(isblank($A774)),$A774=$A773,$B774&lt;&gt;$B773)),"ID LISTS UNALIGNED",and($A774&lt;&gt;"",countif('3) Release_Label'!$D:$D,$A774)=0),"NO UPC MATCH in Release_Label",and($B774&lt;&gt;"",countif('3) Release_Label'!$E:$E,$B774)=0),"NO CATALOG ID MATCH in Release_Label",iserror(vlookup($A774&amp;$B774,'3) Release_Label'!$D:$D&amp;'3) Release_Label'!$E:$E,1,0)),"NO UPC-CATALOG ID pair MATCH in Release_Label" )</f>
        <v/>
      </c>
      <c r="E774" s="147" t="str">
        <f t="shared" si="1"/>
        <v/>
      </c>
      <c r="G774" s="97"/>
      <c r="H774" s="155"/>
      <c r="J774" s="92"/>
      <c r="K774" s="98"/>
      <c r="L774" s="92"/>
      <c r="N774" s="92"/>
      <c r="O774" s="92"/>
      <c r="P774" s="92"/>
    </row>
    <row r="775">
      <c r="A775" s="28"/>
      <c r="B775" s="97"/>
      <c r="C775" s="121" t="str">
        <f t="array" ref="C775">ifs(and(isblank($A775),isblank($B775)),"", not(iserror(vlookup($A775&amp;$B775,'3) Release_Label'!$D:$D&amp;'3) Release_Label'!$E:$E,1,0))),vlookup($A775&amp;$B775,{'3) Release_Label'!$D:$D&amp;'3) Release_Label'!$E:$E,'3) Release_Label'!$F:$F},2,0), or(and(not(isblank($B775)),$B775=$B774,$A775&lt;&gt;$A774),and(not(isblank($A775)),$A775=$A774,$B775&lt;&gt;$B774)),"ID LISTS UNALIGNED",and($A775&lt;&gt;"",countif('3) Release_Label'!$D:$D,$A775)=0),"NO UPC MATCH in Release_Label",and($B775&lt;&gt;"",countif('3) Release_Label'!$E:$E,$B775)=0),"NO CATALOG ID MATCH in Release_Label",iserror(vlookup($A775&amp;$B775,'3) Release_Label'!$D:$D&amp;'3) Release_Label'!$E:$E,1,0)),"NO UPC-CATALOG ID pair MATCH in Release_Label" )</f>
        <v/>
      </c>
      <c r="D775" s="121" t="str">
        <f t="array" ref="D775">ifs(and(isblank($A775),isblank($B775)),"", not(iserror(vlookup($A775&amp;$B775,'3) Release_Label'!$D:$D&amp;'3) Release_Label'!$E:$E,1,0))),vlookup($A775&amp;$B775,{'3) Release_Label'!$D:$D&amp;'3) Release_Label'!$E:$E,'3) Release_Label'!$H:$H},2,0), or(and(not(isblank($B775)),$B775=$B774,$A775&lt;&gt;$A774),and(not(isblank($A775)),$A775=$A774,$B775&lt;&gt;$B774)),"ID LISTS UNALIGNED",and($A775&lt;&gt;"",countif('3) Release_Label'!$D:$D,$A775)=0),"NO UPC MATCH in Release_Label",and($B775&lt;&gt;"",countif('3) Release_Label'!$E:$E,$B775)=0),"NO CATALOG ID MATCH in Release_Label",iserror(vlookup($A775&amp;$B775,'3) Release_Label'!$D:$D&amp;'3) Release_Label'!$E:$E,1,0)),"NO UPC-CATALOG ID pair MATCH in Release_Label" )</f>
        <v/>
      </c>
      <c r="E775" s="147" t="str">
        <f t="shared" si="1"/>
        <v/>
      </c>
      <c r="G775" s="97"/>
      <c r="H775" s="155"/>
      <c r="J775" s="92"/>
      <c r="K775" s="98"/>
      <c r="L775" s="92"/>
      <c r="N775" s="92"/>
      <c r="O775" s="92"/>
      <c r="P775" s="92"/>
    </row>
    <row r="776">
      <c r="A776" s="28"/>
      <c r="B776" s="97"/>
      <c r="C776" s="121" t="str">
        <f t="array" ref="C776">ifs(and(isblank($A776),isblank($B776)),"", not(iserror(vlookup($A776&amp;$B776,'3) Release_Label'!$D:$D&amp;'3) Release_Label'!$E:$E,1,0))),vlookup($A776&amp;$B776,{'3) Release_Label'!$D:$D&amp;'3) Release_Label'!$E:$E,'3) Release_Label'!$F:$F},2,0), or(and(not(isblank($B776)),$B776=$B775,$A776&lt;&gt;$A775),and(not(isblank($A776)),$A776=$A775,$B776&lt;&gt;$B775)),"ID LISTS UNALIGNED",and($A776&lt;&gt;"",countif('3) Release_Label'!$D:$D,$A776)=0),"NO UPC MATCH in Release_Label",and($B776&lt;&gt;"",countif('3) Release_Label'!$E:$E,$B776)=0),"NO CATALOG ID MATCH in Release_Label",iserror(vlookup($A776&amp;$B776,'3) Release_Label'!$D:$D&amp;'3) Release_Label'!$E:$E,1,0)),"NO UPC-CATALOG ID pair MATCH in Release_Label" )</f>
        <v/>
      </c>
      <c r="D776" s="121" t="str">
        <f t="array" ref="D776">ifs(and(isblank($A776),isblank($B776)),"", not(iserror(vlookup($A776&amp;$B776,'3) Release_Label'!$D:$D&amp;'3) Release_Label'!$E:$E,1,0))),vlookup($A776&amp;$B776,{'3) Release_Label'!$D:$D&amp;'3) Release_Label'!$E:$E,'3) Release_Label'!$H:$H},2,0), or(and(not(isblank($B776)),$B776=$B775,$A776&lt;&gt;$A775),and(not(isblank($A776)),$A776=$A775,$B776&lt;&gt;$B775)),"ID LISTS UNALIGNED",and($A776&lt;&gt;"",countif('3) Release_Label'!$D:$D,$A776)=0),"NO UPC MATCH in Release_Label",and($B776&lt;&gt;"",countif('3) Release_Label'!$E:$E,$B776)=0),"NO CATALOG ID MATCH in Release_Label",iserror(vlookup($A776&amp;$B776,'3) Release_Label'!$D:$D&amp;'3) Release_Label'!$E:$E,1,0)),"NO UPC-CATALOG ID pair MATCH in Release_Label" )</f>
        <v/>
      </c>
      <c r="E776" s="147" t="str">
        <f t="shared" si="1"/>
        <v/>
      </c>
      <c r="G776" s="97"/>
      <c r="H776" s="155"/>
      <c r="J776" s="92"/>
      <c r="K776" s="98"/>
      <c r="L776" s="92"/>
      <c r="N776" s="92"/>
      <c r="O776" s="92"/>
      <c r="P776" s="92"/>
    </row>
    <row r="777">
      <c r="A777" s="28"/>
      <c r="B777" s="97"/>
      <c r="C777" s="121" t="str">
        <f t="array" ref="C777">ifs(and(isblank($A777),isblank($B777)),"", not(iserror(vlookup($A777&amp;$B777,'3) Release_Label'!$D:$D&amp;'3) Release_Label'!$E:$E,1,0))),vlookup($A777&amp;$B777,{'3) Release_Label'!$D:$D&amp;'3) Release_Label'!$E:$E,'3) Release_Label'!$F:$F},2,0), or(and(not(isblank($B777)),$B777=$B776,$A777&lt;&gt;$A776),and(not(isblank($A777)),$A777=$A776,$B777&lt;&gt;$B776)),"ID LISTS UNALIGNED",and($A777&lt;&gt;"",countif('3) Release_Label'!$D:$D,$A777)=0),"NO UPC MATCH in Release_Label",and($B777&lt;&gt;"",countif('3) Release_Label'!$E:$E,$B777)=0),"NO CATALOG ID MATCH in Release_Label",iserror(vlookup($A777&amp;$B777,'3) Release_Label'!$D:$D&amp;'3) Release_Label'!$E:$E,1,0)),"NO UPC-CATALOG ID pair MATCH in Release_Label" )</f>
        <v/>
      </c>
      <c r="D777" s="121" t="str">
        <f t="array" ref="D777">ifs(and(isblank($A777),isblank($B777)),"", not(iserror(vlookup($A777&amp;$B777,'3) Release_Label'!$D:$D&amp;'3) Release_Label'!$E:$E,1,0))),vlookup($A777&amp;$B777,{'3) Release_Label'!$D:$D&amp;'3) Release_Label'!$E:$E,'3) Release_Label'!$H:$H},2,0), or(and(not(isblank($B777)),$B777=$B776,$A777&lt;&gt;$A776),and(not(isblank($A777)),$A777=$A776,$B777&lt;&gt;$B776)),"ID LISTS UNALIGNED",and($A777&lt;&gt;"",countif('3) Release_Label'!$D:$D,$A777)=0),"NO UPC MATCH in Release_Label",and($B777&lt;&gt;"",countif('3) Release_Label'!$E:$E,$B777)=0),"NO CATALOG ID MATCH in Release_Label",iserror(vlookup($A777&amp;$B777,'3) Release_Label'!$D:$D&amp;'3) Release_Label'!$E:$E,1,0)),"NO UPC-CATALOG ID pair MATCH in Release_Label" )</f>
        <v/>
      </c>
      <c r="E777" s="147" t="str">
        <f t="shared" si="1"/>
        <v/>
      </c>
      <c r="G777" s="97"/>
      <c r="H777" s="155"/>
      <c r="J777" s="92"/>
      <c r="K777" s="98"/>
      <c r="L777" s="92"/>
      <c r="N777" s="92"/>
      <c r="O777" s="92"/>
      <c r="P777" s="92"/>
    </row>
    <row r="778">
      <c r="A778" s="28"/>
      <c r="B778" s="97"/>
      <c r="C778" s="121" t="str">
        <f t="array" ref="C778">ifs(and(isblank($A778),isblank($B778)),"", not(iserror(vlookup($A778&amp;$B778,'3) Release_Label'!$D:$D&amp;'3) Release_Label'!$E:$E,1,0))),vlookup($A778&amp;$B778,{'3) Release_Label'!$D:$D&amp;'3) Release_Label'!$E:$E,'3) Release_Label'!$F:$F},2,0), or(and(not(isblank($B778)),$B778=$B777,$A778&lt;&gt;$A777),and(not(isblank($A778)),$A778=$A777,$B778&lt;&gt;$B777)),"ID LISTS UNALIGNED",and($A778&lt;&gt;"",countif('3) Release_Label'!$D:$D,$A778)=0),"NO UPC MATCH in Release_Label",and($B778&lt;&gt;"",countif('3) Release_Label'!$E:$E,$B778)=0),"NO CATALOG ID MATCH in Release_Label",iserror(vlookup($A778&amp;$B778,'3) Release_Label'!$D:$D&amp;'3) Release_Label'!$E:$E,1,0)),"NO UPC-CATALOG ID pair MATCH in Release_Label" )</f>
        <v/>
      </c>
      <c r="D778" s="121" t="str">
        <f t="array" ref="D778">ifs(and(isblank($A778),isblank($B778)),"", not(iserror(vlookup($A778&amp;$B778,'3) Release_Label'!$D:$D&amp;'3) Release_Label'!$E:$E,1,0))),vlookup($A778&amp;$B778,{'3) Release_Label'!$D:$D&amp;'3) Release_Label'!$E:$E,'3) Release_Label'!$H:$H},2,0), or(and(not(isblank($B778)),$B778=$B777,$A778&lt;&gt;$A777),and(not(isblank($A778)),$A778=$A777,$B778&lt;&gt;$B777)),"ID LISTS UNALIGNED",and($A778&lt;&gt;"",countif('3) Release_Label'!$D:$D,$A778)=0),"NO UPC MATCH in Release_Label",and($B778&lt;&gt;"",countif('3) Release_Label'!$E:$E,$B778)=0),"NO CATALOG ID MATCH in Release_Label",iserror(vlookup($A778&amp;$B778,'3) Release_Label'!$D:$D&amp;'3) Release_Label'!$E:$E,1,0)),"NO UPC-CATALOG ID pair MATCH in Release_Label" )</f>
        <v/>
      </c>
      <c r="E778" s="147" t="str">
        <f t="shared" si="1"/>
        <v/>
      </c>
      <c r="G778" s="97"/>
      <c r="H778" s="155"/>
      <c r="J778" s="92"/>
      <c r="K778" s="98"/>
      <c r="L778" s="92"/>
      <c r="N778" s="92"/>
      <c r="O778" s="92"/>
      <c r="P778" s="92"/>
    </row>
    <row r="779">
      <c r="A779" s="28"/>
      <c r="B779" s="97"/>
      <c r="C779" s="121" t="str">
        <f t="array" ref="C779">ifs(and(isblank($A779),isblank($B779)),"", not(iserror(vlookup($A779&amp;$B779,'3) Release_Label'!$D:$D&amp;'3) Release_Label'!$E:$E,1,0))),vlookup($A779&amp;$B779,{'3) Release_Label'!$D:$D&amp;'3) Release_Label'!$E:$E,'3) Release_Label'!$F:$F},2,0), or(and(not(isblank($B779)),$B779=$B778,$A779&lt;&gt;$A778),and(not(isblank($A779)),$A779=$A778,$B779&lt;&gt;$B778)),"ID LISTS UNALIGNED",and($A779&lt;&gt;"",countif('3) Release_Label'!$D:$D,$A779)=0),"NO UPC MATCH in Release_Label",and($B779&lt;&gt;"",countif('3) Release_Label'!$E:$E,$B779)=0),"NO CATALOG ID MATCH in Release_Label",iserror(vlookup($A779&amp;$B779,'3) Release_Label'!$D:$D&amp;'3) Release_Label'!$E:$E,1,0)),"NO UPC-CATALOG ID pair MATCH in Release_Label" )</f>
        <v/>
      </c>
      <c r="D779" s="121" t="str">
        <f t="array" ref="D779">ifs(and(isblank($A779),isblank($B779)),"", not(iserror(vlookup($A779&amp;$B779,'3) Release_Label'!$D:$D&amp;'3) Release_Label'!$E:$E,1,0))),vlookup($A779&amp;$B779,{'3) Release_Label'!$D:$D&amp;'3) Release_Label'!$E:$E,'3) Release_Label'!$H:$H},2,0), or(and(not(isblank($B779)),$B779=$B778,$A779&lt;&gt;$A778),and(not(isblank($A779)),$A779=$A778,$B779&lt;&gt;$B778)),"ID LISTS UNALIGNED",and($A779&lt;&gt;"",countif('3) Release_Label'!$D:$D,$A779)=0),"NO UPC MATCH in Release_Label",and($B779&lt;&gt;"",countif('3) Release_Label'!$E:$E,$B779)=0),"NO CATALOG ID MATCH in Release_Label",iserror(vlookup($A779&amp;$B779,'3) Release_Label'!$D:$D&amp;'3) Release_Label'!$E:$E,1,0)),"NO UPC-CATALOG ID pair MATCH in Release_Label" )</f>
        <v/>
      </c>
      <c r="E779" s="147" t="str">
        <f t="shared" si="1"/>
        <v/>
      </c>
      <c r="G779" s="97"/>
      <c r="H779" s="155"/>
      <c r="J779" s="92"/>
      <c r="K779" s="98"/>
      <c r="L779" s="92"/>
      <c r="N779" s="92"/>
      <c r="O779" s="92"/>
      <c r="P779" s="92"/>
    </row>
    <row r="780">
      <c r="A780" s="28"/>
      <c r="B780" s="97"/>
      <c r="C780" s="121" t="str">
        <f t="array" ref="C780">ifs(and(isblank($A780),isblank($B780)),"", not(iserror(vlookup($A780&amp;$B780,'3) Release_Label'!$D:$D&amp;'3) Release_Label'!$E:$E,1,0))),vlookup($A780&amp;$B780,{'3) Release_Label'!$D:$D&amp;'3) Release_Label'!$E:$E,'3) Release_Label'!$F:$F},2,0), or(and(not(isblank($B780)),$B780=$B779,$A780&lt;&gt;$A779),and(not(isblank($A780)),$A780=$A779,$B780&lt;&gt;$B779)),"ID LISTS UNALIGNED",and($A780&lt;&gt;"",countif('3) Release_Label'!$D:$D,$A780)=0),"NO UPC MATCH in Release_Label",and($B780&lt;&gt;"",countif('3) Release_Label'!$E:$E,$B780)=0),"NO CATALOG ID MATCH in Release_Label",iserror(vlookup($A780&amp;$B780,'3) Release_Label'!$D:$D&amp;'3) Release_Label'!$E:$E,1,0)),"NO UPC-CATALOG ID pair MATCH in Release_Label" )</f>
        <v/>
      </c>
      <c r="D780" s="121" t="str">
        <f t="array" ref="D780">ifs(and(isblank($A780),isblank($B780)),"", not(iserror(vlookup($A780&amp;$B780,'3) Release_Label'!$D:$D&amp;'3) Release_Label'!$E:$E,1,0))),vlookup($A780&amp;$B780,{'3) Release_Label'!$D:$D&amp;'3) Release_Label'!$E:$E,'3) Release_Label'!$H:$H},2,0), or(and(not(isblank($B780)),$B780=$B779,$A780&lt;&gt;$A779),and(not(isblank($A780)),$A780=$A779,$B780&lt;&gt;$B779)),"ID LISTS UNALIGNED",and($A780&lt;&gt;"",countif('3) Release_Label'!$D:$D,$A780)=0),"NO UPC MATCH in Release_Label",and($B780&lt;&gt;"",countif('3) Release_Label'!$E:$E,$B780)=0),"NO CATALOG ID MATCH in Release_Label",iserror(vlookup($A780&amp;$B780,'3) Release_Label'!$D:$D&amp;'3) Release_Label'!$E:$E,1,0)),"NO UPC-CATALOG ID pair MATCH in Release_Label" )</f>
        <v/>
      </c>
      <c r="E780" s="147" t="str">
        <f t="shared" si="1"/>
        <v/>
      </c>
      <c r="G780" s="97"/>
      <c r="H780" s="155"/>
      <c r="J780" s="92"/>
      <c r="K780" s="98"/>
      <c r="L780" s="92"/>
      <c r="N780" s="92"/>
      <c r="O780" s="92"/>
      <c r="P780" s="92"/>
    </row>
    <row r="781">
      <c r="A781" s="28"/>
      <c r="B781" s="97"/>
      <c r="C781" s="121" t="str">
        <f t="array" ref="C781">ifs(and(isblank($A781),isblank($B781)),"", not(iserror(vlookup($A781&amp;$B781,'3) Release_Label'!$D:$D&amp;'3) Release_Label'!$E:$E,1,0))),vlookup($A781&amp;$B781,{'3) Release_Label'!$D:$D&amp;'3) Release_Label'!$E:$E,'3) Release_Label'!$F:$F},2,0), or(and(not(isblank($B781)),$B781=$B780,$A781&lt;&gt;$A780),and(not(isblank($A781)),$A781=$A780,$B781&lt;&gt;$B780)),"ID LISTS UNALIGNED",and($A781&lt;&gt;"",countif('3) Release_Label'!$D:$D,$A781)=0),"NO UPC MATCH in Release_Label",and($B781&lt;&gt;"",countif('3) Release_Label'!$E:$E,$B781)=0),"NO CATALOG ID MATCH in Release_Label",iserror(vlookup($A781&amp;$B781,'3) Release_Label'!$D:$D&amp;'3) Release_Label'!$E:$E,1,0)),"NO UPC-CATALOG ID pair MATCH in Release_Label" )</f>
        <v/>
      </c>
      <c r="D781" s="121" t="str">
        <f t="array" ref="D781">ifs(and(isblank($A781),isblank($B781)),"", not(iserror(vlookup($A781&amp;$B781,'3) Release_Label'!$D:$D&amp;'3) Release_Label'!$E:$E,1,0))),vlookup($A781&amp;$B781,{'3) Release_Label'!$D:$D&amp;'3) Release_Label'!$E:$E,'3) Release_Label'!$H:$H},2,0), or(and(not(isblank($B781)),$B781=$B780,$A781&lt;&gt;$A780),and(not(isblank($A781)),$A781=$A780,$B781&lt;&gt;$B780)),"ID LISTS UNALIGNED",and($A781&lt;&gt;"",countif('3) Release_Label'!$D:$D,$A781)=0),"NO UPC MATCH in Release_Label",and($B781&lt;&gt;"",countif('3) Release_Label'!$E:$E,$B781)=0),"NO CATALOG ID MATCH in Release_Label",iserror(vlookup($A781&amp;$B781,'3) Release_Label'!$D:$D&amp;'3) Release_Label'!$E:$E,1,0)),"NO UPC-CATALOG ID pair MATCH in Release_Label" )</f>
        <v/>
      </c>
      <c r="E781" s="147" t="str">
        <f t="shared" si="1"/>
        <v/>
      </c>
      <c r="G781" s="97"/>
      <c r="H781" s="155"/>
      <c r="J781" s="92"/>
      <c r="K781" s="98"/>
      <c r="L781" s="92"/>
      <c r="N781" s="92"/>
      <c r="O781" s="92"/>
      <c r="P781" s="92"/>
    </row>
    <row r="782">
      <c r="A782" s="28"/>
      <c r="B782" s="97"/>
      <c r="C782" s="121" t="str">
        <f t="array" ref="C782">ifs(and(isblank($A782),isblank($B782)),"", not(iserror(vlookup($A782&amp;$B782,'3) Release_Label'!$D:$D&amp;'3) Release_Label'!$E:$E,1,0))),vlookup($A782&amp;$B782,{'3) Release_Label'!$D:$D&amp;'3) Release_Label'!$E:$E,'3) Release_Label'!$F:$F},2,0), or(and(not(isblank($B782)),$B782=$B781,$A782&lt;&gt;$A781),and(not(isblank($A782)),$A782=$A781,$B782&lt;&gt;$B781)),"ID LISTS UNALIGNED",and($A782&lt;&gt;"",countif('3) Release_Label'!$D:$D,$A782)=0),"NO UPC MATCH in Release_Label",and($B782&lt;&gt;"",countif('3) Release_Label'!$E:$E,$B782)=0),"NO CATALOG ID MATCH in Release_Label",iserror(vlookup($A782&amp;$B782,'3) Release_Label'!$D:$D&amp;'3) Release_Label'!$E:$E,1,0)),"NO UPC-CATALOG ID pair MATCH in Release_Label" )</f>
        <v/>
      </c>
      <c r="D782" s="121" t="str">
        <f t="array" ref="D782">ifs(and(isblank($A782),isblank($B782)),"", not(iserror(vlookup($A782&amp;$B782,'3) Release_Label'!$D:$D&amp;'3) Release_Label'!$E:$E,1,0))),vlookup($A782&amp;$B782,{'3) Release_Label'!$D:$D&amp;'3) Release_Label'!$E:$E,'3) Release_Label'!$H:$H},2,0), or(and(not(isblank($B782)),$B782=$B781,$A782&lt;&gt;$A781),and(not(isblank($A782)),$A782=$A781,$B782&lt;&gt;$B781)),"ID LISTS UNALIGNED",and($A782&lt;&gt;"",countif('3) Release_Label'!$D:$D,$A782)=0),"NO UPC MATCH in Release_Label",and($B782&lt;&gt;"",countif('3) Release_Label'!$E:$E,$B782)=0),"NO CATALOG ID MATCH in Release_Label",iserror(vlookup($A782&amp;$B782,'3) Release_Label'!$D:$D&amp;'3) Release_Label'!$E:$E,1,0)),"NO UPC-CATALOG ID pair MATCH in Release_Label" )</f>
        <v/>
      </c>
      <c r="E782" s="147" t="str">
        <f t="shared" si="1"/>
        <v/>
      </c>
      <c r="G782" s="97"/>
      <c r="H782" s="155"/>
      <c r="J782" s="92"/>
      <c r="K782" s="98"/>
      <c r="L782" s="92"/>
      <c r="N782" s="92"/>
      <c r="O782" s="92"/>
      <c r="P782" s="92"/>
    </row>
    <row r="783">
      <c r="A783" s="28"/>
      <c r="B783" s="97"/>
      <c r="C783" s="121" t="str">
        <f t="array" ref="C783">ifs(and(isblank($A783),isblank($B783)),"", not(iserror(vlookup($A783&amp;$B783,'3) Release_Label'!$D:$D&amp;'3) Release_Label'!$E:$E,1,0))),vlookup($A783&amp;$B783,{'3) Release_Label'!$D:$D&amp;'3) Release_Label'!$E:$E,'3) Release_Label'!$F:$F},2,0), or(and(not(isblank($B783)),$B783=$B782,$A783&lt;&gt;$A782),and(not(isblank($A783)),$A783=$A782,$B783&lt;&gt;$B782)),"ID LISTS UNALIGNED",and($A783&lt;&gt;"",countif('3) Release_Label'!$D:$D,$A783)=0),"NO UPC MATCH in Release_Label",and($B783&lt;&gt;"",countif('3) Release_Label'!$E:$E,$B783)=0),"NO CATALOG ID MATCH in Release_Label",iserror(vlookup($A783&amp;$B783,'3) Release_Label'!$D:$D&amp;'3) Release_Label'!$E:$E,1,0)),"NO UPC-CATALOG ID pair MATCH in Release_Label" )</f>
        <v/>
      </c>
      <c r="D783" s="121" t="str">
        <f t="array" ref="D783">ifs(and(isblank($A783),isblank($B783)),"", not(iserror(vlookup($A783&amp;$B783,'3) Release_Label'!$D:$D&amp;'3) Release_Label'!$E:$E,1,0))),vlookup($A783&amp;$B783,{'3) Release_Label'!$D:$D&amp;'3) Release_Label'!$E:$E,'3) Release_Label'!$H:$H},2,0), or(and(not(isblank($B783)),$B783=$B782,$A783&lt;&gt;$A782),and(not(isblank($A783)),$A783=$A782,$B783&lt;&gt;$B782)),"ID LISTS UNALIGNED",and($A783&lt;&gt;"",countif('3) Release_Label'!$D:$D,$A783)=0),"NO UPC MATCH in Release_Label",and($B783&lt;&gt;"",countif('3) Release_Label'!$E:$E,$B783)=0),"NO CATALOG ID MATCH in Release_Label",iserror(vlookup($A783&amp;$B783,'3) Release_Label'!$D:$D&amp;'3) Release_Label'!$E:$E,1,0)),"NO UPC-CATALOG ID pair MATCH in Release_Label" )</f>
        <v/>
      </c>
      <c r="E783" s="147" t="str">
        <f t="shared" si="1"/>
        <v/>
      </c>
      <c r="G783" s="97"/>
      <c r="H783" s="155"/>
      <c r="J783" s="92"/>
      <c r="K783" s="98"/>
      <c r="L783" s="92"/>
      <c r="N783" s="92"/>
      <c r="O783" s="92"/>
      <c r="P783" s="92"/>
    </row>
    <row r="784">
      <c r="A784" s="28"/>
      <c r="B784" s="97"/>
      <c r="C784" s="121" t="str">
        <f t="array" ref="C784">ifs(and(isblank($A784),isblank($B784)),"", not(iserror(vlookup($A784&amp;$B784,'3) Release_Label'!$D:$D&amp;'3) Release_Label'!$E:$E,1,0))),vlookup($A784&amp;$B784,{'3) Release_Label'!$D:$D&amp;'3) Release_Label'!$E:$E,'3) Release_Label'!$F:$F},2,0), or(and(not(isblank($B784)),$B784=$B783,$A784&lt;&gt;$A783),and(not(isblank($A784)),$A784=$A783,$B784&lt;&gt;$B783)),"ID LISTS UNALIGNED",and($A784&lt;&gt;"",countif('3) Release_Label'!$D:$D,$A784)=0),"NO UPC MATCH in Release_Label",and($B784&lt;&gt;"",countif('3) Release_Label'!$E:$E,$B784)=0),"NO CATALOG ID MATCH in Release_Label",iserror(vlookup($A784&amp;$B784,'3) Release_Label'!$D:$D&amp;'3) Release_Label'!$E:$E,1,0)),"NO UPC-CATALOG ID pair MATCH in Release_Label" )</f>
        <v/>
      </c>
      <c r="D784" s="121" t="str">
        <f t="array" ref="D784">ifs(and(isblank($A784),isblank($B784)),"", not(iserror(vlookup($A784&amp;$B784,'3) Release_Label'!$D:$D&amp;'3) Release_Label'!$E:$E,1,0))),vlookup($A784&amp;$B784,{'3) Release_Label'!$D:$D&amp;'3) Release_Label'!$E:$E,'3) Release_Label'!$H:$H},2,0), or(and(not(isblank($B784)),$B784=$B783,$A784&lt;&gt;$A783),and(not(isblank($A784)),$A784=$A783,$B784&lt;&gt;$B783)),"ID LISTS UNALIGNED",and($A784&lt;&gt;"",countif('3) Release_Label'!$D:$D,$A784)=0),"NO UPC MATCH in Release_Label",and($B784&lt;&gt;"",countif('3) Release_Label'!$E:$E,$B784)=0),"NO CATALOG ID MATCH in Release_Label",iserror(vlookup($A784&amp;$B784,'3) Release_Label'!$D:$D&amp;'3) Release_Label'!$E:$E,1,0)),"NO UPC-CATALOG ID pair MATCH in Release_Label" )</f>
        <v/>
      </c>
      <c r="E784" s="147" t="str">
        <f t="shared" si="1"/>
        <v/>
      </c>
      <c r="G784" s="97"/>
      <c r="H784" s="155"/>
      <c r="J784" s="92"/>
      <c r="K784" s="98"/>
      <c r="L784" s="92"/>
      <c r="N784" s="92"/>
      <c r="O784" s="92"/>
      <c r="P784" s="92"/>
    </row>
    <row r="785">
      <c r="A785" s="28"/>
      <c r="B785" s="97"/>
      <c r="C785" s="121" t="str">
        <f t="array" ref="C785">ifs(and(isblank($A785),isblank($B785)),"", not(iserror(vlookup($A785&amp;$B785,'3) Release_Label'!$D:$D&amp;'3) Release_Label'!$E:$E,1,0))),vlookup($A785&amp;$B785,{'3) Release_Label'!$D:$D&amp;'3) Release_Label'!$E:$E,'3) Release_Label'!$F:$F},2,0), or(and(not(isblank($B785)),$B785=$B784,$A785&lt;&gt;$A784),and(not(isblank($A785)),$A785=$A784,$B785&lt;&gt;$B784)),"ID LISTS UNALIGNED",and($A785&lt;&gt;"",countif('3) Release_Label'!$D:$D,$A785)=0),"NO UPC MATCH in Release_Label",and($B785&lt;&gt;"",countif('3) Release_Label'!$E:$E,$B785)=0),"NO CATALOG ID MATCH in Release_Label",iserror(vlookup($A785&amp;$B785,'3) Release_Label'!$D:$D&amp;'3) Release_Label'!$E:$E,1,0)),"NO UPC-CATALOG ID pair MATCH in Release_Label" )</f>
        <v/>
      </c>
      <c r="D785" s="121" t="str">
        <f t="array" ref="D785">ifs(and(isblank($A785),isblank($B785)),"", not(iserror(vlookup($A785&amp;$B785,'3) Release_Label'!$D:$D&amp;'3) Release_Label'!$E:$E,1,0))),vlookup($A785&amp;$B785,{'3) Release_Label'!$D:$D&amp;'3) Release_Label'!$E:$E,'3) Release_Label'!$H:$H},2,0), or(and(not(isblank($B785)),$B785=$B784,$A785&lt;&gt;$A784),and(not(isblank($A785)),$A785=$A784,$B785&lt;&gt;$B784)),"ID LISTS UNALIGNED",and($A785&lt;&gt;"",countif('3) Release_Label'!$D:$D,$A785)=0),"NO UPC MATCH in Release_Label",and($B785&lt;&gt;"",countif('3) Release_Label'!$E:$E,$B785)=0),"NO CATALOG ID MATCH in Release_Label",iserror(vlookup($A785&amp;$B785,'3) Release_Label'!$D:$D&amp;'3) Release_Label'!$E:$E,1,0)),"NO UPC-CATALOG ID pair MATCH in Release_Label" )</f>
        <v/>
      </c>
      <c r="E785" s="147" t="str">
        <f t="shared" si="1"/>
        <v/>
      </c>
      <c r="G785" s="97"/>
      <c r="H785" s="155"/>
      <c r="J785" s="92"/>
      <c r="K785" s="98"/>
      <c r="L785" s="92"/>
      <c r="N785" s="92"/>
      <c r="O785" s="92"/>
      <c r="P785" s="92"/>
    </row>
    <row r="786">
      <c r="A786" s="28"/>
      <c r="B786" s="97"/>
      <c r="C786" s="121" t="str">
        <f t="array" ref="C786">ifs(and(isblank($A786),isblank($B786)),"", not(iserror(vlookup($A786&amp;$B786,'3) Release_Label'!$D:$D&amp;'3) Release_Label'!$E:$E,1,0))),vlookup($A786&amp;$B786,{'3) Release_Label'!$D:$D&amp;'3) Release_Label'!$E:$E,'3) Release_Label'!$F:$F},2,0), or(and(not(isblank($B786)),$B786=$B785,$A786&lt;&gt;$A785),and(not(isblank($A786)),$A786=$A785,$B786&lt;&gt;$B785)),"ID LISTS UNALIGNED",and($A786&lt;&gt;"",countif('3) Release_Label'!$D:$D,$A786)=0),"NO UPC MATCH in Release_Label",and($B786&lt;&gt;"",countif('3) Release_Label'!$E:$E,$B786)=0),"NO CATALOG ID MATCH in Release_Label",iserror(vlookup($A786&amp;$B786,'3) Release_Label'!$D:$D&amp;'3) Release_Label'!$E:$E,1,0)),"NO UPC-CATALOG ID pair MATCH in Release_Label" )</f>
        <v/>
      </c>
      <c r="D786" s="121" t="str">
        <f t="array" ref="D786">ifs(and(isblank($A786),isblank($B786)),"", not(iserror(vlookup($A786&amp;$B786,'3) Release_Label'!$D:$D&amp;'3) Release_Label'!$E:$E,1,0))),vlookup($A786&amp;$B786,{'3) Release_Label'!$D:$D&amp;'3) Release_Label'!$E:$E,'3) Release_Label'!$H:$H},2,0), or(and(not(isblank($B786)),$B786=$B785,$A786&lt;&gt;$A785),and(not(isblank($A786)),$A786=$A785,$B786&lt;&gt;$B785)),"ID LISTS UNALIGNED",and($A786&lt;&gt;"",countif('3) Release_Label'!$D:$D,$A786)=0),"NO UPC MATCH in Release_Label",and($B786&lt;&gt;"",countif('3) Release_Label'!$E:$E,$B786)=0),"NO CATALOG ID MATCH in Release_Label",iserror(vlookup($A786&amp;$B786,'3) Release_Label'!$D:$D&amp;'3) Release_Label'!$E:$E,1,0)),"NO UPC-CATALOG ID pair MATCH in Release_Label" )</f>
        <v/>
      </c>
      <c r="E786" s="147" t="str">
        <f t="shared" si="1"/>
        <v/>
      </c>
      <c r="G786" s="97"/>
      <c r="H786" s="155"/>
      <c r="J786" s="92"/>
      <c r="K786" s="98"/>
      <c r="L786" s="92"/>
      <c r="N786" s="92"/>
      <c r="O786" s="92"/>
      <c r="P786" s="92"/>
    </row>
    <row r="787">
      <c r="A787" s="28"/>
      <c r="B787" s="97"/>
      <c r="C787" s="121" t="str">
        <f t="array" ref="C787">ifs(and(isblank($A787),isblank($B787)),"", not(iserror(vlookup($A787&amp;$B787,'3) Release_Label'!$D:$D&amp;'3) Release_Label'!$E:$E,1,0))),vlookup($A787&amp;$B787,{'3) Release_Label'!$D:$D&amp;'3) Release_Label'!$E:$E,'3) Release_Label'!$F:$F},2,0), or(and(not(isblank($B787)),$B787=$B786,$A787&lt;&gt;$A786),and(not(isblank($A787)),$A787=$A786,$B787&lt;&gt;$B786)),"ID LISTS UNALIGNED",and($A787&lt;&gt;"",countif('3) Release_Label'!$D:$D,$A787)=0),"NO UPC MATCH in Release_Label",and($B787&lt;&gt;"",countif('3) Release_Label'!$E:$E,$B787)=0),"NO CATALOG ID MATCH in Release_Label",iserror(vlookup($A787&amp;$B787,'3) Release_Label'!$D:$D&amp;'3) Release_Label'!$E:$E,1,0)),"NO UPC-CATALOG ID pair MATCH in Release_Label" )</f>
        <v/>
      </c>
      <c r="D787" s="121" t="str">
        <f t="array" ref="D787">ifs(and(isblank($A787),isblank($B787)),"", not(iserror(vlookup($A787&amp;$B787,'3) Release_Label'!$D:$D&amp;'3) Release_Label'!$E:$E,1,0))),vlookup($A787&amp;$B787,{'3) Release_Label'!$D:$D&amp;'3) Release_Label'!$E:$E,'3) Release_Label'!$H:$H},2,0), or(and(not(isblank($B787)),$B787=$B786,$A787&lt;&gt;$A786),and(not(isblank($A787)),$A787=$A786,$B787&lt;&gt;$B786)),"ID LISTS UNALIGNED",and($A787&lt;&gt;"",countif('3) Release_Label'!$D:$D,$A787)=0),"NO UPC MATCH in Release_Label",and($B787&lt;&gt;"",countif('3) Release_Label'!$E:$E,$B787)=0),"NO CATALOG ID MATCH in Release_Label",iserror(vlookup($A787&amp;$B787,'3) Release_Label'!$D:$D&amp;'3) Release_Label'!$E:$E,1,0)),"NO UPC-CATALOG ID pair MATCH in Release_Label" )</f>
        <v/>
      </c>
      <c r="E787" s="147" t="str">
        <f t="shared" si="1"/>
        <v/>
      </c>
      <c r="G787" s="97"/>
      <c r="H787" s="155"/>
      <c r="J787" s="92"/>
      <c r="K787" s="98"/>
      <c r="L787" s="92"/>
      <c r="N787" s="92"/>
      <c r="O787" s="92"/>
      <c r="P787" s="92"/>
    </row>
    <row r="788">
      <c r="A788" s="28"/>
      <c r="B788" s="97"/>
      <c r="C788" s="121" t="str">
        <f t="array" ref="C788">ifs(and(isblank($A788),isblank($B788)),"", not(iserror(vlookup($A788&amp;$B788,'3) Release_Label'!$D:$D&amp;'3) Release_Label'!$E:$E,1,0))),vlookup($A788&amp;$B788,{'3) Release_Label'!$D:$D&amp;'3) Release_Label'!$E:$E,'3) Release_Label'!$F:$F},2,0), or(and(not(isblank($B788)),$B788=$B787,$A788&lt;&gt;$A787),and(not(isblank($A788)),$A788=$A787,$B788&lt;&gt;$B787)),"ID LISTS UNALIGNED",and($A788&lt;&gt;"",countif('3) Release_Label'!$D:$D,$A788)=0),"NO UPC MATCH in Release_Label",and($B788&lt;&gt;"",countif('3) Release_Label'!$E:$E,$B788)=0),"NO CATALOG ID MATCH in Release_Label",iserror(vlookup($A788&amp;$B788,'3) Release_Label'!$D:$D&amp;'3) Release_Label'!$E:$E,1,0)),"NO UPC-CATALOG ID pair MATCH in Release_Label" )</f>
        <v/>
      </c>
      <c r="D788" s="121" t="str">
        <f t="array" ref="D788">ifs(and(isblank($A788),isblank($B788)),"", not(iserror(vlookup($A788&amp;$B788,'3) Release_Label'!$D:$D&amp;'3) Release_Label'!$E:$E,1,0))),vlookup($A788&amp;$B788,{'3) Release_Label'!$D:$D&amp;'3) Release_Label'!$E:$E,'3) Release_Label'!$H:$H},2,0), or(and(not(isblank($B788)),$B788=$B787,$A788&lt;&gt;$A787),and(not(isblank($A788)),$A788=$A787,$B788&lt;&gt;$B787)),"ID LISTS UNALIGNED",and($A788&lt;&gt;"",countif('3) Release_Label'!$D:$D,$A788)=0),"NO UPC MATCH in Release_Label",and($B788&lt;&gt;"",countif('3) Release_Label'!$E:$E,$B788)=0),"NO CATALOG ID MATCH in Release_Label",iserror(vlookup($A788&amp;$B788,'3) Release_Label'!$D:$D&amp;'3) Release_Label'!$E:$E,1,0)),"NO UPC-CATALOG ID pair MATCH in Release_Label" )</f>
        <v/>
      </c>
      <c r="E788" s="147" t="str">
        <f t="shared" si="1"/>
        <v/>
      </c>
      <c r="G788" s="97"/>
      <c r="H788" s="155"/>
      <c r="J788" s="92"/>
      <c r="K788" s="98"/>
      <c r="L788" s="92"/>
      <c r="N788" s="92"/>
      <c r="O788" s="92"/>
      <c r="P788" s="92"/>
    </row>
    <row r="789">
      <c r="A789" s="28"/>
      <c r="B789" s="97"/>
      <c r="C789" s="121" t="str">
        <f t="array" ref="C789">ifs(and(isblank($A789),isblank($B789)),"", not(iserror(vlookup($A789&amp;$B789,'3) Release_Label'!$D:$D&amp;'3) Release_Label'!$E:$E,1,0))),vlookup($A789&amp;$B789,{'3) Release_Label'!$D:$D&amp;'3) Release_Label'!$E:$E,'3) Release_Label'!$F:$F},2,0), or(and(not(isblank($B789)),$B789=$B788,$A789&lt;&gt;$A788),and(not(isblank($A789)),$A789=$A788,$B789&lt;&gt;$B788)),"ID LISTS UNALIGNED",and($A789&lt;&gt;"",countif('3) Release_Label'!$D:$D,$A789)=0),"NO UPC MATCH in Release_Label",and($B789&lt;&gt;"",countif('3) Release_Label'!$E:$E,$B789)=0),"NO CATALOG ID MATCH in Release_Label",iserror(vlookup($A789&amp;$B789,'3) Release_Label'!$D:$D&amp;'3) Release_Label'!$E:$E,1,0)),"NO UPC-CATALOG ID pair MATCH in Release_Label" )</f>
        <v/>
      </c>
      <c r="D789" s="121" t="str">
        <f t="array" ref="D789">ifs(and(isblank($A789),isblank($B789)),"", not(iserror(vlookup($A789&amp;$B789,'3) Release_Label'!$D:$D&amp;'3) Release_Label'!$E:$E,1,0))),vlookup($A789&amp;$B789,{'3) Release_Label'!$D:$D&amp;'3) Release_Label'!$E:$E,'3) Release_Label'!$H:$H},2,0), or(and(not(isblank($B789)),$B789=$B788,$A789&lt;&gt;$A788),and(not(isblank($A789)),$A789=$A788,$B789&lt;&gt;$B788)),"ID LISTS UNALIGNED",and($A789&lt;&gt;"",countif('3) Release_Label'!$D:$D,$A789)=0),"NO UPC MATCH in Release_Label",and($B789&lt;&gt;"",countif('3) Release_Label'!$E:$E,$B789)=0),"NO CATALOG ID MATCH in Release_Label",iserror(vlookup($A789&amp;$B789,'3) Release_Label'!$D:$D&amp;'3) Release_Label'!$E:$E,1,0)),"NO UPC-CATALOG ID pair MATCH in Release_Label" )</f>
        <v/>
      </c>
      <c r="E789" s="147" t="str">
        <f t="shared" si="1"/>
        <v/>
      </c>
      <c r="G789" s="97"/>
      <c r="H789" s="155"/>
      <c r="J789" s="92"/>
      <c r="K789" s="98"/>
      <c r="L789" s="92"/>
      <c r="N789" s="92"/>
      <c r="O789" s="92"/>
      <c r="P789" s="92"/>
    </row>
    <row r="790">
      <c r="A790" s="28"/>
      <c r="B790" s="97"/>
      <c r="C790" s="121" t="str">
        <f t="array" ref="C790">ifs(and(isblank($A790),isblank($B790)),"", not(iserror(vlookup($A790&amp;$B790,'3) Release_Label'!$D:$D&amp;'3) Release_Label'!$E:$E,1,0))),vlookup($A790&amp;$B790,{'3) Release_Label'!$D:$D&amp;'3) Release_Label'!$E:$E,'3) Release_Label'!$F:$F},2,0), or(and(not(isblank($B790)),$B790=$B789,$A790&lt;&gt;$A789),and(not(isblank($A790)),$A790=$A789,$B790&lt;&gt;$B789)),"ID LISTS UNALIGNED",and($A790&lt;&gt;"",countif('3) Release_Label'!$D:$D,$A790)=0),"NO UPC MATCH in Release_Label",and($B790&lt;&gt;"",countif('3) Release_Label'!$E:$E,$B790)=0),"NO CATALOG ID MATCH in Release_Label",iserror(vlookup($A790&amp;$B790,'3) Release_Label'!$D:$D&amp;'3) Release_Label'!$E:$E,1,0)),"NO UPC-CATALOG ID pair MATCH in Release_Label" )</f>
        <v/>
      </c>
      <c r="D790" s="121" t="str">
        <f t="array" ref="D790">ifs(and(isblank($A790),isblank($B790)),"", not(iserror(vlookup($A790&amp;$B790,'3) Release_Label'!$D:$D&amp;'3) Release_Label'!$E:$E,1,0))),vlookup($A790&amp;$B790,{'3) Release_Label'!$D:$D&amp;'3) Release_Label'!$E:$E,'3) Release_Label'!$H:$H},2,0), or(and(not(isblank($B790)),$B790=$B789,$A790&lt;&gt;$A789),and(not(isblank($A790)),$A790=$A789,$B790&lt;&gt;$B789)),"ID LISTS UNALIGNED",and($A790&lt;&gt;"",countif('3) Release_Label'!$D:$D,$A790)=0),"NO UPC MATCH in Release_Label",and($B790&lt;&gt;"",countif('3) Release_Label'!$E:$E,$B790)=0),"NO CATALOG ID MATCH in Release_Label",iserror(vlookup($A790&amp;$B790,'3) Release_Label'!$D:$D&amp;'3) Release_Label'!$E:$E,1,0)),"NO UPC-CATALOG ID pair MATCH in Release_Label" )</f>
        <v/>
      </c>
      <c r="E790" s="147" t="str">
        <f t="shared" si="1"/>
        <v/>
      </c>
      <c r="G790" s="97"/>
      <c r="H790" s="155"/>
      <c r="J790" s="92"/>
      <c r="K790" s="98"/>
      <c r="L790" s="92"/>
      <c r="N790" s="92"/>
      <c r="O790" s="92"/>
      <c r="P790" s="92"/>
    </row>
    <row r="791">
      <c r="A791" s="28"/>
      <c r="B791" s="97"/>
      <c r="C791" s="121" t="str">
        <f t="array" ref="C791">ifs(and(isblank($A791),isblank($B791)),"", not(iserror(vlookup($A791&amp;$B791,'3) Release_Label'!$D:$D&amp;'3) Release_Label'!$E:$E,1,0))),vlookup($A791&amp;$B791,{'3) Release_Label'!$D:$D&amp;'3) Release_Label'!$E:$E,'3) Release_Label'!$F:$F},2,0), or(and(not(isblank($B791)),$B791=$B790,$A791&lt;&gt;$A790),and(not(isblank($A791)),$A791=$A790,$B791&lt;&gt;$B790)),"ID LISTS UNALIGNED",and($A791&lt;&gt;"",countif('3) Release_Label'!$D:$D,$A791)=0),"NO UPC MATCH in Release_Label",and($B791&lt;&gt;"",countif('3) Release_Label'!$E:$E,$B791)=0),"NO CATALOG ID MATCH in Release_Label",iserror(vlookup($A791&amp;$B791,'3) Release_Label'!$D:$D&amp;'3) Release_Label'!$E:$E,1,0)),"NO UPC-CATALOG ID pair MATCH in Release_Label" )</f>
        <v/>
      </c>
      <c r="D791" s="121" t="str">
        <f t="array" ref="D791">ifs(and(isblank($A791),isblank($B791)),"", not(iserror(vlookup($A791&amp;$B791,'3) Release_Label'!$D:$D&amp;'3) Release_Label'!$E:$E,1,0))),vlookup($A791&amp;$B791,{'3) Release_Label'!$D:$D&amp;'3) Release_Label'!$E:$E,'3) Release_Label'!$H:$H},2,0), or(and(not(isblank($B791)),$B791=$B790,$A791&lt;&gt;$A790),and(not(isblank($A791)),$A791=$A790,$B791&lt;&gt;$B790)),"ID LISTS UNALIGNED",and($A791&lt;&gt;"",countif('3) Release_Label'!$D:$D,$A791)=0),"NO UPC MATCH in Release_Label",and($B791&lt;&gt;"",countif('3) Release_Label'!$E:$E,$B791)=0),"NO CATALOG ID MATCH in Release_Label",iserror(vlookup($A791&amp;$B791,'3) Release_Label'!$D:$D&amp;'3) Release_Label'!$E:$E,1,0)),"NO UPC-CATALOG ID pair MATCH in Release_Label" )</f>
        <v/>
      </c>
      <c r="E791" s="147" t="str">
        <f t="shared" si="1"/>
        <v/>
      </c>
      <c r="G791" s="97"/>
      <c r="H791" s="155"/>
      <c r="J791" s="92"/>
      <c r="K791" s="98"/>
      <c r="L791" s="92"/>
      <c r="N791" s="92"/>
      <c r="O791" s="92"/>
      <c r="P791" s="92"/>
    </row>
    <row r="792">
      <c r="A792" s="28"/>
      <c r="B792" s="97"/>
      <c r="C792" s="121" t="str">
        <f t="array" ref="C792">ifs(and(isblank($A792),isblank($B792)),"", not(iserror(vlookup($A792&amp;$B792,'3) Release_Label'!$D:$D&amp;'3) Release_Label'!$E:$E,1,0))),vlookup($A792&amp;$B792,{'3) Release_Label'!$D:$D&amp;'3) Release_Label'!$E:$E,'3) Release_Label'!$F:$F},2,0), or(and(not(isblank($B792)),$B792=$B791,$A792&lt;&gt;$A791),and(not(isblank($A792)),$A792=$A791,$B792&lt;&gt;$B791)),"ID LISTS UNALIGNED",and($A792&lt;&gt;"",countif('3) Release_Label'!$D:$D,$A792)=0),"NO UPC MATCH in Release_Label",and($B792&lt;&gt;"",countif('3) Release_Label'!$E:$E,$B792)=0),"NO CATALOG ID MATCH in Release_Label",iserror(vlookup($A792&amp;$B792,'3) Release_Label'!$D:$D&amp;'3) Release_Label'!$E:$E,1,0)),"NO UPC-CATALOG ID pair MATCH in Release_Label" )</f>
        <v/>
      </c>
      <c r="D792" s="121" t="str">
        <f t="array" ref="D792">ifs(and(isblank($A792),isblank($B792)),"", not(iserror(vlookup($A792&amp;$B792,'3) Release_Label'!$D:$D&amp;'3) Release_Label'!$E:$E,1,0))),vlookup($A792&amp;$B792,{'3) Release_Label'!$D:$D&amp;'3) Release_Label'!$E:$E,'3) Release_Label'!$H:$H},2,0), or(and(not(isblank($B792)),$B792=$B791,$A792&lt;&gt;$A791),and(not(isblank($A792)),$A792=$A791,$B792&lt;&gt;$B791)),"ID LISTS UNALIGNED",and($A792&lt;&gt;"",countif('3) Release_Label'!$D:$D,$A792)=0),"NO UPC MATCH in Release_Label",and($B792&lt;&gt;"",countif('3) Release_Label'!$E:$E,$B792)=0),"NO CATALOG ID MATCH in Release_Label",iserror(vlookup($A792&amp;$B792,'3) Release_Label'!$D:$D&amp;'3) Release_Label'!$E:$E,1,0)),"NO UPC-CATALOG ID pair MATCH in Release_Label" )</f>
        <v/>
      </c>
      <c r="E792" s="147" t="str">
        <f t="shared" si="1"/>
        <v/>
      </c>
      <c r="G792" s="97"/>
      <c r="H792" s="155"/>
      <c r="J792" s="92"/>
      <c r="K792" s="98"/>
      <c r="L792" s="92"/>
      <c r="N792" s="92"/>
      <c r="O792" s="92"/>
      <c r="P792" s="92"/>
    </row>
    <row r="793">
      <c r="A793" s="28"/>
      <c r="B793" s="97"/>
      <c r="C793" s="121" t="str">
        <f t="array" ref="C793">ifs(and(isblank($A793),isblank($B793)),"", not(iserror(vlookup($A793&amp;$B793,'3) Release_Label'!$D:$D&amp;'3) Release_Label'!$E:$E,1,0))),vlookup($A793&amp;$B793,{'3) Release_Label'!$D:$D&amp;'3) Release_Label'!$E:$E,'3) Release_Label'!$F:$F},2,0), or(and(not(isblank($B793)),$B793=$B792,$A793&lt;&gt;$A792),and(not(isblank($A793)),$A793=$A792,$B793&lt;&gt;$B792)),"ID LISTS UNALIGNED",and($A793&lt;&gt;"",countif('3) Release_Label'!$D:$D,$A793)=0),"NO UPC MATCH in Release_Label",and($B793&lt;&gt;"",countif('3) Release_Label'!$E:$E,$B793)=0),"NO CATALOG ID MATCH in Release_Label",iserror(vlookup($A793&amp;$B793,'3) Release_Label'!$D:$D&amp;'3) Release_Label'!$E:$E,1,0)),"NO UPC-CATALOG ID pair MATCH in Release_Label" )</f>
        <v/>
      </c>
      <c r="D793" s="121" t="str">
        <f t="array" ref="D793">ifs(and(isblank($A793),isblank($B793)),"", not(iserror(vlookup($A793&amp;$B793,'3) Release_Label'!$D:$D&amp;'3) Release_Label'!$E:$E,1,0))),vlookup($A793&amp;$B793,{'3) Release_Label'!$D:$D&amp;'3) Release_Label'!$E:$E,'3) Release_Label'!$H:$H},2,0), or(and(not(isblank($B793)),$B793=$B792,$A793&lt;&gt;$A792),and(not(isblank($A793)),$A793=$A792,$B793&lt;&gt;$B792)),"ID LISTS UNALIGNED",and($A793&lt;&gt;"",countif('3) Release_Label'!$D:$D,$A793)=0),"NO UPC MATCH in Release_Label",and($B793&lt;&gt;"",countif('3) Release_Label'!$E:$E,$B793)=0),"NO CATALOG ID MATCH in Release_Label",iserror(vlookup($A793&amp;$B793,'3) Release_Label'!$D:$D&amp;'3) Release_Label'!$E:$E,1,0)),"NO UPC-CATALOG ID pair MATCH in Release_Label" )</f>
        <v/>
      </c>
      <c r="E793" s="147" t="str">
        <f t="shared" si="1"/>
        <v/>
      </c>
      <c r="G793" s="97"/>
      <c r="H793" s="155"/>
      <c r="J793" s="92"/>
      <c r="K793" s="98"/>
      <c r="L793" s="92"/>
      <c r="N793" s="92"/>
      <c r="O793" s="92"/>
      <c r="P793" s="92"/>
    </row>
    <row r="794">
      <c r="A794" s="28"/>
      <c r="B794" s="97"/>
      <c r="C794" s="121" t="str">
        <f t="array" ref="C794">ifs(and(isblank($A794),isblank($B794)),"", not(iserror(vlookup($A794&amp;$B794,'3) Release_Label'!$D:$D&amp;'3) Release_Label'!$E:$E,1,0))),vlookup($A794&amp;$B794,{'3) Release_Label'!$D:$D&amp;'3) Release_Label'!$E:$E,'3) Release_Label'!$F:$F},2,0), or(and(not(isblank($B794)),$B794=$B793,$A794&lt;&gt;$A793),and(not(isblank($A794)),$A794=$A793,$B794&lt;&gt;$B793)),"ID LISTS UNALIGNED",and($A794&lt;&gt;"",countif('3) Release_Label'!$D:$D,$A794)=0),"NO UPC MATCH in Release_Label",and($B794&lt;&gt;"",countif('3) Release_Label'!$E:$E,$B794)=0),"NO CATALOG ID MATCH in Release_Label",iserror(vlookup($A794&amp;$B794,'3) Release_Label'!$D:$D&amp;'3) Release_Label'!$E:$E,1,0)),"NO UPC-CATALOG ID pair MATCH in Release_Label" )</f>
        <v/>
      </c>
      <c r="D794" s="121" t="str">
        <f t="array" ref="D794">ifs(and(isblank($A794),isblank($B794)),"", not(iserror(vlookup($A794&amp;$B794,'3) Release_Label'!$D:$D&amp;'3) Release_Label'!$E:$E,1,0))),vlookup($A794&amp;$B794,{'3) Release_Label'!$D:$D&amp;'3) Release_Label'!$E:$E,'3) Release_Label'!$H:$H},2,0), or(and(not(isblank($B794)),$B794=$B793,$A794&lt;&gt;$A793),and(not(isblank($A794)),$A794=$A793,$B794&lt;&gt;$B793)),"ID LISTS UNALIGNED",and($A794&lt;&gt;"",countif('3) Release_Label'!$D:$D,$A794)=0),"NO UPC MATCH in Release_Label",and($B794&lt;&gt;"",countif('3) Release_Label'!$E:$E,$B794)=0),"NO CATALOG ID MATCH in Release_Label",iserror(vlookup($A794&amp;$B794,'3) Release_Label'!$D:$D&amp;'3) Release_Label'!$E:$E,1,0)),"NO UPC-CATALOG ID pair MATCH in Release_Label" )</f>
        <v/>
      </c>
      <c r="E794" s="147" t="str">
        <f t="shared" si="1"/>
        <v/>
      </c>
      <c r="G794" s="97"/>
      <c r="H794" s="155"/>
      <c r="J794" s="92"/>
      <c r="K794" s="98"/>
      <c r="L794" s="92"/>
      <c r="N794" s="92"/>
      <c r="O794" s="92"/>
      <c r="P794" s="92"/>
    </row>
    <row r="795">
      <c r="A795" s="28"/>
      <c r="B795" s="97"/>
      <c r="C795" s="121" t="str">
        <f t="array" ref="C795">ifs(and(isblank($A795),isblank($B795)),"", not(iserror(vlookup($A795&amp;$B795,'3) Release_Label'!$D:$D&amp;'3) Release_Label'!$E:$E,1,0))),vlookup($A795&amp;$B795,{'3) Release_Label'!$D:$D&amp;'3) Release_Label'!$E:$E,'3) Release_Label'!$F:$F},2,0), or(and(not(isblank($B795)),$B795=$B794,$A795&lt;&gt;$A794),and(not(isblank($A795)),$A795=$A794,$B795&lt;&gt;$B794)),"ID LISTS UNALIGNED",and($A795&lt;&gt;"",countif('3) Release_Label'!$D:$D,$A795)=0),"NO UPC MATCH in Release_Label",and($B795&lt;&gt;"",countif('3) Release_Label'!$E:$E,$B795)=0),"NO CATALOG ID MATCH in Release_Label",iserror(vlookup($A795&amp;$B795,'3) Release_Label'!$D:$D&amp;'3) Release_Label'!$E:$E,1,0)),"NO UPC-CATALOG ID pair MATCH in Release_Label" )</f>
        <v/>
      </c>
      <c r="D795" s="121" t="str">
        <f t="array" ref="D795">ifs(and(isblank($A795),isblank($B795)),"", not(iserror(vlookup($A795&amp;$B795,'3) Release_Label'!$D:$D&amp;'3) Release_Label'!$E:$E,1,0))),vlookup($A795&amp;$B795,{'3) Release_Label'!$D:$D&amp;'3) Release_Label'!$E:$E,'3) Release_Label'!$H:$H},2,0), or(and(not(isblank($B795)),$B795=$B794,$A795&lt;&gt;$A794),and(not(isblank($A795)),$A795=$A794,$B795&lt;&gt;$B794)),"ID LISTS UNALIGNED",and($A795&lt;&gt;"",countif('3) Release_Label'!$D:$D,$A795)=0),"NO UPC MATCH in Release_Label",and($B795&lt;&gt;"",countif('3) Release_Label'!$E:$E,$B795)=0),"NO CATALOG ID MATCH in Release_Label",iserror(vlookup($A795&amp;$B795,'3) Release_Label'!$D:$D&amp;'3) Release_Label'!$E:$E,1,0)),"NO UPC-CATALOG ID pair MATCH in Release_Label" )</f>
        <v/>
      </c>
      <c r="E795" s="147" t="str">
        <f t="shared" si="1"/>
        <v/>
      </c>
      <c r="G795" s="97"/>
      <c r="H795" s="155"/>
      <c r="J795" s="92"/>
      <c r="K795" s="98"/>
      <c r="L795" s="92"/>
      <c r="N795" s="92"/>
      <c r="O795" s="92"/>
      <c r="P795" s="92"/>
    </row>
    <row r="796">
      <c r="A796" s="28"/>
      <c r="B796" s="97"/>
      <c r="C796" s="121" t="str">
        <f t="array" ref="C796">ifs(and(isblank($A796),isblank($B796)),"", not(iserror(vlookup($A796&amp;$B796,'3) Release_Label'!$D:$D&amp;'3) Release_Label'!$E:$E,1,0))),vlookup($A796&amp;$B796,{'3) Release_Label'!$D:$D&amp;'3) Release_Label'!$E:$E,'3) Release_Label'!$F:$F},2,0), or(and(not(isblank($B796)),$B796=$B795,$A796&lt;&gt;$A795),and(not(isblank($A796)),$A796=$A795,$B796&lt;&gt;$B795)),"ID LISTS UNALIGNED",and($A796&lt;&gt;"",countif('3) Release_Label'!$D:$D,$A796)=0),"NO UPC MATCH in Release_Label",and($B796&lt;&gt;"",countif('3) Release_Label'!$E:$E,$B796)=0),"NO CATALOG ID MATCH in Release_Label",iserror(vlookup($A796&amp;$B796,'3) Release_Label'!$D:$D&amp;'3) Release_Label'!$E:$E,1,0)),"NO UPC-CATALOG ID pair MATCH in Release_Label" )</f>
        <v/>
      </c>
      <c r="D796" s="121" t="str">
        <f t="array" ref="D796">ifs(and(isblank($A796),isblank($B796)),"", not(iserror(vlookup($A796&amp;$B796,'3) Release_Label'!$D:$D&amp;'3) Release_Label'!$E:$E,1,0))),vlookup($A796&amp;$B796,{'3) Release_Label'!$D:$D&amp;'3) Release_Label'!$E:$E,'3) Release_Label'!$H:$H},2,0), or(and(not(isblank($B796)),$B796=$B795,$A796&lt;&gt;$A795),and(not(isblank($A796)),$A796=$A795,$B796&lt;&gt;$B795)),"ID LISTS UNALIGNED",and($A796&lt;&gt;"",countif('3) Release_Label'!$D:$D,$A796)=0),"NO UPC MATCH in Release_Label",and($B796&lt;&gt;"",countif('3) Release_Label'!$E:$E,$B796)=0),"NO CATALOG ID MATCH in Release_Label",iserror(vlookup($A796&amp;$B796,'3) Release_Label'!$D:$D&amp;'3) Release_Label'!$E:$E,1,0)),"NO UPC-CATALOG ID pair MATCH in Release_Label" )</f>
        <v/>
      </c>
      <c r="E796" s="147" t="str">
        <f t="shared" si="1"/>
        <v/>
      </c>
      <c r="G796" s="97"/>
      <c r="H796" s="155"/>
      <c r="J796" s="92"/>
      <c r="K796" s="98"/>
      <c r="L796" s="92"/>
      <c r="N796" s="92"/>
      <c r="O796" s="92"/>
      <c r="P796" s="92"/>
    </row>
    <row r="797">
      <c r="A797" s="28"/>
      <c r="B797" s="97"/>
      <c r="C797" s="121" t="str">
        <f t="array" ref="C797">ifs(and(isblank($A797),isblank($B797)),"", not(iserror(vlookup($A797&amp;$B797,'3) Release_Label'!$D:$D&amp;'3) Release_Label'!$E:$E,1,0))),vlookup($A797&amp;$B797,{'3) Release_Label'!$D:$D&amp;'3) Release_Label'!$E:$E,'3) Release_Label'!$F:$F},2,0), or(and(not(isblank($B797)),$B797=$B796,$A797&lt;&gt;$A796),and(not(isblank($A797)),$A797=$A796,$B797&lt;&gt;$B796)),"ID LISTS UNALIGNED",and($A797&lt;&gt;"",countif('3) Release_Label'!$D:$D,$A797)=0),"NO UPC MATCH in Release_Label",and($B797&lt;&gt;"",countif('3) Release_Label'!$E:$E,$B797)=0),"NO CATALOG ID MATCH in Release_Label",iserror(vlookup($A797&amp;$B797,'3) Release_Label'!$D:$D&amp;'3) Release_Label'!$E:$E,1,0)),"NO UPC-CATALOG ID pair MATCH in Release_Label" )</f>
        <v/>
      </c>
      <c r="D797" s="121" t="str">
        <f t="array" ref="D797">ifs(and(isblank($A797),isblank($B797)),"", not(iserror(vlookup($A797&amp;$B797,'3) Release_Label'!$D:$D&amp;'3) Release_Label'!$E:$E,1,0))),vlookup($A797&amp;$B797,{'3) Release_Label'!$D:$D&amp;'3) Release_Label'!$E:$E,'3) Release_Label'!$H:$H},2,0), or(and(not(isblank($B797)),$B797=$B796,$A797&lt;&gt;$A796),and(not(isblank($A797)),$A797=$A796,$B797&lt;&gt;$B796)),"ID LISTS UNALIGNED",and($A797&lt;&gt;"",countif('3) Release_Label'!$D:$D,$A797)=0),"NO UPC MATCH in Release_Label",and($B797&lt;&gt;"",countif('3) Release_Label'!$E:$E,$B797)=0),"NO CATALOG ID MATCH in Release_Label",iserror(vlookup($A797&amp;$B797,'3) Release_Label'!$D:$D&amp;'3) Release_Label'!$E:$E,1,0)),"NO UPC-CATALOG ID pair MATCH in Release_Label" )</f>
        <v/>
      </c>
      <c r="E797" s="147" t="str">
        <f t="shared" si="1"/>
        <v/>
      </c>
      <c r="G797" s="97"/>
      <c r="H797" s="155"/>
      <c r="J797" s="92"/>
      <c r="K797" s="98"/>
      <c r="L797" s="92"/>
      <c r="N797" s="92"/>
      <c r="O797" s="92"/>
      <c r="P797" s="92"/>
    </row>
    <row r="798">
      <c r="A798" s="28"/>
      <c r="B798" s="97"/>
      <c r="C798" s="121" t="str">
        <f t="array" ref="C798">ifs(and(isblank($A798),isblank($B798)),"", not(iserror(vlookup($A798&amp;$B798,'3) Release_Label'!$D:$D&amp;'3) Release_Label'!$E:$E,1,0))),vlookup($A798&amp;$B798,{'3) Release_Label'!$D:$D&amp;'3) Release_Label'!$E:$E,'3) Release_Label'!$F:$F},2,0), or(and(not(isblank($B798)),$B798=$B797,$A798&lt;&gt;$A797),and(not(isblank($A798)),$A798=$A797,$B798&lt;&gt;$B797)),"ID LISTS UNALIGNED",and($A798&lt;&gt;"",countif('3) Release_Label'!$D:$D,$A798)=0),"NO UPC MATCH in Release_Label",and($B798&lt;&gt;"",countif('3) Release_Label'!$E:$E,$B798)=0),"NO CATALOG ID MATCH in Release_Label",iserror(vlookup($A798&amp;$B798,'3) Release_Label'!$D:$D&amp;'3) Release_Label'!$E:$E,1,0)),"NO UPC-CATALOG ID pair MATCH in Release_Label" )</f>
        <v/>
      </c>
      <c r="D798" s="121" t="str">
        <f t="array" ref="D798">ifs(and(isblank($A798),isblank($B798)),"", not(iserror(vlookup($A798&amp;$B798,'3) Release_Label'!$D:$D&amp;'3) Release_Label'!$E:$E,1,0))),vlookup($A798&amp;$B798,{'3) Release_Label'!$D:$D&amp;'3) Release_Label'!$E:$E,'3) Release_Label'!$H:$H},2,0), or(and(not(isblank($B798)),$B798=$B797,$A798&lt;&gt;$A797),and(not(isblank($A798)),$A798=$A797,$B798&lt;&gt;$B797)),"ID LISTS UNALIGNED",and($A798&lt;&gt;"",countif('3) Release_Label'!$D:$D,$A798)=0),"NO UPC MATCH in Release_Label",and($B798&lt;&gt;"",countif('3) Release_Label'!$E:$E,$B798)=0),"NO CATALOG ID MATCH in Release_Label",iserror(vlookup($A798&amp;$B798,'3) Release_Label'!$D:$D&amp;'3) Release_Label'!$E:$E,1,0)),"NO UPC-CATALOG ID pair MATCH in Release_Label" )</f>
        <v/>
      </c>
      <c r="E798" s="147" t="str">
        <f t="shared" si="1"/>
        <v/>
      </c>
      <c r="G798" s="97"/>
      <c r="H798" s="155"/>
      <c r="J798" s="92"/>
      <c r="K798" s="98"/>
      <c r="L798" s="92"/>
      <c r="N798" s="92"/>
      <c r="O798" s="92"/>
      <c r="P798" s="92"/>
    </row>
    <row r="799">
      <c r="A799" s="28"/>
      <c r="B799" s="97"/>
      <c r="C799" s="121" t="str">
        <f t="array" ref="C799">ifs(and(isblank($A799),isblank($B799)),"", not(iserror(vlookup($A799&amp;$B799,'3) Release_Label'!$D:$D&amp;'3) Release_Label'!$E:$E,1,0))),vlookup($A799&amp;$B799,{'3) Release_Label'!$D:$D&amp;'3) Release_Label'!$E:$E,'3) Release_Label'!$F:$F},2,0), or(and(not(isblank($B799)),$B799=$B798,$A799&lt;&gt;$A798),and(not(isblank($A799)),$A799=$A798,$B799&lt;&gt;$B798)),"ID LISTS UNALIGNED",and($A799&lt;&gt;"",countif('3) Release_Label'!$D:$D,$A799)=0),"NO UPC MATCH in Release_Label",and($B799&lt;&gt;"",countif('3) Release_Label'!$E:$E,$B799)=0),"NO CATALOG ID MATCH in Release_Label",iserror(vlookup($A799&amp;$B799,'3) Release_Label'!$D:$D&amp;'3) Release_Label'!$E:$E,1,0)),"NO UPC-CATALOG ID pair MATCH in Release_Label" )</f>
        <v/>
      </c>
      <c r="D799" s="121" t="str">
        <f t="array" ref="D799">ifs(and(isblank($A799),isblank($B799)),"", not(iserror(vlookup($A799&amp;$B799,'3) Release_Label'!$D:$D&amp;'3) Release_Label'!$E:$E,1,0))),vlookup($A799&amp;$B799,{'3) Release_Label'!$D:$D&amp;'3) Release_Label'!$E:$E,'3) Release_Label'!$H:$H},2,0), or(and(not(isblank($B799)),$B799=$B798,$A799&lt;&gt;$A798),and(not(isblank($A799)),$A799=$A798,$B799&lt;&gt;$B798)),"ID LISTS UNALIGNED",and($A799&lt;&gt;"",countif('3) Release_Label'!$D:$D,$A799)=0),"NO UPC MATCH in Release_Label",and($B799&lt;&gt;"",countif('3) Release_Label'!$E:$E,$B799)=0),"NO CATALOG ID MATCH in Release_Label",iserror(vlookup($A799&amp;$B799,'3) Release_Label'!$D:$D&amp;'3) Release_Label'!$E:$E,1,0)),"NO UPC-CATALOG ID pair MATCH in Release_Label" )</f>
        <v/>
      </c>
      <c r="E799" s="147" t="str">
        <f t="shared" si="1"/>
        <v/>
      </c>
      <c r="G799" s="97"/>
      <c r="H799" s="155"/>
      <c r="J799" s="92"/>
      <c r="K799" s="98"/>
      <c r="L799" s="92"/>
      <c r="N799" s="92"/>
      <c r="O799" s="92"/>
      <c r="P799" s="92"/>
    </row>
    <row r="800">
      <c r="A800" s="28"/>
      <c r="B800" s="97"/>
      <c r="C800" s="121" t="str">
        <f t="array" ref="C800">ifs(and(isblank($A800),isblank($B800)),"", not(iserror(vlookup($A800&amp;$B800,'3) Release_Label'!$D:$D&amp;'3) Release_Label'!$E:$E,1,0))),vlookup($A800&amp;$B800,{'3) Release_Label'!$D:$D&amp;'3) Release_Label'!$E:$E,'3) Release_Label'!$F:$F},2,0), or(and(not(isblank($B800)),$B800=$B799,$A800&lt;&gt;$A799),and(not(isblank($A800)),$A800=$A799,$B800&lt;&gt;$B799)),"ID LISTS UNALIGNED",and($A800&lt;&gt;"",countif('3) Release_Label'!$D:$D,$A800)=0),"NO UPC MATCH in Release_Label",and($B800&lt;&gt;"",countif('3) Release_Label'!$E:$E,$B800)=0),"NO CATALOG ID MATCH in Release_Label",iserror(vlookup($A800&amp;$B800,'3) Release_Label'!$D:$D&amp;'3) Release_Label'!$E:$E,1,0)),"NO UPC-CATALOG ID pair MATCH in Release_Label" )</f>
        <v/>
      </c>
      <c r="D800" s="121" t="str">
        <f t="array" ref="D800">ifs(and(isblank($A800),isblank($B800)),"", not(iserror(vlookup($A800&amp;$B800,'3) Release_Label'!$D:$D&amp;'3) Release_Label'!$E:$E,1,0))),vlookup($A800&amp;$B800,{'3) Release_Label'!$D:$D&amp;'3) Release_Label'!$E:$E,'3) Release_Label'!$H:$H},2,0), or(and(not(isblank($B800)),$B800=$B799,$A800&lt;&gt;$A799),and(not(isblank($A800)),$A800=$A799,$B800&lt;&gt;$B799)),"ID LISTS UNALIGNED",and($A800&lt;&gt;"",countif('3) Release_Label'!$D:$D,$A800)=0),"NO UPC MATCH in Release_Label",and($B800&lt;&gt;"",countif('3) Release_Label'!$E:$E,$B800)=0),"NO CATALOG ID MATCH in Release_Label",iserror(vlookup($A800&amp;$B800,'3) Release_Label'!$D:$D&amp;'3) Release_Label'!$E:$E,1,0)),"NO UPC-CATALOG ID pair MATCH in Release_Label" )</f>
        <v/>
      </c>
      <c r="E800" s="147" t="str">
        <f t="shared" si="1"/>
        <v/>
      </c>
      <c r="G800" s="97"/>
      <c r="H800" s="155"/>
      <c r="J800" s="92"/>
      <c r="K800" s="98"/>
      <c r="L800" s="92"/>
      <c r="N800" s="92"/>
      <c r="O800" s="92"/>
      <c r="P800" s="92"/>
    </row>
    <row r="801">
      <c r="A801" s="28"/>
      <c r="B801" s="97"/>
      <c r="C801" s="121" t="str">
        <f t="array" ref="C801">ifs(and(isblank($A801),isblank($B801)),"", not(iserror(vlookup($A801&amp;$B801,'3) Release_Label'!$D:$D&amp;'3) Release_Label'!$E:$E,1,0))),vlookup($A801&amp;$B801,{'3) Release_Label'!$D:$D&amp;'3) Release_Label'!$E:$E,'3) Release_Label'!$F:$F},2,0), or(and(not(isblank($B801)),$B801=$B800,$A801&lt;&gt;$A800),and(not(isblank($A801)),$A801=$A800,$B801&lt;&gt;$B800)),"ID LISTS UNALIGNED",and($A801&lt;&gt;"",countif('3) Release_Label'!$D:$D,$A801)=0),"NO UPC MATCH in Release_Label",and($B801&lt;&gt;"",countif('3) Release_Label'!$E:$E,$B801)=0),"NO CATALOG ID MATCH in Release_Label",iserror(vlookup($A801&amp;$B801,'3) Release_Label'!$D:$D&amp;'3) Release_Label'!$E:$E,1,0)),"NO UPC-CATALOG ID pair MATCH in Release_Label" )</f>
        <v/>
      </c>
      <c r="D801" s="121" t="str">
        <f t="array" ref="D801">ifs(and(isblank($A801),isblank($B801)),"", not(iserror(vlookup($A801&amp;$B801,'3) Release_Label'!$D:$D&amp;'3) Release_Label'!$E:$E,1,0))),vlookup($A801&amp;$B801,{'3) Release_Label'!$D:$D&amp;'3) Release_Label'!$E:$E,'3) Release_Label'!$H:$H},2,0), or(and(not(isblank($B801)),$B801=$B800,$A801&lt;&gt;$A800),and(not(isblank($A801)),$A801=$A800,$B801&lt;&gt;$B800)),"ID LISTS UNALIGNED",and($A801&lt;&gt;"",countif('3) Release_Label'!$D:$D,$A801)=0),"NO UPC MATCH in Release_Label",and($B801&lt;&gt;"",countif('3) Release_Label'!$E:$E,$B801)=0),"NO CATALOG ID MATCH in Release_Label",iserror(vlookup($A801&amp;$B801,'3) Release_Label'!$D:$D&amp;'3) Release_Label'!$E:$E,1,0)),"NO UPC-CATALOG ID pair MATCH in Release_Label" )</f>
        <v/>
      </c>
      <c r="E801" s="147" t="str">
        <f t="shared" si="1"/>
        <v/>
      </c>
      <c r="G801" s="97"/>
      <c r="H801" s="155"/>
      <c r="J801" s="92"/>
      <c r="K801" s="98"/>
      <c r="L801" s="92"/>
      <c r="N801" s="92"/>
      <c r="O801" s="92"/>
      <c r="P801" s="92"/>
    </row>
    <row r="802">
      <c r="A802" s="28"/>
      <c r="B802" s="97"/>
      <c r="C802" s="121" t="str">
        <f t="array" ref="C802">ifs(and(isblank($A802),isblank($B802)),"", not(iserror(vlookup($A802&amp;$B802,'3) Release_Label'!$D:$D&amp;'3) Release_Label'!$E:$E,1,0))),vlookup($A802&amp;$B802,{'3) Release_Label'!$D:$D&amp;'3) Release_Label'!$E:$E,'3) Release_Label'!$F:$F},2,0), or(and(not(isblank($B802)),$B802=$B801,$A802&lt;&gt;$A801),and(not(isblank($A802)),$A802=$A801,$B802&lt;&gt;$B801)),"ID LISTS UNALIGNED",and($A802&lt;&gt;"",countif('3) Release_Label'!$D:$D,$A802)=0),"NO UPC MATCH in Release_Label",and($B802&lt;&gt;"",countif('3) Release_Label'!$E:$E,$B802)=0),"NO CATALOG ID MATCH in Release_Label",iserror(vlookup($A802&amp;$B802,'3) Release_Label'!$D:$D&amp;'3) Release_Label'!$E:$E,1,0)),"NO UPC-CATALOG ID pair MATCH in Release_Label" )</f>
        <v/>
      </c>
      <c r="D802" s="121" t="str">
        <f t="array" ref="D802">ifs(and(isblank($A802),isblank($B802)),"", not(iserror(vlookup($A802&amp;$B802,'3) Release_Label'!$D:$D&amp;'3) Release_Label'!$E:$E,1,0))),vlookup($A802&amp;$B802,{'3) Release_Label'!$D:$D&amp;'3) Release_Label'!$E:$E,'3) Release_Label'!$H:$H},2,0), or(and(not(isblank($B802)),$B802=$B801,$A802&lt;&gt;$A801),and(not(isblank($A802)),$A802=$A801,$B802&lt;&gt;$B801)),"ID LISTS UNALIGNED",and($A802&lt;&gt;"",countif('3) Release_Label'!$D:$D,$A802)=0),"NO UPC MATCH in Release_Label",and($B802&lt;&gt;"",countif('3) Release_Label'!$E:$E,$B802)=0),"NO CATALOG ID MATCH in Release_Label",iserror(vlookup($A802&amp;$B802,'3) Release_Label'!$D:$D&amp;'3) Release_Label'!$E:$E,1,0)),"NO UPC-CATALOG ID pair MATCH in Release_Label" )</f>
        <v/>
      </c>
      <c r="E802" s="147" t="str">
        <f t="shared" si="1"/>
        <v/>
      </c>
      <c r="G802" s="97"/>
      <c r="H802" s="155"/>
      <c r="J802" s="92"/>
      <c r="K802" s="98"/>
      <c r="L802" s="92"/>
      <c r="N802" s="92"/>
      <c r="O802" s="92"/>
      <c r="P802" s="92"/>
    </row>
    <row r="803">
      <c r="A803" s="28"/>
      <c r="B803" s="97"/>
      <c r="C803" s="121" t="str">
        <f t="array" ref="C803">ifs(and(isblank($A803),isblank($B803)),"", not(iserror(vlookup($A803&amp;$B803,'3) Release_Label'!$D:$D&amp;'3) Release_Label'!$E:$E,1,0))),vlookup($A803&amp;$B803,{'3) Release_Label'!$D:$D&amp;'3) Release_Label'!$E:$E,'3) Release_Label'!$F:$F},2,0), or(and(not(isblank($B803)),$B803=$B802,$A803&lt;&gt;$A802),and(not(isblank($A803)),$A803=$A802,$B803&lt;&gt;$B802)),"ID LISTS UNALIGNED",and($A803&lt;&gt;"",countif('3) Release_Label'!$D:$D,$A803)=0),"NO UPC MATCH in Release_Label",and($B803&lt;&gt;"",countif('3) Release_Label'!$E:$E,$B803)=0),"NO CATALOG ID MATCH in Release_Label",iserror(vlookup($A803&amp;$B803,'3) Release_Label'!$D:$D&amp;'3) Release_Label'!$E:$E,1,0)),"NO UPC-CATALOG ID pair MATCH in Release_Label" )</f>
        <v/>
      </c>
      <c r="D803" s="121" t="str">
        <f t="array" ref="D803">ifs(and(isblank($A803),isblank($B803)),"", not(iserror(vlookup($A803&amp;$B803,'3) Release_Label'!$D:$D&amp;'3) Release_Label'!$E:$E,1,0))),vlookup($A803&amp;$B803,{'3) Release_Label'!$D:$D&amp;'3) Release_Label'!$E:$E,'3) Release_Label'!$H:$H},2,0), or(and(not(isblank($B803)),$B803=$B802,$A803&lt;&gt;$A802),and(not(isblank($A803)),$A803=$A802,$B803&lt;&gt;$B802)),"ID LISTS UNALIGNED",and($A803&lt;&gt;"",countif('3) Release_Label'!$D:$D,$A803)=0),"NO UPC MATCH in Release_Label",and($B803&lt;&gt;"",countif('3) Release_Label'!$E:$E,$B803)=0),"NO CATALOG ID MATCH in Release_Label",iserror(vlookup($A803&amp;$B803,'3) Release_Label'!$D:$D&amp;'3) Release_Label'!$E:$E,1,0)),"NO UPC-CATALOG ID pair MATCH in Release_Label" )</f>
        <v/>
      </c>
      <c r="E803" s="147" t="str">
        <f t="shared" si="1"/>
        <v/>
      </c>
      <c r="G803" s="97"/>
      <c r="H803" s="155"/>
      <c r="J803" s="92"/>
      <c r="K803" s="98"/>
      <c r="L803" s="92"/>
      <c r="N803" s="92"/>
      <c r="O803" s="92"/>
      <c r="P803" s="92"/>
    </row>
    <row r="804">
      <c r="A804" s="28"/>
      <c r="B804" s="97"/>
      <c r="C804" s="121" t="str">
        <f t="array" ref="C804">ifs(and(isblank($A804),isblank($B804)),"", not(iserror(vlookup($A804&amp;$B804,'3) Release_Label'!$D:$D&amp;'3) Release_Label'!$E:$E,1,0))),vlookup($A804&amp;$B804,{'3) Release_Label'!$D:$D&amp;'3) Release_Label'!$E:$E,'3) Release_Label'!$F:$F},2,0), or(and(not(isblank($B804)),$B804=$B803,$A804&lt;&gt;$A803),and(not(isblank($A804)),$A804=$A803,$B804&lt;&gt;$B803)),"ID LISTS UNALIGNED",and($A804&lt;&gt;"",countif('3) Release_Label'!$D:$D,$A804)=0),"NO UPC MATCH in Release_Label",and($B804&lt;&gt;"",countif('3) Release_Label'!$E:$E,$B804)=0),"NO CATALOG ID MATCH in Release_Label",iserror(vlookup($A804&amp;$B804,'3) Release_Label'!$D:$D&amp;'3) Release_Label'!$E:$E,1,0)),"NO UPC-CATALOG ID pair MATCH in Release_Label" )</f>
        <v/>
      </c>
      <c r="D804" s="121" t="str">
        <f t="array" ref="D804">ifs(and(isblank($A804),isblank($B804)),"", not(iserror(vlookup($A804&amp;$B804,'3) Release_Label'!$D:$D&amp;'3) Release_Label'!$E:$E,1,0))),vlookup($A804&amp;$B804,{'3) Release_Label'!$D:$D&amp;'3) Release_Label'!$E:$E,'3) Release_Label'!$H:$H},2,0), or(and(not(isblank($B804)),$B804=$B803,$A804&lt;&gt;$A803),and(not(isblank($A804)),$A804=$A803,$B804&lt;&gt;$B803)),"ID LISTS UNALIGNED",and($A804&lt;&gt;"",countif('3) Release_Label'!$D:$D,$A804)=0),"NO UPC MATCH in Release_Label",and($B804&lt;&gt;"",countif('3) Release_Label'!$E:$E,$B804)=0),"NO CATALOG ID MATCH in Release_Label",iserror(vlookup($A804&amp;$B804,'3) Release_Label'!$D:$D&amp;'3) Release_Label'!$E:$E,1,0)),"NO UPC-CATALOG ID pair MATCH in Release_Label" )</f>
        <v/>
      </c>
      <c r="E804" s="147" t="str">
        <f t="shared" si="1"/>
        <v/>
      </c>
      <c r="G804" s="97"/>
      <c r="H804" s="155"/>
      <c r="J804" s="92"/>
      <c r="K804" s="98"/>
      <c r="L804" s="92"/>
      <c r="N804" s="92"/>
      <c r="O804" s="92"/>
      <c r="P804" s="92"/>
    </row>
    <row r="805">
      <c r="A805" s="28"/>
      <c r="B805" s="97"/>
      <c r="C805" s="121" t="str">
        <f t="array" ref="C805">ifs(and(isblank($A805),isblank($B805)),"", not(iserror(vlookup($A805&amp;$B805,'3) Release_Label'!$D:$D&amp;'3) Release_Label'!$E:$E,1,0))),vlookup($A805&amp;$B805,{'3) Release_Label'!$D:$D&amp;'3) Release_Label'!$E:$E,'3) Release_Label'!$F:$F},2,0), or(and(not(isblank($B805)),$B805=$B804,$A805&lt;&gt;$A804),and(not(isblank($A805)),$A805=$A804,$B805&lt;&gt;$B804)),"ID LISTS UNALIGNED",and($A805&lt;&gt;"",countif('3) Release_Label'!$D:$D,$A805)=0),"NO UPC MATCH in Release_Label",and($B805&lt;&gt;"",countif('3) Release_Label'!$E:$E,$B805)=0),"NO CATALOG ID MATCH in Release_Label",iserror(vlookup($A805&amp;$B805,'3) Release_Label'!$D:$D&amp;'3) Release_Label'!$E:$E,1,0)),"NO UPC-CATALOG ID pair MATCH in Release_Label" )</f>
        <v/>
      </c>
      <c r="D805" s="121" t="str">
        <f t="array" ref="D805">ifs(and(isblank($A805),isblank($B805)),"", not(iserror(vlookup($A805&amp;$B805,'3) Release_Label'!$D:$D&amp;'3) Release_Label'!$E:$E,1,0))),vlookup($A805&amp;$B805,{'3) Release_Label'!$D:$D&amp;'3) Release_Label'!$E:$E,'3) Release_Label'!$H:$H},2,0), or(and(not(isblank($B805)),$B805=$B804,$A805&lt;&gt;$A804),and(not(isblank($A805)),$A805=$A804,$B805&lt;&gt;$B804)),"ID LISTS UNALIGNED",and($A805&lt;&gt;"",countif('3) Release_Label'!$D:$D,$A805)=0),"NO UPC MATCH in Release_Label",and($B805&lt;&gt;"",countif('3) Release_Label'!$E:$E,$B805)=0),"NO CATALOG ID MATCH in Release_Label",iserror(vlookup($A805&amp;$B805,'3) Release_Label'!$D:$D&amp;'3) Release_Label'!$E:$E,1,0)),"NO UPC-CATALOG ID pair MATCH in Release_Label" )</f>
        <v/>
      </c>
      <c r="E805" s="147" t="str">
        <f t="shared" si="1"/>
        <v/>
      </c>
      <c r="G805" s="97"/>
      <c r="H805" s="155"/>
      <c r="J805" s="92"/>
      <c r="K805" s="98"/>
      <c r="L805" s="92"/>
      <c r="N805" s="92"/>
      <c r="O805" s="92"/>
      <c r="P805" s="92"/>
    </row>
    <row r="806">
      <c r="A806" s="28"/>
      <c r="B806" s="97"/>
      <c r="C806" s="121" t="str">
        <f t="array" ref="C806">ifs(and(isblank($A806),isblank($B806)),"", not(iserror(vlookup($A806&amp;$B806,'3) Release_Label'!$D:$D&amp;'3) Release_Label'!$E:$E,1,0))),vlookup($A806&amp;$B806,{'3) Release_Label'!$D:$D&amp;'3) Release_Label'!$E:$E,'3) Release_Label'!$F:$F},2,0), or(and(not(isblank($B806)),$B806=$B805,$A806&lt;&gt;$A805),and(not(isblank($A806)),$A806=$A805,$B806&lt;&gt;$B805)),"ID LISTS UNALIGNED",and($A806&lt;&gt;"",countif('3) Release_Label'!$D:$D,$A806)=0),"NO UPC MATCH in Release_Label",and($B806&lt;&gt;"",countif('3) Release_Label'!$E:$E,$B806)=0),"NO CATALOG ID MATCH in Release_Label",iserror(vlookup($A806&amp;$B806,'3) Release_Label'!$D:$D&amp;'3) Release_Label'!$E:$E,1,0)),"NO UPC-CATALOG ID pair MATCH in Release_Label" )</f>
        <v/>
      </c>
      <c r="D806" s="121" t="str">
        <f t="array" ref="D806">ifs(and(isblank($A806),isblank($B806)),"", not(iserror(vlookup($A806&amp;$B806,'3) Release_Label'!$D:$D&amp;'3) Release_Label'!$E:$E,1,0))),vlookup($A806&amp;$B806,{'3) Release_Label'!$D:$D&amp;'3) Release_Label'!$E:$E,'3) Release_Label'!$H:$H},2,0), or(and(not(isblank($B806)),$B806=$B805,$A806&lt;&gt;$A805),and(not(isblank($A806)),$A806=$A805,$B806&lt;&gt;$B805)),"ID LISTS UNALIGNED",and($A806&lt;&gt;"",countif('3) Release_Label'!$D:$D,$A806)=0),"NO UPC MATCH in Release_Label",and($B806&lt;&gt;"",countif('3) Release_Label'!$E:$E,$B806)=0),"NO CATALOG ID MATCH in Release_Label",iserror(vlookup($A806&amp;$B806,'3) Release_Label'!$D:$D&amp;'3) Release_Label'!$E:$E,1,0)),"NO UPC-CATALOG ID pair MATCH in Release_Label" )</f>
        <v/>
      </c>
      <c r="E806" s="147" t="str">
        <f t="shared" si="1"/>
        <v/>
      </c>
      <c r="G806" s="97"/>
      <c r="H806" s="155"/>
      <c r="J806" s="92"/>
      <c r="K806" s="98"/>
      <c r="L806" s="92"/>
      <c r="N806" s="92"/>
      <c r="O806" s="92"/>
      <c r="P806" s="92"/>
    </row>
    <row r="807">
      <c r="A807" s="28"/>
      <c r="B807" s="97"/>
      <c r="C807" s="121" t="str">
        <f t="array" ref="C807">ifs(and(isblank($A807),isblank($B807)),"", not(iserror(vlookup($A807&amp;$B807,'3) Release_Label'!$D:$D&amp;'3) Release_Label'!$E:$E,1,0))),vlookup($A807&amp;$B807,{'3) Release_Label'!$D:$D&amp;'3) Release_Label'!$E:$E,'3) Release_Label'!$F:$F},2,0), or(and(not(isblank($B807)),$B807=$B806,$A807&lt;&gt;$A806),and(not(isblank($A807)),$A807=$A806,$B807&lt;&gt;$B806)),"ID LISTS UNALIGNED",and($A807&lt;&gt;"",countif('3) Release_Label'!$D:$D,$A807)=0),"NO UPC MATCH in Release_Label",and($B807&lt;&gt;"",countif('3) Release_Label'!$E:$E,$B807)=0),"NO CATALOG ID MATCH in Release_Label",iserror(vlookup($A807&amp;$B807,'3) Release_Label'!$D:$D&amp;'3) Release_Label'!$E:$E,1,0)),"NO UPC-CATALOG ID pair MATCH in Release_Label" )</f>
        <v/>
      </c>
      <c r="D807" s="121" t="str">
        <f t="array" ref="D807">ifs(and(isblank($A807),isblank($B807)),"", not(iserror(vlookup($A807&amp;$B807,'3) Release_Label'!$D:$D&amp;'3) Release_Label'!$E:$E,1,0))),vlookup($A807&amp;$B807,{'3) Release_Label'!$D:$D&amp;'3) Release_Label'!$E:$E,'3) Release_Label'!$H:$H},2,0), or(and(not(isblank($B807)),$B807=$B806,$A807&lt;&gt;$A806),and(not(isblank($A807)),$A807=$A806,$B807&lt;&gt;$B806)),"ID LISTS UNALIGNED",and($A807&lt;&gt;"",countif('3) Release_Label'!$D:$D,$A807)=0),"NO UPC MATCH in Release_Label",and($B807&lt;&gt;"",countif('3) Release_Label'!$E:$E,$B807)=0),"NO CATALOG ID MATCH in Release_Label",iserror(vlookup($A807&amp;$B807,'3) Release_Label'!$D:$D&amp;'3) Release_Label'!$E:$E,1,0)),"NO UPC-CATALOG ID pair MATCH in Release_Label" )</f>
        <v/>
      </c>
      <c r="E807" s="147" t="str">
        <f t="shared" si="1"/>
        <v/>
      </c>
      <c r="G807" s="97"/>
      <c r="H807" s="155"/>
      <c r="J807" s="92"/>
      <c r="K807" s="98"/>
      <c r="L807" s="92"/>
      <c r="N807" s="92"/>
      <c r="O807" s="92"/>
      <c r="P807" s="92"/>
    </row>
    <row r="808">
      <c r="A808" s="28"/>
      <c r="B808" s="97"/>
      <c r="C808" s="121" t="str">
        <f t="array" ref="C808">ifs(and(isblank($A808),isblank($B808)),"", not(iserror(vlookup($A808&amp;$B808,'3) Release_Label'!$D:$D&amp;'3) Release_Label'!$E:$E,1,0))),vlookup($A808&amp;$B808,{'3) Release_Label'!$D:$D&amp;'3) Release_Label'!$E:$E,'3) Release_Label'!$F:$F},2,0), or(and(not(isblank($B808)),$B808=$B807,$A808&lt;&gt;$A807),and(not(isblank($A808)),$A808=$A807,$B808&lt;&gt;$B807)),"ID LISTS UNALIGNED",and($A808&lt;&gt;"",countif('3) Release_Label'!$D:$D,$A808)=0),"NO UPC MATCH in Release_Label",and($B808&lt;&gt;"",countif('3) Release_Label'!$E:$E,$B808)=0),"NO CATALOG ID MATCH in Release_Label",iserror(vlookup($A808&amp;$B808,'3) Release_Label'!$D:$D&amp;'3) Release_Label'!$E:$E,1,0)),"NO UPC-CATALOG ID pair MATCH in Release_Label" )</f>
        <v/>
      </c>
      <c r="D808" s="121" t="str">
        <f t="array" ref="D808">ifs(and(isblank($A808),isblank($B808)),"", not(iserror(vlookup($A808&amp;$B808,'3) Release_Label'!$D:$D&amp;'3) Release_Label'!$E:$E,1,0))),vlookup($A808&amp;$B808,{'3) Release_Label'!$D:$D&amp;'3) Release_Label'!$E:$E,'3) Release_Label'!$H:$H},2,0), or(and(not(isblank($B808)),$B808=$B807,$A808&lt;&gt;$A807),and(not(isblank($A808)),$A808=$A807,$B808&lt;&gt;$B807)),"ID LISTS UNALIGNED",and($A808&lt;&gt;"",countif('3) Release_Label'!$D:$D,$A808)=0),"NO UPC MATCH in Release_Label",and($B808&lt;&gt;"",countif('3) Release_Label'!$E:$E,$B808)=0),"NO CATALOG ID MATCH in Release_Label",iserror(vlookup($A808&amp;$B808,'3) Release_Label'!$D:$D&amp;'3) Release_Label'!$E:$E,1,0)),"NO UPC-CATALOG ID pair MATCH in Release_Label" )</f>
        <v/>
      </c>
      <c r="E808" s="147" t="str">
        <f t="shared" si="1"/>
        <v/>
      </c>
      <c r="G808" s="97"/>
      <c r="H808" s="155"/>
      <c r="J808" s="92"/>
      <c r="K808" s="98"/>
      <c r="L808" s="92"/>
      <c r="N808" s="92"/>
      <c r="O808" s="92"/>
      <c r="P808" s="92"/>
    </row>
    <row r="809">
      <c r="A809" s="28"/>
      <c r="B809" s="97"/>
      <c r="C809" s="121" t="str">
        <f t="array" ref="C809">ifs(and(isblank($A809),isblank($B809)),"", not(iserror(vlookup($A809&amp;$B809,'3) Release_Label'!$D:$D&amp;'3) Release_Label'!$E:$E,1,0))),vlookup($A809&amp;$B809,{'3) Release_Label'!$D:$D&amp;'3) Release_Label'!$E:$E,'3) Release_Label'!$F:$F},2,0), or(and(not(isblank($B809)),$B809=$B808,$A809&lt;&gt;$A808),and(not(isblank($A809)),$A809=$A808,$B809&lt;&gt;$B808)),"ID LISTS UNALIGNED",and($A809&lt;&gt;"",countif('3) Release_Label'!$D:$D,$A809)=0),"NO UPC MATCH in Release_Label",and($B809&lt;&gt;"",countif('3) Release_Label'!$E:$E,$B809)=0),"NO CATALOG ID MATCH in Release_Label",iserror(vlookup($A809&amp;$B809,'3) Release_Label'!$D:$D&amp;'3) Release_Label'!$E:$E,1,0)),"NO UPC-CATALOG ID pair MATCH in Release_Label" )</f>
        <v/>
      </c>
      <c r="D809" s="121" t="str">
        <f t="array" ref="D809">ifs(and(isblank($A809),isblank($B809)),"", not(iserror(vlookup($A809&amp;$B809,'3) Release_Label'!$D:$D&amp;'3) Release_Label'!$E:$E,1,0))),vlookup($A809&amp;$B809,{'3) Release_Label'!$D:$D&amp;'3) Release_Label'!$E:$E,'3) Release_Label'!$H:$H},2,0), or(and(not(isblank($B809)),$B809=$B808,$A809&lt;&gt;$A808),and(not(isblank($A809)),$A809=$A808,$B809&lt;&gt;$B808)),"ID LISTS UNALIGNED",and($A809&lt;&gt;"",countif('3) Release_Label'!$D:$D,$A809)=0),"NO UPC MATCH in Release_Label",and($B809&lt;&gt;"",countif('3) Release_Label'!$E:$E,$B809)=0),"NO CATALOG ID MATCH in Release_Label",iserror(vlookup($A809&amp;$B809,'3) Release_Label'!$D:$D&amp;'3) Release_Label'!$E:$E,1,0)),"NO UPC-CATALOG ID pair MATCH in Release_Label" )</f>
        <v/>
      </c>
      <c r="E809" s="147" t="str">
        <f t="shared" si="1"/>
        <v/>
      </c>
      <c r="G809" s="97"/>
      <c r="H809" s="155"/>
      <c r="J809" s="92"/>
      <c r="K809" s="98"/>
      <c r="L809" s="92"/>
      <c r="N809" s="92"/>
      <c r="O809" s="92"/>
      <c r="P809" s="92"/>
    </row>
    <row r="810">
      <c r="A810" s="28"/>
      <c r="B810" s="97"/>
      <c r="C810" s="121" t="str">
        <f t="array" ref="C810">ifs(and(isblank($A810),isblank($B810)),"", not(iserror(vlookup($A810&amp;$B810,'3) Release_Label'!$D:$D&amp;'3) Release_Label'!$E:$E,1,0))),vlookup($A810&amp;$B810,{'3) Release_Label'!$D:$D&amp;'3) Release_Label'!$E:$E,'3) Release_Label'!$F:$F},2,0), or(and(not(isblank($B810)),$B810=$B809,$A810&lt;&gt;$A809),and(not(isblank($A810)),$A810=$A809,$B810&lt;&gt;$B809)),"ID LISTS UNALIGNED",and($A810&lt;&gt;"",countif('3) Release_Label'!$D:$D,$A810)=0),"NO UPC MATCH in Release_Label",and($B810&lt;&gt;"",countif('3) Release_Label'!$E:$E,$B810)=0),"NO CATALOG ID MATCH in Release_Label",iserror(vlookup($A810&amp;$B810,'3) Release_Label'!$D:$D&amp;'3) Release_Label'!$E:$E,1,0)),"NO UPC-CATALOG ID pair MATCH in Release_Label" )</f>
        <v/>
      </c>
      <c r="D810" s="121" t="str">
        <f t="array" ref="D810">ifs(and(isblank($A810),isblank($B810)),"", not(iserror(vlookup($A810&amp;$B810,'3) Release_Label'!$D:$D&amp;'3) Release_Label'!$E:$E,1,0))),vlookup($A810&amp;$B810,{'3) Release_Label'!$D:$D&amp;'3) Release_Label'!$E:$E,'3) Release_Label'!$H:$H},2,0), or(and(not(isblank($B810)),$B810=$B809,$A810&lt;&gt;$A809),and(not(isblank($A810)),$A810=$A809,$B810&lt;&gt;$B809)),"ID LISTS UNALIGNED",and($A810&lt;&gt;"",countif('3) Release_Label'!$D:$D,$A810)=0),"NO UPC MATCH in Release_Label",and($B810&lt;&gt;"",countif('3) Release_Label'!$E:$E,$B810)=0),"NO CATALOG ID MATCH in Release_Label",iserror(vlookup($A810&amp;$B810,'3) Release_Label'!$D:$D&amp;'3) Release_Label'!$E:$E,1,0)),"NO UPC-CATALOG ID pair MATCH in Release_Label" )</f>
        <v/>
      </c>
      <c r="E810" s="147" t="str">
        <f t="shared" si="1"/>
        <v/>
      </c>
      <c r="G810" s="97"/>
      <c r="H810" s="155"/>
      <c r="J810" s="92"/>
      <c r="K810" s="98"/>
      <c r="L810" s="92"/>
      <c r="N810" s="92"/>
      <c r="O810" s="92"/>
      <c r="P810" s="92"/>
    </row>
    <row r="811">
      <c r="A811" s="28"/>
      <c r="B811" s="97"/>
      <c r="C811" s="121" t="str">
        <f t="array" ref="C811">ifs(and(isblank($A811),isblank($B811)),"", not(iserror(vlookup($A811&amp;$B811,'3) Release_Label'!$D:$D&amp;'3) Release_Label'!$E:$E,1,0))),vlookup($A811&amp;$B811,{'3) Release_Label'!$D:$D&amp;'3) Release_Label'!$E:$E,'3) Release_Label'!$F:$F},2,0), or(and(not(isblank($B811)),$B811=$B810,$A811&lt;&gt;$A810),and(not(isblank($A811)),$A811=$A810,$B811&lt;&gt;$B810)),"ID LISTS UNALIGNED",and($A811&lt;&gt;"",countif('3) Release_Label'!$D:$D,$A811)=0),"NO UPC MATCH in Release_Label",and($B811&lt;&gt;"",countif('3) Release_Label'!$E:$E,$B811)=0),"NO CATALOG ID MATCH in Release_Label",iserror(vlookup($A811&amp;$B811,'3) Release_Label'!$D:$D&amp;'3) Release_Label'!$E:$E,1,0)),"NO UPC-CATALOG ID pair MATCH in Release_Label" )</f>
        <v/>
      </c>
      <c r="D811" s="121" t="str">
        <f t="array" ref="D811">ifs(and(isblank($A811),isblank($B811)),"", not(iserror(vlookup($A811&amp;$B811,'3) Release_Label'!$D:$D&amp;'3) Release_Label'!$E:$E,1,0))),vlookup($A811&amp;$B811,{'3) Release_Label'!$D:$D&amp;'3) Release_Label'!$E:$E,'3) Release_Label'!$H:$H},2,0), or(and(not(isblank($B811)),$B811=$B810,$A811&lt;&gt;$A810),and(not(isblank($A811)),$A811=$A810,$B811&lt;&gt;$B810)),"ID LISTS UNALIGNED",and($A811&lt;&gt;"",countif('3) Release_Label'!$D:$D,$A811)=0),"NO UPC MATCH in Release_Label",and($B811&lt;&gt;"",countif('3) Release_Label'!$E:$E,$B811)=0),"NO CATALOG ID MATCH in Release_Label",iserror(vlookup($A811&amp;$B811,'3) Release_Label'!$D:$D&amp;'3) Release_Label'!$E:$E,1,0)),"NO UPC-CATALOG ID pair MATCH in Release_Label" )</f>
        <v/>
      </c>
      <c r="E811" s="147" t="str">
        <f t="shared" si="1"/>
        <v/>
      </c>
      <c r="G811" s="97"/>
      <c r="H811" s="155"/>
      <c r="J811" s="92"/>
      <c r="K811" s="98"/>
      <c r="L811" s="92"/>
      <c r="N811" s="92"/>
      <c r="O811" s="92"/>
      <c r="P811" s="92"/>
    </row>
    <row r="812">
      <c r="A812" s="28"/>
      <c r="B812" s="97"/>
      <c r="C812" s="121" t="str">
        <f t="array" ref="C812">ifs(and(isblank($A812),isblank($B812)),"", not(iserror(vlookup($A812&amp;$B812,'3) Release_Label'!$D:$D&amp;'3) Release_Label'!$E:$E,1,0))),vlookup($A812&amp;$B812,{'3) Release_Label'!$D:$D&amp;'3) Release_Label'!$E:$E,'3) Release_Label'!$F:$F},2,0), or(and(not(isblank($B812)),$B812=$B811,$A812&lt;&gt;$A811),and(not(isblank($A812)),$A812=$A811,$B812&lt;&gt;$B811)),"ID LISTS UNALIGNED",and($A812&lt;&gt;"",countif('3) Release_Label'!$D:$D,$A812)=0),"NO UPC MATCH in Release_Label",and($B812&lt;&gt;"",countif('3) Release_Label'!$E:$E,$B812)=0),"NO CATALOG ID MATCH in Release_Label",iserror(vlookup($A812&amp;$B812,'3) Release_Label'!$D:$D&amp;'3) Release_Label'!$E:$E,1,0)),"NO UPC-CATALOG ID pair MATCH in Release_Label" )</f>
        <v/>
      </c>
      <c r="D812" s="121" t="str">
        <f t="array" ref="D812">ifs(and(isblank($A812),isblank($B812)),"", not(iserror(vlookup($A812&amp;$B812,'3) Release_Label'!$D:$D&amp;'3) Release_Label'!$E:$E,1,0))),vlookup($A812&amp;$B812,{'3) Release_Label'!$D:$D&amp;'3) Release_Label'!$E:$E,'3) Release_Label'!$H:$H},2,0), or(and(not(isblank($B812)),$B812=$B811,$A812&lt;&gt;$A811),and(not(isblank($A812)),$A812=$A811,$B812&lt;&gt;$B811)),"ID LISTS UNALIGNED",and($A812&lt;&gt;"",countif('3) Release_Label'!$D:$D,$A812)=0),"NO UPC MATCH in Release_Label",and($B812&lt;&gt;"",countif('3) Release_Label'!$E:$E,$B812)=0),"NO CATALOG ID MATCH in Release_Label",iserror(vlookup($A812&amp;$B812,'3) Release_Label'!$D:$D&amp;'3) Release_Label'!$E:$E,1,0)),"NO UPC-CATALOG ID pair MATCH in Release_Label" )</f>
        <v/>
      </c>
      <c r="E812" s="147" t="str">
        <f t="shared" si="1"/>
        <v/>
      </c>
      <c r="G812" s="97"/>
      <c r="H812" s="155"/>
      <c r="J812" s="92"/>
      <c r="K812" s="98"/>
      <c r="L812" s="92"/>
      <c r="N812" s="92"/>
      <c r="O812" s="92"/>
      <c r="P812" s="92"/>
    </row>
    <row r="813">
      <c r="A813" s="28"/>
      <c r="B813" s="97"/>
      <c r="C813" s="121" t="str">
        <f t="array" ref="C813">ifs(and(isblank($A813),isblank($B813)),"", not(iserror(vlookup($A813&amp;$B813,'3) Release_Label'!$D:$D&amp;'3) Release_Label'!$E:$E,1,0))),vlookup($A813&amp;$B813,{'3) Release_Label'!$D:$D&amp;'3) Release_Label'!$E:$E,'3) Release_Label'!$F:$F},2,0), or(and(not(isblank($B813)),$B813=$B812,$A813&lt;&gt;$A812),and(not(isblank($A813)),$A813=$A812,$B813&lt;&gt;$B812)),"ID LISTS UNALIGNED",and($A813&lt;&gt;"",countif('3) Release_Label'!$D:$D,$A813)=0),"NO UPC MATCH in Release_Label",and($B813&lt;&gt;"",countif('3) Release_Label'!$E:$E,$B813)=0),"NO CATALOG ID MATCH in Release_Label",iserror(vlookup($A813&amp;$B813,'3) Release_Label'!$D:$D&amp;'3) Release_Label'!$E:$E,1,0)),"NO UPC-CATALOG ID pair MATCH in Release_Label" )</f>
        <v/>
      </c>
      <c r="D813" s="121" t="str">
        <f t="array" ref="D813">ifs(and(isblank($A813),isblank($B813)),"", not(iserror(vlookup($A813&amp;$B813,'3) Release_Label'!$D:$D&amp;'3) Release_Label'!$E:$E,1,0))),vlookup($A813&amp;$B813,{'3) Release_Label'!$D:$D&amp;'3) Release_Label'!$E:$E,'3) Release_Label'!$H:$H},2,0), or(and(not(isblank($B813)),$B813=$B812,$A813&lt;&gt;$A812),and(not(isblank($A813)),$A813=$A812,$B813&lt;&gt;$B812)),"ID LISTS UNALIGNED",and($A813&lt;&gt;"",countif('3) Release_Label'!$D:$D,$A813)=0),"NO UPC MATCH in Release_Label",and($B813&lt;&gt;"",countif('3) Release_Label'!$E:$E,$B813)=0),"NO CATALOG ID MATCH in Release_Label",iserror(vlookup($A813&amp;$B813,'3) Release_Label'!$D:$D&amp;'3) Release_Label'!$E:$E,1,0)),"NO UPC-CATALOG ID pair MATCH in Release_Label" )</f>
        <v/>
      </c>
      <c r="E813" s="147" t="str">
        <f t="shared" si="1"/>
        <v/>
      </c>
      <c r="G813" s="97"/>
      <c r="H813" s="155"/>
      <c r="J813" s="92"/>
      <c r="K813" s="98"/>
      <c r="L813" s="92"/>
      <c r="N813" s="92"/>
      <c r="O813" s="92"/>
      <c r="P813" s="92"/>
    </row>
    <row r="814">
      <c r="A814" s="28"/>
      <c r="B814" s="97"/>
      <c r="C814" s="121" t="str">
        <f t="array" ref="C814">ifs(and(isblank($A814),isblank($B814)),"", not(iserror(vlookup($A814&amp;$B814,'3) Release_Label'!$D:$D&amp;'3) Release_Label'!$E:$E,1,0))),vlookup($A814&amp;$B814,{'3) Release_Label'!$D:$D&amp;'3) Release_Label'!$E:$E,'3) Release_Label'!$F:$F},2,0), or(and(not(isblank($B814)),$B814=$B813,$A814&lt;&gt;$A813),and(not(isblank($A814)),$A814=$A813,$B814&lt;&gt;$B813)),"ID LISTS UNALIGNED",and($A814&lt;&gt;"",countif('3) Release_Label'!$D:$D,$A814)=0),"NO UPC MATCH in Release_Label",and($B814&lt;&gt;"",countif('3) Release_Label'!$E:$E,$B814)=0),"NO CATALOG ID MATCH in Release_Label",iserror(vlookup($A814&amp;$B814,'3) Release_Label'!$D:$D&amp;'3) Release_Label'!$E:$E,1,0)),"NO UPC-CATALOG ID pair MATCH in Release_Label" )</f>
        <v/>
      </c>
      <c r="D814" s="121" t="str">
        <f t="array" ref="D814">ifs(and(isblank($A814),isblank($B814)),"", not(iserror(vlookup($A814&amp;$B814,'3) Release_Label'!$D:$D&amp;'3) Release_Label'!$E:$E,1,0))),vlookup($A814&amp;$B814,{'3) Release_Label'!$D:$D&amp;'3) Release_Label'!$E:$E,'3) Release_Label'!$H:$H},2,0), or(and(not(isblank($B814)),$B814=$B813,$A814&lt;&gt;$A813),and(not(isblank($A814)),$A814=$A813,$B814&lt;&gt;$B813)),"ID LISTS UNALIGNED",and($A814&lt;&gt;"",countif('3) Release_Label'!$D:$D,$A814)=0),"NO UPC MATCH in Release_Label",and($B814&lt;&gt;"",countif('3) Release_Label'!$E:$E,$B814)=0),"NO CATALOG ID MATCH in Release_Label",iserror(vlookup($A814&amp;$B814,'3) Release_Label'!$D:$D&amp;'3) Release_Label'!$E:$E,1,0)),"NO UPC-CATALOG ID pair MATCH in Release_Label" )</f>
        <v/>
      </c>
      <c r="E814" s="147" t="str">
        <f t="shared" si="1"/>
        <v/>
      </c>
      <c r="G814" s="97"/>
      <c r="H814" s="155"/>
      <c r="J814" s="92"/>
      <c r="K814" s="98"/>
      <c r="L814" s="92"/>
      <c r="N814" s="92"/>
      <c r="O814" s="92"/>
      <c r="P814" s="92"/>
    </row>
    <row r="815">
      <c r="A815" s="28"/>
      <c r="B815" s="97"/>
      <c r="C815" s="121" t="str">
        <f t="array" ref="C815">ifs(and(isblank($A815),isblank($B815)),"", not(iserror(vlookup($A815&amp;$B815,'3) Release_Label'!$D:$D&amp;'3) Release_Label'!$E:$E,1,0))),vlookup($A815&amp;$B815,{'3) Release_Label'!$D:$D&amp;'3) Release_Label'!$E:$E,'3) Release_Label'!$F:$F},2,0), or(and(not(isblank($B815)),$B815=$B814,$A815&lt;&gt;$A814),and(not(isblank($A815)),$A815=$A814,$B815&lt;&gt;$B814)),"ID LISTS UNALIGNED",and($A815&lt;&gt;"",countif('3) Release_Label'!$D:$D,$A815)=0),"NO UPC MATCH in Release_Label",and($B815&lt;&gt;"",countif('3) Release_Label'!$E:$E,$B815)=0),"NO CATALOG ID MATCH in Release_Label",iserror(vlookup($A815&amp;$B815,'3) Release_Label'!$D:$D&amp;'3) Release_Label'!$E:$E,1,0)),"NO UPC-CATALOG ID pair MATCH in Release_Label" )</f>
        <v/>
      </c>
      <c r="D815" s="121" t="str">
        <f t="array" ref="D815">ifs(and(isblank($A815),isblank($B815)),"", not(iserror(vlookup($A815&amp;$B815,'3) Release_Label'!$D:$D&amp;'3) Release_Label'!$E:$E,1,0))),vlookup($A815&amp;$B815,{'3) Release_Label'!$D:$D&amp;'3) Release_Label'!$E:$E,'3) Release_Label'!$H:$H},2,0), or(and(not(isblank($B815)),$B815=$B814,$A815&lt;&gt;$A814),and(not(isblank($A815)),$A815=$A814,$B815&lt;&gt;$B814)),"ID LISTS UNALIGNED",and($A815&lt;&gt;"",countif('3) Release_Label'!$D:$D,$A815)=0),"NO UPC MATCH in Release_Label",and($B815&lt;&gt;"",countif('3) Release_Label'!$E:$E,$B815)=0),"NO CATALOG ID MATCH in Release_Label",iserror(vlookup($A815&amp;$B815,'3) Release_Label'!$D:$D&amp;'3) Release_Label'!$E:$E,1,0)),"NO UPC-CATALOG ID pair MATCH in Release_Label" )</f>
        <v/>
      </c>
      <c r="E815" s="147" t="str">
        <f t="shared" si="1"/>
        <v/>
      </c>
      <c r="G815" s="97"/>
      <c r="H815" s="155"/>
      <c r="J815" s="92"/>
      <c r="K815" s="98"/>
      <c r="L815" s="92"/>
      <c r="N815" s="92"/>
      <c r="O815" s="92"/>
      <c r="P815" s="92"/>
    </row>
    <row r="816">
      <c r="A816" s="28"/>
      <c r="B816" s="97"/>
      <c r="C816" s="121" t="str">
        <f t="array" ref="C816">ifs(and(isblank($A816),isblank($B816)),"", not(iserror(vlookup($A816&amp;$B816,'3) Release_Label'!$D:$D&amp;'3) Release_Label'!$E:$E,1,0))),vlookup($A816&amp;$B816,{'3) Release_Label'!$D:$D&amp;'3) Release_Label'!$E:$E,'3) Release_Label'!$F:$F},2,0), or(and(not(isblank($B816)),$B816=$B815,$A816&lt;&gt;$A815),and(not(isblank($A816)),$A816=$A815,$B816&lt;&gt;$B815)),"ID LISTS UNALIGNED",and($A816&lt;&gt;"",countif('3) Release_Label'!$D:$D,$A816)=0),"NO UPC MATCH in Release_Label",and($B816&lt;&gt;"",countif('3) Release_Label'!$E:$E,$B816)=0),"NO CATALOG ID MATCH in Release_Label",iserror(vlookup($A816&amp;$B816,'3) Release_Label'!$D:$D&amp;'3) Release_Label'!$E:$E,1,0)),"NO UPC-CATALOG ID pair MATCH in Release_Label" )</f>
        <v/>
      </c>
      <c r="D816" s="121" t="str">
        <f t="array" ref="D816">ifs(and(isblank($A816),isblank($B816)),"", not(iserror(vlookup($A816&amp;$B816,'3) Release_Label'!$D:$D&amp;'3) Release_Label'!$E:$E,1,0))),vlookup($A816&amp;$B816,{'3) Release_Label'!$D:$D&amp;'3) Release_Label'!$E:$E,'3) Release_Label'!$H:$H},2,0), or(and(not(isblank($B816)),$B816=$B815,$A816&lt;&gt;$A815),and(not(isblank($A816)),$A816=$A815,$B816&lt;&gt;$B815)),"ID LISTS UNALIGNED",and($A816&lt;&gt;"",countif('3) Release_Label'!$D:$D,$A816)=0),"NO UPC MATCH in Release_Label",and($B816&lt;&gt;"",countif('3) Release_Label'!$E:$E,$B816)=0),"NO CATALOG ID MATCH in Release_Label",iserror(vlookup($A816&amp;$B816,'3) Release_Label'!$D:$D&amp;'3) Release_Label'!$E:$E,1,0)),"NO UPC-CATALOG ID pair MATCH in Release_Label" )</f>
        <v/>
      </c>
      <c r="E816" s="147" t="str">
        <f t="shared" si="1"/>
        <v/>
      </c>
      <c r="G816" s="97"/>
      <c r="H816" s="155"/>
      <c r="J816" s="92"/>
      <c r="K816" s="98"/>
      <c r="L816" s="92"/>
      <c r="N816" s="92"/>
      <c r="O816" s="92"/>
      <c r="P816" s="92"/>
    </row>
    <row r="817">
      <c r="A817" s="28"/>
      <c r="B817" s="97"/>
      <c r="C817" s="121" t="str">
        <f t="array" ref="C817">ifs(and(isblank($A817),isblank($B817)),"", not(iserror(vlookup($A817&amp;$B817,'3) Release_Label'!$D:$D&amp;'3) Release_Label'!$E:$E,1,0))),vlookup($A817&amp;$B817,{'3) Release_Label'!$D:$D&amp;'3) Release_Label'!$E:$E,'3) Release_Label'!$F:$F},2,0), or(and(not(isblank($B817)),$B817=$B816,$A817&lt;&gt;$A816),and(not(isblank($A817)),$A817=$A816,$B817&lt;&gt;$B816)),"ID LISTS UNALIGNED",and($A817&lt;&gt;"",countif('3) Release_Label'!$D:$D,$A817)=0),"NO UPC MATCH in Release_Label",and($B817&lt;&gt;"",countif('3) Release_Label'!$E:$E,$B817)=0),"NO CATALOG ID MATCH in Release_Label",iserror(vlookup($A817&amp;$B817,'3) Release_Label'!$D:$D&amp;'3) Release_Label'!$E:$E,1,0)),"NO UPC-CATALOG ID pair MATCH in Release_Label" )</f>
        <v/>
      </c>
      <c r="D817" s="121" t="str">
        <f t="array" ref="D817">ifs(and(isblank($A817),isblank($B817)),"", not(iserror(vlookup($A817&amp;$B817,'3) Release_Label'!$D:$D&amp;'3) Release_Label'!$E:$E,1,0))),vlookup($A817&amp;$B817,{'3) Release_Label'!$D:$D&amp;'3) Release_Label'!$E:$E,'3) Release_Label'!$H:$H},2,0), or(and(not(isblank($B817)),$B817=$B816,$A817&lt;&gt;$A816),and(not(isblank($A817)),$A817=$A816,$B817&lt;&gt;$B816)),"ID LISTS UNALIGNED",and($A817&lt;&gt;"",countif('3) Release_Label'!$D:$D,$A817)=0),"NO UPC MATCH in Release_Label",and($B817&lt;&gt;"",countif('3) Release_Label'!$E:$E,$B817)=0),"NO CATALOG ID MATCH in Release_Label",iserror(vlookup($A817&amp;$B817,'3) Release_Label'!$D:$D&amp;'3) Release_Label'!$E:$E,1,0)),"NO UPC-CATALOG ID pair MATCH in Release_Label" )</f>
        <v/>
      </c>
      <c r="E817" s="147" t="str">
        <f t="shared" si="1"/>
        <v/>
      </c>
      <c r="G817" s="97"/>
      <c r="H817" s="155"/>
      <c r="J817" s="92"/>
      <c r="K817" s="98"/>
      <c r="L817" s="92"/>
      <c r="N817" s="92"/>
      <c r="O817" s="92"/>
      <c r="P817" s="92"/>
    </row>
    <row r="818">
      <c r="A818" s="28"/>
      <c r="B818" s="97"/>
      <c r="C818" s="121" t="str">
        <f t="array" ref="C818">ifs(and(isblank($A818),isblank($B818)),"", not(iserror(vlookup($A818&amp;$B818,'3) Release_Label'!$D:$D&amp;'3) Release_Label'!$E:$E,1,0))),vlookup($A818&amp;$B818,{'3) Release_Label'!$D:$D&amp;'3) Release_Label'!$E:$E,'3) Release_Label'!$F:$F},2,0), or(and(not(isblank($B818)),$B818=$B817,$A818&lt;&gt;$A817),and(not(isblank($A818)),$A818=$A817,$B818&lt;&gt;$B817)),"ID LISTS UNALIGNED",and($A818&lt;&gt;"",countif('3) Release_Label'!$D:$D,$A818)=0),"NO UPC MATCH in Release_Label",and($B818&lt;&gt;"",countif('3) Release_Label'!$E:$E,$B818)=0),"NO CATALOG ID MATCH in Release_Label",iserror(vlookup($A818&amp;$B818,'3) Release_Label'!$D:$D&amp;'3) Release_Label'!$E:$E,1,0)),"NO UPC-CATALOG ID pair MATCH in Release_Label" )</f>
        <v/>
      </c>
      <c r="D818" s="121" t="str">
        <f t="array" ref="D818">ifs(and(isblank($A818),isblank($B818)),"", not(iserror(vlookup($A818&amp;$B818,'3) Release_Label'!$D:$D&amp;'3) Release_Label'!$E:$E,1,0))),vlookup($A818&amp;$B818,{'3) Release_Label'!$D:$D&amp;'3) Release_Label'!$E:$E,'3) Release_Label'!$H:$H},2,0), or(and(not(isblank($B818)),$B818=$B817,$A818&lt;&gt;$A817),and(not(isblank($A818)),$A818=$A817,$B818&lt;&gt;$B817)),"ID LISTS UNALIGNED",and($A818&lt;&gt;"",countif('3) Release_Label'!$D:$D,$A818)=0),"NO UPC MATCH in Release_Label",and($B818&lt;&gt;"",countif('3) Release_Label'!$E:$E,$B818)=0),"NO CATALOG ID MATCH in Release_Label",iserror(vlookup($A818&amp;$B818,'3) Release_Label'!$D:$D&amp;'3) Release_Label'!$E:$E,1,0)),"NO UPC-CATALOG ID pair MATCH in Release_Label" )</f>
        <v/>
      </c>
      <c r="E818" s="147" t="str">
        <f t="shared" si="1"/>
        <v/>
      </c>
      <c r="G818" s="97"/>
      <c r="H818" s="155"/>
      <c r="J818" s="92"/>
      <c r="K818" s="98"/>
      <c r="L818" s="92"/>
      <c r="N818" s="92"/>
      <c r="O818" s="92"/>
      <c r="P818" s="92"/>
    </row>
    <row r="819">
      <c r="A819" s="28"/>
      <c r="B819" s="97"/>
      <c r="C819" s="121" t="str">
        <f t="array" ref="C819">ifs(and(isblank($A819),isblank($B819)),"", not(iserror(vlookup($A819&amp;$B819,'3) Release_Label'!$D:$D&amp;'3) Release_Label'!$E:$E,1,0))),vlookup($A819&amp;$B819,{'3) Release_Label'!$D:$D&amp;'3) Release_Label'!$E:$E,'3) Release_Label'!$F:$F},2,0), or(and(not(isblank($B819)),$B819=$B818,$A819&lt;&gt;$A818),and(not(isblank($A819)),$A819=$A818,$B819&lt;&gt;$B818)),"ID LISTS UNALIGNED",and($A819&lt;&gt;"",countif('3) Release_Label'!$D:$D,$A819)=0),"NO UPC MATCH in Release_Label",and($B819&lt;&gt;"",countif('3) Release_Label'!$E:$E,$B819)=0),"NO CATALOG ID MATCH in Release_Label",iserror(vlookup($A819&amp;$B819,'3) Release_Label'!$D:$D&amp;'3) Release_Label'!$E:$E,1,0)),"NO UPC-CATALOG ID pair MATCH in Release_Label" )</f>
        <v/>
      </c>
      <c r="D819" s="121" t="str">
        <f t="array" ref="D819">ifs(and(isblank($A819),isblank($B819)),"", not(iserror(vlookup($A819&amp;$B819,'3) Release_Label'!$D:$D&amp;'3) Release_Label'!$E:$E,1,0))),vlookup($A819&amp;$B819,{'3) Release_Label'!$D:$D&amp;'3) Release_Label'!$E:$E,'3) Release_Label'!$H:$H},2,0), or(and(not(isblank($B819)),$B819=$B818,$A819&lt;&gt;$A818),and(not(isblank($A819)),$A819=$A818,$B819&lt;&gt;$B818)),"ID LISTS UNALIGNED",and($A819&lt;&gt;"",countif('3) Release_Label'!$D:$D,$A819)=0),"NO UPC MATCH in Release_Label",and($B819&lt;&gt;"",countif('3) Release_Label'!$E:$E,$B819)=0),"NO CATALOG ID MATCH in Release_Label",iserror(vlookup($A819&amp;$B819,'3) Release_Label'!$D:$D&amp;'3) Release_Label'!$E:$E,1,0)),"NO UPC-CATALOG ID pair MATCH in Release_Label" )</f>
        <v/>
      </c>
      <c r="E819" s="147" t="str">
        <f t="shared" si="1"/>
        <v/>
      </c>
      <c r="G819" s="97"/>
      <c r="H819" s="155"/>
      <c r="J819" s="92"/>
      <c r="K819" s="98"/>
      <c r="L819" s="92"/>
      <c r="N819" s="92"/>
      <c r="O819" s="92"/>
      <c r="P819" s="92"/>
    </row>
    <row r="820">
      <c r="A820" s="28"/>
      <c r="B820" s="97"/>
      <c r="C820" s="121" t="str">
        <f t="array" ref="C820">ifs(and(isblank($A820),isblank($B820)),"", not(iserror(vlookup($A820&amp;$B820,'3) Release_Label'!$D:$D&amp;'3) Release_Label'!$E:$E,1,0))),vlookup($A820&amp;$B820,{'3) Release_Label'!$D:$D&amp;'3) Release_Label'!$E:$E,'3) Release_Label'!$F:$F},2,0), or(and(not(isblank($B820)),$B820=$B819,$A820&lt;&gt;$A819),and(not(isblank($A820)),$A820=$A819,$B820&lt;&gt;$B819)),"ID LISTS UNALIGNED",and($A820&lt;&gt;"",countif('3) Release_Label'!$D:$D,$A820)=0),"NO UPC MATCH in Release_Label",and($B820&lt;&gt;"",countif('3) Release_Label'!$E:$E,$B820)=0),"NO CATALOG ID MATCH in Release_Label",iserror(vlookup($A820&amp;$B820,'3) Release_Label'!$D:$D&amp;'3) Release_Label'!$E:$E,1,0)),"NO UPC-CATALOG ID pair MATCH in Release_Label" )</f>
        <v/>
      </c>
      <c r="D820" s="121" t="str">
        <f t="array" ref="D820">ifs(and(isblank($A820),isblank($B820)),"", not(iserror(vlookup($A820&amp;$B820,'3) Release_Label'!$D:$D&amp;'3) Release_Label'!$E:$E,1,0))),vlookup($A820&amp;$B820,{'3) Release_Label'!$D:$D&amp;'3) Release_Label'!$E:$E,'3) Release_Label'!$H:$H},2,0), or(and(not(isblank($B820)),$B820=$B819,$A820&lt;&gt;$A819),and(not(isblank($A820)),$A820=$A819,$B820&lt;&gt;$B819)),"ID LISTS UNALIGNED",and($A820&lt;&gt;"",countif('3) Release_Label'!$D:$D,$A820)=0),"NO UPC MATCH in Release_Label",and($B820&lt;&gt;"",countif('3) Release_Label'!$E:$E,$B820)=0),"NO CATALOG ID MATCH in Release_Label",iserror(vlookup($A820&amp;$B820,'3) Release_Label'!$D:$D&amp;'3) Release_Label'!$E:$E,1,0)),"NO UPC-CATALOG ID pair MATCH in Release_Label" )</f>
        <v/>
      </c>
      <c r="E820" s="147" t="str">
        <f t="shared" si="1"/>
        <v/>
      </c>
      <c r="G820" s="97"/>
      <c r="H820" s="155"/>
      <c r="J820" s="92"/>
      <c r="K820" s="98"/>
      <c r="L820" s="92"/>
      <c r="N820" s="92"/>
      <c r="O820" s="92"/>
      <c r="P820" s="92"/>
    </row>
    <row r="821">
      <c r="A821" s="28"/>
      <c r="B821" s="97"/>
      <c r="C821" s="121" t="str">
        <f t="array" ref="C821">ifs(and(isblank($A821),isblank($B821)),"", not(iserror(vlookup($A821&amp;$B821,'3) Release_Label'!$D:$D&amp;'3) Release_Label'!$E:$E,1,0))),vlookup($A821&amp;$B821,{'3) Release_Label'!$D:$D&amp;'3) Release_Label'!$E:$E,'3) Release_Label'!$F:$F},2,0), or(and(not(isblank($B821)),$B821=$B820,$A821&lt;&gt;$A820),and(not(isblank($A821)),$A821=$A820,$B821&lt;&gt;$B820)),"ID LISTS UNALIGNED",and($A821&lt;&gt;"",countif('3) Release_Label'!$D:$D,$A821)=0),"NO UPC MATCH in Release_Label",and($B821&lt;&gt;"",countif('3) Release_Label'!$E:$E,$B821)=0),"NO CATALOG ID MATCH in Release_Label",iserror(vlookup($A821&amp;$B821,'3) Release_Label'!$D:$D&amp;'3) Release_Label'!$E:$E,1,0)),"NO UPC-CATALOG ID pair MATCH in Release_Label" )</f>
        <v/>
      </c>
      <c r="D821" s="121" t="str">
        <f t="array" ref="D821">ifs(and(isblank($A821),isblank($B821)),"", not(iserror(vlookup($A821&amp;$B821,'3) Release_Label'!$D:$D&amp;'3) Release_Label'!$E:$E,1,0))),vlookup($A821&amp;$B821,{'3) Release_Label'!$D:$D&amp;'3) Release_Label'!$E:$E,'3) Release_Label'!$H:$H},2,0), or(and(not(isblank($B821)),$B821=$B820,$A821&lt;&gt;$A820),and(not(isblank($A821)),$A821=$A820,$B821&lt;&gt;$B820)),"ID LISTS UNALIGNED",and($A821&lt;&gt;"",countif('3) Release_Label'!$D:$D,$A821)=0),"NO UPC MATCH in Release_Label",and($B821&lt;&gt;"",countif('3) Release_Label'!$E:$E,$B821)=0),"NO CATALOG ID MATCH in Release_Label",iserror(vlookup($A821&amp;$B821,'3) Release_Label'!$D:$D&amp;'3) Release_Label'!$E:$E,1,0)),"NO UPC-CATALOG ID pair MATCH in Release_Label" )</f>
        <v/>
      </c>
      <c r="E821" s="147" t="str">
        <f t="shared" si="1"/>
        <v/>
      </c>
      <c r="G821" s="97"/>
      <c r="H821" s="155"/>
      <c r="J821" s="92"/>
      <c r="K821" s="98"/>
      <c r="L821" s="92"/>
      <c r="N821" s="92"/>
      <c r="O821" s="92"/>
      <c r="P821" s="92"/>
    </row>
    <row r="822">
      <c r="A822" s="28"/>
      <c r="B822" s="97"/>
      <c r="C822" s="121" t="str">
        <f t="array" ref="C822">ifs(and(isblank($A822),isblank($B822)),"", not(iserror(vlookup($A822&amp;$B822,'3) Release_Label'!$D:$D&amp;'3) Release_Label'!$E:$E,1,0))),vlookup($A822&amp;$B822,{'3) Release_Label'!$D:$D&amp;'3) Release_Label'!$E:$E,'3) Release_Label'!$F:$F},2,0), or(and(not(isblank($B822)),$B822=$B821,$A822&lt;&gt;$A821),and(not(isblank($A822)),$A822=$A821,$B822&lt;&gt;$B821)),"ID LISTS UNALIGNED",and($A822&lt;&gt;"",countif('3) Release_Label'!$D:$D,$A822)=0),"NO UPC MATCH in Release_Label",and($B822&lt;&gt;"",countif('3) Release_Label'!$E:$E,$B822)=0),"NO CATALOG ID MATCH in Release_Label",iserror(vlookup($A822&amp;$B822,'3) Release_Label'!$D:$D&amp;'3) Release_Label'!$E:$E,1,0)),"NO UPC-CATALOG ID pair MATCH in Release_Label" )</f>
        <v/>
      </c>
      <c r="D822" s="121" t="str">
        <f t="array" ref="D822">ifs(and(isblank($A822),isblank($B822)),"", not(iserror(vlookup($A822&amp;$B822,'3) Release_Label'!$D:$D&amp;'3) Release_Label'!$E:$E,1,0))),vlookup($A822&amp;$B822,{'3) Release_Label'!$D:$D&amp;'3) Release_Label'!$E:$E,'3) Release_Label'!$H:$H},2,0), or(and(not(isblank($B822)),$B822=$B821,$A822&lt;&gt;$A821),and(not(isblank($A822)),$A822=$A821,$B822&lt;&gt;$B821)),"ID LISTS UNALIGNED",and($A822&lt;&gt;"",countif('3) Release_Label'!$D:$D,$A822)=0),"NO UPC MATCH in Release_Label",and($B822&lt;&gt;"",countif('3) Release_Label'!$E:$E,$B822)=0),"NO CATALOG ID MATCH in Release_Label",iserror(vlookup($A822&amp;$B822,'3) Release_Label'!$D:$D&amp;'3) Release_Label'!$E:$E,1,0)),"NO UPC-CATALOG ID pair MATCH in Release_Label" )</f>
        <v/>
      </c>
      <c r="E822" s="147" t="str">
        <f t="shared" si="1"/>
        <v/>
      </c>
      <c r="G822" s="97"/>
      <c r="H822" s="155"/>
      <c r="J822" s="92"/>
      <c r="K822" s="98"/>
      <c r="L822" s="92"/>
      <c r="N822" s="92"/>
      <c r="O822" s="92"/>
      <c r="P822" s="92"/>
    </row>
    <row r="823">
      <c r="A823" s="28"/>
      <c r="B823" s="97"/>
      <c r="C823" s="121" t="str">
        <f t="array" ref="C823">ifs(and(isblank($A823),isblank($B823)),"", not(iserror(vlookup($A823&amp;$B823,'3) Release_Label'!$D:$D&amp;'3) Release_Label'!$E:$E,1,0))),vlookup($A823&amp;$B823,{'3) Release_Label'!$D:$D&amp;'3) Release_Label'!$E:$E,'3) Release_Label'!$F:$F},2,0), or(and(not(isblank($B823)),$B823=$B822,$A823&lt;&gt;$A822),and(not(isblank($A823)),$A823=$A822,$B823&lt;&gt;$B822)),"ID LISTS UNALIGNED",and($A823&lt;&gt;"",countif('3) Release_Label'!$D:$D,$A823)=0),"NO UPC MATCH in Release_Label",and($B823&lt;&gt;"",countif('3) Release_Label'!$E:$E,$B823)=0),"NO CATALOG ID MATCH in Release_Label",iserror(vlookup($A823&amp;$B823,'3) Release_Label'!$D:$D&amp;'3) Release_Label'!$E:$E,1,0)),"NO UPC-CATALOG ID pair MATCH in Release_Label" )</f>
        <v/>
      </c>
      <c r="D823" s="121" t="str">
        <f t="array" ref="D823">ifs(and(isblank($A823),isblank($B823)),"", not(iserror(vlookup($A823&amp;$B823,'3) Release_Label'!$D:$D&amp;'3) Release_Label'!$E:$E,1,0))),vlookup($A823&amp;$B823,{'3) Release_Label'!$D:$D&amp;'3) Release_Label'!$E:$E,'3) Release_Label'!$H:$H},2,0), or(and(not(isblank($B823)),$B823=$B822,$A823&lt;&gt;$A822),and(not(isblank($A823)),$A823=$A822,$B823&lt;&gt;$B822)),"ID LISTS UNALIGNED",and($A823&lt;&gt;"",countif('3) Release_Label'!$D:$D,$A823)=0),"NO UPC MATCH in Release_Label",and($B823&lt;&gt;"",countif('3) Release_Label'!$E:$E,$B823)=0),"NO CATALOG ID MATCH in Release_Label",iserror(vlookup($A823&amp;$B823,'3) Release_Label'!$D:$D&amp;'3) Release_Label'!$E:$E,1,0)),"NO UPC-CATALOG ID pair MATCH in Release_Label" )</f>
        <v/>
      </c>
      <c r="E823" s="147" t="str">
        <f t="shared" si="1"/>
        <v/>
      </c>
      <c r="G823" s="97"/>
      <c r="H823" s="155"/>
      <c r="J823" s="92"/>
      <c r="K823" s="98"/>
      <c r="L823" s="92"/>
      <c r="N823" s="92"/>
      <c r="O823" s="92"/>
      <c r="P823" s="92"/>
    </row>
    <row r="824">
      <c r="A824" s="28"/>
      <c r="B824" s="97"/>
      <c r="C824" s="121" t="str">
        <f t="array" ref="C824">ifs(and(isblank($A824),isblank($B824)),"", not(iserror(vlookup($A824&amp;$B824,'3) Release_Label'!$D:$D&amp;'3) Release_Label'!$E:$E,1,0))),vlookup($A824&amp;$B824,{'3) Release_Label'!$D:$D&amp;'3) Release_Label'!$E:$E,'3) Release_Label'!$F:$F},2,0), or(and(not(isblank($B824)),$B824=$B823,$A824&lt;&gt;$A823),and(not(isblank($A824)),$A824=$A823,$B824&lt;&gt;$B823)),"ID LISTS UNALIGNED",and($A824&lt;&gt;"",countif('3) Release_Label'!$D:$D,$A824)=0),"NO UPC MATCH in Release_Label",and($B824&lt;&gt;"",countif('3) Release_Label'!$E:$E,$B824)=0),"NO CATALOG ID MATCH in Release_Label",iserror(vlookup($A824&amp;$B824,'3) Release_Label'!$D:$D&amp;'3) Release_Label'!$E:$E,1,0)),"NO UPC-CATALOG ID pair MATCH in Release_Label" )</f>
        <v/>
      </c>
      <c r="D824" s="121" t="str">
        <f t="array" ref="D824">ifs(and(isblank($A824),isblank($B824)),"", not(iserror(vlookup($A824&amp;$B824,'3) Release_Label'!$D:$D&amp;'3) Release_Label'!$E:$E,1,0))),vlookup($A824&amp;$B824,{'3) Release_Label'!$D:$D&amp;'3) Release_Label'!$E:$E,'3) Release_Label'!$H:$H},2,0), or(and(not(isblank($B824)),$B824=$B823,$A824&lt;&gt;$A823),and(not(isblank($A824)),$A824=$A823,$B824&lt;&gt;$B823)),"ID LISTS UNALIGNED",and($A824&lt;&gt;"",countif('3) Release_Label'!$D:$D,$A824)=0),"NO UPC MATCH in Release_Label",and($B824&lt;&gt;"",countif('3) Release_Label'!$E:$E,$B824)=0),"NO CATALOG ID MATCH in Release_Label",iserror(vlookup($A824&amp;$B824,'3) Release_Label'!$D:$D&amp;'3) Release_Label'!$E:$E,1,0)),"NO UPC-CATALOG ID pair MATCH in Release_Label" )</f>
        <v/>
      </c>
      <c r="E824" s="147" t="str">
        <f t="shared" si="1"/>
        <v/>
      </c>
      <c r="G824" s="97"/>
      <c r="H824" s="155"/>
      <c r="J824" s="92"/>
      <c r="K824" s="98"/>
      <c r="L824" s="92"/>
      <c r="N824" s="92"/>
      <c r="O824" s="92"/>
      <c r="P824" s="92"/>
    </row>
    <row r="825">
      <c r="A825" s="28"/>
      <c r="B825" s="97"/>
      <c r="C825" s="121" t="str">
        <f t="array" ref="C825">ifs(and(isblank($A825),isblank($B825)),"", not(iserror(vlookup($A825&amp;$B825,'3) Release_Label'!$D:$D&amp;'3) Release_Label'!$E:$E,1,0))),vlookup($A825&amp;$B825,{'3) Release_Label'!$D:$D&amp;'3) Release_Label'!$E:$E,'3) Release_Label'!$F:$F},2,0), or(and(not(isblank($B825)),$B825=$B824,$A825&lt;&gt;$A824),and(not(isblank($A825)),$A825=$A824,$B825&lt;&gt;$B824)),"ID LISTS UNALIGNED",and($A825&lt;&gt;"",countif('3) Release_Label'!$D:$D,$A825)=0),"NO UPC MATCH in Release_Label",and($B825&lt;&gt;"",countif('3) Release_Label'!$E:$E,$B825)=0),"NO CATALOG ID MATCH in Release_Label",iserror(vlookup($A825&amp;$B825,'3) Release_Label'!$D:$D&amp;'3) Release_Label'!$E:$E,1,0)),"NO UPC-CATALOG ID pair MATCH in Release_Label" )</f>
        <v/>
      </c>
      <c r="D825" s="121" t="str">
        <f t="array" ref="D825">ifs(and(isblank($A825),isblank($B825)),"", not(iserror(vlookup($A825&amp;$B825,'3) Release_Label'!$D:$D&amp;'3) Release_Label'!$E:$E,1,0))),vlookup($A825&amp;$B825,{'3) Release_Label'!$D:$D&amp;'3) Release_Label'!$E:$E,'3) Release_Label'!$H:$H},2,0), or(and(not(isblank($B825)),$B825=$B824,$A825&lt;&gt;$A824),and(not(isblank($A825)),$A825=$A824,$B825&lt;&gt;$B824)),"ID LISTS UNALIGNED",and($A825&lt;&gt;"",countif('3) Release_Label'!$D:$D,$A825)=0),"NO UPC MATCH in Release_Label",and($B825&lt;&gt;"",countif('3) Release_Label'!$E:$E,$B825)=0),"NO CATALOG ID MATCH in Release_Label",iserror(vlookup($A825&amp;$B825,'3) Release_Label'!$D:$D&amp;'3) Release_Label'!$E:$E,1,0)),"NO UPC-CATALOG ID pair MATCH in Release_Label" )</f>
        <v/>
      </c>
      <c r="E825" s="147" t="str">
        <f t="shared" si="1"/>
        <v/>
      </c>
      <c r="G825" s="97"/>
      <c r="H825" s="155"/>
      <c r="J825" s="92"/>
      <c r="K825" s="98"/>
      <c r="L825" s="92"/>
      <c r="N825" s="92"/>
      <c r="O825" s="92"/>
      <c r="P825" s="92"/>
    </row>
    <row r="826">
      <c r="A826" s="28"/>
      <c r="B826" s="97"/>
      <c r="C826" s="121" t="str">
        <f t="array" ref="C826">ifs(and(isblank($A826),isblank($B826)),"", not(iserror(vlookup($A826&amp;$B826,'3) Release_Label'!$D:$D&amp;'3) Release_Label'!$E:$E,1,0))),vlookup($A826&amp;$B826,{'3) Release_Label'!$D:$D&amp;'3) Release_Label'!$E:$E,'3) Release_Label'!$F:$F},2,0), or(and(not(isblank($B826)),$B826=$B825,$A826&lt;&gt;$A825),and(not(isblank($A826)),$A826=$A825,$B826&lt;&gt;$B825)),"ID LISTS UNALIGNED",and($A826&lt;&gt;"",countif('3) Release_Label'!$D:$D,$A826)=0),"NO UPC MATCH in Release_Label",and($B826&lt;&gt;"",countif('3) Release_Label'!$E:$E,$B826)=0),"NO CATALOG ID MATCH in Release_Label",iserror(vlookup($A826&amp;$B826,'3) Release_Label'!$D:$D&amp;'3) Release_Label'!$E:$E,1,0)),"NO UPC-CATALOG ID pair MATCH in Release_Label" )</f>
        <v/>
      </c>
      <c r="D826" s="121" t="str">
        <f t="array" ref="D826">ifs(and(isblank($A826),isblank($B826)),"", not(iserror(vlookup($A826&amp;$B826,'3) Release_Label'!$D:$D&amp;'3) Release_Label'!$E:$E,1,0))),vlookup($A826&amp;$B826,{'3) Release_Label'!$D:$D&amp;'3) Release_Label'!$E:$E,'3) Release_Label'!$H:$H},2,0), or(and(not(isblank($B826)),$B826=$B825,$A826&lt;&gt;$A825),and(not(isblank($A826)),$A826=$A825,$B826&lt;&gt;$B825)),"ID LISTS UNALIGNED",and($A826&lt;&gt;"",countif('3) Release_Label'!$D:$D,$A826)=0),"NO UPC MATCH in Release_Label",and($B826&lt;&gt;"",countif('3) Release_Label'!$E:$E,$B826)=0),"NO CATALOG ID MATCH in Release_Label",iserror(vlookup($A826&amp;$B826,'3) Release_Label'!$D:$D&amp;'3) Release_Label'!$E:$E,1,0)),"NO UPC-CATALOG ID pair MATCH in Release_Label" )</f>
        <v/>
      </c>
      <c r="E826" s="147" t="str">
        <f t="shared" si="1"/>
        <v/>
      </c>
      <c r="G826" s="97"/>
      <c r="H826" s="155"/>
      <c r="J826" s="92"/>
      <c r="K826" s="98"/>
      <c r="L826" s="92"/>
      <c r="N826" s="92"/>
      <c r="O826" s="92"/>
      <c r="P826" s="92"/>
    </row>
    <row r="827">
      <c r="A827" s="28"/>
      <c r="B827" s="97"/>
      <c r="C827" s="121" t="str">
        <f t="array" ref="C827">ifs(and(isblank($A827),isblank($B827)),"", not(iserror(vlookup($A827&amp;$B827,'3) Release_Label'!$D:$D&amp;'3) Release_Label'!$E:$E,1,0))),vlookup($A827&amp;$B827,{'3) Release_Label'!$D:$D&amp;'3) Release_Label'!$E:$E,'3) Release_Label'!$F:$F},2,0), or(and(not(isblank($B827)),$B827=$B826,$A827&lt;&gt;$A826),and(not(isblank($A827)),$A827=$A826,$B827&lt;&gt;$B826)),"ID LISTS UNALIGNED",and($A827&lt;&gt;"",countif('3) Release_Label'!$D:$D,$A827)=0),"NO UPC MATCH in Release_Label",and($B827&lt;&gt;"",countif('3) Release_Label'!$E:$E,$B827)=0),"NO CATALOG ID MATCH in Release_Label",iserror(vlookup($A827&amp;$B827,'3) Release_Label'!$D:$D&amp;'3) Release_Label'!$E:$E,1,0)),"NO UPC-CATALOG ID pair MATCH in Release_Label" )</f>
        <v/>
      </c>
      <c r="D827" s="121" t="str">
        <f t="array" ref="D827">ifs(and(isblank($A827),isblank($B827)),"", not(iserror(vlookup($A827&amp;$B827,'3) Release_Label'!$D:$D&amp;'3) Release_Label'!$E:$E,1,0))),vlookup($A827&amp;$B827,{'3) Release_Label'!$D:$D&amp;'3) Release_Label'!$E:$E,'3) Release_Label'!$H:$H},2,0), or(and(not(isblank($B827)),$B827=$B826,$A827&lt;&gt;$A826),and(not(isblank($A827)),$A827=$A826,$B827&lt;&gt;$B826)),"ID LISTS UNALIGNED",and($A827&lt;&gt;"",countif('3) Release_Label'!$D:$D,$A827)=0),"NO UPC MATCH in Release_Label",and($B827&lt;&gt;"",countif('3) Release_Label'!$E:$E,$B827)=0),"NO CATALOG ID MATCH in Release_Label",iserror(vlookup($A827&amp;$B827,'3) Release_Label'!$D:$D&amp;'3) Release_Label'!$E:$E,1,0)),"NO UPC-CATALOG ID pair MATCH in Release_Label" )</f>
        <v/>
      </c>
      <c r="E827" s="147" t="str">
        <f t="shared" si="1"/>
        <v/>
      </c>
      <c r="G827" s="97"/>
      <c r="H827" s="155"/>
      <c r="J827" s="92"/>
      <c r="K827" s="98"/>
      <c r="L827" s="92"/>
      <c r="N827" s="92"/>
      <c r="O827" s="92"/>
      <c r="P827" s="92"/>
    </row>
    <row r="828">
      <c r="A828" s="28"/>
      <c r="B828" s="97"/>
      <c r="C828" s="121" t="str">
        <f t="array" ref="C828">ifs(and(isblank($A828),isblank($B828)),"", not(iserror(vlookup($A828&amp;$B828,'3) Release_Label'!$D:$D&amp;'3) Release_Label'!$E:$E,1,0))),vlookup($A828&amp;$B828,{'3) Release_Label'!$D:$D&amp;'3) Release_Label'!$E:$E,'3) Release_Label'!$F:$F},2,0), or(and(not(isblank($B828)),$B828=$B827,$A828&lt;&gt;$A827),and(not(isblank($A828)),$A828=$A827,$B828&lt;&gt;$B827)),"ID LISTS UNALIGNED",and($A828&lt;&gt;"",countif('3) Release_Label'!$D:$D,$A828)=0),"NO UPC MATCH in Release_Label",and($B828&lt;&gt;"",countif('3) Release_Label'!$E:$E,$B828)=0),"NO CATALOG ID MATCH in Release_Label",iserror(vlookup($A828&amp;$B828,'3) Release_Label'!$D:$D&amp;'3) Release_Label'!$E:$E,1,0)),"NO UPC-CATALOG ID pair MATCH in Release_Label" )</f>
        <v/>
      </c>
      <c r="D828" s="121" t="str">
        <f t="array" ref="D828">ifs(and(isblank($A828),isblank($B828)),"", not(iserror(vlookup($A828&amp;$B828,'3) Release_Label'!$D:$D&amp;'3) Release_Label'!$E:$E,1,0))),vlookup($A828&amp;$B828,{'3) Release_Label'!$D:$D&amp;'3) Release_Label'!$E:$E,'3) Release_Label'!$H:$H},2,0), or(and(not(isblank($B828)),$B828=$B827,$A828&lt;&gt;$A827),and(not(isblank($A828)),$A828=$A827,$B828&lt;&gt;$B827)),"ID LISTS UNALIGNED",and($A828&lt;&gt;"",countif('3) Release_Label'!$D:$D,$A828)=0),"NO UPC MATCH in Release_Label",and($B828&lt;&gt;"",countif('3) Release_Label'!$E:$E,$B828)=0),"NO CATALOG ID MATCH in Release_Label",iserror(vlookup($A828&amp;$B828,'3) Release_Label'!$D:$D&amp;'3) Release_Label'!$E:$E,1,0)),"NO UPC-CATALOG ID pair MATCH in Release_Label" )</f>
        <v/>
      </c>
      <c r="E828" s="147" t="str">
        <f t="shared" si="1"/>
        <v/>
      </c>
      <c r="G828" s="97"/>
      <c r="H828" s="155"/>
      <c r="J828" s="92"/>
      <c r="K828" s="98"/>
      <c r="L828" s="92"/>
      <c r="N828" s="92"/>
      <c r="O828" s="92"/>
      <c r="P828" s="92"/>
    </row>
    <row r="829">
      <c r="A829" s="28"/>
      <c r="B829" s="97"/>
      <c r="C829" s="121" t="str">
        <f t="array" ref="C829">ifs(and(isblank($A829),isblank($B829)),"", not(iserror(vlookup($A829&amp;$B829,'3) Release_Label'!$D:$D&amp;'3) Release_Label'!$E:$E,1,0))),vlookup($A829&amp;$B829,{'3) Release_Label'!$D:$D&amp;'3) Release_Label'!$E:$E,'3) Release_Label'!$F:$F},2,0), or(and(not(isblank($B829)),$B829=$B828,$A829&lt;&gt;$A828),and(not(isblank($A829)),$A829=$A828,$B829&lt;&gt;$B828)),"ID LISTS UNALIGNED",and($A829&lt;&gt;"",countif('3) Release_Label'!$D:$D,$A829)=0),"NO UPC MATCH in Release_Label",and($B829&lt;&gt;"",countif('3) Release_Label'!$E:$E,$B829)=0),"NO CATALOG ID MATCH in Release_Label",iserror(vlookup($A829&amp;$B829,'3) Release_Label'!$D:$D&amp;'3) Release_Label'!$E:$E,1,0)),"NO UPC-CATALOG ID pair MATCH in Release_Label" )</f>
        <v/>
      </c>
      <c r="D829" s="121" t="str">
        <f t="array" ref="D829">ifs(and(isblank($A829),isblank($B829)),"", not(iserror(vlookup($A829&amp;$B829,'3) Release_Label'!$D:$D&amp;'3) Release_Label'!$E:$E,1,0))),vlookup($A829&amp;$B829,{'3) Release_Label'!$D:$D&amp;'3) Release_Label'!$E:$E,'3) Release_Label'!$H:$H},2,0), or(and(not(isblank($B829)),$B829=$B828,$A829&lt;&gt;$A828),and(not(isblank($A829)),$A829=$A828,$B829&lt;&gt;$B828)),"ID LISTS UNALIGNED",and($A829&lt;&gt;"",countif('3) Release_Label'!$D:$D,$A829)=0),"NO UPC MATCH in Release_Label",and($B829&lt;&gt;"",countif('3) Release_Label'!$E:$E,$B829)=0),"NO CATALOG ID MATCH in Release_Label",iserror(vlookup($A829&amp;$B829,'3) Release_Label'!$D:$D&amp;'3) Release_Label'!$E:$E,1,0)),"NO UPC-CATALOG ID pair MATCH in Release_Label" )</f>
        <v/>
      </c>
      <c r="E829" s="147" t="str">
        <f t="shared" si="1"/>
        <v/>
      </c>
      <c r="G829" s="97"/>
      <c r="H829" s="155"/>
      <c r="J829" s="92"/>
      <c r="K829" s="98"/>
      <c r="L829" s="92"/>
      <c r="N829" s="92"/>
      <c r="O829" s="92"/>
      <c r="P829" s="92"/>
    </row>
    <row r="830">
      <c r="A830" s="28"/>
      <c r="B830" s="97"/>
      <c r="C830" s="121" t="str">
        <f t="array" ref="C830">ifs(and(isblank($A830),isblank($B830)),"", not(iserror(vlookup($A830&amp;$B830,'3) Release_Label'!$D:$D&amp;'3) Release_Label'!$E:$E,1,0))),vlookup($A830&amp;$B830,{'3) Release_Label'!$D:$D&amp;'3) Release_Label'!$E:$E,'3) Release_Label'!$F:$F},2,0), or(and(not(isblank($B830)),$B830=$B829,$A830&lt;&gt;$A829),and(not(isblank($A830)),$A830=$A829,$B830&lt;&gt;$B829)),"ID LISTS UNALIGNED",and($A830&lt;&gt;"",countif('3) Release_Label'!$D:$D,$A830)=0),"NO UPC MATCH in Release_Label",and($B830&lt;&gt;"",countif('3) Release_Label'!$E:$E,$B830)=0),"NO CATALOG ID MATCH in Release_Label",iserror(vlookup($A830&amp;$B830,'3) Release_Label'!$D:$D&amp;'3) Release_Label'!$E:$E,1,0)),"NO UPC-CATALOG ID pair MATCH in Release_Label" )</f>
        <v/>
      </c>
      <c r="D830" s="121" t="str">
        <f t="array" ref="D830">ifs(and(isblank($A830),isblank($B830)),"", not(iserror(vlookup($A830&amp;$B830,'3) Release_Label'!$D:$D&amp;'3) Release_Label'!$E:$E,1,0))),vlookup($A830&amp;$B830,{'3) Release_Label'!$D:$D&amp;'3) Release_Label'!$E:$E,'3) Release_Label'!$H:$H},2,0), or(and(not(isblank($B830)),$B830=$B829,$A830&lt;&gt;$A829),and(not(isblank($A830)),$A830=$A829,$B830&lt;&gt;$B829)),"ID LISTS UNALIGNED",and($A830&lt;&gt;"",countif('3) Release_Label'!$D:$D,$A830)=0),"NO UPC MATCH in Release_Label",and($B830&lt;&gt;"",countif('3) Release_Label'!$E:$E,$B830)=0),"NO CATALOG ID MATCH in Release_Label",iserror(vlookup($A830&amp;$B830,'3) Release_Label'!$D:$D&amp;'3) Release_Label'!$E:$E,1,0)),"NO UPC-CATALOG ID pair MATCH in Release_Label" )</f>
        <v/>
      </c>
      <c r="E830" s="147" t="str">
        <f t="shared" si="1"/>
        <v/>
      </c>
      <c r="G830" s="97"/>
      <c r="H830" s="155"/>
      <c r="J830" s="92"/>
      <c r="K830" s="98"/>
      <c r="L830" s="92"/>
      <c r="N830" s="92"/>
      <c r="O830" s="92"/>
      <c r="P830" s="92"/>
    </row>
    <row r="831">
      <c r="A831" s="28"/>
      <c r="B831" s="97"/>
      <c r="C831" s="121" t="str">
        <f t="array" ref="C831">ifs(and(isblank($A831),isblank($B831)),"", not(iserror(vlookup($A831&amp;$B831,'3) Release_Label'!$D:$D&amp;'3) Release_Label'!$E:$E,1,0))),vlookup($A831&amp;$B831,{'3) Release_Label'!$D:$D&amp;'3) Release_Label'!$E:$E,'3) Release_Label'!$F:$F},2,0), or(and(not(isblank($B831)),$B831=$B830,$A831&lt;&gt;$A830),and(not(isblank($A831)),$A831=$A830,$B831&lt;&gt;$B830)),"ID LISTS UNALIGNED",and($A831&lt;&gt;"",countif('3) Release_Label'!$D:$D,$A831)=0),"NO UPC MATCH in Release_Label",and($B831&lt;&gt;"",countif('3) Release_Label'!$E:$E,$B831)=0),"NO CATALOG ID MATCH in Release_Label",iserror(vlookup($A831&amp;$B831,'3) Release_Label'!$D:$D&amp;'3) Release_Label'!$E:$E,1,0)),"NO UPC-CATALOG ID pair MATCH in Release_Label" )</f>
        <v/>
      </c>
      <c r="D831" s="121" t="str">
        <f t="array" ref="D831">ifs(and(isblank($A831),isblank($B831)),"", not(iserror(vlookup($A831&amp;$B831,'3) Release_Label'!$D:$D&amp;'3) Release_Label'!$E:$E,1,0))),vlookup($A831&amp;$B831,{'3) Release_Label'!$D:$D&amp;'3) Release_Label'!$E:$E,'3) Release_Label'!$H:$H},2,0), or(and(not(isblank($B831)),$B831=$B830,$A831&lt;&gt;$A830),and(not(isblank($A831)),$A831=$A830,$B831&lt;&gt;$B830)),"ID LISTS UNALIGNED",and($A831&lt;&gt;"",countif('3) Release_Label'!$D:$D,$A831)=0),"NO UPC MATCH in Release_Label",and($B831&lt;&gt;"",countif('3) Release_Label'!$E:$E,$B831)=0),"NO CATALOG ID MATCH in Release_Label",iserror(vlookup($A831&amp;$B831,'3) Release_Label'!$D:$D&amp;'3) Release_Label'!$E:$E,1,0)),"NO UPC-CATALOG ID pair MATCH in Release_Label" )</f>
        <v/>
      </c>
      <c r="E831" s="147" t="str">
        <f t="shared" si="1"/>
        <v/>
      </c>
      <c r="G831" s="97"/>
      <c r="H831" s="155"/>
      <c r="J831" s="92"/>
      <c r="K831" s="98"/>
      <c r="L831" s="92"/>
      <c r="N831" s="92"/>
      <c r="O831" s="92"/>
      <c r="P831" s="92"/>
    </row>
    <row r="832">
      <c r="A832" s="28"/>
      <c r="B832" s="97"/>
      <c r="C832" s="121" t="str">
        <f t="array" ref="C832">ifs(and(isblank($A832),isblank($B832)),"", not(iserror(vlookup($A832&amp;$B832,'3) Release_Label'!$D:$D&amp;'3) Release_Label'!$E:$E,1,0))),vlookup($A832&amp;$B832,{'3) Release_Label'!$D:$D&amp;'3) Release_Label'!$E:$E,'3) Release_Label'!$F:$F},2,0), or(and(not(isblank($B832)),$B832=$B831,$A832&lt;&gt;$A831),and(not(isblank($A832)),$A832=$A831,$B832&lt;&gt;$B831)),"ID LISTS UNALIGNED",and($A832&lt;&gt;"",countif('3) Release_Label'!$D:$D,$A832)=0),"NO UPC MATCH in Release_Label",and($B832&lt;&gt;"",countif('3) Release_Label'!$E:$E,$B832)=0),"NO CATALOG ID MATCH in Release_Label",iserror(vlookup($A832&amp;$B832,'3) Release_Label'!$D:$D&amp;'3) Release_Label'!$E:$E,1,0)),"NO UPC-CATALOG ID pair MATCH in Release_Label" )</f>
        <v/>
      </c>
      <c r="D832" s="121" t="str">
        <f t="array" ref="D832">ifs(and(isblank($A832),isblank($B832)),"", not(iserror(vlookup($A832&amp;$B832,'3) Release_Label'!$D:$D&amp;'3) Release_Label'!$E:$E,1,0))),vlookup($A832&amp;$B832,{'3) Release_Label'!$D:$D&amp;'3) Release_Label'!$E:$E,'3) Release_Label'!$H:$H},2,0), or(and(not(isblank($B832)),$B832=$B831,$A832&lt;&gt;$A831),and(not(isblank($A832)),$A832=$A831,$B832&lt;&gt;$B831)),"ID LISTS UNALIGNED",and($A832&lt;&gt;"",countif('3) Release_Label'!$D:$D,$A832)=0),"NO UPC MATCH in Release_Label",and($B832&lt;&gt;"",countif('3) Release_Label'!$E:$E,$B832)=0),"NO CATALOG ID MATCH in Release_Label",iserror(vlookup($A832&amp;$B832,'3) Release_Label'!$D:$D&amp;'3) Release_Label'!$E:$E,1,0)),"NO UPC-CATALOG ID pair MATCH in Release_Label" )</f>
        <v/>
      </c>
      <c r="E832" s="147" t="str">
        <f t="shared" si="1"/>
        <v/>
      </c>
      <c r="G832" s="97"/>
      <c r="H832" s="155"/>
      <c r="J832" s="92"/>
      <c r="K832" s="98"/>
      <c r="L832" s="92"/>
      <c r="N832" s="92"/>
      <c r="O832" s="92"/>
      <c r="P832" s="92"/>
    </row>
    <row r="833">
      <c r="A833" s="28"/>
      <c r="B833" s="97"/>
      <c r="C833" s="121" t="str">
        <f t="array" ref="C833">ifs(and(isblank($A833),isblank($B833)),"", not(iserror(vlookup($A833&amp;$B833,'3) Release_Label'!$D:$D&amp;'3) Release_Label'!$E:$E,1,0))),vlookup($A833&amp;$B833,{'3) Release_Label'!$D:$D&amp;'3) Release_Label'!$E:$E,'3) Release_Label'!$F:$F},2,0), or(and(not(isblank($B833)),$B833=$B832,$A833&lt;&gt;$A832),and(not(isblank($A833)),$A833=$A832,$B833&lt;&gt;$B832)),"ID LISTS UNALIGNED",and($A833&lt;&gt;"",countif('3) Release_Label'!$D:$D,$A833)=0),"NO UPC MATCH in Release_Label",and($B833&lt;&gt;"",countif('3) Release_Label'!$E:$E,$B833)=0),"NO CATALOG ID MATCH in Release_Label",iserror(vlookup($A833&amp;$B833,'3) Release_Label'!$D:$D&amp;'3) Release_Label'!$E:$E,1,0)),"NO UPC-CATALOG ID pair MATCH in Release_Label" )</f>
        <v/>
      </c>
      <c r="D833" s="121" t="str">
        <f t="array" ref="D833">ifs(and(isblank($A833),isblank($B833)),"", not(iserror(vlookup($A833&amp;$B833,'3) Release_Label'!$D:$D&amp;'3) Release_Label'!$E:$E,1,0))),vlookup($A833&amp;$B833,{'3) Release_Label'!$D:$D&amp;'3) Release_Label'!$E:$E,'3) Release_Label'!$H:$H},2,0), or(and(not(isblank($B833)),$B833=$B832,$A833&lt;&gt;$A832),and(not(isblank($A833)),$A833=$A832,$B833&lt;&gt;$B832)),"ID LISTS UNALIGNED",and($A833&lt;&gt;"",countif('3) Release_Label'!$D:$D,$A833)=0),"NO UPC MATCH in Release_Label",and($B833&lt;&gt;"",countif('3) Release_Label'!$E:$E,$B833)=0),"NO CATALOG ID MATCH in Release_Label",iserror(vlookup($A833&amp;$B833,'3) Release_Label'!$D:$D&amp;'3) Release_Label'!$E:$E,1,0)),"NO UPC-CATALOG ID pair MATCH in Release_Label" )</f>
        <v/>
      </c>
      <c r="E833" s="147" t="str">
        <f t="shared" si="1"/>
        <v/>
      </c>
      <c r="G833" s="97"/>
      <c r="H833" s="155"/>
      <c r="J833" s="92"/>
      <c r="K833" s="98"/>
      <c r="L833" s="92"/>
      <c r="N833" s="92"/>
      <c r="O833" s="92"/>
      <c r="P833" s="92"/>
    </row>
    <row r="834">
      <c r="A834" s="28"/>
      <c r="B834" s="97"/>
      <c r="C834" s="121" t="str">
        <f t="array" ref="C834">ifs(and(isblank($A834),isblank($B834)),"", not(iserror(vlookup($A834&amp;$B834,'3) Release_Label'!$D:$D&amp;'3) Release_Label'!$E:$E,1,0))),vlookup($A834&amp;$B834,{'3) Release_Label'!$D:$D&amp;'3) Release_Label'!$E:$E,'3) Release_Label'!$F:$F},2,0), or(and(not(isblank($B834)),$B834=$B833,$A834&lt;&gt;$A833),and(not(isblank($A834)),$A834=$A833,$B834&lt;&gt;$B833)),"ID LISTS UNALIGNED",and($A834&lt;&gt;"",countif('3) Release_Label'!$D:$D,$A834)=0),"NO UPC MATCH in Release_Label",and($B834&lt;&gt;"",countif('3) Release_Label'!$E:$E,$B834)=0),"NO CATALOG ID MATCH in Release_Label",iserror(vlookup($A834&amp;$B834,'3) Release_Label'!$D:$D&amp;'3) Release_Label'!$E:$E,1,0)),"NO UPC-CATALOG ID pair MATCH in Release_Label" )</f>
        <v/>
      </c>
      <c r="D834" s="121" t="str">
        <f t="array" ref="D834">ifs(and(isblank($A834),isblank($B834)),"", not(iserror(vlookup($A834&amp;$B834,'3) Release_Label'!$D:$D&amp;'3) Release_Label'!$E:$E,1,0))),vlookup($A834&amp;$B834,{'3) Release_Label'!$D:$D&amp;'3) Release_Label'!$E:$E,'3) Release_Label'!$H:$H},2,0), or(and(not(isblank($B834)),$B834=$B833,$A834&lt;&gt;$A833),and(not(isblank($A834)),$A834=$A833,$B834&lt;&gt;$B833)),"ID LISTS UNALIGNED",and($A834&lt;&gt;"",countif('3) Release_Label'!$D:$D,$A834)=0),"NO UPC MATCH in Release_Label",and($B834&lt;&gt;"",countif('3) Release_Label'!$E:$E,$B834)=0),"NO CATALOG ID MATCH in Release_Label",iserror(vlookup($A834&amp;$B834,'3) Release_Label'!$D:$D&amp;'3) Release_Label'!$E:$E,1,0)),"NO UPC-CATALOG ID pair MATCH in Release_Label" )</f>
        <v/>
      </c>
      <c r="E834" s="147" t="str">
        <f t="shared" si="1"/>
        <v/>
      </c>
      <c r="G834" s="97"/>
      <c r="H834" s="155"/>
      <c r="J834" s="92"/>
      <c r="K834" s="98"/>
      <c r="L834" s="92"/>
      <c r="N834" s="92"/>
      <c r="O834" s="92"/>
      <c r="P834" s="92"/>
    </row>
    <row r="835">
      <c r="A835" s="28"/>
      <c r="B835" s="97"/>
      <c r="C835" s="121" t="str">
        <f t="array" ref="C835">ifs(and(isblank($A835),isblank($B835)),"", not(iserror(vlookup($A835&amp;$B835,'3) Release_Label'!$D:$D&amp;'3) Release_Label'!$E:$E,1,0))),vlookup($A835&amp;$B835,{'3) Release_Label'!$D:$D&amp;'3) Release_Label'!$E:$E,'3) Release_Label'!$F:$F},2,0), or(and(not(isblank($B835)),$B835=$B834,$A835&lt;&gt;$A834),and(not(isblank($A835)),$A835=$A834,$B835&lt;&gt;$B834)),"ID LISTS UNALIGNED",and($A835&lt;&gt;"",countif('3) Release_Label'!$D:$D,$A835)=0),"NO UPC MATCH in Release_Label",and($B835&lt;&gt;"",countif('3) Release_Label'!$E:$E,$B835)=0),"NO CATALOG ID MATCH in Release_Label",iserror(vlookup($A835&amp;$B835,'3) Release_Label'!$D:$D&amp;'3) Release_Label'!$E:$E,1,0)),"NO UPC-CATALOG ID pair MATCH in Release_Label" )</f>
        <v/>
      </c>
      <c r="D835" s="121" t="str">
        <f t="array" ref="D835">ifs(and(isblank($A835),isblank($B835)),"", not(iserror(vlookup($A835&amp;$B835,'3) Release_Label'!$D:$D&amp;'3) Release_Label'!$E:$E,1,0))),vlookup($A835&amp;$B835,{'3) Release_Label'!$D:$D&amp;'3) Release_Label'!$E:$E,'3) Release_Label'!$H:$H},2,0), or(and(not(isblank($B835)),$B835=$B834,$A835&lt;&gt;$A834),and(not(isblank($A835)),$A835=$A834,$B835&lt;&gt;$B834)),"ID LISTS UNALIGNED",and($A835&lt;&gt;"",countif('3) Release_Label'!$D:$D,$A835)=0),"NO UPC MATCH in Release_Label",and($B835&lt;&gt;"",countif('3) Release_Label'!$E:$E,$B835)=0),"NO CATALOG ID MATCH in Release_Label",iserror(vlookup($A835&amp;$B835,'3) Release_Label'!$D:$D&amp;'3) Release_Label'!$E:$E,1,0)),"NO UPC-CATALOG ID pair MATCH in Release_Label" )</f>
        <v/>
      </c>
      <c r="E835" s="147" t="str">
        <f t="shared" si="1"/>
        <v/>
      </c>
      <c r="G835" s="97"/>
      <c r="H835" s="155"/>
      <c r="J835" s="92"/>
      <c r="K835" s="98"/>
      <c r="L835" s="92"/>
      <c r="N835" s="92"/>
      <c r="O835" s="92"/>
      <c r="P835" s="92"/>
    </row>
    <row r="836">
      <c r="A836" s="28"/>
      <c r="B836" s="97"/>
      <c r="C836" s="121" t="str">
        <f t="array" ref="C836">ifs(and(isblank($A836),isblank($B836)),"", not(iserror(vlookup($A836&amp;$B836,'3) Release_Label'!$D:$D&amp;'3) Release_Label'!$E:$E,1,0))),vlookup($A836&amp;$B836,{'3) Release_Label'!$D:$D&amp;'3) Release_Label'!$E:$E,'3) Release_Label'!$F:$F},2,0), or(and(not(isblank($B836)),$B836=$B835,$A836&lt;&gt;$A835),and(not(isblank($A836)),$A836=$A835,$B836&lt;&gt;$B835)),"ID LISTS UNALIGNED",and($A836&lt;&gt;"",countif('3) Release_Label'!$D:$D,$A836)=0),"NO UPC MATCH in Release_Label",and($B836&lt;&gt;"",countif('3) Release_Label'!$E:$E,$B836)=0),"NO CATALOG ID MATCH in Release_Label",iserror(vlookup($A836&amp;$B836,'3) Release_Label'!$D:$D&amp;'3) Release_Label'!$E:$E,1,0)),"NO UPC-CATALOG ID pair MATCH in Release_Label" )</f>
        <v/>
      </c>
      <c r="D836" s="121" t="str">
        <f t="array" ref="D836">ifs(and(isblank($A836),isblank($B836)),"", not(iserror(vlookup($A836&amp;$B836,'3) Release_Label'!$D:$D&amp;'3) Release_Label'!$E:$E,1,0))),vlookup($A836&amp;$B836,{'3) Release_Label'!$D:$D&amp;'3) Release_Label'!$E:$E,'3) Release_Label'!$H:$H},2,0), or(and(not(isblank($B836)),$B836=$B835,$A836&lt;&gt;$A835),and(not(isblank($A836)),$A836=$A835,$B836&lt;&gt;$B835)),"ID LISTS UNALIGNED",and($A836&lt;&gt;"",countif('3) Release_Label'!$D:$D,$A836)=0),"NO UPC MATCH in Release_Label",and($B836&lt;&gt;"",countif('3) Release_Label'!$E:$E,$B836)=0),"NO CATALOG ID MATCH in Release_Label",iserror(vlookup($A836&amp;$B836,'3) Release_Label'!$D:$D&amp;'3) Release_Label'!$E:$E,1,0)),"NO UPC-CATALOG ID pair MATCH in Release_Label" )</f>
        <v/>
      </c>
      <c r="E836" s="147" t="str">
        <f t="shared" si="1"/>
        <v/>
      </c>
      <c r="G836" s="97"/>
      <c r="H836" s="155"/>
      <c r="J836" s="92"/>
      <c r="K836" s="98"/>
      <c r="L836" s="92"/>
      <c r="N836" s="92"/>
      <c r="O836" s="92"/>
      <c r="P836" s="92"/>
    </row>
    <row r="837">
      <c r="A837" s="28"/>
      <c r="B837" s="97"/>
      <c r="C837" s="121" t="str">
        <f t="array" ref="C837">ifs(and(isblank($A837),isblank($B837)),"", not(iserror(vlookup($A837&amp;$B837,'3) Release_Label'!$D:$D&amp;'3) Release_Label'!$E:$E,1,0))),vlookup($A837&amp;$B837,{'3) Release_Label'!$D:$D&amp;'3) Release_Label'!$E:$E,'3) Release_Label'!$F:$F},2,0), or(and(not(isblank($B837)),$B837=$B836,$A837&lt;&gt;$A836),and(not(isblank($A837)),$A837=$A836,$B837&lt;&gt;$B836)),"ID LISTS UNALIGNED",and($A837&lt;&gt;"",countif('3) Release_Label'!$D:$D,$A837)=0),"NO UPC MATCH in Release_Label",and($B837&lt;&gt;"",countif('3) Release_Label'!$E:$E,$B837)=0),"NO CATALOG ID MATCH in Release_Label",iserror(vlookup($A837&amp;$B837,'3) Release_Label'!$D:$D&amp;'3) Release_Label'!$E:$E,1,0)),"NO UPC-CATALOG ID pair MATCH in Release_Label" )</f>
        <v/>
      </c>
      <c r="D837" s="121" t="str">
        <f t="array" ref="D837">ifs(and(isblank($A837),isblank($B837)),"", not(iserror(vlookup($A837&amp;$B837,'3) Release_Label'!$D:$D&amp;'3) Release_Label'!$E:$E,1,0))),vlookup($A837&amp;$B837,{'3) Release_Label'!$D:$D&amp;'3) Release_Label'!$E:$E,'3) Release_Label'!$H:$H},2,0), or(and(not(isblank($B837)),$B837=$B836,$A837&lt;&gt;$A836),and(not(isblank($A837)),$A837=$A836,$B837&lt;&gt;$B836)),"ID LISTS UNALIGNED",and($A837&lt;&gt;"",countif('3) Release_Label'!$D:$D,$A837)=0),"NO UPC MATCH in Release_Label",and($B837&lt;&gt;"",countif('3) Release_Label'!$E:$E,$B837)=0),"NO CATALOG ID MATCH in Release_Label",iserror(vlookup($A837&amp;$B837,'3) Release_Label'!$D:$D&amp;'3) Release_Label'!$E:$E,1,0)),"NO UPC-CATALOG ID pair MATCH in Release_Label" )</f>
        <v/>
      </c>
      <c r="E837" s="147" t="str">
        <f t="shared" si="1"/>
        <v/>
      </c>
      <c r="G837" s="97"/>
      <c r="H837" s="155"/>
      <c r="J837" s="92"/>
      <c r="K837" s="98"/>
      <c r="L837" s="92"/>
      <c r="N837" s="92"/>
      <c r="O837" s="92"/>
      <c r="P837" s="92"/>
    </row>
    <row r="838">
      <c r="A838" s="28"/>
      <c r="B838" s="97"/>
      <c r="C838" s="121" t="str">
        <f t="array" ref="C838">ifs(and(isblank($A838),isblank($B838)),"", not(iserror(vlookup($A838&amp;$B838,'3) Release_Label'!$D:$D&amp;'3) Release_Label'!$E:$E,1,0))),vlookup($A838&amp;$B838,{'3) Release_Label'!$D:$D&amp;'3) Release_Label'!$E:$E,'3) Release_Label'!$F:$F},2,0), or(and(not(isblank($B838)),$B838=$B837,$A838&lt;&gt;$A837),and(not(isblank($A838)),$A838=$A837,$B838&lt;&gt;$B837)),"ID LISTS UNALIGNED",and($A838&lt;&gt;"",countif('3) Release_Label'!$D:$D,$A838)=0),"NO UPC MATCH in Release_Label",and($B838&lt;&gt;"",countif('3) Release_Label'!$E:$E,$B838)=0),"NO CATALOG ID MATCH in Release_Label",iserror(vlookup($A838&amp;$B838,'3) Release_Label'!$D:$D&amp;'3) Release_Label'!$E:$E,1,0)),"NO UPC-CATALOG ID pair MATCH in Release_Label" )</f>
        <v/>
      </c>
      <c r="D838" s="121" t="str">
        <f t="array" ref="D838">ifs(and(isblank($A838),isblank($B838)),"", not(iserror(vlookup($A838&amp;$B838,'3) Release_Label'!$D:$D&amp;'3) Release_Label'!$E:$E,1,0))),vlookup($A838&amp;$B838,{'3) Release_Label'!$D:$D&amp;'3) Release_Label'!$E:$E,'3) Release_Label'!$H:$H},2,0), or(and(not(isblank($B838)),$B838=$B837,$A838&lt;&gt;$A837),and(not(isblank($A838)),$A838=$A837,$B838&lt;&gt;$B837)),"ID LISTS UNALIGNED",and($A838&lt;&gt;"",countif('3) Release_Label'!$D:$D,$A838)=0),"NO UPC MATCH in Release_Label",and($B838&lt;&gt;"",countif('3) Release_Label'!$E:$E,$B838)=0),"NO CATALOG ID MATCH in Release_Label",iserror(vlookup($A838&amp;$B838,'3) Release_Label'!$D:$D&amp;'3) Release_Label'!$E:$E,1,0)),"NO UPC-CATALOG ID pair MATCH in Release_Label" )</f>
        <v/>
      </c>
      <c r="E838" s="147" t="str">
        <f t="shared" si="1"/>
        <v/>
      </c>
      <c r="G838" s="97"/>
      <c r="H838" s="155"/>
      <c r="J838" s="92"/>
      <c r="K838" s="98"/>
      <c r="L838" s="92"/>
      <c r="N838" s="92"/>
      <c r="O838" s="92"/>
      <c r="P838" s="92"/>
    </row>
    <row r="839">
      <c r="A839" s="28"/>
      <c r="B839" s="97"/>
      <c r="C839" s="121" t="str">
        <f t="array" ref="C839">ifs(and(isblank($A839),isblank($B839)),"", not(iserror(vlookup($A839&amp;$B839,'3) Release_Label'!$D:$D&amp;'3) Release_Label'!$E:$E,1,0))),vlookup($A839&amp;$B839,{'3) Release_Label'!$D:$D&amp;'3) Release_Label'!$E:$E,'3) Release_Label'!$F:$F},2,0), or(and(not(isblank($B839)),$B839=$B838,$A839&lt;&gt;$A838),and(not(isblank($A839)),$A839=$A838,$B839&lt;&gt;$B838)),"ID LISTS UNALIGNED",and($A839&lt;&gt;"",countif('3) Release_Label'!$D:$D,$A839)=0),"NO UPC MATCH in Release_Label",and($B839&lt;&gt;"",countif('3) Release_Label'!$E:$E,$B839)=0),"NO CATALOG ID MATCH in Release_Label",iserror(vlookup($A839&amp;$B839,'3) Release_Label'!$D:$D&amp;'3) Release_Label'!$E:$E,1,0)),"NO UPC-CATALOG ID pair MATCH in Release_Label" )</f>
        <v/>
      </c>
      <c r="D839" s="121" t="str">
        <f t="array" ref="D839">ifs(and(isblank($A839),isblank($B839)),"", not(iserror(vlookup($A839&amp;$B839,'3) Release_Label'!$D:$D&amp;'3) Release_Label'!$E:$E,1,0))),vlookup($A839&amp;$B839,{'3) Release_Label'!$D:$D&amp;'3) Release_Label'!$E:$E,'3) Release_Label'!$H:$H},2,0), or(and(not(isblank($B839)),$B839=$B838,$A839&lt;&gt;$A838),and(not(isblank($A839)),$A839=$A838,$B839&lt;&gt;$B838)),"ID LISTS UNALIGNED",and($A839&lt;&gt;"",countif('3) Release_Label'!$D:$D,$A839)=0),"NO UPC MATCH in Release_Label",and($B839&lt;&gt;"",countif('3) Release_Label'!$E:$E,$B839)=0),"NO CATALOG ID MATCH in Release_Label",iserror(vlookup($A839&amp;$B839,'3) Release_Label'!$D:$D&amp;'3) Release_Label'!$E:$E,1,0)),"NO UPC-CATALOG ID pair MATCH in Release_Label" )</f>
        <v/>
      </c>
      <c r="E839" s="147" t="str">
        <f t="shared" si="1"/>
        <v/>
      </c>
      <c r="G839" s="97"/>
      <c r="H839" s="155"/>
      <c r="J839" s="92"/>
      <c r="K839" s="98"/>
      <c r="L839" s="92"/>
      <c r="N839" s="92"/>
      <c r="O839" s="92"/>
      <c r="P839" s="92"/>
    </row>
    <row r="840">
      <c r="A840" s="28"/>
      <c r="B840" s="97"/>
      <c r="C840" s="121" t="str">
        <f t="array" ref="C840">ifs(and(isblank($A840),isblank($B840)),"", not(iserror(vlookup($A840&amp;$B840,'3) Release_Label'!$D:$D&amp;'3) Release_Label'!$E:$E,1,0))),vlookup($A840&amp;$B840,{'3) Release_Label'!$D:$D&amp;'3) Release_Label'!$E:$E,'3) Release_Label'!$F:$F},2,0), or(and(not(isblank($B840)),$B840=$B839,$A840&lt;&gt;$A839),and(not(isblank($A840)),$A840=$A839,$B840&lt;&gt;$B839)),"ID LISTS UNALIGNED",and($A840&lt;&gt;"",countif('3) Release_Label'!$D:$D,$A840)=0),"NO UPC MATCH in Release_Label",and($B840&lt;&gt;"",countif('3) Release_Label'!$E:$E,$B840)=0),"NO CATALOG ID MATCH in Release_Label",iserror(vlookup($A840&amp;$B840,'3) Release_Label'!$D:$D&amp;'3) Release_Label'!$E:$E,1,0)),"NO UPC-CATALOG ID pair MATCH in Release_Label" )</f>
        <v/>
      </c>
      <c r="D840" s="121" t="str">
        <f t="array" ref="D840">ifs(and(isblank($A840),isblank($B840)),"", not(iserror(vlookup($A840&amp;$B840,'3) Release_Label'!$D:$D&amp;'3) Release_Label'!$E:$E,1,0))),vlookup($A840&amp;$B840,{'3) Release_Label'!$D:$D&amp;'3) Release_Label'!$E:$E,'3) Release_Label'!$H:$H},2,0), or(and(not(isblank($B840)),$B840=$B839,$A840&lt;&gt;$A839),and(not(isblank($A840)),$A840=$A839,$B840&lt;&gt;$B839)),"ID LISTS UNALIGNED",and($A840&lt;&gt;"",countif('3) Release_Label'!$D:$D,$A840)=0),"NO UPC MATCH in Release_Label",and($B840&lt;&gt;"",countif('3) Release_Label'!$E:$E,$B840)=0),"NO CATALOG ID MATCH in Release_Label",iserror(vlookup($A840&amp;$B840,'3) Release_Label'!$D:$D&amp;'3) Release_Label'!$E:$E,1,0)),"NO UPC-CATALOG ID pair MATCH in Release_Label" )</f>
        <v/>
      </c>
      <c r="E840" s="147" t="str">
        <f t="shared" si="1"/>
        <v/>
      </c>
      <c r="G840" s="97"/>
      <c r="H840" s="155"/>
      <c r="J840" s="92"/>
      <c r="K840" s="98"/>
      <c r="L840" s="92"/>
      <c r="N840" s="92"/>
      <c r="O840" s="92"/>
      <c r="P840" s="92"/>
    </row>
    <row r="841">
      <c r="A841" s="28"/>
      <c r="B841" s="97"/>
      <c r="C841" s="121" t="str">
        <f t="array" ref="C841">ifs(and(isblank($A841),isblank($B841)),"", not(iserror(vlookup($A841&amp;$B841,'3) Release_Label'!$D:$D&amp;'3) Release_Label'!$E:$E,1,0))),vlookup($A841&amp;$B841,{'3) Release_Label'!$D:$D&amp;'3) Release_Label'!$E:$E,'3) Release_Label'!$F:$F},2,0), or(and(not(isblank($B841)),$B841=$B840,$A841&lt;&gt;$A840),and(not(isblank($A841)),$A841=$A840,$B841&lt;&gt;$B840)),"ID LISTS UNALIGNED",and($A841&lt;&gt;"",countif('3) Release_Label'!$D:$D,$A841)=0),"NO UPC MATCH in Release_Label",and($B841&lt;&gt;"",countif('3) Release_Label'!$E:$E,$B841)=0),"NO CATALOG ID MATCH in Release_Label",iserror(vlookup($A841&amp;$B841,'3) Release_Label'!$D:$D&amp;'3) Release_Label'!$E:$E,1,0)),"NO UPC-CATALOG ID pair MATCH in Release_Label" )</f>
        <v/>
      </c>
      <c r="D841" s="121" t="str">
        <f t="array" ref="D841">ifs(and(isblank($A841),isblank($B841)),"", not(iserror(vlookup($A841&amp;$B841,'3) Release_Label'!$D:$D&amp;'3) Release_Label'!$E:$E,1,0))),vlookup($A841&amp;$B841,{'3) Release_Label'!$D:$D&amp;'3) Release_Label'!$E:$E,'3) Release_Label'!$H:$H},2,0), or(and(not(isblank($B841)),$B841=$B840,$A841&lt;&gt;$A840),and(not(isblank($A841)),$A841=$A840,$B841&lt;&gt;$B840)),"ID LISTS UNALIGNED",and($A841&lt;&gt;"",countif('3) Release_Label'!$D:$D,$A841)=0),"NO UPC MATCH in Release_Label",and($B841&lt;&gt;"",countif('3) Release_Label'!$E:$E,$B841)=0),"NO CATALOG ID MATCH in Release_Label",iserror(vlookup($A841&amp;$B841,'3) Release_Label'!$D:$D&amp;'3) Release_Label'!$E:$E,1,0)),"NO UPC-CATALOG ID pair MATCH in Release_Label" )</f>
        <v/>
      </c>
      <c r="E841" s="147" t="str">
        <f t="shared" si="1"/>
        <v/>
      </c>
      <c r="G841" s="97"/>
      <c r="H841" s="155"/>
      <c r="J841" s="92"/>
      <c r="K841" s="98"/>
      <c r="L841" s="92"/>
      <c r="N841" s="92"/>
      <c r="O841" s="92"/>
      <c r="P841" s="92"/>
    </row>
    <row r="842">
      <c r="A842" s="28"/>
      <c r="B842" s="97"/>
      <c r="C842" s="121" t="str">
        <f t="array" ref="C842">ifs(and(isblank($A842),isblank($B842)),"", not(iserror(vlookup($A842&amp;$B842,'3) Release_Label'!$D:$D&amp;'3) Release_Label'!$E:$E,1,0))),vlookup($A842&amp;$B842,{'3) Release_Label'!$D:$D&amp;'3) Release_Label'!$E:$E,'3) Release_Label'!$F:$F},2,0), or(and(not(isblank($B842)),$B842=$B841,$A842&lt;&gt;$A841),and(not(isblank($A842)),$A842=$A841,$B842&lt;&gt;$B841)),"ID LISTS UNALIGNED",and($A842&lt;&gt;"",countif('3) Release_Label'!$D:$D,$A842)=0),"NO UPC MATCH in Release_Label",and($B842&lt;&gt;"",countif('3) Release_Label'!$E:$E,$B842)=0),"NO CATALOG ID MATCH in Release_Label",iserror(vlookup($A842&amp;$B842,'3) Release_Label'!$D:$D&amp;'3) Release_Label'!$E:$E,1,0)),"NO UPC-CATALOG ID pair MATCH in Release_Label" )</f>
        <v/>
      </c>
      <c r="D842" s="121" t="str">
        <f t="array" ref="D842">ifs(and(isblank($A842),isblank($B842)),"", not(iserror(vlookup($A842&amp;$B842,'3) Release_Label'!$D:$D&amp;'3) Release_Label'!$E:$E,1,0))),vlookup($A842&amp;$B842,{'3) Release_Label'!$D:$D&amp;'3) Release_Label'!$E:$E,'3) Release_Label'!$H:$H},2,0), or(and(not(isblank($B842)),$B842=$B841,$A842&lt;&gt;$A841),and(not(isblank($A842)),$A842=$A841,$B842&lt;&gt;$B841)),"ID LISTS UNALIGNED",and($A842&lt;&gt;"",countif('3) Release_Label'!$D:$D,$A842)=0),"NO UPC MATCH in Release_Label",and($B842&lt;&gt;"",countif('3) Release_Label'!$E:$E,$B842)=0),"NO CATALOG ID MATCH in Release_Label",iserror(vlookup($A842&amp;$B842,'3) Release_Label'!$D:$D&amp;'3) Release_Label'!$E:$E,1,0)),"NO UPC-CATALOG ID pair MATCH in Release_Label" )</f>
        <v/>
      </c>
      <c r="E842" s="147" t="str">
        <f t="shared" si="1"/>
        <v/>
      </c>
      <c r="G842" s="97"/>
      <c r="H842" s="155"/>
      <c r="J842" s="92"/>
      <c r="K842" s="98"/>
      <c r="L842" s="92"/>
      <c r="N842" s="92"/>
      <c r="O842" s="92"/>
      <c r="P842" s="92"/>
    </row>
    <row r="843">
      <c r="A843" s="28"/>
      <c r="B843" s="97"/>
      <c r="C843" s="121" t="str">
        <f t="array" ref="C843">ifs(and(isblank($A843),isblank($B843)),"", not(iserror(vlookup($A843&amp;$B843,'3) Release_Label'!$D:$D&amp;'3) Release_Label'!$E:$E,1,0))),vlookup($A843&amp;$B843,{'3) Release_Label'!$D:$D&amp;'3) Release_Label'!$E:$E,'3) Release_Label'!$F:$F},2,0), or(and(not(isblank($B843)),$B843=$B842,$A843&lt;&gt;$A842),and(not(isblank($A843)),$A843=$A842,$B843&lt;&gt;$B842)),"ID LISTS UNALIGNED",and($A843&lt;&gt;"",countif('3) Release_Label'!$D:$D,$A843)=0),"NO UPC MATCH in Release_Label",and($B843&lt;&gt;"",countif('3) Release_Label'!$E:$E,$B843)=0),"NO CATALOG ID MATCH in Release_Label",iserror(vlookup($A843&amp;$B843,'3) Release_Label'!$D:$D&amp;'3) Release_Label'!$E:$E,1,0)),"NO UPC-CATALOG ID pair MATCH in Release_Label" )</f>
        <v/>
      </c>
      <c r="D843" s="121" t="str">
        <f t="array" ref="D843">ifs(and(isblank($A843),isblank($B843)),"", not(iserror(vlookup($A843&amp;$B843,'3) Release_Label'!$D:$D&amp;'3) Release_Label'!$E:$E,1,0))),vlookup($A843&amp;$B843,{'3) Release_Label'!$D:$D&amp;'3) Release_Label'!$E:$E,'3) Release_Label'!$H:$H},2,0), or(and(not(isblank($B843)),$B843=$B842,$A843&lt;&gt;$A842),and(not(isblank($A843)),$A843=$A842,$B843&lt;&gt;$B842)),"ID LISTS UNALIGNED",and($A843&lt;&gt;"",countif('3) Release_Label'!$D:$D,$A843)=0),"NO UPC MATCH in Release_Label",and($B843&lt;&gt;"",countif('3) Release_Label'!$E:$E,$B843)=0),"NO CATALOG ID MATCH in Release_Label",iserror(vlookup($A843&amp;$B843,'3) Release_Label'!$D:$D&amp;'3) Release_Label'!$E:$E,1,0)),"NO UPC-CATALOG ID pair MATCH in Release_Label" )</f>
        <v/>
      </c>
      <c r="E843" s="147" t="str">
        <f t="shared" si="1"/>
        <v/>
      </c>
      <c r="G843" s="97"/>
      <c r="H843" s="155"/>
      <c r="J843" s="92"/>
      <c r="K843" s="98"/>
      <c r="L843" s="92"/>
      <c r="N843" s="92"/>
      <c r="O843" s="92"/>
      <c r="P843" s="92"/>
    </row>
    <row r="844">
      <c r="A844" s="28"/>
      <c r="B844" s="97"/>
      <c r="C844" s="121" t="str">
        <f t="array" ref="C844">ifs(and(isblank($A844),isblank($B844)),"", not(iserror(vlookup($A844&amp;$B844,'3) Release_Label'!$D:$D&amp;'3) Release_Label'!$E:$E,1,0))),vlookup($A844&amp;$B844,{'3) Release_Label'!$D:$D&amp;'3) Release_Label'!$E:$E,'3) Release_Label'!$F:$F},2,0), or(and(not(isblank($B844)),$B844=$B843,$A844&lt;&gt;$A843),and(not(isblank($A844)),$A844=$A843,$B844&lt;&gt;$B843)),"ID LISTS UNALIGNED",and($A844&lt;&gt;"",countif('3) Release_Label'!$D:$D,$A844)=0),"NO UPC MATCH in Release_Label",and($B844&lt;&gt;"",countif('3) Release_Label'!$E:$E,$B844)=0),"NO CATALOG ID MATCH in Release_Label",iserror(vlookup($A844&amp;$B844,'3) Release_Label'!$D:$D&amp;'3) Release_Label'!$E:$E,1,0)),"NO UPC-CATALOG ID pair MATCH in Release_Label" )</f>
        <v/>
      </c>
      <c r="D844" s="121" t="str">
        <f t="array" ref="D844">ifs(and(isblank($A844),isblank($B844)),"", not(iserror(vlookup($A844&amp;$B844,'3) Release_Label'!$D:$D&amp;'3) Release_Label'!$E:$E,1,0))),vlookup($A844&amp;$B844,{'3) Release_Label'!$D:$D&amp;'3) Release_Label'!$E:$E,'3) Release_Label'!$H:$H},2,0), or(and(not(isblank($B844)),$B844=$B843,$A844&lt;&gt;$A843),and(not(isblank($A844)),$A844=$A843,$B844&lt;&gt;$B843)),"ID LISTS UNALIGNED",and($A844&lt;&gt;"",countif('3) Release_Label'!$D:$D,$A844)=0),"NO UPC MATCH in Release_Label",and($B844&lt;&gt;"",countif('3) Release_Label'!$E:$E,$B844)=0),"NO CATALOG ID MATCH in Release_Label",iserror(vlookup($A844&amp;$B844,'3) Release_Label'!$D:$D&amp;'3) Release_Label'!$E:$E,1,0)),"NO UPC-CATALOG ID pair MATCH in Release_Label" )</f>
        <v/>
      </c>
      <c r="E844" s="147" t="str">
        <f t="shared" si="1"/>
        <v/>
      </c>
      <c r="G844" s="97"/>
      <c r="H844" s="155"/>
      <c r="J844" s="92"/>
      <c r="K844" s="98"/>
      <c r="L844" s="92"/>
      <c r="N844" s="92"/>
      <c r="O844" s="92"/>
      <c r="P844" s="92"/>
    </row>
    <row r="845">
      <c r="A845" s="28"/>
      <c r="B845" s="97"/>
      <c r="C845" s="121" t="str">
        <f t="array" ref="C845">ifs(and(isblank($A845),isblank($B845)),"", not(iserror(vlookup($A845&amp;$B845,'3) Release_Label'!$D:$D&amp;'3) Release_Label'!$E:$E,1,0))),vlookup($A845&amp;$B845,{'3) Release_Label'!$D:$D&amp;'3) Release_Label'!$E:$E,'3) Release_Label'!$F:$F},2,0), or(and(not(isblank($B845)),$B845=$B844,$A845&lt;&gt;$A844),and(not(isblank($A845)),$A845=$A844,$B845&lt;&gt;$B844)),"ID LISTS UNALIGNED",and($A845&lt;&gt;"",countif('3) Release_Label'!$D:$D,$A845)=0),"NO UPC MATCH in Release_Label",and($B845&lt;&gt;"",countif('3) Release_Label'!$E:$E,$B845)=0),"NO CATALOG ID MATCH in Release_Label",iserror(vlookup($A845&amp;$B845,'3) Release_Label'!$D:$D&amp;'3) Release_Label'!$E:$E,1,0)),"NO UPC-CATALOG ID pair MATCH in Release_Label" )</f>
        <v/>
      </c>
      <c r="D845" s="121" t="str">
        <f t="array" ref="D845">ifs(and(isblank($A845),isblank($B845)),"", not(iserror(vlookup($A845&amp;$B845,'3) Release_Label'!$D:$D&amp;'3) Release_Label'!$E:$E,1,0))),vlookup($A845&amp;$B845,{'3) Release_Label'!$D:$D&amp;'3) Release_Label'!$E:$E,'3) Release_Label'!$H:$H},2,0), or(and(not(isblank($B845)),$B845=$B844,$A845&lt;&gt;$A844),and(not(isblank($A845)),$A845=$A844,$B845&lt;&gt;$B844)),"ID LISTS UNALIGNED",and($A845&lt;&gt;"",countif('3) Release_Label'!$D:$D,$A845)=0),"NO UPC MATCH in Release_Label",and($B845&lt;&gt;"",countif('3) Release_Label'!$E:$E,$B845)=0),"NO CATALOG ID MATCH in Release_Label",iserror(vlookup($A845&amp;$B845,'3) Release_Label'!$D:$D&amp;'3) Release_Label'!$E:$E,1,0)),"NO UPC-CATALOG ID pair MATCH in Release_Label" )</f>
        <v/>
      </c>
      <c r="E845" s="147" t="str">
        <f t="shared" si="1"/>
        <v/>
      </c>
      <c r="G845" s="97"/>
      <c r="H845" s="155"/>
      <c r="J845" s="92"/>
      <c r="K845" s="98"/>
      <c r="L845" s="92"/>
      <c r="N845" s="92"/>
      <c r="O845" s="92"/>
      <c r="P845" s="92"/>
    </row>
    <row r="846">
      <c r="A846" s="28"/>
      <c r="B846" s="97"/>
      <c r="C846" s="121" t="str">
        <f t="array" ref="C846">ifs(and(isblank($A846),isblank($B846)),"", not(iserror(vlookup($A846&amp;$B846,'3) Release_Label'!$D:$D&amp;'3) Release_Label'!$E:$E,1,0))),vlookup($A846&amp;$B846,{'3) Release_Label'!$D:$D&amp;'3) Release_Label'!$E:$E,'3) Release_Label'!$F:$F},2,0), or(and(not(isblank($B846)),$B846=$B845,$A846&lt;&gt;$A845),and(not(isblank($A846)),$A846=$A845,$B846&lt;&gt;$B845)),"ID LISTS UNALIGNED",and($A846&lt;&gt;"",countif('3) Release_Label'!$D:$D,$A846)=0),"NO UPC MATCH in Release_Label",and($B846&lt;&gt;"",countif('3) Release_Label'!$E:$E,$B846)=0),"NO CATALOG ID MATCH in Release_Label",iserror(vlookup($A846&amp;$B846,'3) Release_Label'!$D:$D&amp;'3) Release_Label'!$E:$E,1,0)),"NO UPC-CATALOG ID pair MATCH in Release_Label" )</f>
        <v/>
      </c>
      <c r="D846" s="121" t="str">
        <f t="array" ref="D846">ifs(and(isblank($A846),isblank($B846)),"", not(iserror(vlookup($A846&amp;$B846,'3) Release_Label'!$D:$D&amp;'3) Release_Label'!$E:$E,1,0))),vlookup($A846&amp;$B846,{'3) Release_Label'!$D:$D&amp;'3) Release_Label'!$E:$E,'3) Release_Label'!$H:$H},2,0), or(and(not(isblank($B846)),$B846=$B845,$A846&lt;&gt;$A845),and(not(isblank($A846)),$A846=$A845,$B846&lt;&gt;$B845)),"ID LISTS UNALIGNED",and($A846&lt;&gt;"",countif('3) Release_Label'!$D:$D,$A846)=0),"NO UPC MATCH in Release_Label",and($B846&lt;&gt;"",countif('3) Release_Label'!$E:$E,$B846)=0),"NO CATALOG ID MATCH in Release_Label",iserror(vlookup($A846&amp;$B846,'3) Release_Label'!$D:$D&amp;'3) Release_Label'!$E:$E,1,0)),"NO UPC-CATALOG ID pair MATCH in Release_Label" )</f>
        <v/>
      </c>
      <c r="E846" s="147" t="str">
        <f t="shared" si="1"/>
        <v/>
      </c>
      <c r="G846" s="97"/>
      <c r="H846" s="155"/>
      <c r="J846" s="92"/>
      <c r="K846" s="98"/>
      <c r="L846" s="92"/>
      <c r="N846" s="92"/>
      <c r="O846" s="92"/>
      <c r="P846" s="92"/>
    </row>
    <row r="847">
      <c r="A847" s="28"/>
      <c r="B847" s="97"/>
      <c r="C847" s="121" t="str">
        <f t="array" ref="C847">ifs(and(isblank($A847),isblank($B847)),"", not(iserror(vlookup($A847&amp;$B847,'3) Release_Label'!$D:$D&amp;'3) Release_Label'!$E:$E,1,0))),vlookup($A847&amp;$B847,{'3) Release_Label'!$D:$D&amp;'3) Release_Label'!$E:$E,'3) Release_Label'!$F:$F},2,0), or(and(not(isblank($B847)),$B847=$B846,$A847&lt;&gt;$A846),and(not(isblank($A847)),$A847=$A846,$B847&lt;&gt;$B846)),"ID LISTS UNALIGNED",and($A847&lt;&gt;"",countif('3) Release_Label'!$D:$D,$A847)=0),"NO UPC MATCH in Release_Label",and($B847&lt;&gt;"",countif('3) Release_Label'!$E:$E,$B847)=0),"NO CATALOG ID MATCH in Release_Label",iserror(vlookup($A847&amp;$B847,'3) Release_Label'!$D:$D&amp;'3) Release_Label'!$E:$E,1,0)),"NO UPC-CATALOG ID pair MATCH in Release_Label" )</f>
        <v/>
      </c>
      <c r="D847" s="121" t="str">
        <f t="array" ref="D847">ifs(and(isblank($A847),isblank($B847)),"", not(iserror(vlookup($A847&amp;$B847,'3) Release_Label'!$D:$D&amp;'3) Release_Label'!$E:$E,1,0))),vlookup($A847&amp;$B847,{'3) Release_Label'!$D:$D&amp;'3) Release_Label'!$E:$E,'3) Release_Label'!$H:$H},2,0), or(and(not(isblank($B847)),$B847=$B846,$A847&lt;&gt;$A846),and(not(isblank($A847)),$A847=$A846,$B847&lt;&gt;$B846)),"ID LISTS UNALIGNED",and($A847&lt;&gt;"",countif('3) Release_Label'!$D:$D,$A847)=0),"NO UPC MATCH in Release_Label",and($B847&lt;&gt;"",countif('3) Release_Label'!$E:$E,$B847)=0),"NO CATALOG ID MATCH in Release_Label",iserror(vlookup($A847&amp;$B847,'3) Release_Label'!$D:$D&amp;'3) Release_Label'!$E:$E,1,0)),"NO UPC-CATALOG ID pair MATCH in Release_Label" )</f>
        <v/>
      </c>
      <c r="E847" s="147" t="str">
        <f t="shared" si="1"/>
        <v/>
      </c>
      <c r="G847" s="97"/>
      <c r="H847" s="155"/>
      <c r="J847" s="92"/>
      <c r="K847" s="98"/>
      <c r="L847" s="92"/>
      <c r="N847" s="92"/>
      <c r="O847" s="92"/>
      <c r="P847" s="92"/>
    </row>
    <row r="848">
      <c r="A848" s="28"/>
      <c r="B848" s="97"/>
      <c r="C848" s="121" t="str">
        <f t="array" ref="C848">ifs(and(isblank($A848),isblank($B848)),"", not(iserror(vlookup($A848&amp;$B848,'3) Release_Label'!$D:$D&amp;'3) Release_Label'!$E:$E,1,0))),vlookup($A848&amp;$B848,{'3) Release_Label'!$D:$D&amp;'3) Release_Label'!$E:$E,'3) Release_Label'!$F:$F},2,0), or(and(not(isblank($B848)),$B848=$B847,$A848&lt;&gt;$A847),and(not(isblank($A848)),$A848=$A847,$B848&lt;&gt;$B847)),"ID LISTS UNALIGNED",and($A848&lt;&gt;"",countif('3) Release_Label'!$D:$D,$A848)=0),"NO UPC MATCH in Release_Label",and($B848&lt;&gt;"",countif('3) Release_Label'!$E:$E,$B848)=0),"NO CATALOG ID MATCH in Release_Label",iserror(vlookup($A848&amp;$B848,'3) Release_Label'!$D:$D&amp;'3) Release_Label'!$E:$E,1,0)),"NO UPC-CATALOG ID pair MATCH in Release_Label" )</f>
        <v/>
      </c>
      <c r="D848" s="121" t="str">
        <f t="array" ref="D848">ifs(and(isblank($A848),isblank($B848)),"", not(iserror(vlookup($A848&amp;$B848,'3) Release_Label'!$D:$D&amp;'3) Release_Label'!$E:$E,1,0))),vlookup($A848&amp;$B848,{'3) Release_Label'!$D:$D&amp;'3) Release_Label'!$E:$E,'3) Release_Label'!$H:$H},2,0), or(and(not(isblank($B848)),$B848=$B847,$A848&lt;&gt;$A847),and(not(isblank($A848)),$A848=$A847,$B848&lt;&gt;$B847)),"ID LISTS UNALIGNED",and($A848&lt;&gt;"",countif('3) Release_Label'!$D:$D,$A848)=0),"NO UPC MATCH in Release_Label",and($B848&lt;&gt;"",countif('3) Release_Label'!$E:$E,$B848)=0),"NO CATALOG ID MATCH in Release_Label",iserror(vlookup($A848&amp;$B848,'3) Release_Label'!$D:$D&amp;'3) Release_Label'!$E:$E,1,0)),"NO UPC-CATALOG ID pair MATCH in Release_Label" )</f>
        <v/>
      </c>
      <c r="E848" s="147" t="str">
        <f t="shared" si="1"/>
        <v/>
      </c>
      <c r="G848" s="97"/>
      <c r="H848" s="155"/>
      <c r="J848" s="92"/>
      <c r="K848" s="98"/>
      <c r="L848" s="92"/>
      <c r="N848" s="92"/>
      <c r="O848" s="92"/>
      <c r="P848" s="92"/>
    </row>
    <row r="849">
      <c r="A849" s="28"/>
      <c r="B849" s="97"/>
      <c r="C849" s="121" t="str">
        <f t="array" ref="C849">ifs(and(isblank($A849),isblank($B849)),"", not(iserror(vlookup($A849&amp;$B849,'3) Release_Label'!$D:$D&amp;'3) Release_Label'!$E:$E,1,0))),vlookup($A849&amp;$B849,{'3) Release_Label'!$D:$D&amp;'3) Release_Label'!$E:$E,'3) Release_Label'!$F:$F},2,0), or(and(not(isblank($B849)),$B849=$B848,$A849&lt;&gt;$A848),and(not(isblank($A849)),$A849=$A848,$B849&lt;&gt;$B848)),"ID LISTS UNALIGNED",and($A849&lt;&gt;"",countif('3) Release_Label'!$D:$D,$A849)=0),"NO UPC MATCH in Release_Label",and($B849&lt;&gt;"",countif('3) Release_Label'!$E:$E,$B849)=0),"NO CATALOG ID MATCH in Release_Label",iserror(vlookup($A849&amp;$B849,'3) Release_Label'!$D:$D&amp;'3) Release_Label'!$E:$E,1,0)),"NO UPC-CATALOG ID pair MATCH in Release_Label" )</f>
        <v/>
      </c>
      <c r="D849" s="121" t="str">
        <f t="array" ref="D849">ifs(and(isblank($A849),isblank($B849)),"", not(iserror(vlookup($A849&amp;$B849,'3) Release_Label'!$D:$D&amp;'3) Release_Label'!$E:$E,1,0))),vlookup($A849&amp;$B849,{'3) Release_Label'!$D:$D&amp;'3) Release_Label'!$E:$E,'3) Release_Label'!$H:$H},2,0), or(and(not(isblank($B849)),$B849=$B848,$A849&lt;&gt;$A848),and(not(isblank($A849)),$A849=$A848,$B849&lt;&gt;$B848)),"ID LISTS UNALIGNED",and($A849&lt;&gt;"",countif('3) Release_Label'!$D:$D,$A849)=0),"NO UPC MATCH in Release_Label",and($B849&lt;&gt;"",countif('3) Release_Label'!$E:$E,$B849)=0),"NO CATALOG ID MATCH in Release_Label",iserror(vlookup($A849&amp;$B849,'3) Release_Label'!$D:$D&amp;'3) Release_Label'!$E:$E,1,0)),"NO UPC-CATALOG ID pair MATCH in Release_Label" )</f>
        <v/>
      </c>
      <c r="E849" s="147" t="str">
        <f t="shared" si="1"/>
        <v/>
      </c>
      <c r="G849" s="97"/>
      <c r="H849" s="155"/>
      <c r="J849" s="92"/>
      <c r="K849" s="98"/>
      <c r="L849" s="92"/>
      <c r="N849" s="92"/>
      <c r="O849" s="92"/>
      <c r="P849" s="92"/>
    </row>
    <row r="850">
      <c r="A850" s="28"/>
      <c r="B850" s="97"/>
      <c r="C850" s="121" t="str">
        <f t="array" ref="C850">ifs(and(isblank($A850),isblank($B850)),"", not(iserror(vlookup($A850&amp;$B850,'3) Release_Label'!$D:$D&amp;'3) Release_Label'!$E:$E,1,0))),vlookup($A850&amp;$B850,{'3) Release_Label'!$D:$D&amp;'3) Release_Label'!$E:$E,'3) Release_Label'!$F:$F},2,0), or(and(not(isblank($B850)),$B850=$B849,$A850&lt;&gt;$A849),and(not(isblank($A850)),$A850=$A849,$B850&lt;&gt;$B849)),"ID LISTS UNALIGNED",and($A850&lt;&gt;"",countif('3) Release_Label'!$D:$D,$A850)=0),"NO UPC MATCH in Release_Label",and($B850&lt;&gt;"",countif('3) Release_Label'!$E:$E,$B850)=0),"NO CATALOG ID MATCH in Release_Label",iserror(vlookup($A850&amp;$B850,'3) Release_Label'!$D:$D&amp;'3) Release_Label'!$E:$E,1,0)),"NO UPC-CATALOG ID pair MATCH in Release_Label" )</f>
        <v/>
      </c>
      <c r="D850" s="121" t="str">
        <f t="array" ref="D850">ifs(and(isblank($A850),isblank($B850)),"", not(iserror(vlookup($A850&amp;$B850,'3) Release_Label'!$D:$D&amp;'3) Release_Label'!$E:$E,1,0))),vlookup($A850&amp;$B850,{'3) Release_Label'!$D:$D&amp;'3) Release_Label'!$E:$E,'3) Release_Label'!$H:$H},2,0), or(and(not(isblank($B850)),$B850=$B849,$A850&lt;&gt;$A849),and(not(isblank($A850)),$A850=$A849,$B850&lt;&gt;$B849)),"ID LISTS UNALIGNED",and($A850&lt;&gt;"",countif('3) Release_Label'!$D:$D,$A850)=0),"NO UPC MATCH in Release_Label",and($B850&lt;&gt;"",countif('3) Release_Label'!$E:$E,$B850)=0),"NO CATALOG ID MATCH in Release_Label",iserror(vlookup($A850&amp;$B850,'3) Release_Label'!$D:$D&amp;'3) Release_Label'!$E:$E,1,0)),"NO UPC-CATALOG ID pair MATCH in Release_Label" )</f>
        <v/>
      </c>
      <c r="E850" s="147" t="str">
        <f t="shared" si="1"/>
        <v/>
      </c>
      <c r="G850" s="97"/>
      <c r="H850" s="155"/>
      <c r="J850" s="92"/>
      <c r="K850" s="98"/>
      <c r="L850" s="92"/>
      <c r="N850" s="92"/>
      <c r="O850" s="92"/>
      <c r="P850" s="92"/>
    </row>
    <row r="851">
      <c r="A851" s="28"/>
      <c r="B851" s="97"/>
      <c r="C851" s="121" t="str">
        <f t="array" ref="C851">ifs(and(isblank($A851),isblank($B851)),"", not(iserror(vlookup($A851&amp;$B851,'3) Release_Label'!$D:$D&amp;'3) Release_Label'!$E:$E,1,0))),vlookup($A851&amp;$B851,{'3) Release_Label'!$D:$D&amp;'3) Release_Label'!$E:$E,'3) Release_Label'!$F:$F},2,0), or(and(not(isblank($B851)),$B851=$B850,$A851&lt;&gt;$A850),and(not(isblank($A851)),$A851=$A850,$B851&lt;&gt;$B850)),"ID LISTS UNALIGNED",and($A851&lt;&gt;"",countif('3) Release_Label'!$D:$D,$A851)=0),"NO UPC MATCH in Release_Label",and($B851&lt;&gt;"",countif('3) Release_Label'!$E:$E,$B851)=0),"NO CATALOG ID MATCH in Release_Label",iserror(vlookup($A851&amp;$B851,'3) Release_Label'!$D:$D&amp;'3) Release_Label'!$E:$E,1,0)),"NO UPC-CATALOG ID pair MATCH in Release_Label" )</f>
        <v/>
      </c>
      <c r="D851" s="121" t="str">
        <f t="array" ref="D851">ifs(and(isblank($A851),isblank($B851)),"", not(iserror(vlookup($A851&amp;$B851,'3) Release_Label'!$D:$D&amp;'3) Release_Label'!$E:$E,1,0))),vlookup($A851&amp;$B851,{'3) Release_Label'!$D:$D&amp;'3) Release_Label'!$E:$E,'3) Release_Label'!$H:$H},2,0), or(and(not(isblank($B851)),$B851=$B850,$A851&lt;&gt;$A850),and(not(isblank($A851)),$A851=$A850,$B851&lt;&gt;$B850)),"ID LISTS UNALIGNED",and($A851&lt;&gt;"",countif('3) Release_Label'!$D:$D,$A851)=0),"NO UPC MATCH in Release_Label",and($B851&lt;&gt;"",countif('3) Release_Label'!$E:$E,$B851)=0),"NO CATALOG ID MATCH in Release_Label",iserror(vlookup($A851&amp;$B851,'3) Release_Label'!$D:$D&amp;'3) Release_Label'!$E:$E,1,0)),"NO UPC-CATALOG ID pair MATCH in Release_Label" )</f>
        <v/>
      </c>
      <c r="E851" s="147" t="str">
        <f t="shared" si="1"/>
        <v/>
      </c>
      <c r="G851" s="97"/>
      <c r="H851" s="155"/>
      <c r="J851" s="92"/>
      <c r="K851" s="98"/>
      <c r="L851" s="92"/>
      <c r="N851" s="92"/>
      <c r="O851" s="92"/>
      <c r="P851" s="92"/>
    </row>
    <row r="852">
      <c r="A852" s="28"/>
      <c r="B852" s="97"/>
      <c r="C852" s="121" t="str">
        <f t="array" ref="C852">ifs(and(isblank($A852),isblank($B852)),"", not(iserror(vlookup($A852&amp;$B852,'3) Release_Label'!$D:$D&amp;'3) Release_Label'!$E:$E,1,0))),vlookup($A852&amp;$B852,{'3) Release_Label'!$D:$D&amp;'3) Release_Label'!$E:$E,'3) Release_Label'!$F:$F},2,0), or(and(not(isblank($B852)),$B852=$B851,$A852&lt;&gt;$A851),and(not(isblank($A852)),$A852=$A851,$B852&lt;&gt;$B851)),"ID LISTS UNALIGNED",and($A852&lt;&gt;"",countif('3) Release_Label'!$D:$D,$A852)=0),"NO UPC MATCH in Release_Label",and($B852&lt;&gt;"",countif('3) Release_Label'!$E:$E,$B852)=0),"NO CATALOG ID MATCH in Release_Label",iserror(vlookup($A852&amp;$B852,'3) Release_Label'!$D:$D&amp;'3) Release_Label'!$E:$E,1,0)),"NO UPC-CATALOG ID pair MATCH in Release_Label" )</f>
        <v/>
      </c>
      <c r="D852" s="121" t="str">
        <f t="array" ref="D852">ifs(and(isblank($A852),isblank($B852)),"", not(iserror(vlookup($A852&amp;$B852,'3) Release_Label'!$D:$D&amp;'3) Release_Label'!$E:$E,1,0))),vlookup($A852&amp;$B852,{'3) Release_Label'!$D:$D&amp;'3) Release_Label'!$E:$E,'3) Release_Label'!$H:$H},2,0), or(and(not(isblank($B852)),$B852=$B851,$A852&lt;&gt;$A851),and(not(isblank($A852)),$A852=$A851,$B852&lt;&gt;$B851)),"ID LISTS UNALIGNED",and($A852&lt;&gt;"",countif('3) Release_Label'!$D:$D,$A852)=0),"NO UPC MATCH in Release_Label",and($B852&lt;&gt;"",countif('3) Release_Label'!$E:$E,$B852)=0),"NO CATALOG ID MATCH in Release_Label",iserror(vlookup($A852&amp;$B852,'3) Release_Label'!$D:$D&amp;'3) Release_Label'!$E:$E,1,0)),"NO UPC-CATALOG ID pair MATCH in Release_Label" )</f>
        <v/>
      </c>
      <c r="E852" s="147" t="str">
        <f t="shared" si="1"/>
        <v/>
      </c>
      <c r="G852" s="97"/>
      <c r="H852" s="155"/>
      <c r="J852" s="92"/>
      <c r="K852" s="98"/>
      <c r="L852" s="92"/>
      <c r="N852" s="92"/>
      <c r="O852" s="92"/>
      <c r="P852" s="92"/>
    </row>
    <row r="853">
      <c r="A853" s="28"/>
      <c r="B853" s="97"/>
      <c r="C853" s="121" t="str">
        <f t="array" ref="C853">ifs(and(isblank($A853),isblank($B853)),"", not(iserror(vlookup($A853&amp;$B853,'3) Release_Label'!$D:$D&amp;'3) Release_Label'!$E:$E,1,0))),vlookup($A853&amp;$B853,{'3) Release_Label'!$D:$D&amp;'3) Release_Label'!$E:$E,'3) Release_Label'!$F:$F},2,0), or(and(not(isblank($B853)),$B853=$B852,$A853&lt;&gt;$A852),and(not(isblank($A853)),$A853=$A852,$B853&lt;&gt;$B852)),"ID LISTS UNALIGNED",and($A853&lt;&gt;"",countif('3) Release_Label'!$D:$D,$A853)=0),"NO UPC MATCH in Release_Label",and($B853&lt;&gt;"",countif('3) Release_Label'!$E:$E,$B853)=0),"NO CATALOG ID MATCH in Release_Label",iserror(vlookup($A853&amp;$B853,'3) Release_Label'!$D:$D&amp;'3) Release_Label'!$E:$E,1,0)),"NO UPC-CATALOG ID pair MATCH in Release_Label" )</f>
        <v/>
      </c>
      <c r="D853" s="121" t="str">
        <f t="array" ref="D853">ifs(and(isblank($A853),isblank($B853)),"", not(iserror(vlookup($A853&amp;$B853,'3) Release_Label'!$D:$D&amp;'3) Release_Label'!$E:$E,1,0))),vlookup($A853&amp;$B853,{'3) Release_Label'!$D:$D&amp;'3) Release_Label'!$E:$E,'3) Release_Label'!$H:$H},2,0), or(and(not(isblank($B853)),$B853=$B852,$A853&lt;&gt;$A852),and(not(isblank($A853)),$A853=$A852,$B853&lt;&gt;$B852)),"ID LISTS UNALIGNED",and($A853&lt;&gt;"",countif('3) Release_Label'!$D:$D,$A853)=0),"NO UPC MATCH in Release_Label",and($B853&lt;&gt;"",countif('3) Release_Label'!$E:$E,$B853)=0),"NO CATALOG ID MATCH in Release_Label",iserror(vlookup($A853&amp;$B853,'3) Release_Label'!$D:$D&amp;'3) Release_Label'!$E:$E,1,0)),"NO UPC-CATALOG ID pair MATCH in Release_Label" )</f>
        <v/>
      </c>
      <c r="E853" s="147" t="str">
        <f t="shared" si="1"/>
        <v/>
      </c>
      <c r="G853" s="97"/>
      <c r="H853" s="155"/>
      <c r="J853" s="92"/>
      <c r="K853" s="98"/>
      <c r="L853" s="92"/>
      <c r="N853" s="92"/>
      <c r="O853" s="92"/>
      <c r="P853" s="92"/>
    </row>
    <row r="854">
      <c r="A854" s="28"/>
      <c r="B854" s="97"/>
      <c r="C854" s="121" t="str">
        <f t="array" ref="C854">ifs(and(isblank($A854),isblank($B854)),"", not(iserror(vlookup($A854&amp;$B854,'3) Release_Label'!$D:$D&amp;'3) Release_Label'!$E:$E,1,0))),vlookup($A854&amp;$B854,{'3) Release_Label'!$D:$D&amp;'3) Release_Label'!$E:$E,'3) Release_Label'!$F:$F},2,0), or(and(not(isblank($B854)),$B854=$B853,$A854&lt;&gt;$A853),and(not(isblank($A854)),$A854=$A853,$B854&lt;&gt;$B853)),"ID LISTS UNALIGNED",and($A854&lt;&gt;"",countif('3) Release_Label'!$D:$D,$A854)=0),"NO UPC MATCH in Release_Label",and($B854&lt;&gt;"",countif('3) Release_Label'!$E:$E,$B854)=0),"NO CATALOG ID MATCH in Release_Label",iserror(vlookup($A854&amp;$B854,'3) Release_Label'!$D:$D&amp;'3) Release_Label'!$E:$E,1,0)),"NO UPC-CATALOG ID pair MATCH in Release_Label" )</f>
        <v/>
      </c>
      <c r="D854" s="121" t="str">
        <f t="array" ref="D854">ifs(and(isblank($A854),isblank($B854)),"", not(iserror(vlookup($A854&amp;$B854,'3) Release_Label'!$D:$D&amp;'3) Release_Label'!$E:$E,1,0))),vlookup($A854&amp;$B854,{'3) Release_Label'!$D:$D&amp;'3) Release_Label'!$E:$E,'3) Release_Label'!$H:$H},2,0), or(and(not(isblank($B854)),$B854=$B853,$A854&lt;&gt;$A853),and(not(isblank($A854)),$A854=$A853,$B854&lt;&gt;$B853)),"ID LISTS UNALIGNED",and($A854&lt;&gt;"",countif('3) Release_Label'!$D:$D,$A854)=0),"NO UPC MATCH in Release_Label",and($B854&lt;&gt;"",countif('3) Release_Label'!$E:$E,$B854)=0),"NO CATALOG ID MATCH in Release_Label",iserror(vlookup($A854&amp;$B854,'3) Release_Label'!$D:$D&amp;'3) Release_Label'!$E:$E,1,0)),"NO UPC-CATALOG ID pair MATCH in Release_Label" )</f>
        <v/>
      </c>
      <c r="E854" s="147" t="str">
        <f t="shared" si="1"/>
        <v/>
      </c>
      <c r="G854" s="97"/>
      <c r="H854" s="155"/>
      <c r="J854" s="92"/>
      <c r="K854" s="98"/>
      <c r="L854" s="92"/>
      <c r="N854" s="92"/>
      <c r="O854" s="92"/>
      <c r="P854" s="92"/>
    </row>
    <row r="855">
      <c r="A855" s="28"/>
      <c r="B855" s="97"/>
      <c r="C855" s="121" t="str">
        <f t="array" ref="C855">ifs(and(isblank($A855),isblank($B855)),"", not(iserror(vlookup($A855&amp;$B855,'3) Release_Label'!$D:$D&amp;'3) Release_Label'!$E:$E,1,0))),vlookup($A855&amp;$B855,{'3) Release_Label'!$D:$D&amp;'3) Release_Label'!$E:$E,'3) Release_Label'!$F:$F},2,0), or(and(not(isblank($B855)),$B855=$B854,$A855&lt;&gt;$A854),and(not(isblank($A855)),$A855=$A854,$B855&lt;&gt;$B854)),"ID LISTS UNALIGNED",and($A855&lt;&gt;"",countif('3) Release_Label'!$D:$D,$A855)=0),"NO UPC MATCH in Release_Label",and($B855&lt;&gt;"",countif('3) Release_Label'!$E:$E,$B855)=0),"NO CATALOG ID MATCH in Release_Label",iserror(vlookup($A855&amp;$B855,'3) Release_Label'!$D:$D&amp;'3) Release_Label'!$E:$E,1,0)),"NO UPC-CATALOG ID pair MATCH in Release_Label" )</f>
        <v/>
      </c>
      <c r="D855" s="121" t="str">
        <f t="array" ref="D855">ifs(and(isblank($A855),isblank($B855)),"", not(iserror(vlookup($A855&amp;$B855,'3) Release_Label'!$D:$D&amp;'3) Release_Label'!$E:$E,1,0))),vlookup($A855&amp;$B855,{'3) Release_Label'!$D:$D&amp;'3) Release_Label'!$E:$E,'3) Release_Label'!$H:$H},2,0), or(and(not(isblank($B855)),$B855=$B854,$A855&lt;&gt;$A854),and(not(isblank($A855)),$A855=$A854,$B855&lt;&gt;$B854)),"ID LISTS UNALIGNED",and($A855&lt;&gt;"",countif('3) Release_Label'!$D:$D,$A855)=0),"NO UPC MATCH in Release_Label",and($B855&lt;&gt;"",countif('3) Release_Label'!$E:$E,$B855)=0),"NO CATALOG ID MATCH in Release_Label",iserror(vlookup($A855&amp;$B855,'3) Release_Label'!$D:$D&amp;'3) Release_Label'!$E:$E,1,0)),"NO UPC-CATALOG ID pair MATCH in Release_Label" )</f>
        <v/>
      </c>
      <c r="E855" s="147" t="str">
        <f t="shared" si="1"/>
        <v/>
      </c>
      <c r="G855" s="97"/>
      <c r="H855" s="155"/>
      <c r="J855" s="92"/>
      <c r="K855" s="98"/>
      <c r="L855" s="92"/>
      <c r="N855" s="92"/>
      <c r="O855" s="92"/>
      <c r="P855" s="92"/>
    </row>
    <row r="856">
      <c r="A856" s="28"/>
      <c r="B856" s="97"/>
      <c r="C856" s="121" t="str">
        <f t="array" ref="C856">ifs(and(isblank($A856),isblank($B856)),"", not(iserror(vlookup($A856&amp;$B856,'3) Release_Label'!$D:$D&amp;'3) Release_Label'!$E:$E,1,0))),vlookup($A856&amp;$B856,{'3) Release_Label'!$D:$D&amp;'3) Release_Label'!$E:$E,'3) Release_Label'!$F:$F},2,0), or(and(not(isblank($B856)),$B856=$B855,$A856&lt;&gt;$A855),and(not(isblank($A856)),$A856=$A855,$B856&lt;&gt;$B855)),"ID LISTS UNALIGNED",and($A856&lt;&gt;"",countif('3) Release_Label'!$D:$D,$A856)=0),"NO UPC MATCH in Release_Label",and($B856&lt;&gt;"",countif('3) Release_Label'!$E:$E,$B856)=0),"NO CATALOG ID MATCH in Release_Label",iserror(vlookup($A856&amp;$B856,'3) Release_Label'!$D:$D&amp;'3) Release_Label'!$E:$E,1,0)),"NO UPC-CATALOG ID pair MATCH in Release_Label" )</f>
        <v/>
      </c>
      <c r="D856" s="121" t="str">
        <f t="array" ref="D856">ifs(and(isblank($A856),isblank($B856)),"", not(iserror(vlookup($A856&amp;$B856,'3) Release_Label'!$D:$D&amp;'3) Release_Label'!$E:$E,1,0))),vlookup($A856&amp;$B856,{'3) Release_Label'!$D:$D&amp;'3) Release_Label'!$E:$E,'3) Release_Label'!$H:$H},2,0), or(and(not(isblank($B856)),$B856=$B855,$A856&lt;&gt;$A855),and(not(isblank($A856)),$A856=$A855,$B856&lt;&gt;$B855)),"ID LISTS UNALIGNED",and($A856&lt;&gt;"",countif('3) Release_Label'!$D:$D,$A856)=0),"NO UPC MATCH in Release_Label",and($B856&lt;&gt;"",countif('3) Release_Label'!$E:$E,$B856)=0),"NO CATALOG ID MATCH in Release_Label",iserror(vlookup($A856&amp;$B856,'3) Release_Label'!$D:$D&amp;'3) Release_Label'!$E:$E,1,0)),"NO UPC-CATALOG ID pair MATCH in Release_Label" )</f>
        <v/>
      </c>
      <c r="E856" s="147" t="str">
        <f t="shared" si="1"/>
        <v/>
      </c>
      <c r="G856" s="97"/>
      <c r="H856" s="155"/>
      <c r="J856" s="92"/>
      <c r="K856" s="98"/>
      <c r="L856" s="92"/>
      <c r="N856" s="92"/>
      <c r="O856" s="92"/>
      <c r="P856" s="92"/>
    </row>
    <row r="857">
      <c r="A857" s="28"/>
      <c r="B857" s="97"/>
      <c r="C857" s="121" t="str">
        <f t="array" ref="C857">ifs(and(isblank($A857),isblank($B857)),"", not(iserror(vlookup($A857&amp;$B857,'3) Release_Label'!$D:$D&amp;'3) Release_Label'!$E:$E,1,0))),vlookup($A857&amp;$B857,{'3) Release_Label'!$D:$D&amp;'3) Release_Label'!$E:$E,'3) Release_Label'!$F:$F},2,0), or(and(not(isblank($B857)),$B857=$B856,$A857&lt;&gt;$A856),and(not(isblank($A857)),$A857=$A856,$B857&lt;&gt;$B856)),"ID LISTS UNALIGNED",and($A857&lt;&gt;"",countif('3) Release_Label'!$D:$D,$A857)=0),"NO UPC MATCH in Release_Label",and($B857&lt;&gt;"",countif('3) Release_Label'!$E:$E,$B857)=0),"NO CATALOG ID MATCH in Release_Label",iserror(vlookup($A857&amp;$B857,'3) Release_Label'!$D:$D&amp;'3) Release_Label'!$E:$E,1,0)),"NO UPC-CATALOG ID pair MATCH in Release_Label" )</f>
        <v/>
      </c>
      <c r="D857" s="121" t="str">
        <f t="array" ref="D857">ifs(and(isblank($A857),isblank($B857)),"", not(iserror(vlookup($A857&amp;$B857,'3) Release_Label'!$D:$D&amp;'3) Release_Label'!$E:$E,1,0))),vlookup($A857&amp;$B857,{'3) Release_Label'!$D:$D&amp;'3) Release_Label'!$E:$E,'3) Release_Label'!$H:$H},2,0), or(and(not(isblank($B857)),$B857=$B856,$A857&lt;&gt;$A856),and(not(isblank($A857)),$A857=$A856,$B857&lt;&gt;$B856)),"ID LISTS UNALIGNED",and($A857&lt;&gt;"",countif('3) Release_Label'!$D:$D,$A857)=0),"NO UPC MATCH in Release_Label",and($B857&lt;&gt;"",countif('3) Release_Label'!$E:$E,$B857)=0),"NO CATALOG ID MATCH in Release_Label",iserror(vlookup($A857&amp;$B857,'3) Release_Label'!$D:$D&amp;'3) Release_Label'!$E:$E,1,0)),"NO UPC-CATALOG ID pair MATCH in Release_Label" )</f>
        <v/>
      </c>
      <c r="E857" s="147" t="str">
        <f t="shared" si="1"/>
        <v/>
      </c>
      <c r="G857" s="97"/>
      <c r="H857" s="155"/>
      <c r="J857" s="92"/>
      <c r="K857" s="98"/>
      <c r="L857" s="92"/>
      <c r="N857" s="92"/>
      <c r="O857" s="92"/>
      <c r="P857" s="92"/>
    </row>
    <row r="858">
      <c r="A858" s="28"/>
      <c r="B858" s="97"/>
      <c r="C858" s="121" t="str">
        <f t="array" ref="C858">ifs(and(isblank($A858),isblank($B858)),"", not(iserror(vlookup($A858&amp;$B858,'3) Release_Label'!$D:$D&amp;'3) Release_Label'!$E:$E,1,0))),vlookup($A858&amp;$B858,{'3) Release_Label'!$D:$D&amp;'3) Release_Label'!$E:$E,'3) Release_Label'!$F:$F},2,0), or(and(not(isblank($B858)),$B858=$B857,$A858&lt;&gt;$A857),and(not(isblank($A858)),$A858=$A857,$B858&lt;&gt;$B857)),"ID LISTS UNALIGNED",and($A858&lt;&gt;"",countif('3) Release_Label'!$D:$D,$A858)=0),"NO UPC MATCH in Release_Label",and($B858&lt;&gt;"",countif('3) Release_Label'!$E:$E,$B858)=0),"NO CATALOG ID MATCH in Release_Label",iserror(vlookup($A858&amp;$B858,'3) Release_Label'!$D:$D&amp;'3) Release_Label'!$E:$E,1,0)),"NO UPC-CATALOG ID pair MATCH in Release_Label" )</f>
        <v/>
      </c>
      <c r="D858" s="121" t="str">
        <f t="array" ref="D858">ifs(and(isblank($A858),isblank($B858)),"", not(iserror(vlookup($A858&amp;$B858,'3) Release_Label'!$D:$D&amp;'3) Release_Label'!$E:$E,1,0))),vlookup($A858&amp;$B858,{'3) Release_Label'!$D:$D&amp;'3) Release_Label'!$E:$E,'3) Release_Label'!$H:$H},2,0), or(and(not(isblank($B858)),$B858=$B857,$A858&lt;&gt;$A857),and(not(isblank($A858)),$A858=$A857,$B858&lt;&gt;$B857)),"ID LISTS UNALIGNED",and($A858&lt;&gt;"",countif('3) Release_Label'!$D:$D,$A858)=0),"NO UPC MATCH in Release_Label",and($B858&lt;&gt;"",countif('3) Release_Label'!$E:$E,$B858)=0),"NO CATALOG ID MATCH in Release_Label",iserror(vlookup($A858&amp;$B858,'3) Release_Label'!$D:$D&amp;'3) Release_Label'!$E:$E,1,0)),"NO UPC-CATALOG ID pair MATCH in Release_Label" )</f>
        <v/>
      </c>
      <c r="E858" s="147" t="str">
        <f t="shared" si="1"/>
        <v/>
      </c>
      <c r="G858" s="97"/>
      <c r="H858" s="155"/>
      <c r="J858" s="92"/>
      <c r="K858" s="98"/>
      <c r="L858" s="92"/>
      <c r="N858" s="92"/>
      <c r="O858" s="92"/>
      <c r="P858" s="92"/>
    </row>
    <row r="859">
      <c r="A859" s="28"/>
      <c r="B859" s="97"/>
      <c r="C859" s="121" t="str">
        <f t="array" ref="C859">ifs(and(isblank($A859),isblank($B859)),"", not(iserror(vlookup($A859&amp;$B859,'3) Release_Label'!$D:$D&amp;'3) Release_Label'!$E:$E,1,0))),vlookup($A859&amp;$B859,{'3) Release_Label'!$D:$D&amp;'3) Release_Label'!$E:$E,'3) Release_Label'!$F:$F},2,0), or(and(not(isblank($B859)),$B859=$B858,$A859&lt;&gt;$A858),and(not(isblank($A859)),$A859=$A858,$B859&lt;&gt;$B858)),"ID LISTS UNALIGNED",and($A859&lt;&gt;"",countif('3) Release_Label'!$D:$D,$A859)=0),"NO UPC MATCH in Release_Label",and($B859&lt;&gt;"",countif('3) Release_Label'!$E:$E,$B859)=0),"NO CATALOG ID MATCH in Release_Label",iserror(vlookup($A859&amp;$B859,'3) Release_Label'!$D:$D&amp;'3) Release_Label'!$E:$E,1,0)),"NO UPC-CATALOG ID pair MATCH in Release_Label" )</f>
        <v/>
      </c>
      <c r="D859" s="121" t="str">
        <f t="array" ref="D859">ifs(and(isblank($A859),isblank($B859)),"", not(iserror(vlookup($A859&amp;$B859,'3) Release_Label'!$D:$D&amp;'3) Release_Label'!$E:$E,1,0))),vlookup($A859&amp;$B859,{'3) Release_Label'!$D:$D&amp;'3) Release_Label'!$E:$E,'3) Release_Label'!$H:$H},2,0), or(and(not(isblank($B859)),$B859=$B858,$A859&lt;&gt;$A858),and(not(isblank($A859)),$A859=$A858,$B859&lt;&gt;$B858)),"ID LISTS UNALIGNED",and($A859&lt;&gt;"",countif('3) Release_Label'!$D:$D,$A859)=0),"NO UPC MATCH in Release_Label",and($B859&lt;&gt;"",countif('3) Release_Label'!$E:$E,$B859)=0),"NO CATALOG ID MATCH in Release_Label",iserror(vlookup($A859&amp;$B859,'3) Release_Label'!$D:$D&amp;'3) Release_Label'!$E:$E,1,0)),"NO UPC-CATALOG ID pair MATCH in Release_Label" )</f>
        <v/>
      </c>
      <c r="E859" s="147" t="str">
        <f t="shared" si="1"/>
        <v/>
      </c>
      <c r="G859" s="97"/>
      <c r="H859" s="155"/>
      <c r="J859" s="92"/>
      <c r="K859" s="98"/>
      <c r="L859" s="92"/>
      <c r="N859" s="92"/>
      <c r="O859" s="92"/>
      <c r="P859" s="92"/>
    </row>
    <row r="860">
      <c r="A860" s="28"/>
      <c r="B860" s="97"/>
      <c r="C860" s="121" t="str">
        <f t="array" ref="C860">ifs(and(isblank($A860),isblank($B860)),"", not(iserror(vlookup($A860&amp;$B860,'3) Release_Label'!$D:$D&amp;'3) Release_Label'!$E:$E,1,0))),vlookup($A860&amp;$B860,{'3) Release_Label'!$D:$D&amp;'3) Release_Label'!$E:$E,'3) Release_Label'!$F:$F},2,0), or(and(not(isblank($B860)),$B860=$B859,$A860&lt;&gt;$A859),and(not(isblank($A860)),$A860=$A859,$B860&lt;&gt;$B859)),"ID LISTS UNALIGNED",and($A860&lt;&gt;"",countif('3) Release_Label'!$D:$D,$A860)=0),"NO UPC MATCH in Release_Label",and($B860&lt;&gt;"",countif('3) Release_Label'!$E:$E,$B860)=0),"NO CATALOG ID MATCH in Release_Label",iserror(vlookup($A860&amp;$B860,'3) Release_Label'!$D:$D&amp;'3) Release_Label'!$E:$E,1,0)),"NO UPC-CATALOG ID pair MATCH in Release_Label" )</f>
        <v/>
      </c>
      <c r="D860" s="121" t="str">
        <f t="array" ref="D860">ifs(and(isblank($A860),isblank($B860)),"", not(iserror(vlookup($A860&amp;$B860,'3) Release_Label'!$D:$D&amp;'3) Release_Label'!$E:$E,1,0))),vlookup($A860&amp;$B860,{'3) Release_Label'!$D:$D&amp;'3) Release_Label'!$E:$E,'3) Release_Label'!$H:$H},2,0), or(and(not(isblank($B860)),$B860=$B859,$A860&lt;&gt;$A859),and(not(isblank($A860)),$A860=$A859,$B860&lt;&gt;$B859)),"ID LISTS UNALIGNED",and($A860&lt;&gt;"",countif('3) Release_Label'!$D:$D,$A860)=0),"NO UPC MATCH in Release_Label",and($B860&lt;&gt;"",countif('3) Release_Label'!$E:$E,$B860)=0),"NO CATALOG ID MATCH in Release_Label",iserror(vlookup($A860&amp;$B860,'3) Release_Label'!$D:$D&amp;'3) Release_Label'!$E:$E,1,0)),"NO UPC-CATALOG ID pair MATCH in Release_Label" )</f>
        <v/>
      </c>
      <c r="E860" s="147" t="str">
        <f t="shared" si="1"/>
        <v/>
      </c>
      <c r="G860" s="97"/>
      <c r="H860" s="155"/>
      <c r="J860" s="92"/>
      <c r="K860" s="98"/>
      <c r="L860" s="92"/>
      <c r="N860" s="92"/>
      <c r="O860" s="92"/>
      <c r="P860" s="92"/>
    </row>
    <row r="861">
      <c r="A861" s="28"/>
      <c r="B861" s="97"/>
      <c r="C861" s="121" t="str">
        <f t="array" ref="C861">ifs(and(isblank($A861),isblank($B861)),"", not(iserror(vlookup($A861&amp;$B861,'3) Release_Label'!$D:$D&amp;'3) Release_Label'!$E:$E,1,0))),vlookup($A861&amp;$B861,{'3) Release_Label'!$D:$D&amp;'3) Release_Label'!$E:$E,'3) Release_Label'!$F:$F},2,0), or(and(not(isblank($B861)),$B861=$B860,$A861&lt;&gt;$A860),and(not(isblank($A861)),$A861=$A860,$B861&lt;&gt;$B860)),"ID LISTS UNALIGNED",and($A861&lt;&gt;"",countif('3) Release_Label'!$D:$D,$A861)=0),"NO UPC MATCH in Release_Label",and($B861&lt;&gt;"",countif('3) Release_Label'!$E:$E,$B861)=0),"NO CATALOG ID MATCH in Release_Label",iserror(vlookup($A861&amp;$B861,'3) Release_Label'!$D:$D&amp;'3) Release_Label'!$E:$E,1,0)),"NO UPC-CATALOG ID pair MATCH in Release_Label" )</f>
        <v/>
      </c>
      <c r="D861" s="121" t="str">
        <f t="array" ref="D861">ifs(and(isblank($A861),isblank($B861)),"", not(iserror(vlookup($A861&amp;$B861,'3) Release_Label'!$D:$D&amp;'3) Release_Label'!$E:$E,1,0))),vlookup($A861&amp;$B861,{'3) Release_Label'!$D:$D&amp;'3) Release_Label'!$E:$E,'3) Release_Label'!$H:$H},2,0), or(and(not(isblank($B861)),$B861=$B860,$A861&lt;&gt;$A860),and(not(isblank($A861)),$A861=$A860,$B861&lt;&gt;$B860)),"ID LISTS UNALIGNED",and($A861&lt;&gt;"",countif('3) Release_Label'!$D:$D,$A861)=0),"NO UPC MATCH in Release_Label",and($B861&lt;&gt;"",countif('3) Release_Label'!$E:$E,$B861)=0),"NO CATALOG ID MATCH in Release_Label",iserror(vlookup($A861&amp;$B861,'3) Release_Label'!$D:$D&amp;'3) Release_Label'!$E:$E,1,0)),"NO UPC-CATALOG ID pair MATCH in Release_Label" )</f>
        <v/>
      </c>
      <c r="E861" s="147" t="str">
        <f t="shared" si="1"/>
        <v/>
      </c>
      <c r="G861" s="97"/>
      <c r="H861" s="155"/>
      <c r="J861" s="92"/>
      <c r="K861" s="98"/>
      <c r="L861" s="92"/>
      <c r="N861" s="92"/>
      <c r="O861" s="92"/>
      <c r="P861" s="92"/>
    </row>
    <row r="862">
      <c r="A862" s="28"/>
      <c r="B862" s="97"/>
      <c r="C862" s="121" t="str">
        <f t="array" ref="C862">ifs(and(isblank($A862),isblank($B862)),"", not(iserror(vlookup($A862&amp;$B862,'3) Release_Label'!$D:$D&amp;'3) Release_Label'!$E:$E,1,0))),vlookup($A862&amp;$B862,{'3) Release_Label'!$D:$D&amp;'3) Release_Label'!$E:$E,'3) Release_Label'!$F:$F},2,0), or(and(not(isblank($B862)),$B862=$B861,$A862&lt;&gt;$A861),and(not(isblank($A862)),$A862=$A861,$B862&lt;&gt;$B861)),"ID LISTS UNALIGNED",and($A862&lt;&gt;"",countif('3) Release_Label'!$D:$D,$A862)=0),"NO UPC MATCH in Release_Label",and($B862&lt;&gt;"",countif('3) Release_Label'!$E:$E,$B862)=0),"NO CATALOG ID MATCH in Release_Label",iserror(vlookup($A862&amp;$B862,'3) Release_Label'!$D:$D&amp;'3) Release_Label'!$E:$E,1,0)),"NO UPC-CATALOG ID pair MATCH in Release_Label" )</f>
        <v/>
      </c>
      <c r="D862" s="121" t="str">
        <f t="array" ref="D862">ifs(and(isblank($A862),isblank($B862)),"", not(iserror(vlookup($A862&amp;$B862,'3) Release_Label'!$D:$D&amp;'3) Release_Label'!$E:$E,1,0))),vlookup($A862&amp;$B862,{'3) Release_Label'!$D:$D&amp;'3) Release_Label'!$E:$E,'3) Release_Label'!$H:$H},2,0), or(and(not(isblank($B862)),$B862=$B861,$A862&lt;&gt;$A861),and(not(isblank($A862)),$A862=$A861,$B862&lt;&gt;$B861)),"ID LISTS UNALIGNED",and($A862&lt;&gt;"",countif('3) Release_Label'!$D:$D,$A862)=0),"NO UPC MATCH in Release_Label",and($B862&lt;&gt;"",countif('3) Release_Label'!$E:$E,$B862)=0),"NO CATALOG ID MATCH in Release_Label",iserror(vlookup($A862&amp;$B862,'3) Release_Label'!$D:$D&amp;'3) Release_Label'!$E:$E,1,0)),"NO UPC-CATALOG ID pair MATCH in Release_Label" )</f>
        <v/>
      </c>
      <c r="E862" s="147" t="str">
        <f t="shared" si="1"/>
        <v/>
      </c>
      <c r="G862" s="97"/>
      <c r="H862" s="155"/>
      <c r="J862" s="92"/>
      <c r="K862" s="98"/>
      <c r="L862" s="92"/>
      <c r="N862" s="92"/>
      <c r="O862" s="92"/>
      <c r="P862" s="92"/>
    </row>
    <row r="863">
      <c r="A863" s="28"/>
      <c r="B863" s="97"/>
      <c r="C863" s="121" t="str">
        <f t="array" ref="C863">ifs(and(isblank($A863),isblank($B863)),"", not(iserror(vlookup($A863&amp;$B863,'3) Release_Label'!$D:$D&amp;'3) Release_Label'!$E:$E,1,0))),vlookup($A863&amp;$B863,{'3) Release_Label'!$D:$D&amp;'3) Release_Label'!$E:$E,'3) Release_Label'!$F:$F},2,0), or(and(not(isblank($B863)),$B863=$B862,$A863&lt;&gt;$A862),and(not(isblank($A863)),$A863=$A862,$B863&lt;&gt;$B862)),"ID LISTS UNALIGNED",and($A863&lt;&gt;"",countif('3) Release_Label'!$D:$D,$A863)=0),"NO UPC MATCH in Release_Label",and($B863&lt;&gt;"",countif('3) Release_Label'!$E:$E,$B863)=0),"NO CATALOG ID MATCH in Release_Label",iserror(vlookup($A863&amp;$B863,'3) Release_Label'!$D:$D&amp;'3) Release_Label'!$E:$E,1,0)),"NO UPC-CATALOG ID pair MATCH in Release_Label" )</f>
        <v/>
      </c>
      <c r="D863" s="121" t="str">
        <f t="array" ref="D863">ifs(and(isblank($A863),isblank($B863)),"", not(iserror(vlookup($A863&amp;$B863,'3) Release_Label'!$D:$D&amp;'3) Release_Label'!$E:$E,1,0))),vlookup($A863&amp;$B863,{'3) Release_Label'!$D:$D&amp;'3) Release_Label'!$E:$E,'3) Release_Label'!$H:$H},2,0), or(and(not(isblank($B863)),$B863=$B862,$A863&lt;&gt;$A862),and(not(isblank($A863)),$A863=$A862,$B863&lt;&gt;$B862)),"ID LISTS UNALIGNED",and($A863&lt;&gt;"",countif('3) Release_Label'!$D:$D,$A863)=0),"NO UPC MATCH in Release_Label",and($B863&lt;&gt;"",countif('3) Release_Label'!$E:$E,$B863)=0),"NO CATALOG ID MATCH in Release_Label",iserror(vlookup($A863&amp;$B863,'3) Release_Label'!$D:$D&amp;'3) Release_Label'!$E:$E,1,0)),"NO UPC-CATALOG ID pair MATCH in Release_Label" )</f>
        <v/>
      </c>
      <c r="E863" s="147" t="str">
        <f t="shared" si="1"/>
        <v/>
      </c>
      <c r="G863" s="97"/>
      <c r="H863" s="155"/>
      <c r="J863" s="92"/>
      <c r="K863" s="98"/>
      <c r="L863" s="92"/>
      <c r="N863" s="92"/>
      <c r="O863" s="92"/>
      <c r="P863" s="92"/>
    </row>
    <row r="864">
      <c r="A864" s="28"/>
      <c r="B864" s="97"/>
      <c r="C864" s="121" t="str">
        <f t="array" ref="C864">ifs(and(isblank($A864),isblank($B864)),"", not(iserror(vlookup($A864&amp;$B864,'3) Release_Label'!$D:$D&amp;'3) Release_Label'!$E:$E,1,0))),vlookup($A864&amp;$B864,{'3) Release_Label'!$D:$D&amp;'3) Release_Label'!$E:$E,'3) Release_Label'!$F:$F},2,0), or(and(not(isblank($B864)),$B864=$B863,$A864&lt;&gt;$A863),and(not(isblank($A864)),$A864=$A863,$B864&lt;&gt;$B863)),"ID LISTS UNALIGNED",and($A864&lt;&gt;"",countif('3) Release_Label'!$D:$D,$A864)=0),"NO UPC MATCH in Release_Label",and($B864&lt;&gt;"",countif('3) Release_Label'!$E:$E,$B864)=0),"NO CATALOG ID MATCH in Release_Label",iserror(vlookup($A864&amp;$B864,'3) Release_Label'!$D:$D&amp;'3) Release_Label'!$E:$E,1,0)),"NO UPC-CATALOG ID pair MATCH in Release_Label" )</f>
        <v/>
      </c>
      <c r="D864" s="121" t="str">
        <f t="array" ref="D864">ifs(and(isblank($A864),isblank($B864)),"", not(iserror(vlookup($A864&amp;$B864,'3) Release_Label'!$D:$D&amp;'3) Release_Label'!$E:$E,1,0))),vlookup($A864&amp;$B864,{'3) Release_Label'!$D:$D&amp;'3) Release_Label'!$E:$E,'3) Release_Label'!$H:$H},2,0), or(and(not(isblank($B864)),$B864=$B863,$A864&lt;&gt;$A863),and(not(isblank($A864)),$A864=$A863,$B864&lt;&gt;$B863)),"ID LISTS UNALIGNED",and($A864&lt;&gt;"",countif('3) Release_Label'!$D:$D,$A864)=0),"NO UPC MATCH in Release_Label",and($B864&lt;&gt;"",countif('3) Release_Label'!$E:$E,$B864)=0),"NO CATALOG ID MATCH in Release_Label",iserror(vlookup($A864&amp;$B864,'3) Release_Label'!$D:$D&amp;'3) Release_Label'!$E:$E,1,0)),"NO UPC-CATALOG ID pair MATCH in Release_Label" )</f>
        <v/>
      </c>
      <c r="E864" s="147" t="str">
        <f t="shared" si="1"/>
        <v/>
      </c>
      <c r="G864" s="97"/>
      <c r="H864" s="155"/>
      <c r="J864" s="92"/>
      <c r="K864" s="98"/>
      <c r="L864" s="92"/>
      <c r="N864" s="92"/>
      <c r="O864" s="92"/>
      <c r="P864" s="92"/>
    </row>
    <row r="865">
      <c r="A865" s="28"/>
      <c r="B865" s="97"/>
      <c r="C865" s="121" t="str">
        <f t="array" ref="C865">ifs(and(isblank($A865),isblank($B865)),"", not(iserror(vlookup($A865&amp;$B865,'3) Release_Label'!$D:$D&amp;'3) Release_Label'!$E:$E,1,0))),vlookup($A865&amp;$B865,{'3) Release_Label'!$D:$D&amp;'3) Release_Label'!$E:$E,'3) Release_Label'!$F:$F},2,0), or(and(not(isblank($B865)),$B865=$B864,$A865&lt;&gt;$A864),and(not(isblank($A865)),$A865=$A864,$B865&lt;&gt;$B864)),"ID LISTS UNALIGNED",and($A865&lt;&gt;"",countif('3) Release_Label'!$D:$D,$A865)=0),"NO UPC MATCH in Release_Label",and($B865&lt;&gt;"",countif('3) Release_Label'!$E:$E,$B865)=0),"NO CATALOG ID MATCH in Release_Label",iserror(vlookup($A865&amp;$B865,'3) Release_Label'!$D:$D&amp;'3) Release_Label'!$E:$E,1,0)),"NO UPC-CATALOG ID pair MATCH in Release_Label" )</f>
        <v/>
      </c>
      <c r="D865" s="121" t="str">
        <f t="array" ref="D865">ifs(and(isblank($A865),isblank($B865)),"", not(iserror(vlookup($A865&amp;$B865,'3) Release_Label'!$D:$D&amp;'3) Release_Label'!$E:$E,1,0))),vlookup($A865&amp;$B865,{'3) Release_Label'!$D:$D&amp;'3) Release_Label'!$E:$E,'3) Release_Label'!$H:$H},2,0), or(and(not(isblank($B865)),$B865=$B864,$A865&lt;&gt;$A864),and(not(isblank($A865)),$A865=$A864,$B865&lt;&gt;$B864)),"ID LISTS UNALIGNED",and($A865&lt;&gt;"",countif('3) Release_Label'!$D:$D,$A865)=0),"NO UPC MATCH in Release_Label",and($B865&lt;&gt;"",countif('3) Release_Label'!$E:$E,$B865)=0),"NO CATALOG ID MATCH in Release_Label",iserror(vlookup($A865&amp;$B865,'3) Release_Label'!$D:$D&amp;'3) Release_Label'!$E:$E,1,0)),"NO UPC-CATALOG ID pair MATCH in Release_Label" )</f>
        <v/>
      </c>
      <c r="E865" s="147" t="str">
        <f t="shared" si="1"/>
        <v/>
      </c>
      <c r="G865" s="97"/>
      <c r="H865" s="155"/>
      <c r="J865" s="92"/>
      <c r="K865" s="98"/>
      <c r="L865" s="92"/>
      <c r="N865" s="92"/>
      <c r="O865" s="92"/>
      <c r="P865" s="92"/>
    </row>
    <row r="866">
      <c r="A866" s="28"/>
      <c r="B866" s="97"/>
      <c r="C866" s="121" t="str">
        <f t="array" ref="C866">ifs(and(isblank($A866),isblank($B866)),"", not(iserror(vlookup($A866&amp;$B866,'3) Release_Label'!$D:$D&amp;'3) Release_Label'!$E:$E,1,0))),vlookup($A866&amp;$B866,{'3) Release_Label'!$D:$D&amp;'3) Release_Label'!$E:$E,'3) Release_Label'!$F:$F},2,0), or(and(not(isblank($B866)),$B866=$B865,$A866&lt;&gt;$A865),and(not(isblank($A866)),$A866=$A865,$B866&lt;&gt;$B865)),"ID LISTS UNALIGNED",and($A866&lt;&gt;"",countif('3) Release_Label'!$D:$D,$A866)=0),"NO UPC MATCH in Release_Label",and($B866&lt;&gt;"",countif('3) Release_Label'!$E:$E,$B866)=0),"NO CATALOG ID MATCH in Release_Label",iserror(vlookup($A866&amp;$B866,'3) Release_Label'!$D:$D&amp;'3) Release_Label'!$E:$E,1,0)),"NO UPC-CATALOG ID pair MATCH in Release_Label" )</f>
        <v/>
      </c>
      <c r="D866" s="121" t="str">
        <f t="array" ref="D866">ifs(and(isblank($A866),isblank($B866)),"", not(iserror(vlookup($A866&amp;$B866,'3) Release_Label'!$D:$D&amp;'3) Release_Label'!$E:$E,1,0))),vlookup($A866&amp;$B866,{'3) Release_Label'!$D:$D&amp;'3) Release_Label'!$E:$E,'3) Release_Label'!$H:$H},2,0), or(and(not(isblank($B866)),$B866=$B865,$A866&lt;&gt;$A865),and(not(isblank($A866)),$A866=$A865,$B866&lt;&gt;$B865)),"ID LISTS UNALIGNED",and($A866&lt;&gt;"",countif('3) Release_Label'!$D:$D,$A866)=0),"NO UPC MATCH in Release_Label",and($B866&lt;&gt;"",countif('3) Release_Label'!$E:$E,$B866)=0),"NO CATALOG ID MATCH in Release_Label",iserror(vlookup($A866&amp;$B866,'3) Release_Label'!$D:$D&amp;'3) Release_Label'!$E:$E,1,0)),"NO UPC-CATALOG ID pair MATCH in Release_Label" )</f>
        <v/>
      </c>
      <c r="E866" s="147" t="str">
        <f t="shared" si="1"/>
        <v/>
      </c>
      <c r="G866" s="97"/>
      <c r="H866" s="155"/>
      <c r="J866" s="92"/>
      <c r="K866" s="98"/>
      <c r="L866" s="92"/>
      <c r="N866" s="92"/>
      <c r="O866" s="92"/>
      <c r="P866" s="92"/>
    </row>
    <row r="867">
      <c r="A867" s="28"/>
      <c r="B867" s="97"/>
      <c r="C867" s="121" t="str">
        <f t="array" ref="C867">ifs(and(isblank($A867),isblank($B867)),"", not(iserror(vlookup($A867&amp;$B867,'3) Release_Label'!$D:$D&amp;'3) Release_Label'!$E:$E,1,0))),vlookup($A867&amp;$B867,{'3) Release_Label'!$D:$D&amp;'3) Release_Label'!$E:$E,'3) Release_Label'!$F:$F},2,0), or(and(not(isblank($B867)),$B867=$B866,$A867&lt;&gt;$A866),and(not(isblank($A867)),$A867=$A866,$B867&lt;&gt;$B866)),"ID LISTS UNALIGNED",and($A867&lt;&gt;"",countif('3) Release_Label'!$D:$D,$A867)=0),"NO UPC MATCH in Release_Label",and($B867&lt;&gt;"",countif('3) Release_Label'!$E:$E,$B867)=0),"NO CATALOG ID MATCH in Release_Label",iserror(vlookup($A867&amp;$B867,'3) Release_Label'!$D:$D&amp;'3) Release_Label'!$E:$E,1,0)),"NO UPC-CATALOG ID pair MATCH in Release_Label" )</f>
        <v/>
      </c>
      <c r="D867" s="121" t="str">
        <f t="array" ref="D867">ifs(and(isblank($A867),isblank($B867)),"", not(iserror(vlookup($A867&amp;$B867,'3) Release_Label'!$D:$D&amp;'3) Release_Label'!$E:$E,1,0))),vlookup($A867&amp;$B867,{'3) Release_Label'!$D:$D&amp;'3) Release_Label'!$E:$E,'3) Release_Label'!$H:$H},2,0), or(and(not(isblank($B867)),$B867=$B866,$A867&lt;&gt;$A866),and(not(isblank($A867)),$A867=$A866,$B867&lt;&gt;$B866)),"ID LISTS UNALIGNED",and($A867&lt;&gt;"",countif('3) Release_Label'!$D:$D,$A867)=0),"NO UPC MATCH in Release_Label",and($B867&lt;&gt;"",countif('3) Release_Label'!$E:$E,$B867)=0),"NO CATALOG ID MATCH in Release_Label",iserror(vlookup($A867&amp;$B867,'3) Release_Label'!$D:$D&amp;'3) Release_Label'!$E:$E,1,0)),"NO UPC-CATALOG ID pair MATCH in Release_Label" )</f>
        <v/>
      </c>
      <c r="E867" s="147" t="str">
        <f t="shared" si="1"/>
        <v/>
      </c>
      <c r="G867" s="97"/>
      <c r="H867" s="155"/>
      <c r="J867" s="92"/>
      <c r="K867" s="98"/>
      <c r="L867" s="92"/>
      <c r="N867" s="92"/>
      <c r="O867" s="92"/>
      <c r="P867" s="92"/>
    </row>
    <row r="868">
      <c r="A868" s="28"/>
      <c r="B868" s="97"/>
      <c r="C868" s="121" t="str">
        <f t="array" ref="C868">ifs(and(isblank($A868),isblank($B868)),"", not(iserror(vlookup($A868&amp;$B868,'3) Release_Label'!$D:$D&amp;'3) Release_Label'!$E:$E,1,0))),vlookup($A868&amp;$B868,{'3) Release_Label'!$D:$D&amp;'3) Release_Label'!$E:$E,'3) Release_Label'!$F:$F},2,0), or(and(not(isblank($B868)),$B868=$B867,$A868&lt;&gt;$A867),and(not(isblank($A868)),$A868=$A867,$B868&lt;&gt;$B867)),"ID LISTS UNALIGNED",and($A868&lt;&gt;"",countif('3) Release_Label'!$D:$D,$A868)=0),"NO UPC MATCH in Release_Label",and($B868&lt;&gt;"",countif('3) Release_Label'!$E:$E,$B868)=0),"NO CATALOG ID MATCH in Release_Label",iserror(vlookup($A868&amp;$B868,'3) Release_Label'!$D:$D&amp;'3) Release_Label'!$E:$E,1,0)),"NO UPC-CATALOG ID pair MATCH in Release_Label" )</f>
        <v/>
      </c>
      <c r="D868" s="121" t="str">
        <f t="array" ref="D868">ifs(and(isblank($A868),isblank($B868)),"", not(iserror(vlookup($A868&amp;$B868,'3) Release_Label'!$D:$D&amp;'3) Release_Label'!$E:$E,1,0))),vlookup($A868&amp;$B868,{'3) Release_Label'!$D:$D&amp;'3) Release_Label'!$E:$E,'3) Release_Label'!$H:$H},2,0), or(and(not(isblank($B868)),$B868=$B867,$A868&lt;&gt;$A867),and(not(isblank($A868)),$A868=$A867,$B868&lt;&gt;$B867)),"ID LISTS UNALIGNED",and($A868&lt;&gt;"",countif('3) Release_Label'!$D:$D,$A868)=0),"NO UPC MATCH in Release_Label",and($B868&lt;&gt;"",countif('3) Release_Label'!$E:$E,$B868)=0),"NO CATALOG ID MATCH in Release_Label",iserror(vlookup($A868&amp;$B868,'3) Release_Label'!$D:$D&amp;'3) Release_Label'!$E:$E,1,0)),"NO UPC-CATALOG ID pair MATCH in Release_Label" )</f>
        <v/>
      </c>
      <c r="E868" s="147" t="str">
        <f t="shared" si="1"/>
        <v/>
      </c>
      <c r="G868" s="97"/>
      <c r="H868" s="155"/>
      <c r="J868" s="92"/>
      <c r="K868" s="98"/>
      <c r="L868" s="92"/>
      <c r="N868" s="92"/>
      <c r="O868" s="92"/>
      <c r="P868" s="92"/>
    </row>
    <row r="869">
      <c r="A869" s="28"/>
      <c r="B869" s="97"/>
      <c r="C869" s="121" t="str">
        <f t="array" ref="C869">ifs(and(isblank($A869),isblank($B869)),"", not(iserror(vlookup($A869&amp;$B869,'3) Release_Label'!$D:$D&amp;'3) Release_Label'!$E:$E,1,0))),vlookup($A869&amp;$B869,{'3) Release_Label'!$D:$D&amp;'3) Release_Label'!$E:$E,'3) Release_Label'!$F:$F},2,0), or(and(not(isblank($B869)),$B869=$B868,$A869&lt;&gt;$A868),and(not(isblank($A869)),$A869=$A868,$B869&lt;&gt;$B868)),"ID LISTS UNALIGNED",and($A869&lt;&gt;"",countif('3) Release_Label'!$D:$D,$A869)=0),"NO UPC MATCH in Release_Label",and($B869&lt;&gt;"",countif('3) Release_Label'!$E:$E,$B869)=0),"NO CATALOG ID MATCH in Release_Label",iserror(vlookup($A869&amp;$B869,'3) Release_Label'!$D:$D&amp;'3) Release_Label'!$E:$E,1,0)),"NO UPC-CATALOG ID pair MATCH in Release_Label" )</f>
        <v/>
      </c>
      <c r="D869" s="121" t="str">
        <f t="array" ref="D869">ifs(and(isblank($A869),isblank($B869)),"", not(iserror(vlookup($A869&amp;$B869,'3) Release_Label'!$D:$D&amp;'3) Release_Label'!$E:$E,1,0))),vlookup($A869&amp;$B869,{'3) Release_Label'!$D:$D&amp;'3) Release_Label'!$E:$E,'3) Release_Label'!$H:$H},2,0), or(and(not(isblank($B869)),$B869=$B868,$A869&lt;&gt;$A868),and(not(isblank($A869)),$A869=$A868,$B869&lt;&gt;$B868)),"ID LISTS UNALIGNED",and($A869&lt;&gt;"",countif('3) Release_Label'!$D:$D,$A869)=0),"NO UPC MATCH in Release_Label",and($B869&lt;&gt;"",countif('3) Release_Label'!$E:$E,$B869)=0),"NO CATALOG ID MATCH in Release_Label",iserror(vlookup($A869&amp;$B869,'3) Release_Label'!$D:$D&amp;'3) Release_Label'!$E:$E,1,0)),"NO UPC-CATALOG ID pair MATCH in Release_Label" )</f>
        <v/>
      </c>
      <c r="E869" s="147" t="str">
        <f t="shared" si="1"/>
        <v/>
      </c>
      <c r="G869" s="97"/>
      <c r="H869" s="155"/>
      <c r="J869" s="92"/>
      <c r="K869" s="98"/>
      <c r="L869" s="92"/>
      <c r="N869" s="92"/>
      <c r="O869" s="92"/>
      <c r="P869" s="92"/>
    </row>
    <row r="870">
      <c r="A870" s="28"/>
      <c r="B870" s="97"/>
      <c r="C870" s="121" t="str">
        <f t="array" ref="C870">ifs(and(isblank($A870),isblank($B870)),"", not(iserror(vlookup($A870&amp;$B870,'3) Release_Label'!$D:$D&amp;'3) Release_Label'!$E:$E,1,0))),vlookup($A870&amp;$B870,{'3) Release_Label'!$D:$D&amp;'3) Release_Label'!$E:$E,'3) Release_Label'!$F:$F},2,0), or(and(not(isblank($B870)),$B870=$B869,$A870&lt;&gt;$A869),and(not(isblank($A870)),$A870=$A869,$B870&lt;&gt;$B869)),"ID LISTS UNALIGNED",and($A870&lt;&gt;"",countif('3) Release_Label'!$D:$D,$A870)=0),"NO UPC MATCH in Release_Label",and($B870&lt;&gt;"",countif('3) Release_Label'!$E:$E,$B870)=0),"NO CATALOG ID MATCH in Release_Label",iserror(vlookup($A870&amp;$B870,'3) Release_Label'!$D:$D&amp;'3) Release_Label'!$E:$E,1,0)),"NO UPC-CATALOG ID pair MATCH in Release_Label" )</f>
        <v/>
      </c>
      <c r="D870" s="121" t="str">
        <f t="array" ref="D870">ifs(and(isblank($A870),isblank($B870)),"", not(iserror(vlookup($A870&amp;$B870,'3) Release_Label'!$D:$D&amp;'3) Release_Label'!$E:$E,1,0))),vlookup($A870&amp;$B870,{'3) Release_Label'!$D:$D&amp;'3) Release_Label'!$E:$E,'3) Release_Label'!$H:$H},2,0), or(and(not(isblank($B870)),$B870=$B869,$A870&lt;&gt;$A869),and(not(isblank($A870)),$A870=$A869,$B870&lt;&gt;$B869)),"ID LISTS UNALIGNED",and($A870&lt;&gt;"",countif('3) Release_Label'!$D:$D,$A870)=0),"NO UPC MATCH in Release_Label",and($B870&lt;&gt;"",countif('3) Release_Label'!$E:$E,$B870)=0),"NO CATALOG ID MATCH in Release_Label",iserror(vlookup($A870&amp;$B870,'3) Release_Label'!$D:$D&amp;'3) Release_Label'!$E:$E,1,0)),"NO UPC-CATALOG ID pair MATCH in Release_Label" )</f>
        <v/>
      </c>
      <c r="E870" s="147" t="str">
        <f t="shared" si="1"/>
        <v/>
      </c>
      <c r="G870" s="97"/>
      <c r="H870" s="155"/>
      <c r="J870" s="92"/>
      <c r="K870" s="98"/>
      <c r="L870" s="92"/>
      <c r="N870" s="92"/>
      <c r="O870" s="92"/>
      <c r="P870" s="92"/>
    </row>
    <row r="871">
      <c r="A871" s="28"/>
      <c r="B871" s="97"/>
      <c r="C871" s="121" t="str">
        <f t="array" ref="C871">ifs(and(isblank($A871),isblank($B871)),"", not(iserror(vlookup($A871&amp;$B871,'3) Release_Label'!$D:$D&amp;'3) Release_Label'!$E:$E,1,0))),vlookup($A871&amp;$B871,{'3) Release_Label'!$D:$D&amp;'3) Release_Label'!$E:$E,'3) Release_Label'!$F:$F},2,0), or(and(not(isblank($B871)),$B871=$B870,$A871&lt;&gt;$A870),and(not(isblank($A871)),$A871=$A870,$B871&lt;&gt;$B870)),"ID LISTS UNALIGNED",and($A871&lt;&gt;"",countif('3) Release_Label'!$D:$D,$A871)=0),"NO UPC MATCH in Release_Label",and($B871&lt;&gt;"",countif('3) Release_Label'!$E:$E,$B871)=0),"NO CATALOG ID MATCH in Release_Label",iserror(vlookup($A871&amp;$B871,'3) Release_Label'!$D:$D&amp;'3) Release_Label'!$E:$E,1,0)),"NO UPC-CATALOG ID pair MATCH in Release_Label" )</f>
        <v/>
      </c>
      <c r="D871" s="121" t="str">
        <f t="array" ref="D871">ifs(and(isblank($A871),isblank($B871)),"", not(iserror(vlookup($A871&amp;$B871,'3) Release_Label'!$D:$D&amp;'3) Release_Label'!$E:$E,1,0))),vlookup($A871&amp;$B871,{'3) Release_Label'!$D:$D&amp;'3) Release_Label'!$E:$E,'3) Release_Label'!$H:$H},2,0), or(and(not(isblank($B871)),$B871=$B870,$A871&lt;&gt;$A870),and(not(isblank($A871)),$A871=$A870,$B871&lt;&gt;$B870)),"ID LISTS UNALIGNED",and($A871&lt;&gt;"",countif('3) Release_Label'!$D:$D,$A871)=0),"NO UPC MATCH in Release_Label",and($B871&lt;&gt;"",countif('3) Release_Label'!$E:$E,$B871)=0),"NO CATALOG ID MATCH in Release_Label",iserror(vlookup($A871&amp;$B871,'3) Release_Label'!$D:$D&amp;'3) Release_Label'!$E:$E,1,0)),"NO UPC-CATALOG ID pair MATCH in Release_Label" )</f>
        <v/>
      </c>
      <c r="E871" s="147" t="str">
        <f t="shared" si="1"/>
        <v/>
      </c>
      <c r="G871" s="97"/>
      <c r="H871" s="155"/>
      <c r="J871" s="92"/>
      <c r="K871" s="98"/>
      <c r="L871" s="92"/>
      <c r="N871" s="92"/>
      <c r="O871" s="92"/>
      <c r="P871" s="92"/>
    </row>
    <row r="872">
      <c r="A872" s="28"/>
      <c r="B872" s="97"/>
      <c r="C872" s="121" t="str">
        <f t="array" ref="C872">ifs(and(isblank($A872),isblank($B872)),"", not(iserror(vlookup($A872&amp;$B872,'3) Release_Label'!$D:$D&amp;'3) Release_Label'!$E:$E,1,0))),vlookup($A872&amp;$B872,{'3) Release_Label'!$D:$D&amp;'3) Release_Label'!$E:$E,'3) Release_Label'!$F:$F},2,0), or(and(not(isblank($B872)),$B872=$B871,$A872&lt;&gt;$A871),and(not(isblank($A872)),$A872=$A871,$B872&lt;&gt;$B871)),"ID LISTS UNALIGNED",and($A872&lt;&gt;"",countif('3) Release_Label'!$D:$D,$A872)=0),"NO UPC MATCH in Release_Label",and($B872&lt;&gt;"",countif('3) Release_Label'!$E:$E,$B872)=0),"NO CATALOG ID MATCH in Release_Label",iserror(vlookup($A872&amp;$B872,'3) Release_Label'!$D:$D&amp;'3) Release_Label'!$E:$E,1,0)),"NO UPC-CATALOG ID pair MATCH in Release_Label" )</f>
        <v/>
      </c>
      <c r="D872" s="121" t="str">
        <f t="array" ref="D872">ifs(and(isblank($A872),isblank($B872)),"", not(iserror(vlookup($A872&amp;$B872,'3) Release_Label'!$D:$D&amp;'3) Release_Label'!$E:$E,1,0))),vlookup($A872&amp;$B872,{'3) Release_Label'!$D:$D&amp;'3) Release_Label'!$E:$E,'3) Release_Label'!$H:$H},2,0), or(and(not(isblank($B872)),$B872=$B871,$A872&lt;&gt;$A871),and(not(isblank($A872)),$A872=$A871,$B872&lt;&gt;$B871)),"ID LISTS UNALIGNED",and($A872&lt;&gt;"",countif('3) Release_Label'!$D:$D,$A872)=0),"NO UPC MATCH in Release_Label",and($B872&lt;&gt;"",countif('3) Release_Label'!$E:$E,$B872)=0),"NO CATALOG ID MATCH in Release_Label",iserror(vlookup($A872&amp;$B872,'3) Release_Label'!$D:$D&amp;'3) Release_Label'!$E:$E,1,0)),"NO UPC-CATALOG ID pair MATCH in Release_Label" )</f>
        <v/>
      </c>
      <c r="E872" s="147" t="str">
        <f t="shared" si="1"/>
        <v/>
      </c>
      <c r="G872" s="97"/>
      <c r="H872" s="155"/>
      <c r="J872" s="92"/>
      <c r="K872" s="98"/>
      <c r="L872" s="92"/>
      <c r="N872" s="92"/>
      <c r="O872" s="92"/>
      <c r="P872" s="92"/>
    </row>
    <row r="873">
      <c r="A873" s="28"/>
      <c r="B873" s="97"/>
      <c r="C873" s="121" t="str">
        <f t="array" ref="C873">ifs(and(isblank($A873),isblank($B873)),"", not(iserror(vlookup($A873&amp;$B873,'3) Release_Label'!$D:$D&amp;'3) Release_Label'!$E:$E,1,0))),vlookup($A873&amp;$B873,{'3) Release_Label'!$D:$D&amp;'3) Release_Label'!$E:$E,'3) Release_Label'!$F:$F},2,0), or(and(not(isblank($B873)),$B873=$B872,$A873&lt;&gt;$A872),and(not(isblank($A873)),$A873=$A872,$B873&lt;&gt;$B872)),"ID LISTS UNALIGNED",and($A873&lt;&gt;"",countif('3) Release_Label'!$D:$D,$A873)=0),"NO UPC MATCH in Release_Label",and($B873&lt;&gt;"",countif('3) Release_Label'!$E:$E,$B873)=0),"NO CATALOG ID MATCH in Release_Label",iserror(vlookup($A873&amp;$B873,'3) Release_Label'!$D:$D&amp;'3) Release_Label'!$E:$E,1,0)),"NO UPC-CATALOG ID pair MATCH in Release_Label" )</f>
        <v/>
      </c>
      <c r="D873" s="121" t="str">
        <f t="array" ref="D873">ifs(and(isblank($A873),isblank($B873)),"", not(iserror(vlookup($A873&amp;$B873,'3) Release_Label'!$D:$D&amp;'3) Release_Label'!$E:$E,1,0))),vlookup($A873&amp;$B873,{'3) Release_Label'!$D:$D&amp;'3) Release_Label'!$E:$E,'3) Release_Label'!$H:$H},2,0), or(and(not(isblank($B873)),$B873=$B872,$A873&lt;&gt;$A872),and(not(isblank($A873)),$A873=$A872,$B873&lt;&gt;$B872)),"ID LISTS UNALIGNED",and($A873&lt;&gt;"",countif('3) Release_Label'!$D:$D,$A873)=0),"NO UPC MATCH in Release_Label",and($B873&lt;&gt;"",countif('3) Release_Label'!$E:$E,$B873)=0),"NO CATALOG ID MATCH in Release_Label",iserror(vlookup($A873&amp;$B873,'3) Release_Label'!$D:$D&amp;'3) Release_Label'!$E:$E,1,0)),"NO UPC-CATALOG ID pair MATCH in Release_Label" )</f>
        <v/>
      </c>
      <c r="E873" s="147" t="str">
        <f t="shared" si="1"/>
        <v/>
      </c>
      <c r="G873" s="97"/>
      <c r="H873" s="155"/>
      <c r="J873" s="92"/>
      <c r="K873" s="98"/>
      <c r="L873" s="92"/>
      <c r="N873" s="92"/>
      <c r="O873" s="92"/>
      <c r="P873" s="92"/>
    </row>
    <row r="874">
      <c r="A874" s="28"/>
      <c r="B874" s="97"/>
      <c r="C874" s="121" t="str">
        <f t="array" ref="C874">ifs(and(isblank($A874),isblank($B874)),"", not(iserror(vlookup($A874&amp;$B874,'3) Release_Label'!$D:$D&amp;'3) Release_Label'!$E:$E,1,0))),vlookup($A874&amp;$B874,{'3) Release_Label'!$D:$D&amp;'3) Release_Label'!$E:$E,'3) Release_Label'!$F:$F},2,0), or(and(not(isblank($B874)),$B874=$B873,$A874&lt;&gt;$A873),and(not(isblank($A874)),$A874=$A873,$B874&lt;&gt;$B873)),"ID LISTS UNALIGNED",and($A874&lt;&gt;"",countif('3) Release_Label'!$D:$D,$A874)=0),"NO UPC MATCH in Release_Label",and($B874&lt;&gt;"",countif('3) Release_Label'!$E:$E,$B874)=0),"NO CATALOG ID MATCH in Release_Label",iserror(vlookup($A874&amp;$B874,'3) Release_Label'!$D:$D&amp;'3) Release_Label'!$E:$E,1,0)),"NO UPC-CATALOG ID pair MATCH in Release_Label" )</f>
        <v/>
      </c>
      <c r="D874" s="121" t="str">
        <f t="array" ref="D874">ifs(and(isblank($A874),isblank($B874)),"", not(iserror(vlookup($A874&amp;$B874,'3) Release_Label'!$D:$D&amp;'3) Release_Label'!$E:$E,1,0))),vlookup($A874&amp;$B874,{'3) Release_Label'!$D:$D&amp;'3) Release_Label'!$E:$E,'3) Release_Label'!$H:$H},2,0), or(and(not(isblank($B874)),$B874=$B873,$A874&lt;&gt;$A873),and(not(isblank($A874)),$A874=$A873,$B874&lt;&gt;$B873)),"ID LISTS UNALIGNED",and($A874&lt;&gt;"",countif('3) Release_Label'!$D:$D,$A874)=0),"NO UPC MATCH in Release_Label",and($B874&lt;&gt;"",countif('3) Release_Label'!$E:$E,$B874)=0),"NO CATALOG ID MATCH in Release_Label",iserror(vlookup($A874&amp;$B874,'3) Release_Label'!$D:$D&amp;'3) Release_Label'!$E:$E,1,0)),"NO UPC-CATALOG ID pair MATCH in Release_Label" )</f>
        <v/>
      </c>
      <c r="E874" s="147" t="str">
        <f t="shared" si="1"/>
        <v/>
      </c>
      <c r="G874" s="97"/>
      <c r="H874" s="155"/>
      <c r="J874" s="92"/>
      <c r="K874" s="98"/>
      <c r="L874" s="92"/>
      <c r="N874" s="92"/>
      <c r="O874" s="92"/>
      <c r="P874" s="92"/>
    </row>
    <row r="875">
      <c r="A875" s="28"/>
      <c r="B875" s="97"/>
      <c r="C875" s="121" t="str">
        <f t="array" ref="C875">ifs(and(isblank($A875),isblank($B875)),"", not(iserror(vlookup($A875&amp;$B875,'3) Release_Label'!$D:$D&amp;'3) Release_Label'!$E:$E,1,0))),vlookup($A875&amp;$B875,{'3) Release_Label'!$D:$D&amp;'3) Release_Label'!$E:$E,'3) Release_Label'!$F:$F},2,0), or(and(not(isblank($B875)),$B875=$B874,$A875&lt;&gt;$A874),and(not(isblank($A875)),$A875=$A874,$B875&lt;&gt;$B874)),"ID LISTS UNALIGNED",and($A875&lt;&gt;"",countif('3) Release_Label'!$D:$D,$A875)=0),"NO UPC MATCH in Release_Label",and($B875&lt;&gt;"",countif('3) Release_Label'!$E:$E,$B875)=0),"NO CATALOG ID MATCH in Release_Label",iserror(vlookup($A875&amp;$B875,'3) Release_Label'!$D:$D&amp;'3) Release_Label'!$E:$E,1,0)),"NO UPC-CATALOG ID pair MATCH in Release_Label" )</f>
        <v/>
      </c>
      <c r="D875" s="121" t="str">
        <f t="array" ref="D875">ifs(and(isblank($A875),isblank($B875)),"", not(iserror(vlookup($A875&amp;$B875,'3) Release_Label'!$D:$D&amp;'3) Release_Label'!$E:$E,1,0))),vlookup($A875&amp;$B875,{'3) Release_Label'!$D:$D&amp;'3) Release_Label'!$E:$E,'3) Release_Label'!$H:$H},2,0), or(and(not(isblank($B875)),$B875=$B874,$A875&lt;&gt;$A874),and(not(isblank($A875)),$A875=$A874,$B875&lt;&gt;$B874)),"ID LISTS UNALIGNED",and($A875&lt;&gt;"",countif('3) Release_Label'!$D:$D,$A875)=0),"NO UPC MATCH in Release_Label",and($B875&lt;&gt;"",countif('3) Release_Label'!$E:$E,$B875)=0),"NO CATALOG ID MATCH in Release_Label",iserror(vlookup($A875&amp;$B875,'3) Release_Label'!$D:$D&amp;'3) Release_Label'!$E:$E,1,0)),"NO UPC-CATALOG ID pair MATCH in Release_Label" )</f>
        <v/>
      </c>
      <c r="E875" s="147" t="str">
        <f t="shared" si="1"/>
        <v/>
      </c>
      <c r="G875" s="97"/>
      <c r="H875" s="155"/>
      <c r="J875" s="92"/>
      <c r="K875" s="98"/>
      <c r="L875" s="92"/>
      <c r="N875" s="92"/>
      <c r="O875" s="92"/>
      <c r="P875" s="92"/>
    </row>
    <row r="876">
      <c r="A876" s="28"/>
      <c r="B876" s="97"/>
      <c r="C876" s="121" t="str">
        <f t="array" ref="C876">ifs(and(isblank($A876),isblank($B876)),"", not(iserror(vlookup($A876&amp;$B876,'3) Release_Label'!$D:$D&amp;'3) Release_Label'!$E:$E,1,0))),vlookup($A876&amp;$B876,{'3) Release_Label'!$D:$D&amp;'3) Release_Label'!$E:$E,'3) Release_Label'!$F:$F},2,0), or(and(not(isblank($B876)),$B876=$B875,$A876&lt;&gt;$A875),and(not(isblank($A876)),$A876=$A875,$B876&lt;&gt;$B875)),"ID LISTS UNALIGNED",and($A876&lt;&gt;"",countif('3) Release_Label'!$D:$D,$A876)=0),"NO UPC MATCH in Release_Label",and($B876&lt;&gt;"",countif('3) Release_Label'!$E:$E,$B876)=0),"NO CATALOG ID MATCH in Release_Label",iserror(vlookup($A876&amp;$B876,'3) Release_Label'!$D:$D&amp;'3) Release_Label'!$E:$E,1,0)),"NO UPC-CATALOG ID pair MATCH in Release_Label" )</f>
        <v/>
      </c>
      <c r="D876" s="121" t="str">
        <f t="array" ref="D876">ifs(and(isblank($A876),isblank($B876)),"", not(iserror(vlookup($A876&amp;$B876,'3) Release_Label'!$D:$D&amp;'3) Release_Label'!$E:$E,1,0))),vlookup($A876&amp;$B876,{'3) Release_Label'!$D:$D&amp;'3) Release_Label'!$E:$E,'3) Release_Label'!$H:$H},2,0), or(and(not(isblank($B876)),$B876=$B875,$A876&lt;&gt;$A875),and(not(isblank($A876)),$A876=$A875,$B876&lt;&gt;$B875)),"ID LISTS UNALIGNED",and($A876&lt;&gt;"",countif('3) Release_Label'!$D:$D,$A876)=0),"NO UPC MATCH in Release_Label",and($B876&lt;&gt;"",countif('3) Release_Label'!$E:$E,$B876)=0),"NO CATALOG ID MATCH in Release_Label",iserror(vlookup($A876&amp;$B876,'3) Release_Label'!$D:$D&amp;'3) Release_Label'!$E:$E,1,0)),"NO UPC-CATALOG ID pair MATCH in Release_Label" )</f>
        <v/>
      </c>
      <c r="E876" s="147" t="str">
        <f t="shared" si="1"/>
        <v/>
      </c>
      <c r="G876" s="97"/>
      <c r="H876" s="155"/>
      <c r="J876" s="92"/>
      <c r="K876" s="98"/>
      <c r="L876" s="92"/>
      <c r="N876" s="92"/>
      <c r="O876" s="92"/>
      <c r="P876" s="92"/>
    </row>
    <row r="877">
      <c r="A877" s="28"/>
      <c r="B877" s="97"/>
      <c r="C877" s="121" t="str">
        <f t="array" ref="C877">ifs(and(isblank($A877),isblank($B877)),"", not(iserror(vlookup($A877&amp;$B877,'3) Release_Label'!$D:$D&amp;'3) Release_Label'!$E:$E,1,0))),vlookup($A877&amp;$B877,{'3) Release_Label'!$D:$D&amp;'3) Release_Label'!$E:$E,'3) Release_Label'!$F:$F},2,0), or(and(not(isblank($B877)),$B877=$B876,$A877&lt;&gt;$A876),and(not(isblank($A877)),$A877=$A876,$B877&lt;&gt;$B876)),"ID LISTS UNALIGNED",and($A877&lt;&gt;"",countif('3) Release_Label'!$D:$D,$A877)=0),"NO UPC MATCH in Release_Label",and($B877&lt;&gt;"",countif('3) Release_Label'!$E:$E,$B877)=0),"NO CATALOG ID MATCH in Release_Label",iserror(vlookup($A877&amp;$B877,'3) Release_Label'!$D:$D&amp;'3) Release_Label'!$E:$E,1,0)),"NO UPC-CATALOG ID pair MATCH in Release_Label" )</f>
        <v/>
      </c>
      <c r="D877" s="121" t="str">
        <f t="array" ref="D877">ifs(and(isblank($A877),isblank($B877)),"", not(iserror(vlookup($A877&amp;$B877,'3) Release_Label'!$D:$D&amp;'3) Release_Label'!$E:$E,1,0))),vlookup($A877&amp;$B877,{'3) Release_Label'!$D:$D&amp;'3) Release_Label'!$E:$E,'3) Release_Label'!$H:$H},2,0), or(and(not(isblank($B877)),$B877=$B876,$A877&lt;&gt;$A876),and(not(isblank($A877)),$A877=$A876,$B877&lt;&gt;$B876)),"ID LISTS UNALIGNED",and($A877&lt;&gt;"",countif('3) Release_Label'!$D:$D,$A877)=0),"NO UPC MATCH in Release_Label",and($B877&lt;&gt;"",countif('3) Release_Label'!$E:$E,$B877)=0),"NO CATALOG ID MATCH in Release_Label",iserror(vlookup($A877&amp;$B877,'3) Release_Label'!$D:$D&amp;'3) Release_Label'!$E:$E,1,0)),"NO UPC-CATALOG ID pair MATCH in Release_Label" )</f>
        <v/>
      </c>
      <c r="E877" s="147" t="str">
        <f t="shared" si="1"/>
        <v/>
      </c>
      <c r="G877" s="97"/>
      <c r="H877" s="155"/>
      <c r="J877" s="92"/>
      <c r="K877" s="98"/>
      <c r="L877" s="92"/>
      <c r="N877" s="92"/>
      <c r="O877" s="92"/>
      <c r="P877" s="92"/>
    </row>
    <row r="878">
      <c r="A878" s="28"/>
      <c r="B878" s="97"/>
      <c r="C878" s="121" t="str">
        <f t="array" ref="C878">ifs(and(isblank($A878),isblank($B878)),"", not(iserror(vlookup($A878&amp;$B878,'3) Release_Label'!$D:$D&amp;'3) Release_Label'!$E:$E,1,0))),vlookup($A878&amp;$B878,{'3) Release_Label'!$D:$D&amp;'3) Release_Label'!$E:$E,'3) Release_Label'!$F:$F},2,0), or(and(not(isblank($B878)),$B878=$B877,$A878&lt;&gt;$A877),and(not(isblank($A878)),$A878=$A877,$B878&lt;&gt;$B877)),"ID LISTS UNALIGNED",and($A878&lt;&gt;"",countif('3) Release_Label'!$D:$D,$A878)=0),"NO UPC MATCH in Release_Label",and($B878&lt;&gt;"",countif('3) Release_Label'!$E:$E,$B878)=0),"NO CATALOG ID MATCH in Release_Label",iserror(vlookup($A878&amp;$B878,'3) Release_Label'!$D:$D&amp;'3) Release_Label'!$E:$E,1,0)),"NO UPC-CATALOG ID pair MATCH in Release_Label" )</f>
        <v/>
      </c>
      <c r="D878" s="121" t="str">
        <f t="array" ref="D878">ifs(and(isblank($A878),isblank($B878)),"", not(iserror(vlookup($A878&amp;$B878,'3) Release_Label'!$D:$D&amp;'3) Release_Label'!$E:$E,1,0))),vlookup($A878&amp;$B878,{'3) Release_Label'!$D:$D&amp;'3) Release_Label'!$E:$E,'3) Release_Label'!$H:$H},2,0), or(and(not(isblank($B878)),$B878=$B877,$A878&lt;&gt;$A877),and(not(isblank($A878)),$A878=$A877,$B878&lt;&gt;$B877)),"ID LISTS UNALIGNED",and($A878&lt;&gt;"",countif('3) Release_Label'!$D:$D,$A878)=0),"NO UPC MATCH in Release_Label",and($B878&lt;&gt;"",countif('3) Release_Label'!$E:$E,$B878)=0),"NO CATALOG ID MATCH in Release_Label",iserror(vlookup($A878&amp;$B878,'3) Release_Label'!$D:$D&amp;'3) Release_Label'!$E:$E,1,0)),"NO UPC-CATALOG ID pair MATCH in Release_Label" )</f>
        <v/>
      </c>
      <c r="E878" s="147" t="str">
        <f t="shared" si="1"/>
        <v/>
      </c>
      <c r="G878" s="97"/>
      <c r="H878" s="155"/>
      <c r="J878" s="92"/>
      <c r="K878" s="98"/>
      <c r="L878" s="92"/>
      <c r="N878" s="92"/>
      <c r="O878" s="92"/>
      <c r="P878" s="92"/>
    </row>
    <row r="879">
      <c r="A879" s="28"/>
      <c r="B879" s="97"/>
      <c r="C879" s="121" t="str">
        <f t="array" ref="C879">ifs(and(isblank($A879),isblank($B879)),"", not(iserror(vlookup($A879&amp;$B879,'3) Release_Label'!$D:$D&amp;'3) Release_Label'!$E:$E,1,0))),vlookup($A879&amp;$B879,{'3) Release_Label'!$D:$D&amp;'3) Release_Label'!$E:$E,'3) Release_Label'!$F:$F},2,0), or(and(not(isblank($B879)),$B879=$B878,$A879&lt;&gt;$A878),and(not(isblank($A879)),$A879=$A878,$B879&lt;&gt;$B878)),"ID LISTS UNALIGNED",and($A879&lt;&gt;"",countif('3) Release_Label'!$D:$D,$A879)=0),"NO UPC MATCH in Release_Label",and($B879&lt;&gt;"",countif('3) Release_Label'!$E:$E,$B879)=0),"NO CATALOG ID MATCH in Release_Label",iserror(vlookup($A879&amp;$B879,'3) Release_Label'!$D:$D&amp;'3) Release_Label'!$E:$E,1,0)),"NO UPC-CATALOG ID pair MATCH in Release_Label" )</f>
        <v/>
      </c>
      <c r="D879" s="121" t="str">
        <f t="array" ref="D879">ifs(and(isblank($A879),isblank($B879)),"", not(iserror(vlookup($A879&amp;$B879,'3) Release_Label'!$D:$D&amp;'3) Release_Label'!$E:$E,1,0))),vlookup($A879&amp;$B879,{'3) Release_Label'!$D:$D&amp;'3) Release_Label'!$E:$E,'3) Release_Label'!$H:$H},2,0), or(and(not(isblank($B879)),$B879=$B878,$A879&lt;&gt;$A878),and(not(isblank($A879)),$A879=$A878,$B879&lt;&gt;$B878)),"ID LISTS UNALIGNED",and($A879&lt;&gt;"",countif('3) Release_Label'!$D:$D,$A879)=0),"NO UPC MATCH in Release_Label",and($B879&lt;&gt;"",countif('3) Release_Label'!$E:$E,$B879)=0),"NO CATALOG ID MATCH in Release_Label",iserror(vlookup($A879&amp;$B879,'3) Release_Label'!$D:$D&amp;'3) Release_Label'!$E:$E,1,0)),"NO UPC-CATALOG ID pair MATCH in Release_Label" )</f>
        <v/>
      </c>
      <c r="E879" s="147" t="str">
        <f t="shared" si="1"/>
        <v/>
      </c>
      <c r="G879" s="97"/>
      <c r="H879" s="155"/>
      <c r="J879" s="92"/>
      <c r="K879" s="98"/>
      <c r="L879" s="92"/>
      <c r="N879" s="92"/>
      <c r="O879" s="92"/>
      <c r="P879" s="92"/>
    </row>
    <row r="880">
      <c r="A880" s="28"/>
      <c r="B880" s="97"/>
      <c r="C880" s="121" t="str">
        <f t="array" ref="C880">ifs(and(isblank($A880),isblank($B880)),"", not(iserror(vlookup($A880&amp;$B880,'3) Release_Label'!$D:$D&amp;'3) Release_Label'!$E:$E,1,0))),vlookup($A880&amp;$B880,{'3) Release_Label'!$D:$D&amp;'3) Release_Label'!$E:$E,'3) Release_Label'!$F:$F},2,0), or(and(not(isblank($B880)),$B880=$B879,$A880&lt;&gt;$A879),and(not(isblank($A880)),$A880=$A879,$B880&lt;&gt;$B879)),"ID LISTS UNALIGNED",and($A880&lt;&gt;"",countif('3) Release_Label'!$D:$D,$A880)=0),"NO UPC MATCH in Release_Label",and($B880&lt;&gt;"",countif('3) Release_Label'!$E:$E,$B880)=0),"NO CATALOG ID MATCH in Release_Label",iserror(vlookup($A880&amp;$B880,'3) Release_Label'!$D:$D&amp;'3) Release_Label'!$E:$E,1,0)),"NO UPC-CATALOG ID pair MATCH in Release_Label" )</f>
        <v/>
      </c>
      <c r="D880" s="121" t="str">
        <f t="array" ref="D880">ifs(and(isblank($A880),isblank($B880)),"", not(iserror(vlookup($A880&amp;$B880,'3) Release_Label'!$D:$D&amp;'3) Release_Label'!$E:$E,1,0))),vlookup($A880&amp;$B880,{'3) Release_Label'!$D:$D&amp;'3) Release_Label'!$E:$E,'3) Release_Label'!$H:$H},2,0), or(and(not(isblank($B880)),$B880=$B879,$A880&lt;&gt;$A879),and(not(isblank($A880)),$A880=$A879,$B880&lt;&gt;$B879)),"ID LISTS UNALIGNED",and($A880&lt;&gt;"",countif('3) Release_Label'!$D:$D,$A880)=0),"NO UPC MATCH in Release_Label",and($B880&lt;&gt;"",countif('3) Release_Label'!$E:$E,$B880)=0),"NO CATALOG ID MATCH in Release_Label",iserror(vlookup($A880&amp;$B880,'3) Release_Label'!$D:$D&amp;'3) Release_Label'!$E:$E,1,0)),"NO UPC-CATALOG ID pair MATCH in Release_Label" )</f>
        <v/>
      </c>
      <c r="E880" s="147" t="str">
        <f t="shared" si="1"/>
        <v/>
      </c>
      <c r="G880" s="97"/>
      <c r="H880" s="155"/>
      <c r="J880" s="92"/>
      <c r="K880" s="98"/>
      <c r="L880" s="92"/>
      <c r="N880" s="92"/>
      <c r="O880" s="92"/>
      <c r="P880" s="92"/>
    </row>
    <row r="881">
      <c r="A881" s="28"/>
      <c r="B881" s="97"/>
      <c r="C881" s="121" t="str">
        <f t="array" ref="C881">ifs(and(isblank($A881),isblank($B881)),"", not(iserror(vlookup($A881&amp;$B881,'3) Release_Label'!$D:$D&amp;'3) Release_Label'!$E:$E,1,0))),vlookup($A881&amp;$B881,{'3) Release_Label'!$D:$D&amp;'3) Release_Label'!$E:$E,'3) Release_Label'!$F:$F},2,0), or(and(not(isblank($B881)),$B881=$B880,$A881&lt;&gt;$A880),and(not(isblank($A881)),$A881=$A880,$B881&lt;&gt;$B880)),"ID LISTS UNALIGNED",and($A881&lt;&gt;"",countif('3) Release_Label'!$D:$D,$A881)=0),"NO UPC MATCH in Release_Label",and($B881&lt;&gt;"",countif('3) Release_Label'!$E:$E,$B881)=0),"NO CATALOG ID MATCH in Release_Label",iserror(vlookup($A881&amp;$B881,'3) Release_Label'!$D:$D&amp;'3) Release_Label'!$E:$E,1,0)),"NO UPC-CATALOG ID pair MATCH in Release_Label" )</f>
        <v/>
      </c>
      <c r="D881" s="121" t="str">
        <f t="array" ref="D881">ifs(and(isblank($A881),isblank($B881)),"", not(iserror(vlookup($A881&amp;$B881,'3) Release_Label'!$D:$D&amp;'3) Release_Label'!$E:$E,1,0))),vlookup($A881&amp;$B881,{'3) Release_Label'!$D:$D&amp;'3) Release_Label'!$E:$E,'3) Release_Label'!$H:$H},2,0), or(and(not(isblank($B881)),$B881=$B880,$A881&lt;&gt;$A880),and(not(isblank($A881)),$A881=$A880,$B881&lt;&gt;$B880)),"ID LISTS UNALIGNED",and($A881&lt;&gt;"",countif('3) Release_Label'!$D:$D,$A881)=0),"NO UPC MATCH in Release_Label",and($B881&lt;&gt;"",countif('3) Release_Label'!$E:$E,$B881)=0),"NO CATALOG ID MATCH in Release_Label",iserror(vlookup($A881&amp;$B881,'3) Release_Label'!$D:$D&amp;'3) Release_Label'!$E:$E,1,0)),"NO UPC-CATALOG ID pair MATCH in Release_Label" )</f>
        <v/>
      </c>
      <c r="E881" s="147" t="str">
        <f t="shared" si="1"/>
        <v/>
      </c>
      <c r="G881" s="97"/>
      <c r="H881" s="155"/>
      <c r="J881" s="92"/>
      <c r="K881" s="98"/>
      <c r="L881" s="92"/>
      <c r="N881" s="92"/>
      <c r="O881" s="92"/>
      <c r="P881" s="92"/>
    </row>
    <row r="882">
      <c r="A882" s="28"/>
      <c r="B882" s="97"/>
      <c r="C882" s="121" t="str">
        <f t="array" ref="C882">ifs(and(isblank($A882),isblank($B882)),"", not(iserror(vlookup($A882&amp;$B882,'3) Release_Label'!$D:$D&amp;'3) Release_Label'!$E:$E,1,0))),vlookup($A882&amp;$B882,{'3) Release_Label'!$D:$D&amp;'3) Release_Label'!$E:$E,'3) Release_Label'!$F:$F},2,0), or(and(not(isblank($B882)),$B882=$B881,$A882&lt;&gt;$A881),and(not(isblank($A882)),$A882=$A881,$B882&lt;&gt;$B881)),"ID LISTS UNALIGNED",and($A882&lt;&gt;"",countif('3) Release_Label'!$D:$D,$A882)=0),"NO UPC MATCH in Release_Label",and($B882&lt;&gt;"",countif('3) Release_Label'!$E:$E,$B882)=0),"NO CATALOG ID MATCH in Release_Label",iserror(vlookup($A882&amp;$B882,'3) Release_Label'!$D:$D&amp;'3) Release_Label'!$E:$E,1,0)),"NO UPC-CATALOG ID pair MATCH in Release_Label" )</f>
        <v/>
      </c>
      <c r="D882" s="121" t="str">
        <f t="array" ref="D882">ifs(and(isblank($A882),isblank($B882)),"", not(iserror(vlookup($A882&amp;$B882,'3) Release_Label'!$D:$D&amp;'3) Release_Label'!$E:$E,1,0))),vlookup($A882&amp;$B882,{'3) Release_Label'!$D:$D&amp;'3) Release_Label'!$E:$E,'3) Release_Label'!$H:$H},2,0), or(and(not(isblank($B882)),$B882=$B881,$A882&lt;&gt;$A881),and(not(isblank($A882)),$A882=$A881,$B882&lt;&gt;$B881)),"ID LISTS UNALIGNED",and($A882&lt;&gt;"",countif('3) Release_Label'!$D:$D,$A882)=0),"NO UPC MATCH in Release_Label",and($B882&lt;&gt;"",countif('3) Release_Label'!$E:$E,$B882)=0),"NO CATALOG ID MATCH in Release_Label",iserror(vlookup($A882&amp;$B882,'3) Release_Label'!$D:$D&amp;'3) Release_Label'!$E:$E,1,0)),"NO UPC-CATALOG ID pair MATCH in Release_Label" )</f>
        <v/>
      </c>
      <c r="E882" s="147" t="str">
        <f t="shared" si="1"/>
        <v/>
      </c>
      <c r="G882" s="97"/>
      <c r="H882" s="155"/>
      <c r="J882" s="92"/>
      <c r="K882" s="98"/>
      <c r="L882" s="92"/>
      <c r="N882" s="92"/>
      <c r="O882" s="92"/>
      <c r="P882" s="92"/>
    </row>
    <row r="883">
      <c r="A883" s="28"/>
      <c r="B883" s="97"/>
      <c r="C883" s="121" t="str">
        <f t="array" ref="C883">ifs(and(isblank($A883),isblank($B883)),"", not(iserror(vlookup($A883&amp;$B883,'3) Release_Label'!$D:$D&amp;'3) Release_Label'!$E:$E,1,0))),vlookup($A883&amp;$B883,{'3) Release_Label'!$D:$D&amp;'3) Release_Label'!$E:$E,'3) Release_Label'!$F:$F},2,0), or(and(not(isblank($B883)),$B883=$B882,$A883&lt;&gt;$A882),and(not(isblank($A883)),$A883=$A882,$B883&lt;&gt;$B882)),"ID LISTS UNALIGNED",and($A883&lt;&gt;"",countif('3) Release_Label'!$D:$D,$A883)=0),"NO UPC MATCH in Release_Label",and($B883&lt;&gt;"",countif('3) Release_Label'!$E:$E,$B883)=0),"NO CATALOG ID MATCH in Release_Label",iserror(vlookup($A883&amp;$B883,'3) Release_Label'!$D:$D&amp;'3) Release_Label'!$E:$E,1,0)),"NO UPC-CATALOG ID pair MATCH in Release_Label" )</f>
        <v/>
      </c>
      <c r="D883" s="121" t="str">
        <f t="array" ref="D883">ifs(and(isblank($A883),isblank($B883)),"", not(iserror(vlookup($A883&amp;$B883,'3) Release_Label'!$D:$D&amp;'3) Release_Label'!$E:$E,1,0))),vlookup($A883&amp;$B883,{'3) Release_Label'!$D:$D&amp;'3) Release_Label'!$E:$E,'3) Release_Label'!$H:$H},2,0), or(and(not(isblank($B883)),$B883=$B882,$A883&lt;&gt;$A882),and(not(isblank($A883)),$A883=$A882,$B883&lt;&gt;$B882)),"ID LISTS UNALIGNED",and($A883&lt;&gt;"",countif('3) Release_Label'!$D:$D,$A883)=0),"NO UPC MATCH in Release_Label",and($B883&lt;&gt;"",countif('3) Release_Label'!$E:$E,$B883)=0),"NO CATALOG ID MATCH in Release_Label",iserror(vlookup($A883&amp;$B883,'3) Release_Label'!$D:$D&amp;'3) Release_Label'!$E:$E,1,0)),"NO UPC-CATALOG ID pair MATCH in Release_Label" )</f>
        <v/>
      </c>
      <c r="E883" s="147" t="str">
        <f t="shared" si="1"/>
        <v/>
      </c>
      <c r="G883" s="97"/>
      <c r="H883" s="155"/>
      <c r="J883" s="92"/>
      <c r="K883" s="98"/>
      <c r="L883" s="92"/>
      <c r="N883" s="92"/>
      <c r="O883" s="92"/>
      <c r="P883" s="92"/>
    </row>
    <row r="884">
      <c r="A884" s="28"/>
      <c r="B884" s="97"/>
      <c r="C884" s="121" t="str">
        <f t="array" ref="C884">ifs(and(isblank($A884),isblank($B884)),"", not(iserror(vlookup($A884&amp;$B884,'3) Release_Label'!$D:$D&amp;'3) Release_Label'!$E:$E,1,0))),vlookup($A884&amp;$B884,{'3) Release_Label'!$D:$D&amp;'3) Release_Label'!$E:$E,'3) Release_Label'!$F:$F},2,0), or(and(not(isblank($B884)),$B884=$B883,$A884&lt;&gt;$A883),and(not(isblank($A884)),$A884=$A883,$B884&lt;&gt;$B883)),"ID LISTS UNALIGNED",and($A884&lt;&gt;"",countif('3) Release_Label'!$D:$D,$A884)=0),"NO UPC MATCH in Release_Label",and($B884&lt;&gt;"",countif('3) Release_Label'!$E:$E,$B884)=0),"NO CATALOG ID MATCH in Release_Label",iserror(vlookup($A884&amp;$B884,'3) Release_Label'!$D:$D&amp;'3) Release_Label'!$E:$E,1,0)),"NO UPC-CATALOG ID pair MATCH in Release_Label" )</f>
        <v/>
      </c>
      <c r="D884" s="121" t="str">
        <f t="array" ref="D884">ifs(and(isblank($A884),isblank($B884)),"", not(iserror(vlookup($A884&amp;$B884,'3) Release_Label'!$D:$D&amp;'3) Release_Label'!$E:$E,1,0))),vlookup($A884&amp;$B884,{'3) Release_Label'!$D:$D&amp;'3) Release_Label'!$E:$E,'3) Release_Label'!$H:$H},2,0), or(and(not(isblank($B884)),$B884=$B883,$A884&lt;&gt;$A883),and(not(isblank($A884)),$A884=$A883,$B884&lt;&gt;$B883)),"ID LISTS UNALIGNED",and($A884&lt;&gt;"",countif('3) Release_Label'!$D:$D,$A884)=0),"NO UPC MATCH in Release_Label",and($B884&lt;&gt;"",countif('3) Release_Label'!$E:$E,$B884)=0),"NO CATALOG ID MATCH in Release_Label",iserror(vlookup($A884&amp;$B884,'3) Release_Label'!$D:$D&amp;'3) Release_Label'!$E:$E,1,0)),"NO UPC-CATALOG ID pair MATCH in Release_Label" )</f>
        <v/>
      </c>
      <c r="E884" s="147" t="str">
        <f t="shared" si="1"/>
        <v/>
      </c>
      <c r="G884" s="97"/>
      <c r="H884" s="155"/>
      <c r="J884" s="92"/>
      <c r="K884" s="98"/>
      <c r="L884" s="92"/>
      <c r="N884" s="92"/>
      <c r="O884" s="92"/>
      <c r="P884" s="92"/>
    </row>
    <row r="885">
      <c r="A885" s="28"/>
      <c r="B885" s="97"/>
      <c r="C885" s="121" t="str">
        <f t="array" ref="C885">ifs(and(isblank($A885),isblank($B885)),"", not(iserror(vlookup($A885&amp;$B885,'3) Release_Label'!$D:$D&amp;'3) Release_Label'!$E:$E,1,0))),vlookup($A885&amp;$B885,{'3) Release_Label'!$D:$D&amp;'3) Release_Label'!$E:$E,'3) Release_Label'!$F:$F},2,0), or(and(not(isblank($B885)),$B885=$B884,$A885&lt;&gt;$A884),and(not(isblank($A885)),$A885=$A884,$B885&lt;&gt;$B884)),"ID LISTS UNALIGNED",and($A885&lt;&gt;"",countif('3) Release_Label'!$D:$D,$A885)=0),"NO UPC MATCH in Release_Label",and($B885&lt;&gt;"",countif('3) Release_Label'!$E:$E,$B885)=0),"NO CATALOG ID MATCH in Release_Label",iserror(vlookup($A885&amp;$B885,'3) Release_Label'!$D:$D&amp;'3) Release_Label'!$E:$E,1,0)),"NO UPC-CATALOG ID pair MATCH in Release_Label" )</f>
        <v/>
      </c>
      <c r="D885" s="121" t="str">
        <f t="array" ref="D885">ifs(and(isblank($A885),isblank($B885)),"", not(iserror(vlookup($A885&amp;$B885,'3) Release_Label'!$D:$D&amp;'3) Release_Label'!$E:$E,1,0))),vlookup($A885&amp;$B885,{'3) Release_Label'!$D:$D&amp;'3) Release_Label'!$E:$E,'3) Release_Label'!$H:$H},2,0), or(and(not(isblank($B885)),$B885=$B884,$A885&lt;&gt;$A884),and(not(isblank($A885)),$A885=$A884,$B885&lt;&gt;$B884)),"ID LISTS UNALIGNED",and($A885&lt;&gt;"",countif('3) Release_Label'!$D:$D,$A885)=0),"NO UPC MATCH in Release_Label",and($B885&lt;&gt;"",countif('3) Release_Label'!$E:$E,$B885)=0),"NO CATALOG ID MATCH in Release_Label",iserror(vlookup($A885&amp;$B885,'3) Release_Label'!$D:$D&amp;'3) Release_Label'!$E:$E,1,0)),"NO UPC-CATALOG ID pair MATCH in Release_Label" )</f>
        <v/>
      </c>
      <c r="E885" s="147" t="str">
        <f t="shared" si="1"/>
        <v/>
      </c>
      <c r="G885" s="97"/>
      <c r="H885" s="155"/>
      <c r="J885" s="92"/>
      <c r="K885" s="98"/>
      <c r="L885" s="92"/>
      <c r="N885" s="92"/>
      <c r="O885" s="92"/>
      <c r="P885" s="92"/>
    </row>
    <row r="886">
      <c r="A886" s="28"/>
      <c r="B886" s="97"/>
      <c r="C886" s="121" t="str">
        <f t="array" ref="C886">ifs(and(isblank($A886),isblank($B886)),"", not(iserror(vlookup($A886&amp;$B886,'3) Release_Label'!$D:$D&amp;'3) Release_Label'!$E:$E,1,0))),vlookup($A886&amp;$B886,{'3) Release_Label'!$D:$D&amp;'3) Release_Label'!$E:$E,'3) Release_Label'!$F:$F},2,0), or(and(not(isblank($B886)),$B886=$B885,$A886&lt;&gt;$A885),and(not(isblank($A886)),$A886=$A885,$B886&lt;&gt;$B885)),"ID LISTS UNALIGNED",and($A886&lt;&gt;"",countif('3) Release_Label'!$D:$D,$A886)=0),"NO UPC MATCH in Release_Label",and($B886&lt;&gt;"",countif('3) Release_Label'!$E:$E,$B886)=0),"NO CATALOG ID MATCH in Release_Label",iserror(vlookup($A886&amp;$B886,'3) Release_Label'!$D:$D&amp;'3) Release_Label'!$E:$E,1,0)),"NO UPC-CATALOG ID pair MATCH in Release_Label" )</f>
        <v/>
      </c>
      <c r="D886" s="121" t="str">
        <f t="array" ref="D886">ifs(and(isblank($A886),isblank($B886)),"", not(iserror(vlookup($A886&amp;$B886,'3) Release_Label'!$D:$D&amp;'3) Release_Label'!$E:$E,1,0))),vlookup($A886&amp;$B886,{'3) Release_Label'!$D:$D&amp;'3) Release_Label'!$E:$E,'3) Release_Label'!$H:$H},2,0), or(and(not(isblank($B886)),$B886=$B885,$A886&lt;&gt;$A885),and(not(isblank($A886)),$A886=$A885,$B886&lt;&gt;$B885)),"ID LISTS UNALIGNED",and($A886&lt;&gt;"",countif('3) Release_Label'!$D:$D,$A886)=0),"NO UPC MATCH in Release_Label",and($B886&lt;&gt;"",countif('3) Release_Label'!$E:$E,$B886)=0),"NO CATALOG ID MATCH in Release_Label",iserror(vlookup($A886&amp;$B886,'3) Release_Label'!$D:$D&amp;'3) Release_Label'!$E:$E,1,0)),"NO UPC-CATALOG ID pair MATCH in Release_Label" )</f>
        <v/>
      </c>
      <c r="E886" s="147" t="str">
        <f t="shared" si="1"/>
        <v/>
      </c>
      <c r="G886" s="97"/>
      <c r="H886" s="155"/>
      <c r="J886" s="92"/>
      <c r="K886" s="98"/>
      <c r="L886" s="92"/>
      <c r="N886" s="92"/>
      <c r="O886" s="92"/>
      <c r="P886" s="92"/>
    </row>
    <row r="887">
      <c r="A887" s="28"/>
      <c r="B887" s="97"/>
      <c r="C887" s="121" t="str">
        <f t="array" ref="C887">ifs(and(isblank($A887),isblank($B887)),"", not(iserror(vlookup($A887&amp;$B887,'3) Release_Label'!$D:$D&amp;'3) Release_Label'!$E:$E,1,0))),vlookup($A887&amp;$B887,{'3) Release_Label'!$D:$D&amp;'3) Release_Label'!$E:$E,'3) Release_Label'!$F:$F},2,0), or(and(not(isblank($B887)),$B887=$B886,$A887&lt;&gt;$A886),and(not(isblank($A887)),$A887=$A886,$B887&lt;&gt;$B886)),"ID LISTS UNALIGNED",and($A887&lt;&gt;"",countif('3) Release_Label'!$D:$D,$A887)=0),"NO UPC MATCH in Release_Label",and($B887&lt;&gt;"",countif('3) Release_Label'!$E:$E,$B887)=0),"NO CATALOG ID MATCH in Release_Label",iserror(vlookup($A887&amp;$B887,'3) Release_Label'!$D:$D&amp;'3) Release_Label'!$E:$E,1,0)),"NO UPC-CATALOG ID pair MATCH in Release_Label" )</f>
        <v/>
      </c>
      <c r="D887" s="121" t="str">
        <f t="array" ref="D887">ifs(and(isblank($A887),isblank($B887)),"", not(iserror(vlookup($A887&amp;$B887,'3) Release_Label'!$D:$D&amp;'3) Release_Label'!$E:$E,1,0))),vlookup($A887&amp;$B887,{'3) Release_Label'!$D:$D&amp;'3) Release_Label'!$E:$E,'3) Release_Label'!$H:$H},2,0), or(and(not(isblank($B887)),$B887=$B886,$A887&lt;&gt;$A886),and(not(isblank($A887)),$A887=$A886,$B887&lt;&gt;$B886)),"ID LISTS UNALIGNED",and($A887&lt;&gt;"",countif('3) Release_Label'!$D:$D,$A887)=0),"NO UPC MATCH in Release_Label",and($B887&lt;&gt;"",countif('3) Release_Label'!$E:$E,$B887)=0),"NO CATALOG ID MATCH in Release_Label",iserror(vlookup($A887&amp;$B887,'3) Release_Label'!$D:$D&amp;'3) Release_Label'!$E:$E,1,0)),"NO UPC-CATALOG ID pair MATCH in Release_Label" )</f>
        <v/>
      </c>
      <c r="E887" s="147" t="str">
        <f t="shared" si="1"/>
        <v/>
      </c>
      <c r="G887" s="97"/>
      <c r="H887" s="155"/>
      <c r="J887" s="92"/>
      <c r="K887" s="98"/>
      <c r="L887" s="92"/>
      <c r="N887" s="92"/>
      <c r="O887" s="92"/>
      <c r="P887" s="92"/>
    </row>
    <row r="888">
      <c r="A888" s="28"/>
      <c r="B888" s="97"/>
      <c r="C888" s="121" t="str">
        <f t="array" ref="C888">ifs(and(isblank($A888),isblank($B888)),"", not(iserror(vlookup($A888&amp;$B888,'3) Release_Label'!$D:$D&amp;'3) Release_Label'!$E:$E,1,0))),vlookup($A888&amp;$B888,{'3) Release_Label'!$D:$D&amp;'3) Release_Label'!$E:$E,'3) Release_Label'!$F:$F},2,0), or(and(not(isblank($B888)),$B888=$B887,$A888&lt;&gt;$A887),and(not(isblank($A888)),$A888=$A887,$B888&lt;&gt;$B887)),"ID LISTS UNALIGNED",and($A888&lt;&gt;"",countif('3) Release_Label'!$D:$D,$A888)=0),"NO UPC MATCH in Release_Label",and($B888&lt;&gt;"",countif('3) Release_Label'!$E:$E,$B888)=0),"NO CATALOG ID MATCH in Release_Label",iserror(vlookup($A888&amp;$B888,'3) Release_Label'!$D:$D&amp;'3) Release_Label'!$E:$E,1,0)),"NO UPC-CATALOG ID pair MATCH in Release_Label" )</f>
        <v/>
      </c>
      <c r="D888" s="121" t="str">
        <f t="array" ref="D888">ifs(and(isblank($A888),isblank($B888)),"", not(iserror(vlookup($A888&amp;$B888,'3) Release_Label'!$D:$D&amp;'3) Release_Label'!$E:$E,1,0))),vlookup($A888&amp;$B888,{'3) Release_Label'!$D:$D&amp;'3) Release_Label'!$E:$E,'3) Release_Label'!$H:$H},2,0), or(and(not(isblank($B888)),$B888=$B887,$A888&lt;&gt;$A887),and(not(isblank($A888)),$A888=$A887,$B888&lt;&gt;$B887)),"ID LISTS UNALIGNED",and($A888&lt;&gt;"",countif('3) Release_Label'!$D:$D,$A888)=0),"NO UPC MATCH in Release_Label",and($B888&lt;&gt;"",countif('3) Release_Label'!$E:$E,$B888)=0),"NO CATALOG ID MATCH in Release_Label",iserror(vlookup($A888&amp;$B888,'3) Release_Label'!$D:$D&amp;'3) Release_Label'!$E:$E,1,0)),"NO UPC-CATALOG ID pair MATCH in Release_Label" )</f>
        <v/>
      </c>
      <c r="E888" s="147" t="str">
        <f t="shared" si="1"/>
        <v/>
      </c>
      <c r="G888" s="97"/>
      <c r="H888" s="155"/>
      <c r="J888" s="92"/>
      <c r="K888" s="98"/>
      <c r="L888" s="92"/>
      <c r="N888" s="92"/>
      <c r="O888" s="92"/>
      <c r="P888" s="92"/>
    </row>
    <row r="889">
      <c r="A889" s="28"/>
      <c r="B889" s="97"/>
      <c r="C889" s="121" t="str">
        <f t="array" ref="C889">ifs(and(isblank($A889),isblank($B889)),"", not(iserror(vlookup($A889&amp;$B889,'3) Release_Label'!$D:$D&amp;'3) Release_Label'!$E:$E,1,0))),vlookup($A889&amp;$B889,{'3) Release_Label'!$D:$D&amp;'3) Release_Label'!$E:$E,'3) Release_Label'!$F:$F},2,0), or(and(not(isblank($B889)),$B889=$B888,$A889&lt;&gt;$A888),and(not(isblank($A889)),$A889=$A888,$B889&lt;&gt;$B888)),"ID LISTS UNALIGNED",and($A889&lt;&gt;"",countif('3) Release_Label'!$D:$D,$A889)=0),"NO UPC MATCH in Release_Label",and($B889&lt;&gt;"",countif('3) Release_Label'!$E:$E,$B889)=0),"NO CATALOG ID MATCH in Release_Label",iserror(vlookup($A889&amp;$B889,'3) Release_Label'!$D:$D&amp;'3) Release_Label'!$E:$E,1,0)),"NO UPC-CATALOG ID pair MATCH in Release_Label" )</f>
        <v/>
      </c>
      <c r="D889" s="121" t="str">
        <f t="array" ref="D889">ifs(and(isblank($A889),isblank($B889)),"", not(iserror(vlookup($A889&amp;$B889,'3) Release_Label'!$D:$D&amp;'3) Release_Label'!$E:$E,1,0))),vlookup($A889&amp;$B889,{'3) Release_Label'!$D:$D&amp;'3) Release_Label'!$E:$E,'3) Release_Label'!$H:$H},2,0), or(and(not(isblank($B889)),$B889=$B888,$A889&lt;&gt;$A888),and(not(isblank($A889)),$A889=$A888,$B889&lt;&gt;$B888)),"ID LISTS UNALIGNED",and($A889&lt;&gt;"",countif('3) Release_Label'!$D:$D,$A889)=0),"NO UPC MATCH in Release_Label",and($B889&lt;&gt;"",countif('3) Release_Label'!$E:$E,$B889)=0),"NO CATALOG ID MATCH in Release_Label",iserror(vlookup($A889&amp;$B889,'3) Release_Label'!$D:$D&amp;'3) Release_Label'!$E:$E,1,0)),"NO UPC-CATALOG ID pair MATCH in Release_Label" )</f>
        <v/>
      </c>
      <c r="E889" s="147" t="str">
        <f t="shared" si="1"/>
        <v/>
      </c>
      <c r="G889" s="97"/>
      <c r="H889" s="155"/>
      <c r="J889" s="92"/>
      <c r="K889" s="98"/>
      <c r="L889" s="92"/>
      <c r="N889" s="92"/>
      <c r="O889" s="92"/>
      <c r="P889" s="92"/>
    </row>
    <row r="890">
      <c r="A890" s="28"/>
      <c r="B890" s="97"/>
      <c r="C890" s="121" t="str">
        <f t="array" ref="C890">ifs(and(isblank($A890),isblank($B890)),"", not(iserror(vlookup($A890&amp;$B890,'3) Release_Label'!$D:$D&amp;'3) Release_Label'!$E:$E,1,0))),vlookup($A890&amp;$B890,{'3) Release_Label'!$D:$D&amp;'3) Release_Label'!$E:$E,'3) Release_Label'!$F:$F},2,0), or(and(not(isblank($B890)),$B890=$B889,$A890&lt;&gt;$A889),and(not(isblank($A890)),$A890=$A889,$B890&lt;&gt;$B889)),"ID LISTS UNALIGNED",and($A890&lt;&gt;"",countif('3) Release_Label'!$D:$D,$A890)=0),"NO UPC MATCH in Release_Label",and($B890&lt;&gt;"",countif('3) Release_Label'!$E:$E,$B890)=0),"NO CATALOG ID MATCH in Release_Label",iserror(vlookup($A890&amp;$B890,'3) Release_Label'!$D:$D&amp;'3) Release_Label'!$E:$E,1,0)),"NO UPC-CATALOG ID pair MATCH in Release_Label" )</f>
        <v/>
      </c>
      <c r="D890" s="121" t="str">
        <f t="array" ref="D890">ifs(and(isblank($A890),isblank($B890)),"", not(iserror(vlookup($A890&amp;$B890,'3) Release_Label'!$D:$D&amp;'3) Release_Label'!$E:$E,1,0))),vlookup($A890&amp;$B890,{'3) Release_Label'!$D:$D&amp;'3) Release_Label'!$E:$E,'3) Release_Label'!$H:$H},2,0), or(and(not(isblank($B890)),$B890=$B889,$A890&lt;&gt;$A889),and(not(isblank($A890)),$A890=$A889,$B890&lt;&gt;$B889)),"ID LISTS UNALIGNED",and($A890&lt;&gt;"",countif('3) Release_Label'!$D:$D,$A890)=0),"NO UPC MATCH in Release_Label",and($B890&lt;&gt;"",countif('3) Release_Label'!$E:$E,$B890)=0),"NO CATALOG ID MATCH in Release_Label",iserror(vlookup($A890&amp;$B890,'3) Release_Label'!$D:$D&amp;'3) Release_Label'!$E:$E,1,0)),"NO UPC-CATALOG ID pair MATCH in Release_Label" )</f>
        <v/>
      </c>
      <c r="E890" s="147" t="str">
        <f t="shared" si="1"/>
        <v/>
      </c>
      <c r="G890" s="97"/>
      <c r="H890" s="155"/>
      <c r="J890" s="92"/>
      <c r="K890" s="98"/>
      <c r="L890" s="92"/>
      <c r="N890" s="92"/>
      <c r="O890" s="92"/>
      <c r="P890" s="92"/>
    </row>
    <row r="891">
      <c r="A891" s="28"/>
      <c r="B891" s="97"/>
      <c r="C891" s="121" t="str">
        <f t="array" ref="C891">ifs(and(isblank($A891),isblank($B891)),"", not(iserror(vlookup($A891&amp;$B891,'3) Release_Label'!$D:$D&amp;'3) Release_Label'!$E:$E,1,0))),vlookup($A891&amp;$B891,{'3) Release_Label'!$D:$D&amp;'3) Release_Label'!$E:$E,'3) Release_Label'!$F:$F},2,0), or(and(not(isblank($B891)),$B891=$B890,$A891&lt;&gt;$A890),and(not(isblank($A891)),$A891=$A890,$B891&lt;&gt;$B890)),"ID LISTS UNALIGNED",and($A891&lt;&gt;"",countif('3) Release_Label'!$D:$D,$A891)=0),"NO UPC MATCH in Release_Label",and($B891&lt;&gt;"",countif('3) Release_Label'!$E:$E,$B891)=0),"NO CATALOG ID MATCH in Release_Label",iserror(vlookup($A891&amp;$B891,'3) Release_Label'!$D:$D&amp;'3) Release_Label'!$E:$E,1,0)),"NO UPC-CATALOG ID pair MATCH in Release_Label" )</f>
        <v/>
      </c>
      <c r="D891" s="121" t="str">
        <f t="array" ref="D891">ifs(and(isblank($A891),isblank($B891)),"", not(iserror(vlookup($A891&amp;$B891,'3) Release_Label'!$D:$D&amp;'3) Release_Label'!$E:$E,1,0))),vlookup($A891&amp;$B891,{'3) Release_Label'!$D:$D&amp;'3) Release_Label'!$E:$E,'3) Release_Label'!$H:$H},2,0), or(and(not(isblank($B891)),$B891=$B890,$A891&lt;&gt;$A890),and(not(isblank($A891)),$A891=$A890,$B891&lt;&gt;$B890)),"ID LISTS UNALIGNED",and($A891&lt;&gt;"",countif('3) Release_Label'!$D:$D,$A891)=0),"NO UPC MATCH in Release_Label",and($B891&lt;&gt;"",countif('3) Release_Label'!$E:$E,$B891)=0),"NO CATALOG ID MATCH in Release_Label",iserror(vlookup($A891&amp;$B891,'3) Release_Label'!$D:$D&amp;'3) Release_Label'!$E:$E,1,0)),"NO UPC-CATALOG ID pair MATCH in Release_Label" )</f>
        <v/>
      </c>
      <c r="E891" s="147" t="str">
        <f t="shared" si="1"/>
        <v/>
      </c>
      <c r="G891" s="97"/>
      <c r="H891" s="155"/>
      <c r="J891" s="92"/>
      <c r="K891" s="98"/>
      <c r="L891" s="92"/>
      <c r="N891" s="92"/>
      <c r="O891" s="92"/>
      <c r="P891" s="92"/>
    </row>
    <row r="892">
      <c r="A892" s="28"/>
      <c r="B892" s="97"/>
      <c r="C892" s="121" t="str">
        <f t="array" ref="C892">ifs(and(isblank($A892),isblank($B892)),"", not(iserror(vlookup($A892&amp;$B892,'3) Release_Label'!$D:$D&amp;'3) Release_Label'!$E:$E,1,0))),vlookup($A892&amp;$B892,{'3) Release_Label'!$D:$D&amp;'3) Release_Label'!$E:$E,'3) Release_Label'!$F:$F},2,0), or(and(not(isblank($B892)),$B892=$B891,$A892&lt;&gt;$A891),and(not(isblank($A892)),$A892=$A891,$B892&lt;&gt;$B891)),"ID LISTS UNALIGNED",and($A892&lt;&gt;"",countif('3) Release_Label'!$D:$D,$A892)=0),"NO UPC MATCH in Release_Label",and($B892&lt;&gt;"",countif('3) Release_Label'!$E:$E,$B892)=0),"NO CATALOG ID MATCH in Release_Label",iserror(vlookup($A892&amp;$B892,'3) Release_Label'!$D:$D&amp;'3) Release_Label'!$E:$E,1,0)),"NO UPC-CATALOG ID pair MATCH in Release_Label" )</f>
        <v/>
      </c>
      <c r="D892" s="121" t="str">
        <f t="array" ref="D892">ifs(and(isblank($A892),isblank($B892)),"", not(iserror(vlookup($A892&amp;$B892,'3) Release_Label'!$D:$D&amp;'3) Release_Label'!$E:$E,1,0))),vlookup($A892&amp;$B892,{'3) Release_Label'!$D:$D&amp;'3) Release_Label'!$E:$E,'3) Release_Label'!$H:$H},2,0), or(and(not(isblank($B892)),$B892=$B891,$A892&lt;&gt;$A891),and(not(isblank($A892)),$A892=$A891,$B892&lt;&gt;$B891)),"ID LISTS UNALIGNED",and($A892&lt;&gt;"",countif('3) Release_Label'!$D:$D,$A892)=0),"NO UPC MATCH in Release_Label",and($B892&lt;&gt;"",countif('3) Release_Label'!$E:$E,$B892)=0),"NO CATALOG ID MATCH in Release_Label",iserror(vlookup($A892&amp;$B892,'3) Release_Label'!$D:$D&amp;'3) Release_Label'!$E:$E,1,0)),"NO UPC-CATALOG ID pair MATCH in Release_Label" )</f>
        <v/>
      </c>
      <c r="E892" s="147" t="str">
        <f t="shared" si="1"/>
        <v/>
      </c>
      <c r="G892" s="97"/>
      <c r="H892" s="155"/>
      <c r="J892" s="92"/>
      <c r="K892" s="98"/>
      <c r="L892" s="92"/>
      <c r="N892" s="92"/>
      <c r="O892" s="92"/>
      <c r="P892" s="92"/>
    </row>
    <row r="893">
      <c r="A893" s="28"/>
      <c r="B893" s="97"/>
      <c r="C893" s="121" t="str">
        <f t="array" ref="C893">ifs(and(isblank($A893),isblank($B893)),"", not(iserror(vlookup($A893&amp;$B893,'3) Release_Label'!$D:$D&amp;'3) Release_Label'!$E:$E,1,0))),vlookup($A893&amp;$B893,{'3) Release_Label'!$D:$D&amp;'3) Release_Label'!$E:$E,'3) Release_Label'!$F:$F},2,0), or(and(not(isblank($B893)),$B893=$B892,$A893&lt;&gt;$A892),and(not(isblank($A893)),$A893=$A892,$B893&lt;&gt;$B892)),"ID LISTS UNALIGNED",and($A893&lt;&gt;"",countif('3) Release_Label'!$D:$D,$A893)=0),"NO UPC MATCH in Release_Label",and($B893&lt;&gt;"",countif('3) Release_Label'!$E:$E,$B893)=0),"NO CATALOG ID MATCH in Release_Label",iserror(vlookup($A893&amp;$B893,'3) Release_Label'!$D:$D&amp;'3) Release_Label'!$E:$E,1,0)),"NO UPC-CATALOG ID pair MATCH in Release_Label" )</f>
        <v/>
      </c>
      <c r="D893" s="121" t="str">
        <f t="array" ref="D893">ifs(and(isblank($A893),isblank($B893)),"", not(iserror(vlookup($A893&amp;$B893,'3) Release_Label'!$D:$D&amp;'3) Release_Label'!$E:$E,1,0))),vlookup($A893&amp;$B893,{'3) Release_Label'!$D:$D&amp;'3) Release_Label'!$E:$E,'3) Release_Label'!$H:$H},2,0), or(and(not(isblank($B893)),$B893=$B892,$A893&lt;&gt;$A892),and(not(isblank($A893)),$A893=$A892,$B893&lt;&gt;$B892)),"ID LISTS UNALIGNED",and($A893&lt;&gt;"",countif('3) Release_Label'!$D:$D,$A893)=0),"NO UPC MATCH in Release_Label",and($B893&lt;&gt;"",countif('3) Release_Label'!$E:$E,$B893)=0),"NO CATALOG ID MATCH in Release_Label",iserror(vlookup($A893&amp;$B893,'3) Release_Label'!$D:$D&amp;'3) Release_Label'!$E:$E,1,0)),"NO UPC-CATALOG ID pair MATCH in Release_Label" )</f>
        <v/>
      </c>
      <c r="E893" s="147" t="str">
        <f t="shared" si="1"/>
        <v/>
      </c>
      <c r="G893" s="97"/>
      <c r="H893" s="155"/>
      <c r="J893" s="92"/>
      <c r="K893" s="98"/>
      <c r="L893" s="92"/>
      <c r="N893" s="92"/>
      <c r="O893" s="92"/>
      <c r="P893" s="92"/>
    </row>
    <row r="894">
      <c r="A894" s="28"/>
      <c r="B894" s="97"/>
      <c r="C894" s="121" t="str">
        <f t="array" ref="C894">ifs(and(isblank($A894),isblank($B894)),"", not(iserror(vlookup($A894&amp;$B894,'3) Release_Label'!$D:$D&amp;'3) Release_Label'!$E:$E,1,0))),vlookup($A894&amp;$B894,{'3) Release_Label'!$D:$D&amp;'3) Release_Label'!$E:$E,'3) Release_Label'!$F:$F},2,0), or(and(not(isblank($B894)),$B894=$B893,$A894&lt;&gt;$A893),and(not(isblank($A894)),$A894=$A893,$B894&lt;&gt;$B893)),"ID LISTS UNALIGNED",and($A894&lt;&gt;"",countif('3) Release_Label'!$D:$D,$A894)=0),"NO UPC MATCH in Release_Label",and($B894&lt;&gt;"",countif('3) Release_Label'!$E:$E,$B894)=0),"NO CATALOG ID MATCH in Release_Label",iserror(vlookup($A894&amp;$B894,'3) Release_Label'!$D:$D&amp;'3) Release_Label'!$E:$E,1,0)),"NO UPC-CATALOG ID pair MATCH in Release_Label" )</f>
        <v/>
      </c>
      <c r="D894" s="121" t="str">
        <f t="array" ref="D894">ifs(and(isblank($A894),isblank($B894)),"", not(iserror(vlookup($A894&amp;$B894,'3) Release_Label'!$D:$D&amp;'3) Release_Label'!$E:$E,1,0))),vlookup($A894&amp;$B894,{'3) Release_Label'!$D:$D&amp;'3) Release_Label'!$E:$E,'3) Release_Label'!$H:$H},2,0), or(and(not(isblank($B894)),$B894=$B893,$A894&lt;&gt;$A893),and(not(isblank($A894)),$A894=$A893,$B894&lt;&gt;$B893)),"ID LISTS UNALIGNED",and($A894&lt;&gt;"",countif('3) Release_Label'!$D:$D,$A894)=0),"NO UPC MATCH in Release_Label",and($B894&lt;&gt;"",countif('3) Release_Label'!$E:$E,$B894)=0),"NO CATALOG ID MATCH in Release_Label",iserror(vlookup($A894&amp;$B894,'3) Release_Label'!$D:$D&amp;'3) Release_Label'!$E:$E,1,0)),"NO UPC-CATALOG ID pair MATCH in Release_Label" )</f>
        <v/>
      </c>
      <c r="E894" s="147" t="str">
        <f t="shared" si="1"/>
        <v/>
      </c>
      <c r="G894" s="97"/>
      <c r="H894" s="155"/>
      <c r="J894" s="92"/>
      <c r="K894" s="98"/>
      <c r="L894" s="92"/>
      <c r="N894" s="92"/>
      <c r="O894" s="92"/>
      <c r="P894" s="92"/>
    </row>
    <row r="895">
      <c r="A895" s="28"/>
      <c r="B895" s="97"/>
      <c r="C895" s="121" t="str">
        <f t="array" ref="C895">ifs(and(isblank($A895),isblank($B895)),"", not(iserror(vlookup($A895&amp;$B895,'3) Release_Label'!$D:$D&amp;'3) Release_Label'!$E:$E,1,0))),vlookup($A895&amp;$B895,{'3) Release_Label'!$D:$D&amp;'3) Release_Label'!$E:$E,'3) Release_Label'!$F:$F},2,0), or(and(not(isblank($B895)),$B895=$B894,$A895&lt;&gt;$A894),and(not(isblank($A895)),$A895=$A894,$B895&lt;&gt;$B894)),"ID LISTS UNALIGNED",and($A895&lt;&gt;"",countif('3) Release_Label'!$D:$D,$A895)=0),"NO UPC MATCH in Release_Label",and($B895&lt;&gt;"",countif('3) Release_Label'!$E:$E,$B895)=0),"NO CATALOG ID MATCH in Release_Label",iserror(vlookup($A895&amp;$B895,'3) Release_Label'!$D:$D&amp;'3) Release_Label'!$E:$E,1,0)),"NO UPC-CATALOG ID pair MATCH in Release_Label" )</f>
        <v/>
      </c>
      <c r="D895" s="121" t="str">
        <f t="array" ref="D895">ifs(and(isblank($A895),isblank($B895)),"", not(iserror(vlookup($A895&amp;$B895,'3) Release_Label'!$D:$D&amp;'3) Release_Label'!$E:$E,1,0))),vlookup($A895&amp;$B895,{'3) Release_Label'!$D:$D&amp;'3) Release_Label'!$E:$E,'3) Release_Label'!$H:$H},2,0), or(and(not(isblank($B895)),$B895=$B894,$A895&lt;&gt;$A894),and(not(isblank($A895)),$A895=$A894,$B895&lt;&gt;$B894)),"ID LISTS UNALIGNED",and($A895&lt;&gt;"",countif('3) Release_Label'!$D:$D,$A895)=0),"NO UPC MATCH in Release_Label",and($B895&lt;&gt;"",countif('3) Release_Label'!$E:$E,$B895)=0),"NO CATALOG ID MATCH in Release_Label",iserror(vlookup($A895&amp;$B895,'3) Release_Label'!$D:$D&amp;'3) Release_Label'!$E:$E,1,0)),"NO UPC-CATALOG ID pair MATCH in Release_Label" )</f>
        <v/>
      </c>
      <c r="E895" s="147" t="str">
        <f t="shared" si="1"/>
        <v/>
      </c>
      <c r="G895" s="97"/>
      <c r="H895" s="155"/>
      <c r="J895" s="92"/>
      <c r="K895" s="98"/>
      <c r="L895" s="92"/>
      <c r="N895" s="92"/>
      <c r="O895" s="92"/>
      <c r="P895" s="92"/>
    </row>
    <row r="896">
      <c r="A896" s="28"/>
      <c r="B896" s="97"/>
      <c r="C896" s="121" t="str">
        <f t="array" ref="C896">ifs(and(isblank($A896),isblank($B896)),"", not(iserror(vlookup($A896&amp;$B896,'3) Release_Label'!$D:$D&amp;'3) Release_Label'!$E:$E,1,0))),vlookup($A896&amp;$B896,{'3) Release_Label'!$D:$D&amp;'3) Release_Label'!$E:$E,'3) Release_Label'!$F:$F},2,0), or(and(not(isblank($B896)),$B896=$B895,$A896&lt;&gt;$A895),and(not(isblank($A896)),$A896=$A895,$B896&lt;&gt;$B895)),"ID LISTS UNALIGNED",and($A896&lt;&gt;"",countif('3) Release_Label'!$D:$D,$A896)=0),"NO UPC MATCH in Release_Label",and($B896&lt;&gt;"",countif('3) Release_Label'!$E:$E,$B896)=0),"NO CATALOG ID MATCH in Release_Label",iserror(vlookup($A896&amp;$B896,'3) Release_Label'!$D:$D&amp;'3) Release_Label'!$E:$E,1,0)),"NO UPC-CATALOG ID pair MATCH in Release_Label" )</f>
        <v/>
      </c>
      <c r="D896" s="121" t="str">
        <f t="array" ref="D896">ifs(and(isblank($A896),isblank($B896)),"", not(iserror(vlookup($A896&amp;$B896,'3) Release_Label'!$D:$D&amp;'3) Release_Label'!$E:$E,1,0))),vlookup($A896&amp;$B896,{'3) Release_Label'!$D:$D&amp;'3) Release_Label'!$E:$E,'3) Release_Label'!$H:$H},2,0), or(and(not(isblank($B896)),$B896=$B895,$A896&lt;&gt;$A895),and(not(isblank($A896)),$A896=$A895,$B896&lt;&gt;$B895)),"ID LISTS UNALIGNED",and($A896&lt;&gt;"",countif('3) Release_Label'!$D:$D,$A896)=0),"NO UPC MATCH in Release_Label",and($B896&lt;&gt;"",countif('3) Release_Label'!$E:$E,$B896)=0),"NO CATALOG ID MATCH in Release_Label",iserror(vlookup($A896&amp;$B896,'3) Release_Label'!$D:$D&amp;'3) Release_Label'!$E:$E,1,0)),"NO UPC-CATALOG ID pair MATCH in Release_Label" )</f>
        <v/>
      </c>
      <c r="E896" s="147" t="str">
        <f t="shared" si="1"/>
        <v/>
      </c>
      <c r="G896" s="97"/>
      <c r="H896" s="155"/>
      <c r="J896" s="92"/>
      <c r="K896" s="98"/>
      <c r="L896" s="92"/>
      <c r="N896" s="92"/>
      <c r="O896" s="92"/>
      <c r="P896" s="92"/>
    </row>
    <row r="897">
      <c r="A897" s="28"/>
      <c r="B897" s="97"/>
      <c r="C897" s="121" t="str">
        <f t="array" ref="C897">ifs(and(isblank($A897),isblank($B897)),"", not(iserror(vlookup($A897&amp;$B897,'3) Release_Label'!$D:$D&amp;'3) Release_Label'!$E:$E,1,0))),vlookup($A897&amp;$B897,{'3) Release_Label'!$D:$D&amp;'3) Release_Label'!$E:$E,'3) Release_Label'!$F:$F},2,0), or(and(not(isblank($B897)),$B897=$B896,$A897&lt;&gt;$A896),and(not(isblank($A897)),$A897=$A896,$B897&lt;&gt;$B896)),"ID LISTS UNALIGNED",and($A897&lt;&gt;"",countif('3) Release_Label'!$D:$D,$A897)=0),"NO UPC MATCH in Release_Label",and($B897&lt;&gt;"",countif('3) Release_Label'!$E:$E,$B897)=0),"NO CATALOG ID MATCH in Release_Label",iserror(vlookup($A897&amp;$B897,'3) Release_Label'!$D:$D&amp;'3) Release_Label'!$E:$E,1,0)),"NO UPC-CATALOG ID pair MATCH in Release_Label" )</f>
        <v/>
      </c>
      <c r="D897" s="121" t="str">
        <f t="array" ref="D897">ifs(and(isblank($A897),isblank($B897)),"", not(iserror(vlookup($A897&amp;$B897,'3) Release_Label'!$D:$D&amp;'3) Release_Label'!$E:$E,1,0))),vlookup($A897&amp;$B897,{'3) Release_Label'!$D:$D&amp;'3) Release_Label'!$E:$E,'3) Release_Label'!$H:$H},2,0), or(and(not(isblank($B897)),$B897=$B896,$A897&lt;&gt;$A896),and(not(isblank($A897)),$A897=$A896,$B897&lt;&gt;$B896)),"ID LISTS UNALIGNED",and($A897&lt;&gt;"",countif('3) Release_Label'!$D:$D,$A897)=0),"NO UPC MATCH in Release_Label",and($B897&lt;&gt;"",countif('3) Release_Label'!$E:$E,$B897)=0),"NO CATALOG ID MATCH in Release_Label",iserror(vlookup($A897&amp;$B897,'3) Release_Label'!$D:$D&amp;'3) Release_Label'!$E:$E,1,0)),"NO UPC-CATALOG ID pair MATCH in Release_Label" )</f>
        <v/>
      </c>
      <c r="E897" s="147" t="str">
        <f t="shared" si="1"/>
        <v/>
      </c>
      <c r="G897" s="97"/>
      <c r="H897" s="155"/>
      <c r="J897" s="92"/>
      <c r="K897" s="98"/>
      <c r="L897" s="92"/>
      <c r="N897" s="92"/>
      <c r="O897" s="92"/>
      <c r="P897" s="92"/>
    </row>
    <row r="898">
      <c r="A898" s="28"/>
      <c r="B898" s="97"/>
      <c r="C898" s="121" t="str">
        <f t="array" ref="C898">ifs(and(isblank($A898),isblank($B898)),"", not(iserror(vlookup($A898&amp;$B898,'3) Release_Label'!$D:$D&amp;'3) Release_Label'!$E:$E,1,0))),vlookup($A898&amp;$B898,{'3) Release_Label'!$D:$D&amp;'3) Release_Label'!$E:$E,'3) Release_Label'!$F:$F},2,0), or(and(not(isblank($B898)),$B898=$B897,$A898&lt;&gt;$A897),and(not(isblank($A898)),$A898=$A897,$B898&lt;&gt;$B897)),"ID LISTS UNALIGNED",and($A898&lt;&gt;"",countif('3) Release_Label'!$D:$D,$A898)=0),"NO UPC MATCH in Release_Label",and($B898&lt;&gt;"",countif('3) Release_Label'!$E:$E,$B898)=0),"NO CATALOG ID MATCH in Release_Label",iserror(vlookup($A898&amp;$B898,'3) Release_Label'!$D:$D&amp;'3) Release_Label'!$E:$E,1,0)),"NO UPC-CATALOG ID pair MATCH in Release_Label" )</f>
        <v/>
      </c>
      <c r="D898" s="121" t="str">
        <f t="array" ref="D898">ifs(and(isblank($A898),isblank($B898)),"", not(iserror(vlookup($A898&amp;$B898,'3) Release_Label'!$D:$D&amp;'3) Release_Label'!$E:$E,1,0))),vlookup($A898&amp;$B898,{'3) Release_Label'!$D:$D&amp;'3) Release_Label'!$E:$E,'3) Release_Label'!$H:$H},2,0), or(and(not(isblank($B898)),$B898=$B897,$A898&lt;&gt;$A897),and(not(isblank($A898)),$A898=$A897,$B898&lt;&gt;$B897)),"ID LISTS UNALIGNED",and($A898&lt;&gt;"",countif('3) Release_Label'!$D:$D,$A898)=0),"NO UPC MATCH in Release_Label",and($B898&lt;&gt;"",countif('3) Release_Label'!$E:$E,$B898)=0),"NO CATALOG ID MATCH in Release_Label",iserror(vlookup($A898&amp;$B898,'3) Release_Label'!$D:$D&amp;'3) Release_Label'!$E:$E,1,0)),"NO UPC-CATALOG ID pair MATCH in Release_Label" )</f>
        <v/>
      </c>
      <c r="E898" s="147" t="str">
        <f t="shared" si="1"/>
        <v/>
      </c>
      <c r="G898" s="97"/>
      <c r="H898" s="155"/>
      <c r="J898" s="92"/>
      <c r="K898" s="98"/>
      <c r="L898" s="92"/>
      <c r="N898" s="92"/>
      <c r="O898" s="92"/>
      <c r="P898" s="92"/>
    </row>
    <row r="899">
      <c r="A899" s="28"/>
      <c r="B899" s="97"/>
      <c r="C899" s="121" t="str">
        <f t="array" ref="C899">ifs(and(isblank($A899),isblank($B899)),"", not(iserror(vlookup($A899&amp;$B899,'3) Release_Label'!$D:$D&amp;'3) Release_Label'!$E:$E,1,0))),vlookup($A899&amp;$B899,{'3) Release_Label'!$D:$D&amp;'3) Release_Label'!$E:$E,'3) Release_Label'!$F:$F},2,0), or(and(not(isblank($B899)),$B899=$B898,$A899&lt;&gt;$A898),and(not(isblank($A899)),$A899=$A898,$B899&lt;&gt;$B898)),"ID LISTS UNALIGNED",and($A899&lt;&gt;"",countif('3) Release_Label'!$D:$D,$A899)=0),"NO UPC MATCH in Release_Label",and($B899&lt;&gt;"",countif('3) Release_Label'!$E:$E,$B899)=0),"NO CATALOG ID MATCH in Release_Label",iserror(vlookup($A899&amp;$B899,'3) Release_Label'!$D:$D&amp;'3) Release_Label'!$E:$E,1,0)),"NO UPC-CATALOG ID pair MATCH in Release_Label" )</f>
        <v/>
      </c>
      <c r="D899" s="121" t="str">
        <f t="array" ref="D899">ifs(and(isblank($A899),isblank($B899)),"", not(iserror(vlookup($A899&amp;$B899,'3) Release_Label'!$D:$D&amp;'3) Release_Label'!$E:$E,1,0))),vlookup($A899&amp;$B899,{'3) Release_Label'!$D:$D&amp;'3) Release_Label'!$E:$E,'3) Release_Label'!$H:$H},2,0), or(and(not(isblank($B899)),$B899=$B898,$A899&lt;&gt;$A898),and(not(isblank($A899)),$A899=$A898,$B899&lt;&gt;$B898)),"ID LISTS UNALIGNED",and($A899&lt;&gt;"",countif('3) Release_Label'!$D:$D,$A899)=0),"NO UPC MATCH in Release_Label",and($B899&lt;&gt;"",countif('3) Release_Label'!$E:$E,$B899)=0),"NO CATALOG ID MATCH in Release_Label",iserror(vlookup($A899&amp;$B899,'3) Release_Label'!$D:$D&amp;'3) Release_Label'!$E:$E,1,0)),"NO UPC-CATALOG ID pair MATCH in Release_Label" )</f>
        <v/>
      </c>
      <c r="E899" s="147" t="str">
        <f t="shared" si="1"/>
        <v/>
      </c>
      <c r="G899" s="97"/>
      <c r="H899" s="155"/>
      <c r="J899" s="92"/>
      <c r="K899" s="98"/>
      <c r="L899" s="92"/>
      <c r="N899" s="92"/>
      <c r="O899" s="92"/>
      <c r="P899" s="92"/>
    </row>
    <row r="900">
      <c r="A900" s="28"/>
      <c r="B900" s="97"/>
      <c r="C900" s="121" t="str">
        <f t="array" ref="C900">ifs(and(isblank($A900),isblank($B900)),"", not(iserror(vlookup($A900&amp;$B900,'3) Release_Label'!$D:$D&amp;'3) Release_Label'!$E:$E,1,0))),vlookup($A900&amp;$B900,{'3) Release_Label'!$D:$D&amp;'3) Release_Label'!$E:$E,'3) Release_Label'!$F:$F},2,0), or(and(not(isblank($B900)),$B900=$B899,$A900&lt;&gt;$A899),and(not(isblank($A900)),$A900=$A899,$B900&lt;&gt;$B899)),"ID LISTS UNALIGNED",and($A900&lt;&gt;"",countif('3) Release_Label'!$D:$D,$A900)=0),"NO UPC MATCH in Release_Label",and($B900&lt;&gt;"",countif('3) Release_Label'!$E:$E,$B900)=0),"NO CATALOG ID MATCH in Release_Label",iserror(vlookup($A900&amp;$B900,'3) Release_Label'!$D:$D&amp;'3) Release_Label'!$E:$E,1,0)),"NO UPC-CATALOG ID pair MATCH in Release_Label" )</f>
        <v/>
      </c>
      <c r="D900" s="121" t="str">
        <f t="array" ref="D900">ifs(and(isblank($A900),isblank($B900)),"", not(iserror(vlookup($A900&amp;$B900,'3) Release_Label'!$D:$D&amp;'3) Release_Label'!$E:$E,1,0))),vlookup($A900&amp;$B900,{'3) Release_Label'!$D:$D&amp;'3) Release_Label'!$E:$E,'3) Release_Label'!$H:$H},2,0), or(and(not(isblank($B900)),$B900=$B899,$A900&lt;&gt;$A899),and(not(isblank($A900)),$A900=$A899,$B900&lt;&gt;$B899)),"ID LISTS UNALIGNED",and($A900&lt;&gt;"",countif('3) Release_Label'!$D:$D,$A900)=0),"NO UPC MATCH in Release_Label",and($B900&lt;&gt;"",countif('3) Release_Label'!$E:$E,$B900)=0),"NO CATALOG ID MATCH in Release_Label",iserror(vlookup($A900&amp;$B900,'3) Release_Label'!$D:$D&amp;'3) Release_Label'!$E:$E,1,0)),"NO UPC-CATALOG ID pair MATCH in Release_Label" )</f>
        <v/>
      </c>
      <c r="E900" s="147" t="str">
        <f t="shared" si="1"/>
        <v/>
      </c>
      <c r="G900" s="97"/>
      <c r="H900" s="155"/>
      <c r="J900" s="92"/>
      <c r="K900" s="98"/>
      <c r="L900" s="92"/>
      <c r="N900" s="92"/>
      <c r="O900" s="92"/>
      <c r="P900" s="92"/>
    </row>
    <row r="901">
      <c r="A901" s="28"/>
      <c r="B901" s="97"/>
      <c r="C901" s="121" t="str">
        <f t="array" ref="C901">ifs(and(isblank($A901),isblank($B901)),"", not(iserror(vlookup($A901&amp;$B901,'3) Release_Label'!$D:$D&amp;'3) Release_Label'!$E:$E,1,0))),vlookup($A901&amp;$B901,{'3) Release_Label'!$D:$D&amp;'3) Release_Label'!$E:$E,'3) Release_Label'!$F:$F},2,0), or(and(not(isblank($B901)),$B901=$B900,$A901&lt;&gt;$A900),and(not(isblank($A901)),$A901=$A900,$B901&lt;&gt;$B900)),"ID LISTS UNALIGNED",and($A901&lt;&gt;"",countif('3) Release_Label'!$D:$D,$A901)=0),"NO UPC MATCH in Release_Label",and($B901&lt;&gt;"",countif('3) Release_Label'!$E:$E,$B901)=0),"NO CATALOG ID MATCH in Release_Label",iserror(vlookup($A901&amp;$B901,'3) Release_Label'!$D:$D&amp;'3) Release_Label'!$E:$E,1,0)),"NO UPC-CATALOG ID pair MATCH in Release_Label" )</f>
        <v/>
      </c>
      <c r="D901" s="121" t="str">
        <f t="array" ref="D901">ifs(and(isblank($A901),isblank($B901)),"", not(iserror(vlookup($A901&amp;$B901,'3) Release_Label'!$D:$D&amp;'3) Release_Label'!$E:$E,1,0))),vlookup($A901&amp;$B901,{'3) Release_Label'!$D:$D&amp;'3) Release_Label'!$E:$E,'3) Release_Label'!$H:$H},2,0), or(and(not(isblank($B901)),$B901=$B900,$A901&lt;&gt;$A900),and(not(isblank($A901)),$A901=$A900,$B901&lt;&gt;$B900)),"ID LISTS UNALIGNED",and($A901&lt;&gt;"",countif('3) Release_Label'!$D:$D,$A901)=0),"NO UPC MATCH in Release_Label",and($B901&lt;&gt;"",countif('3) Release_Label'!$E:$E,$B901)=0),"NO CATALOG ID MATCH in Release_Label",iserror(vlookup($A901&amp;$B901,'3) Release_Label'!$D:$D&amp;'3) Release_Label'!$E:$E,1,0)),"NO UPC-CATALOG ID pair MATCH in Release_Label" )</f>
        <v/>
      </c>
      <c r="E901" s="147" t="str">
        <f t="shared" si="1"/>
        <v/>
      </c>
      <c r="G901" s="97"/>
      <c r="H901" s="155"/>
      <c r="J901" s="92"/>
      <c r="K901" s="98"/>
      <c r="L901" s="92"/>
      <c r="N901" s="92"/>
      <c r="O901" s="92"/>
      <c r="P901" s="92"/>
    </row>
    <row r="902">
      <c r="A902" s="28"/>
      <c r="B902" s="97"/>
      <c r="C902" s="121" t="str">
        <f t="array" ref="C902">ifs(and(isblank($A902),isblank($B902)),"", not(iserror(vlookup($A902&amp;$B902,'3) Release_Label'!$D:$D&amp;'3) Release_Label'!$E:$E,1,0))),vlookup($A902&amp;$B902,{'3) Release_Label'!$D:$D&amp;'3) Release_Label'!$E:$E,'3) Release_Label'!$F:$F},2,0), or(and(not(isblank($B902)),$B902=$B901,$A902&lt;&gt;$A901),and(not(isblank($A902)),$A902=$A901,$B902&lt;&gt;$B901)),"ID LISTS UNALIGNED",and($A902&lt;&gt;"",countif('3) Release_Label'!$D:$D,$A902)=0),"NO UPC MATCH in Release_Label",and($B902&lt;&gt;"",countif('3) Release_Label'!$E:$E,$B902)=0),"NO CATALOG ID MATCH in Release_Label",iserror(vlookup($A902&amp;$B902,'3) Release_Label'!$D:$D&amp;'3) Release_Label'!$E:$E,1,0)),"NO UPC-CATALOG ID pair MATCH in Release_Label" )</f>
        <v/>
      </c>
      <c r="D902" s="121" t="str">
        <f t="array" ref="D902">ifs(and(isblank($A902),isblank($B902)),"", not(iserror(vlookup($A902&amp;$B902,'3) Release_Label'!$D:$D&amp;'3) Release_Label'!$E:$E,1,0))),vlookup($A902&amp;$B902,{'3) Release_Label'!$D:$D&amp;'3) Release_Label'!$E:$E,'3) Release_Label'!$H:$H},2,0), or(and(not(isblank($B902)),$B902=$B901,$A902&lt;&gt;$A901),and(not(isblank($A902)),$A902=$A901,$B902&lt;&gt;$B901)),"ID LISTS UNALIGNED",and($A902&lt;&gt;"",countif('3) Release_Label'!$D:$D,$A902)=0),"NO UPC MATCH in Release_Label",and($B902&lt;&gt;"",countif('3) Release_Label'!$E:$E,$B902)=0),"NO CATALOG ID MATCH in Release_Label",iserror(vlookup($A902&amp;$B902,'3) Release_Label'!$D:$D&amp;'3) Release_Label'!$E:$E,1,0)),"NO UPC-CATALOG ID pair MATCH in Release_Label" )</f>
        <v/>
      </c>
      <c r="E902" s="147" t="str">
        <f t="shared" si="1"/>
        <v/>
      </c>
      <c r="G902" s="97"/>
      <c r="H902" s="155"/>
      <c r="J902" s="92"/>
      <c r="K902" s="98"/>
      <c r="L902" s="92"/>
      <c r="N902" s="92"/>
      <c r="O902" s="92"/>
      <c r="P902" s="92"/>
    </row>
    <row r="903">
      <c r="A903" s="28"/>
      <c r="B903" s="97"/>
      <c r="C903" s="121" t="str">
        <f t="array" ref="C903">ifs(and(isblank($A903),isblank($B903)),"", not(iserror(vlookup($A903&amp;$B903,'3) Release_Label'!$D:$D&amp;'3) Release_Label'!$E:$E,1,0))),vlookup($A903&amp;$B903,{'3) Release_Label'!$D:$D&amp;'3) Release_Label'!$E:$E,'3) Release_Label'!$F:$F},2,0), or(and(not(isblank($B903)),$B903=$B902,$A903&lt;&gt;$A902),and(not(isblank($A903)),$A903=$A902,$B903&lt;&gt;$B902)),"ID LISTS UNALIGNED",and($A903&lt;&gt;"",countif('3) Release_Label'!$D:$D,$A903)=0),"NO UPC MATCH in Release_Label",and($B903&lt;&gt;"",countif('3) Release_Label'!$E:$E,$B903)=0),"NO CATALOG ID MATCH in Release_Label",iserror(vlookup($A903&amp;$B903,'3) Release_Label'!$D:$D&amp;'3) Release_Label'!$E:$E,1,0)),"NO UPC-CATALOG ID pair MATCH in Release_Label" )</f>
        <v/>
      </c>
      <c r="D903" s="121" t="str">
        <f t="array" ref="D903">ifs(and(isblank($A903),isblank($B903)),"", not(iserror(vlookup($A903&amp;$B903,'3) Release_Label'!$D:$D&amp;'3) Release_Label'!$E:$E,1,0))),vlookup($A903&amp;$B903,{'3) Release_Label'!$D:$D&amp;'3) Release_Label'!$E:$E,'3) Release_Label'!$H:$H},2,0), or(and(not(isblank($B903)),$B903=$B902,$A903&lt;&gt;$A902),and(not(isblank($A903)),$A903=$A902,$B903&lt;&gt;$B902)),"ID LISTS UNALIGNED",and($A903&lt;&gt;"",countif('3) Release_Label'!$D:$D,$A903)=0),"NO UPC MATCH in Release_Label",and($B903&lt;&gt;"",countif('3) Release_Label'!$E:$E,$B903)=0),"NO CATALOG ID MATCH in Release_Label",iserror(vlookup($A903&amp;$B903,'3) Release_Label'!$D:$D&amp;'3) Release_Label'!$E:$E,1,0)),"NO UPC-CATALOG ID pair MATCH in Release_Label" )</f>
        <v/>
      </c>
      <c r="E903" s="147" t="str">
        <f t="shared" si="1"/>
        <v/>
      </c>
      <c r="G903" s="97"/>
      <c r="H903" s="155"/>
      <c r="J903" s="92"/>
      <c r="K903" s="98"/>
      <c r="L903" s="92"/>
      <c r="N903" s="92"/>
      <c r="O903" s="92"/>
      <c r="P903" s="92"/>
    </row>
    <row r="904">
      <c r="A904" s="28"/>
      <c r="B904" s="97"/>
      <c r="C904" s="121" t="str">
        <f t="array" ref="C904">ifs(and(isblank($A904),isblank($B904)),"", not(iserror(vlookup($A904&amp;$B904,'3) Release_Label'!$D:$D&amp;'3) Release_Label'!$E:$E,1,0))),vlookup($A904&amp;$B904,{'3) Release_Label'!$D:$D&amp;'3) Release_Label'!$E:$E,'3) Release_Label'!$F:$F},2,0), or(and(not(isblank($B904)),$B904=$B903,$A904&lt;&gt;$A903),and(not(isblank($A904)),$A904=$A903,$B904&lt;&gt;$B903)),"ID LISTS UNALIGNED",and($A904&lt;&gt;"",countif('3) Release_Label'!$D:$D,$A904)=0),"NO UPC MATCH in Release_Label",and($B904&lt;&gt;"",countif('3) Release_Label'!$E:$E,$B904)=0),"NO CATALOG ID MATCH in Release_Label",iserror(vlookup($A904&amp;$B904,'3) Release_Label'!$D:$D&amp;'3) Release_Label'!$E:$E,1,0)),"NO UPC-CATALOG ID pair MATCH in Release_Label" )</f>
        <v/>
      </c>
      <c r="D904" s="121" t="str">
        <f t="array" ref="D904">ifs(and(isblank($A904),isblank($B904)),"", not(iserror(vlookup($A904&amp;$B904,'3) Release_Label'!$D:$D&amp;'3) Release_Label'!$E:$E,1,0))),vlookup($A904&amp;$B904,{'3) Release_Label'!$D:$D&amp;'3) Release_Label'!$E:$E,'3) Release_Label'!$H:$H},2,0), or(and(not(isblank($B904)),$B904=$B903,$A904&lt;&gt;$A903),and(not(isblank($A904)),$A904=$A903,$B904&lt;&gt;$B903)),"ID LISTS UNALIGNED",and($A904&lt;&gt;"",countif('3) Release_Label'!$D:$D,$A904)=0),"NO UPC MATCH in Release_Label",and($B904&lt;&gt;"",countif('3) Release_Label'!$E:$E,$B904)=0),"NO CATALOG ID MATCH in Release_Label",iserror(vlookup($A904&amp;$B904,'3) Release_Label'!$D:$D&amp;'3) Release_Label'!$E:$E,1,0)),"NO UPC-CATALOG ID pair MATCH in Release_Label" )</f>
        <v/>
      </c>
      <c r="E904" s="147" t="str">
        <f t="shared" si="1"/>
        <v/>
      </c>
      <c r="G904" s="97"/>
      <c r="H904" s="155"/>
      <c r="J904" s="92"/>
      <c r="K904" s="98"/>
      <c r="L904" s="92"/>
      <c r="N904" s="92"/>
      <c r="O904" s="92"/>
      <c r="P904" s="92"/>
    </row>
    <row r="905">
      <c r="A905" s="28"/>
      <c r="B905" s="97"/>
      <c r="C905" s="121" t="str">
        <f t="array" ref="C905">ifs(and(isblank($A905),isblank($B905)),"", not(iserror(vlookup($A905&amp;$B905,'3) Release_Label'!$D:$D&amp;'3) Release_Label'!$E:$E,1,0))),vlookup($A905&amp;$B905,{'3) Release_Label'!$D:$D&amp;'3) Release_Label'!$E:$E,'3) Release_Label'!$F:$F},2,0), or(and(not(isblank($B905)),$B905=$B904,$A905&lt;&gt;$A904),and(not(isblank($A905)),$A905=$A904,$B905&lt;&gt;$B904)),"ID LISTS UNALIGNED",and($A905&lt;&gt;"",countif('3) Release_Label'!$D:$D,$A905)=0),"NO UPC MATCH in Release_Label",and($B905&lt;&gt;"",countif('3) Release_Label'!$E:$E,$B905)=0),"NO CATALOG ID MATCH in Release_Label",iserror(vlookup($A905&amp;$B905,'3) Release_Label'!$D:$D&amp;'3) Release_Label'!$E:$E,1,0)),"NO UPC-CATALOG ID pair MATCH in Release_Label" )</f>
        <v/>
      </c>
      <c r="D905" s="121" t="str">
        <f t="array" ref="D905">ifs(and(isblank($A905),isblank($B905)),"", not(iserror(vlookup($A905&amp;$B905,'3) Release_Label'!$D:$D&amp;'3) Release_Label'!$E:$E,1,0))),vlookup($A905&amp;$B905,{'3) Release_Label'!$D:$D&amp;'3) Release_Label'!$E:$E,'3) Release_Label'!$H:$H},2,0), or(and(not(isblank($B905)),$B905=$B904,$A905&lt;&gt;$A904),and(not(isblank($A905)),$A905=$A904,$B905&lt;&gt;$B904)),"ID LISTS UNALIGNED",and($A905&lt;&gt;"",countif('3) Release_Label'!$D:$D,$A905)=0),"NO UPC MATCH in Release_Label",and($B905&lt;&gt;"",countif('3) Release_Label'!$E:$E,$B905)=0),"NO CATALOG ID MATCH in Release_Label",iserror(vlookup($A905&amp;$B905,'3) Release_Label'!$D:$D&amp;'3) Release_Label'!$E:$E,1,0)),"NO UPC-CATALOG ID pair MATCH in Release_Label" )</f>
        <v/>
      </c>
      <c r="E905" s="147" t="str">
        <f t="shared" si="1"/>
        <v/>
      </c>
      <c r="G905" s="97"/>
      <c r="H905" s="155"/>
      <c r="J905" s="92"/>
      <c r="K905" s="98"/>
      <c r="L905" s="92"/>
      <c r="N905" s="92"/>
      <c r="O905" s="92"/>
      <c r="P905" s="92"/>
    </row>
    <row r="906">
      <c r="A906" s="28"/>
      <c r="B906" s="97"/>
      <c r="C906" s="121" t="str">
        <f t="array" ref="C906">ifs(and(isblank($A906),isblank($B906)),"", not(iserror(vlookup($A906&amp;$B906,'3) Release_Label'!$D:$D&amp;'3) Release_Label'!$E:$E,1,0))),vlookup($A906&amp;$B906,{'3) Release_Label'!$D:$D&amp;'3) Release_Label'!$E:$E,'3) Release_Label'!$F:$F},2,0), or(and(not(isblank($B906)),$B906=$B905,$A906&lt;&gt;$A905),and(not(isblank($A906)),$A906=$A905,$B906&lt;&gt;$B905)),"ID LISTS UNALIGNED",and($A906&lt;&gt;"",countif('3) Release_Label'!$D:$D,$A906)=0),"NO UPC MATCH in Release_Label",and($B906&lt;&gt;"",countif('3) Release_Label'!$E:$E,$B906)=0),"NO CATALOG ID MATCH in Release_Label",iserror(vlookup($A906&amp;$B906,'3) Release_Label'!$D:$D&amp;'3) Release_Label'!$E:$E,1,0)),"NO UPC-CATALOG ID pair MATCH in Release_Label" )</f>
        <v/>
      </c>
      <c r="D906" s="121" t="str">
        <f t="array" ref="D906">ifs(and(isblank($A906),isblank($B906)),"", not(iserror(vlookup($A906&amp;$B906,'3) Release_Label'!$D:$D&amp;'3) Release_Label'!$E:$E,1,0))),vlookup($A906&amp;$B906,{'3) Release_Label'!$D:$D&amp;'3) Release_Label'!$E:$E,'3) Release_Label'!$H:$H},2,0), or(and(not(isblank($B906)),$B906=$B905,$A906&lt;&gt;$A905),and(not(isblank($A906)),$A906=$A905,$B906&lt;&gt;$B905)),"ID LISTS UNALIGNED",and($A906&lt;&gt;"",countif('3) Release_Label'!$D:$D,$A906)=0),"NO UPC MATCH in Release_Label",and($B906&lt;&gt;"",countif('3) Release_Label'!$E:$E,$B906)=0),"NO CATALOG ID MATCH in Release_Label",iserror(vlookup($A906&amp;$B906,'3) Release_Label'!$D:$D&amp;'3) Release_Label'!$E:$E,1,0)),"NO UPC-CATALOG ID pair MATCH in Release_Label" )</f>
        <v/>
      </c>
      <c r="E906" s="147" t="str">
        <f t="shared" si="1"/>
        <v/>
      </c>
      <c r="G906" s="97"/>
      <c r="H906" s="155"/>
      <c r="J906" s="92"/>
      <c r="K906" s="98"/>
      <c r="L906" s="92"/>
      <c r="N906" s="92"/>
      <c r="O906" s="92"/>
      <c r="P906" s="92"/>
    </row>
    <row r="907">
      <c r="A907" s="28"/>
      <c r="B907" s="97"/>
      <c r="C907" s="121" t="str">
        <f t="array" ref="C907">ifs(and(isblank($A907),isblank($B907)),"", not(iserror(vlookup($A907&amp;$B907,'3) Release_Label'!$D:$D&amp;'3) Release_Label'!$E:$E,1,0))),vlookup($A907&amp;$B907,{'3) Release_Label'!$D:$D&amp;'3) Release_Label'!$E:$E,'3) Release_Label'!$F:$F},2,0), or(and(not(isblank($B907)),$B907=$B906,$A907&lt;&gt;$A906),and(not(isblank($A907)),$A907=$A906,$B907&lt;&gt;$B906)),"ID LISTS UNALIGNED",and($A907&lt;&gt;"",countif('3) Release_Label'!$D:$D,$A907)=0),"NO UPC MATCH in Release_Label",and($B907&lt;&gt;"",countif('3) Release_Label'!$E:$E,$B907)=0),"NO CATALOG ID MATCH in Release_Label",iserror(vlookup($A907&amp;$B907,'3) Release_Label'!$D:$D&amp;'3) Release_Label'!$E:$E,1,0)),"NO UPC-CATALOG ID pair MATCH in Release_Label" )</f>
        <v/>
      </c>
      <c r="D907" s="121" t="str">
        <f t="array" ref="D907">ifs(and(isblank($A907),isblank($B907)),"", not(iserror(vlookup($A907&amp;$B907,'3) Release_Label'!$D:$D&amp;'3) Release_Label'!$E:$E,1,0))),vlookup($A907&amp;$B907,{'3) Release_Label'!$D:$D&amp;'3) Release_Label'!$E:$E,'3) Release_Label'!$H:$H},2,0), or(and(not(isblank($B907)),$B907=$B906,$A907&lt;&gt;$A906),and(not(isblank($A907)),$A907=$A906,$B907&lt;&gt;$B906)),"ID LISTS UNALIGNED",and($A907&lt;&gt;"",countif('3) Release_Label'!$D:$D,$A907)=0),"NO UPC MATCH in Release_Label",and($B907&lt;&gt;"",countif('3) Release_Label'!$E:$E,$B907)=0),"NO CATALOG ID MATCH in Release_Label",iserror(vlookup($A907&amp;$B907,'3) Release_Label'!$D:$D&amp;'3) Release_Label'!$E:$E,1,0)),"NO UPC-CATALOG ID pair MATCH in Release_Label" )</f>
        <v/>
      </c>
      <c r="E907" s="147" t="str">
        <f t="shared" si="1"/>
        <v/>
      </c>
      <c r="G907" s="97"/>
      <c r="H907" s="155"/>
      <c r="J907" s="92"/>
      <c r="K907" s="98"/>
      <c r="L907" s="92"/>
      <c r="N907" s="92"/>
      <c r="O907" s="92"/>
      <c r="P907" s="92"/>
    </row>
    <row r="908">
      <c r="A908" s="28"/>
      <c r="B908" s="97"/>
      <c r="C908" s="121" t="str">
        <f t="array" ref="C908">ifs(and(isblank($A908),isblank($B908)),"", not(iserror(vlookup($A908&amp;$B908,'3) Release_Label'!$D:$D&amp;'3) Release_Label'!$E:$E,1,0))),vlookup($A908&amp;$B908,{'3) Release_Label'!$D:$D&amp;'3) Release_Label'!$E:$E,'3) Release_Label'!$F:$F},2,0), or(and(not(isblank($B908)),$B908=$B907,$A908&lt;&gt;$A907),and(not(isblank($A908)),$A908=$A907,$B908&lt;&gt;$B907)),"ID LISTS UNALIGNED",and($A908&lt;&gt;"",countif('3) Release_Label'!$D:$D,$A908)=0),"NO UPC MATCH in Release_Label",and($B908&lt;&gt;"",countif('3) Release_Label'!$E:$E,$B908)=0),"NO CATALOG ID MATCH in Release_Label",iserror(vlookup($A908&amp;$B908,'3) Release_Label'!$D:$D&amp;'3) Release_Label'!$E:$E,1,0)),"NO UPC-CATALOG ID pair MATCH in Release_Label" )</f>
        <v/>
      </c>
      <c r="D908" s="121" t="str">
        <f t="array" ref="D908">ifs(and(isblank($A908),isblank($B908)),"", not(iserror(vlookup($A908&amp;$B908,'3) Release_Label'!$D:$D&amp;'3) Release_Label'!$E:$E,1,0))),vlookup($A908&amp;$B908,{'3) Release_Label'!$D:$D&amp;'3) Release_Label'!$E:$E,'3) Release_Label'!$H:$H},2,0), or(and(not(isblank($B908)),$B908=$B907,$A908&lt;&gt;$A907),and(not(isblank($A908)),$A908=$A907,$B908&lt;&gt;$B907)),"ID LISTS UNALIGNED",and($A908&lt;&gt;"",countif('3) Release_Label'!$D:$D,$A908)=0),"NO UPC MATCH in Release_Label",and($B908&lt;&gt;"",countif('3) Release_Label'!$E:$E,$B908)=0),"NO CATALOG ID MATCH in Release_Label",iserror(vlookup($A908&amp;$B908,'3) Release_Label'!$D:$D&amp;'3) Release_Label'!$E:$E,1,0)),"NO UPC-CATALOG ID pair MATCH in Release_Label" )</f>
        <v/>
      </c>
      <c r="E908" s="147" t="str">
        <f t="shared" si="1"/>
        <v/>
      </c>
      <c r="G908" s="97"/>
      <c r="H908" s="155"/>
      <c r="J908" s="92"/>
      <c r="K908" s="98"/>
      <c r="L908" s="92"/>
      <c r="N908" s="92"/>
      <c r="O908" s="92"/>
      <c r="P908" s="92"/>
    </row>
    <row r="909">
      <c r="A909" s="28"/>
      <c r="B909" s="97"/>
      <c r="C909" s="121" t="str">
        <f t="array" ref="C909">ifs(and(isblank($A909),isblank($B909)),"", not(iserror(vlookup($A909&amp;$B909,'3) Release_Label'!$D:$D&amp;'3) Release_Label'!$E:$E,1,0))),vlookup($A909&amp;$B909,{'3) Release_Label'!$D:$D&amp;'3) Release_Label'!$E:$E,'3) Release_Label'!$F:$F},2,0), or(and(not(isblank($B909)),$B909=$B908,$A909&lt;&gt;$A908),and(not(isblank($A909)),$A909=$A908,$B909&lt;&gt;$B908)),"ID LISTS UNALIGNED",and($A909&lt;&gt;"",countif('3) Release_Label'!$D:$D,$A909)=0),"NO UPC MATCH in Release_Label",and($B909&lt;&gt;"",countif('3) Release_Label'!$E:$E,$B909)=0),"NO CATALOG ID MATCH in Release_Label",iserror(vlookup($A909&amp;$B909,'3) Release_Label'!$D:$D&amp;'3) Release_Label'!$E:$E,1,0)),"NO UPC-CATALOG ID pair MATCH in Release_Label" )</f>
        <v/>
      </c>
      <c r="D909" s="121" t="str">
        <f t="array" ref="D909">ifs(and(isblank($A909),isblank($B909)),"", not(iserror(vlookup($A909&amp;$B909,'3) Release_Label'!$D:$D&amp;'3) Release_Label'!$E:$E,1,0))),vlookup($A909&amp;$B909,{'3) Release_Label'!$D:$D&amp;'3) Release_Label'!$E:$E,'3) Release_Label'!$H:$H},2,0), or(and(not(isblank($B909)),$B909=$B908,$A909&lt;&gt;$A908),and(not(isblank($A909)),$A909=$A908,$B909&lt;&gt;$B908)),"ID LISTS UNALIGNED",and($A909&lt;&gt;"",countif('3) Release_Label'!$D:$D,$A909)=0),"NO UPC MATCH in Release_Label",and($B909&lt;&gt;"",countif('3) Release_Label'!$E:$E,$B909)=0),"NO CATALOG ID MATCH in Release_Label",iserror(vlookup($A909&amp;$B909,'3) Release_Label'!$D:$D&amp;'3) Release_Label'!$E:$E,1,0)),"NO UPC-CATALOG ID pair MATCH in Release_Label" )</f>
        <v/>
      </c>
      <c r="E909" s="147" t="str">
        <f t="shared" si="1"/>
        <v/>
      </c>
      <c r="G909" s="97"/>
      <c r="H909" s="155"/>
      <c r="J909" s="92"/>
      <c r="K909" s="98"/>
      <c r="L909" s="92"/>
      <c r="N909" s="92"/>
      <c r="O909" s="92"/>
      <c r="P909" s="92"/>
    </row>
    <row r="910">
      <c r="A910" s="28"/>
      <c r="B910" s="97"/>
      <c r="C910" s="121" t="str">
        <f t="array" ref="C910">ifs(and(isblank($A910),isblank($B910)),"", not(iserror(vlookup($A910&amp;$B910,'3) Release_Label'!$D:$D&amp;'3) Release_Label'!$E:$E,1,0))),vlookup($A910&amp;$B910,{'3) Release_Label'!$D:$D&amp;'3) Release_Label'!$E:$E,'3) Release_Label'!$F:$F},2,0), or(and(not(isblank($B910)),$B910=$B909,$A910&lt;&gt;$A909),and(not(isblank($A910)),$A910=$A909,$B910&lt;&gt;$B909)),"ID LISTS UNALIGNED",and($A910&lt;&gt;"",countif('3) Release_Label'!$D:$D,$A910)=0),"NO UPC MATCH in Release_Label",and($B910&lt;&gt;"",countif('3) Release_Label'!$E:$E,$B910)=0),"NO CATALOG ID MATCH in Release_Label",iserror(vlookup($A910&amp;$B910,'3) Release_Label'!$D:$D&amp;'3) Release_Label'!$E:$E,1,0)),"NO UPC-CATALOG ID pair MATCH in Release_Label" )</f>
        <v/>
      </c>
      <c r="D910" s="121" t="str">
        <f t="array" ref="D910">ifs(and(isblank($A910),isblank($B910)),"", not(iserror(vlookup($A910&amp;$B910,'3) Release_Label'!$D:$D&amp;'3) Release_Label'!$E:$E,1,0))),vlookup($A910&amp;$B910,{'3) Release_Label'!$D:$D&amp;'3) Release_Label'!$E:$E,'3) Release_Label'!$H:$H},2,0), or(and(not(isblank($B910)),$B910=$B909,$A910&lt;&gt;$A909),and(not(isblank($A910)),$A910=$A909,$B910&lt;&gt;$B909)),"ID LISTS UNALIGNED",and($A910&lt;&gt;"",countif('3) Release_Label'!$D:$D,$A910)=0),"NO UPC MATCH in Release_Label",and($B910&lt;&gt;"",countif('3) Release_Label'!$E:$E,$B910)=0),"NO CATALOG ID MATCH in Release_Label",iserror(vlookup($A910&amp;$B910,'3) Release_Label'!$D:$D&amp;'3) Release_Label'!$E:$E,1,0)),"NO UPC-CATALOG ID pair MATCH in Release_Label" )</f>
        <v/>
      </c>
      <c r="E910" s="147" t="str">
        <f t="shared" si="1"/>
        <v/>
      </c>
      <c r="G910" s="97"/>
      <c r="H910" s="155"/>
      <c r="J910" s="92"/>
      <c r="K910" s="98"/>
      <c r="L910" s="92"/>
      <c r="N910" s="92"/>
      <c r="O910" s="92"/>
      <c r="P910" s="92"/>
    </row>
    <row r="911">
      <c r="A911" s="28"/>
      <c r="B911" s="97"/>
      <c r="C911" s="121" t="str">
        <f t="array" ref="C911">ifs(and(isblank($A911),isblank($B911)),"", not(iserror(vlookup($A911&amp;$B911,'3) Release_Label'!$D:$D&amp;'3) Release_Label'!$E:$E,1,0))),vlookup($A911&amp;$B911,{'3) Release_Label'!$D:$D&amp;'3) Release_Label'!$E:$E,'3) Release_Label'!$F:$F},2,0), or(and(not(isblank($B911)),$B911=$B910,$A911&lt;&gt;$A910),and(not(isblank($A911)),$A911=$A910,$B911&lt;&gt;$B910)),"ID LISTS UNALIGNED",and($A911&lt;&gt;"",countif('3) Release_Label'!$D:$D,$A911)=0),"NO UPC MATCH in Release_Label",and($B911&lt;&gt;"",countif('3) Release_Label'!$E:$E,$B911)=0),"NO CATALOG ID MATCH in Release_Label",iserror(vlookup($A911&amp;$B911,'3) Release_Label'!$D:$D&amp;'3) Release_Label'!$E:$E,1,0)),"NO UPC-CATALOG ID pair MATCH in Release_Label" )</f>
        <v/>
      </c>
      <c r="D911" s="121" t="str">
        <f t="array" ref="D911">ifs(and(isblank($A911),isblank($B911)),"", not(iserror(vlookup($A911&amp;$B911,'3) Release_Label'!$D:$D&amp;'3) Release_Label'!$E:$E,1,0))),vlookup($A911&amp;$B911,{'3) Release_Label'!$D:$D&amp;'3) Release_Label'!$E:$E,'3) Release_Label'!$H:$H},2,0), or(and(not(isblank($B911)),$B911=$B910,$A911&lt;&gt;$A910),and(not(isblank($A911)),$A911=$A910,$B911&lt;&gt;$B910)),"ID LISTS UNALIGNED",and($A911&lt;&gt;"",countif('3) Release_Label'!$D:$D,$A911)=0),"NO UPC MATCH in Release_Label",and($B911&lt;&gt;"",countif('3) Release_Label'!$E:$E,$B911)=0),"NO CATALOG ID MATCH in Release_Label",iserror(vlookup($A911&amp;$B911,'3) Release_Label'!$D:$D&amp;'3) Release_Label'!$E:$E,1,0)),"NO UPC-CATALOG ID pair MATCH in Release_Label" )</f>
        <v/>
      </c>
      <c r="E911" s="147" t="str">
        <f t="shared" si="1"/>
        <v/>
      </c>
      <c r="G911" s="97"/>
      <c r="H911" s="155"/>
      <c r="J911" s="92"/>
      <c r="K911" s="98"/>
      <c r="L911" s="92"/>
      <c r="N911" s="92"/>
      <c r="O911" s="92"/>
      <c r="P911" s="92"/>
    </row>
    <row r="912">
      <c r="A912" s="28"/>
      <c r="B912" s="97"/>
      <c r="C912" s="121" t="str">
        <f t="array" ref="C912">ifs(and(isblank($A912),isblank($B912)),"", not(iserror(vlookup($A912&amp;$B912,'3) Release_Label'!$D:$D&amp;'3) Release_Label'!$E:$E,1,0))),vlookup($A912&amp;$B912,{'3) Release_Label'!$D:$D&amp;'3) Release_Label'!$E:$E,'3) Release_Label'!$F:$F},2,0), or(and(not(isblank($B912)),$B912=$B911,$A912&lt;&gt;$A911),and(not(isblank($A912)),$A912=$A911,$B912&lt;&gt;$B911)),"ID LISTS UNALIGNED",and($A912&lt;&gt;"",countif('3) Release_Label'!$D:$D,$A912)=0),"NO UPC MATCH in Release_Label",and($B912&lt;&gt;"",countif('3) Release_Label'!$E:$E,$B912)=0),"NO CATALOG ID MATCH in Release_Label",iserror(vlookup($A912&amp;$B912,'3) Release_Label'!$D:$D&amp;'3) Release_Label'!$E:$E,1,0)),"NO UPC-CATALOG ID pair MATCH in Release_Label" )</f>
        <v/>
      </c>
      <c r="D912" s="121" t="str">
        <f t="array" ref="D912">ifs(and(isblank($A912),isblank($B912)),"", not(iserror(vlookup($A912&amp;$B912,'3) Release_Label'!$D:$D&amp;'3) Release_Label'!$E:$E,1,0))),vlookup($A912&amp;$B912,{'3) Release_Label'!$D:$D&amp;'3) Release_Label'!$E:$E,'3) Release_Label'!$H:$H},2,0), or(and(not(isblank($B912)),$B912=$B911,$A912&lt;&gt;$A911),and(not(isblank($A912)),$A912=$A911,$B912&lt;&gt;$B911)),"ID LISTS UNALIGNED",and($A912&lt;&gt;"",countif('3) Release_Label'!$D:$D,$A912)=0),"NO UPC MATCH in Release_Label",and($B912&lt;&gt;"",countif('3) Release_Label'!$E:$E,$B912)=0),"NO CATALOG ID MATCH in Release_Label",iserror(vlookup($A912&amp;$B912,'3) Release_Label'!$D:$D&amp;'3) Release_Label'!$E:$E,1,0)),"NO UPC-CATALOG ID pair MATCH in Release_Label" )</f>
        <v/>
      </c>
      <c r="E912" s="147" t="str">
        <f t="shared" si="1"/>
        <v/>
      </c>
      <c r="G912" s="97"/>
      <c r="H912" s="155"/>
      <c r="J912" s="92"/>
      <c r="K912" s="98"/>
      <c r="L912" s="92"/>
      <c r="N912" s="92"/>
      <c r="O912" s="92"/>
      <c r="P912" s="92"/>
    </row>
    <row r="913">
      <c r="A913" s="28"/>
      <c r="B913" s="97"/>
      <c r="C913" s="121" t="str">
        <f t="array" ref="C913">ifs(and(isblank($A913),isblank($B913)),"", not(iserror(vlookup($A913&amp;$B913,'3) Release_Label'!$D:$D&amp;'3) Release_Label'!$E:$E,1,0))),vlookup($A913&amp;$B913,{'3) Release_Label'!$D:$D&amp;'3) Release_Label'!$E:$E,'3) Release_Label'!$F:$F},2,0), or(and(not(isblank($B913)),$B913=$B912,$A913&lt;&gt;$A912),and(not(isblank($A913)),$A913=$A912,$B913&lt;&gt;$B912)),"ID LISTS UNALIGNED",and($A913&lt;&gt;"",countif('3) Release_Label'!$D:$D,$A913)=0),"NO UPC MATCH in Release_Label",and($B913&lt;&gt;"",countif('3) Release_Label'!$E:$E,$B913)=0),"NO CATALOG ID MATCH in Release_Label",iserror(vlookup($A913&amp;$B913,'3) Release_Label'!$D:$D&amp;'3) Release_Label'!$E:$E,1,0)),"NO UPC-CATALOG ID pair MATCH in Release_Label" )</f>
        <v/>
      </c>
      <c r="D913" s="121" t="str">
        <f t="array" ref="D913">ifs(and(isblank($A913),isblank($B913)),"", not(iserror(vlookup($A913&amp;$B913,'3) Release_Label'!$D:$D&amp;'3) Release_Label'!$E:$E,1,0))),vlookup($A913&amp;$B913,{'3) Release_Label'!$D:$D&amp;'3) Release_Label'!$E:$E,'3) Release_Label'!$H:$H},2,0), or(and(not(isblank($B913)),$B913=$B912,$A913&lt;&gt;$A912),and(not(isblank($A913)),$A913=$A912,$B913&lt;&gt;$B912)),"ID LISTS UNALIGNED",and($A913&lt;&gt;"",countif('3) Release_Label'!$D:$D,$A913)=0),"NO UPC MATCH in Release_Label",and($B913&lt;&gt;"",countif('3) Release_Label'!$E:$E,$B913)=0),"NO CATALOG ID MATCH in Release_Label",iserror(vlookup($A913&amp;$B913,'3) Release_Label'!$D:$D&amp;'3) Release_Label'!$E:$E,1,0)),"NO UPC-CATALOG ID pair MATCH in Release_Label" )</f>
        <v/>
      </c>
      <c r="E913" s="147" t="str">
        <f t="shared" si="1"/>
        <v/>
      </c>
      <c r="G913" s="97"/>
      <c r="H913" s="155"/>
      <c r="J913" s="92"/>
      <c r="K913" s="98"/>
      <c r="L913" s="92"/>
      <c r="N913" s="92"/>
      <c r="O913" s="92"/>
      <c r="P913" s="92"/>
    </row>
    <row r="914">
      <c r="A914" s="28"/>
      <c r="B914" s="97"/>
      <c r="C914" s="121" t="str">
        <f t="array" ref="C914">ifs(and(isblank($A914),isblank($B914)),"", not(iserror(vlookup($A914&amp;$B914,'3) Release_Label'!$D:$D&amp;'3) Release_Label'!$E:$E,1,0))),vlookup($A914&amp;$B914,{'3) Release_Label'!$D:$D&amp;'3) Release_Label'!$E:$E,'3) Release_Label'!$F:$F},2,0), or(and(not(isblank($B914)),$B914=$B913,$A914&lt;&gt;$A913),and(not(isblank($A914)),$A914=$A913,$B914&lt;&gt;$B913)),"ID LISTS UNALIGNED",and($A914&lt;&gt;"",countif('3) Release_Label'!$D:$D,$A914)=0),"NO UPC MATCH in Release_Label",and($B914&lt;&gt;"",countif('3) Release_Label'!$E:$E,$B914)=0),"NO CATALOG ID MATCH in Release_Label",iserror(vlookup($A914&amp;$B914,'3) Release_Label'!$D:$D&amp;'3) Release_Label'!$E:$E,1,0)),"NO UPC-CATALOG ID pair MATCH in Release_Label" )</f>
        <v/>
      </c>
      <c r="D914" s="121" t="str">
        <f t="array" ref="D914">ifs(and(isblank($A914),isblank($B914)),"", not(iserror(vlookup($A914&amp;$B914,'3) Release_Label'!$D:$D&amp;'3) Release_Label'!$E:$E,1,0))),vlookup($A914&amp;$B914,{'3) Release_Label'!$D:$D&amp;'3) Release_Label'!$E:$E,'3) Release_Label'!$H:$H},2,0), or(and(not(isblank($B914)),$B914=$B913,$A914&lt;&gt;$A913),and(not(isblank($A914)),$A914=$A913,$B914&lt;&gt;$B913)),"ID LISTS UNALIGNED",and($A914&lt;&gt;"",countif('3) Release_Label'!$D:$D,$A914)=0),"NO UPC MATCH in Release_Label",and($B914&lt;&gt;"",countif('3) Release_Label'!$E:$E,$B914)=0),"NO CATALOG ID MATCH in Release_Label",iserror(vlookup($A914&amp;$B914,'3) Release_Label'!$D:$D&amp;'3) Release_Label'!$E:$E,1,0)),"NO UPC-CATALOG ID pair MATCH in Release_Label" )</f>
        <v/>
      </c>
      <c r="E914" s="147" t="str">
        <f t="shared" si="1"/>
        <v/>
      </c>
      <c r="G914" s="97"/>
      <c r="H914" s="155"/>
      <c r="J914" s="92"/>
      <c r="K914" s="98"/>
      <c r="L914" s="92"/>
      <c r="N914" s="92"/>
      <c r="O914" s="92"/>
      <c r="P914" s="92"/>
    </row>
    <row r="915">
      <c r="A915" s="28"/>
      <c r="B915" s="97"/>
      <c r="C915" s="121" t="str">
        <f t="array" ref="C915">ifs(and(isblank($A915),isblank($B915)),"", not(iserror(vlookup($A915&amp;$B915,'3) Release_Label'!$D:$D&amp;'3) Release_Label'!$E:$E,1,0))),vlookup($A915&amp;$B915,{'3) Release_Label'!$D:$D&amp;'3) Release_Label'!$E:$E,'3) Release_Label'!$F:$F},2,0), or(and(not(isblank($B915)),$B915=$B914,$A915&lt;&gt;$A914),and(not(isblank($A915)),$A915=$A914,$B915&lt;&gt;$B914)),"ID LISTS UNALIGNED",and($A915&lt;&gt;"",countif('3) Release_Label'!$D:$D,$A915)=0),"NO UPC MATCH in Release_Label",and($B915&lt;&gt;"",countif('3) Release_Label'!$E:$E,$B915)=0),"NO CATALOG ID MATCH in Release_Label",iserror(vlookup($A915&amp;$B915,'3) Release_Label'!$D:$D&amp;'3) Release_Label'!$E:$E,1,0)),"NO UPC-CATALOG ID pair MATCH in Release_Label" )</f>
        <v/>
      </c>
      <c r="D915" s="121" t="str">
        <f t="array" ref="D915">ifs(and(isblank($A915),isblank($B915)),"", not(iserror(vlookup($A915&amp;$B915,'3) Release_Label'!$D:$D&amp;'3) Release_Label'!$E:$E,1,0))),vlookup($A915&amp;$B915,{'3) Release_Label'!$D:$D&amp;'3) Release_Label'!$E:$E,'3) Release_Label'!$H:$H},2,0), or(and(not(isblank($B915)),$B915=$B914,$A915&lt;&gt;$A914),and(not(isblank($A915)),$A915=$A914,$B915&lt;&gt;$B914)),"ID LISTS UNALIGNED",and($A915&lt;&gt;"",countif('3) Release_Label'!$D:$D,$A915)=0),"NO UPC MATCH in Release_Label",and($B915&lt;&gt;"",countif('3) Release_Label'!$E:$E,$B915)=0),"NO CATALOG ID MATCH in Release_Label",iserror(vlookup($A915&amp;$B915,'3) Release_Label'!$D:$D&amp;'3) Release_Label'!$E:$E,1,0)),"NO UPC-CATALOG ID pair MATCH in Release_Label" )</f>
        <v/>
      </c>
      <c r="E915" s="147" t="str">
        <f t="shared" si="1"/>
        <v/>
      </c>
      <c r="G915" s="97"/>
      <c r="H915" s="155"/>
      <c r="J915" s="92"/>
      <c r="K915" s="98"/>
      <c r="L915" s="92"/>
      <c r="N915" s="92"/>
      <c r="O915" s="92"/>
      <c r="P915" s="92"/>
    </row>
    <row r="916">
      <c r="A916" s="28"/>
      <c r="B916" s="97"/>
      <c r="C916" s="121" t="str">
        <f t="array" ref="C916">ifs(and(isblank($A916),isblank($B916)),"", not(iserror(vlookup($A916&amp;$B916,'3) Release_Label'!$D:$D&amp;'3) Release_Label'!$E:$E,1,0))),vlookup($A916&amp;$B916,{'3) Release_Label'!$D:$D&amp;'3) Release_Label'!$E:$E,'3) Release_Label'!$F:$F},2,0), or(and(not(isblank($B916)),$B916=$B915,$A916&lt;&gt;$A915),and(not(isblank($A916)),$A916=$A915,$B916&lt;&gt;$B915)),"ID LISTS UNALIGNED",and($A916&lt;&gt;"",countif('3) Release_Label'!$D:$D,$A916)=0),"NO UPC MATCH in Release_Label",and($B916&lt;&gt;"",countif('3) Release_Label'!$E:$E,$B916)=0),"NO CATALOG ID MATCH in Release_Label",iserror(vlookup($A916&amp;$B916,'3) Release_Label'!$D:$D&amp;'3) Release_Label'!$E:$E,1,0)),"NO UPC-CATALOG ID pair MATCH in Release_Label" )</f>
        <v/>
      </c>
      <c r="D916" s="121" t="str">
        <f t="array" ref="D916">ifs(and(isblank($A916),isblank($B916)),"", not(iserror(vlookup($A916&amp;$B916,'3) Release_Label'!$D:$D&amp;'3) Release_Label'!$E:$E,1,0))),vlookup($A916&amp;$B916,{'3) Release_Label'!$D:$D&amp;'3) Release_Label'!$E:$E,'3) Release_Label'!$H:$H},2,0), or(and(not(isblank($B916)),$B916=$B915,$A916&lt;&gt;$A915),and(not(isblank($A916)),$A916=$A915,$B916&lt;&gt;$B915)),"ID LISTS UNALIGNED",and($A916&lt;&gt;"",countif('3) Release_Label'!$D:$D,$A916)=0),"NO UPC MATCH in Release_Label",and($B916&lt;&gt;"",countif('3) Release_Label'!$E:$E,$B916)=0),"NO CATALOG ID MATCH in Release_Label",iserror(vlookup($A916&amp;$B916,'3) Release_Label'!$D:$D&amp;'3) Release_Label'!$E:$E,1,0)),"NO UPC-CATALOG ID pair MATCH in Release_Label" )</f>
        <v/>
      </c>
      <c r="E916" s="147" t="str">
        <f t="shared" si="1"/>
        <v/>
      </c>
      <c r="G916" s="97"/>
      <c r="H916" s="155"/>
      <c r="J916" s="92"/>
      <c r="K916" s="98"/>
      <c r="L916" s="92"/>
      <c r="N916" s="92"/>
      <c r="O916" s="92"/>
      <c r="P916" s="92"/>
    </row>
    <row r="917">
      <c r="A917" s="28"/>
      <c r="B917" s="97"/>
      <c r="C917" s="121" t="str">
        <f t="array" ref="C917">ifs(and(isblank($A917),isblank($B917)),"", not(iserror(vlookup($A917&amp;$B917,'3) Release_Label'!$D:$D&amp;'3) Release_Label'!$E:$E,1,0))),vlookup($A917&amp;$B917,{'3) Release_Label'!$D:$D&amp;'3) Release_Label'!$E:$E,'3) Release_Label'!$F:$F},2,0), or(and(not(isblank($B917)),$B917=$B916,$A917&lt;&gt;$A916),and(not(isblank($A917)),$A917=$A916,$B917&lt;&gt;$B916)),"ID LISTS UNALIGNED",and($A917&lt;&gt;"",countif('3) Release_Label'!$D:$D,$A917)=0),"NO UPC MATCH in Release_Label",and($B917&lt;&gt;"",countif('3) Release_Label'!$E:$E,$B917)=0),"NO CATALOG ID MATCH in Release_Label",iserror(vlookup($A917&amp;$B917,'3) Release_Label'!$D:$D&amp;'3) Release_Label'!$E:$E,1,0)),"NO UPC-CATALOG ID pair MATCH in Release_Label" )</f>
        <v/>
      </c>
      <c r="D917" s="121" t="str">
        <f t="array" ref="D917">ifs(and(isblank($A917),isblank($B917)),"", not(iserror(vlookup($A917&amp;$B917,'3) Release_Label'!$D:$D&amp;'3) Release_Label'!$E:$E,1,0))),vlookup($A917&amp;$B917,{'3) Release_Label'!$D:$D&amp;'3) Release_Label'!$E:$E,'3) Release_Label'!$H:$H},2,0), or(and(not(isblank($B917)),$B917=$B916,$A917&lt;&gt;$A916),and(not(isblank($A917)),$A917=$A916,$B917&lt;&gt;$B916)),"ID LISTS UNALIGNED",and($A917&lt;&gt;"",countif('3) Release_Label'!$D:$D,$A917)=0),"NO UPC MATCH in Release_Label",and($B917&lt;&gt;"",countif('3) Release_Label'!$E:$E,$B917)=0),"NO CATALOG ID MATCH in Release_Label",iserror(vlookup($A917&amp;$B917,'3) Release_Label'!$D:$D&amp;'3) Release_Label'!$E:$E,1,0)),"NO UPC-CATALOG ID pair MATCH in Release_Label" )</f>
        <v/>
      </c>
      <c r="E917" s="147" t="str">
        <f t="shared" si="1"/>
        <v/>
      </c>
      <c r="G917" s="97"/>
      <c r="H917" s="155"/>
      <c r="J917" s="92"/>
      <c r="K917" s="98"/>
      <c r="L917" s="92"/>
      <c r="N917" s="92"/>
      <c r="O917" s="92"/>
      <c r="P917" s="92"/>
    </row>
    <row r="918">
      <c r="A918" s="28"/>
      <c r="B918" s="97"/>
      <c r="C918" s="121" t="str">
        <f t="array" ref="C918">ifs(and(isblank($A918),isblank($B918)),"", not(iserror(vlookup($A918&amp;$B918,'3) Release_Label'!$D:$D&amp;'3) Release_Label'!$E:$E,1,0))),vlookup($A918&amp;$B918,{'3) Release_Label'!$D:$D&amp;'3) Release_Label'!$E:$E,'3) Release_Label'!$F:$F},2,0), or(and(not(isblank($B918)),$B918=$B917,$A918&lt;&gt;$A917),and(not(isblank($A918)),$A918=$A917,$B918&lt;&gt;$B917)),"ID LISTS UNALIGNED",and($A918&lt;&gt;"",countif('3) Release_Label'!$D:$D,$A918)=0),"NO UPC MATCH in Release_Label",and($B918&lt;&gt;"",countif('3) Release_Label'!$E:$E,$B918)=0),"NO CATALOG ID MATCH in Release_Label",iserror(vlookup($A918&amp;$B918,'3) Release_Label'!$D:$D&amp;'3) Release_Label'!$E:$E,1,0)),"NO UPC-CATALOG ID pair MATCH in Release_Label" )</f>
        <v/>
      </c>
      <c r="D918" s="121" t="str">
        <f t="array" ref="D918">ifs(and(isblank($A918),isblank($B918)),"", not(iserror(vlookup($A918&amp;$B918,'3) Release_Label'!$D:$D&amp;'3) Release_Label'!$E:$E,1,0))),vlookup($A918&amp;$B918,{'3) Release_Label'!$D:$D&amp;'3) Release_Label'!$E:$E,'3) Release_Label'!$H:$H},2,0), or(and(not(isblank($B918)),$B918=$B917,$A918&lt;&gt;$A917),and(not(isblank($A918)),$A918=$A917,$B918&lt;&gt;$B917)),"ID LISTS UNALIGNED",and($A918&lt;&gt;"",countif('3) Release_Label'!$D:$D,$A918)=0),"NO UPC MATCH in Release_Label",and($B918&lt;&gt;"",countif('3) Release_Label'!$E:$E,$B918)=0),"NO CATALOG ID MATCH in Release_Label",iserror(vlookup($A918&amp;$B918,'3) Release_Label'!$D:$D&amp;'3) Release_Label'!$E:$E,1,0)),"NO UPC-CATALOG ID pair MATCH in Release_Label" )</f>
        <v/>
      </c>
      <c r="E918" s="147" t="str">
        <f t="shared" si="1"/>
        <v/>
      </c>
      <c r="G918" s="97"/>
      <c r="H918" s="155"/>
      <c r="J918" s="92"/>
      <c r="K918" s="98"/>
      <c r="L918" s="92"/>
      <c r="N918" s="92"/>
      <c r="O918" s="92"/>
      <c r="P918" s="92"/>
    </row>
    <row r="919">
      <c r="A919" s="28"/>
      <c r="B919" s="97"/>
      <c r="C919" s="121" t="str">
        <f t="array" ref="C919">ifs(and(isblank($A919),isblank($B919)),"", not(iserror(vlookup($A919&amp;$B919,'3) Release_Label'!$D:$D&amp;'3) Release_Label'!$E:$E,1,0))),vlookup($A919&amp;$B919,{'3) Release_Label'!$D:$D&amp;'3) Release_Label'!$E:$E,'3) Release_Label'!$F:$F},2,0), or(and(not(isblank($B919)),$B919=$B918,$A919&lt;&gt;$A918),and(not(isblank($A919)),$A919=$A918,$B919&lt;&gt;$B918)),"ID LISTS UNALIGNED",and($A919&lt;&gt;"",countif('3) Release_Label'!$D:$D,$A919)=0),"NO UPC MATCH in Release_Label",and($B919&lt;&gt;"",countif('3) Release_Label'!$E:$E,$B919)=0),"NO CATALOG ID MATCH in Release_Label",iserror(vlookup($A919&amp;$B919,'3) Release_Label'!$D:$D&amp;'3) Release_Label'!$E:$E,1,0)),"NO UPC-CATALOG ID pair MATCH in Release_Label" )</f>
        <v/>
      </c>
      <c r="D919" s="121" t="str">
        <f t="array" ref="D919">ifs(and(isblank($A919),isblank($B919)),"", not(iserror(vlookup($A919&amp;$B919,'3) Release_Label'!$D:$D&amp;'3) Release_Label'!$E:$E,1,0))),vlookup($A919&amp;$B919,{'3) Release_Label'!$D:$D&amp;'3) Release_Label'!$E:$E,'3) Release_Label'!$H:$H},2,0), or(and(not(isblank($B919)),$B919=$B918,$A919&lt;&gt;$A918),and(not(isblank($A919)),$A919=$A918,$B919&lt;&gt;$B918)),"ID LISTS UNALIGNED",and($A919&lt;&gt;"",countif('3) Release_Label'!$D:$D,$A919)=0),"NO UPC MATCH in Release_Label",and($B919&lt;&gt;"",countif('3) Release_Label'!$E:$E,$B919)=0),"NO CATALOG ID MATCH in Release_Label",iserror(vlookup($A919&amp;$B919,'3) Release_Label'!$D:$D&amp;'3) Release_Label'!$E:$E,1,0)),"NO UPC-CATALOG ID pair MATCH in Release_Label" )</f>
        <v/>
      </c>
      <c r="E919" s="147" t="str">
        <f t="shared" si="1"/>
        <v/>
      </c>
      <c r="G919" s="97"/>
      <c r="H919" s="155"/>
      <c r="J919" s="92"/>
      <c r="K919" s="98"/>
      <c r="L919" s="92"/>
      <c r="N919" s="92"/>
      <c r="O919" s="92"/>
      <c r="P919" s="92"/>
    </row>
    <row r="920">
      <c r="A920" s="28"/>
      <c r="B920" s="97"/>
      <c r="C920" s="121" t="str">
        <f t="array" ref="C920">ifs(and(isblank($A920),isblank($B920)),"", not(iserror(vlookup($A920&amp;$B920,'3) Release_Label'!$D:$D&amp;'3) Release_Label'!$E:$E,1,0))),vlookup($A920&amp;$B920,{'3) Release_Label'!$D:$D&amp;'3) Release_Label'!$E:$E,'3) Release_Label'!$F:$F},2,0), or(and(not(isblank($B920)),$B920=$B919,$A920&lt;&gt;$A919),and(not(isblank($A920)),$A920=$A919,$B920&lt;&gt;$B919)),"ID LISTS UNALIGNED",and($A920&lt;&gt;"",countif('3) Release_Label'!$D:$D,$A920)=0),"NO UPC MATCH in Release_Label",and($B920&lt;&gt;"",countif('3) Release_Label'!$E:$E,$B920)=0),"NO CATALOG ID MATCH in Release_Label",iserror(vlookup($A920&amp;$B920,'3) Release_Label'!$D:$D&amp;'3) Release_Label'!$E:$E,1,0)),"NO UPC-CATALOG ID pair MATCH in Release_Label" )</f>
        <v/>
      </c>
      <c r="D920" s="121" t="str">
        <f t="array" ref="D920">ifs(and(isblank($A920),isblank($B920)),"", not(iserror(vlookup($A920&amp;$B920,'3) Release_Label'!$D:$D&amp;'3) Release_Label'!$E:$E,1,0))),vlookup($A920&amp;$B920,{'3) Release_Label'!$D:$D&amp;'3) Release_Label'!$E:$E,'3) Release_Label'!$H:$H},2,0), or(and(not(isblank($B920)),$B920=$B919,$A920&lt;&gt;$A919),and(not(isblank($A920)),$A920=$A919,$B920&lt;&gt;$B919)),"ID LISTS UNALIGNED",and($A920&lt;&gt;"",countif('3) Release_Label'!$D:$D,$A920)=0),"NO UPC MATCH in Release_Label",and($B920&lt;&gt;"",countif('3) Release_Label'!$E:$E,$B920)=0),"NO CATALOG ID MATCH in Release_Label",iserror(vlookup($A920&amp;$B920,'3) Release_Label'!$D:$D&amp;'3) Release_Label'!$E:$E,1,0)),"NO UPC-CATALOG ID pair MATCH in Release_Label" )</f>
        <v/>
      </c>
      <c r="E920" s="147" t="str">
        <f t="shared" si="1"/>
        <v/>
      </c>
      <c r="G920" s="97"/>
      <c r="H920" s="155"/>
      <c r="J920" s="92"/>
      <c r="K920" s="98"/>
      <c r="L920" s="92"/>
      <c r="N920" s="92"/>
      <c r="O920" s="92"/>
      <c r="P920" s="92"/>
    </row>
    <row r="921">
      <c r="A921" s="28"/>
      <c r="B921" s="97"/>
      <c r="C921" s="121" t="str">
        <f t="array" ref="C921">ifs(and(isblank($A921),isblank($B921)),"", not(iserror(vlookup($A921&amp;$B921,'3) Release_Label'!$D:$D&amp;'3) Release_Label'!$E:$E,1,0))),vlookup($A921&amp;$B921,{'3) Release_Label'!$D:$D&amp;'3) Release_Label'!$E:$E,'3) Release_Label'!$F:$F},2,0), or(and(not(isblank($B921)),$B921=$B920,$A921&lt;&gt;$A920),and(not(isblank($A921)),$A921=$A920,$B921&lt;&gt;$B920)),"ID LISTS UNALIGNED",and($A921&lt;&gt;"",countif('3) Release_Label'!$D:$D,$A921)=0),"NO UPC MATCH in Release_Label",and($B921&lt;&gt;"",countif('3) Release_Label'!$E:$E,$B921)=0),"NO CATALOG ID MATCH in Release_Label",iserror(vlookup($A921&amp;$B921,'3) Release_Label'!$D:$D&amp;'3) Release_Label'!$E:$E,1,0)),"NO UPC-CATALOG ID pair MATCH in Release_Label" )</f>
        <v/>
      </c>
      <c r="D921" s="121" t="str">
        <f t="array" ref="D921">ifs(and(isblank($A921),isblank($B921)),"", not(iserror(vlookup($A921&amp;$B921,'3) Release_Label'!$D:$D&amp;'3) Release_Label'!$E:$E,1,0))),vlookup($A921&amp;$B921,{'3) Release_Label'!$D:$D&amp;'3) Release_Label'!$E:$E,'3) Release_Label'!$H:$H},2,0), or(and(not(isblank($B921)),$B921=$B920,$A921&lt;&gt;$A920),and(not(isblank($A921)),$A921=$A920,$B921&lt;&gt;$B920)),"ID LISTS UNALIGNED",and($A921&lt;&gt;"",countif('3) Release_Label'!$D:$D,$A921)=0),"NO UPC MATCH in Release_Label",and($B921&lt;&gt;"",countif('3) Release_Label'!$E:$E,$B921)=0),"NO CATALOG ID MATCH in Release_Label",iserror(vlookup($A921&amp;$B921,'3) Release_Label'!$D:$D&amp;'3) Release_Label'!$E:$E,1,0)),"NO UPC-CATALOG ID pair MATCH in Release_Label" )</f>
        <v/>
      </c>
      <c r="E921" s="147" t="str">
        <f t="shared" si="1"/>
        <v/>
      </c>
      <c r="G921" s="97"/>
      <c r="H921" s="155"/>
      <c r="J921" s="92"/>
      <c r="K921" s="98"/>
      <c r="L921" s="92"/>
      <c r="N921" s="92"/>
      <c r="O921" s="92"/>
      <c r="P921" s="92"/>
    </row>
    <row r="922">
      <c r="A922" s="28"/>
      <c r="B922" s="97"/>
      <c r="C922" s="121" t="str">
        <f t="array" ref="C922">ifs(and(isblank($A922),isblank($B922)),"", not(iserror(vlookup($A922&amp;$B922,'3) Release_Label'!$D:$D&amp;'3) Release_Label'!$E:$E,1,0))),vlookup($A922&amp;$B922,{'3) Release_Label'!$D:$D&amp;'3) Release_Label'!$E:$E,'3) Release_Label'!$F:$F},2,0), or(and(not(isblank($B922)),$B922=$B921,$A922&lt;&gt;$A921),and(not(isblank($A922)),$A922=$A921,$B922&lt;&gt;$B921)),"ID LISTS UNALIGNED",and($A922&lt;&gt;"",countif('3) Release_Label'!$D:$D,$A922)=0),"NO UPC MATCH in Release_Label",and($B922&lt;&gt;"",countif('3) Release_Label'!$E:$E,$B922)=0),"NO CATALOG ID MATCH in Release_Label",iserror(vlookup($A922&amp;$B922,'3) Release_Label'!$D:$D&amp;'3) Release_Label'!$E:$E,1,0)),"NO UPC-CATALOG ID pair MATCH in Release_Label" )</f>
        <v/>
      </c>
      <c r="D922" s="121" t="str">
        <f t="array" ref="D922">ifs(and(isblank($A922),isblank($B922)),"", not(iserror(vlookup($A922&amp;$B922,'3) Release_Label'!$D:$D&amp;'3) Release_Label'!$E:$E,1,0))),vlookup($A922&amp;$B922,{'3) Release_Label'!$D:$D&amp;'3) Release_Label'!$E:$E,'3) Release_Label'!$H:$H},2,0), or(and(not(isblank($B922)),$B922=$B921,$A922&lt;&gt;$A921),and(not(isblank($A922)),$A922=$A921,$B922&lt;&gt;$B921)),"ID LISTS UNALIGNED",and($A922&lt;&gt;"",countif('3) Release_Label'!$D:$D,$A922)=0),"NO UPC MATCH in Release_Label",and($B922&lt;&gt;"",countif('3) Release_Label'!$E:$E,$B922)=0),"NO CATALOG ID MATCH in Release_Label",iserror(vlookup($A922&amp;$B922,'3) Release_Label'!$D:$D&amp;'3) Release_Label'!$E:$E,1,0)),"NO UPC-CATALOG ID pair MATCH in Release_Label" )</f>
        <v/>
      </c>
      <c r="E922" s="147" t="str">
        <f t="shared" si="1"/>
        <v/>
      </c>
      <c r="G922" s="97"/>
      <c r="H922" s="155"/>
      <c r="J922" s="92"/>
      <c r="K922" s="98"/>
      <c r="L922" s="92"/>
      <c r="N922" s="92"/>
      <c r="O922" s="92"/>
      <c r="P922" s="92"/>
    </row>
    <row r="923">
      <c r="A923" s="28"/>
      <c r="B923" s="97"/>
      <c r="C923" s="121" t="str">
        <f t="array" ref="C923">ifs(and(isblank($A923),isblank($B923)),"", not(iserror(vlookup($A923&amp;$B923,'3) Release_Label'!$D:$D&amp;'3) Release_Label'!$E:$E,1,0))),vlookup($A923&amp;$B923,{'3) Release_Label'!$D:$D&amp;'3) Release_Label'!$E:$E,'3) Release_Label'!$F:$F},2,0), or(and(not(isblank($B923)),$B923=$B922,$A923&lt;&gt;$A922),and(not(isblank($A923)),$A923=$A922,$B923&lt;&gt;$B922)),"ID LISTS UNALIGNED",and($A923&lt;&gt;"",countif('3) Release_Label'!$D:$D,$A923)=0),"NO UPC MATCH in Release_Label",and($B923&lt;&gt;"",countif('3) Release_Label'!$E:$E,$B923)=0),"NO CATALOG ID MATCH in Release_Label",iserror(vlookup($A923&amp;$B923,'3) Release_Label'!$D:$D&amp;'3) Release_Label'!$E:$E,1,0)),"NO UPC-CATALOG ID pair MATCH in Release_Label" )</f>
        <v/>
      </c>
      <c r="D923" s="121" t="str">
        <f t="array" ref="D923">ifs(and(isblank($A923),isblank($B923)),"", not(iserror(vlookup($A923&amp;$B923,'3) Release_Label'!$D:$D&amp;'3) Release_Label'!$E:$E,1,0))),vlookup($A923&amp;$B923,{'3) Release_Label'!$D:$D&amp;'3) Release_Label'!$E:$E,'3) Release_Label'!$H:$H},2,0), or(and(not(isblank($B923)),$B923=$B922,$A923&lt;&gt;$A922),and(not(isblank($A923)),$A923=$A922,$B923&lt;&gt;$B922)),"ID LISTS UNALIGNED",and($A923&lt;&gt;"",countif('3) Release_Label'!$D:$D,$A923)=0),"NO UPC MATCH in Release_Label",and($B923&lt;&gt;"",countif('3) Release_Label'!$E:$E,$B923)=0),"NO CATALOG ID MATCH in Release_Label",iserror(vlookup($A923&amp;$B923,'3) Release_Label'!$D:$D&amp;'3) Release_Label'!$E:$E,1,0)),"NO UPC-CATALOG ID pair MATCH in Release_Label" )</f>
        <v/>
      </c>
      <c r="E923" s="147" t="str">
        <f t="shared" si="1"/>
        <v/>
      </c>
      <c r="G923" s="97"/>
      <c r="H923" s="155"/>
      <c r="J923" s="92"/>
      <c r="K923" s="98"/>
      <c r="L923" s="92"/>
      <c r="N923" s="92"/>
      <c r="O923" s="92"/>
      <c r="P923" s="92"/>
    </row>
    <row r="924">
      <c r="A924" s="28"/>
      <c r="B924" s="97"/>
      <c r="C924" s="121" t="str">
        <f t="array" ref="C924">ifs(and(isblank($A924),isblank($B924)),"", not(iserror(vlookup($A924&amp;$B924,'3) Release_Label'!$D:$D&amp;'3) Release_Label'!$E:$E,1,0))),vlookup($A924&amp;$B924,{'3) Release_Label'!$D:$D&amp;'3) Release_Label'!$E:$E,'3) Release_Label'!$F:$F},2,0), or(and(not(isblank($B924)),$B924=$B923,$A924&lt;&gt;$A923),and(not(isblank($A924)),$A924=$A923,$B924&lt;&gt;$B923)),"ID LISTS UNALIGNED",and($A924&lt;&gt;"",countif('3) Release_Label'!$D:$D,$A924)=0),"NO UPC MATCH in Release_Label",and($B924&lt;&gt;"",countif('3) Release_Label'!$E:$E,$B924)=0),"NO CATALOG ID MATCH in Release_Label",iserror(vlookup($A924&amp;$B924,'3) Release_Label'!$D:$D&amp;'3) Release_Label'!$E:$E,1,0)),"NO UPC-CATALOG ID pair MATCH in Release_Label" )</f>
        <v/>
      </c>
      <c r="D924" s="121" t="str">
        <f t="array" ref="D924">ifs(and(isblank($A924),isblank($B924)),"", not(iserror(vlookup($A924&amp;$B924,'3) Release_Label'!$D:$D&amp;'3) Release_Label'!$E:$E,1,0))),vlookup($A924&amp;$B924,{'3) Release_Label'!$D:$D&amp;'3) Release_Label'!$E:$E,'3) Release_Label'!$H:$H},2,0), or(and(not(isblank($B924)),$B924=$B923,$A924&lt;&gt;$A923),and(not(isblank($A924)),$A924=$A923,$B924&lt;&gt;$B923)),"ID LISTS UNALIGNED",and($A924&lt;&gt;"",countif('3) Release_Label'!$D:$D,$A924)=0),"NO UPC MATCH in Release_Label",and($B924&lt;&gt;"",countif('3) Release_Label'!$E:$E,$B924)=0),"NO CATALOG ID MATCH in Release_Label",iserror(vlookup($A924&amp;$B924,'3) Release_Label'!$D:$D&amp;'3) Release_Label'!$E:$E,1,0)),"NO UPC-CATALOG ID pair MATCH in Release_Label" )</f>
        <v/>
      </c>
      <c r="E924" s="147" t="str">
        <f t="shared" si="1"/>
        <v/>
      </c>
      <c r="G924" s="97"/>
      <c r="H924" s="155"/>
      <c r="J924" s="92"/>
      <c r="K924" s="98"/>
      <c r="L924" s="92"/>
      <c r="N924" s="92"/>
      <c r="O924" s="92"/>
      <c r="P924" s="92"/>
    </row>
    <row r="925">
      <c r="A925" s="28"/>
      <c r="B925" s="97"/>
      <c r="C925" s="121" t="str">
        <f t="array" ref="C925">ifs(and(isblank($A925),isblank($B925)),"", not(iserror(vlookup($A925&amp;$B925,'3) Release_Label'!$D:$D&amp;'3) Release_Label'!$E:$E,1,0))),vlookup($A925&amp;$B925,{'3) Release_Label'!$D:$D&amp;'3) Release_Label'!$E:$E,'3) Release_Label'!$F:$F},2,0), or(and(not(isblank($B925)),$B925=$B924,$A925&lt;&gt;$A924),and(not(isblank($A925)),$A925=$A924,$B925&lt;&gt;$B924)),"ID LISTS UNALIGNED",and($A925&lt;&gt;"",countif('3) Release_Label'!$D:$D,$A925)=0),"NO UPC MATCH in Release_Label",and($B925&lt;&gt;"",countif('3) Release_Label'!$E:$E,$B925)=0),"NO CATALOG ID MATCH in Release_Label",iserror(vlookup($A925&amp;$B925,'3) Release_Label'!$D:$D&amp;'3) Release_Label'!$E:$E,1,0)),"NO UPC-CATALOG ID pair MATCH in Release_Label" )</f>
        <v/>
      </c>
      <c r="D925" s="121" t="str">
        <f t="array" ref="D925">ifs(and(isblank($A925),isblank($B925)),"", not(iserror(vlookup($A925&amp;$B925,'3) Release_Label'!$D:$D&amp;'3) Release_Label'!$E:$E,1,0))),vlookup($A925&amp;$B925,{'3) Release_Label'!$D:$D&amp;'3) Release_Label'!$E:$E,'3) Release_Label'!$H:$H},2,0), or(and(not(isblank($B925)),$B925=$B924,$A925&lt;&gt;$A924),and(not(isblank($A925)),$A925=$A924,$B925&lt;&gt;$B924)),"ID LISTS UNALIGNED",and($A925&lt;&gt;"",countif('3) Release_Label'!$D:$D,$A925)=0),"NO UPC MATCH in Release_Label",and($B925&lt;&gt;"",countif('3) Release_Label'!$E:$E,$B925)=0),"NO CATALOG ID MATCH in Release_Label",iserror(vlookup($A925&amp;$B925,'3) Release_Label'!$D:$D&amp;'3) Release_Label'!$E:$E,1,0)),"NO UPC-CATALOG ID pair MATCH in Release_Label" )</f>
        <v/>
      </c>
      <c r="E925" s="147" t="str">
        <f t="shared" si="1"/>
        <v/>
      </c>
      <c r="G925" s="97"/>
      <c r="H925" s="155"/>
      <c r="J925" s="92"/>
      <c r="K925" s="98"/>
      <c r="L925" s="92"/>
      <c r="N925" s="92"/>
      <c r="O925" s="92"/>
      <c r="P925" s="92"/>
    </row>
    <row r="926">
      <c r="A926" s="28"/>
      <c r="B926" s="97"/>
      <c r="C926" s="121" t="str">
        <f t="array" ref="C926">ifs(and(isblank($A926),isblank($B926)),"", not(iserror(vlookup($A926&amp;$B926,'3) Release_Label'!$D:$D&amp;'3) Release_Label'!$E:$E,1,0))),vlookup($A926&amp;$B926,{'3) Release_Label'!$D:$D&amp;'3) Release_Label'!$E:$E,'3) Release_Label'!$F:$F},2,0), or(and(not(isblank($B926)),$B926=$B925,$A926&lt;&gt;$A925),and(not(isblank($A926)),$A926=$A925,$B926&lt;&gt;$B925)),"ID LISTS UNALIGNED",and($A926&lt;&gt;"",countif('3) Release_Label'!$D:$D,$A926)=0),"NO UPC MATCH in Release_Label",and($B926&lt;&gt;"",countif('3) Release_Label'!$E:$E,$B926)=0),"NO CATALOG ID MATCH in Release_Label",iserror(vlookup($A926&amp;$B926,'3) Release_Label'!$D:$D&amp;'3) Release_Label'!$E:$E,1,0)),"NO UPC-CATALOG ID pair MATCH in Release_Label" )</f>
        <v/>
      </c>
      <c r="D926" s="121" t="str">
        <f t="array" ref="D926">ifs(and(isblank($A926),isblank($B926)),"", not(iserror(vlookup($A926&amp;$B926,'3) Release_Label'!$D:$D&amp;'3) Release_Label'!$E:$E,1,0))),vlookup($A926&amp;$B926,{'3) Release_Label'!$D:$D&amp;'3) Release_Label'!$E:$E,'3) Release_Label'!$H:$H},2,0), or(and(not(isblank($B926)),$B926=$B925,$A926&lt;&gt;$A925),and(not(isblank($A926)),$A926=$A925,$B926&lt;&gt;$B925)),"ID LISTS UNALIGNED",and($A926&lt;&gt;"",countif('3) Release_Label'!$D:$D,$A926)=0),"NO UPC MATCH in Release_Label",and($B926&lt;&gt;"",countif('3) Release_Label'!$E:$E,$B926)=0),"NO CATALOG ID MATCH in Release_Label",iserror(vlookup($A926&amp;$B926,'3) Release_Label'!$D:$D&amp;'3) Release_Label'!$E:$E,1,0)),"NO UPC-CATALOG ID pair MATCH in Release_Label" )</f>
        <v/>
      </c>
      <c r="E926" s="147" t="str">
        <f t="shared" si="1"/>
        <v/>
      </c>
      <c r="G926" s="97"/>
      <c r="H926" s="155"/>
      <c r="J926" s="92"/>
      <c r="K926" s="98"/>
      <c r="L926" s="92"/>
      <c r="N926" s="92"/>
      <c r="O926" s="92"/>
      <c r="P926" s="92"/>
    </row>
    <row r="927">
      <c r="A927" s="28"/>
      <c r="B927" s="97"/>
      <c r="C927" s="121" t="str">
        <f t="array" ref="C927">ifs(and(isblank($A927),isblank($B927)),"", not(iserror(vlookup($A927&amp;$B927,'3) Release_Label'!$D:$D&amp;'3) Release_Label'!$E:$E,1,0))),vlookup($A927&amp;$B927,{'3) Release_Label'!$D:$D&amp;'3) Release_Label'!$E:$E,'3) Release_Label'!$F:$F},2,0), or(and(not(isblank($B927)),$B927=$B926,$A927&lt;&gt;$A926),and(not(isblank($A927)),$A927=$A926,$B927&lt;&gt;$B926)),"ID LISTS UNALIGNED",and($A927&lt;&gt;"",countif('3) Release_Label'!$D:$D,$A927)=0),"NO UPC MATCH in Release_Label",and($B927&lt;&gt;"",countif('3) Release_Label'!$E:$E,$B927)=0),"NO CATALOG ID MATCH in Release_Label",iserror(vlookup($A927&amp;$B927,'3) Release_Label'!$D:$D&amp;'3) Release_Label'!$E:$E,1,0)),"NO UPC-CATALOG ID pair MATCH in Release_Label" )</f>
        <v/>
      </c>
      <c r="D927" s="121" t="str">
        <f t="array" ref="D927">ifs(and(isblank($A927),isblank($B927)),"", not(iserror(vlookup($A927&amp;$B927,'3) Release_Label'!$D:$D&amp;'3) Release_Label'!$E:$E,1,0))),vlookup($A927&amp;$B927,{'3) Release_Label'!$D:$D&amp;'3) Release_Label'!$E:$E,'3) Release_Label'!$H:$H},2,0), or(and(not(isblank($B927)),$B927=$B926,$A927&lt;&gt;$A926),and(not(isblank($A927)),$A927=$A926,$B927&lt;&gt;$B926)),"ID LISTS UNALIGNED",and($A927&lt;&gt;"",countif('3) Release_Label'!$D:$D,$A927)=0),"NO UPC MATCH in Release_Label",and($B927&lt;&gt;"",countif('3) Release_Label'!$E:$E,$B927)=0),"NO CATALOG ID MATCH in Release_Label",iserror(vlookup($A927&amp;$B927,'3) Release_Label'!$D:$D&amp;'3) Release_Label'!$E:$E,1,0)),"NO UPC-CATALOG ID pair MATCH in Release_Label" )</f>
        <v/>
      </c>
      <c r="E927" s="147" t="str">
        <f t="shared" si="1"/>
        <v/>
      </c>
      <c r="G927" s="97"/>
      <c r="H927" s="155"/>
      <c r="J927" s="92"/>
      <c r="K927" s="98"/>
      <c r="L927" s="92"/>
      <c r="N927" s="92"/>
      <c r="O927" s="92"/>
      <c r="P927" s="92"/>
    </row>
    <row r="928">
      <c r="A928" s="28"/>
      <c r="B928" s="97"/>
      <c r="C928" s="121" t="str">
        <f t="array" ref="C928">ifs(and(isblank($A928),isblank($B928)),"", not(iserror(vlookup($A928&amp;$B928,'3) Release_Label'!$D:$D&amp;'3) Release_Label'!$E:$E,1,0))),vlookup($A928&amp;$B928,{'3) Release_Label'!$D:$D&amp;'3) Release_Label'!$E:$E,'3) Release_Label'!$F:$F},2,0), or(and(not(isblank($B928)),$B928=$B927,$A928&lt;&gt;$A927),and(not(isblank($A928)),$A928=$A927,$B928&lt;&gt;$B927)),"ID LISTS UNALIGNED",and($A928&lt;&gt;"",countif('3) Release_Label'!$D:$D,$A928)=0),"NO UPC MATCH in Release_Label",and($B928&lt;&gt;"",countif('3) Release_Label'!$E:$E,$B928)=0),"NO CATALOG ID MATCH in Release_Label",iserror(vlookup($A928&amp;$B928,'3) Release_Label'!$D:$D&amp;'3) Release_Label'!$E:$E,1,0)),"NO UPC-CATALOG ID pair MATCH in Release_Label" )</f>
        <v/>
      </c>
      <c r="D928" s="121" t="str">
        <f t="array" ref="D928">ifs(and(isblank($A928),isblank($B928)),"", not(iserror(vlookup($A928&amp;$B928,'3) Release_Label'!$D:$D&amp;'3) Release_Label'!$E:$E,1,0))),vlookup($A928&amp;$B928,{'3) Release_Label'!$D:$D&amp;'3) Release_Label'!$E:$E,'3) Release_Label'!$H:$H},2,0), or(and(not(isblank($B928)),$B928=$B927,$A928&lt;&gt;$A927),and(not(isblank($A928)),$A928=$A927,$B928&lt;&gt;$B927)),"ID LISTS UNALIGNED",and($A928&lt;&gt;"",countif('3) Release_Label'!$D:$D,$A928)=0),"NO UPC MATCH in Release_Label",and($B928&lt;&gt;"",countif('3) Release_Label'!$E:$E,$B928)=0),"NO CATALOG ID MATCH in Release_Label",iserror(vlookup($A928&amp;$B928,'3) Release_Label'!$D:$D&amp;'3) Release_Label'!$E:$E,1,0)),"NO UPC-CATALOG ID pair MATCH in Release_Label" )</f>
        <v/>
      </c>
      <c r="E928" s="147" t="str">
        <f t="shared" si="1"/>
        <v/>
      </c>
      <c r="G928" s="97"/>
      <c r="H928" s="155"/>
      <c r="J928" s="92"/>
      <c r="K928" s="98"/>
      <c r="L928" s="92"/>
      <c r="N928" s="92"/>
      <c r="O928" s="92"/>
      <c r="P928" s="92"/>
    </row>
    <row r="929">
      <c r="A929" s="28"/>
      <c r="B929" s="97"/>
      <c r="C929" s="121" t="str">
        <f t="array" ref="C929">ifs(and(isblank($A929),isblank($B929)),"", not(iserror(vlookup($A929&amp;$B929,'3) Release_Label'!$D:$D&amp;'3) Release_Label'!$E:$E,1,0))),vlookup($A929&amp;$B929,{'3) Release_Label'!$D:$D&amp;'3) Release_Label'!$E:$E,'3) Release_Label'!$F:$F},2,0), or(and(not(isblank($B929)),$B929=$B928,$A929&lt;&gt;$A928),and(not(isblank($A929)),$A929=$A928,$B929&lt;&gt;$B928)),"ID LISTS UNALIGNED",and($A929&lt;&gt;"",countif('3) Release_Label'!$D:$D,$A929)=0),"NO UPC MATCH in Release_Label",and($B929&lt;&gt;"",countif('3) Release_Label'!$E:$E,$B929)=0),"NO CATALOG ID MATCH in Release_Label",iserror(vlookup($A929&amp;$B929,'3) Release_Label'!$D:$D&amp;'3) Release_Label'!$E:$E,1,0)),"NO UPC-CATALOG ID pair MATCH in Release_Label" )</f>
        <v/>
      </c>
      <c r="D929" s="121" t="str">
        <f t="array" ref="D929">ifs(and(isblank($A929),isblank($B929)),"", not(iserror(vlookup($A929&amp;$B929,'3) Release_Label'!$D:$D&amp;'3) Release_Label'!$E:$E,1,0))),vlookup($A929&amp;$B929,{'3) Release_Label'!$D:$D&amp;'3) Release_Label'!$E:$E,'3) Release_Label'!$H:$H},2,0), or(and(not(isblank($B929)),$B929=$B928,$A929&lt;&gt;$A928),and(not(isblank($A929)),$A929=$A928,$B929&lt;&gt;$B928)),"ID LISTS UNALIGNED",and($A929&lt;&gt;"",countif('3) Release_Label'!$D:$D,$A929)=0),"NO UPC MATCH in Release_Label",and($B929&lt;&gt;"",countif('3) Release_Label'!$E:$E,$B929)=0),"NO CATALOG ID MATCH in Release_Label",iserror(vlookup($A929&amp;$B929,'3) Release_Label'!$D:$D&amp;'3) Release_Label'!$E:$E,1,0)),"NO UPC-CATALOG ID pair MATCH in Release_Label" )</f>
        <v/>
      </c>
      <c r="E929" s="147" t="str">
        <f t="shared" si="1"/>
        <v/>
      </c>
      <c r="G929" s="97"/>
      <c r="H929" s="155"/>
      <c r="J929" s="92"/>
      <c r="K929" s="98"/>
      <c r="L929" s="92"/>
      <c r="N929" s="92"/>
      <c r="O929" s="92"/>
      <c r="P929" s="92"/>
    </row>
    <row r="930">
      <c r="A930" s="28"/>
      <c r="B930" s="97"/>
      <c r="C930" s="121" t="str">
        <f t="array" ref="C930">ifs(and(isblank($A930),isblank($B930)),"", not(iserror(vlookup($A930&amp;$B930,'3) Release_Label'!$D:$D&amp;'3) Release_Label'!$E:$E,1,0))),vlookup($A930&amp;$B930,{'3) Release_Label'!$D:$D&amp;'3) Release_Label'!$E:$E,'3) Release_Label'!$F:$F},2,0), or(and(not(isblank($B930)),$B930=$B929,$A930&lt;&gt;$A929),and(not(isblank($A930)),$A930=$A929,$B930&lt;&gt;$B929)),"ID LISTS UNALIGNED",and($A930&lt;&gt;"",countif('3) Release_Label'!$D:$D,$A930)=0),"NO UPC MATCH in Release_Label",and($B930&lt;&gt;"",countif('3) Release_Label'!$E:$E,$B930)=0),"NO CATALOG ID MATCH in Release_Label",iserror(vlookup($A930&amp;$B930,'3) Release_Label'!$D:$D&amp;'3) Release_Label'!$E:$E,1,0)),"NO UPC-CATALOG ID pair MATCH in Release_Label" )</f>
        <v/>
      </c>
      <c r="D930" s="121" t="str">
        <f t="array" ref="D930">ifs(and(isblank($A930),isblank($B930)),"", not(iserror(vlookup($A930&amp;$B930,'3) Release_Label'!$D:$D&amp;'3) Release_Label'!$E:$E,1,0))),vlookup($A930&amp;$B930,{'3) Release_Label'!$D:$D&amp;'3) Release_Label'!$E:$E,'3) Release_Label'!$H:$H},2,0), or(and(not(isblank($B930)),$B930=$B929,$A930&lt;&gt;$A929),and(not(isblank($A930)),$A930=$A929,$B930&lt;&gt;$B929)),"ID LISTS UNALIGNED",and($A930&lt;&gt;"",countif('3) Release_Label'!$D:$D,$A930)=0),"NO UPC MATCH in Release_Label",and($B930&lt;&gt;"",countif('3) Release_Label'!$E:$E,$B930)=0),"NO CATALOG ID MATCH in Release_Label",iserror(vlookup($A930&amp;$B930,'3) Release_Label'!$D:$D&amp;'3) Release_Label'!$E:$E,1,0)),"NO UPC-CATALOG ID pair MATCH in Release_Label" )</f>
        <v/>
      </c>
      <c r="E930" s="147" t="str">
        <f t="shared" si="1"/>
        <v/>
      </c>
      <c r="G930" s="97"/>
      <c r="H930" s="155"/>
      <c r="J930" s="92"/>
      <c r="K930" s="98"/>
      <c r="L930" s="92"/>
      <c r="N930" s="92"/>
      <c r="O930" s="92"/>
      <c r="P930" s="92"/>
    </row>
    <row r="931">
      <c r="A931" s="28"/>
      <c r="B931" s="97"/>
      <c r="C931" s="121" t="str">
        <f t="array" ref="C931">ifs(and(isblank($A931),isblank($B931)),"", not(iserror(vlookup($A931&amp;$B931,'3) Release_Label'!$D:$D&amp;'3) Release_Label'!$E:$E,1,0))),vlookup($A931&amp;$B931,{'3) Release_Label'!$D:$D&amp;'3) Release_Label'!$E:$E,'3) Release_Label'!$F:$F},2,0), or(and(not(isblank($B931)),$B931=$B930,$A931&lt;&gt;$A930),and(not(isblank($A931)),$A931=$A930,$B931&lt;&gt;$B930)),"ID LISTS UNALIGNED",and($A931&lt;&gt;"",countif('3) Release_Label'!$D:$D,$A931)=0),"NO UPC MATCH in Release_Label",and($B931&lt;&gt;"",countif('3) Release_Label'!$E:$E,$B931)=0),"NO CATALOG ID MATCH in Release_Label",iserror(vlookup($A931&amp;$B931,'3) Release_Label'!$D:$D&amp;'3) Release_Label'!$E:$E,1,0)),"NO UPC-CATALOG ID pair MATCH in Release_Label" )</f>
        <v/>
      </c>
      <c r="D931" s="121" t="str">
        <f t="array" ref="D931">ifs(and(isblank($A931),isblank($B931)),"", not(iserror(vlookup($A931&amp;$B931,'3) Release_Label'!$D:$D&amp;'3) Release_Label'!$E:$E,1,0))),vlookup($A931&amp;$B931,{'3) Release_Label'!$D:$D&amp;'3) Release_Label'!$E:$E,'3) Release_Label'!$H:$H},2,0), or(and(not(isblank($B931)),$B931=$B930,$A931&lt;&gt;$A930),and(not(isblank($A931)),$A931=$A930,$B931&lt;&gt;$B930)),"ID LISTS UNALIGNED",and($A931&lt;&gt;"",countif('3) Release_Label'!$D:$D,$A931)=0),"NO UPC MATCH in Release_Label",and($B931&lt;&gt;"",countif('3) Release_Label'!$E:$E,$B931)=0),"NO CATALOG ID MATCH in Release_Label",iserror(vlookup($A931&amp;$B931,'3) Release_Label'!$D:$D&amp;'3) Release_Label'!$E:$E,1,0)),"NO UPC-CATALOG ID pair MATCH in Release_Label" )</f>
        <v/>
      </c>
      <c r="E931" s="147" t="str">
        <f t="shared" si="1"/>
        <v/>
      </c>
      <c r="G931" s="97"/>
      <c r="H931" s="155"/>
      <c r="J931" s="92"/>
      <c r="K931" s="98"/>
      <c r="L931" s="92"/>
      <c r="N931" s="92"/>
      <c r="O931" s="92"/>
      <c r="P931" s="92"/>
    </row>
    <row r="932">
      <c r="A932" s="28"/>
      <c r="B932" s="97"/>
      <c r="C932" s="121" t="str">
        <f t="array" ref="C932">ifs(and(isblank($A932),isblank($B932)),"", not(iserror(vlookup($A932&amp;$B932,'3) Release_Label'!$D:$D&amp;'3) Release_Label'!$E:$E,1,0))),vlookup($A932&amp;$B932,{'3) Release_Label'!$D:$D&amp;'3) Release_Label'!$E:$E,'3) Release_Label'!$F:$F},2,0), or(and(not(isblank($B932)),$B932=$B931,$A932&lt;&gt;$A931),and(not(isblank($A932)),$A932=$A931,$B932&lt;&gt;$B931)),"ID LISTS UNALIGNED",and($A932&lt;&gt;"",countif('3) Release_Label'!$D:$D,$A932)=0),"NO UPC MATCH in Release_Label",and($B932&lt;&gt;"",countif('3) Release_Label'!$E:$E,$B932)=0),"NO CATALOG ID MATCH in Release_Label",iserror(vlookup($A932&amp;$B932,'3) Release_Label'!$D:$D&amp;'3) Release_Label'!$E:$E,1,0)),"NO UPC-CATALOG ID pair MATCH in Release_Label" )</f>
        <v/>
      </c>
      <c r="D932" s="121" t="str">
        <f t="array" ref="D932">ifs(and(isblank($A932),isblank($B932)),"", not(iserror(vlookup($A932&amp;$B932,'3) Release_Label'!$D:$D&amp;'3) Release_Label'!$E:$E,1,0))),vlookup($A932&amp;$B932,{'3) Release_Label'!$D:$D&amp;'3) Release_Label'!$E:$E,'3) Release_Label'!$H:$H},2,0), or(and(not(isblank($B932)),$B932=$B931,$A932&lt;&gt;$A931),and(not(isblank($A932)),$A932=$A931,$B932&lt;&gt;$B931)),"ID LISTS UNALIGNED",and($A932&lt;&gt;"",countif('3) Release_Label'!$D:$D,$A932)=0),"NO UPC MATCH in Release_Label",and($B932&lt;&gt;"",countif('3) Release_Label'!$E:$E,$B932)=0),"NO CATALOG ID MATCH in Release_Label",iserror(vlookup($A932&amp;$B932,'3) Release_Label'!$D:$D&amp;'3) Release_Label'!$E:$E,1,0)),"NO UPC-CATALOG ID pair MATCH in Release_Label" )</f>
        <v/>
      </c>
      <c r="E932" s="147" t="str">
        <f t="shared" si="1"/>
        <v/>
      </c>
      <c r="G932" s="97"/>
      <c r="H932" s="155"/>
      <c r="J932" s="92"/>
      <c r="K932" s="98"/>
      <c r="L932" s="92"/>
      <c r="N932" s="92"/>
      <c r="O932" s="92"/>
      <c r="P932" s="92"/>
    </row>
    <row r="933">
      <c r="A933" s="28"/>
      <c r="B933" s="97"/>
      <c r="C933" s="121" t="str">
        <f t="array" ref="C933">ifs(and(isblank($A933),isblank($B933)),"", not(iserror(vlookup($A933&amp;$B933,'3) Release_Label'!$D:$D&amp;'3) Release_Label'!$E:$E,1,0))),vlookup($A933&amp;$B933,{'3) Release_Label'!$D:$D&amp;'3) Release_Label'!$E:$E,'3) Release_Label'!$F:$F},2,0), or(and(not(isblank($B933)),$B933=$B932,$A933&lt;&gt;$A932),and(not(isblank($A933)),$A933=$A932,$B933&lt;&gt;$B932)),"ID LISTS UNALIGNED",and($A933&lt;&gt;"",countif('3) Release_Label'!$D:$D,$A933)=0),"NO UPC MATCH in Release_Label",and($B933&lt;&gt;"",countif('3) Release_Label'!$E:$E,$B933)=0),"NO CATALOG ID MATCH in Release_Label",iserror(vlookup($A933&amp;$B933,'3) Release_Label'!$D:$D&amp;'3) Release_Label'!$E:$E,1,0)),"NO UPC-CATALOG ID pair MATCH in Release_Label" )</f>
        <v/>
      </c>
      <c r="D933" s="121" t="str">
        <f t="array" ref="D933">ifs(and(isblank($A933),isblank($B933)),"", not(iserror(vlookup($A933&amp;$B933,'3) Release_Label'!$D:$D&amp;'3) Release_Label'!$E:$E,1,0))),vlookup($A933&amp;$B933,{'3) Release_Label'!$D:$D&amp;'3) Release_Label'!$E:$E,'3) Release_Label'!$H:$H},2,0), or(and(not(isblank($B933)),$B933=$B932,$A933&lt;&gt;$A932),and(not(isblank($A933)),$A933=$A932,$B933&lt;&gt;$B932)),"ID LISTS UNALIGNED",and($A933&lt;&gt;"",countif('3) Release_Label'!$D:$D,$A933)=0),"NO UPC MATCH in Release_Label",and($B933&lt;&gt;"",countif('3) Release_Label'!$E:$E,$B933)=0),"NO CATALOG ID MATCH in Release_Label",iserror(vlookup($A933&amp;$B933,'3) Release_Label'!$D:$D&amp;'3) Release_Label'!$E:$E,1,0)),"NO UPC-CATALOG ID pair MATCH in Release_Label" )</f>
        <v/>
      </c>
      <c r="E933" s="147" t="str">
        <f t="shared" si="1"/>
        <v/>
      </c>
      <c r="G933" s="97"/>
      <c r="H933" s="155"/>
      <c r="J933" s="92"/>
      <c r="K933" s="98"/>
      <c r="L933" s="92"/>
      <c r="N933" s="92"/>
      <c r="O933" s="92"/>
      <c r="P933" s="92"/>
    </row>
    <row r="934">
      <c r="A934" s="28"/>
      <c r="B934" s="97"/>
      <c r="C934" s="121" t="str">
        <f t="array" ref="C934">ifs(and(isblank($A934),isblank($B934)),"", not(iserror(vlookup($A934&amp;$B934,'3) Release_Label'!$D:$D&amp;'3) Release_Label'!$E:$E,1,0))),vlookup($A934&amp;$B934,{'3) Release_Label'!$D:$D&amp;'3) Release_Label'!$E:$E,'3) Release_Label'!$F:$F},2,0), or(and(not(isblank($B934)),$B934=$B933,$A934&lt;&gt;$A933),and(not(isblank($A934)),$A934=$A933,$B934&lt;&gt;$B933)),"ID LISTS UNALIGNED",and($A934&lt;&gt;"",countif('3) Release_Label'!$D:$D,$A934)=0),"NO UPC MATCH in Release_Label",and($B934&lt;&gt;"",countif('3) Release_Label'!$E:$E,$B934)=0),"NO CATALOG ID MATCH in Release_Label",iserror(vlookup($A934&amp;$B934,'3) Release_Label'!$D:$D&amp;'3) Release_Label'!$E:$E,1,0)),"NO UPC-CATALOG ID pair MATCH in Release_Label" )</f>
        <v/>
      </c>
      <c r="D934" s="121" t="str">
        <f t="array" ref="D934">ifs(and(isblank($A934),isblank($B934)),"", not(iserror(vlookup($A934&amp;$B934,'3) Release_Label'!$D:$D&amp;'3) Release_Label'!$E:$E,1,0))),vlookup($A934&amp;$B934,{'3) Release_Label'!$D:$D&amp;'3) Release_Label'!$E:$E,'3) Release_Label'!$H:$H},2,0), or(and(not(isblank($B934)),$B934=$B933,$A934&lt;&gt;$A933),and(not(isblank($A934)),$A934=$A933,$B934&lt;&gt;$B933)),"ID LISTS UNALIGNED",and($A934&lt;&gt;"",countif('3) Release_Label'!$D:$D,$A934)=0),"NO UPC MATCH in Release_Label",and($B934&lt;&gt;"",countif('3) Release_Label'!$E:$E,$B934)=0),"NO CATALOG ID MATCH in Release_Label",iserror(vlookup($A934&amp;$B934,'3) Release_Label'!$D:$D&amp;'3) Release_Label'!$E:$E,1,0)),"NO UPC-CATALOG ID pair MATCH in Release_Label" )</f>
        <v/>
      </c>
      <c r="E934" s="147" t="str">
        <f t="shared" si="1"/>
        <v/>
      </c>
      <c r="G934" s="97"/>
      <c r="H934" s="155"/>
      <c r="J934" s="92"/>
      <c r="K934" s="98"/>
      <c r="L934" s="92"/>
      <c r="N934" s="92"/>
      <c r="O934" s="92"/>
      <c r="P934" s="92"/>
    </row>
    <row r="935">
      <c r="A935" s="28"/>
      <c r="B935" s="97"/>
      <c r="C935" s="121" t="str">
        <f t="array" ref="C935">ifs(and(isblank($A935),isblank($B935)),"", not(iserror(vlookup($A935&amp;$B935,'3) Release_Label'!$D:$D&amp;'3) Release_Label'!$E:$E,1,0))),vlookup($A935&amp;$B935,{'3) Release_Label'!$D:$D&amp;'3) Release_Label'!$E:$E,'3) Release_Label'!$F:$F},2,0), or(and(not(isblank($B935)),$B935=$B934,$A935&lt;&gt;$A934),and(not(isblank($A935)),$A935=$A934,$B935&lt;&gt;$B934)),"ID LISTS UNALIGNED",and($A935&lt;&gt;"",countif('3) Release_Label'!$D:$D,$A935)=0),"NO UPC MATCH in Release_Label",and($B935&lt;&gt;"",countif('3) Release_Label'!$E:$E,$B935)=0),"NO CATALOG ID MATCH in Release_Label",iserror(vlookup($A935&amp;$B935,'3) Release_Label'!$D:$D&amp;'3) Release_Label'!$E:$E,1,0)),"NO UPC-CATALOG ID pair MATCH in Release_Label" )</f>
        <v/>
      </c>
      <c r="D935" s="121" t="str">
        <f t="array" ref="D935">ifs(and(isblank($A935),isblank($B935)),"", not(iserror(vlookup($A935&amp;$B935,'3) Release_Label'!$D:$D&amp;'3) Release_Label'!$E:$E,1,0))),vlookup($A935&amp;$B935,{'3) Release_Label'!$D:$D&amp;'3) Release_Label'!$E:$E,'3) Release_Label'!$H:$H},2,0), or(and(not(isblank($B935)),$B935=$B934,$A935&lt;&gt;$A934),and(not(isblank($A935)),$A935=$A934,$B935&lt;&gt;$B934)),"ID LISTS UNALIGNED",and($A935&lt;&gt;"",countif('3) Release_Label'!$D:$D,$A935)=0),"NO UPC MATCH in Release_Label",and($B935&lt;&gt;"",countif('3) Release_Label'!$E:$E,$B935)=0),"NO CATALOG ID MATCH in Release_Label",iserror(vlookup($A935&amp;$B935,'3) Release_Label'!$D:$D&amp;'3) Release_Label'!$E:$E,1,0)),"NO UPC-CATALOG ID pair MATCH in Release_Label" )</f>
        <v/>
      </c>
      <c r="E935" s="147" t="str">
        <f t="shared" si="1"/>
        <v/>
      </c>
      <c r="G935" s="97"/>
      <c r="H935" s="155"/>
      <c r="J935" s="92"/>
      <c r="K935" s="98"/>
      <c r="L935" s="92"/>
      <c r="N935" s="92"/>
      <c r="O935" s="92"/>
      <c r="P935" s="92"/>
    </row>
    <row r="936">
      <c r="A936" s="28"/>
      <c r="B936" s="97"/>
      <c r="C936" s="121" t="str">
        <f t="array" ref="C936">ifs(and(isblank($A936),isblank($B936)),"", not(iserror(vlookup($A936&amp;$B936,'3) Release_Label'!$D:$D&amp;'3) Release_Label'!$E:$E,1,0))),vlookup($A936&amp;$B936,{'3) Release_Label'!$D:$D&amp;'3) Release_Label'!$E:$E,'3) Release_Label'!$F:$F},2,0), or(and(not(isblank($B936)),$B936=$B935,$A936&lt;&gt;$A935),and(not(isblank($A936)),$A936=$A935,$B936&lt;&gt;$B935)),"ID LISTS UNALIGNED",and($A936&lt;&gt;"",countif('3) Release_Label'!$D:$D,$A936)=0),"NO UPC MATCH in Release_Label",and($B936&lt;&gt;"",countif('3) Release_Label'!$E:$E,$B936)=0),"NO CATALOG ID MATCH in Release_Label",iserror(vlookup($A936&amp;$B936,'3) Release_Label'!$D:$D&amp;'3) Release_Label'!$E:$E,1,0)),"NO UPC-CATALOG ID pair MATCH in Release_Label" )</f>
        <v/>
      </c>
      <c r="D936" s="121" t="str">
        <f t="array" ref="D936">ifs(and(isblank($A936),isblank($B936)),"", not(iserror(vlookup($A936&amp;$B936,'3) Release_Label'!$D:$D&amp;'3) Release_Label'!$E:$E,1,0))),vlookup($A936&amp;$B936,{'3) Release_Label'!$D:$D&amp;'3) Release_Label'!$E:$E,'3) Release_Label'!$H:$H},2,0), or(and(not(isblank($B936)),$B936=$B935,$A936&lt;&gt;$A935),and(not(isblank($A936)),$A936=$A935,$B936&lt;&gt;$B935)),"ID LISTS UNALIGNED",and($A936&lt;&gt;"",countif('3) Release_Label'!$D:$D,$A936)=0),"NO UPC MATCH in Release_Label",and($B936&lt;&gt;"",countif('3) Release_Label'!$E:$E,$B936)=0),"NO CATALOG ID MATCH in Release_Label",iserror(vlookup($A936&amp;$B936,'3) Release_Label'!$D:$D&amp;'3) Release_Label'!$E:$E,1,0)),"NO UPC-CATALOG ID pair MATCH in Release_Label" )</f>
        <v/>
      </c>
      <c r="E936" s="147" t="str">
        <f t="shared" si="1"/>
        <v/>
      </c>
      <c r="G936" s="97"/>
      <c r="H936" s="155"/>
      <c r="J936" s="92"/>
      <c r="K936" s="98"/>
      <c r="L936" s="92"/>
      <c r="N936" s="92"/>
      <c r="O936" s="92"/>
      <c r="P936" s="92"/>
    </row>
    <row r="937">
      <c r="A937" s="28"/>
      <c r="B937" s="97"/>
      <c r="C937" s="121" t="str">
        <f t="array" ref="C937">ifs(and(isblank($A937),isblank($B937)),"", not(iserror(vlookup($A937&amp;$B937,'3) Release_Label'!$D:$D&amp;'3) Release_Label'!$E:$E,1,0))),vlookup($A937&amp;$B937,{'3) Release_Label'!$D:$D&amp;'3) Release_Label'!$E:$E,'3) Release_Label'!$F:$F},2,0), or(and(not(isblank($B937)),$B937=$B936,$A937&lt;&gt;$A936),and(not(isblank($A937)),$A937=$A936,$B937&lt;&gt;$B936)),"ID LISTS UNALIGNED",and($A937&lt;&gt;"",countif('3) Release_Label'!$D:$D,$A937)=0),"NO UPC MATCH in Release_Label",and($B937&lt;&gt;"",countif('3) Release_Label'!$E:$E,$B937)=0),"NO CATALOG ID MATCH in Release_Label",iserror(vlookup($A937&amp;$B937,'3) Release_Label'!$D:$D&amp;'3) Release_Label'!$E:$E,1,0)),"NO UPC-CATALOG ID pair MATCH in Release_Label" )</f>
        <v/>
      </c>
      <c r="D937" s="121" t="str">
        <f t="array" ref="D937">ifs(and(isblank($A937),isblank($B937)),"", not(iserror(vlookup($A937&amp;$B937,'3) Release_Label'!$D:$D&amp;'3) Release_Label'!$E:$E,1,0))),vlookup($A937&amp;$B937,{'3) Release_Label'!$D:$D&amp;'3) Release_Label'!$E:$E,'3) Release_Label'!$H:$H},2,0), or(and(not(isblank($B937)),$B937=$B936,$A937&lt;&gt;$A936),and(not(isblank($A937)),$A937=$A936,$B937&lt;&gt;$B936)),"ID LISTS UNALIGNED",and($A937&lt;&gt;"",countif('3) Release_Label'!$D:$D,$A937)=0),"NO UPC MATCH in Release_Label",and($B937&lt;&gt;"",countif('3) Release_Label'!$E:$E,$B937)=0),"NO CATALOG ID MATCH in Release_Label",iserror(vlookup($A937&amp;$B937,'3) Release_Label'!$D:$D&amp;'3) Release_Label'!$E:$E,1,0)),"NO UPC-CATALOG ID pair MATCH in Release_Label" )</f>
        <v/>
      </c>
      <c r="E937" s="147" t="str">
        <f t="shared" si="1"/>
        <v/>
      </c>
      <c r="G937" s="97"/>
      <c r="H937" s="155"/>
      <c r="J937" s="92"/>
      <c r="K937" s="98"/>
      <c r="L937" s="92"/>
      <c r="N937" s="92"/>
      <c r="O937" s="92"/>
      <c r="P937" s="92"/>
    </row>
    <row r="938">
      <c r="A938" s="28"/>
      <c r="B938" s="97"/>
      <c r="C938" s="121" t="str">
        <f t="array" ref="C938">ifs(and(isblank($A938),isblank($B938)),"", not(iserror(vlookup($A938&amp;$B938,'3) Release_Label'!$D:$D&amp;'3) Release_Label'!$E:$E,1,0))),vlookup($A938&amp;$B938,{'3) Release_Label'!$D:$D&amp;'3) Release_Label'!$E:$E,'3) Release_Label'!$F:$F},2,0), or(and(not(isblank($B938)),$B938=$B937,$A938&lt;&gt;$A937),and(not(isblank($A938)),$A938=$A937,$B938&lt;&gt;$B937)),"ID LISTS UNALIGNED",and($A938&lt;&gt;"",countif('3) Release_Label'!$D:$D,$A938)=0),"NO UPC MATCH in Release_Label",and($B938&lt;&gt;"",countif('3) Release_Label'!$E:$E,$B938)=0),"NO CATALOG ID MATCH in Release_Label",iserror(vlookup($A938&amp;$B938,'3) Release_Label'!$D:$D&amp;'3) Release_Label'!$E:$E,1,0)),"NO UPC-CATALOG ID pair MATCH in Release_Label" )</f>
        <v/>
      </c>
      <c r="D938" s="121" t="str">
        <f t="array" ref="D938">ifs(and(isblank($A938),isblank($B938)),"", not(iserror(vlookup($A938&amp;$B938,'3) Release_Label'!$D:$D&amp;'3) Release_Label'!$E:$E,1,0))),vlookup($A938&amp;$B938,{'3) Release_Label'!$D:$D&amp;'3) Release_Label'!$E:$E,'3) Release_Label'!$H:$H},2,0), or(and(not(isblank($B938)),$B938=$B937,$A938&lt;&gt;$A937),and(not(isblank($A938)),$A938=$A937,$B938&lt;&gt;$B937)),"ID LISTS UNALIGNED",and($A938&lt;&gt;"",countif('3) Release_Label'!$D:$D,$A938)=0),"NO UPC MATCH in Release_Label",and($B938&lt;&gt;"",countif('3) Release_Label'!$E:$E,$B938)=0),"NO CATALOG ID MATCH in Release_Label",iserror(vlookup($A938&amp;$B938,'3) Release_Label'!$D:$D&amp;'3) Release_Label'!$E:$E,1,0)),"NO UPC-CATALOG ID pair MATCH in Release_Label" )</f>
        <v/>
      </c>
      <c r="E938" s="147" t="str">
        <f t="shared" si="1"/>
        <v/>
      </c>
      <c r="G938" s="97"/>
      <c r="H938" s="155"/>
      <c r="J938" s="92"/>
      <c r="K938" s="98"/>
      <c r="L938" s="92"/>
      <c r="N938" s="92"/>
      <c r="O938" s="92"/>
      <c r="P938" s="92"/>
    </row>
    <row r="939">
      <c r="A939" s="28"/>
      <c r="B939" s="97"/>
      <c r="C939" s="121" t="str">
        <f t="array" ref="C939">ifs(and(isblank($A939),isblank($B939)),"", not(iserror(vlookup($A939&amp;$B939,'3) Release_Label'!$D:$D&amp;'3) Release_Label'!$E:$E,1,0))),vlookup($A939&amp;$B939,{'3) Release_Label'!$D:$D&amp;'3) Release_Label'!$E:$E,'3) Release_Label'!$F:$F},2,0), or(and(not(isblank($B939)),$B939=$B938,$A939&lt;&gt;$A938),and(not(isblank($A939)),$A939=$A938,$B939&lt;&gt;$B938)),"ID LISTS UNALIGNED",and($A939&lt;&gt;"",countif('3) Release_Label'!$D:$D,$A939)=0),"NO UPC MATCH in Release_Label",and($B939&lt;&gt;"",countif('3) Release_Label'!$E:$E,$B939)=0),"NO CATALOG ID MATCH in Release_Label",iserror(vlookup($A939&amp;$B939,'3) Release_Label'!$D:$D&amp;'3) Release_Label'!$E:$E,1,0)),"NO UPC-CATALOG ID pair MATCH in Release_Label" )</f>
        <v/>
      </c>
      <c r="D939" s="121" t="str">
        <f t="array" ref="D939">ifs(and(isblank($A939),isblank($B939)),"", not(iserror(vlookup($A939&amp;$B939,'3) Release_Label'!$D:$D&amp;'3) Release_Label'!$E:$E,1,0))),vlookup($A939&amp;$B939,{'3) Release_Label'!$D:$D&amp;'3) Release_Label'!$E:$E,'3) Release_Label'!$H:$H},2,0), or(and(not(isblank($B939)),$B939=$B938,$A939&lt;&gt;$A938),and(not(isblank($A939)),$A939=$A938,$B939&lt;&gt;$B938)),"ID LISTS UNALIGNED",and($A939&lt;&gt;"",countif('3) Release_Label'!$D:$D,$A939)=0),"NO UPC MATCH in Release_Label",and($B939&lt;&gt;"",countif('3) Release_Label'!$E:$E,$B939)=0),"NO CATALOG ID MATCH in Release_Label",iserror(vlookup($A939&amp;$B939,'3) Release_Label'!$D:$D&amp;'3) Release_Label'!$E:$E,1,0)),"NO UPC-CATALOG ID pair MATCH in Release_Label" )</f>
        <v/>
      </c>
      <c r="E939" s="147" t="str">
        <f t="shared" si="1"/>
        <v/>
      </c>
      <c r="G939" s="97"/>
      <c r="H939" s="155"/>
      <c r="J939" s="92"/>
      <c r="K939" s="98"/>
      <c r="L939" s="92"/>
      <c r="N939" s="92"/>
      <c r="O939" s="92"/>
      <c r="P939" s="92"/>
    </row>
    <row r="940">
      <c r="A940" s="28"/>
      <c r="B940" s="97"/>
      <c r="C940" s="121" t="str">
        <f t="array" ref="C940">ifs(and(isblank($A940),isblank($B940)),"", not(iserror(vlookup($A940&amp;$B940,'3) Release_Label'!$D:$D&amp;'3) Release_Label'!$E:$E,1,0))),vlookup($A940&amp;$B940,{'3) Release_Label'!$D:$D&amp;'3) Release_Label'!$E:$E,'3) Release_Label'!$F:$F},2,0), or(and(not(isblank($B940)),$B940=$B939,$A940&lt;&gt;$A939),and(not(isblank($A940)),$A940=$A939,$B940&lt;&gt;$B939)),"ID LISTS UNALIGNED",and($A940&lt;&gt;"",countif('3) Release_Label'!$D:$D,$A940)=0),"NO UPC MATCH in Release_Label",and($B940&lt;&gt;"",countif('3) Release_Label'!$E:$E,$B940)=0),"NO CATALOG ID MATCH in Release_Label",iserror(vlookup($A940&amp;$B940,'3) Release_Label'!$D:$D&amp;'3) Release_Label'!$E:$E,1,0)),"NO UPC-CATALOG ID pair MATCH in Release_Label" )</f>
        <v/>
      </c>
      <c r="D940" s="121" t="str">
        <f t="array" ref="D940">ifs(and(isblank($A940),isblank($B940)),"", not(iserror(vlookup($A940&amp;$B940,'3) Release_Label'!$D:$D&amp;'3) Release_Label'!$E:$E,1,0))),vlookup($A940&amp;$B940,{'3) Release_Label'!$D:$D&amp;'3) Release_Label'!$E:$E,'3) Release_Label'!$H:$H},2,0), or(and(not(isblank($B940)),$B940=$B939,$A940&lt;&gt;$A939),and(not(isblank($A940)),$A940=$A939,$B940&lt;&gt;$B939)),"ID LISTS UNALIGNED",and($A940&lt;&gt;"",countif('3) Release_Label'!$D:$D,$A940)=0),"NO UPC MATCH in Release_Label",and($B940&lt;&gt;"",countif('3) Release_Label'!$E:$E,$B940)=0),"NO CATALOG ID MATCH in Release_Label",iserror(vlookup($A940&amp;$B940,'3) Release_Label'!$D:$D&amp;'3) Release_Label'!$E:$E,1,0)),"NO UPC-CATALOG ID pair MATCH in Release_Label" )</f>
        <v/>
      </c>
      <c r="E940" s="147" t="str">
        <f t="shared" si="1"/>
        <v/>
      </c>
      <c r="G940" s="97"/>
      <c r="H940" s="155"/>
      <c r="J940" s="92"/>
      <c r="K940" s="98"/>
      <c r="L940" s="92"/>
      <c r="N940" s="92"/>
      <c r="O940" s="92"/>
      <c r="P940" s="92"/>
    </row>
    <row r="941">
      <c r="A941" s="28"/>
      <c r="B941" s="97"/>
      <c r="C941" s="121" t="str">
        <f t="array" ref="C941">ifs(and(isblank($A941),isblank($B941)),"", not(iserror(vlookup($A941&amp;$B941,'3) Release_Label'!$D:$D&amp;'3) Release_Label'!$E:$E,1,0))),vlookup($A941&amp;$B941,{'3) Release_Label'!$D:$D&amp;'3) Release_Label'!$E:$E,'3) Release_Label'!$F:$F},2,0), or(and(not(isblank($B941)),$B941=$B940,$A941&lt;&gt;$A940),and(not(isblank($A941)),$A941=$A940,$B941&lt;&gt;$B940)),"ID LISTS UNALIGNED",and($A941&lt;&gt;"",countif('3) Release_Label'!$D:$D,$A941)=0),"NO UPC MATCH in Release_Label",and($B941&lt;&gt;"",countif('3) Release_Label'!$E:$E,$B941)=0),"NO CATALOG ID MATCH in Release_Label",iserror(vlookup($A941&amp;$B941,'3) Release_Label'!$D:$D&amp;'3) Release_Label'!$E:$E,1,0)),"NO UPC-CATALOG ID pair MATCH in Release_Label" )</f>
        <v/>
      </c>
      <c r="D941" s="121" t="str">
        <f t="array" ref="D941">ifs(and(isblank($A941),isblank($B941)),"", not(iserror(vlookup($A941&amp;$B941,'3) Release_Label'!$D:$D&amp;'3) Release_Label'!$E:$E,1,0))),vlookup($A941&amp;$B941,{'3) Release_Label'!$D:$D&amp;'3) Release_Label'!$E:$E,'3) Release_Label'!$H:$H},2,0), or(and(not(isblank($B941)),$B941=$B940,$A941&lt;&gt;$A940),and(not(isblank($A941)),$A941=$A940,$B941&lt;&gt;$B940)),"ID LISTS UNALIGNED",and($A941&lt;&gt;"",countif('3) Release_Label'!$D:$D,$A941)=0),"NO UPC MATCH in Release_Label",and($B941&lt;&gt;"",countif('3) Release_Label'!$E:$E,$B941)=0),"NO CATALOG ID MATCH in Release_Label",iserror(vlookup($A941&amp;$B941,'3) Release_Label'!$D:$D&amp;'3) Release_Label'!$E:$E,1,0)),"NO UPC-CATALOG ID pair MATCH in Release_Label" )</f>
        <v/>
      </c>
      <c r="E941" s="147" t="str">
        <f t="shared" si="1"/>
        <v/>
      </c>
      <c r="G941" s="97"/>
      <c r="H941" s="155"/>
      <c r="J941" s="92"/>
      <c r="K941" s="98"/>
      <c r="L941" s="92"/>
      <c r="N941" s="92"/>
      <c r="O941" s="92"/>
      <c r="P941" s="92"/>
    </row>
    <row r="942">
      <c r="A942" s="28"/>
      <c r="B942" s="97"/>
      <c r="C942" s="121" t="str">
        <f t="array" ref="C942">ifs(and(isblank($A942),isblank($B942)),"", not(iserror(vlookup($A942&amp;$B942,'3) Release_Label'!$D:$D&amp;'3) Release_Label'!$E:$E,1,0))),vlookup($A942&amp;$B942,{'3) Release_Label'!$D:$D&amp;'3) Release_Label'!$E:$E,'3) Release_Label'!$F:$F},2,0), or(and(not(isblank($B942)),$B942=$B941,$A942&lt;&gt;$A941),and(not(isblank($A942)),$A942=$A941,$B942&lt;&gt;$B941)),"ID LISTS UNALIGNED",and($A942&lt;&gt;"",countif('3) Release_Label'!$D:$D,$A942)=0),"NO UPC MATCH in Release_Label",and($B942&lt;&gt;"",countif('3) Release_Label'!$E:$E,$B942)=0),"NO CATALOG ID MATCH in Release_Label",iserror(vlookup($A942&amp;$B942,'3) Release_Label'!$D:$D&amp;'3) Release_Label'!$E:$E,1,0)),"NO UPC-CATALOG ID pair MATCH in Release_Label" )</f>
        <v/>
      </c>
      <c r="D942" s="121" t="str">
        <f t="array" ref="D942">ifs(and(isblank($A942),isblank($B942)),"", not(iserror(vlookup($A942&amp;$B942,'3) Release_Label'!$D:$D&amp;'3) Release_Label'!$E:$E,1,0))),vlookup($A942&amp;$B942,{'3) Release_Label'!$D:$D&amp;'3) Release_Label'!$E:$E,'3) Release_Label'!$H:$H},2,0), or(and(not(isblank($B942)),$B942=$B941,$A942&lt;&gt;$A941),and(not(isblank($A942)),$A942=$A941,$B942&lt;&gt;$B941)),"ID LISTS UNALIGNED",and($A942&lt;&gt;"",countif('3) Release_Label'!$D:$D,$A942)=0),"NO UPC MATCH in Release_Label",and($B942&lt;&gt;"",countif('3) Release_Label'!$E:$E,$B942)=0),"NO CATALOG ID MATCH in Release_Label",iserror(vlookup($A942&amp;$B942,'3) Release_Label'!$D:$D&amp;'3) Release_Label'!$E:$E,1,0)),"NO UPC-CATALOG ID pair MATCH in Release_Label" )</f>
        <v/>
      </c>
      <c r="E942" s="147" t="str">
        <f t="shared" si="1"/>
        <v/>
      </c>
      <c r="G942" s="97"/>
      <c r="H942" s="155"/>
      <c r="J942" s="92"/>
      <c r="K942" s="98"/>
      <c r="L942" s="92"/>
      <c r="N942" s="92"/>
      <c r="O942" s="92"/>
      <c r="P942" s="92"/>
    </row>
    <row r="943">
      <c r="A943" s="28"/>
      <c r="B943" s="97"/>
      <c r="C943" s="121" t="str">
        <f t="array" ref="C943">ifs(and(isblank($A943),isblank($B943)),"", not(iserror(vlookup($A943&amp;$B943,'3) Release_Label'!$D:$D&amp;'3) Release_Label'!$E:$E,1,0))),vlookup($A943&amp;$B943,{'3) Release_Label'!$D:$D&amp;'3) Release_Label'!$E:$E,'3) Release_Label'!$F:$F},2,0), or(and(not(isblank($B943)),$B943=$B942,$A943&lt;&gt;$A942),and(not(isblank($A943)),$A943=$A942,$B943&lt;&gt;$B942)),"ID LISTS UNALIGNED",and($A943&lt;&gt;"",countif('3) Release_Label'!$D:$D,$A943)=0),"NO UPC MATCH in Release_Label",and($B943&lt;&gt;"",countif('3) Release_Label'!$E:$E,$B943)=0),"NO CATALOG ID MATCH in Release_Label",iserror(vlookup($A943&amp;$B943,'3) Release_Label'!$D:$D&amp;'3) Release_Label'!$E:$E,1,0)),"NO UPC-CATALOG ID pair MATCH in Release_Label" )</f>
        <v/>
      </c>
      <c r="D943" s="121" t="str">
        <f t="array" ref="D943">ifs(and(isblank($A943),isblank($B943)),"", not(iserror(vlookup($A943&amp;$B943,'3) Release_Label'!$D:$D&amp;'3) Release_Label'!$E:$E,1,0))),vlookup($A943&amp;$B943,{'3) Release_Label'!$D:$D&amp;'3) Release_Label'!$E:$E,'3) Release_Label'!$H:$H},2,0), or(and(not(isblank($B943)),$B943=$B942,$A943&lt;&gt;$A942),and(not(isblank($A943)),$A943=$A942,$B943&lt;&gt;$B942)),"ID LISTS UNALIGNED",and($A943&lt;&gt;"",countif('3) Release_Label'!$D:$D,$A943)=0),"NO UPC MATCH in Release_Label",and($B943&lt;&gt;"",countif('3) Release_Label'!$E:$E,$B943)=0),"NO CATALOG ID MATCH in Release_Label",iserror(vlookup($A943&amp;$B943,'3) Release_Label'!$D:$D&amp;'3) Release_Label'!$E:$E,1,0)),"NO UPC-CATALOG ID pair MATCH in Release_Label" )</f>
        <v/>
      </c>
      <c r="E943" s="147" t="str">
        <f t="shared" si="1"/>
        <v/>
      </c>
      <c r="G943" s="97"/>
      <c r="H943" s="155"/>
      <c r="J943" s="92"/>
      <c r="K943" s="98"/>
      <c r="L943" s="92"/>
      <c r="N943" s="92"/>
      <c r="O943" s="92"/>
      <c r="P943" s="92"/>
    </row>
    <row r="944">
      <c r="A944" s="28"/>
      <c r="B944" s="97"/>
      <c r="C944" s="121" t="str">
        <f t="array" ref="C944">ifs(and(isblank($A944),isblank($B944)),"", not(iserror(vlookup($A944&amp;$B944,'3) Release_Label'!$D:$D&amp;'3) Release_Label'!$E:$E,1,0))),vlookup($A944&amp;$B944,{'3) Release_Label'!$D:$D&amp;'3) Release_Label'!$E:$E,'3) Release_Label'!$F:$F},2,0), or(and(not(isblank($B944)),$B944=$B943,$A944&lt;&gt;$A943),and(not(isblank($A944)),$A944=$A943,$B944&lt;&gt;$B943)),"ID LISTS UNALIGNED",and($A944&lt;&gt;"",countif('3) Release_Label'!$D:$D,$A944)=0),"NO UPC MATCH in Release_Label",and($B944&lt;&gt;"",countif('3) Release_Label'!$E:$E,$B944)=0),"NO CATALOG ID MATCH in Release_Label",iserror(vlookup($A944&amp;$B944,'3) Release_Label'!$D:$D&amp;'3) Release_Label'!$E:$E,1,0)),"NO UPC-CATALOG ID pair MATCH in Release_Label" )</f>
        <v/>
      </c>
      <c r="D944" s="121" t="str">
        <f t="array" ref="D944">ifs(and(isblank($A944),isblank($B944)),"", not(iserror(vlookup($A944&amp;$B944,'3) Release_Label'!$D:$D&amp;'3) Release_Label'!$E:$E,1,0))),vlookup($A944&amp;$B944,{'3) Release_Label'!$D:$D&amp;'3) Release_Label'!$E:$E,'3) Release_Label'!$H:$H},2,0), or(and(not(isblank($B944)),$B944=$B943,$A944&lt;&gt;$A943),and(not(isblank($A944)),$A944=$A943,$B944&lt;&gt;$B943)),"ID LISTS UNALIGNED",and($A944&lt;&gt;"",countif('3) Release_Label'!$D:$D,$A944)=0),"NO UPC MATCH in Release_Label",and($B944&lt;&gt;"",countif('3) Release_Label'!$E:$E,$B944)=0),"NO CATALOG ID MATCH in Release_Label",iserror(vlookup($A944&amp;$B944,'3) Release_Label'!$D:$D&amp;'3) Release_Label'!$E:$E,1,0)),"NO UPC-CATALOG ID pair MATCH in Release_Label" )</f>
        <v/>
      </c>
      <c r="E944" s="147" t="str">
        <f t="shared" si="1"/>
        <v/>
      </c>
      <c r="G944" s="97"/>
      <c r="H944" s="155"/>
      <c r="J944" s="92"/>
      <c r="K944" s="98"/>
      <c r="L944" s="92"/>
      <c r="N944" s="92"/>
      <c r="O944" s="92"/>
      <c r="P944" s="92"/>
    </row>
    <row r="945">
      <c r="A945" s="28"/>
      <c r="B945" s="97"/>
      <c r="C945" s="121" t="str">
        <f t="array" ref="C945">ifs(and(isblank($A945),isblank($B945)),"", not(iserror(vlookup($A945&amp;$B945,'3) Release_Label'!$D:$D&amp;'3) Release_Label'!$E:$E,1,0))),vlookup($A945&amp;$B945,{'3) Release_Label'!$D:$D&amp;'3) Release_Label'!$E:$E,'3) Release_Label'!$F:$F},2,0), or(and(not(isblank($B945)),$B945=$B944,$A945&lt;&gt;$A944),and(not(isblank($A945)),$A945=$A944,$B945&lt;&gt;$B944)),"ID LISTS UNALIGNED",and($A945&lt;&gt;"",countif('3) Release_Label'!$D:$D,$A945)=0),"NO UPC MATCH in Release_Label",and($B945&lt;&gt;"",countif('3) Release_Label'!$E:$E,$B945)=0),"NO CATALOG ID MATCH in Release_Label",iserror(vlookup($A945&amp;$B945,'3) Release_Label'!$D:$D&amp;'3) Release_Label'!$E:$E,1,0)),"NO UPC-CATALOG ID pair MATCH in Release_Label" )</f>
        <v/>
      </c>
      <c r="D945" s="121" t="str">
        <f t="array" ref="D945">ifs(and(isblank($A945),isblank($B945)),"", not(iserror(vlookup($A945&amp;$B945,'3) Release_Label'!$D:$D&amp;'3) Release_Label'!$E:$E,1,0))),vlookup($A945&amp;$B945,{'3) Release_Label'!$D:$D&amp;'3) Release_Label'!$E:$E,'3) Release_Label'!$H:$H},2,0), or(and(not(isblank($B945)),$B945=$B944,$A945&lt;&gt;$A944),and(not(isblank($A945)),$A945=$A944,$B945&lt;&gt;$B944)),"ID LISTS UNALIGNED",and($A945&lt;&gt;"",countif('3) Release_Label'!$D:$D,$A945)=0),"NO UPC MATCH in Release_Label",and($B945&lt;&gt;"",countif('3) Release_Label'!$E:$E,$B945)=0),"NO CATALOG ID MATCH in Release_Label",iserror(vlookup($A945&amp;$B945,'3) Release_Label'!$D:$D&amp;'3) Release_Label'!$E:$E,1,0)),"NO UPC-CATALOG ID pair MATCH in Release_Label" )</f>
        <v/>
      </c>
      <c r="E945" s="147" t="str">
        <f t="shared" si="1"/>
        <v/>
      </c>
      <c r="G945" s="97"/>
      <c r="H945" s="155"/>
      <c r="J945" s="92"/>
      <c r="K945" s="98"/>
      <c r="L945" s="92"/>
      <c r="N945" s="92"/>
      <c r="O945" s="92"/>
      <c r="P945" s="92"/>
    </row>
    <row r="946">
      <c r="A946" s="28"/>
      <c r="B946" s="97"/>
      <c r="C946" s="121" t="str">
        <f t="array" ref="C946">ifs(and(isblank($A946),isblank($B946)),"", not(iserror(vlookup($A946&amp;$B946,'3) Release_Label'!$D:$D&amp;'3) Release_Label'!$E:$E,1,0))),vlookup($A946&amp;$B946,{'3) Release_Label'!$D:$D&amp;'3) Release_Label'!$E:$E,'3) Release_Label'!$F:$F},2,0), or(and(not(isblank($B946)),$B946=$B945,$A946&lt;&gt;$A945),and(not(isblank($A946)),$A946=$A945,$B946&lt;&gt;$B945)),"ID LISTS UNALIGNED",and($A946&lt;&gt;"",countif('3) Release_Label'!$D:$D,$A946)=0),"NO UPC MATCH in Release_Label",and($B946&lt;&gt;"",countif('3) Release_Label'!$E:$E,$B946)=0),"NO CATALOG ID MATCH in Release_Label",iserror(vlookup($A946&amp;$B946,'3) Release_Label'!$D:$D&amp;'3) Release_Label'!$E:$E,1,0)),"NO UPC-CATALOG ID pair MATCH in Release_Label" )</f>
        <v/>
      </c>
      <c r="D946" s="121" t="str">
        <f t="array" ref="D946">ifs(and(isblank($A946),isblank($B946)),"", not(iserror(vlookup($A946&amp;$B946,'3) Release_Label'!$D:$D&amp;'3) Release_Label'!$E:$E,1,0))),vlookup($A946&amp;$B946,{'3) Release_Label'!$D:$D&amp;'3) Release_Label'!$E:$E,'3) Release_Label'!$H:$H},2,0), or(and(not(isblank($B946)),$B946=$B945,$A946&lt;&gt;$A945),and(not(isblank($A946)),$A946=$A945,$B946&lt;&gt;$B945)),"ID LISTS UNALIGNED",and($A946&lt;&gt;"",countif('3) Release_Label'!$D:$D,$A946)=0),"NO UPC MATCH in Release_Label",and($B946&lt;&gt;"",countif('3) Release_Label'!$E:$E,$B946)=0),"NO CATALOG ID MATCH in Release_Label",iserror(vlookup($A946&amp;$B946,'3) Release_Label'!$D:$D&amp;'3) Release_Label'!$E:$E,1,0)),"NO UPC-CATALOG ID pair MATCH in Release_Label" )</f>
        <v/>
      </c>
      <c r="E946" s="147" t="str">
        <f t="shared" si="1"/>
        <v/>
      </c>
      <c r="G946" s="97"/>
      <c r="H946" s="155"/>
      <c r="J946" s="92"/>
      <c r="K946" s="98"/>
      <c r="L946" s="92"/>
      <c r="N946" s="92"/>
      <c r="O946" s="92"/>
      <c r="P946" s="92"/>
    </row>
    <row r="947">
      <c r="A947" s="28"/>
      <c r="B947" s="97"/>
      <c r="C947" s="121" t="str">
        <f t="array" ref="C947">ifs(and(isblank($A947),isblank($B947)),"", not(iserror(vlookup($A947&amp;$B947,'3) Release_Label'!$D:$D&amp;'3) Release_Label'!$E:$E,1,0))),vlookup($A947&amp;$B947,{'3) Release_Label'!$D:$D&amp;'3) Release_Label'!$E:$E,'3) Release_Label'!$F:$F},2,0), or(and(not(isblank($B947)),$B947=$B946,$A947&lt;&gt;$A946),and(not(isblank($A947)),$A947=$A946,$B947&lt;&gt;$B946)),"ID LISTS UNALIGNED",and($A947&lt;&gt;"",countif('3) Release_Label'!$D:$D,$A947)=0),"NO UPC MATCH in Release_Label",and($B947&lt;&gt;"",countif('3) Release_Label'!$E:$E,$B947)=0),"NO CATALOG ID MATCH in Release_Label",iserror(vlookup($A947&amp;$B947,'3) Release_Label'!$D:$D&amp;'3) Release_Label'!$E:$E,1,0)),"NO UPC-CATALOG ID pair MATCH in Release_Label" )</f>
        <v/>
      </c>
      <c r="D947" s="121" t="str">
        <f t="array" ref="D947">ifs(and(isblank($A947),isblank($B947)),"", not(iserror(vlookup($A947&amp;$B947,'3) Release_Label'!$D:$D&amp;'3) Release_Label'!$E:$E,1,0))),vlookup($A947&amp;$B947,{'3) Release_Label'!$D:$D&amp;'3) Release_Label'!$E:$E,'3) Release_Label'!$H:$H},2,0), or(and(not(isblank($B947)),$B947=$B946,$A947&lt;&gt;$A946),and(not(isblank($A947)),$A947=$A946,$B947&lt;&gt;$B946)),"ID LISTS UNALIGNED",and($A947&lt;&gt;"",countif('3) Release_Label'!$D:$D,$A947)=0),"NO UPC MATCH in Release_Label",and($B947&lt;&gt;"",countif('3) Release_Label'!$E:$E,$B947)=0),"NO CATALOG ID MATCH in Release_Label",iserror(vlookup($A947&amp;$B947,'3) Release_Label'!$D:$D&amp;'3) Release_Label'!$E:$E,1,0)),"NO UPC-CATALOG ID pair MATCH in Release_Label" )</f>
        <v/>
      </c>
      <c r="E947" s="147" t="str">
        <f t="shared" si="1"/>
        <v/>
      </c>
      <c r="G947" s="97"/>
      <c r="H947" s="155"/>
      <c r="J947" s="92"/>
      <c r="K947" s="98"/>
      <c r="L947" s="92"/>
      <c r="N947" s="92"/>
      <c r="O947" s="92"/>
      <c r="P947" s="92"/>
    </row>
    <row r="948">
      <c r="A948" s="28"/>
      <c r="B948" s="97"/>
      <c r="C948" s="121" t="str">
        <f t="array" ref="C948">ifs(and(isblank($A948),isblank($B948)),"", not(iserror(vlookup($A948&amp;$B948,'3) Release_Label'!$D:$D&amp;'3) Release_Label'!$E:$E,1,0))),vlookup($A948&amp;$B948,{'3) Release_Label'!$D:$D&amp;'3) Release_Label'!$E:$E,'3) Release_Label'!$F:$F},2,0), or(and(not(isblank($B948)),$B948=$B947,$A948&lt;&gt;$A947),and(not(isblank($A948)),$A948=$A947,$B948&lt;&gt;$B947)),"ID LISTS UNALIGNED",and($A948&lt;&gt;"",countif('3) Release_Label'!$D:$D,$A948)=0),"NO UPC MATCH in Release_Label",and($B948&lt;&gt;"",countif('3) Release_Label'!$E:$E,$B948)=0),"NO CATALOG ID MATCH in Release_Label",iserror(vlookup($A948&amp;$B948,'3) Release_Label'!$D:$D&amp;'3) Release_Label'!$E:$E,1,0)),"NO UPC-CATALOG ID pair MATCH in Release_Label" )</f>
        <v/>
      </c>
      <c r="D948" s="121" t="str">
        <f t="array" ref="D948">ifs(and(isblank($A948),isblank($B948)),"", not(iserror(vlookup($A948&amp;$B948,'3) Release_Label'!$D:$D&amp;'3) Release_Label'!$E:$E,1,0))),vlookup($A948&amp;$B948,{'3) Release_Label'!$D:$D&amp;'3) Release_Label'!$E:$E,'3) Release_Label'!$H:$H},2,0), or(and(not(isblank($B948)),$B948=$B947,$A948&lt;&gt;$A947),and(not(isblank($A948)),$A948=$A947,$B948&lt;&gt;$B947)),"ID LISTS UNALIGNED",and($A948&lt;&gt;"",countif('3) Release_Label'!$D:$D,$A948)=0),"NO UPC MATCH in Release_Label",and($B948&lt;&gt;"",countif('3) Release_Label'!$E:$E,$B948)=0),"NO CATALOG ID MATCH in Release_Label",iserror(vlookup($A948&amp;$B948,'3) Release_Label'!$D:$D&amp;'3) Release_Label'!$E:$E,1,0)),"NO UPC-CATALOG ID pair MATCH in Release_Label" )</f>
        <v/>
      </c>
      <c r="E948" s="147" t="str">
        <f t="shared" si="1"/>
        <v/>
      </c>
      <c r="G948" s="97"/>
      <c r="H948" s="155"/>
      <c r="J948" s="92"/>
      <c r="K948" s="98"/>
      <c r="L948" s="92"/>
      <c r="N948" s="92"/>
      <c r="O948" s="92"/>
      <c r="P948" s="92"/>
    </row>
    <row r="949">
      <c r="A949" s="28"/>
      <c r="B949" s="97"/>
      <c r="C949" s="121" t="str">
        <f t="array" ref="C949">ifs(and(isblank($A949),isblank($B949)),"", not(iserror(vlookup($A949&amp;$B949,'3) Release_Label'!$D:$D&amp;'3) Release_Label'!$E:$E,1,0))),vlookup($A949&amp;$B949,{'3) Release_Label'!$D:$D&amp;'3) Release_Label'!$E:$E,'3) Release_Label'!$F:$F},2,0), or(and(not(isblank($B949)),$B949=$B948,$A949&lt;&gt;$A948),and(not(isblank($A949)),$A949=$A948,$B949&lt;&gt;$B948)),"ID LISTS UNALIGNED",and($A949&lt;&gt;"",countif('3) Release_Label'!$D:$D,$A949)=0),"NO UPC MATCH in Release_Label",and($B949&lt;&gt;"",countif('3) Release_Label'!$E:$E,$B949)=0),"NO CATALOG ID MATCH in Release_Label",iserror(vlookup($A949&amp;$B949,'3) Release_Label'!$D:$D&amp;'3) Release_Label'!$E:$E,1,0)),"NO UPC-CATALOG ID pair MATCH in Release_Label" )</f>
        <v/>
      </c>
      <c r="D949" s="121" t="str">
        <f t="array" ref="D949">ifs(and(isblank($A949),isblank($B949)),"", not(iserror(vlookup($A949&amp;$B949,'3) Release_Label'!$D:$D&amp;'3) Release_Label'!$E:$E,1,0))),vlookup($A949&amp;$B949,{'3) Release_Label'!$D:$D&amp;'3) Release_Label'!$E:$E,'3) Release_Label'!$H:$H},2,0), or(and(not(isblank($B949)),$B949=$B948,$A949&lt;&gt;$A948),and(not(isblank($A949)),$A949=$A948,$B949&lt;&gt;$B948)),"ID LISTS UNALIGNED",and($A949&lt;&gt;"",countif('3) Release_Label'!$D:$D,$A949)=0),"NO UPC MATCH in Release_Label",and($B949&lt;&gt;"",countif('3) Release_Label'!$E:$E,$B949)=0),"NO CATALOG ID MATCH in Release_Label",iserror(vlookup($A949&amp;$B949,'3) Release_Label'!$D:$D&amp;'3) Release_Label'!$E:$E,1,0)),"NO UPC-CATALOG ID pair MATCH in Release_Label" )</f>
        <v/>
      </c>
      <c r="E949" s="147" t="str">
        <f t="shared" si="1"/>
        <v/>
      </c>
      <c r="G949" s="97"/>
      <c r="H949" s="155"/>
      <c r="J949" s="92"/>
      <c r="K949" s="98"/>
      <c r="L949" s="92"/>
      <c r="N949" s="92"/>
      <c r="O949" s="92"/>
      <c r="P949" s="92"/>
    </row>
    <row r="950">
      <c r="A950" s="28"/>
      <c r="B950" s="97"/>
      <c r="C950" s="121" t="str">
        <f t="array" ref="C950">ifs(and(isblank($A950),isblank($B950)),"", not(iserror(vlookup($A950&amp;$B950,'3) Release_Label'!$D:$D&amp;'3) Release_Label'!$E:$E,1,0))),vlookup($A950&amp;$B950,{'3) Release_Label'!$D:$D&amp;'3) Release_Label'!$E:$E,'3) Release_Label'!$F:$F},2,0), or(and(not(isblank($B950)),$B950=$B949,$A950&lt;&gt;$A949),and(not(isblank($A950)),$A950=$A949,$B950&lt;&gt;$B949)),"ID LISTS UNALIGNED",and($A950&lt;&gt;"",countif('3) Release_Label'!$D:$D,$A950)=0),"NO UPC MATCH in Release_Label",and($B950&lt;&gt;"",countif('3) Release_Label'!$E:$E,$B950)=0),"NO CATALOG ID MATCH in Release_Label",iserror(vlookup($A950&amp;$B950,'3) Release_Label'!$D:$D&amp;'3) Release_Label'!$E:$E,1,0)),"NO UPC-CATALOG ID pair MATCH in Release_Label" )</f>
        <v/>
      </c>
      <c r="D950" s="121" t="str">
        <f t="array" ref="D950">ifs(and(isblank($A950),isblank($B950)),"", not(iserror(vlookup($A950&amp;$B950,'3) Release_Label'!$D:$D&amp;'3) Release_Label'!$E:$E,1,0))),vlookup($A950&amp;$B950,{'3) Release_Label'!$D:$D&amp;'3) Release_Label'!$E:$E,'3) Release_Label'!$H:$H},2,0), or(and(not(isblank($B950)),$B950=$B949,$A950&lt;&gt;$A949),and(not(isblank($A950)),$A950=$A949,$B950&lt;&gt;$B949)),"ID LISTS UNALIGNED",and($A950&lt;&gt;"",countif('3) Release_Label'!$D:$D,$A950)=0),"NO UPC MATCH in Release_Label",and($B950&lt;&gt;"",countif('3) Release_Label'!$E:$E,$B950)=0),"NO CATALOG ID MATCH in Release_Label",iserror(vlookup($A950&amp;$B950,'3) Release_Label'!$D:$D&amp;'3) Release_Label'!$E:$E,1,0)),"NO UPC-CATALOG ID pair MATCH in Release_Label" )</f>
        <v/>
      </c>
      <c r="E950" s="147" t="str">
        <f t="shared" si="1"/>
        <v/>
      </c>
      <c r="G950" s="97"/>
      <c r="H950" s="155"/>
      <c r="J950" s="92"/>
      <c r="K950" s="98"/>
      <c r="L950" s="92"/>
      <c r="N950" s="92"/>
      <c r="O950" s="92"/>
      <c r="P950" s="92"/>
    </row>
    <row r="951">
      <c r="A951" s="28"/>
      <c r="B951" s="97"/>
      <c r="C951" s="121" t="str">
        <f t="array" ref="C951">ifs(and(isblank($A951),isblank($B951)),"", not(iserror(vlookup($A951&amp;$B951,'3) Release_Label'!$D:$D&amp;'3) Release_Label'!$E:$E,1,0))),vlookup($A951&amp;$B951,{'3) Release_Label'!$D:$D&amp;'3) Release_Label'!$E:$E,'3) Release_Label'!$F:$F},2,0), or(and(not(isblank($B951)),$B951=$B950,$A951&lt;&gt;$A950),and(not(isblank($A951)),$A951=$A950,$B951&lt;&gt;$B950)),"ID LISTS UNALIGNED",and($A951&lt;&gt;"",countif('3) Release_Label'!$D:$D,$A951)=0),"NO UPC MATCH in Release_Label",and($B951&lt;&gt;"",countif('3) Release_Label'!$E:$E,$B951)=0),"NO CATALOG ID MATCH in Release_Label",iserror(vlookup($A951&amp;$B951,'3) Release_Label'!$D:$D&amp;'3) Release_Label'!$E:$E,1,0)),"NO UPC-CATALOG ID pair MATCH in Release_Label" )</f>
        <v/>
      </c>
      <c r="D951" s="121" t="str">
        <f t="array" ref="D951">ifs(and(isblank($A951),isblank($B951)),"", not(iserror(vlookup($A951&amp;$B951,'3) Release_Label'!$D:$D&amp;'3) Release_Label'!$E:$E,1,0))),vlookup($A951&amp;$B951,{'3) Release_Label'!$D:$D&amp;'3) Release_Label'!$E:$E,'3) Release_Label'!$H:$H},2,0), or(and(not(isblank($B951)),$B951=$B950,$A951&lt;&gt;$A950),and(not(isblank($A951)),$A951=$A950,$B951&lt;&gt;$B950)),"ID LISTS UNALIGNED",and($A951&lt;&gt;"",countif('3) Release_Label'!$D:$D,$A951)=0),"NO UPC MATCH in Release_Label",and($B951&lt;&gt;"",countif('3) Release_Label'!$E:$E,$B951)=0),"NO CATALOG ID MATCH in Release_Label",iserror(vlookup($A951&amp;$B951,'3) Release_Label'!$D:$D&amp;'3) Release_Label'!$E:$E,1,0)),"NO UPC-CATALOG ID pair MATCH in Release_Label" )</f>
        <v/>
      </c>
      <c r="E951" s="147" t="str">
        <f t="shared" si="1"/>
        <v/>
      </c>
      <c r="G951" s="97"/>
      <c r="H951" s="155"/>
      <c r="J951" s="92"/>
      <c r="K951" s="98"/>
      <c r="L951" s="92"/>
      <c r="N951" s="92"/>
      <c r="O951" s="92"/>
      <c r="P951" s="92"/>
    </row>
    <row r="952">
      <c r="A952" s="28"/>
      <c r="B952" s="97"/>
      <c r="C952" s="121" t="str">
        <f t="array" ref="C952">ifs(and(isblank($A952),isblank($B952)),"", not(iserror(vlookup($A952&amp;$B952,'3) Release_Label'!$D:$D&amp;'3) Release_Label'!$E:$E,1,0))),vlookup($A952&amp;$B952,{'3) Release_Label'!$D:$D&amp;'3) Release_Label'!$E:$E,'3) Release_Label'!$F:$F},2,0), or(and(not(isblank($B952)),$B952=$B951,$A952&lt;&gt;$A951),and(not(isblank($A952)),$A952=$A951,$B952&lt;&gt;$B951)),"ID LISTS UNALIGNED",and($A952&lt;&gt;"",countif('3) Release_Label'!$D:$D,$A952)=0),"NO UPC MATCH in Release_Label",and($B952&lt;&gt;"",countif('3) Release_Label'!$E:$E,$B952)=0),"NO CATALOG ID MATCH in Release_Label",iserror(vlookup($A952&amp;$B952,'3) Release_Label'!$D:$D&amp;'3) Release_Label'!$E:$E,1,0)),"NO UPC-CATALOG ID pair MATCH in Release_Label" )</f>
        <v/>
      </c>
      <c r="D952" s="121" t="str">
        <f t="array" ref="D952">ifs(and(isblank($A952),isblank($B952)),"", not(iserror(vlookup($A952&amp;$B952,'3) Release_Label'!$D:$D&amp;'3) Release_Label'!$E:$E,1,0))),vlookup($A952&amp;$B952,{'3) Release_Label'!$D:$D&amp;'3) Release_Label'!$E:$E,'3) Release_Label'!$H:$H},2,0), or(and(not(isblank($B952)),$B952=$B951,$A952&lt;&gt;$A951),and(not(isblank($A952)),$A952=$A951,$B952&lt;&gt;$B951)),"ID LISTS UNALIGNED",and($A952&lt;&gt;"",countif('3) Release_Label'!$D:$D,$A952)=0),"NO UPC MATCH in Release_Label",and($B952&lt;&gt;"",countif('3) Release_Label'!$E:$E,$B952)=0),"NO CATALOG ID MATCH in Release_Label",iserror(vlookup($A952&amp;$B952,'3) Release_Label'!$D:$D&amp;'3) Release_Label'!$E:$E,1,0)),"NO UPC-CATALOG ID pair MATCH in Release_Label" )</f>
        <v/>
      </c>
      <c r="E952" s="147" t="str">
        <f t="shared" si="1"/>
        <v/>
      </c>
      <c r="G952" s="97"/>
      <c r="H952" s="155"/>
      <c r="J952" s="92"/>
      <c r="K952" s="98"/>
      <c r="L952" s="92"/>
      <c r="N952" s="92"/>
      <c r="O952" s="92"/>
      <c r="P952" s="92"/>
    </row>
    <row r="953">
      <c r="A953" s="28"/>
      <c r="B953" s="97"/>
      <c r="C953" s="121" t="str">
        <f t="array" ref="C953">ifs(and(isblank($A953),isblank($B953)),"", not(iserror(vlookup($A953&amp;$B953,'3) Release_Label'!$D:$D&amp;'3) Release_Label'!$E:$E,1,0))),vlookup($A953&amp;$B953,{'3) Release_Label'!$D:$D&amp;'3) Release_Label'!$E:$E,'3) Release_Label'!$F:$F},2,0), or(and(not(isblank($B953)),$B953=$B952,$A953&lt;&gt;$A952),and(not(isblank($A953)),$A953=$A952,$B953&lt;&gt;$B952)),"ID LISTS UNALIGNED",and($A953&lt;&gt;"",countif('3) Release_Label'!$D:$D,$A953)=0),"NO UPC MATCH in Release_Label",and($B953&lt;&gt;"",countif('3) Release_Label'!$E:$E,$B953)=0),"NO CATALOG ID MATCH in Release_Label",iserror(vlookup($A953&amp;$B953,'3) Release_Label'!$D:$D&amp;'3) Release_Label'!$E:$E,1,0)),"NO UPC-CATALOG ID pair MATCH in Release_Label" )</f>
        <v/>
      </c>
      <c r="D953" s="121" t="str">
        <f t="array" ref="D953">ifs(and(isblank($A953),isblank($B953)),"", not(iserror(vlookup($A953&amp;$B953,'3) Release_Label'!$D:$D&amp;'3) Release_Label'!$E:$E,1,0))),vlookup($A953&amp;$B953,{'3) Release_Label'!$D:$D&amp;'3) Release_Label'!$E:$E,'3) Release_Label'!$H:$H},2,0), or(and(not(isblank($B953)),$B953=$B952,$A953&lt;&gt;$A952),and(not(isblank($A953)),$A953=$A952,$B953&lt;&gt;$B952)),"ID LISTS UNALIGNED",and($A953&lt;&gt;"",countif('3) Release_Label'!$D:$D,$A953)=0),"NO UPC MATCH in Release_Label",and($B953&lt;&gt;"",countif('3) Release_Label'!$E:$E,$B953)=0),"NO CATALOG ID MATCH in Release_Label",iserror(vlookup($A953&amp;$B953,'3) Release_Label'!$D:$D&amp;'3) Release_Label'!$E:$E,1,0)),"NO UPC-CATALOG ID pair MATCH in Release_Label" )</f>
        <v/>
      </c>
      <c r="E953" s="147" t="str">
        <f t="shared" si="1"/>
        <v/>
      </c>
      <c r="G953" s="97"/>
      <c r="H953" s="155"/>
      <c r="J953" s="92"/>
      <c r="K953" s="98"/>
      <c r="L953" s="92"/>
      <c r="N953" s="92"/>
      <c r="O953" s="92"/>
      <c r="P953" s="92"/>
    </row>
    <row r="954">
      <c r="A954" s="28"/>
      <c r="B954" s="97"/>
      <c r="C954" s="121" t="str">
        <f t="array" ref="C954">ifs(and(isblank($A954),isblank($B954)),"", not(iserror(vlookup($A954&amp;$B954,'3) Release_Label'!$D:$D&amp;'3) Release_Label'!$E:$E,1,0))),vlookup($A954&amp;$B954,{'3) Release_Label'!$D:$D&amp;'3) Release_Label'!$E:$E,'3) Release_Label'!$F:$F},2,0), or(and(not(isblank($B954)),$B954=$B953,$A954&lt;&gt;$A953),and(not(isblank($A954)),$A954=$A953,$B954&lt;&gt;$B953)),"ID LISTS UNALIGNED",and($A954&lt;&gt;"",countif('3) Release_Label'!$D:$D,$A954)=0),"NO UPC MATCH in Release_Label",and($B954&lt;&gt;"",countif('3) Release_Label'!$E:$E,$B954)=0),"NO CATALOG ID MATCH in Release_Label",iserror(vlookup($A954&amp;$B954,'3) Release_Label'!$D:$D&amp;'3) Release_Label'!$E:$E,1,0)),"NO UPC-CATALOG ID pair MATCH in Release_Label" )</f>
        <v/>
      </c>
      <c r="D954" s="121" t="str">
        <f t="array" ref="D954">ifs(and(isblank($A954),isblank($B954)),"", not(iserror(vlookup($A954&amp;$B954,'3) Release_Label'!$D:$D&amp;'3) Release_Label'!$E:$E,1,0))),vlookup($A954&amp;$B954,{'3) Release_Label'!$D:$D&amp;'3) Release_Label'!$E:$E,'3) Release_Label'!$H:$H},2,0), or(and(not(isblank($B954)),$B954=$B953,$A954&lt;&gt;$A953),and(not(isblank($A954)),$A954=$A953,$B954&lt;&gt;$B953)),"ID LISTS UNALIGNED",and($A954&lt;&gt;"",countif('3) Release_Label'!$D:$D,$A954)=0),"NO UPC MATCH in Release_Label",and($B954&lt;&gt;"",countif('3) Release_Label'!$E:$E,$B954)=0),"NO CATALOG ID MATCH in Release_Label",iserror(vlookup($A954&amp;$B954,'3) Release_Label'!$D:$D&amp;'3) Release_Label'!$E:$E,1,0)),"NO UPC-CATALOG ID pair MATCH in Release_Label" )</f>
        <v/>
      </c>
      <c r="E954" s="147" t="str">
        <f t="shared" si="1"/>
        <v/>
      </c>
      <c r="G954" s="97"/>
      <c r="H954" s="155"/>
      <c r="J954" s="92"/>
      <c r="K954" s="98"/>
      <c r="L954" s="92"/>
      <c r="N954" s="92"/>
      <c r="O954" s="92"/>
      <c r="P954" s="92"/>
    </row>
    <row r="955">
      <c r="A955" s="28"/>
      <c r="B955" s="97"/>
      <c r="C955" s="121" t="str">
        <f t="array" ref="C955">ifs(and(isblank($A955),isblank($B955)),"", not(iserror(vlookup($A955&amp;$B955,'3) Release_Label'!$D:$D&amp;'3) Release_Label'!$E:$E,1,0))),vlookup($A955&amp;$B955,{'3) Release_Label'!$D:$D&amp;'3) Release_Label'!$E:$E,'3) Release_Label'!$F:$F},2,0), or(and(not(isblank($B955)),$B955=$B954,$A955&lt;&gt;$A954),and(not(isblank($A955)),$A955=$A954,$B955&lt;&gt;$B954)),"ID LISTS UNALIGNED",and($A955&lt;&gt;"",countif('3) Release_Label'!$D:$D,$A955)=0),"NO UPC MATCH in Release_Label",and($B955&lt;&gt;"",countif('3) Release_Label'!$E:$E,$B955)=0),"NO CATALOG ID MATCH in Release_Label",iserror(vlookup($A955&amp;$B955,'3) Release_Label'!$D:$D&amp;'3) Release_Label'!$E:$E,1,0)),"NO UPC-CATALOG ID pair MATCH in Release_Label" )</f>
        <v/>
      </c>
      <c r="D955" s="121" t="str">
        <f t="array" ref="D955">ifs(and(isblank($A955),isblank($B955)),"", not(iserror(vlookup($A955&amp;$B955,'3) Release_Label'!$D:$D&amp;'3) Release_Label'!$E:$E,1,0))),vlookup($A955&amp;$B955,{'3) Release_Label'!$D:$D&amp;'3) Release_Label'!$E:$E,'3) Release_Label'!$H:$H},2,0), or(and(not(isblank($B955)),$B955=$B954,$A955&lt;&gt;$A954),and(not(isblank($A955)),$A955=$A954,$B955&lt;&gt;$B954)),"ID LISTS UNALIGNED",and($A955&lt;&gt;"",countif('3) Release_Label'!$D:$D,$A955)=0),"NO UPC MATCH in Release_Label",and($B955&lt;&gt;"",countif('3) Release_Label'!$E:$E,$B955)=0),"NO CATALOG ID MATCH in Release_Label",iserror(vlookup($A955&amp;$B955,'3) Release_Label'!$D:$D&amp;'3) Release_Label'!$E:$E,1,0)),"NO UPC-CATALOG ID pair MATCH in Release_Label" )</f>
        <v/>
      </c>
      <c r="E955" s="147" t="str">
        <f t="shared" si="1"/>
        <v/>
      </c>
      <c r="G955" s="97"/>
      <c r="H955" s="155"/>
      <c r="J955" s="92"/>
      <c r="K955" s="98"/>
      <c r="L955" s="92"/>
      <c r="N955" s="92"/>
      <c r="O955" s="92"/>
      <c r="P955" s="92"/>
    </row>
    <row r="956">
      <c r="A956" s="28"/>
      <c r="B956" s="97"/>
      <c r="C956" s="121" t="str">
        <f t="array" ref="C956">ifs(and(isblank($A956),isblank($B956)),"", not(iserror(vlookup($A956&amp;$B956,'3) Release_Label'!$D:$D&amp;'3) Release_Label'!$E:$E,1,0))),vlookup($A956&amp;$B956,{'3) Release_Label'!$D:$D&amp;'3) Release_Label'!$E:$E,'3) Release_Label'!$F:$F},2,0), or(and(not(isblank($B956)),$B956=$B955,$A956&lt;&gt;$A955),and(not(isblank($A956)),$A956=$A955,$B956&lt;&gt;$B955)),"ID LISTS UNALIGNED",and($A956&lt;&gt;"",countif('3) Release_Label'!$D:$D,$A956)=0),"NO UPC MATCH in Release_Label",and($B956&lt;&gt;"",countif('3) Release_Label'!$E:$E,$B956)=0),"NO CATALOG ID MATCH in Release_Label",iserror(vlookup($A956&amp;$B956,'3) Release_Label'!$D:$D&amp;'3) Release_Label'!$E:$E,1,0)),"NO UPC-CATALOG ID pair MATCH in Release_Label" )</f>
        <v/>
      </c>
      <c r="D956" s="121" t="str">
        <f t="array" ref="D956">ifs(and(isblank($A956),isblank($B956)),"", not(iserror(vlookup($A956&amp;$B956,'3) Release_Label'!$D:$D&amp;'3) Release_Label'!$E:$E,1,0))),vlookup($A956&amp;$B956,{'3) Release_Label'!$D:$D&amp;'3) Release_Label'!$E:$E,'3) Release_Label'!$H:$H},2,0), or(and(not(isblank($B956)),$B956=$B955,$A956&lt;&gt;$A955),and(not(isblank($A956)),$A956=$A955,$B956&lt;&gt;$B955)),"ID LISTS UNALIGNED",and($A956&lt;&gt;"",countif('3) Release_Label'!$D:$D,$A956)=0),"NO UPC MATCH in Release_Label",and($B956&lt;&gt;"",countif('3) Release_Label'!$E:$E,$B956)=0),"NO CATALOG ID MATCH in Release_Label",iserror(vlookup($A956&amp;$B956,'3) Release_Label'!$D:$D&amp;'3) Release_Label'!$E:$E,1,0)),"NO UPC-CATALOG ID pair MATCH in Release_Label" )</f>
        <v/>
      </c>
      <c r="E956" s="147" t="str">
        <f t="shared" si="1"/>
        <v/>
      </c>
      <c r="G956" s="97"/>
      <c r="H956" s="155"/>
      <c r="J956" s="92"/>
      <c r="K956" s="98"/>
      <c r="L956" s="92"/>
      <c r="N956" s="92"/>
      <c r="O956" s="92"/>
      <c r="P956" s="92"/>
    </row>
    <row r="957">
      <c r="A957" s="28"/>
      <c r="B957" s="97"/>
      <c r="C957" s="121" t="str">
        <f t="array" ref="C957">ifs(and(isblank($A957),isblank($B957)),"", not(iserror(vlookup($A957&amp;$B957,'3) Release_Label'!$D:$D&amp;'3) Release_Label'!$E:$E,1,0))),vlookup($A957&amp;$B957,{'3) Release_Label'!$D:$D&amp;'3) Release_Label'!$E:$E,'3) Release_Label'!$F:$F},2,0), or(and(not(isblank($B957)),$B957=$B956,$A957&lt;&gt;$A956),and(not(isblank($A957)),$A957=$A956,$B957&lt;&gt;$B956)),"ID LISTS UNALIGNED",and($A957&lt;&gt;"",countif('3) Release_Label'!$D:$D,$A957)=0),"NO UPC MATCH in Release_Label",and($B957&lt;&gt;"",countif('3) Release_Label'!$E:$E,$B957)=0),"NO CATALOG ID MATCH in Release_Label",iserror(vlookup($A957&amp;$B957,'3) Release_Label'!$D:$D&amp;'3) Release_Label'!$E:$E,1,0)),"NO UPC-CATALOG ID pair MATCH in Release_Label" )</f>
        <v/>
      </c>
      <c r="D957" s="121" t="str">
        <f t="array" ref="D957">ifs(and(isblank($A957),isblank($B957)),"", not(iserror(vlookup($A957&amp;$B957,'3) Release_Label'!$D:$D&amp;'3) Release_Label'!$E:$E,1,0))),vlookup($A957&amp;$B957,{'3) Release_Label'!$D:$D&amp;'3) Release_Label'!$E:$E,'3) Release_Label'!$H:$H},2,0), or(and(not(isblank($B957)),$B957=$B956,$A957&lt;&gt;$A956),and(not(isblank($A957)),$A957=$A956,$B957&lt;&gt;$B956)),"ID LISTS UNALIGNED",and($A957&lt;&gt;"",countif('3) Release_Label'!$D:$D,$A957)=0),"NO UPC MATCH in Release_Label",and($B957&lt;&gt;"",countif('3) Release_Label'!$E:$E,$B957)=0),"NO CATALOG ID MATCH in Release_Label",iserror(vlookup($A957&amp;$B957,'3) Release_Label'!$D:$D&amp;'3) Release_Label'!$E:$E,1,0)),"NO UPC-CATALOG ID pair MATCH in Release_Label" )</f>
        <v/>
      </c>
      <c r="E957" s="147" t="str">
        <f t="shared" si="1"/>
        <v/>
      </c>
      <c r="G957" s="97"/>
      <c r="H957" s="155"/>
      <c r="J957" s="92"/>
      <c r="K957" s="98"/>
      <c r="L957" s="92"/>
      <c r="N957" s="92"/>
      <c r="O957" s="92"/>
      <c r="P957" s="92"/>
    </row>
    <row r="958">
      <c r="A958" s="28"/>
      <c r="B958" s="97"/>
      <c r="C958" s="121" t="str">
        <f t="array" ref="C958">ifs(and(isblank($A958),isblank($B958)),"", not(iserror(vlookup($A958&amp;$B958,'3) Release_Label'!$D:$D&amp;'3) Release_Label'!$E:$E,1,0))),vlookup($A958&amp;$B958,{'3) Release_Label'!$D:$D&amp;'3) Release_Label'!$E:$E,'3) Release_Label'!$F:$F},2,0), or(and(not(isblank($B958)),$B958=$B957,$A958&lt;&gt;$A957),and(not(isblank($A958)),$A958=$A957,$B958&lt;&gt;$B957)),"ID LISTS UNALIGNED",and($A958&lt;&gt;"",countif('3) Release_Label'!$D:$D,$A958)=0),"NO UPC MATCH in Release_Label",and($B958&lt;&gt;"",countif('3) Release_Label'!$E:$E,$B958)=0),"NO CATALOG ID MATCH in Release_Label",iserror(vlookup($A958&amp;$B958,'3) Release_Label'!$D:$D&amp;'3) Release_Label'!$E:$E,1,0)),"NO UPC-CATALOG ID pair MATCH in Release_Label" )</f>
        <v/>
      </c>
      <c r="D958" s="121" t="str">
        <f t="array" ref="D958">ifs(and(isblank($A958),isblank($B958)),"", not(iserror(vlookup($A958&amp;$B958,'3) Release_Label'!$D:$D&amp;'3) Release_Label'!$E:$E,1,0))),vlookup($A958&amp;$B958,{'3) Release_Label'!$D:$D&amp;'3) Release_Label'!$E:$E,'3) Release_Label'!$H:$H},2,0), or(and(not(isblank($B958)),$B958=$B957,$A958&lt;&gt;$A957),and(not(isblank($A958)),$A958=$A957,$B958&lt;&gt;$B957)),"ID LISTS UNALIGNED",and($A958&lt;&gt;"",countif('3) Release_Label'!$D:$D,$A958)=0),"NO UPC MATCH in Release_Label",and($B958&lt;&gt;"",countif('3) Release_Label'!$E:$E,$B958)=0),"NO CATALOG ID MATCH in Release_Label",iserror(vlookup($A958&amp;$B958,'3) Release_Label'!$D:$D&amp;'3) Release_Label'!$E:$E,1,0)),"NO UPC-CATALOG ID pair MATCH in Release_Label" )</f>
        <v/>
      </c>
      <c r="E958" s="147" t="str">
        <f t="shared" si="1"/>
        <v/>
      </c>
      <c r="G958" s="97"/>
      <c r="H958" s="155"/>
      <c r="J958" s="92"/>
      <c r="K958" s="98"/>
      <c r="L958" s="92"/>
      <c r="N958" s="92"/>
      <c r="O958" s="92"/>
      <c r="P958" s="92"/>
    </row>
    <row r="959">
      <c r="A959" s="28"/>
      <c r="B959" s="97"/>
      <c r="C959" s="121" t="str">
        <f t="array" ref="C959">ifs(and(isblank($A959),isblank($B959)),"", not(iserror(vlookup($A959&amp;$B959,'3) Release_Label'!$D:$D&amp;'3) Release_Label'!$E:$E,1,0))),vlookup($A959&amp;$B959,{'3) Release_Label'!$D:$D&amp;'3) Release_Label'!$E:$E,'3) Release_Label'!$F:$F},2,0), or(and(not(isblank($B959)),$B959=$B958,$A959&lt;&gt;$A958),and(not(isblank($A959)),$A959=$A958,$B959&lt;&gt;$B958)),"ID LISTS UNALIGNED",and($A959&lt;&gt;"",countif('3) Release_Label'!$D:$D,$A959)=0),"NO UPC MATCH in Release_Label",and($B959&lt;&gt;"",countif('3) Release_Label'!$E:$E,$B959)=0),"NO CATALOG ID MATCH in Release_Label",iserror(vlookup($A959&amp;$B959,'3) Release_Label'!$D:$D&amp;'3) Release_Label'!$E:$E,1,0)),"NO UPC-CATALOG ID pair MATCH in Release_Label" )</f>
        <v/>
      </c>
      <c r="D959" s="121" t="str">
        <f t="array" ref="D959">ifs(and(isblank($A959),isblank($B959)),"", not(iserror(vlookup($A959&amp;$B959,'3) Release_Label'!$D:$D&amp;'3) Release_Label'!$E:$E,1,0))),vlookup($A959&amp;$B959,{'3) Release_Label'!$D:$D&amp;'3) Release_Label'!$E:$E,'3) Release_Label'!$H:$H},2,0), or(and(not(isblank($B959)),$B959=$B958,$A959&lt;&gt;$A958),and(not(isblank($A959)),$A959=$A958,$B959&lt;&gt;$B958)),"ID LISTS UNALIGNED",and($A959&lt;&gt;"",countif('3) Release_Label'!$D:$D,$A959)=0),"NO UPC MATCH in Release_Label",and($B959&lt;&gt;"",countif('3) Release_Label'!$E:$E,$B959)=0),"NO CATALOG ID MATCH in Release_Label",iserror(vlookup($A959&amp;$B959,'3) Release_Label'!$D:$D&amp;'3) Release_Label'!$E:$E,1,0)),"NO UPC-CATALOG ID pair MATCH in Release_Label" )</f>
        <v/>
      </c>
      <c r="E959" s="147" t="str">
        <f t="shared" si="1"/>
        <v/>
      </c>
      <c r="G959" s="97"/>
      <c r="H959" s="155"/>
      <c r="J959" s="92"/>
      <c r="K959" s="98"/>
      <c r="L959" s="92"/>
      <c r="N959" s="92"/>
      <c r="O959" s="92"/>
      <c r="P959" s="92"/>
    </row>
    <row r="960">
      <c r="A960" s="28"/>
      <c r="B960" s="97"/>
      <c r="C960" s="121" t="str">
        <f t="array" ref="C960">ifs(and(isblank($A960),isblank($B960)),"", not(iserror(vlookup($A960&amp;$B960,'3) Release_Label'!$D:$D&amp;'3) Release_Label'!$E:$E,1,0))),vlookup($A960&amp;$B960,{'3) Release_Label'!$D:$D&amp;'3) Release_Label'!$E:$E,'3) Release_Label'!$F:$F},2,0), or(and(not(isblank($B960)),$B960=$B959,$A960&lt;&gt;$A959),and(not(isblank($A960)),$A960=$A959,$B960&lt;&gt;$B959)),"ID LISTS UNALIGNED",and($A960&lt;&gt;"",countif('3) Release_Label'!$D:$D,$A960)=0),"NO UPC MATCH in Release_Label",and($B960&lt;&gt;"",countif('3) Release_Label'!$E:$E,$B960)=0),"NO CATALOG ID MATCH in Release_Label",iserror(vlookup($A960&amp;$B960,'3) Release_Label'!$D:$D&amp;'3) Release_Label'!$E:$E,1,0)),"NO UPC-CATALOG ID pair MATCH in Release_Label" )</f>
        <v/>
      </c>
      <c r="D960" s="121" t="str">
        <f t="array" ref="D960">ifs(and(isblank($A960),isblank($B960)),"", not(iserror(vlookup($A960&amp;$B960,'3) Release_Label'!$D:$D&amp;'3) Release_Label'!$E:$E,1,0))),vlookup($A960&amp;$B960,{'3) Release_Label'!$D:$D&amp;'3) Release_Label'!$E:$E,'3) Release_Label'!$H:$H},2,0), or(and(not(isblank($B960)),$B960=$B959,$A960&lt;&gt;$A959),and(not(isblank($A960)),$A960=$A959,$B960&lt;&gt;$B959)),"ID LISTS UNALIGNED",and($A960&lt;&gt;"",countif('3) Release_Label'!$D:$D,$A960)=0),"NO UPC MATCH in Release_Label",and($B960&lt;&gt;"",countif('3) Release_Label'!$E:$E,$B960)=0),"NO CATALOG ID MATCH in Release_Label",iserror(vlookup($A960&amp;$B960,'3) Release_Label'!$D:$D&amp;'3) Release_Label'!$E:$E,1,0)),"NO UPC-CATALOG ID pair MATCH in Release_Label" )</f>
        <v/>
      </c>
      <c r="E960" s="147" t="str">
        <f t="shared" si="1"/>
        <v/>
      </c>
      <c r="G960" s="97"/>
      <c r="H960" s="155"/>
      <c r="J960" s="92"/>
      <c r="K960" s="98"/>
      <c r="L960" s="92"/>
      <c r="N960" s="92"/>
      <c r="O960" s="92"/>
      <c r="P960" s="92"/>
    </row>
    <row r="961">
      <c r="A961" s="28"/>
      <c r="B961" s="97"/>
      <c r="C961" s="121" t="str">
        <f t="array" ref="C961">ifs(and(isblank($A961),isblank($B961)),"", not(iserror(vlookup($A961&amp;$B961,'3) Release_Label'!$D:$D&amp;'3) Release_Label'!$E:$E,1,0))),vlookup($A961&amp;$B961,{'3) Release_Label'!$D:$D&amp;'3) Release_Label'!$E:$E,'3) Release_Label'!$F:$F},2,0), or(and(not(isblank($B961)),$B961=$B960,$A961&lt;&gt;$A960),and(not(isblank($A961)),$A961=$A960,$B961&lt;&gt;$B960)),"ID LISTS UNALIGNED",and($A961&lt;&gt;"",countif('3) Release_Label'!$D:$D,$A961)=0),"NO UPC MATCH in Release_Label",and($B961&lt;&gt;"",countif('3) Release_Label'!$E:$E,$B961)=0),"NO CATALOG ID MATCH in Release_Label",iserror(vlookup($A961&amp;$B961,'3) Release_Label'!$D:$D&amp;'3) Release_Label'!$E:$E,1,0)),"NO UPC-CATALOG ID pair MATCH in Release_Label" )</f>
        <v/>
      </c>
      <c r="D961" s="121" t="str">
        <f t="array" ref="D961">ifs(and(isblank($A961),isblank($B961)),"", not(iserror(vlookup($A961&amp;$B961,'3) Release_Label'!$D:$D&amp;'3) Release_Label'!$E:$E,1,0))),vlookup($A961&amp;$B961,{'3) Release_Label'!$D:$D&amp;'3) Release_Label'!$E:$E,'3) Release_Label'!$H:$H},2,0), or(and(not(isblank($B961)),$B961=$B960,$A961&lt;&gt;$A960),and(not(isblank($A961)),$A961=$A960,$B961&lt;&gt;$B960)),"ID LISTS UNALIGNED",and($A961&lt;&gt;"",countif('3) Release_Label'!$D:$D,$A961)=0),"NO UPC MATCH in Release_Label",and($B961&lt;&gt;"",countif('3) Release_Label'!$E:$E,$B961)=0),"NO CATALOG ID MATCH in Release_Label",iserror(vlookup($A961&amp;$B961,'3) Release_Label'!$D:$D&amp;'3) Release_Label'!$E:$E,1,0)),"NO UPC-CATALOG ID pair MATCH in Release_Label" )</f>
        <v/>
      </c>
      <c r="E961" s="147" t="str">
        <f t="shared" si="1"/>
        <v/>
      </c>
      <c r="G961" s="97"/>
      <c r="H961" s="155"/>
      <c r="J961" s="92"/>
      <c r="K961" s="98"/>
      <c r="L961" s="92"/>
      <c r="N961" s="92"/>
      <c r="O961" s="92"/>
      <c r="P961" s="92"/>
    </row>
    <row r="962">
      <c r="A962" s="28"/>
      <c r="B962" s="97"/>
      <c r="C962" s="121" t="str">
        <f t="array" ref="C962">ifs(and(isblank($A962),isblank($B962)),"", not(iserror(vlookup($A962&amp;$B962,'3) Release_Label'!$D:$D&amp;'3) Release_Label'!$E:$E,1,0))),vlookup($A962&amp;$B962,{'3) Release_Label'!$D:$D&amp;'3) Release_Label'!$E:$E,'3) Release_Label'!$F:$F},2,0), or(and(not(isblank($B962)),$B962=$B961,$A962&lt;&gt;$A961),and(not(isblank($A962)),$A962=$A961,$B962&lt;&gt;$B961)),"ID LISTS UNALIGNED",and($A962&lt;&gt;"",countif('3) Release_Label'!$D:$D,$A962)=0),"NO UPC MATCH in Release_Label",and($B962&lt;&gt;"",countif('3) Release_Label'!$E:$E,$B962)=0),"NO CATALOG ID MATCH in Release_Label",iserror(vlookup($A962&amp;$B962,'3) Release_Label'!$D:$D&amp;'3) Release_Label'!$E:$E,1,0)),"NO UPC-CATALOG ID pair MATCH in Release_Label" )</f>
        <v/>
      </c>
      <c r="D962" s="121" t="str">
        <f t="array" ref="D962">ifs(and(isblank($A962),isblank($B962)),"", not(iserror(vlookup($A962&amp;$B962,'3) Release_Label'!$D:$D&amp;'3) Release_Label'!$E:$E,1,0))),vlookup($A962&amp;$B962,{'3) Release_Label'!$D:$D&amp;'3) Release_Label'!$E:$E,'3) Release_Label'!$H:$H},2,0), or(and(not(isblank($B962)),$B962=$B961,$A962&lt;&gt;$A961),and(not(isblank($A962)),$A962=$A961,$B962&lt;&gt;$B961)),"ID LISTS UNALIGNED",and($A962&lt;&gt;"",countif('3) Release_Label'!$D:$D,$A962)=0),"NO UPC MATCH in Release_Label",and($B962&lt;&gt;"",countif('3) Release_Label'!$E:$E,$B962)=0),"NO CATALOG ID MATCH in Release_Label",iserror(vlookup($A962&amp;$B962,'3) Release_Label'!$D:$D&amp;'3) Release_Label'!$E:$E,1,0)),"NO UPC-CATALOG ID pair MATCH in Release_Label" )</f>
        <v/>
      </c>
      <c r="E962" s="147" t="str">
        <f t="shared" si="1"/>
        <v/>
      </c>
      <c r="G962" s="97"/>
      <c r="H962" s="155"/>
      <c r="J962" s="92"/>
      <c r="K962" s="98"/>
      <c r="L962" s="92"/>
      <c r="N962" s="92"/>
      <c r="O962" s="92"/>
      <c r="P962" s="92"/>
    </row>
    <row r="963">
      <c r="A963" s="28"/>
      <c r="B963" s="97"/>
      <c r="C963" s="121" t="str">
        <f t="array" ref="C963">ifs(and(isblank($A963),isblank($B963)),"", not(iserror(vlookup($A963&amp;$B963,'3) Release_Label'!$D:$D&amp;'3) Release_Label'!$E:$E,1,0))),vlookup($A963&amp;$B963,{'3) Release_Label'!$D:$D&amp;'3) Release_Label'!$E:$E,'3) Release_Label'!$F:$F},2,0), or(and(not(isblank($B963)),$B963=$B962,$A963&lt;&gt;$A962),and(not(isblank($A963)),$A963=$A962,$B963&lt;&gt;$B962)),"ID LISTS UNALIGNED",and($A963&lt;&gt;"",countif('3) Release_Label'!$D:$D,$A963)=0),"NO UPC MATCH in Release_Label",and($B963&lt;&gt;"",countif('3) Release_Label'!$E:$E,$B963)=0),"NO CATALOG ID MATCH in Release_Label",iserror(vlookup($A963&amp;$B963,'3) Release_Label'!$D:$D&amp;'3) Release_Label'!$E:$E,1,0)),"NO UPC-CATALOG ID pair MATCH in Release_Label" )</f>
        <v/>
      </c>
      <c r="D963" s="121" t="str">
        <f t="array" ref="D963">ifs(and(isblank($A963),isblank($B963)),"", not(iserror(vlookup($A963&amp;$B963,'3) Release_Label'!$D:$D&amp;'3) Release_Label'!$E:$E,1,0))),vlookup($A963&amp;$B963,{'3) Release_Label'!$D:$D&amp;'3) Release_Label'!$E:$E,'3) Release_Label'!$H:$H},2,0), or(and(not(isblank($B963)),$B963=$B962,$A963&lt;&gt;$A962),and(not(isblank($A963)),$A963=$A962,$B963&lt;&gt;$B962)),"ID LISTS UNALIGNED",and($A963&lt;&gt;"",countif('3) Release_Label'!$D:$D,$A963)=0),"NO UPC MATCH in Release_Label",and($B963&lt;&gt;"",countif('3) Release_Label'!$E:$E,$B963)=0),"NO CATALOG ID MATCH in Release_Label",iserror(vlookup($A963&amp;$B963,'3) Release_Label'!$D:$D&amp;'3) Release_Label'!$E:$E,1,0)),"NO UPC-CATALOG ID pair MATCH in Release_Label" )</f>
        <v/>
      </c>
      <c r="E963" s="147" t="str">
        <f t="shared" si="1"/>
        <v/>
      </c>
      <c r="G963" s="97"/>
      <c r="H963" s="155"/>
      <c r="J963" s="92"/>
      <c r="K963" s="98"/>
      <c r="L963" s="92"/>
      <c r="N963" s="92"/>
      <c r="O963" s="92"/>
      <c r="P963" s="92"/>
    </row>
    <row r="964">
      <c r="A964" s="28"/>
      <c r="B964" s="97"/>
      <c r="C964" s="121" t="str">
        <f t="array" ref="C964">ifs(and(isblank($A964),isblank($B964)),"", not(iserror(vlookup($A964&amp;$B964,'3) Release_Label'!$D:$D&amp;'3) Release_Label'!$E:$E,1,0))),vlookup($A964&amp;$B964,{'3) Release_Label'!$D:$D&amp;'3) Release_Label'!$E:$E,'3) Release_Label'!$F:$F},2,0), or(and(not(isblank($B964)),$B964=$B963,$A964&lt;&gt;$A963),and(not(isblank($A964)),$A964=$A963,$B964&lt;&gt;$B963)),"ID LISTS UNALIGNED",and($A964&lt;&gt;"",countif('3) Release_Label'!$D:$D,$A964)=0),"NO UPC MATCH in Release_Label",and($B964&lt;&gt;"",countif('3) Release_Label'!$E:$E,$B964)=0),"NO CATALOG ID MATCH in Release_Label",iserror(vlookup($A964&amp;$B964,'3) Release_Label'!$D:$D&amp;'3) Release_Label'!$E:$E,1,0)),"NO UPC-CATALOG ID pair MATCH in Release_Label" )</f>
        <v/>
      </c>
      <c r="D964" s="121" t="str">
        <f t="array" ref="D964">ifs(and(isblank($A964),isblank($B964)),"", not(iserror(vlookup($A964&amp;$B964,'3) Release_Label'!$D:$D&amp;'3) Release_Label'!$E:$E,1,0))),vlookup($A964&amp;$B964,{'3) Release_Label'!$D:$D&amp;'3) Release_Label'!$E:$E,'3) Release_Label'!$H:$H},2,0), or(and(not(isblank($B964)),$B964=$B963,$A964&lt;&gt;$A963),and(not(isblank($A964)),$A964=$A963,$B964&lt;&gt;$B963)),"ID LISTS UNALIGNED",and($A964&lt;&gt;"",countif('3) Release_Label'!$D:$D,$A964)=0),"NO UPC MATCH in Release_Label",and($B964&lt;&gt;"",countif('3) Release_Label'!$E:$E,$B964)=0),"NO CATALOG ID MATCH in Release_Label",iserror(vlookup($A964&amp;$B964,'3) Release_Label'!$D:$D&amp;'3) Release_Label'!$E:$E,1,0)),"NO UPC-CATALOG ID pair MATCH in Release_Label" )</f>
        <v/>
      </c>
      <c r="E964" s="147" t="str">
        <f t="shared" si="1"/>
        <v/>
      </c>
      <c r="G964" s="97"/>
      <c r="H964" s="155"/>
      <c r="J964" s="92"/>
      <c r="K964" s="98"/>
      <c r="L964" s="92"/>
      <c r="N964" s="92"/>
      <c r="O964" s="92"/>
      <c r="P964" s="92"/>
    </row>
    <row r="965">
      <c r="A965" s="28"/>
      <c r="B965" s="97"/>
      <c r="C965" s="121" t="str">
        <f t="array" ref="C965">ifs(and(isblank($A965),isblank($B965)),"", not(iserror(vlookup($A965&amp;$B965,'3) Release_Label'!$D:$D&amp;'3) Release_Label'!$E:$E,1,0))),vlookup($A965&amp;$B965,{'3) Release_Label'!$D:$D&amp;'3) Release_Label'!$E:$E,'3) Release_Label'!$F:$F},2,0), or(and(not(isblank($B965)),$B965=$B964,$A965&lt;&gt;$A964),and(not(isblank($A965)),$A965=$A964,$B965&lt;&gt;$B964)),"ID LISTS UNALIGNED",and($A965&lt;&gt;"",countif('3) Release_Label'!$D:$D,$A965)=0),"NO UPC MATCH in Release_Label",and($B965&lt;&gt;"",countif('3) Release_Label'!$E:$E,$B965)=0),"NO CATALOG ID MATCH in Release_Label",iserror(vlookup($A965&amp;$B965,'3) Release_Label'!$D:$D&amp;'3) Release_Label'!$E:$E,1,0)),"NO UPC-CATALOG ID pair MATCH in Release_Label" )</f>
        <v/>
      </c>
      <c r="D965" s="121" t="str">
        <f t="array" ref="D965">ifs(and(isblank($A965),isblank($B965)),"", not(iserror(vlookup($A965&amp;$B965,'3) Release_Label'!$D:$D&amp;'3) Release_Label'!$E:$E,1,0))),vlookup($A965&amp;$B965,{'3) Release_Label'!$D:$D&amp;'3) Release_Label'!$E:$E,'3) Release_Label'!$H:$H},2,0), or(and(not(isblank($B965)),$B965=$B964,$A965&lt;&gt;$A964),and(not(isblank($A965)),$A965=$A964,$B965&lt;&gt;$B964)),"ID LISTS UNALIGNED",and($A965&lt;&gt;"",countif('3) Release_Label'!$D:$D,$A965)=0),"NO UPC MATCH in Release_Label",and($B965&lt;&gt;"",countif('3) Release_Label'!$E:$E,$B965)=0),"NO CATALOG ID MATCH in Release_Label",iserror(vlookup($A965&amp;$B965,'3) Release_Label'!$D:$D&amp;'3) Release_Label'!$E:$E,1,0)),"NO UPC-CATALOG ID pair MATCH in Release_Label" )</f>
        <v/>
      </c>
      <c r="E965" s="147" t="str">
        <f t="shared" si="1"/>
        <v/>
      </c>
      <c r="G965" s="97"/>
      <c r="H965" s="155"/>
      <c r="J965" s="92"/>
      <c r="K965" s="98"/>
      <c r="L965" s="92"/>
      <c r="N965" s="92"/>
      <c r="O965" s="92"/>
      <c r="P965" s="92"/>
    </row>
    <row r="966">
      <c r="A966" s="28"/>
      <c r="B966" s="97"/>
      <c r="C966" s="121" t="str">
        <f t="array" ref="C966">ifs(and(isblank($A966),isblank($B966)),"", not(iserror(vlookup($A966&amp;$B966,'3) Release_Label'!$D:$D&amp;'3) Release_Label'!$E:$E,1,0))),vlookup($A966&amp;$B966,{'3) Release_Label'!$D:$D&amp;'3) Release_Label'!$E:$E,'3) Release_Label'!$F:$F},2,0), or(and(not(isblank($B966)),$B966=$B965,$A966&lt;&gt;$A965),and(not(isblank($A966)),$A966=$A965,$B966&lt;&gt;$B965)),"ID LISTS UNALIGNED",and($A966&lt;&gt;"",countif('3) Release_Label'!$D:$D,$A966)=0),"NO UPC MATCH in Release_Label",and($B966&lt;&gt;"",countif('3) Release_Label'!$E:$E,$B966)=0),"NO CATALOG ID MATCH in Release_Label",iserror(vlookup($A966&amp;$B966,'3) Release_Label'!$D:$D&amp;'3) Release_Label'!$E:$E,1,0)),"NO UPC-CATALOG ID pair MATCH in Release_Label" )</f>
        <v/>
      </c>
      <c r="D966" s="121" t="str">
        <f t="array" ref="D966">ifs(and(isblank($A966),isblank($B966)),"", not(iserror(vlookup($A966&amp;$B966,'3) Release_Label'!$D:$D&amp;'3) Release_Label'!$E:$E,1,0))),vlookup($A966&amp;$B966,{'3) Release_Label'!$D:$D&amp;'3) Release_Label'!$E:$E,'3) Release_Label'!$H:$H},2,0), or(and(not(isblank($B966)),$B966=$B965,$A966&lt;&gt;$A965),and(not(isblank($A966)),$A966=$A965,$B966&lt;&gt;$B965)),"ID LISTS UNALIGNED",and($A966&lt;&gt;"",countif('3) Release_Label'!$D:$D,$A966)=0),"NO UPC MATCH in Release_Label",and($B966&lt;&gt;"",countif('3) Release_Label'!$E:$E,$B966)=0),"NO CATALOG ID MATCH in Release_Label",iserror(vlookup($A966&amp;$B966,'3) Release_Label'!$D:$D&amp;'3) Release_Label'!$E:$E,1,0)),"NO UPC-CATALOG ID pair MATCH in Release_Label" )</f>
        <v/>
      </c>
      <c r="E966" s="147" t="str">
        <f t="shared" si="1"/>
        <v/>
      </c>
      <c r="G966" s="97"/>
      <c r="H966" s="155"/>
      <c r="J966" s="92"/>
      <c r="K966" s="98"/>
      <c r="L966" s="92"/>
      <c r="N966" s="92"/>
      <c r="O966" s="92"/>
      <c r="P966" s="92"/>
    </row>
    <row r="967">
      <c r="A967" s="28"/>
      <c r="B967" s="97"/>
      <c r="C967" s="121" t="str">
        <f t="array" ref="C967">ifs(and(isblank($A967),isblank($B967)),"", not(iserror(vlookup($A967&amp;$B967,'3) Release_Label'!$D:$D&amp;'3) Release_Label'!$E:$E,1,0))),vlookup($A967&amp;$B967,{'3) Release_Label'!$D:$D&amp;'3) Release_Label'!$E:$E,'3) Release_Label'!$F:$F},2,0), or(and(not(isblank($B967)),$B967=$B966,$A967&lt;&gt;$A966),and(not(isblank($A967)),$A967=$A966,$B967&lt;&gt;$B966)),"ID LISTS UNALIGNED",and($A967&lt;&gt;"",countif('3) Release_Label'!$D:$D,$A967)=0),"NO UPC MATCH in Release_Label",and($B967&lt;&gt;"",countif('3) Release_Label'!$E:$E,$B967)=0),"NO CATALOG ID MATCH in Release_Label",iserror(vlookup($A967&amp;$B967,'3) Release_Label'!$D:$D&amp;'3) Release_Label'!$E:$E,1,0)),"NO UPC-CATALOG ID pair MATCH in Release_Label" )</f>
        <v/>
      </c>
      <c r="D967" s="121" t="str">
        <f t="array" ref="D967">ifs(and(isblank($A967),isblank($B967)),"", not(iserror(vlookup($A967&amp;$B967,'3) Release_Label'!$D:$D&amp;'3) Release_Label'!$E:$E,1,0))),vlookup($A967&amp;$B967,{'3) Release_Label'!$D:$D&amp;'3) Release_Label'!$E:$E,'3) Release_Label'!$H:$H},2,0), or(and(not(isblank($B967)),$B967=$B966,$A967&lt;&gt;$A966),and(not(isblank($A967)),$A967=$A966,$B967&lt;&gt;$B966)),"ID LISTS UNALIGNED",and($A967&lt;&gt;"",countif('3) Release_Label'!$D:$D,$A967)=0),"NO UPC MATCH in Release_Label",and($B967&lt;&gt;"",countif('3) Release_Label'!$E:$E,$B967)=0),"NO CATALOG ID MATCH in Release_Label",iserror(vlookup($A967&amp;$B967,'3) Release_Label'!$D:$D&amp;'3) Release_Label'!$E:$E,1,0)),"NO UPC-CATALOG ID pair MATCH in Release_Label" )</f>
        <v/>
      </c>
      <c r="E967" s="147" t="str">
        <f t="shared" si="1"/>
        <v/>
      </c>
      <c r="G967" s="97"/>
      <c r="H967" s="155"/>
      <c r="J967" s="92"/>
      <c r="K967" s="98"/>
      <c r="L967" s="92"/>
      <c r="N967" s="92"/>
      <c r="O967" s="92"/>
      <c r="P967" s="92"/>
    </row>
    <row r="968">
      <c r="A968" s="28"/>
      <c r="B968" s="97"/>
      <c r="C968" s="121" t="str">
        <f t="array" ref="C968">ifs(and(isblank($A968),isblank($B968)),"", not(iserror(vlookup($A968&amp;$B968,'3) Release_Label'!$D:$D&amp;'3) Release_Label'!$E:$E,1,0))),vlookup($A968&amp;$B968,{'3) Release_Label'!$D:$D&amp;'3) Release_Label'!$E:$E,'3) Release_Label'!$F:$F},2,0), or(and(not(isblank($B968)),$B968=$B967,$A968&lt;&gt;$A967),and(not(isblank($A968)),$A968=$A967,$B968&lt;&gt;$B967)),"ID LISTS UNALIGNED",and($A968&lt;&gt;"",countif('3) Release_Label'!$D:$D,$A968)=0),"NO UPC MATCH in Release_Label",and($B968&lt;&gt;"",countif('3) Release_Label'!$E:$E,$B968)=0),"NO CATALOG ID MATCH in Release_Label",iserror(vlookup($A968&amp;$B968,'3) Release_Label'!$D:$D&amp;'3) Release_Label'!$E:$E,1,0)),"NO UPC-CATALOG ID pair MATCH in Release_Label" )</f>
        <v/>
      </c>
      <c r="D968" s="121" t="str">
        <f t="array" ref="D968">ifs(and(isblank($A968),isblank($B968)),"", not(iserror(vlookup($A968&amp;$B968,'3) Release_Label'!$D:$D&amp;'3) Release_Label'!$E:$E,1,0))),vlookup($A968&amp;$B968,{'3) Release_Label'!$D:$D&amp;'3) Release_Label'!$E:$E,'3) Release_Label'!$H:$H},2,0), or(and(not(isblank($B968)),$B968=$B967,$A968&lt;&gt;$A967),and(not(isblank($A968)),$A968=$A967,$B968&lt;&gt;$B967)),"ID LISTS UNALIGNED",and($A968&lt;&gt;"",countif('3) Release_Label'!$D:$D,$A968)=0),"NO UPC MATCH in Release_Label",and($B968&lt;&gt;"",countif('3) Release_Label'!$E:$E,$B968)=0),"NO CATALOG ID MATCH in Release_Label",iserror(vlookup($A968&amp;$B968,'3) Release_Label'!$D:$D&amp;'3) Release_Label'!$E:$E,1,0)),"NO UPC-CATALOG ID pair MATCH in Release_Label" )</f>
        <v/>
      </c>
      <c r="E968" s="147" t="str">
        <f t="shared" si="1"/>
        <v/>
      </c>
      <c r="G968" s="97"/>
      <c r="H968" s="155"/>
      <c r="J968" s="92"/>
      <c r="K968" s="98"/>
      <c r="L968" s="92"/>
      <c r="N968" s="92"/>
      <c r="O968" s="92"/>
      <c r="P968" s="92"/>
    </row>
    <row r="969">
      <c r="A969" s="28"/>
      <c r="B969" s="97"/>
      <c r="C969" s="121" t="str">
        <f t="array" ref="C969">ifs(and(isblank($A969),isblank($B969)),"", not(iserror(vlookup($A969&amp;$B969,'3) Release_Label'!$D:$D&amp;'3) Release_Label'!$E:$E,1,0))),vlookup($A969&amp;$B969,{'3) Release_Label'!$D:$D&amp;'3) Release_Label'!$E:$E,'3) Release_Label'!$F:$F},2,0), or(and(not(isblank($B969)),$B969=$B968,$A969&lt;&gt;$A968),and(not(isblank($A969)),$A969=$A968,$B969&lt;&gt;$B968)),"ID LISTS UNALIGNED",and($A969&lt;&gt;"",countif('3) Release_Label'!$D:$D,$A969)=0),"NO UPC MATCH in Release_Label",and($B969&lt;&gt;"",countif('3) Release_Label'!$E:$E,$B969)=0),"NO CATALOG ID MATCH in Release_Label",iserror(vlookup($A969&amp;$B969,'3) Release_Label'!$D:$D&amp;'3) Release_Label'!$E:$E,1,0)),"NO UPC-CATALOG ID pair MATCH in Release_Label" )</f>
        <v/>
      </c>
      <c r="D969" s="121" t="str">
        <f t="array" ref="D969">ifs(and(isblank($A969),isblank($B969)),"", not(iserror(vlookup($A969&amp;$B969,'3) Release_Label'!$D:$D&amp;'3) Release_Label'!$E:$E,1,0))),vlookup($A969&amp;$B969,{'3) Release_Label'!$D:$D&amp;'3) Release_Label'!$E:$E,'3) Release_Label'!$H:$H},2,0), or(and(not(isblank($B969)),$B969=$B968,$A969&lt;&gt;$A968),and(not(isblank($A969)),$A969=$A968,$B969&lt;&gt;$B968)),"ID LISTS UNALIGNED",and($A969&lt;&gt;"",countif('3) Release_Label'!$D:$D,$A969)=0),"NO UPC MATCH in Release_Label",and($B969&lt;&gt;"",countif('3) Release_Label'!$E:$E,$B969)=0),"NO CATALOG ID MATCH in Release_Label",iserror(vlookup($A969&amp;$B969,'3) Release_Label'!$D:$D&amp;'3) Release_Label'!$E:$E,1,0)),"NO UPC-CATALOG ID pair MATCH in Release_Label" )</f>
        <v/>
      </c>
      <c r="E969" s="147" t="str">
        <f t="shared" si="1"/>
        <v/>
      </c>
      <c r="G969" s="97"/>
      <c r="H969" s="155"/>
      <c r="J969" s="92"/>
      <c r="K969" s="98"/>
      <c r="L969" s="92"/>
      <c r="N969" s="92"/>
      <c r="O969" s="92"/>
      <c r="P969" s="92"/>
    </row>
    <row r="970">
      <c r="A970" s="28"/>
      <c r="B970" s="97"/>
      <c r="C970" s="121" t="str">
        <f t="array" ref="C970">ifs(and(isblank($A970),isblank($B970)),"", not(iserror(vlookup($A970&amp;$B970,'3) Release_Label'!$D:$D&amp;'3) Release_Label'!$E:$E,1,0))),vlookup($A970&amp;$B970,{'3) Release_Label'!$D:$D&amp;'3) Release_Label'!$E:$E,'3) Release_Label'!$F:$F},2,0), or(and(not(isblank($B970)),$B970=$B969,$A970&lt;&gt;$A969),and(not(isblank($A970)),$A970=$A969,$B970&lt;&gt;$B969)),"ID LISTS UNALIGNED",and($A970&lt;&gt;"",countif('3) Release_Label'!$D:$D,$A970)=0),"NO UPC MATCH in Release_Label",and($B970&lt;&gt;"",countif('3) Release_Label'!$E:$E,$B970)=0),"NO CATALOG ID MATCH in Release_Label",iserror(vlookup($A970&amp;$B970,'3) Release_Label'!$D:$D&amp;'3) Release_Label'!$E:$E,1,0)),"NO UPC-CATALOG ID pair MATCH in Release_Label" )</f>
        <v/>
      </c>
      <c r="D970" s="121" t="str">
        <f t="array" ref="D970">ifs(and(isblank($A970),isblank($B970)),"", not(iserror(vlookup($A970&amp;$B970,'3) Release_Label'!$D:$D&amp;'3) Release_Label'!$E:$E,1,0))),vlookup($A970&amp;$B970,{'3) Release_Label'!$D:$D&amp;'3) Release_Label'!$E:$E,'3) Release_Label'!$H:$H},2,0), or(and(not(isblank($B970)),$B970=$B969,$A970&lt;&gt;$A969),and(not(isblank($A970)),$A970=$A969,$B970&lt;&gt;$B969)),"ID LISTS UNALIGNED",and($A970&lt;&gt;"",countif('3) Release_Label'!$D:$D,$A970)=0),"NO UPC MATCH in Release_Label",and($B970&lt;&gt;"",countif('3) Release_Label'!$E:$E,$B970)=0),"NO CATALOG ID MATCH in Release_Label",iserror(vlookup($A970&amp;$B970,'3) Release_Label'!$D:$D&amp;'3) Release_Label'!$E:$E,1,0)),"NO UPC-CATALOG ID pair MATCH in Release_Label" )</f>
        <v/>
      </c>
      <c r="E970" s="147" t="str">
        <f t="shared" si="1"/>
        <v/>
      </c>
      <c r="G970" s="97"/>
      <c r="H970" s="155"/>
      <c r="J970" s="92"/>
      <c r="K970" s="98"/>
      <c r="L970" s="92"/>
      <c r="N970" s="92"/>
      <c r="O970" s="92"/>
      <c r="P970" s="92"/>
    </row>
    <row r="971">
      <c r="A971" s="28"/>
      <c r="B971" s="97"/>
      <c r="C971" s="121" t="str">
        <f t="array" ref="C971">ifs(and(isblank($A971),isblank($B971)),"", not(iserror(vlookup($A971&amp;$B971,'3) Release_Label'!$D:$D&amp;'3) Release_Label'!$E:$E,1,0))),vlookup($A971&amp;$B971,{'3) Release_Label'!$D:$D&amp;'3) Release_Label'!$E:$E,'3) Release_Label'!$F:$F},2,0), or(and(not(isblank($B971)),$B971=$B970,$A971&lt;&gt;$A970),and(not(isblank($A971)),$A971=$A970,$B971&lt;&gt;$B970)),"ID LISTS UNALIGNED",and($A971&lt;&gt;"",countif('3) Release_Label'!$D:$D,$A971)=0),"NO UPC MATCH in Release_Label",and($B971&lt;&gt;"",countif('3) Release_Label'!$E:$E,$B971)=0),"NO CATALOG ID MATCH in Release_Label",iserror(vlookup($A971&amp;$B971,'3) Release_Label'!$D:$D&amp;'3) Release_Label'!$E:$E,1,0)),"NO UPC-CATALOG ID pair MATCH in Release_Label" )</f>
        <v/>
      </c>
      <c r="D971" s="121" t="str">
        <f t="array" ref="D971">ifs(and(isblank($A971),isblank($B971)),"", not(iserror(vlookup($A971&amp;$B971,'3) Release_Label'!$D:$D&amp;'3) Release_Label'!$E:$E,1,0))),vlookup($A971&amp;$B971,{'3) Release_Label'!$D:$D&amp;'3) Release_Label'!$E:$E,'3) Release_Label'!$H:$H},2,0), or(and(not(isblank($B971)),$B971=$B970,$A971&lt;&gt;$A970),and(not(isblank($A971)),$A971=$A970,$B971&lt;&gt;$B970)),"ID LISTS UNALIGNED",and($A971&lt;&gt;"",countif('3) Release_Label'!$D:$D,$A971)=0),"NO UPC MATCH in Release_Label",and($B971&lt;&gt;"",countif('3) Release_Label'!$E:$E,$B971)=0),"NO CATALOG ID MATCH in Release_Label",iserror(vlookup($A971&amp;$B971,'3) Release_Label'!$D:$D&amp;'3) Release_Label'!$E:$E,1,0)),"NO UPC-CATALOG ID pair MATCH in Release_Label" )</f>
        <v/>
      </c>
      <c r="E971" s="147" t="str">
        <f t="shared" si="1"/>
        <v/>
      </c>
      <c r="G971" s="97"/>
      <c r="H971" s="155"/>
      <c r="J971" s="92"/>
      <c r="K971" s="98"/>
      <c r="L971" s="92"/>
      <c r="N971" s="92"/>
      <c r="O971" s="92"/>
      <c r="P971" s="92"/>
    </row>
    <row r="972">
      <c r="A972" s="28"/>
      <c r="B972" s="97"/>
      <c r="C972" s="121" t="str">
        <f t="array" ref="C972">ifs(and(isblank($A972),isblank($B972)),"", not(iserror(vlookup($A972&amp;$B972,'3) Release_Label'!$D:$D&amp;'3) Release_Label'!$E:$E,1,0))),vlookup($A972&amp;$B972,{'3) Release_Label'!$D:$D&amp;'3) Release_Label'!$E:$E,'3) Release_Label'!$F:$F},2,0), or(and(not(isblank($B972)),$B972=$B971,$A972&lt;&gt;$A971),and(not(isblank($A972)),$A972=$A971,$B972&lt;&gt;$B971)),"ID LISTS UNALIGNED",and($A972&lt;&gt;"",countif('3) Release_Label'!$D:$D,$A972)=0),"NO UPC MATCH in Release_Label",and($B972&lt;&gt;"",countif('3) Release_Label'!$E:$E,$B972)=0),"NO CATALOG ID MATCH in Release_Label",iserror(vlookup($A972&amp;$B972,'3) Release_Label'!$D:$D&amp;'3) Release_Label'!$E:$E,1,0)),"NO UPC-CATALOG ID pair MATCH in Release_Label" )</f>
        <v/>
      </c>
      <c r="D972" s="121" t="str">
        <f t="array" ref="D972">ifs(and(isblank($A972),isblank($B972)),"", not(iserror(vlookup($A972&amp;$B972,'3) Release_Label'!$D:$D&amp;'3) Release_Label'!$E:$E,1,0))),vlookup($A972&amp;$B972,{'3) Release_Label'!$D:$D&amp;'3) Release_Label'!$E:$E,'3) Release_Label'!$H:$H},2,0), or(and(not(isblank($B972)),$B972=$B971,$A972&lt;&gt;$A971),and(not(isblank($A972)),$A972=$A971,$B972&lt;&gt;$B971)),"ID LISTS UNALIGNED",and($A972&lt;&gt;"",countif('3) Release_Label'!$D:$D,$A972)=0),"NO UPC MATCH in Release_Label",and($B972&lt;&gt;"",countif('3) Release_Label'!$E:$E,$B972)=0),"NO CATALOG ID MATCH in Release_Label",iserror(vlookup($A972&amp;$B972,'3) Release_Label'!$D:$D&amp;'3) Release_Label'!$E:$E,1,0)),"NO UPC-CATALOG ID pair MATCH in Release_Label" )</f>
        <v/>
      </c>
      <c r="E972" s="147" t="str">
        <f t="shared" si="1"/>
        <v/>
      </c>
      <c r="G972" s="97"/>
      <c r="H972" s="155"/>
      <c r="J972" s="92"/>
      <c r="K972" s="98"/>
      <c r="L972" s="92"/>
      <c r="N972" s="92"/>
      <c r="O972" s="92"/>
      <c r="P972" s="92"/>
    </row>
    <row r="973">
      <c r="A973" s="28"/>
      <c r="B973" s="97"/>
      <c r="C973" s="121" t="str">
        <f t="array" ref="C973">ifs(and(isblank($A973),isblank($B973)),"", not(iserror(vlookup($A973&amp;$B973,'3) Release_Label'!$D:$D&amp;'3) Release_Label'!$E:$E,1,0))),vlookup($A973&amp;$B973,{'3) Release_Label'!$D:$D&amp;'3) Release_Label'!$E:$E,'3) Release_Label'!$F:$F},2,0), or(and(not(isblank($B973)),$B973=$B972,$A973&lt;&gt;$A972),and(not(isblank($A973)),$A973=$A972,$B973&lt;&gt;$B972)),"ID LISTS UNALIGNED",and($A973&lt;&gt;"",countif('3) Release_Label'!$D:$D,$A973)=0),"NO UPC MATCH in Release_Label",and($B973&lt;&gt;"",countif('3) Release_Label'!$E:$E,$B973)=0),"NO CATALOG ID MATCH in Release_Label",iserror(vlookup($A973&amp;$B973,'3) Release_Label'!$D:$D&amp;'3) Release_Label'!$E:$E,1,0)),"NO UPC-CATALOG ID pair MATCH in Release_Label" )</f>
        <v/>
      </c>
      <c r="D973" s="121" t="str">
        <f t="array" ref="D973">ifs(and(isblank($A973),isblank($B973)),"", not(iserror(vlookup($A973&amp;$B973,'3) Release_Label'!$D:$D&amp;'3) Release_Label'!$E:$E,1,0))),vlookup($A973&amp;$B973,{'3) Release_Label'!$D:$D&amp;'3) Release_Label'!$E:$E,'3) Release_Label'!$H:$H},2,0), or(and(not(isblank($B973)),$B973=$B972,$A973&lt;&gt;$A972),and(not(isblank($A973)),$A973=$A972,$B973&lt;&gt;$B972)),"ID LISTS UNALIGNED",and($A973&lt;&gt;"",countif('3) Release_Label'!$D:$D,$A973)=0),"NO UPC MATCH in Release_Label",and($B973&lt;&gt;"",countif('3) Release_Label'!$E:$E,$B973)=0),"NO CATALOG ID MATCH in Release_Label",iserror(vlookup($A973&amp;$B973,'3) Release_Label'!$D:$D&amp;'3) Release_Label'!$E:$E,1,0)),"NO UPC-CATALOG ID pair MATCH in Release_Label" )</f>
        <v/>
      </c>
      <c r="E973" s="147" t="str">
        <f t="shared" si="1"/>
        <v/>
      </c>
      <c r="G973" s="97"/>
      <c r="H973" s="155"/>
      <c r="J973" s="92"/>
      <c r="K973" s="98"/>
      <c r="L973" s="92"/>
      <c r="N973" s="92"/>
      <c r="O973" s="92"/>
      <c r="P973" s="92"/>
    </row>
    <row r="974">
      <c r="A974" s="28"/>
      <c r="B974" s="97"/>
      <c r="C974" s="121" t="str">
        <f t="array" ref="C974">ifs(and(isblank($A974),isblank($B974)),"", not(iserror(vlookup($A974&amp;$B974,'3) Release_Label'!$D:$D&amp;'3) Release_Label'!$E:$E,1,0))),vlookup($A974&amp;$B974,{'3) Release_Label'!$D:$D&amp;'3) Release_Label'!$E:$E,'3) Release_Label'!$F:$F},2,0), or(and(not(isblank($B974)),$B974=$B973,$A974&lt;&gt;$A973),and(not(isblank($A974)),$A974=$A973,$B974&lt;&gt;$B973)),"ID LISTS UNALIGNED",and($A974&lt;&gt;"",countif('3) Release_Label'!$D:$D,$A974)=0),"NO UPC MATCH in Release_Label",and($B974&lt;&gt;"",countif('3) Release_Label'!$E:$E,$B974)=0),"NO CATALOG ID MATCH in Release_Label",iserror(vlookup($A974&amp;$B974,'3) Release_Label'!$D:$D&amp;'3) Release_Label'!$E:$E,1,0)),"NO UPC-CATALOG ID pair MATCH in Release_Label" )</f>
        <v/>
      </c>
      <c r="D974" s="121" t="str">
        <f t="array" ref="D974">ifs(and(isblank($A974),isblank($B974)),"", not(iserror(vlookup($A974&amp;$B974,'3) Release_Label'!$D:$D&amp;'3) Release_Label'!$E:$E,1,0))),vlookup($A974&amp;$B974,{'3) Release_Label'!$D:$D&amp;'3) Release_Label'!$E:$E,'3) Release_Label'!$H:$H},2,0), or(and(not(isblank($B974)),$B974=$B973,$A974&lt;&gt;$A973),and(not(isblank($A974)),$A974=$A973,$B974&lt;&gt;$B973)),"ID LISTS UNALIGNED",and($A974&lt;&gt;"",countif('3) Release_Label'!$D:$D,$A974)=0),"NO UPC MATCH in Release_Label",and($B974&lt;&gt;"",countif('3) Release_Label'!$E:$E,$B974)=0),"NO CATALOG ID MATCH in Release_Label",iserror(vlookup($A974&amp;$B974,'3) Release_Label'!$D:$D&amp;'3) Release_Label'!$E:$E,1,0)),"NO UPC-CATALOG ID pair MATCH in Release_Label" )</f>
        <v/>
      </c>
      <c r="E974" s="147" t="str">
        <f t="shared" si="1"/>
        <v/>
      </c>
      <c r="G974" s="97"/>
      <c r="H974" s="155"/>
      <c r="J974" s="92"/>
      <c r="K974" s="98"/>
      <c r="L974" s="92"/>
      <c r="N974" s="92"/>
      <c r="O974" s="92"/>
      <c r="P974" s="92"/>
    </row>
    <row r="975">
      <c r="A975" s="28"/>
      <c r="B975" s="97"/>
      <c r="C975" s="121" t="str">
        <f t="array" ref="C975">ifs(and(isblank($A975),isblank($B975)),"", not(iserror(vlookup($A975&amp;$B975,'3) Release_Label'!$D:$D&amp;'3) Release_Label'!$E:$E,1,0))),vlookup($A975&amp;$B975,{'3) Release_Label'!$D:$D&amp;'3) Release_Label'!$E:$E,'3) Release_Label'!$F:$F},2,0), or(and(not(isblank($B975)),$B975=$B974,$A975&lt;&gt;$A974),and(not(isblank($A975)),$A975=$A974,$B975&lt;&gt;$B974)),"ID LISTS UNALIGNED",and($A975&lt;&gt;"",countif('3) Release_Label'!$D:$D,$A975)=0),"NO UPC MATCH in Release_Label",and($B975&lt;&gt;"",countif('3) Release_Label'!$E:$E,$B975)=0),"NO CATALOG ID MATCH in Release_Label",iserror(vlookup($A975&amp;$B975,'3) Release_Label'!$D:$D&amp;'3) Release_Label'!$E:$E,1,0)),"NO UPC-CATALOG ID pair MATCH in Release_Label" )</f>
        <v/>
      </c>
      <c r="D975" s="121" t="str">
        <f t="array" ref="D975">ifs(and(isblank($A975),isblank($B975)),"", not(iserror(vlookup($A975&amp;$B975,'3) Release_Label'!$D:$D&amp;'3) Release_Label'!$E:$E,1,0))),vlookup($A975&amp;$B975,{'3) Release_Label'!$D:$D&amp;'3) Release_Label'!$E:$E,'3) Release_Label'!$H:$H},2,0), or(and(not(isblank($B975)),$B975=$B974,$A975&lt;&gt;$A974),and(not(isblank($A975)),$A975=$A974,$B975&lt;&gt;$B974)),"ID LISTS UNALIGNED",and($A975&lt;&gt;"",countif('3) Release_Label'!$D:$D,$A975)=0),"NO UPC MATCH in Release_Label",and($B975&lt;&gt;"",countif('3) Release_Label'!$E:$E,$B975)=0),"NO CATALOG ID MATCH in Release_Label",iserror(vlookup($A975&amp;$B975,'3) Release_Label'!$D:$D&amp;'3) Release_Label'!$E:$E,1,0)),"NO UPC-CATALOG ID pair MATCH in Release_Label" )</f>
        <v/>
      </c>
      <c r="E975" s="147" t="str">
        <f t="shared" si="1"/>
        <v/>
      </c>
      <c r="G975" s="97"/>
      <c r="H975" s="155"/>
      <c r="J975" s="92"/>
      <c r="K975" s="98"/>
      <c r="L975" s="92"/>
      <c r="N975" s="92"/>
      <c r="O975" s="92"/>
      <c r="P975" s="92"/>
    </row>
    <row r="976">
      <c r="A976" s="28"/>
      <c r="B976" s="97"/>
      <c r="C976" s="121" t="str">
        <f t="array" ref="C976">ifs(and(isblank($A976),isblank($B976)),"", not(iserror(vlookup($A976&amp;$B976,'3) Release_Label'!$D:$D&amp;'3) Release_Label'!$E:$E,1,0))),vlookup($A976&amp;$B976,{'3) Release_Label'!$D:$D&amp;'3) Release_Label'!$E:$E,'3) Release_Label'!$F:$F},2,0), or(and(not(isblank($B976)),$B976=$B975,$A976&lt;&gt;$A975),and(not(isblank($A976)),$A976=$A975,$B976&lt;&gt;$B975)),"ID LISTS UNALIGNED",and($A976&lt;&gt;"",countif('3) Release_Label'!$D:$D,$A976)=0),"NO UPC MATCH in Release_Label",and($B976&lt;&gt;"",countif('3) Release_Label'!$E:$E,$B976)=0),"NO CATALOG ID MATCH in Release_Label",iserror(vlookup($A976&amp;$B976,'3) Release_Label'!$D:$D&amp;'3) Release_Label'!$E:$E,1,0)),"NO UPC-CATALOG ID pair MATCH in Release_Label" )</f>
        <v/>
      </c>
      <c r="D976" s="121" t="str">
        <f t="array" ref="D976">ifs(and(isblank($A976),isblank($B976)),"", not(iserror(vlookup($A976&amp;$B976,'3) Release_Label'!$D:$D&amp;'3) Release_Label'!$E:$E,1,0))),vlookup($A976&amp;$B976,{'3) Release_Label'!$D:$D&amp;'3) Release_Label'!$E:$E,'3) Release_Label'!$H:$H},2,0), or(and(not(isblank($B976)),$B976=$B975,$A976&lt;&gt;$A975),and(not(isblank($A976)),$A976=$A975,$B976&lt;&gt;$B975)),"ID LISTS UNALIGNED",and($A976&lt;&gt;"",countif('3) Release_Label'!$D:$D,$A976)=0),"NO UPC MATCH in Release_Label",and($B976&lt;&gt;"",countif('3) Release_Label'!$E:$E,$B976)=0),"NO CATALOG ID MATCH in Release_Label",iserror(vlookup($A976&amp;$B976,'3) Release_Label'!$D:$D&amp;'3) Release_Label'!$E:$E,1,0)),"NO UPC-CATALOG ID pair MATCH in Release_Label" )</f>
        <v/>
      </c>
      <c r="E976" s="147" t="str">
        <f t="shared" si="1"/>
        <v/>
      </c>
      <c r="G976" s="97"/>
      <c r="H976" s="155"/>
      <c r="J976" s="92"/>
      <c r="K976" s="98"/>
      <c r="L976" s="92"/>
      <c r="N976" s="92"/>
      <c r="O976" s="92"/>
      <c r="P976" s="92"/>
    </row>
    <row r="977">
      <c r="A977" s="28"/>
      <c r="B977" s="97"/>
      <c r="C977" s="121" t="str">
        <f t="array" ref="C977">ifs(and(isblank($A977),isblank($B977)),"", not(iserror(vlookup($A977&amp;$B977,'3) Release_Label'!$D:$D&amp;'3) Release_Label'!$E:$E,1,0))),vlookup($A977&amp;$B977,{'3) Release_Label'!$D:$D&amp;'3) Release_Label'!$E:$E,'3) Release_Label'!$F:$F},2,0), or(and(not(isblank($B977)),$B977=$B976,$A977&lt;&gt;$A976),and(not(isblank($A977)),$A977=$A976,$B977&lt;&gt;$B976)),"ID LISTS UNALIGNED",and($A977&lt;&gt;"",countif('3) Release_Label'!$D:$D,$A977)=0),"NO UPC MATCH in Release_Label",and($B977&lt;&gt;"",countif('3) Release_Label'!$E:$E,$B977)=0),"NO CATALOG ID MATCH in Release_Label",iserror(vlookup($A977&amp;$B977,'3) Release_Label'!$D:$D&amp;'3) Release_Label'!$E:$E,1,0)),"NO UPC-CATALOG ID pair MATCH in Release_Label" )</f>
        <v/>
      </c>
      <c r="D977" s="121" t="str">
        <f t="array" ref="D977">ifs(and(isblank($A977),isblank($B977)),"", not(iserror(vlookup($A977&amp;$B977,'3) Release_Label'!$D:$D&amp;'3) Release_Label'!$E:$E,1,0))),vlookup($A977&amp;$B977,{'3) Release_Label'!$D:$D&amp;'3) Release_Label'!$E:$E,'3) Release_Label'!$H:$H},2,0), or(and(not(isblank($B977)),$B977=$B976,$A977&lt;&gt;$A976),and(not(isblank($A977)),$A977=$A976,$B977&lt;&gt;$B976)),"ID LISTS UNALIGNED",and($A977&lt;&gt;"",countif('3) Release_Label'!$D:$D,$A977)=0),"NO UPC MATCH in Release_Label",and($B977&lt;&gt;"",countif('3) Release_Label'!$E:$E,$B977)=0),"NO CATALOG ID MATCH in Release_Label",iserror(vlookup($A977&amp;$B977,'3) Release_Label'!$D:$D&amp;'3) Release_Label'!$E:$E,1,0)),"NO UPC-CATALOG ID pair MATCH in Release_Label" )</f>
        <v/>
      </c>
      <c r="E977" s="147" t="str">
        <f t="shared" si="1"/>
        <v/>
      </c>
      <c r="G977" s="97"/>
      <c r="H977" s="155"/>
      <c r="J977" s="92"/>
      <c r="K977" s="98"/>
      <c r="L977" s="92"/>
      <c r="N977" s="92"/>
      <c r="O977" s="92"/>
      <c r="P977" s="92"/>
    </row>
    <row r="978">
      <c r="A978" s="28"/>
      <c r="B978" s="97"/>
      <c r="C978" s="121" t="str">
        <f t="array" ref="C978">ifs(and(isblank($A978),isblank($B978)),"", not(iserror(vlookup($A978&amp;$B978,'3) Release_Label'!$D:$D&amp;'3) Release_Label'!$E:$E,1,0))),vlookup($A978&amp;$B978,{'3) Release_Label'!$D:$D&amp;'3) Release_Label'!$E:$E,'3) Release_Label'!$F:$F},2,0), or(and(not(isblank($B978)),$B978=$B977,$A978&lt;&gt;$A977),and(not(isblank($A978)),$A978=$A977,$B978&lt;&gt;$B977)),"ID LISTS UNALIGNED",and($A978&lt;&gt;"",countif('3) Release_Label'!$D:$D,$A978)=0),"NO UPC MATCH in Release_Label",and($B978&lt;&gt;"",countif('3) Release_Label'!$E:$E,$B978)=0),"NO CATALOG ID MATCH in Release_Label",iserror(vlookup($A978&amp;$B978,'3) Release_Label'!$D:$D&amp;'3) Release_Label'!$E:$E,1,0)),"NO UPC-CATALOG ID pair MATCH in Release_Label" )</f>
        <v/>
      </c>
      <c r="D978" s="121" t="str">
        <f t="array" ref="D978">ifs(and(isblank($A978),isblank($B978)),"", not(iserror(vlookup($A978&amp;$B978,'3) Release_Label'!$D:$D&amp;'3) Release_Label'!$E:$E,1,0))),vlookup($A978&amp;$B978,{'3) Release_Label'!$D:$D&amp;'3) Release_Label'!$E:$E,'3) Release_Label'!$H:$H},2,0), or(and(not(isblank($B978)),$B978=$B977,$A978&lt;&gt;$A977),and(not(isblank($A978)),$A978=$A977,$B978&lt;&gt;$B977)),"ID LISTS UNALIGNED",and($A978&lt;&gt;"",countif('3) Release_Label'!$D:$D,$A978)=0),"NO UPC MATCH in Release_Label",and($B978&lt;&gt;"",countif('3) Release_Label'!$E:$E,$B978)=0),"NO CATALOG ID MATCH in Release_Label",iserror(vlookup($A978&amp;$B978,'3) Release_Label'!$D:$D&amp;'3) Release_Label'!$E:$E,1,0)),"NO UPC-CATALOG ID pair MATCH in Release_Label" )</f>
        <v/>
      </c>
      <c r="E978" s="147" t="str">
        <f t="shared" si="1"/>
        <v/>
      </c>
      <c r="G978" s="97"/>
      <c r="H978" s="155"/>
      <c r="J978" s="92"/>
      <c r="K978" s="98"/>
      <c r="L978" s="92"/>
      <c r="N978" s="92"/>
      <c r="O978" s="92"/>
      <c r="P978" s="92"/>
    </row>
    <row r="979">
      <c r="A979" s="28"/>
      <c r="B979" s="97"/>
      <c r="C979" s="121" t="str">
        <f t="array" ref="C979">ifs(and(isblank($A979),isblank($B979)),"", not(iserror(vlookup($A979&amp;$B979,'3) Release_Label'!$D:$D&amp;'3) Release_Label'!$E:$E,1,0))),vlookup($A979&amp;$B979,{'3) Release_Label'!$D:$D&amp;'3) Release_Label'!$E:$E,'3) Release_Label'!$F:$F},2,0), or(and(not(isblank($B979)),$B979=$B978,$A979&lt;&gt;$A978),and(not(isblank($A979)),$A979=$A978,$B979&lt;&gt;$B978)),"ID LISTS UNALIGNED",and($A979&lt;&gt;"",countif('3) Release_Label'!$D:$D,$A979)=0),"NO UPC MATCH in Release_Label",and($B979&lt;&gt;"",countif('3) Release_Label'!$E:$E,$B979)=0),"NO CATALOG ID MATCH in Release_Label",iserror(vlookup($A979&amp;$B979,'3) Release_Label'!$D:$D&amp;'3) Release_Label'!$E:$E,1,0)),"NO UPC-CATALOG ID pair MATCH in Release_Label" )</f>
        <v/>
      </c>
      <c r="D979" s="121" t="str">
        <f t="array" ref="D979">ifs(and(isblank($A979),isblank($B979)),"", not(iserror(vlookup($A979&amp;$B979,'3) Release_Label'!$D:$D&amp;'3) Release_Label'!$E:$E,1,0))),vlookup($A979&amp;$B979,{'3) Release_Label'!$D:$D&amp;'3) Release_Label'!$E:$E,'3) Release_Label'!$H:$H},2,0), or(and(not(isblank($B979)),$B979=$B978,$A979&lt;&gt;$A978),and(not(isblank($A979)),$A979=$A978,$B979&lt;&gt;$B978)),"ID LISTS UNALIGNED",and($A979&lt;&gt;"",countif('3) Release_Label'!$D:$D,$A979)=0),"NO UPC MATCH in Release_Label",and($B979&lt;&gt;"",countif('3) Release_Label'!$E:$E,$B979)=0),"NO CATALOG ID MATCH in Release_Label",iserror(vlookup($A979&amp;$B979,'3) Release_Label'!$D:$D&amp;'3) Release_Label'!$E:$E,1,0)),"NO UPC-CATALOG ID pair MATCH in Release_Label" )</f>
        <v/>
      </c>
      <c r="E979" s="147" t="str">
        <f t="shared" si="1"/>
        <v/>
      </c>
      <c r="G979" s="97"/>
      <c r="H979" s="155"/>
      <c r="J979" s="92"/>
      <c r="K979" s="98"/>
      <c r="L979" s="92"/>
      <c r="N979" s="92"/>
      <c r="O979" s="92"/>
      <c r="P979" s="92"/>
    </row>
    <row r="980">
      <c r="A980" s="28"/>
      <c r="B980" s="97"/>
      <c r="C980" s="121" t="str">
        <f t="array" ref="C980">ifs(and(isblank($A980),isblank($B980)),"", not(iserror(vlookup($A980&amp;$B980,'3) Release_Label'!$D:$D&amp;'3) Release_Label'!$E:$E,1,0))),vlookup($A980&amp;$B980,{'3) Release_Label'!$D:$D&amp;'3) Release_Label'!$E:$E,'3) Release_Label'!$F:$F},2,0), or(and(not(isblank($B980)),$B980=$B979,$A980&lt;&gt;$A979),and(not(isblank($A980)),$A980=$A979,$B980&lt;&gt;$B979)),"ID LISTS UNALIGNED",and($A980&lt;&gt;"",countif('3) Release_Label'!$D:$D,$A980)=0),"NO UPC MATCH in Release_Label",and($B980&lt;&gt;"",countif('3) Release_Label'!$E:$E,$B980)=0),"NO CATALOG ID MATCH in Release_Label",iserror(vlookup($A980&amp;$B980,'3) Release_Label'!$D:$D&amp;'3) Release_Label'!$E:$E,1,0)),"NO UPC-CATALOG ID pair MATCH in Release_Label" )</f>
        <v/>
      </c>
      <c r="D980" s="121" t="str">
        <f t="array" ref="D980">ifs(and(isblank($A980),isblank($B980)),"", not(iserror(vlookup($A980&amp;$B980,'3) Release_Label'!$D:$D&amp;'3) Release_Label'!$E:$E,1,0))),vlookup($A980&amp;$B980,{'3) Release_Label'!$D:$D&amp;'3) Release_Label'!$E:$E,'3) Release_Label'!$H:$H},2,0), or(and(not(isblank($B980)),$B980=$B979,$A980&lt;&gt;$A979),and(not(isblank($A980)),$A980=$A979,$B980&lt;&gt;$B979)),"ID LISTS UNALIGNED",and($A980&lt;&gt;"",countif('3) Release_Label'!$D:$D,$A980)=0),"NO UPC MATCH in Release_Label",and($B980&lt;&gt;"",countif('3) Release_Label'!$E:$E,$B980)=0),"NO CATALOG ID MATCH in Release_Label",iserror(vlookup($A980&amp;$B980,'3) Release_Label'!$D:$D&amp;'3) Release_Label'!$E:$E,1,0)),"NO UPC-CATALOG ID pair MATCH in Release_Label" )</f>
        <v/>
      </c>
      <c r="E980" s="147" t="str">
        <f t="shared" si="1"/>
        <v/>
      </c>
      <c r="G980" s="97"/>
      <c r="H980" s="155"/>
      <c r="J980" s="92"/>
      <c r="K980" s="98"/>
      <c r="L980" s="92"/>
      <c r="N980" s="92"/>
      <c r="O980" s="92"/>
      <c r="P980" s="92"/>
    </row>
    <row r="981">
      <c r="A981" s="28"/>
      <c r="B981" s="97"/>
      <c r="C981" s="121" t="str">
        <f t="array" ref="C981">ifs(and(isblank($A981),isblank($B981)),"", not(iserror(vlookup($A981&amp;$B981,'3) Release_Label'!$D:$D&amp;'3) Release_Label'!$E:$E,1,0))),vlookup($A981&amp;$B981,{'3) Release_Label'!$D:$D&amp;'3) Release_Label'!$E:$E,'3) Release_Label'!$F:$F},2,0), or(and(not(isblank($B981)),$B981=$B980,$A981&lt;&gt;$A980),and(not(isblank($A981)),$A981=$A980,$B981&lt;&gt;$B980)),"ID LISTS UNALIGNED",and($A981&lt;&gt;"",countif('3) Release_Label'!$D:$D,$A981)=0),"NO UPC MATCH in Release_Label",and($B981&lt;&gt;"",countif('3) Release_Label'!$E:$E,$B981)=0),"NO CATALOG ID MATCH in Release_Label",iserror(vlookup($A981&amp;$B981,'3) Release_Label'!$D:$D&amp;'3) Release_Label'!$E:$E,1,0)),"NO UPC-CATALOG ID pair MATCH in Release_Label" )</f>
        <v/>
      </c>
      <c r="D981" s="121" t="str">
        <f t="array" ref="D981">ifs(and(isblank($A981),isblank($B981)),"", not(iserror(vlookup($A981&amp;$B981,'3) Release_Label'!$D:$D&amp;'3) Release_Label'!$E:$E,1,0))),vlookup($A981&amp;$B981,{'3) Release_Label'!$D:$D&amp;'3) Release_Label'!$E:$E,'3) Release_Label'!$H:$H},2,0), or(and(not(isblank($B981)),$B981=$B980,$A981&lt;&gt;$A980),and(not(isblank($A981)),$A981=$A980,$B981&lt;&gt;$B980)),"ID LISTS UNALIGNED",and($A981&lt;&gt;"",countif('3) Release_Label'!$D:$D,$A981)=0),"NO UPC MATCH in Release_Label",and($B981&lt;&gt;"",countif('3) Release_Label'!$E:$E,$B981)=0),"NO CATALOG ID MATCH in Release_Label",iserror(vlookup($A981&amp;$B981,'3) Release_Label'!$D:$D&amp;'3) Release_Label'!$E:$E,1,0)),"NO UPC-CATALOG ID pair MATCH in Release_Label" )</f>
        <v/>
      </c>
      <c r="E981" s="147" t="str">
        <f t="shared" si="1"/>
        <v/>
      </c>
      <c r="G981" s="97"/>
      <c r="H981" s="155"/>
      <c r="J981" s="92"/>
      <c r="K981" s="98"/>
      <c r="L981" s="92"/>
      <c r="N981" s="92"/>
      <c r="O981" s="92"/>
      <c r="P981" s="92"/>
    </row>
    <row r="982">
      <c r="A982" s="28"/>
      <c r="B982" s="97"/>
      <c r="C982" s="121" t="str">
        <f t="array" ref="C982">ifs(and(isblank($A982),isblank($B982)),"", not(iserror(vlookup($A982&amp;$B982,'3) Release_Label'!$D:$D&amp;'3) Release_Label'!$E:$E,1,0))),vlookup($A982&amp;$B982,{'3) Release_Label'!$D:$D&amp;'3) Release_Label'!$E:$E,'3) Release_Label'!$F:$F},2,0), or(and(not(isblank($B982)),$B982=$B981,$A982&lt;&gt;$A981),and(not(isblank($A982)),$A982=$A981,$B982&lt;&gt;$B981)),"ID LISTS UNALIGNED",and($A982&lt;&gt;"",countif('3) Release_Label'!$D:$D,$A982)=0),"NO UPC MATCH in Release_Label",and($B982&lt;&gt;"",countif('3) Release_Label'!$E:$E,$B982)=0),"NO CATALOG ID MATCH in Release_Label",iserror(vlookup($A982&amp;$B982,'3) Release_Label'!$D:$D&amp;'3) Release_Label'!$E:$E,1,0)),"NO UPC-CATALOG ID pair MATCH in Release_Label" )</f>
        <v/>
      </c>
      <c r="D982" s="121" t="str">
        <f t="array" ref="D982">ifs(and(isblank($A982),isblank($B982)),"", not(iserror(vlookup($A982&amp;$B982,'3) Release_Label'!$D:$D&amp;'3) Release_Label'!$E:$E,1,0))),vlookup($A982&amp;$B982,{'3) Release_Label'!$D:$D&amp;'3) Release_Label'!$E:$E,'3) Release_Label'!$H:$H},2,0), or(and(not(isblank($B982)),$B982=$B981,$A982&lt;&gt;$A981),and(not(isblank($A982)),$A982=$A981,$B982&lt;&gt;$B981)),"ID LISTS UNALIGNED",and($A982&lt;&gt;"",countif('3) Release_Label'!$D:$D,$A982)=0),"NO UPC MATCH in Release_Label",and($B982&lt;&gt;"",countif('3) Release_Label'!$E:$E,$B982)=0),"NO CATALOG ID MATCH in Release_Label",iserror(vlookup($A982&amp;$B982,'3) Release_Label'!$D:$D&amp;'3) Release_Label'!$E:$E,1,0)),"NO UPC-CATALOG ID pair MATCH in Release_Label" )</f>
        <v/>
      </c>
      <c r="E982" s="147" t="str">
        <f t="shared" si="1"/>
        <v/>
      </c>
      <c r="G982" s="97"/>
      <c r="H982" s="155"/>
      <c r="J982" s="92"/>
      <c r="K982" s="98"/>
      <c r="L982" s="92"/>
      <c r="N982" s="92"/>
      <c r="O982" s="92"/>
      <c r="P982" s="92"/>
    </row>
    <row r="983">
      <c r="A983" s="28"/>
      <c r="B983" s="97"/>
      <c r="C983" s="121" t="str">
        <f t="array" ref="C983">ifs(and(isblank($A983),isblank($B983)),"", not(iserror(vlookup($A983&amp;$B983,'3) Release_Label'!$D:$D&amp;'3) Release_Label'!$E:$E,1,0))),vlookup($A983&amp;$B983,{'3) Release_Label'!$D:$D&amp;'3) Release_Label'!$E:$E,'3) Release_Label'!$F:$F},2,0), or(and(not(isblank($B983)),$B983=$B982,$A983&lt;&gt;$A982),and(not(isblank($A983)),$A983=$A982,$B983&lt;&gt;$B982)),"ID LISTS UNALIGNED",and($A983&lt;&gt;"",countif('3) Release_Label'!$D:$D,$A983)=0),"NO UPC MATCH in Release_Label",and($B983&lt;&gt;"",countif('3) Release_Label'!$E:$E,$B983)=0),"NO CATALOG ID MATCH in Release_Label",iserror(vlookup($A983&amp;$B983,'3) Release_Label'!$D:$D&amp;'3) Release_Label'!$E:$E,1,0)),"NO UPC-CATALOG ID pair MATCH in Release_Label" )</f>
        <v/>
      </c>
      <c r="D983" s="121" t="str">
        <f t="array" ref="D983">ifs(and(isblank($A983),isblank($B983)),"", not(iserror(vlookup($A983&amp;$B983,'3) Release_Label'!$D:$D&amp;'3) Release_Label'!$E:$E,1,0))),vlookup($A983&amp;$B983,{'3) Release_Label'!$D:$D&amp;'3) Release_Label'!$E:$E,'3) Release_Label'!$H:$H},2,0), or(and(not(isblank($B983)),$B983=$B982,$A983&lt;&gt;$A982),and(not(isblank($A983)),$A983=$A982,$B983&lt;&gt;$B982)),"ID LISTS UNALIGNED",and($A983&lt;&gt;"",countif('3) Release_Label'!$D:$D,$A983)=0),"NO UPC MATCH in Release_Label",and($B983&lt;&gt;"",countif('3) Release_Label'!$E:$E,$B983)=0),"NO CATALOG ID MATCH in Release_Label",iserror(vlookup($A983&amp;$B983,'3) Release_Label'!$D:$D&amp;'3) Release_Label'!$E:$E,1,0)),"NO UPC-CATALOG ID pair MATCH in Release_Label" )</f>
        <v/>
      </c>
      <c r="E983" s="147" t="str">
        <f t="shared" si="1"/>
        <v/>
      </c>
      <c r="G983" s="97"/>
      <c r="H983" s="155"/>
      <c r="J983" s="92"/>
      <c r="K983" s="98"/>
      <c r="L983" s="92"/>
      <c r="N983" s="92"/>
      <c r="O983" s="92"/>
      <c r="P983" s="92"/>
    </row>
    <row r="984">
      <c r="A984" s="28"/>
      <c r="B984" s="97"/>
      <c r="C984" s="121" t="str">
        <f t="array" ref="C984">ifs(and(isblank($A984),isblank($B984)),"", not(iserror(vlookup($A984&amp;$B984,'3) Release_Label'!$D:$D&amp;'3) Release_Label'!$E:$E,1,0))),vlookup($A984&amp;$B984,{'3) Release_Label'!$D:$D&amp;'3) Release_Label'!$E:$E,'3) Release_Label'!$F:$F},2,0), or(and(not(isblank($B984)),$B984=$B983,$A984&lt;&gt;$A983),and(not(isblank($A984)),$A984=$A983,$B984&lt;&gt;$B983)),"ID LISTS UNALIGNED",and($A984&lt;&gt;"",countif('3) Release_Label'!$D:$D,$A984)=0),"NO UPC MATCH in Release_Label",and($B984&lt;&gt;"",countif('3) Release_Label'!$E:$E,$B984)=0),"NO CATALOG ID MATCH in Release_Label",iserror(vlookup($A984&amp;$B984,'3) Release_Label'!$D:$D&amp;'3) Release_Label'!$E:$E,1,0)),"NO UPC-CATALOG ID pair MATCH in Release_Label" )</f>
        <v/>
      </c>
      <c r="D984" s="121" t="str">
        <f t="array" ref="D984">ifs(and(isblank($A984),isblank($B984)),"", not(iserror(vlookup($A984&amp;$B984,'3) Release_Label'!$D:$D&amp;'3) Release_Label'!$E:$E,1,0))),vlookup($A984&amp;$B984,{'3) Release_Label'!$D:$D&amp;'3) Release_Label'!$E:$E,'3) Release_Label'!$H:$H},2,0), or(and(not(isblank($B984)),$B984=$B983,$A984&lt;&gt;$A983),and(not(isblank($A984)),$A984=$A983,$B984&lt;&gt;$B983)),"ID LISTS UNALIGNED",and($A984&lt;&gt;"",countif('3) Release_Label'!$D:$D,$A984)=0),"NO UPC MATCH in Release_Label",and($B984&lt;&gt;"",countif('3) Release_Label'!$E:$E,$B984)=0),"NO CATALOG ID MATCH in Release_Label",iserror(vlookup($A984&amp;$B984,'3) Release_Label'!$D:$D&amp;'3) Release_Label'!$E:$E,1,0)),"NO UPC-CATALOG ID pair MATCH in Release_Label" )</f>
        <v/>
      </c>
      <c r="E984" s="147" t="str">
        <f t="shared" si="1"/>
        <v/>
      </c>
      <c r="G984" s="97"/>
      <c r="H984" s="155"/>
      <c r="J984" s="92"/>
      <c r="K984" s="98"/>
      <c r="L984" s="92"/>
      <c r="N984" s="92"/>
      <c r="O984" s="92"/>
      <c r="P984" s="92"/>
    </row>
    <row r="985">
      <c r="A985" s="28"/>
      <c r="B985" s="97"/>
      <c r="C985" s="121" t="str">
        <f t="array" ref="C985">ifs(and(isblank($A985),isblank($B985)),"", not(iserror(vlookup($A985&amp;$B985,'3) Release_Label'!$D:$D&amp;'3) Release_Label'!$E:$E,1,0))),vlookup($A985&amp;$B985,{'3) Release_Label'!$D:$D&amp;'3) Release_Label'!$E:$E,'3) Release_Label'!$F:$F},2,0), or(and(not(isblank($B985)),$B985=$B984,$A985&lt;&gt;$A984),and(not(isblank($A985)),$A985=$A984,$B985&lt;&gt;$B984)),"ID LISTS UNALIGNED",and($A985&lt;&gt;"",countif('3) Release_Label'!$D:$D,$A985)=0),"NO UPC MATCH in Release_Label",and($B985&lt;&gt;"",countif('3) Release_Label'!$E:$E,$B985)=0),"NO CATALOG ID MATCH in Release_Label",iserror(vlookup($A985&amp;$B985,'3) Release_Label'!$D:$D&amp;'3) Release_Label'!$E:$E,1,0)),"NO UPC-CATALOG ID pair MATCH in Release_Label" )</f>
        <v/>
      </c>
      <c r="D985" s="121" t="str">
        <f t="array" ref="D985">ifs(and(isblank($A985),isblank($B985)),"", not(iserror(vlookup($A985&amp;$B985,'3) Release_Label'!$D:$D&amp;'3) Release_Label'!$E:$E,1,0))),vlookup($A985&amp;$B985,{'3) Release_Label'!$D:$D&amp;'3) Release_Label'!$E:$E,'3) Release_Label'!$H:$H},2,0), or(and(not(isblank($B985)),$B985=$B984,$A985&lt;&gt;$A984),and(not(isblank($A985)),$A985=$A984,$B985&lt;&gt;$B984)),"ID LISTS UNALIGNED",and($A985&lt;&gt;"",countif('3) Release_Label'!$D:$D,$A985)=0),"NO UPC MATCH in Release_Label",and($B985&lt;&gt;"",countif('3) Release_Label'!$E:$E,$B985)=0),"NO CATALOG ID MATCH in Release_Label",iserror(vlookup($A985&amp;$B985,'3) Release_Label'!$D:$D&amp;'3) Release_Label'!$E:$E,1,0)),"NO UPC-CATALOG ID pair MATCH in Release_Label" )</f>
        <v/>
      </c>
      <c r="E985" s="147" t="str">
        <f t="shared" si="1"/>
        <v/>
      </c>
      <c r="G985" s="97"/>
      <c r="H985" s="155"/>
      <c r="J985" s="92"/>
      <c r="K985" s="98"/>
      <c r="L985" s="92"/>
      <c r="N985" s="92"/>
      <c r="O985" s="92"/>
      <c r="P985" s="92"/>
    </row>
    <row r="986">
      <c r="A986" s="28"/>
      <c r="B986" s="97"/>
      <c r="C986" s="121" t="str">
        <f t="array" ref="C986">ifs(and(isblank($A986),isblank($B986)),"", not(iserror(vlookup($A986&amp;$B986,'3) Release_Label'!$D:$D&amp;'3) Release_Label'!$E:$E,1,0))),vlookup($A986&amp;$B986,{'3) Release_Label'!$D:$D&amp;'3) Release_Label'!$E:$E,'3) Release_Label'!$F:$F},2,0), or(and(not(isblank($B986)),$B986=$B985,$A986&lt;&gt;$A985),and(not(isblank($A986)),$A986=$A985,$B986&lt;&gt;$B985)),"ID LISTS UNALIGNED",and($A986&lt;&gt;"",countif('3) Release_Label'!$D:$D,$A986)=0),"NO UPC MATCH in Release_Label",and($B986&lt;&gt;"",countif('3) Release_Label'!$E:$E,$B986)=0),"NO CATALOG ID MATCH in Release_Label",iserror(vlookup($A986&amp;$B986,'3) Release_Label'!$D:$D&amp;'3) Release_Label'!$E:$E,1,0)),"NO UPC-CATALOG ID pair MATCH in Release_Label" )</f>
        <v/>
      </c>
      <c r="D986" s="121" t="str">
        <f t="array" ref="D986">ifs(and(isblank($A986),isblank($B986)),"", not(iserror(vlookup($A986&amp;$B986,'3) Release_Label'!$D:$D&amp;'3) Release_Label'!$E:$E,1,0))),vlookup($A986&amp;$B986,{'3) Release_Label'!$D:$D&amp;'3) Release_Label'!$E:$E,'3) Release_Label'!$H:$H},2,0), or(and(not(isblank($B986)),$B986=$B985,$A986&lt;&gt;$A985),and(not(isblank($A986)),$A986=$A985,$B986&lt;&gt;$B985)),"ID LISTS UNALIGNED",and($A986&lt;&gt;"",countif('3) Release_Label'!$D:$D,$A986)=0),"NO UPC MATCH in Release_Label",and($B986&lt;&gt;"",countif('3) Release_Label'!$E:$E,$B986)=0),"NO CATALOG ID MATCH in Release_Label",iserror(vlookup($A986&amp;$B986,'3) Release_Label'!$D:$D&amp;'3) Release_Label'!$E:$E,1,0)),"NO UPC-CATALOG ID pair MATCH in Release_Label" )</f>
        <v/>
      </c>
      <c r="E986" s="147" t="str">
        <f t="shared" si="1"/>
        <v/>
      </c>
      <c r="G986" s="97"/>
      <c r="H986" s="155"/>
      <c r="J986" s="92"/>
      <c r="K986" s="98"/>
      <c r="L986" s="92"/>
      <c r="N986" s="92"/>
      <c r="O986" s="92"/>
      <c r="P986" s="92"/>
    </row>
    <row r="987">
      <c r="A987" s="28"/>
      <c r="B987" s="97"/>
      <c r="C987" s="121" t="str">
        <f t="array" ref="C987">ifs(and(isblank($A987),isblank($B987)),"", not(iserror(vlookup($A987&amp;$B987,'3) Release_Label'!$D:$D&amp;'3) Release_Label'!$E:$E,1,0))),vlookup($A987&amp;$B987,{'3) Release_Label'!$D:$D&amp;'3) Release_Label'!$E:$E,'3) Release_Label'!$F:$F},2,0), or(and(not(isblank($B987)),$B987=$B986,$A987&lt;&gt;$A986),and(not(isblank($A987)),$A987=$A986,$B987&lt;&gt;$B986)),"ID LISTS UNALIGNED",and($A987&lt;&gt;"",countif('3) Release_Label'!$D:$D,$A987)=0),"NO UPC MATCH in Release_Label",and($B987&lt;&gt;"",countif('3) Release_Label'!$E:$E,$B987)=0),"NO CATALOG ID MATCH in Release_Label",iserror(vlookup($A987&amp;$B987,'3) Release_Label'!$D:$D&amp;'3) Release_Label'!$E:$E,1,0)),"NO UPC-CATALOG ID pair MATCH in Release_Label" )</f>
        <v/>
      </c>
      <c r="D987" s="121" t="str">
        <f t="array" ref="D987">ifs(and(isblank($A987),isblank($B987)),"", not(iserror(vlookup($A987&amp;$B987,'3) Release_Label'!$D:$D&amp;'3) Release_Label'!$E:$E,1,0))),vlookup($A987&amp;$B987,{'3) Release_Label'!$D:$D&amp;'3) Release_Label'!$E:$E,'3) Release_Label'!$H:$H},2,0), or(and(not(isblank($B987)),$B987=$B986,$A987&lt;&gt;$A986),and(not(isblank($A987)),$A987=$A986,$B987&lt;&gt;$B986)),"ID LISTS UNALIGNED",and($A987&lt;&gt;"",countif('3) Release_Label'!$D:$D,$A987)=0),"NO UPC MATCH in Release_Label",and($B987&lt;&gt;"",countif('3) Release_Label'!$E:$E,$B987)=0),"NO CATALOG ID MATCH in Release_Label",iserror(vlookup($A987&amp;$B987,'3) Release_Label'!$D:$D&amp;'3) Release_Label'!$E:$E,1,0)),"NO UPC-CATALOG ID pair MATCH in Release_Label" )</f>
        <v/>
      </c>
      <c r="E987" s="147" t="str">
        <f t="shared" si="1"/>
        <v/>
      </c>
      <c r="G987" s="97"/>
      <c r="H987" s="155"/>
      <c r="J987" s="92"/>
      <c r="K987" s="98"/>
      <c r="L987" s="92"/>
      <c r="N987" s="92"/>
      <c r="O987" s="92"/>
      <c r="P987" s="92"/>
    </row>
    <row r="988">
      <c r="A988" s="28"/>
      <c r="B988" s="97"/>
      <c r="C988" s="121" t="str">
        <f t="array" ref="C988">ifs(and(isblank($A988),isblank($B988)),"", not(iserror(vlookup($A988&amp;$B988,'3) Release_Label'!$D:$D&amp;'3) Release_Label'!$E:$E,1,0))),vlookup($A988&amp;$B988,{'3) Release_Label'!$D:$D&amp;'3) Release_Label'!$E:$E,'3) Release_Label'!$F:$F},2,0), or(and(not(isblank($B988)),$B988=$B987,$A988&lt;&gt;$A987),and(not(isblank($A988)),$A988=$A987,$B988&lt;&gt;$B987)),"ID LISTS UNALIGNED",and($A988&lt;&gt;"",countif('3) Release_Label'!$D:$D,$A988)=0),"NO UPC MATCH in Release_Label",and($B988&lt;&gt;"",countif('3) Release_Label'!$E:$E,$B988)=0),"NO CATALOG ID MATCH in Release_Label",iserror(vlookup($A988&amp;$B988,'3) Release_Label'!$D:$D&amp;'3) Release_Label'!$E:$E,1,0)),"NO UPC-CATALOG ID pair MATCH in Release_Label" )</f>
        <v/>
      </c>
      <c r="D988" s="121" t="str">
        <f t="array" ref="D988">ifs(and(isblank($A988),isblank($B988)),"", not(iserror(vlookup($A988&amp;$B988,'3) Release_Label'!$D:$D&amp;'3) Release_Label'!$E:$E,1,0))),vlookup($A988&amp;$B988,{'3) Release_Label'!$D:$D&amp;'3) Release_Label'!$E:$E,'3) Release_Label'!$H:$H},2,0), or(and(not(isblank($B988)),$B988=$B987,$A988&lt;&gt;$A987),and(not(isblank($A988)),$A988=$A987,$B988&lt;&gt;$B987)),"ID LISTS UNALIGNED",and($A988&lt;&gt;"",countif('3) Release_Label'!$D:$D,$A988)=0),"NO UPC MATCH in Release_Label",and($B988&lt;&gt;"",countif('3) Release_Label'!$E:$E,$B988)=0),"NO CATALOG ID MATCH in Release_Label",iserror(vlookup($A988&amp;$B988,'3) Release_Label'!$D:$D&amp;'3) Release_Label'!$E:$E,1,0)),"NO UPC-CATALOG ID pair MATCH in Release_Label" )</f>
        <v/>
      </c>
      <c r="E988" s="147" t="str">
        <f t="shared" si="1"/>
        <v/>
      </c>
      <c r="G988" s="97"/>
      <c r="H988" s="155"/>
      <c r="J988" s="92"/>
      <c r="K988" s="98"/>
      <c r="L988" s="92"/>
      <c r="N988" s="92"/>
      <c r="O988" s="92"/>
      <c r="P988" s="92"/>
    </row>
    <row r="989">
      <c r="A989" s="28"/>
      <c r="B989" s="97"/>
      <c r="C989" s="121" t="str">
        <f t="array" ref="C989">ifs(and(isblank($A989),isblank($B989)),"", not(iserror(vlookup($A989&amp;$B989,'3) Release_Label'!$D:$D&amp;'3) Release_Label'!$E:$E,1,0))),vlookup($A989&amp;$B989,{'3) Release_Label'!$D:$D&amp;'3) Release_Label'!$E:$E,'3) Release_Label'!$F:$F},2,0), or(and(not(isblank($B989)),$B989=$B988,$A989&lt;&gt;$A988),and(not(isblank($A989)),$A989=$A988,$B989&lt;&gt;$B988)),"ID LISTS UNALIGNED",and($A989&lt;&gt;"",countif('3) Release_Label'!$D:$D,$A989)=0),"NO UPC MATCH in Release_Label",and($B989&lt;&gt;"",countif('3) Release_Label'!$E:$E,$B989)=0),"NO CATALOG ID MATCH in Release_Label",iserror(vlookup($A989&amp;$B989,'3) Release_Label'!$D:$D&amp;'3) Release_Label'!$E:$E,1,0)),"NO UPC-CATALOG ID pair MATCH in Release_Label" )</f>
        <v/>
      </c>
      <c r="D989" s="121" t="str">
        <f t="array" ref="D989">ifs(and(isblank($A989),isblank($B989)),"", not(iserror(vlookup($A989&amp;$B989,'3) Release_Label'!$D:$D&amp;'3) Release_Label'!$E:$E,1,0))),vlookup($A989&amp;$B989,{'3) Release_Label'!$D:$D&amp;'3) Release_Label'!$E:$E,'3) Release_Label'!$H:$H},2,0), or(and(not(isblank($B989)),$B989=$B988,$A989&lt;&gt;$A988),and(not(isblank($A989)),$A989=$A988,$B989&lt;&gt;$B988)),"ID LISTS UNALIGNED",and($A989&lt;&gt;"",countif('3) Release_Label'!$D:$D,$A989)=0),"NO UPC MATCH in Release_Label",and($B989&lt;&gt;"",countif('3) Release_Label'!$E:$E,$B989)=0),"NO CATALOG ID MATCH in Release_Label",iserror(vlookup($A989&amp;$B989,'3) Release_Label'!$D:$D&amp;'3) Release_Label'!$E:$E,1,0)),"NO UPC-CATALOG ID pair MATCH in Release_Label" )</f>
        <v/>
      </c>
      <c r="E989" s="147" t="str">
        <f t="shared" si="1"/>
        <v/>
      </c>
      <c r="G989" s="97"/>
      <c r="H989" s="155"/>
      <c r="J989" s="92"/>
      <c r="K989" s="98"/>
      <c r="L989" s="92"/>
      <c r="N989" s="92"/>
      <c r="O989" s="92"/>
      <c r="P989" s="92"/>
    </row>
    <row r="990">
      <c r="A990" s="28"/>
      <c r="B990" s="97"/>
      <c r="C990" s="121" t="str">
        <f t="array" ref="C990">ifs(and(isblank($A990),isblank($B990)),"", not(iserror(vlookup($A990&amp;$B990,'3) Release_Label'!$D:$D&amp;'3) Release_Label'!$E:$E,1,0))),vlookup($A990&amp;$B990,{'3) Release_Label'!$D:$D&amp;'3) Release_Label'!$E:$E,'3) Release_Label'!$F:$F},2,0), or(and(not(isblank($B990)),$B990=$B989,$A990&lt;&gt;$A989),and(not(isblank($A990)),$A990=$A989,$B990&lt;&gt;$B989)),"ID LISTS UNALIGNED",and($A990&lt;&gt;"",countif('3) Release_Label'!$D:$D,$A990)=0),"NO UPC MATCH in Release_Label",and($B990&lt;&gt;"",countif('3) Release_Label'!$E:$E,$B990)=0),"NO CATALOG ID MATCH in Release_Label",iserror(vlookup($A990&amp;$B990,'3) Release_Label'!$D:$D&amp;'3) Release_Label'!$E:$E,1,0)),"NO UPC-CATALOG ID pair MATCH in Release_Label" )</f>
        <v/>
      </c>
      <c r="D990" s="121" t="str">
        <f t="array" ref="D990">ifs(and(isblank($A990),isblank($B990)),"", not(iserror(vlookup($A990&amp;$B990,'3) Release_Label'!$D:$D&amp;'3) Release_Label'!$E:$E,1,0))),vlookup($A990&amp;$B990,{'3) Release_Label'!$D:$D&amp;'3) Release_Label'!$E:$E,'3) Release_Label'!$H:$H},2,0), or(and(not(isblank($B990)),$B990=$B989,$A990&lt;&gt;$A989),and(not(isblank($A990)),$A990=$A989,$B990&lt;&gt;$B989)),"ID LISTS UNALIGNED",and($A990&lt;&gt;"",countif('3) Release_Label'!$D:$D,$A990)=0),"NO UPC MATCH in Release_Label",and($B990&lt;&gt;"",countif('3) Release_Label'!$E:$E,$B990)=0),"NO CATALOG ID MATCH in Release_Label",iserror(vlookup($A990&amp;$B990,'3) Release_Label'!$D:$D&amp;'3) Release_Label'!$E:$E,1,0)),"NO UPC-CATALOG ID pair MATCH in Release_Label" )</f>
        <v/>
      </c>
      <c r="E990" s="147" t="str">
        <f t="shared" si="1"/>
        <v/>
      </c>
      <c r="G990" s="97"/>
      <c r="H990" s="155"/>
      <c r="J990" s="92"/>
      <c r="K990" s="98"/>
      <c r="L990" s="92"/>
      <c r="N990" s="92"/>
      <c r="O990" s="92"/>
      <c r="P990" s="92"/>
    </row>
    <row r="991">
      <c r="A991" s="28"/>
      <c r="B991" s="97"/>
      <c r="C991" s="121" t="str">
        <f t="array" ref="C991">ifs(and(isblank($A991),isblank($B991)),"", not(iserror(vlookup($A991&amp;$B991,'3) Release_Label'!$D:$D&amp;'3) Release_Label'!$E:$E,1,0))),vlookup($A991&amp;$B991,{'3) Release_Label'!$D:$D&amp;'3) Release_Label'!$E:$E,'3) Release_Label'!$F:$F},2,0), or(and(not(isblank($B991)),$B991=$B990,$A991&lt;&gt;$A990),and(not(isblank($A991)),$A991=$A990,$B991&lt;&gt;$B990)),"ID LISTS UNALIGNED",and($A991&lt;&gt;"",countif('3) Release_Label'!$D:$D,$A991)=0),"NO UPC MATCH in Release_Label",and($B991&lt;&gt;"",countif('3) Release_Label'!$E:$E,$B991)=0),"NO CATALOG ID MATCH in Release_Label",iserror(vlookup($A991&amp;$B991,'3) Release_Label'!$D:$D&amp;'3) Release_Label'!$E:$E,1,0)),"NO UPC-CATALOG ID pair MATCH in Release_Label" )</f>
        <v/>
      </c>
      <c r="D991" s="121" t="str">
        <f t="array" ref="D991">ifs(and(isblank($A991),isblank($B991)),"", not(iserror(vlookup($A991&amp;$B991,'3) Release_Label'!$D:$D&amp;'3) Release_Label'!$E:$E,1,0))),vlookup($A991&amp;$B991,{'3) Release_Label'!$D:$D&amp;'3) Release_Label'!$E:$E,'3) Release_Label'!$H:$H},2,0), or(and(not(isblank($B991)),$B991=$B990,$A991&lt;&gt;$A990),and(not(isblank($A991)),$A991=$A990,$B991&lt;&gt;$B990)),"ID LISTS UNALIGNED",and($A991&lt;&gt;"",countif('3) Release_Label'!$D:$D,$A991)=0),"NO UPC MATCH in Release_Label",and($B991&lt;&gt;"",countif('3) Release_Label'!$E:$E,$B991)=0),"NO CATALOG ID MATCH in Release_Label",iserror(vlookup($A991&amp;$B991,'3) Release_Label'!$D:$D&amp;'3) Release_Label'!$E:$E,1,0)),"NO UPC-CATALOG ID pair MATCH in Release_Label" )</f>
        <v/>
      </c>
      <c r="E991" s="147" t="str">
        <f t="shared" si="1"/>
        <v/>
      </c>
      <c r="G991" s="97"/>
      <c r="H991" s="155"/>
      <c r="J991" s="92"/>
      <c r="K991" s="98"/>
      <c r="L991" s="92"/>
      <c r="N991" s="92"/>
      <c r="O991" s="92"/>
      <c r="P991" s="92"/>
    </row>
    <row r="992">
      <c r="A992" s="28"/>
      <c r="B992" s="97"/>
      <c r="C992" s="121" t="str">
        <f t="array" ref="C992">ifs(and(isblank($A992),isblank($B992)),"", not(iserror(vlookup($A992&amp;$B992,'3) Release_Label'!$D:$D&amp;'3) Release_Label'!$E:$E,1,0))),vlookup($A992&amp;$B992,{'3) Release_Label'!$D:$D&amp;'3) Release_Label'!$E:$E,'3) Release_Label'!$F:$F},2,0), or(and(not(isblank($B992)),$B992=$B991,$A992&lt;&gt;$A991),and(not(isblank($A992)),$A992=$A991,$B992&lt;&gt;$B991)),"ID LISTS UNALIGNED",and($A992&lt;&gt;"",countif('3) Release_Label'!$D:$D,$A992)=0),"NO UPC MATCH in Release_Label",and($B992&lt;&gt;"",countif('3) Release_Label'!$E:$E,$B992)=0),"NO CATALOG ID MATCH in Release_Label",iserror(vlookup($A992&amp;$B992,'3) Release_Label'!$D:$D&amp;'3) Release_Label'!$E:$E,1,0)),"NO UPC-CATALOG ID pair MATCH in Release_Label" )</f>
        <v/>
      </c>
      <c r="D992" s="121" t="str">
        <f t="array" ref="D992">ifs(and(isblank($A992),isblank($B992)),"", not(iserror(vlookup($A992&amp;$B992,'3) Release_Label'!$D:$D&amp;'3) Release_Label'!$E:$E,1,0))),vlookup($A992&amp;$B992,{'3) Release_Label'!$D:$D&amp;'3) Release_Label'!$E:$E,'3) Release_Label'!$H:$H},2,0), or(and(not(isblank($B992)),$B992=$B991,$A992&lt;&gt;$A991),and(not(isblank($A992)),$A992=$A991,$B992&lt;&gt;$B991)),"ID LISTS UNALIGNED",and($A992&lt;&gt;"",countif('3) Release_Label'!$D:$D,$A992)=0),"NO UPC MATCH in Release_Label",and($B992&lt;&gt;"",countif('3) Release_Label'!$E:$E,$B992)=0),"NO CATALOG ID MATCH in Release_Label",iserror(vlookup($A992&amp;$B992,'3) Release_Label'!$D:$D&amp;'3) Release_Label'!$E:$E,1,0)),"NO UPC-CATALOG ID pair MATCH in Release_Label" )</f>
        <v/>
      </c>
      <c r="E992" s="147" t="str">
        <f t="shared" si="1"/>
        <v/>
      </c>
      <c r="G992" s="97"/>
      <c r="H992" s="155"/>
      <c r="J992" s="92"/>
      <c r="K992" s="98"/>
      <c r="L992" s="92"/>
      <c r="N992" s="92"/>
      <c r="O992" s="92"/>
      <c r="P992" s="92"/>
    </row>
    <row r="993">
      <c r="A993" s="28"/>
      <c r="B993" s="97"/>
      <c r="C993" s="121" t="str">
        <f t="array" ref="C993">ifs(and(isblank($A993),isblank($B993)),"", not(iserror(vlookup($A993&amp;$B993,'3) Release_Label'!$D:$D&amp;'3) Release_Label'!$E:$E,1,0))),vlookup($A993&amp;$B993,{'3) Release_Label'!$D:$D&amp;'3) Release_Label'!$E:$E,'3) Release_Label'!$F:$F},2,0), or(and(not(isblank($B993)),$B993=$B992,$A993&lt;&gt;$A992),and(not(isblank($A993)),$A993=$A992,$B993&lt;&gt;$B992)),"ID LISTS UNALIGNED",and($A993&lt;&gt;"",countif('3) Release_Label'!$D:$D,$A993)=0),"NO UPC MATCH in Release_Label",and($B993&lt;&gt;"",countif('3) Release_Label'!$E:$E,$B993)=0),"NO CATALOG ID MATCH in Release_Label",iserror(vlookup($A993&amp;$B993,'3) Release_Label'!$D:$D&amp;'3) Release_Label'!$E:$E,1,0)),"NO UPC-CATALOG ID pair MATCH in Release_Label" )</f>
        <v/>
      </c>
      <c r="D993" s="121" t="str">
        <f t="array" ref="D993">ifs(and(isblank($A993),isblank($B993)),"", not(iserror(vlookup($A993&amp;$B993,'3) Release_Label'!$D:$D&amp;'3) Release_Label'!$E:$E,1,0))),vlookup($A993&amp;$B993,{'3) Release_Label'!$D:$D&amp;'3) Release_Label'!$E:$E,'3) Release_Label'!$H:$H},2,0), or(and(not(isblank($B993)),$B993=$B992,$A993&lt;&gt;$A992),and(not(isblank($A993)),$A993=$A992,$B993&lt;&gt;$B992)),"ID LISTS UNALIGNED",and($A993&lt;&gt;"",countif('3) Release_Label'!$D:$D,$A993)=0),"NO UPC MATCH in Release_Label",and($B993&lt;&gt;"",countif('3) Release_Label'!$E:$E,$B993)=0),"NO CATALOG ID MATCH in Release_Label",iserror(vlookup($A993&amp;$B993,'3) Release_Label'!$D:$D&amp;'3) Release_Label'!$E:$E,1,0)),"NO UPC-CATALOG ID pair MATCH in Release_Label" )</f>
        <v/>
      </c>
      <c r="E993" s="147" t="str">
        <f t="shared" si="1"/>
        <v/>
      </c>
      <c r="G993" s="97"/>
      <c r="H993" s="155"/>
      <c r="J993" s="92"/>
      <c r="K993" s="98"/>
      <c r="L993" s="92"/>
      <c r="N993" s="92"/>
      <c r="O993" s="92"/>
      <c r="P993" s="92"/>
    </row>
    <row r="994">
      <c r="A994" s="28"/>
      <c r="B994" s="97"/>
      <c r="C994" s="121" t="str">
        <f t="array" ref="C994">ifs(and(isblank($A994),isblank($B994)),"", not(iserror(vlookup($A994&amp;$B994,'3) Release_Label'!$D:$D&amp;'3) Release_Label'!$E:$E,1,0))),vlookup($A994&amp;$B994,{'3) Release_Label'!$D:$D&amp;'3) Release_Label'!$E:$E,'3) Release_Label'!$F:$F},2,0), or(and(not(isblank($B994)),$B994=$B993,$A994&lt;&gt;$A993),and(not(isblank($A994)),$A994=$A993,$B994&lt;&gt;$B993)),"ID LISTS UNALIGNED",and($A994&lt;&gt;"",countif('3) Release_Label'!$D:$D,$A994)=0),"NO UPC MATCH in Release_Label",and($B994&lt;&gt;"",countif('3) Release_Label'!$E:$E,$B994)=0),"NO CATALOG ID MATCH in Release_Label",iserror(vlookup($A994&amp;$B994,'3) Release_Label'!$D:$D&amp;'3) Release_Label'!$E:$E,1,0)),"NO UPC-CATALOG ID pair MATCH in Release_Label" )</f>
        <v/>
      </c>
      <c r="D994" s="121" t="str">
        <f t="array" ref="D994">ifs(and(isblank($A994),isblank($B994)),"", not(iserror(vlookup($A994&amp;$B994,'3) Release_Label'!$D:$D&amp;'3) Release_Label'!$E:$E,1,0))),vlookup($A994&amp;$B994,{'3) Release_Label'!$D:$D&amp;'3) Release_Label'!$E:$E,'3) Release_Label'!$H:$H},2,0), or(and(not(isblank($B994)),$B994=$B993,$A994&lt;&gt;$A993),and(not(isblank($A994)),$A994=$A993,$B994&lt;&gt;$B993)),"ID LISTS UNALIGNED",and($A994&lt;&gt;"",countif('3) Release_Label'!$D:$D,$A994)=0),"NO UPC MATCH in Release_Label",and($B994&lt;&gt;"",countif('3) Release_Label'!$E:$E,$B994)=0),"NO CATALOG ID MATCH in Release_Label",iserror(vlookup($A994&amp;$B994,'3) Release_Label'!$D:$D&amp;'3) Release_Label'!$E:$E,1,0)),"NO UPC-CATALOG ID pair MATCH in Release_Label" )</f>
        <v/>
      </c>
      <c r="E994" s="147" t="str">
        <f t="shared" si="1"/>
        <v/>
      </c>
      <c r="G994" s="97"/>
      <c r="H994" s="155"/>
      <c r="J994" s="92"/>
      <c r="K994" s="98"/>
      <c r="L994" s="92"/>
      <c r="N994" s="92"/>
      <c r="O994" s="92"/>
      <c r="P994" s="92"/>
    </row>
    <row r="995">
      <c r="A995" s="28"/>
      <c r="B995" s="97"/>
      <c r="C995" s="121" t="str">
        <f t="array" ref="C995">ifs(and(isblank($A995),isblank($B995)),"", not(iserror(vlookup($A995&amp;$B995,'3) Release_Label'!$D:$D&amp;'3) Release_Label'!$E:$E,1,0))),vlookup($A995&amp;$B995,{'3) Release_Label'!$D:$D&amp;'3) Release_Label'!$E:$E,'3) Release_Label'!$F:$F},2,0), or(and(not(isblank($B995)),$B995=$B994,$A995&lt;&gt;$A994),and(not(isblank($A995)),$A995=$A994,$B995&lt;&gt;$B994)),"ID LISTS UNALIGNED",and($A995&lt;&gt;"",countif('3) Release_Label'!$D:$D,$A995)=0),"NO UPC MATCH in Release_Label",and($B995&lt;&gt;"",countif('3) Release_Label'!$E:$E,$B995)=0),"NO CATALOG ID MATCH in Release_Label",iserror(vlookup($A995&amp;$B995,'3) Release_Label'!$D:$D&amp;'3) Release_Label'!$E:$E,1,0)),"NO UPC-CATALOG ID pair MATCH in Release_Label" )</f>
        <v/>
      </c>
      <c r="D995" s="121" t="str">
        <f t="array" ref="D995">ifs(and(isblank($A995),isblank($B995)),"", not(iserror(vlookup($A995&amp;$B995,'3) Release_Label'!$D:$D&amp;'3) Release_Label'!$E:$E,1,0))),vlookup($A995&amp;$B995,{'3) Release_Label'!$D:$D&amp;'3) Release_Label'!$E:$E,'3) Release_Label'!$H:$H},2,0), or(and(not(isblank($B995)),$B995=$B994,$A995&lt;&gt;$A994),and(not(isblank($A995)),$A995=$A994,$B995&lt;&gt;$B994)),"ID LISTS UNALIGNED",and($A995&lt;&gt;"",countif('3) Release_Label'!$D:$D,$A995)=0),"NO UPC MATCH in Release_Label",and($B995&lt;&gt;"",countif('3) Release_Label'!$E:$E,$B995)=0),"NO CATALOG ID MATCH in Release_Label",iserror(vlookup($A995&amp;$B995,'3) Release_Label'!$D:$D&amp;'3) Release_Label'!$E:$E,1,0)),"NO UPC-CATALOG ID pair MATCH in Release_Label" )</f>
        <v/>
      </c>
      <c r="E995" s="147" t="str">
        <f t="shared" si="1"/>
        <v/>
      </c>
      <c r="G995" s="97"/>
      <c r="H995" s="155"/>
      <c r="J995" s="92"/>
      <c r="K995" s="98"/>
      <c r="L995" s="92"/>
      <c r="N995" s="92"/>
      <c r="O995" s="92"/>
      <c r="P995" s="92"/>
    </row>
    <row r="996">
      <c r="A996" s="28"/>
      <c r="B996" s="97"/>
      <c r="C996" s="121" t="str">
        <f t="array" ref="C996">ifs(and(isblank($A996),isblank($B996)),"", not(iserror(vlookup($A996&amp;$B996,'3) Release_Label'!$D:$D&amp;'3) Release_Label'!$E:$E,1,0))),vlookup($A996&amp;$B996,{'3) Release_Label'!$D:$D&amp;'3) Release_Label'!$E:$E,'3) Release_Label'!$F:$F},2,0), or(and(not(isblank($B996)),$B996=$B995,$A996&lt;&gt;$A995),and(not(isblank($A996)),$A996=$A995,$B996&lt;&gt;$B995)),"ID LISTS UNALIGNED",and($A996&lt;&gt;"",countif('3) Release_Label'!$D:$D,$A996)=0),"NO UPC MATCH in Release_Label",and($B996&lt;&gt;"",countif('3) Release_Label'!$E:$E,$B996)=0),"NO CATALOG ID MATCH in Release_Label",iserror(vlookup($A996&amp;$B996,'3) Release_Label'!$D:$D&amp;'3) Release_Label'!$E:$E,1,0)),"NO UPC-CATALOG ID pair MATCH in Release_Label" )</f>
        <v/>
      </c>
      <c r="D996" s="121" t="str">
        <f t="array" ref="D996">ifs(and(isblank($A996),isblank($B996)),"", not(iserror(vlookup($A996&amp;$B996,'3) Release_Label'!$D:$D&amp;'3) Release_Label'!$E:$E,1,0))),vlookup($A996&amp;$B996,{'3) Release_Label'!$D:$D&amp;'3) Release_Label'!$E:$E,'3) Release_Label'!$H:$H},2,0), or(and(not(isblank($B996)),$B996=$B995,$A996&lt;&gt;$A995),and(not(isblank($A996)),$A996=$A995,$B996&lt;&gt;$B995)),"ID LISTS UNALIGNED",and($A996&lt;&gt;"",countif('3) Release_Label'!$D:$D,$A996)=0),"NO UPC MATCH in Release_Label",and($B996&lt;&gt;"",countif('3) Release_Label'!$E:$E,$B996)=0),"NO CATALOG ID MATCH in Release_Label",iserror(vlookup($A996&amp;$B996,'3) Release_Label'!$D:$D&amp;'3) Release_Label'!$E:$E,1,0)),"NO UPC-CATALOG ID pair MATCH in Release_Label" )</f>
        <v/>
      </c>
      <c r="E996" s="147" t="str">
        <f t="shared" si="1"/>
        <v/>
      </c>
      <c r="G996" s="97"/>
      <c r="H996" s="155"/>
      <c r="J996" s="92"/>
      <c r="K996" s="98"/>
      <c r="L996" s="92"/>
      <c r="N996" s="92"/>
      <c r="O996" s="92"/>
      <c r="P996" s="92"/>
    </row>
    <row r="997">
      <c r="A997" s="28"/>
      <c r="B997" s="97"/>
      <c r="C997" s="121" t="str">
        <f t="array" ref="C997">ifs(and(isblank($A997),isblank($B997)),"", not(iserror(vlookup($A997&amp;$B997,'3) Release_Label'!$D:$D&amp;'3) Release_Label'!$E:$E,1,0))),vlookup($A997&amp;$B997,{'3) Release_Label'!$D:$D&amp;'3) Release_Label'!$E:$E,'3) Release_Label'!$F:$F},2,0), or(and(not(isblank($B997)),$B997=$B996,$A997&lt;&gt;$A996),and(not(isblank($A997)),$A997=$A996,$B997&lt;&gt;$B996)),"ID LISTS UNALIGNED",and($A997&lt;&gt;"",countif('3) Release_Label'!$D:$D,$A997)=0),"NO UPC MATCH in Release_Label",and($B997&lt;&gt;"",countif('3) Release_Label'!$E:$E,$B997)=0),"NO CATALOG ID MATCH in Release_Label",iserror(vlookup($A997&amp;$B997,'3) Release_Label'!$D:$D&amp;'3) Release_Label'!$E:$E,1,0)),"NO UPC-CATALOG ID pair MATCH in Release_Label" )</f>
        <v/>
      </c>
      <c r="D997" s="121" t="str">
        <f t="array" ref="D997">ifs(and(isblank($A997),isblank($B997)),"", not(iserror(vlookup($A997&amp;$B997,'3) Release_Label'!$D:$D&amp;'3) Release_Label'!$E:$E,1,0))),vlookup($A997&amp;$B997,{'3) Release_Label'!$D:$D&amp;'3) Release_Label'!$E:$E,'3) Release_Label'!$H:$H},2,0), or(and(not(isblank($B997)),$B997=$B996,$A997&lt;&gt;$A996),and(not(isblank($A997)),$A997=$A996,$B997&lt;&gt;$B996)),"ID LISTS UNALIGNED",and($A997&lt;&gt;"",countif('3) Release_Label'!$D:$D,$A997)=0),"NO UPC MATCH in Release_Label",and($B997&lt;&gt;"",countif('3) Release_Label'!$E:$E,$B997)=0),"NO CATALOG ID MATCH in Release_Label",iserror(vlookup($A997&amp;$B997,'3) Release_Label'!$D:$D&amp;'3) Release_Label'!$E:$E,1,0)),"NO UPC-CATALOG ID pair MATCH in Release_Label" )</f>
        <v/>
      </c>
      <c r="E997" s="147" t="str">
        <f t="shared" si="1"/>
        <v/>
      </c>
      <c r="G997" s="97"/>
      <c r="H997" s="155"/>
      <c r="J997" s="92"/>
      <c r="K997" s="98"/>
      <c r="L997" s="92"/>
      <c r="N997" s="92"/>
      <c r="O997" s="92"/>
      <c r="P997" s="92"/>
    </row>
    <row r="998">
      <c r="A998" s="28"/>
      <c r="B998" s="97"/>
      <c r="C998" s="121" t="str">
        <f t="array" ref="C998">ifs(and(isblank($A998),isblank($B998)),"", not(iserror(vlookup($A998&amp;$B998,'3) Release_Label'!$D:$D&amp;'3) Release_Label'!$E:$E,1,0))),vlookup($A998&amp;$B998,{'3) Release_Label'!$D:$D&amp;'3) Release_Label'!$E:$E,'3) Release_Label'!$F:$F},2,0), or(and(not(isblank($B998)),$B998=$B997,$A998&lt;&gt;$A997),and(not(isblank($A998)),$A998=$A997,$B998&lt;&gt;$B997)),"ID LISTS UNALIGNED",and($A998&lt;&gt;"",countif('3) Release_Label'!$D:$D,$A998)=0),"NO UPC MATCH in Release_Label",and($B998&lt;&gt;"",countif('3) Release_Label'!$E:$E,$B998)=0),"NO CATALOG ID MATCH in Release_Label",iserror(vlookup($A998&amp;$B998,'3) Release_Label'!$D:$D&amp;'3) Release_Label'!$E:$E,1,0)),"NO UPC-CATALOG ID pair MATCH in Release_Label" )</f>
        <v/>
      </c>
      <c r="D998" s="121" t="str">
        <f t="array" ref="D998">ifs(and(isblank($A998),isblank($B998)),"", not(iserror(vlookup($A998&amp;$B998,'3) Release_Label'!$D:$D&amp;'3) Release_Label'!$E:$E,1,0))),vlookup($A998&amp;$B998,{'3) Release_Label'!$D:$D&amp;'3) Release_Label'!$E:$E,'3) Release_Label'!$H:$H},2,0), or(and(not(isblank($B998)),$B998=$B997,$A998&lt;&gt;$A997),and(not(isblank($A998)),$A998=$A997,$B998&lt;&gt;$B997)),"ID LISTS UNALIGNED",and($A998&lt;&gt;"",countif('3) Release_Label'!$D:$D,$A998)=0),"NO UPC MATCH in Release_Label",and($B998&lt;&gt;"",countif('3) Release_Label'!$E:$E,$B998)=0),"NO CATALOG ID MATCH in Release_Label",iserror(vlookup($A998&amp;$B998,'3) Release_Label'!$D:$D&amp;'3) Release_Label'!$E:$E,1,0)),"NO UPC-CATALOG ID pair MATCH in Release_Label" )</f>
        <v/>
      </c>
      <c r="E998" s="147" t="str">
        <f t="shared" si="1"/>
        <v/>
      </c>
      <c r="G998" s="97"/>
      <c r="H998" s="155"/>
      <c r="J998" s="92"/>
      <c r="K998" s="98"/>
      <c r="L998" s="92"/>
      <c r="N998" s="92"/>
      <c r="O998" s="92"/>
      <c r="P998" s="92"/>
    </row>
    <row r="999">
      <c r="A999" s="28"/>
      <c r="B999" s="97"/>
      <c r="C999" s="121" t="str">
        <f t="array" ref="C999">ifs(and(isblank($A999),isblank($B999)),"", not(iserror(vlookup($A999&amp;$B999,'3) Release_Label'!$D:$D&amp;'3) Release_Label'!$E:$E,1,0))),vlookup($A999&amp;$B999,{'3) Release_Label'!$D:$D&amp;'3) Release_Label'!$E:$E,'3) Release_Label'!$F:$F},2,0), or(and(not(isblank($B999)),$B999=$B998,$A999&lt;&gt;$A998),and(not(isblank($A999)),$A999=$A998,$B999&lt;&gt;$B998)),"ID LISTS UNALIGNED",and($A999&lt;&gt;"",countif('3) Release_Label'!$D:$D,$A999)=0),"NO UPC MATCH in Release_Label",and($B999&lt;&gt;"",countif('3) Release_Label'!$E:$E,$B999)=0),"NO CATALOG ID MATCH in Release_Label",iserror(vlookup($A999&amp;$B999,'3) Release_Label'!$D:$D&amp;'3) Release_Label'!$E:$E,1,0)),"NO UPC-CATALOG ID pair MATCH in Release_Label" )</f>
        <v/>
      </c>
      <c r="D999" s="121" t="str">
        <f t="array" ref="D999">ifs(and(isblank($A999),isblank($B999)),"", not(iserror(vlookup($A999&amp;$B999,'3) Release_Label'!$D:$D&amp;'3) Release_Label'!$E:$E,1,0))),vlookup($A999&amp;$B999,{'3) Release_Label'!$D:$D&amp;'3) Release_Label'!$E:$E,'3) Release_Label'!$H:$H},2,0), or(and(not(isblank($B999)),$B999=$B998,$A999&lt;&gt;$A998),and(not(isblank($A999)),$A999=$A998,$B999&lt;&gt;$B998)),"ID LISTS UNALIGNED",and($A999&lt;&gt;"",countif('3) Release_Label'!$D:$D,$A999)=0),"NO UPC MATCH in Release_Label",and($B999&lt;&gt;"",countif('3) Release_Label'!$E:$E,$B999)=0),"NO CATALOG ID MATCH in Release_Label",iserror(vlookup($A999&amp;$B999,'3) Release_Label'!$D:$D&amp;'3) Release_Label'!$E:$E,1,0)),"NO UPC-CATALOG ID pair MATCH in Release_Label" )</f>
        <v/>
      </c>
      <c r="E999" s="147" t="str">
        <f t="shared" si="1"/>
        <v/>
      </c>
      <c r="G999" s="97"/>
      <c r="H999" s="155"/>
      <c r="J999" s="92"/>
      <c r="K999" s="98"/>
      <c r="L999" s="92"/>
      <c r="N999" s="92"/>
      <c r="O999" s="92"/>
      <c r="P999" s="92"/>
    </row>
    <row r="1000">
      <c r="A1000" s="28"/>
      <c r="B1000" s="97"/>
      <c r="C1000" s="121" t="str">
        <f t="array" ref="C1000">ifs(and(isblank($A1000),isblank($B1000)),"", not(iserror(vlookup($A1000&amp;$B1000,'3) Release_Label'!$D:$D&amp;'3) Release_Label'!$E:$E,1,0))),vlookup($A1000&amp;$B1000,{'3) Release_Label'!$D:$D&amp;'3) Release_Label'!$E:$E,'3) Release_Label'!$F:$F},2,0), or(and(not(isblank($B1000)),$B1000=$B999,$A1000&lt;&gt;$A999),and(not(isblank($A1000)),$A1000=$A999,$B1000&lt;&gt;$B999)),"ID LISTS UNALIGNED",and($A1000&lt;&gt;"",countif('3) Release_Label'!$D:$D,$A1000)=0),"NO UPC MATCH in Release_Label",and($B1000&lt;&gt;"",countif('3) Release_Label'!$E:$E,$B1000)=0),"NO CATALOG ID MATCH in Release_Label",iserror(vlookup($A1000&amp;$B1000,'3) Release_Label'!$D:$D&amp;'3) Release_Label'!$E:$E,1,0)),"NO UPC-CATALOG ID pair MATCH in Release_Label" )</f>
        <v/>
      </c>
      <c r="D1000" s="121" t="str">
        <f t="array" ref="D1000">ifs(and(isblank($A1000),isblank($B1000)),"", not(iserror(vlookup($A1000&amp;$B1000,'3) Release_Label'!$D:$D&amp;'3) Release_Label'!$E:$E,1,0))),vlookup($A1000&amp;$B1000,{'3) Release_Label'!$D:$D&amp;'3) Release_Label'!$E:$E,'3) Release_Label'!$H:$H},2,0), or(and(not(isblank($B1000)),$B1000=$B999,$A1000&lt;&gt;$A999),and(not(isblank($A1000)),$A1000=$A999,$B1000&lt;&gt;$B999)),"ID LISTS UNALIGNED",and($A1000&lt;&gt;"",countif('3) Release_Label'!$D:$D,$A1000)=0),"NO UPC MATCH in Release_Label",and($B1000&lt;&gt;"",countif('3) Release_Label'!$E:$E,$B1000)=0),"NO CATALOG ID MATCH in Release_Label",iserror(vlookup($A1000&amp;$B1000,'3) Release_Label'!$D:$D&amp;'3) Release_Label'!$E:$E,1,0)),"NO UPC-CATALOG ID pair MATCH in Release_Label" )</f>
        <v/>
      </c>
      <c r="E1000" s="147" t="str">
        <f t="shared" si="1"/>
        <v/>
      </c>
      <c r="G1000" s="97"/>
      <c r="H1000" s="155"/>
      <c r="J1000" s="92"/>
      <c r="K1000" s="98"/>
      <c r="L1000" s="92"/>
      <c r="N1000" s="92"/>
      <c r="O1000" s="92"/>
      <c r="P1000" s="92"/>
    </row>
    <row r="1001">
      <c r="A1001" s="28"/>
      <c r="B1001" s="97"/>
      <c r="C1001" s="121" t="str">
        <f t="array" ref="C1001">ifs(and(isblank($A1001),isblank($B1001)),"", not(iserror(vlookup($A1001&amp;$B1001,'3) Release_Label'!$D:$D&amp;'3) Release_Label'!$E:$E,1,0))),vlookup($A1001&amp;$B1001,{'3) Release_Label'!$D:$D&amp;'3) Release_Label'!$E:$E,'3) Release_Label'!$F:$F},2,0), or(and(not(isblank($B1001)),$B1001=$B1000,$A1001&lt;&gt;$A1000),and(not(isblank($A1001)),$A1001=$A1000,$B1001&lt;&gt;$B1000)),"ID LISTS UNALIGNED",and($A1001&lt;&gt;"",countif('3) Release_Label'!$D:$D,$A1001)=0),"NO UPC MATCH in Release_Label",and($B1001&lt;&gt;"",countif('3) Release_Label'!$E:$E,$B1001)=0),"NO CATALOG ID MATCH in Release_Label",iserror(vlookup($A1001&amp;$B1001,'3) Release_Label'!$D:$D&amp;'3) Release_Label'!$E:$E,1,0)),"NO UPC-CATALOG ID pair MATCH in Release_Label" )</f>
        <v/>
      </c>
      <c r="D1001" s="121" t="str">
        <f t="array" ref="D1001">ifs(and(isblank($A1001),isblank($B1001)),"", not(iserror(vlookup($A1001&amp;$B1001,'3) Release_Label'!$D:$D&amp;'3) Release_Label'!$E:$E,1,0))),vlookup($A1001&amp;$B1001,{'3) Release_Label'!$D:$D&amp;'3) Release_Label'!$E:$E,'3) Release_Label'!$H:$H},2,0), or(and(not(isblank($B1001)),$B1001=$B1000,$A1001&lt;&gt;$A1000),and(not(isblank($A1001)),$A1001=$A1000,$B1001&lt;&gt;$B1000)),"ID LISTS UNALIGNED",and($A1001&lt;&gt;"",countif('3) Release_Label'!$D:$D,$A1001)=0),"NO UPC MATCH in Release_Label",and($B1001&lt;&gt;"",countif('3) Release_Label'!$E:$E,$B1001)=0),"NO CATALOG ID MATCH in Release_Label",iserror(vlookup($A1001&amp;$B1001,'3) Release_Label'!$D:$D&amp;'3) Release_Label'!$E:$E,1,0)),"NO UPC-CATALOG ID pair MATCH in Release_Label" )</f>
        <v/>
      </c>
      <c r="E1001" s="147" t="str">
        <f t="shared" si="1"/>
        <v/>
      </c>
      <c r="G1001" s="97"/>
      <c r="H1001" s="155"/>
      <c r="J1001" s="92"/>
      <c r="K1001" s="98"/>
      <c r="L1001" s="92"/>
      <c r="N1001" s="92"/>
      <c r="O1001" s="92"/>
      <c r="P1001" s="92"/>
    </row>
    <row r="1002">
      <c r="A1002" s="28"/>
      <c r="B1002" s="97"/>
      <c r="C1002" s="121" t="str">
        <f t="array" ref="C1002">ifs(and(isblank($A1002),isblank($B1002)),"", not(iserror(vlookup($A1002&amp;$B1002,'3) Release_Label'!$D:$D&amp;'3) Release_Label'!$E:$E,1,0))),vlookup($A1002&amp;$B1002,{'3) Release_Label'!$D:$D&amp;'3) Release_Label'!$E:$E,'3) Release_Label'!$F:$F},2,0), or(and(not(isblank($B1002)),$B1002=$B1001,$A1002&lt;&gt;$A1001),and(not(isblank($A1002)),$A1002=$A1001,$B1002&lt;&gt;$B1001)),"ID LISTS UNALIGNED",and($A1002&lt;&gt;"",countif('3) Release_Label'!$D:$D,$A1002)=0),"NO UPC MATCH in Release_Label",and($B1002&lt;&gt;"",countif('3) Release_Label'!$E:$E,$B1002)=0),"NO CATALOG ID MATCH in Release_Label",iserror(vlookup($A1002&amp;$B1002,'3) Release_Label'!$D:$D&amp;'3) Release_Label'!$E:$E,1,0)),"NO UPC-CATALOG ID pair MATCH in Release_Label" )</f>
        <v/>
      </c>
      <c r="D1002" s="121" t="str">
        <f t="array" ref="D1002">ifs(and(isblank($A1002),isblank($B1002)),"", not(iserror(vlookup($A1002&amp;$B1002,'3) Release_Label'!$D:$D&amp;'3) Release_Label'!$E:$E,1,0))),vlookup($A1002&amp;$B1002,{'3) Release_Label'!$D:$D&amp;'3) Release_Label'!$E:$E,'3) Release_Label'!$H:$H},2,0), or(and(not(isblank($B1002)),$B1002=$B1001,$A1002&lt;&gt;$A1001),and(not(isblank($A1002)),$A1002=$A1001,$B1002&lt;&gt;$B1001)),"ID LISTS UNALIGNED",and($A1002&lt;&gt;"",countif('3) Release_Label'!$D:$D,$A1002)=0),"NO UPC MATCH in Release_Label",and($B1002&lt;&gt;"",countif('3) Release_Label'!$E:$E,$B1002)=0),"NO CATALOG ID MATCH in Release_Label",iserror(vlookup($A1002&amp;$B1002,'3) Release_Label'!$D:$D&amp;'3) Release_Label'!$E:$E,1,0)),"NO UPC-CATALOG ID pair MATCH in Release_Label" )</f>
        <v/>
      </c>
      <c r="E1002" s="147" t="str">
        <f t="shared" si="1"/>
        <v/>
      </c>
      <c r="G1002" s="97"/>
      <c r="H1002" s="155"/>
      <c r="J1002" s="92"/>
      <c r="K1002" s="98"/>
      <c r="L1002" s="92"/>
      <c r="N1002" s="92"/>
      <c r="O1002" s="92"/>
      <c r="P1002" s="92"/>
    </row>
    <row r="1003">
      <c r="A1003" s="28"/>
      <c r="B1003" s="97"/>
      <c r="C1003" s="121" t="str">
        <f t="array" ref="C1003">ifs(and(isblank($A1003),isblank($B1003)),"", not(iserror(vlookup($A1003&amp;$B1003,'3) Release_Label'!$D:$D&amp;'3) Release_Label'!$E:$E,1,0))),vlookup($A1003&amp;$B1003,{'3) Release_Label'!$D:$D&amp;'3) Release_Label'!$E:$E,'3) Release_Label'!$F:$F},2,0), or(and(not(isblank($B1003)),$B1003=$B1002,$A1003&lt;&gt;$A1002),and(not(isblank($A1003)),$A1003=$A1002,$B1003&lt;&gt;$B1002)),"ID LISTS UNALIGNED",and($A1003&lt;&gt;"",countif('3) Release_Label'!$D:$D,$A1003)=0),"NO UPC MATCH in Release_Label",and($B1003&lt;&gt;"",countif('3) Release_Label'!$E:$E,$B1003)=0),"NO CATALOG ID MATCH in Release_Label",iserror(vlookup($A1003&amp;$B1003,'3) Release_Label'!$D:$D&amp;'3) Release_Label'!$E:$E,1,0)),"NO UPC-CATALOG ID pair MATCH in Release_Label" )</f>
        <v/>
      </c>
      <c r="D1003" s="121" t="str">
        <f t="array" ref="D1003">ifs(and(isblank($A1003),isblank($B1003)),"", not(iserror(vlookup($A1003&amp;$B1003,'3) Release_Label'!$D:$D&amp;'3) Release_Label'!$E:$E,1,0))),vlookup($A1003&amp;$B1003,{'3) Release_Label'!$D:$D&amp;'3) Release_Label'!$E:$E,'3) Release_Label'!$H:$H},2,0), or(and(not(isblank($B1003)),$B1003=$B1002,$A1003&lt;&gt;$A1002),and(not(isblank($A1003)),$A1003=$A1002,$B1003&lt;&gt;$B1002)),"ID LISTS UNALIGNED",and($A1003&lt;&gt;"",countif('3) Release_Label'!$D:$D,$A1003)=0),"NO UPC MATCH in Release_Label",and($B1003&lt;&gt;"",countif('3) Release_Label'!$E:$E,$B1003)=0),"NO CATALOG ID MATCH in Release_Label",iserror(vlookup($A1003&amp;$B1003,'3) Release_Label'!$D:$D&amp;'3) Release_Label'!$E:$E,1,0)),"NO UPC-CATALOG ID pair MATCH in Release_Label" )</f>
        <v/>
      </c>
      <c r="E1003" s="147" t="str">
        <f t="shared" si="1"/>
        <v/>
      </c>
      <c r="G1003" s="97"/>
      <c r="H1003" s="155"/>
      <c r="J1003" s="92"/>
      <c r="K1003" s="98"/>
      <c r="L1003" s="92"/>
      <c r="N1003" s="92"/>
      <c r="O1003" s="92"/>
      <c r="P1003" s="92"/>
    </row>
    <row r="1004">
      <c r="A1004" s="28"/>
      <c r="B1004" s="97"/>
      <c r="C1004" s="121" t="str">
        <f t="array" ref="C1004">ifs(and(isblank($A1004),isblank($B1004)),"", not(iserror(vlookup($A1004&amp;$B1004,'3) Release_Label'!$D:$D&amp;'3) Release_Label'!$E:$E,1,0))),vlookup($A1004&amp;$B1004,{'3) Release_Label'!$D:$D&amp;'3) Release_Label'!$E:$E,'3) Release_Label'!$F:$F},2,0), or(and(not(isblank($B1004)),$B1004=$B1003,$A1004&lt;&gt;$A1003),and(not(isblank($A1004)),$A1004=$A1003,$B1004&lt;&gt;$B1003)),"ID LISTS UNALIGNED",and($A1004&lt;&gt;"",countif('3) Release_Label'!$D:$D,$A1004)=0),"NO UPC MATCH in Release_Label",and($B1004&lt;&gt;"",countif('3) Release_Label'!$E:$E,$B1004)=0),"NO CATALOG ID MATCH in Release_Label",iserror(vlookup($A1004&amp;$B1004,'3) Release_Label'!$D:$D&amp;'3) Release_Label'!$E:$E,1,0)),"NO UPC-CATALOG ID pair MATCH in Release_Label" )</f>
        <v/>
      </c>
      <c r="D1004" s="121" t="str">
        <f t="array" ref="D1004">ifs(and(isblank($A1004),isblank($B1004)),"", not(iserror(vlookup($A1004&amp;$B1004,'3) Release_Label'!$D:$D&amp;'3) Release_Label'!$E:$E,1,0))),vlookup($A1004&amp;$B1004,{'3) Release_Label'!$D:$D&amp;'3) Release_Label'!$E:$E,'3) Release_Label'!$H:$H},2,0), or(and(not(isblank($B1004)),$B1004=$B1003,$A1004&lt;&gt;$A1003),and(not(isblank($A1004)),$A1004=$A1003,$B1004&lt;&gt;$B1003)),"ID LISTS UNALIGNED",and($A1004&lt;&gt;"",countif('3) Release_Label'!$D:$D,$A1004)=0),"NO UPC MATCH in Release_Label",and($B1004&lt;&gt;"",countif('3) Release_Label'!$E:$E,$B1004)=0),"NO CATALOG ID MATCH in Release_Label",iserror(vlookup($A1004&amp;$B1004,'3) Release_Label'!$D:$D&amp;'3) Release_Label'!$E:$E,1,0)),"NO UPC-CATALOG ID pair MATCH in Release_Label" )</f>
        <v/>
      </c>
      <c r="E1004" s="147" t="str">
        <f t="shared" si="1"/>
        <v/>
      </c>
      <c r="G1004" s="97"/>
      <c r="H1004" s="155"/>
      <c r="J1004" s="92"/>
      <c r="K1004" s="98"/>
      <c r="L1004" s="92"/>
      <c r="N1004" s="92"/>
      <c r="O1004" s="92"/>
      <c r="P1004" s="92"/>
    </row>
    <row r="1005">
      <c r="A1005" s="28"/>
      <c r="B1005" s="97"/>
      <c r="C1005" s="121" t="str">
        <f t="array" ref="C1005">ifs(and(isblank($A1005),isblank($B1005)),"", not(iserror(vlookup($A1005&amp;$B1005,'3) Release_Label'!$D:$D&amp;'3) Release_Label'!$E:$E,1,0))),vlookup($A1005&amp;$B1005,{'3) Release_Label'!$D:$D&amp;'3) Release_Label'!$E:$E,'3) Release_Label'!$F:$F},2,0), or(and(not(isblank($B1005)),$B1005=$B1004,$A1005&lt;&gt;$A1004),and(not(isblank($A1005)),$A1005=$A1004,$B1005&lt;&gt;$B1004)),"ID LISTS UNALIGNED",and($A1005&lt;&gt;"",countif('3) Release_Label'!$D:$D,$A1005)=0),"NO UPC MATCH in Release_Label",and($B1005&lt;&gt;"",countif('3) Release_Label'!$E:$E,$B1005)=0),"NO CATALOG ID MATCH in Release_Label",iserror(vlookup($A1005&amp;$B1005,'3) Release_Label'!$D:$D&amp;'3) Release_Label'!$E:$E,1,0)),"NO UPC-CATALOG ID pair MATCH in Release_Label" )</f>
        <v/>
      </c>
      <c r="D1005" s="121" t="str">
        <f t="array" ref="D1005">ifs(and(isblank($A1005),isblank($B1005)),"", not(iserror(vlookup($A1005&amp;$B1005,'3) Release_Label'!$D:$D&amp;'3) Release_Label'!$E:$E,1,0))),vlookup($A1005&amp;$B1005,{'3) Release_Label'!$D:$D&amp;'3) Release_Label'!$E:$E,'3) Release_Label'!$H:$H},2,0), or(and(not(isblank($B1005)),$B1005=$B1004,$A1005&lt;&gt;$A1004),and(not(isblank($A1005)),$A1005=$A1004,$B1005&lt;&gt;$B1004)),"ID LISTS UNALIGNED",and($A1005&lt;&gt;"",countif('3) Release_Label'!$D:$D,$A1005)=0),"NO UPC MATCH in Release_Label",and($B1005&lt;&gt;"",countif('3) Release_Label'!$E:$E,$B1005)=0),"NO CATALOG ID MATCH in Release_Label",iserror(vlookup($A1005&amp;$B1005,'3) Release_Label'!$D:$D&amp;'3) Release_Label'!$E:$E,1,0)),"NO UPC-CATALOG ID pair MATCH in Release_Label" )</f>
        <v/>
      </c>
      <c r="E1005" s="147" t="str">
        <f t="shared" si="1"/>
        <v/>
      </c>
      <c r="G1005" s="97"/>
      <c r="H1005" s="155"/>
      <c r="J1005" s="92"/>
      <c r="K1005" s="98"/>
      <c r="L1005" s="92"/>
      <c r="N1005" s="92"/>
      <c r="O1005" s="92"/>
      <c r="P1005" s="92"/>
    </row>
  </sheetData>
  <mergeCells count="1">
    <mergeCell ref="C4:D4"/>
  </mergeCells>
  <conditionalFormatting sqref="A1:B1">
    <cfRule type="cellIs" dxfId="3" priority="1" operator="notEqual">
      <formula>0</formula>
    </cfRule>
  </conditionalFormatting>
  <conditionalFormatting sqref="H5:H1005">
    <cfRule type="expression" dxfId="0" priority="2">
      <formula>REGEXMATCH(H5,"(?i)[\(\[\{\-][ ]*(feat|ft|explic|dirt|single|ep|video|acoustic)| feat(ur|\.| )| ft|f\/|w\/")</formula>
    </cfRule>
  </conditionalFormatting>
  <conditionalFormatting sqref="J5:J1005">
    <cfRule type="expression" dxfId="0" priority="3">
      <formula>and(not(isblank(J5)),iserror(match(J5,indirect("'Reference info'!k:k"),0)))</formula>
    </cfRule>
  </conditionalFormatting>
  <conditionalFormatting sqref="K5:K1005">
    <cfRule type="expression" dxfId="0" priority="4">
      <formula>and(not(isblank(H5)),K5&lt;&gt;"YES",K5&lt;&gt;"NO")</formula>
    </cfRule>
  </conditionalFormatting>
  <conditionalFormatting sqref="L5:L1005">
    <cfRule type="expression" dxfId="0" priority="5">
      <formula>and(not(isblank(H5)),L5&lt;&gt;"Original",L5&lt;&gt;"Public domain")</formula>
    </cfRule>
  </conditionalFormatting>
  <conditionalFormatting sqref="F5:F1005">
    <cfRule type="expression" dxfId="3" priority="6">
      <formula>and(countif(F:F,F5)&gt;countif(H:H,H5),H5&lt;&gt;"")</formula>
    </cfRule>
  </conditionalFormatting>
  <conditionalFormatting sqref="G5:G1005">
    <cfRule type="expression" dxfId="3" priority="7">
      <formula>and(countif(G:G,G5)&gt;countif(H:H,H5),H5&lt;&gt;"")</formula>
    </cfRule>
  </conditionalFormatting>
  <conditionalFormatting sqref="M5:M1005">
    <cfRule type="expression" dxfId="3" priority="8">
      <formula>and(countif(M:M,M5)&gt;countif(H:H,H5),H5&lt;&gt;"")</formula>
    </cfRule>
  </conditionalFormatting>
  <conditionalFormatting sqref="N5:N1005">
    <cfRule type="expression" dxfId="0" priority="9">
      <formula>and(not(isblank(M5)),N5&lt;&gt;"wav",N5&lt;&gt;"flac")</formula>
    </cfRule>
  </conditionalFormatting>
  <conditionalFormatting sqref="O5:P1005">
    <cfRule type="expression" dxfId="0" priority="10">
      <formula>and(O5&lt;&gt;"",or(INT(O5)&lt;&gt;O5,O5&lt;0))</formula>
    </cfRule>
  </conditionalFormatting>
  <conditionalFormatting sqref="F5:F1005">
    <cfRule type="expression" dxfId="5" priority="11">
      <formula>and(F5&lt;&gt;"",G5&lt;&gt;"",countif(F:F,F5)&lt;&gt;countif(G:G,G5))</formula>
    </cfRule>
  </conditionalFormatting>
  <conditionalFormatting sqref="G5:G1005">
    <cfRule type="expression" dxfId="5" priority="12">
      <formula>and(F5&lt;&gt;"",G5&lt;&gt;"",countif(F:F,F5)&lt;&gt;countif(G:G,G5))</formula>
    </cfRule>
  </conditionalFormatting>
  <conditionalFormatting sqref="A5:A1005">
    <cfRule type="expression" dxfId="5" priority="13">
      <formula>and(B5&lt;&gt;"",A5&lt;&gt;"",countif(A:A,A5)&lt;&gt;countif(B:B,B5))</formula>
    </cfRule>
  </conditionalFormatting>
  <conditionalFormatting sqref="B5:B1005">
    <cfRule type="expression" dxfId="5" priority="14">
      <formula>and(B5&lt;&gt;"",A5&lt;&gt;"",countif(A:A,A5)&lt;&gt;countif(B:B,B5))</formula>
    </cfRule>
  </conditionalFormatting>
  <conditionalFormatting sqref="A5:A1005">
    <cfRule type="expression" dxfId="3" priority="15">
      <formula>and(A5&lt;&gt;"",F5&lt;&gt;"",COUNTIFS(A:A,A5,F:F,F5)&gt;1)</formula>
    </cfRule>
  </conditionalFormatting>
  <conditionalFormatting sqref="F5:F1005">
    <cfRule type="expression" dxfId="3" priority="16">
      <formula>and(A5&lt;&gt;"",F5&lt;&gt;"",COUNTIFS(A:A,A5,F:F,F5)&gt;1)</formula>
    </cfRule>
  </conditionalFormatting>
  <conditionalFormatting sqref="B5:B1005">
    <cfRule type="expression" dxfId="3" priority="17">
      <formula>And(B5&lt;&gt;"",G5&lt;&gt;"",COUNTIFS(B:B,B5,G:G,G5)&gt;1)</formula>
    </cfRule>
  </conditionalFormatting>
  <conditionalFormatting sqref="G5:G1005">
    <cfRule type="expression" dxfId="3" priority="18">
      <formula>And(B5&lt;&gt;"",G5&lt;&gt;"",COUNTIFS(B:B,B5,G:G,G5)&gt;1)</formula>
    </cfRule>
  </conditionalFormatting>
  <conditionalFormatting sqref="H6:H1005">
    <cfRule type="expression" dxfId="0" priority="19">
      <formula>and(not(isblank(H6)),H6=H5,I6=I5,J6=J5,K6=K5)</formula>
    </cfRule>
  </conditionalFormatting>
  <dataValidations>
    <dataValidation type="list" allowBlank="1" showInputMessage="1" showErrorMessage="1" prompt="select from list, start typing or drag" sqref="J5:J1005">
      <formula1>Language</formula1>
    </dataValidation>
    <dataValidation type="list" allowBlank="1" showInputMessage="1" showErrorMessage="1" prompt="select from list, start typing or drag" sqref="L5:L1005">
      <formula1>"Original,Public domain"</formula1>
    </dataValidation>
    <dataValidation type="list" allowBlank="1" showInputMessage="1" showErrorMessage="1" prompt="select from list, start typing or drag" sqref="K5:K1005">
      <formula1>"YES,NO"</formula1>
    </dataValidation>
    <dataValidation type="custom" allowBlank="1" showDropDown="1" showInputMessage="1" showErrorMessage="1" prompt="must contain 2 letters, 3 character minimum, 20 character maximum, alphanumeric ONLY (letter or number; no dashes, spaces, punctuation marks, etc.)" sqref="B5:B1005 G5:G1005">
      <formula1>and(regexmatch(B5,"^[a-zA-Z0-9]*$"), len(B5)&gt;=3, len(B5)&lt;=20)</formula1>
    </dataValidation>
    <dataValidation type="custom" allowBlank="1" showDropDown="1" showInputMessage="1" showErrorMessage="1" prompt="Enter a valid UPC/EAN/JAN" sqref="A5:A1005">
      <formula1>and(INT(A5)=A5,A5&gt;9999999999)</formula1>
    </dataValidation>
    <dataValidation type="custom" allowBlank="1" showDropDown="1" showInputMessage="1" showErrorMessage="1" prompt="Enter a valid number of seconds" sqref="O5:P1005">
      <formula1>and(INT(O5)=O5,O5&gt;=0)</formula1>
    </dataValidation>
    <dataValidation type="list" allowBlank="1" showInputMessage="1" showErrorMessage="1" prompt="select from list, start typing or drag" sqref="N5:N1005">
      <formula1>"wav,flac"</formula1>
    </dataValidation>
  </dataValidations>
  <hyperlinks>
    <hyperlink r:id="rId2" ref="M5"/>
    <hyperlink r:id="rId3" ref="M6"/>
  </hyperlin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5.5"/>
    <col customWidth="1" min="3" max="3" width="28.75"/>
    <col customWidth="1" min="4" max="4" width="14.5"/>
    <col customWidth="1" min="5" max="5" width="31.75"/>
    <col customWidth="1" min="6" max="6" width="18.0"/>
    <col customWidth="1" min="7" max="8" width="26.63"/>
    <col customWidth="1" min="9" max="9" width="21.88"/>
    <col customWidth="1" min="10" max="10" width="8.38"/>
    <col customWidth="1" min="11" max="11" width="16.0"/>
    <col customWidth="1" min="12" max="12" width="12.13"/>
    <col customWidth="1" min="13" max="13" width="12.75"/>
    <col customWidth="1" min="14" max="14" width="9.75"/>
    <col customWidth="1" min="15" max="15" width="8.0"/>
    <col customWidth="1" min="16" max="16" width="9.5"/>
    <col customWidth="1" min="17" max="17" width="9.0"/>
    <col customWidth="1" min="18" max="18" width="12.5"/>
    <col customWidth="1" min="19" max="19" width="4.38"/>
    <col customWidth="1" min="20" max="20" width="8.38"/>
    <col customWidth="1" min="21" max="21" width="6.75"/>
    <col customWidth="1" min="25" max="25" width="11.0"/>
  </cols>
  <sheetData>
    <row r="1">
      <c r="A1" s="13">
        <f>IFERROR(__xludf.DUMMYFUNCTION("COUNTUNIQUE(A5:A1005)-'5) Release_Track'!F1"),0.0)</f>
        <v>0</v>
      </c>
      <c r="B1" s="13">
        <f>IFERROR(__xludf.DUMMYFUNCTION("COUNTUNIQUE(B5:B1005)-'5) Release_Track'!G1"),0.0)</f>
        <v>0</v>
      </c>
      <c r="C1" s="99" t="s">
        <v>99</v>
      </c>
      <c r="D1" s="100"/>
      <c r="E1" s="13">
        <f>IFERROR(__xludf.DUMMYFUNCTION("COUNTUNIQUE(E5:E1005)"),2.0)</f>
        <v>2</v>
      </c>
      <c r="F1" s="21" t="s">
        <v>27</v>
      </c>
      <c r="G1" s="18">
        <f>IFERROR(__xludf.DUMMYFUNCTION("countif(F:F,""Main Primary Artist"")-arrayformula(COUNTUNIQUE('5) Release_Track'!F5:F1005&amp;'5) Release_Track'!G5:G1005))"),0.0)</f>
        <v>0</v>
      </c>
      <c r="H1" s="101" t="s">
        <v>29</v>
      </c>
      <c r="I1" s="156"/>
    </row>
    <row r="2">
      <c r="A2" s="105" t="s">
        <v>145</v>
      </c>
      <c r="B2" s="106"/>
      <c r="C2" s="157"/>
      <c r="D2" s="157"/>
      <c r="E2" s="157"/>
      <c r="F2" s="157"/>
      <c r="G2" s="107"/>
    </row>
    <row r="3">
      <c r="A3" s="129" t="s">
        <v>117</v>
      </c>
      <c r="B3" s="68" t="s">
        <v>118</v>
      </c>
      <c r="C3" s="158" t="s">
        <v>119</v>
      </c>
      <c r="D3" s="158" t="s">
        <v>120</v>
      </c>
      <c r="E3" s="109" t="s">
        <v>101</v>
      </c>
      <c r="F3" s="109" t="s">
        <v>102</v>
      </c>
      <c r="G3" s="110" t="s">
        <v>103</v>
      </c>
      <c r="H3" s="13">
        <f>IFERROR(__xludf.DUMMYFUNCTION("if(iserror(filter(A:B,G:G=""Producer &amp; Engineer"")),0, countunique(filter(A:B,G:G=""Producer &amp; Engineer"")))-arrayformula(COUNTUNIQUE('5) Release_Track'!F5:F1005&amp;'5) Release_Track'!G5:G1005))"),0.0)</f>
        <v>0</v>
      </c>
    </row>
    <row r="4">
      <c r="A4" s="77" t="s">
        <v>146</v>
      </c>
      <c r="B4" s="159" t="s">
        <v>146</v>
      </c>
      <c r="C4" s="111" t="s">
        <v>147</v>
      </c>
      <c r="E4" s="112" t="s">
        <v>148</v>
      </c>
      <c r="F4" s="35" t="s">
        <v>82</v>
      </c>
      <c r="G4" s="113" t="s">
        <v>107</v>
      </c>
      <c r="H4" s="13">
        <f>IFERROR(__xludf.DUMMYFUNCTION("if(iserror(filter(A:B,G:G=""Performer"")),0, countunique(filter(A:B,G:G=""Performer"")))-arrayformula(COUNTUNIQUE('5) Release_Track'!F5:F1005&amp;'5) Release_Track'!G5:G1005))"),-2.0)</f>
        <v>-2</v>
      </c>
      <c r="J4" s="28"/>
    </row>
    <row r="5">
      <c r="A5" s="47" t="s">
        <v>137</v>
      </c>
      <c r="B5" s="91"/>
      <c r="C5" s="116" t="str">
        <f t="array" ref="C5">ifs(and(isblank($A5),isblank($B5)),"", not(iserror(vlookup($A5&amp;$B5,'5) Release_Track'!$F:$F&amp;'5) Release_Track'!$G:$G,1,0))),vlookup($A5&amp;$B5,{'5) Release_Track'!$F:$F&amp;'5) Release_Track'!$G:$G,'5) Release_Track'!$H:$H},2,0),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Receba</v>
      </c>
      <c r="D5" s="116" t="str">
        <f t="array" ref="D5">ifs(and(isblank($A5),isblank($B5)),"", not(iserror(vlookup($A5&amp;$B5,'5) Release_Track'!$F:$F&amp;'5) Release_Track'!$G:$G,1,0))),vlookup($A5&amp;$B5,{'5) Release_Track'!$F:$F&amp;'5) Release_Track'!$G:$G,'5) Release_Track'!$I:$I},2,0),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Extended</v>
      </c>
      <c r="E5" s="117" t="s">
        <v>45</v>
      </c>
      <c r="F5" s="118" t="s">
        <v>108</v>
      </c>
      <c r="G5" s="119" t="str">
        <f t="array" ref="G5">ifs(or($F5="",$F5="Main Primary Artist"),$F5,not(iserror(vlookup($F5,'Reference info'!$J$5:$J$8,1,0))),"Key Artist",not(iserror(vlookup($F5,'Reference info'!$J$38:$J$405,1,0))),"Performer",not(iserror(vlookup($F5,'Reference info'!$J$10:$J$36,1,0))),"Producer &amp; Engineer")</f>
        <v>Main Primary Artist</v>
      </c>
      <c r="H5" s="48" t="s">
        <v>149</v>
      </c>
      <c r="J5" s="28"/>
    </row>
    <row r="6">
      <c r="A6" s="47" t="s">
        <v>137</v>
      </c>
      <c r="B6" s="91"/>
      <c r="C6" s="116" t="str">
        <f t="array" ref="C6">ifs(and(isblank($A6),isblank($B6)),"", not(iserror(vlookup($A6&amp;$B6,'5) Release_Track'!$F:$F&amp;'5) Release_Track'!$G:$G,1,0))),vlookup($A6&amp;$B6,{'5) Release_Track'!$F:$F&amp;'5) Release_Track'!$G:$G,'5) Release_Track'!$H:$H},2,0), or(and(not(isblank($B6)),$B6=#REF!,$A6&lt;&gt;#REF!),and(not(isblank($A6)),$A6=#REF!,$B6&lt;&gt;#REF!)),"ID LISTS UNALIGNED",and($A6&lt;&gt;"",countif('5) Release_Track'!$F:$F,$A6)=0),"NO ISRC MATCH in Release_Track",and($B6&lt;&gt;"",countif('5) Release_Track'!$G:$G,$B6)=0),"NO CATALOG ID MATCH in Release_Track",iserror(vlookup($A6&amp;$B6,'5) Release_Track'!$F:$F&amp;'5) Release_Track'!$G:$G,1,0)),"NO ISRC-CATALOG ID pair MATCH in Release_Track" )</f>
        <v>Receba</v>
      </c>
      <c r="D6" s="116" t="str">
        <f t="array" ref="D6">ifs(and(isblank($A6),isblank($B6)),"", not(iserror(vlookup($A6&amp;$B6,'5) Release_Track'!$F:$F&amp;'5) Release_Track'!$G:$G,1,0))),vlookup($A6&amp;$B6,{'5) Release_Track'!$F:$F&amp;'5) Release_Track'!$G:$G,'5) Release_Track'!$I:$I},2,0), or(and(not(isblank($B6)),$B6=#REF!,$A6&lt;&gt;#REF!),and(not(isblank($A6)),$A6=#REF!,$B6&lt;&gt;#REF!)),"ID LISTS UNALIGNED",and($A6&lt;&gt;"",countif('5) Release_Track'!$F:$F,$A6)=0),"NO ISRC MATCH in Release_Track",and($B6&lt;&gt;"",countif('5) Release_Track'!$G:$G,$B6)=0),"NO CATALOG ID MATCH in Release_Track",iserror(vlookup($A6&amp;$B6,'5) Release_Track'!$F:$F&amp;'5) Release_Track'!$G:$G,1,0)),"NO ISRC-CATALOG ID pair MATCH in Release_Track" )</f>
        <v>Extended</v>
      </c>
      <c r="E6" s="117" t="s">
        <v>45</v>
      </c>
      <c r="F6" s="118" t="s">
        <v>109</v>
      </c>
      <c r="G6" s="119" t="str">
        <f t="array" ref="G6">ifs(or($F6="",$F6="Main Primary Artist"),$F6,not(iserror(vlookup($F6,'Reference info'!$J$5:$J$8,1,0))),"Key Artist",not(iserror(vlookup($F6,'Reference info'!$J$38:$J$405,1,0))),"Performer",not(iserror(vlookup($F6,'Reference info'!$J$10:$J$36,1,0))),"Producer &amp; Engineer")</f>
        <v>Producer &amp; Engineer</v>
      </c>
    </row>
    <row r="7">
      <c r="A7" s="47" t="s">
        <v>137</v>
      </c>
      <c r="B7" s="91"/>
      <c r="C7" s="116" t="str">
        <f t="array" ref="C7">ifs(and(isblank($A7),isblank($B7)),"", not(iserror(vlookup($A7&amp;$B7,'5) Release_Track'!$F:$F&amp;'5) Release_Track'!$G:$G,1,0))),vlookup($A7&amp;$B7,{'5) Release_Track'!$F:$F&amp;'5) Release_Track'!$G:$G,'5) Release_Track'!$H:$H},2,0), or(and(not(isblank($B7)),$B7=#REF!,$A7&lt;&gt;#REF!),and(not(isblank($A7)),$A7=#REF!,$B7&lt;&gt;#REF!)),"ID LISTS UNALIGNED",and($A7&lt;&gt;"",countif('5) Release_Track'!$F:$F,$A7)=0),"NO ISRC MATCH in Release_Track",and($B7&lt;&gt;"",countif('5) Release_Track'!$G:$G,$B7)=0),"NO CATALOG ID MATCH in Release_Track",iserror(vlookup($A7&amp;$B7,'5) Release_Track'!$F:$F&amp;'5) Release_Track'!$G:$G,1,0)),"NO ISRC-CATALOG ID pair MATCH in Release_Track" )</f>
        <v>Receba</v>
      </c>
      <c r="D7" s="116" t="str">
        <f t="array" ref="D7">ifs(and(isblank($A7),isblank($B7)),"", not(iserror(vlookup($A7&amp;$B7,'5) Release_Track'!$F:$F&amp;'5) Release_Track'!$G:$G,1,0))),vlookup($A7&amp;$B7,{'5) Release_Track'!$F:$F&amp;'5) Release_Track'!$G:$G,'5) Release_Track'!$I:$I},2,0), or(and(not(isblank($B7)),$B7=#REF!,$A7&lt;&gt;#REF!),and(not(isblank($A7)),$A7=#REF!,$B7&lt;&gt;#REF!)),"ID LISTS UNALIGNED",and($A7&lt;&gt;"",countif('5) Release_Track'!$F:$F,$A7)=0),"NO ISRC MATCH in Release_Track",and($B7&lt;&gt;"",countif('5) Release_Track'!$G:$G,$B7)=0),"NO CATALOG ID MATCH in Release_Track",iserror(vlookup($A7&amp;$B7,'5) Release_Track'!$F:$F&amp;'5) Release_Track'!$G:$G,1,0)),"NO ISRC-CATALOG ID pair MATCH in Release_Track" )</f>
        <v>Extended</v>
      </c>
      <c r="E7" s="117" t="s">
        <v>45</v>
      </c>
      <c r="F7" s="118" t="s">
        <v>110</v>
      </c>
      <c r="G7" s="119" t="str">
        <f t="array" ref="G7">ifs(or($F7="",$F7="Main Primary Artist"),$F7,not(iserror(vlookup($F7,'Reference info'!$J$5:$J$8,1,0))),"Key Artist",not(iserror(vlookup($F7,'Reference info'!$J$38:$J$405,1,0))),"Performer",not(iserror(vlookup($F7,'Reference info'!$J$10:$J$36,1,0))),"Producer &amp; Engineer")</f>
        <v>Producer &amp; Engineer</v>
      </c>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row>
    <row r="8">
      <c r="A8" s="47" t="s">
        <v>143</v>
      </c>
      <c r="B8" s="91"/>
      <c r="C8" s="116" t="str">
        <f t="array" ref="C8">ifs(and(isblank($A8),isblank($B8)),"", not(iserror(vlookup($A8&amp;$B8,'5) Release_Track'!$F:$F&amp;'5) Release_Track'!$G:$G,1,0))),vlookup($A8&amp;$B8,{'5) Release_Track'!$F:$F&amp;'5) Release_Track'!$G:$G,'5) Release_Track'!$H:$H},2,0), or(and(not(isblank($B8)),$B8=#REF!,$A8&lt;&gt;#REF!),and(not(isblank($A8)),$A8=#REF!,$B8&lt;&gt;#REF!)),"ID LISTS UNALIGNED",and($A8&lt;&gt;"",countif('5) Release_Track'!$F:$F,$A8)=0),"NO ISRC MATCH in Release_Track",and($B8&lt;&gt;"",countif('5) Release_Track'!$G:$G,$B8)=0),"NO CATALOG ID MATCH in Release_Track",iserror(vlookup($A8&amp;$B8,'5) Release_Track'!$F:$F&amp;'5) Release_Track'!$G:$G,1,0)),"NO ISRC-CATALOG ID pair MATCH in Release_Track" )</f>
        <v>A Cláusula do Contrato</v>
      </c>
      <c r="D8" s="116" t="str">
        <f t="array" ref="D8">ifs(and(isblank($A8),isblank($B8)),"", not(iserror(vlookup($A8&amp;$B8,'5) Release_Track'!$F:$F&amp;'5) Release_Track'!$G:$G,1,0))),vlookup($A8&amp;$B8,{'5) Release_Track'!$F:$F&amp;'5) Release_Track'!$G:$G,'5) Release_Track'!$I:$I},2,0), or(and(not(isblank($B8)),$B8=#REF!,$A8&lt;&gt;#REF!),and(not(isblank($A8)),$A8=#REF!,$B8&lt;&gt;#REF!)),"ID LISTS UNALIGNED",and($A8&lt;&gt;"",countif('5) Release_Track'!$F:$F,$A8)=0),"NO ISRC MATCH in Release_Track",and($B8&lt;&gt;"",countif('5) Release_Track'!$G:$G,$B8)=0),"NO CATALOG ID MATCH in Release_Track",iserror(vlookup($A8&amp;$B8,'5) Release_Track'!$F:$F&amp;'5) Release_Track'!$G:$G,1,0)),"NO ISRC-CATALOG ID pair MATCH in Release_Track" )</f>
        <v/>
      </c>
      <c r="E8" s="117" t="s">
        <v>50</v>
      </c>
      <c r="F8" s="118" t="s">
        <v>109</v>
      </c>
      <c r="G8" s="119" t="str">
        <f t="array" ref="G8">ifs(or($F8="",$F8="Main Primary Artist"),$F8,not(iserror(vlookup($F8,'Reference info'!$J$5:$J$8,1,0))),"Key Artist",not(iserror(vlookup($F8,'Reference info'!$J$38:$J$405,1,0))),"Performer",not(iserror(vlookup($F8,'Reference info'!$J$10:$J$36,1,0))),"Producer &amp; Engineer")</f>
        <v>Producer &amp; Engineer</v>
      </c>
      <c r="H8" s="28"/>
      <c r="J8" s="154"/>
      <c r="K8" s="154"/>
      <c r="L8" s="154"/>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row>
    <row r="9">
      <c r="A9" s="47" t="s">
        <v>143</v>
      </c>
      <c r="B9" s="91"/>
      <c r="C9" s="116" t="str">
        <f t="array" ref="C9">ifs(and(isblank($A9),isblank($B9)),"", not(iserror(vlookup($A9&amp;$B9,'5) Release_Track'!$F:$F&amp;'5) Release_Track'!$G:$G,1,0))),vlookup($A9&amp;$B9,{'5) Release_Track'!$F:$F&amp;'5) Release_Track'!$G:$G,'5) Release_Track'!$H:$H},2,0), or(and(not(isblank($B9)),$B9=#REF!,$A9&lt;&gt;#REF!),and(not(isblank($A9)),$A9=#REF!,$B9&lt;&gt;#REF!)),"ID LISTS UNALIGNED",and($A9&lt;&gt;"",countif('5) Release_Track'!$F:$F,$A9)=0),"NO ISRC MATCH in Release_Track",and($B9&lt;&gt;"",countif('5) Release_Track'!$G:$G,$B9)=0),"NO CATALOG ID MATCH in Release_Track",iserror(vlookup($A9&amp;$B9,'5) Release_Track'!$F:$F&amp;'5) Release_Track'!$G:$G,1,0)),"NO ISRC-CATALOG ID pair MATCH in Release_Track" )</f>
        <v>A Cláusula do Contrato</v>
      </c>
      <c r="D9" s="116" t="str">
        <f t="array" ref="D9">ifs(and(isblank($A9),isblank($B9)),"", not(iserror(vlookup($A9&amp;$B9,'5) Release_Track'!$F:$F&amp;'5) Release_Track'!$G:$G,1,0))),vlookup($A9&amp;$B9,{'5) Release_Track'!$F:$F&amp;'5) Release_Track'!$G:$G,'5) Release_Track'!$I:$I},2,0), or(and(not(isblank($B9)),$B9=#REF!,$A9&lt;&gt;#REF!),and(not(isblank($A9)),$A9=#REF!,$B9&lt;&gt;#REF!)),"ID LISTS UNALIGNED",and($A9&lt;&gt;"",countif('5) Release_Track'!$F:$F,$A9)=0),"NO ISRC MATCH in Release_Track",and($B9&lt;&gt;"",countif('5) Release_Track'!$G:$G,$B9)=0),"NO CATALOG ID MATCH in Release_Track",iserror(vlookup($A9&amp;$B9,'5) Release_Track'!$F:$F&amp;'5) Release_Track'!$G:$G,1,0)),"NO ISRC-CATALOG ID pair MATCH in Release_Track" )</f>
        <v/>
      </c>
      <c r="E9" s="117" t="s">
        <v>50</v>
      </c>
      <c r="F9" s="118" t="s">
        <v>108</v>
      </c>
      <c r="G9" s="119" t="str">
        <f t="array" ref="G9">ifs(or($F9="",$F9="Main Primary Artist"),$F9,not(iserror(vlookup($F9,'Reference info'!$J$5:$J$8,1,0))),"Key Artist",not(iserror(vlookup($F9,'Reference info'!$J$38:$J$405,1,0))),"Performer",not(iserror(vlookup($F9,'Reference info'!$J$10:$J$36,1,0))),"Producer &amp; Engineer")</f>
        <v>Main Primary Artist</v>
      </c>
      <c r="H9" s="28"/>
      <c r="I9" s="28"/>
      <c r="J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row>
    <row r="10">
      <c r="A10" s="47" t="s">
        <v>143</v>
      </c>
      <c r="B10" s="91"/>
      <c r="C10" s="116" t="str">
        <f t="array" ref="C10">ifs(and(isblank($A10),isblank($B10)),"", not(iserror(vlookup($A10&amp;$B10,'5) Release_Track'!$F:$F&amp;'5) Release_Track'!$G:$G,1,0))),vlookup($A10&amp;$B10,{'5) Release_Track'!$F:$F&amp;'5) Release_Track'!$G:$G,'5) Release_Track'!$H:$H},2,0), or(and(not(isblank($B10)),$B10=#REF!,$A10&lt;&gt;#REF!),and(not(isblank($A10)),$A10=#REF!,$B10&lt;&gt;#REF!)),"ID LISTS UNALIGNED",and($A10&lt;&gt;"",countif('5) Release_Track'!$F:$F,$A10)=0),"NO ISRC MATCH in Release_Track",and($B10&lt;&gt;"",countif('5) Release_Track'!$G:$G,$B10)=0),"NO CATALOG ID MATCH in Release_Track",iserror(vlookup($A10&amp;$B10,'5) Release_Track'!$F:$F&amp;'5) Release_Track'!$G:$G,1,0)),"NO ISRC-CATALOG ID pair MATCH in Release_Track" )</f>
        <v>A Cláusula do Contrato</v>
      </c>
      <c r="D10" s="116" t="str">
        <f t="array" ref="D10">ifs(and(isblank($A10),isblank($B10)),"", not(iserror(vlookup($A10&amp;$B10,'5) Release_Track'!$F:$F&amp;'5) Release_Track'!$G:$G,1,0))),vlookup($A10&amp;$B10,{'5) Release_Track'!$F:$F&amp;'5) Release_Track'!$G:$G,'5) Release_Track'!$I:$I},2,0), or(and(not(isblank($B10)),$B10=#REF!,$A10&lt;&gt;#REF!),and(not(isblank($A10)),$A10=#REF!,$B10&lt;&gt;#REF!)),"ID LISTS UNALIGNED",and($A10&lt;&gt;"",countif('5) Release_Track'!$F:$F,$A10)=0),"NO ISRC MATCH in Release_Track",and($B10&lt;&gt;"",countif('5) Release_Track'!$G:$G,$B10)=0),"NO CATALOG ID MATCH in Release_Track",iserror(vlookup($A10&amp;$B10,'5) Release_Track'!$F:$F&amp;'5) Release_Track'!$G:$G,1,0)),"NO ISRC-CATALOG ID pair MATCH in Release_Track" )</f>
        <v/>
      </c>
      <c r="E10" s="117" t="s">
        <v>50</v>
      </c>
      <c r="F10" s="118" t="s">
        <v>110</v>
      </c>
      <c r="G10" s="119" t="str">
        <f t="array" ref="G10">ifs(or($F10="",$F10="Main Primary Artist"),$F10,not(iserror(vlookup($F10,'Reference info'!$J$5:$J$8,1,0))),"Key Artist",not(iserror(vlookup($F10,'Reference info'!$J$38:$J$405,1,0))),"Performer",not(iserror(vlookup($F10,'Reference info'!$J$10:$J$36,1,0))),"Producer &amp; Engineer")</f>
        <v>Producer &amp; Engineer</v>
      </c>
      <c r="H10" s="28" t="s">
        <v>150</v>
      </c>
      <c r="J10" s="154"/>
      <c r="K10" s="28"/>
      <c r="L10" s="28"/>
      <c r="M10" s="154"/>
      <c r="N10" s="28"/>
      <c r="O10" s="28"/>
      <c r="P10" s="28" t="s">
        <v>151</v>
      </c>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row>
    <row r="11">
      <c r="A11" s="28"/>
      <c r="B11" s="120"/>
      <c r="C11" s="121" t="str">
        <f t="array" ref="C11">ifs(and(isblank($A11),isblank($B11)),"", not(iserror(vlookup($A11&amp;$B11,'5) Release_Track'!$F:$F&amp;'5) Release_Track'!$G:$G,1,0))),vlookup($A11&amp;$B11,{'5) Release_Track'!$F:$F&amp;'5) Release_Track'!$G:$G,'5) Release_Track'!$H:$H},2,0),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D11" s="121" t="str">
        <f t="array" ref="D11">ifs(and(isblank($A11),isblank($B11)),"", not(iserror(vlookup($A11&amp;$B11,'5) Release_Track'!$F:$F&amp;'5) Release_Track'!$G:$G,1,0))),vlookup($A11&amp;$B11,{'5) Release_Track'!$F:$F&amp;'5) Release_Track'!$G:$G,'5) Release_Track'!$I:$I},2,0),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E11" s="28"/>
      <c r="F11" s="88"/>
      <c r="G11" s="119" t="str">
        <f t="array" ref="G11">ifs(or($F11="",$F11="Main Primary Artist"),$F11,not(iserror(vlookup($F11,'Reference info'!$J$5:$J$8,1,0))),"Key Artist",not(iserror(vlookup($F11,'Reference info'!$J$38:$J$405,1,0))),"Performer",not(iserror(vlookup($F11,'Reference info'!$J$10:$J$36,1,0))),"Producer &amp; Engineer")</f>
        <v/>
      </c>
      <c r="H11" s="28" t="s">
        <v>152</v>
      </c>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row>
    <row r="12">
      <c r="A12" s="28"/>
      <c r="B12" s="120"/>
      <c r="C12" s="121" t="str">
        <f t="array" ref="C12">ifs(and(isblank($A12),isblank($B12)),"", not(iserror(vlookup($A12&amp;$B12,'5) Release_Track'!$F:$F&amp;'5) Release_Track'!$G:$G,1,0))),vlookup($A12&amp;$B12,{'5) Release_Track'!$F:$F&amp;'5) Release_Track'!$G:$G,'5) Release_Track'!$H:$H},2,0),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D12" s="121" t="str">
        <f t="array" ref="D12">ifs(and(isblank($A12),isblank($B12)),"", not(iserror(vlookup($A12&amp;$B12,'5) Release_Track'!$F:$F&amp;'5) Release_Track'!$G:$G,1,0))),vlookup($A12&amp;$B12,{'5) Release_Track'!$F:$F&amp;'5) Release_Track'!$G:$G,'5) Release_Track'!$I:$I},2,0),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E12" s="28"/>
      <c r="F12" s="88"/>
      <c r="G12" s="119" t="str">
        <f t="array" ref="G12">ifs(or($F12="",$F12="Main Primary Artist"),$F12,not(iserror(vlookup($F12,'Reference info'!$J$5:$J$8,1,0))),"Key Artist",not(iserror(vlookup($F12,'Reference info'!$J$38:$J$405,1,0))),"Performer",not(iserror(vlookup($F12,'Reference info'!$J$10:$J$36,1,0))),"Producer &amp; Engineer")</f>
        <v/>
      </c>
      <c r="H12" s="28" t="s">
        <v>153</v>
      </c>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row>
    <row r="13">
      <c r="A13" s="28"/>
      <c r="B13" s="120"/>
      <c r="C13" s="121" t="str">
        <f t="array" ref="C13">ifs(and(isblank($A13),isblank($B13)),"", not(iserror(vlookup($A13&amp;$B13,'5) Release_Track'!$F:$F&amp;'5) Release_Track'!$G:$G,1,0))),vlookup($A13&amp;$B13,{'5) Release_Track'!$F:$F&amp;'5) Release_Track'!$G:$G,'5) Release_Track'!$H:$H},2,0),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D13" s="121" t="str">
        <f t="array" ref="D13">ifs(and(isblank($A13),isblank($B13)),"", not(iserror(vlookup($A13&amp;$B13,'5) Release_Track'!$F:$F&amp;'5) Release_Track'!$G:$G,1,0))),vlookup($A13&amp;$B13,{'5) Release_Track'!$F:$F&amp;'5) Release_Track'!$G:$G,'5) Release_Track'!$I:$I},2,0),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E13" s="28"/>
      <c r="F13" s="88"/>
      <c r="G13" s="119" t="str">
        <f t="array" ref="G13">ifs(or($F13="",$F13="Main Primary Artist"),$F13,not(iserror(vlookup($F13,'Reference info'!$J$5:$J$8,1,0))),"Key Artist",not(iserror(vlookup($F13,'Reference info'!$J$38:$J$405,1,0))),"Performer",not(iserror(vlookup($F13,'Reference info'!$J$10:$J$36,1,0))),"Producer &amp; Engineer")</f>
        <v/>
      </c>
      <c r="H13" s="28" t="s">
        <v>154</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row>
    <row r="14">
      <c r="A14" s="28"/>
      <c r="B14" s="120"/>
      <c r="C14" s="121" t="str">
        <f t="array" ref="C14">ifs(and(isblank($A14),isblank($B14)),"", not(iserror(vlookup($A14&amp;$B14,'5) Release_Track'!$F:$F&amp;'5) Release_Track'!$G:$G,1,0))),vlookup($A14&amp;$B14,{'5) Release_Track'!$F:$F&amp;'5) Release_Track'!$G:$G,'5) Release_Track'!$H:$H},2,0),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D14" s="121" t="str">
        <f t="array" ref="D14">ifs(and(isblank($A14),isblank($B14)),"", not(iserror(vlookup($A14&amp;$B14,'5) Release_Track'!$F:$F&amp;'5) Release_Track'!$G:$G,1,0))),vlookup($A14&amp;$B14,{'5) Release_Track'!$F:$F&amp;'5) Release_Track'!$G:$G,'5) Release_Track'!$I:$I},2,0),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E14" s="28"/>
      <c r="F14" s="88"/>
      <c r="G14" s="119" t="str">
        <f t="array" ref="G14">ifs(or($F14="",$F14="Main Primary Artist"),$F14,not(iserror(vlookup($F14,'Reference info'!$J$5:$J$8,1,0))),"Key Artist",not(iserror(vlookup($F14,'Reference info'!$J$38:$J$405,1,0))),"Performer",not(iserror(vlookup($F14,'Reference info'!$J$10:$J$36,1,0))),"Producer &amp; Engineer")</f>
        <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row>
    <row r="15">
      <c r="A15" s="28"/>
      <c r="B15" s="120"/>
      <c r="C15" s="121" t="str">
        <f t="array" ref="C15">ifs(and(isblank($A15),isblank($B15)),"", not(iserror(vlookup($A15&amp;$B15,'5) Release_Track'!$F:$F&amp;'5) Release_Track'!$G:$G,1,0))),vlookup($A15&amp;$B15,{'5) Release_Track'!$F:$F&amp;'5) Release_Track'!$G:$G,'5) Release_Track'!$H:$H},2,0),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D15" s="121" t="str">
        <f t="array" ref="D15">ifs(and(isblank($A15),isblank($B15)),"", not(iserror(vlookup($A15&amp;$B15,'5) Release_Track'!$F:$F&amp;'5) Release_Track'!$G:$G,1,0))),vlookup($A15&amp;$B15,{'5) Release_Track'!$F:$F&amp;'5) Release_Track'!$G:$G,'5) Release_Track'!$I:$I},2,0),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E15" s="28"/>
      <c r="F15" s="28"/>
      <c r="G15" s="119" t="str">
        <f t="array" ref="G15">ifs(or($F15="",$F15="Main Primary Artist"),$F15,not(iserror(vlookup($F15,'Reference info'!$J$5:$J$8,1,0))),"Key Artist",not(iserror(vlookup($F15,'Reference info'!$J$38:$J$405,1,0))),"Performer",not(iserror(vlookup($F15,'Reference info'!$J$10:$J$36,1,0))),"Producer &amp; Engineer")</f>
        <v/>
      </c>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row>
    <row r="16">
      <c r="A16" s="28"/>
      <c r="B16" s="120"/>
      <c r="C16" s="121" t="str">
        <f t="array" ref="C16">ifs(and(isblank($A16),isblank($B16)),"", not(iserror(vlookup($A16&amp;$B16,'5) Release_Track'!$F:$F&amp;'5) Release_Track'!$G:$G,1,0))),vlookup($A16&amp;$B16,{'5) Release_Track'!$F:$F&amp;'5) Release_Track'!$G:$G,'5) Release_Track'!$H:$H},2,0),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D16" s="121" t="str">
        <f t="array" ref="D16">ifs(and(isblank($A16),isblank($B16)),"", not(iserror(vlookup($A16&amp;$B16,'5) Release_Track'!$F:$F&amp;'5) Release_Track'!$G:$G,1,0))),vlookup($A16&amp;$B16,{'5) Release_Track'!$F:$F&amp;'5) Release_Track'!$G:$G,'5) Release_Track'!$I:$I},2,0),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E16" s="28"/>
      <c r="F16" s="28"/>
      <c r="G16" s="119" t="str">
        <f t="array" ref="G16">ifs(or($F16="",$F16="Main Primary Artist"),$F16,not(iserror(vlookup($F16,'Reference info'!$J$5:$J$8,1,0))),"Key Artist",not(iserror(vlookup($F16,'Reference info'!$J$38:$J$405,1,0))),"Performer",not(iserror(vlookup($F16,'Reference info'!$J$10:$J$36,1,0))),"Producer &amp; Engineer")</f>
        <v/>
      </c>
      <c r="H16" s="28"/>
      <c r="J16" s="160"/>
      <c r="M16" s="28"/>
      <c r="N16" s="28"/>
      <c r="O16" s="28"/>
      <c r="P16" s="28"/>
      <c r="Q16" s="28"/>
      <c r="R16" s="28"/>
      <c r="S16" s="28"/>
      <c r="T16" s="28"/>
      <c r="U16" s="43"/>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row>
    <row r="17">
      <c r="B17" s="97"/>
      <c r="C17" s="121" t="str">
        <f t="array" ref="C17">ifs(and(isblank($A17),isblank($B17)),"", not(iserror(vlookup($A17&amp;$B17,'5) Release_Track'!$F:$F&amp;'5) Release_Track'!$G:$G,1,0))),vlookup($A17&amp;$B17,{'5) Release_Track'!$F:$F&amp;'5) Release_Track'!$G:$G,'5) Release_Track'!$H:$H},2,0),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D17" s="121" t="str">
        <f t="array" ref="D17">ifs(and(isblank($A17),isblank($B17)),"", not(iserror(vlookup($A17&amp;$B17,'5) Release_Track'!$F:$F&amp;'5) Release_Track'!$G:$G,1,0))),vlookup($A17&amp;$B17,{'5) Release_Track'!$F:$F&amp;'5) Release_Track'!$G:$G,'5) Release_Track'!$I:$I},2,0),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E17" s="92"/>
      <c r="F17" s="92"/>
      <c r="G17" s="125" t="str">
        <f t="array" ref="G17">ifs(or($F17="",$F17="Main Primary Artist"),$F17,not(iserror(vlookup($F17,'Reference info'!$J$5:$J$8,1,0))),"Key Artist",not(iserror(vlookup($F17,'Reference info'!$J$38:$J$405,1,0))),"Performer",not(iserror(vlookup($F17,'Reference info'!$J$10:$J$36,1,0))),"Producer &amp; Engineer")</f>
        <v/>
      </c>
      <c r="H17" s="28"/>
      <c r="J17" s="160"/>
    </row>
    <row r="18">
      <c r="B18" s="97"/>
      <c r="C18" s="121" t="str">
        <f t="array" ref="C18">ifs(and(isblank($A18),isblank($B18)),"", not(iserror(vlookup($A18&amp;$B18,'5) Release_Track'!$F:$F&amp;'5) Release_Track'!$G:$G,1,0))),vlookup($A18&amp;$B18,{'5) Release_Track'!$F:$F&amp;'5) Release_Track'!$G:$G,'5) Release_Track'!$H:$H},2,0),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D18" s="121" t="str">
        <f t="array" ref="D18">ifs(and(isblank($A18),isblank($B18)),"", not(iserror(vlookup($A18&amp;$B18,'5) Release_Track'!$F:$F&amp;'5) Release_Track'!$G:$G,1,0))),vlookup($A18&amp;$B18,{'5) Release_Track'!$F:$F&amp;'5) Release_Track'!$G:$G,'5) Release_Track'!$I:$I},2,0),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E18" s="92"/>
      <c r="F18" s="92"/>
      <c r="G18" s="125" t="str">
        <f t="array" ref="G18">ifs(or($F18="",$F18="Main Primary Artist"),$F18,not(iserror(vlookup($F18,'Reference info'!$J$5:$J$8,1,0))),"Key Artist",not(iserror(vlookup($F18,'Reference info'!$J$38:$J$405,1,0))),"Performer",not(iserror(vlookup($F18,'Reference info'!$J$10:$J$36,1,0))),"Producer &amp; Engineer")</f>
        <v/>
      </c>
      <c r="J18" s="160"/>
    </row>
    <row r="19">
      <c r="B19" s="97"/>
      <c r="C19" s="121" t="str">
        <f t="array" ref="C19">ifs(and(isblank($A19),isblank($B19)),"", not(iserror(vlookup($A19&amp;$B19,'5) Release_Track'!$F:$F&amp;'5) Release_Track'!$G:$G,1,0))),vlookup($A19&amp;$B19,{'5) Release_Track'!$F:$F&amp;'5) Release_Track'!$G:$G,'5) Release_Track'!$H:$H},2,0),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D19" s="121" t="str">
        <f t="array" ref="D19">ifs(and(isblank($A19),isblank($B19)),"", not(iserror(vlookup($A19&amp;$B19,'5) Release_Track'!$F:$F&amp;'5) Release_Track'!$G:$G,1,0))),vlookup($A19&amp;$B19,{'5) Release_Track'!$F:$F&amp;'5) Release_Track'!$G:$G,'5) Release_Track'!$I:$I},2,0),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E19" s="92"/>
      <c r="F19" s="92"/>
      <c r="G19" s="125" t="str">
        <f t="array" ref="G19">ifs(or($F19="",$F19="Main Primary Artist"),$F19,not(iserror(vlookup($F19,'Reference info'!$J$5:$J$8,1,0))),"Key Artist",not(iserror(vlookup($F19,'Reference info'!$J$38:$J$405,1,0))),"Performer",not(iserror(vlookup($F19,'Reference info'!$J$10:$J$36,1,0))),"Producer &amp; Engineer")</f>
        <v/>
      </c>
      <c r="J19" s="160"/>
    </row>
    <row r="20">
      <c r="B20" s="97"/>
      <c r="C20" s="121" t="str">
        <f t="array" ref="C20">ifs(and(isblank($A20),isblank($B20)),"", not(iserror(vlookup($A20&amp;$B20,'5) Release_Track'!$F:$F&amp;'5) Release_Track'!$G:$G,1,0))),vlookup($A20&amp;$B20,{'5) Release_Track'!$F:$F&amp;'5) Release_Track'!$G:$G,'5) Release_Track'!$H:$H},2,0),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D20" s="121" t="str">
        <f t="array" ref="D20">ifs(and(isblank($A20),isblank($B20)),"", not(iserror(vlookup($A20&amp;$B20,'5) Release_Track'!$F:$F&amp;'5) Release_Track'!$G:$G,1,0))),vlookup($A20&amp;$B20,{'5) Release_Track'!$F:$F&amp;'5) Release_Track'!$G:$G,'5) Release_Track'!$I:$I},2,0),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E20" s="92"/>
      <c r="F20" s="92"/>
      <c r="G20" s="125" t="str">
        <f t="array" ref="G20">ifs(or($F20="",$F20="Main Primary Artist"),$F20,not(iserror(vlookup($F20,'Reference info'!$J$5:$J$8,1,0))),"Key Artist",not(iserror(vlookup($F20,'Reference info'!$J$38:$J$405,1,0))),"Performer",not(iserror(vlookup($F20,'Reference info'!$J$10:$J$36,1,0))),"Producer &amp; Engineer")</f>
        <v/>
      </c>
    </row>
    <row r="21">
      <c r="B21" s="97"/>
      <c r="C21" s="121" t="str">
        <f t="array" ref="C21">ifs(and(isblank($A21),isblank($B21)),"", not(iserror(vlookup($A21&amp;$B21,'5) Release_Track'!$F:$F&amp;'5) Release_Track'!$G:$G,1,0))),vlookup($A21&amp;$B21,{'5) Release_Track'!$F:$F&amp;'5) Release_Track'!$G:$G,'5) Release_Track'!$H:$H},2,0),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D21" s="121" t="str">
        <f t="array" ref="D21">ifs(and(isblank($A21),isblank($B21)),"", not(iserror(vlookup($A21&amp;$B21,'5) Release_Track'!$F:$F&amp;'5) Release_Track'!$G:$G,1,0))),vlookup($A21&amp;$B21,{'5) Release_Track'!$F:$F&amp;'5) Release_Track'!$G:$G,'5) Release_Track'!$I:$I},2,0),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E21" s="92"/>
      <c r="F21" s="92"/>
      <c r="G21" s="125" t="str">
        <f t="array" ref="G21">ifs(or($F21="",$F21="Main Primary Artist"),$F21,not(iserror(vlookup($F21,'Reference info'!$J$5:$J$8,1,0))),"Key Artist",not(iserror(vlookup($F21,'Reference info'!$J$38:$J$405,1,0))),"Performer",not(iserror(vlookup($F21,'Reference info'!$J$10:$J$36,1,0))),"Producer &amp; Engineer")</f>
        <v/>
      </c>
    </row>
    <row r="22">
      <c r="B22" s="97"/>
      <c r="C22" s="121" t="str">
        <f t="array" ref="C22">ifs(and(isblank($A22),isblank($B22)),"", not(iserror(vlookup($A22&amp;$B22,'5) Release_Track'!$F:$F&amp;'5) Release_Track'!$G:$G,1,0))),vlookup($A22&amp;$B22,{'5) Release_Track'!$F:$F&amp;'5) Release_Track'!$G:$G,'5) Release_Track'!$H:$H},2,0),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D22" s="121" t="str">
        <f t="array" ref="D22">ifs(and(isblank($A22),isblank($B22)),"", not(iserror(vlookup($A22&amp;$B22,'5) Release_Track'!$F:$F&amp;'5) Release_Track'!$G:$G,1,0))),vlookup($A22&amp;$B22,{'5) Release_Track'!$F:$F&amp;'5) Release_Track'!$G:$G,'5) Release_Track'!$I:$I},2,0),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E22" s="92"/>
      <c r="F22" s="92"/>
      <c r="G22" s="125" t="str">
        <f t="array" ref="G22">ifs(or($F22="",$F22="Main Primary Artist"),$F22,not(iserror(vlookup($F22,'Reference info'!$J$5:$J$8,1,0))),"Key Artist",not(iserror(vlookup($F22,'Reference info'!$J$38:$J$405,1,0))),"Performer",not(iserror(vlookup($F22,'Reference info'!$J$10:$J$36,1,0))),"Producer &amp; Engineer")</f>
        <v/>
      </c>
    </row>
    <row r="23">
      <c r="B23" s="97"/>
      <c r="C23" s="121" t="str">
        <f t="array" ref="C23">ifs(and(isblank($A23),isblank($B23)),"", not(iserror(vlookup($A23&amp;$B23,'5) Release_Track'!$F:$F&amp;'5) Release_Track'!$G:$G,1,0))),vlookup($A23&amp;$B23,{'5) Release_Track'!$F:$F&amp;'5) Release_Track'!$G:$G,'5) Release_Track'!$H:$H},2,0),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D23" s="121" t="str">
        <f t="array" ref="D23">ifs(and(isblank($A23),isblank($B23)),"", not(iserror(vlookup($A23&amp;$B23,'5) Release_Track'!$F:$F&amp;'5) Release_Track'!$G:$G,1,0))),vlookup($A23&amp;$B23,{'5) Release_Track'!$F:$F&amp;'5) Release_Track'!$G:$G,'5) Release_Track'!$I:$I},2,0),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E23" s="92"/>
      <c r="F23" s="92"/>
      <c r="G23" s="125" t="str">
        <f t="array" ref="G23">ifs(or($F23="",$F23="Main Primary Artist"),$F23,not(iserror(vlookup($F23,'Reference info'!$J$5:$J$8,1,0))),"Key Artist",not(iserror(vlookup($F23,'Reference info'!$J$38:$J$405,1,0))),"Performer",not(iserror(vlookup($F23,'Reference info'!$J$10:$J$36,1,0))),"Producer &amp; Engineer")</f>
        <v/>
      </c>
    </row>
    <row r="24">
      <c r="B24" s="97"/>
      <c r="C24" s="121" t="str">
        <f t="array" ref="C24">ifs(and(isblank($A24),isblank($B24)),"", not(iserror(vlookup($A24&amp;$B24,'5) Release_Track'!$F:$F&amp;'5) Release_Track'!$G:$G,1,0))),vlookup($A24&amp;$B24,{'5) Release_Track'!$F:$F&amp;'5) Release_Track'!$G:$G,'5) Release_Track'!$H:$H},2,0),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D24" s="121" t="str">
        <f t="array" ref="D24">ifs(and(isblank($A24),isblank($B24)),"", not(iserror(vlookup($A24&amp;$B24,'5) Release_Track'!$F:$F&amp;'5) Release_Track'!$G:$G,1,0))),vlookup($A24&amp;$B24,{'5) Release_Track'!$F:$F&amp;'5) Release_Track'!$G:$G,'5) Release_Track'!$I:$I},2,0),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E24" s="92"/>
      <c r="F24" s="92"/>
      <c r="G24" s="125" t="str">
        <f t="array" ref="G24">ifs(or($F24="",$F24="Main Primary Artist"),$F24,not(iserror(vlookup($F24,'Reference info'!$J$5:$J$8,1,0))),"Key Artist",not(iserror(vlookup($F24,'Reference info'!$J$38:$J$405,1,0))),"Performer",not(iserror(vlookup($F24,'Reference info'!$J$10:$J$36,1,0))),"Producer &amp; Engineer")</f>
        <v/>
      </c>
    </row>
    <row r="25">
      <c r="B25" s="97"/>
      <c r="C25" s="121" t="str">
        <f t="array" ref="C25">ifs(and(isblank($A25),isblank($B25)),"", not(iserror(vlookup($A25&amp;$B25,'5) Release_Track'!$F:$F&amp;'5) Release_Track'!$G:$G,1,0))),vlookup($A25&amp;$B25,{'5) Release_Track'!$F:$F&amp;'5) Release_Track'!$G:$G,'5) Release_Track'!$H:$H},2,0),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D25" s="121" t="str">
        <f t="array" ref="D25">ifs(and(isblank($A25),isblank($B25)),"", not(iserror(vlookup($A25&amp;$B25,'5) Release_Track'!$F:$F&amp;'5) Release_Track'!$G:$G,1,0))),vlookup($A25&amp;$B25,{'5) Release_Track'!$F:$F&amp;'5) Release_Track'!$G:$G,'5) Release_Track'!$I:$I},2,0),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E25" s="92"/>
      <c r="F25" s="92"/>
      <c r="G25" s="125" t="str">
        <f t="array" ref="G25">ifs(or($F25="",$F25="Main Primary Artist"),$F25,not(iserror(vlookup($F25,'Reference info'!$J$5:$J$8,1,0))),"Key Artist",not(iserror(vlookup($F25,'Reference info'!$J$38:$J$405,1,0))),"Performer",not(iserror(vlookup($F25,'Reference info'!$J$10:$J$36,1,0))),"Producer &amp; Engineer")</f>
        <v/>
      </c>
    </row>
    <row r="26">
      <c r="B26" s="97"/>
      <c r="C26" s="121" t="str">
        <f t="array" ref="C26">ifs(and(isblank($A26),isblank($B26)),"", not(iserror(vlookup($A26&amp;$B26,'5) Release_Track'!$F:$F&amp;'5) Release_Track'!$G:$G,1,0))),vlookup($A26&amp;$B26,{'5) Release_Track'!$F:$F&amp;'5) Release_Track'!$G:$G,'5) Release_Track'!$H:$H},2,0),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D26" s="121" t="str">
        <f t="array" ref="D26">ifs(and(isblank($A26),isblank($B26)),"", not(iserror(vlookup($A26&amp;$B26,'5) Release_Track'!$F:$F&amp;'5) Release_Track'!$G:$G,1,0))),vlookup($A26&amp;$B26,{'5) Release_Track'!$F:$F&amp;'5) Release_Track'!$G:$G,'5) Release_Track'!$I:$I},2,0),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E26" s="92"/>
      <c r="F26" s="92"/>
      <c r="G26" s="125" t="str">
        <f t="array" ref="G26">ifs(or($F26="",$F26="Main Primary Artist"),$F26,not(iserror(vlookup($F26,'Reference info'!$J$5:$J$8,1,0))),"Key Artist",not(iserror(vlookup($F26,'Reference info'!$J$38:$J$405,1,0))),"Performer",not(iserror(vlookup($F26,'Reference info'!$J$10:$J$36,1,0))),"Producer &amp; Engineer")</f>
        <v/>
      </c>
    </row>
    <row r="27">
      <c r="B27" s="97"/>
      <c r="C27" s="121" t="str">
        <f t="array" ref="C27">ifs(and(isblank($A27),isblank($B27)),"", not(iserror(vlookup($A27&amp;$B27,'5) Release_Track'!$F:$F&amp;'5) Release_Track'!$G:$G,1,0))),vlookup($A27&amp;$B27,{'5) Release_Track'!$F:$F&amp;'5) Release_Track'!$G:$G,'5) Release_Track'!$H:$H},2,0),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D27" s="121" t="str">
        <f t="array" ref="D27">ifs(and(isblank($A27),isblank($B27)),"", not(iserror(vlookup($A27&amp;$B27,'5) Release_Track'!$F:$F&amp;'5) Release_Track'!$G:$G,1,0))),vlookup($A27&amp;$B27,{'5) Release_Track'!$F:$F&amp;'5) Release_Track'!$G:$G,'5) Release_Track'!$I:$I},2,0),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E27" s="92"/>
      <c r="F27" s="92"/>
      <c r="G27" s="125" t="str">
        <f t="array" ref="G27">ifs(or($F27="",$F27="Main Primary Artist"),$F27,not(iserror(vlookup($F27,'Reference info'!$J$5:$J$8,1,0))),"Key Artist",not(iserror(vlookup($F27,'Reference info'!$J$38:$J$405,1,0))),"Performer",not(iserror(vlookup($F27,'Reference info'!$J$10:$J$36,1,0))),"Producer &amp; Engineer")</f>
        <v/>
      </c>
    </row>
    <row r="28">
      <c r="B28" s="97"/>
      <c r="C28" s="121" t="str">
        <f t="array" ref="C28">ifs(and(isblank($A28),isblank($B28)),"", not(iserror(vlookup($A28&amp;$B28,'5) Release_Track'!$F:$F&amp;'5) Release_Track'!$G:$G,1,0))),vlookup($A28&amp;$B28,{'5) Release_Track'!$F:$F&amp;'5) Release_Track'!$G:$G,'5) Release_Track'!$H:$H},2,0),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D28" s="121" t="str">
        <f t="array" ref="D28">ifs(and(isblank($A28),isblank($B28)),"", not(iserror(vlookup($A28&amp;$B28,'5) Release_Track'!$F:$F&amp;'5) Release_Track'!$G:$G,1,0))),vlookup($A28&amp;$B28,{'5) Release_Track'!$F:$F&amp;'5) Release_Track'!$G:$G,'5) Release_Track'!$I:$I},2,0),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E28" s="92"/>
      <c r="F28" s="92"/>
      <c r="G28" s="125" t="str">
        <f t="array" ref="G28">ifs(or($F28="",$F28="Main Primary Artist"),$F28,not(iserror(vlookup($F28,'Reference info'!$J$5:$J$8,1,0))),"Key Artist",not(iserror(vlookup($F28,'Reference info'!$J$38:$J$405,1,0))),"Performer",not(iserror(vlookup($F28,'Reference info'!$J$10:$J$36,1,0))),"Producer &amp; Engineer")</f>
        <v/>
      </c>
    </row>
    <row r="29">
      <c r="B29" s="97"/>
      <c r="C29" s="121" t="str">
        <f t="array" ref="C29">ifs(and(isblank($A29),isblank($B29)),"", not(iserror(vlookup($A29&amp;$B29,'5) Release_Track'!$F:$F&amp;'5) Release_Track'!$G:$G,1,0))),vlookup($A29&amp;$B29,{'5) Release_Track'!$F:$F&amp;'5) Release_Track'!$G:$G,'5) Release_Track'!$H:$H},2,0),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D29" s="121" t="str">
        <f t="array" ref="D29">ifs(and(isblank($A29),isblank($B29)),"", not(iserror(vlookup($A29&amp;$B29,'5) Release_Track'!$F:$F&amp;'5) Release_Track'!$G:$G,1,0))),vlookup($A29&amp;$B29,{'5) Release_Track'!$F:$F&amp;'5) Release_Track'!$G:$G,'5) Release_Track'!$I:$I},2,0),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E29" s="92"/>
      <c r="F29" s="92"/>
      <c r="G29" s="125" t="str">
        <f t="array" ref="G29">ifs(or($F29="",$F29="Main Primary Artist"),$F29,not(iserror(vlookup($F29,'Reference info'!$J$5:$J$8,1,0))),"Key Artist",not(iserror(vlookup($F29,'Reference info'!$J$38:$J$405,1,0))),"Performer",not(iserror(vlookup($F29,'Reference info'!$J$10:$J$36,1,0))),"Producer &amp; Engineer")</f>
        <v/>
      </c>
    </row>
    <row r="30">
      <c r="B30" s="97"/>
      <c r="C30" s="121" t="str">
        <f t="array" ref="C30">ifs(and(isblank($A30),isblank($B30)),"", not(iserror(vlookup($A30&amp;$B30,'5) Release_Track'!$F:$F&amp;'5) Release_Track'!$G:$G,1,0))),vlookup($A30&amp;$B30,{'5) Release_Track'!$F:$F&amp;'5) Release_Track'!$G:$G,'5) Release_Track'!$H:$H},2,0),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D30" s="121" t="str">
        <f t="array" ref="D30">ifs(and(isblank($A30),isblank($B30)),"", not(iserror(vlookup($A30&amp;$B30,'5) Release_Track'!$F:$F&amp;'5) Release_Track'!$G:$G,1,0))),vlookup($A30&amp;$B30,{'5) Release_Track'!$F:$F&amp;'5) Release_Track'!$G:$G,'5) Release_Track'!$I:$I},2,0),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E30" s="92"/>
      <c r="F30" s="92"/>
      <c r="G30" s="125" t="str">
        <f t="array" ref="G30">ifs(or($F30="",$F30="Main Primary Artist"),$F30,not(iserror(vlookup($F30,'Reference info'!$J$5:$J$8,1,0))),"Key Artist",not(iserror(vlookup($F30,'Reference info'!$J$38:$J$405,1,0))),"Performer",not(iserror(vlookup($F30,'Reference info'!$J$10:$J$36,1,0))),"Producer &amp; Engineer")</f>
        <v/>
      </c>
    </row>
    <row r="31">
      <c r="B31" s="97"/>
      <c r="C31" s="121" t="str">
        <f t="array" ref="C31">ifs(and(isblank($A31),isblank($B31)),"", not(iserror(vlookup($A31&amp;$B31,'5) Release_Track'!$F:$F&amp;'5) Release_Track'!$G:$G,1,0))),vlookup($A31&amp;$B31,{'5) Release_Track'!$F:$F&amp;'5) Release_Track'!$G:$G,'5) Release_Track'!$H:$H},2,0),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D31" s="121" t="str">
        <f t="array" ref="D31">ifs(and(isblank($A31),isblank($B31)),"", not(iserror(vlookup($A31&amp;$B31,'5) Release_Track'!$F:$F&amp;'5) Release_Track'!$G:$G,1,0))),vlookup($A31&amp;$B31,{'5) Release_Track'!$F:$F&amp;'5) Release_Track'!$G:$G,'5) Release_Track'!$I:$I},2,0),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E31" s="92"/>
      <c r="F31" s="92"/>
      <c r="G31" s="125" t="str">
        <f t="array" ref="G31">ifs(or($F31="",$F31="Main Primary Artist"),$F31,not(iserror(vlookup($F31,'Reference info'!$J$5:$J$8,1,0))),"Key Artist",not(iserror(vlookup($F31,'Reference info'!$J$38:$J$405,1,0))),"Performer",not(iserror(vlookup($F31,'Reference info'!$J$10:$J$36,1,0))),"Producer &amp; Engineer")</f>
        <v/>
      </c>
    </row>
    <row r="32">
      <c r="B32" s="97"/>
      <c r="C32" s="121" t="str">
        <f t="array" ref="C32">ifs(and(isblank($A32),isblank($B32)),"", not(iserror(vlookup($A32&amp;$B32,'5) Release_Track'!$F:$F&amp;'5) Release_Track'!$G:$G,1,0))),vlookup($A32&amp;$B32,{'5) Release_Track'!$F:$F&amp;'5) Release_Track'!$G:$G,'5) Release_Track'!$H:$H},2,0),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D32" s="121" t="str">
        <f t="array" ref="D32">ifs(and(isblank($A32),isblank($B32)),"", not(iserror(vlookup($A32&amp;$B32,'5) Release_Track'!$F:$F&amp;'5) Release_Track'!$G:$G,1,0))),vlookup($A32&amp;$B32,{'5) Release_Track'!$F:$F&amp;'5) Release_Track'!$G:$G,'5) Release_Track'!$I:$I},2,0),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E32" s="92"/>
      <c r="F32" s="92"/>
      <c r="G32" s="125" t="str">
        <f t="array" ref="G32">ifs(or($F32="",$F32="Main Primary Artist"),$F32,not(iserror(vlookup($F32,'Reference info'!$J$5:$J$8,1,0))),"Key Artist",not(iserror(vlookup($F32,'Reference info'!$J$38:$J$405,1,0))),"Performer",not(iserror(vlookup($F32,'Reference info'!$J$10:$J$36,1,0))),"Producer &amp; Engineer")</f>
        <v/>
      </c>
    </row>
    <row r="33">
      <c r="B33" s="46"/>
      <c r="C33" s="121" t="str">
        <f t="array" ref="C33">ifs(and(isblank($A33),isblank($B33)),"", not(iserror(vlookup($A33&amp;$B33,'5) Release_Track'!$F:$F&amp;'5) Release_Track'!$G:$G,1,0))),vlookup($A33&amp;$B33,{'5) Release_Track'!$F:$F&amp;'5) Release_Track'!$G:$G,'5) Release_Track'!$H:$H},2,0),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D33" s="121" t="str">
        <f t="array" ref="D33">ifs(and(isblank($A33),isblank($B33)),"", not(iserror(vlookup($A33&amp;$B33,'5) Release_Track'!$F:$F&amp;'5) Release_Track'!$G:$G,1,0))),vlookup($A33&amp;$B33,{'5) Release_Track'!$F:$F&amp;'5) Release_Track'!$G:$G,'5) Release_Track'!$I:$I},2,0),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E33" s="92"/>
      <c r="F33" s="92"/>
      <c r="G33" s="125" t="str">
        <f t="array" ref="G33">ifs(or($F33="",$F33="Main Primary Artist"),$F33,not(iserror(vlookup($F33,'Reference info'!$J$5:$J$8,1,0))),"Key Artist",not(iserror(vlookup($F33,'Reference info'!$J$38:$J$405,1,0))),"Performer",not(iserror(vlookup($F33,'Reference info'!$J$10:$J$36,1,0))),"Producer &amp; Engineer")</f>
        <v/>
      </c>
    </row>
    <row r="34">
      <c r="B34" s="97"/>
      <c r="C34" s="121" t="str">
        <f t="array" ref="C34">ifs(and(isblank($A34),isblank($B34)),"", not(iserror(vlookup($A34&amp;$B34,'5) Release_Track'!$F:$F&amp;'5) Release_Track'!$G:$G,1,0))),vlookup($A34&amp;$B34,{'5) Release_Track'!$F:$F&amp;'5) Release_Track'!$G:$G,'5) Release_Track'!$H:$H},2,0),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D34" s="121" t="str">
        <f t="array" ref="D34">ifs(and(isblank($A34),isblank($B34)),"", not(iserror(vlookup($A34&amp;$B34,'5) Release_Track'!$F:$F&amp;'5) Release_Track'!$G:$G,1,0))),vlookup($A34&amp;$B34,{'5) Release_Track'!$F:$F&amp;'5) Release_Track'!$G:$G,'5) Release_Track'!$I:$I},2,0),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E34" s="92"/>
      <c r="F34" s="92"/>
      <c r="G34" s="125" t="str">
        <f t="array" ref="G34">ifs(or($F34="",$F34="Main Primary Artist"),$F34,not(iserror(vlookup($F34,'Reference info'!$J$5:$J$8,1,0))),"Key Artist",not(iserror(vlookup($F34,'Reference info'!$J$38:$J$405,1,0))),"Performer",not(iserror(vlookup($F34,'Reference info'!$J$10:$J$36,1,0))),"Producer &amp; Engineer")</f>
        <v/>
      </c>
    </row>
    <row r="35">
      <c r="B35" s="97"/>
      <c r="C35" s="121" t="str">
        <f t="array" ref="C35">ifs(and(isblank($A35),isblank($B35)),"", not(iserror(vlookup($A35&amp;$B35,'5) Release_Track'!$F:$F&amp;'5) Release_Track'!$G:$G,1,0))),vlookup($A35&amp;$B35,{'5) Release_Track'!$F:$F&amp;'5) Release_Track'!$G:$G,'5) Release_Track'!$H:$H},2,0),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D35" s="121" t="str">
        <f t="array" ref="D35">ifs(and(isblank($A35),isblank($B35)),"", not(iserror(vlookup($A35&amp;$B35,'5) Release_Track'!$F:$F&amp;'5) Release_Track'!$G:$G,1,0))),vlookup($A35&amp;$B35,{'5) Release_Track'!$F:$F&amp;'5) Release_Track'!$G:$G,'5) Release_Track'!$I:$I},2,0),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E35" s="92"/>
      <c r="F35" s="92"/>
      <c r="G35" s="125" t="str">
        <f t="array" ref="G35">ifs(or($F35="",$F35="Main Primary Artist"),$F35,not(iserror(vlookup($F35,'Reference info'!$J$5:$J$8,1,0))),"Key Artist",not(iserror(vlookup($F35,'Reference info'!$J$38:$J$405,1,0))),"Performer",not(iserror(vlookup($F35,'Reference info'!$J$10:$J$36,1,0))),"Producer &amp; Engineer")</f>
        <v/>
      </c>
    </row>
    <row r="36">
      <c r="B36" s="97"/>
      <c r="C36" s="121" t="str">
        <f t="array" ref="C36">ifs(and(isblank($A36),isblank($B36)),"", not(iserror(vlookup($A36&amp;$B36,'5) Release_Track'!$F:$F&amp;'5) Release_Track'!$G:$G,1,0))),vlookup($A36&amp;$B36,{'5) Release_Track'!$F:$F&amp;'5) Release_Track'!$G:$G,'5) Release_Track'!$H:$H},2,0),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D36" s="121" t="str">
        <f t="array" ref="D36">ifs(and(isblank($A36),isblank($B36)),"", not(iserror(vlookup($A36&amp;$B36,'5) Release_Track'!$F:$F&amp;'5) Release_Track'!$G:$G,1,0))),vlookup($A36&amp;$B36,{'5) Release_Track'!$F:$F&amp;'5) Release_Track'!$G:$G,'5) Release_Track'!$I:$I},2,0),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E36" s="92"/>
      <c r="F36" s="92"/>
      <c r="G36" s="125" t="str">
        <f t="array" ref="G36">ifs(or($F36="",$F36="Main Primary Artist"),$F36,not(iserror(vlookup($F36,'Reference info'!$J$5:$J$8,1,0))),"Key Artist",not(iserror(vlookup($F36,'Reference info'!$J$38:$J$405,1,0))),"Performer",not(iserror(vlookup($F36,'Reference info'!$J$10:$J$36,1,0))),"Producer &amp; Engineer")</f>
        <v/>
      </c>
    </row>
    <row r="37">
      <c r="B37" s="97"/>
      <c r="C37" s="121" t="str">
        <f t="array" ref="C37">ifs(and(isblank($A37),isblank($B37)),"", not(iserror(vlookup($A37&amp;$B37,'5) Release_Track'!$F:$F&amp;'5) Release_Track'!$G:$G,1,0))),vlookup($A37&amp;$B37,{'5) Release_Track'!$F:$F&amp;'5) Release_Track'!$G:$G,'5) Release_Track'!$H:$H},2,0),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D37" s="121" t="str">
        <f t="array" ref="D37">ifs(and(isblank($A37),isblank($B37)),"", not(iserror(vlookup($A37&amp;$B37,'5) Release_Track'!$F:$F&amp;'5) Release_Track'!$G:$G,1,0))),vlookup($A37&amp;$B37,{'5) Release_Track'!$F:$F&amp;'5) Release_Track'!$G:$G,'5) Release_Track'!$I:$I},2,0),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E37" s="92"/>
      <c r="F37" s="92"/>
      <c r="G37" s="125" t="str">
        <f t="array" ref="G37">ifs(or($F37="",$F37="Main Primary Artist"),$F37,not(iserror(vlookup($F37,'Reference info'!$J$5:$J$8,1,0))),"Key Artist",not(iserror(vlookup($F37,'Reference info'!$J$38:$J$405,1,0))),"Performer",not(iserror(vlookup($F37,'Reference info'!$J$10:$J$36,1,0))),"Producer &amp; Engineer")</f>
        <v/>
      </c>
    </row>
    <row r="38">
      <c r="B38" s="97"/>
      <c r="C38" s="121" t="str">
        <f t="array" ref="C38">ifs(and(isblank($A38),isblank($B38)),"", not(iserror(vlookup($A38&amp;$B38,'5) Release_Track'!$F:$F&amp;'5) Release_Track'!$G:$G,1,0))),vlookup($A38&amp;$B38,{'5) Release_Track'!$F:$F&amp;'5) Release_Track'!$G:$G,'5) Release_Track'!$H:$H},2,0),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D38" s="121" t="str">
        <f t="array" ref="D38">ifs(and(isblank($A38),isblank($B38)),"", not(iserror(vlookup($A38&amp;$B38,'5) Release_Track'!$F:$F&amp;'5) Release_Track'!$G:$G,1,0))),vlookup($A38&amp;$B38,{'5) Release_Track'!$F:$F&amp;'5) Release_Track'!$G:$G,'5) Release_Track'!$I:$I},2,0),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E38" s="92"/>
      <c r="F38" s="92"/>
      <c r="G38" s="125" t="str">
        <f t="array" ref="G38">ifs(or($F38="",$F38="Main Primary Artist"),$F38,not(iserror(vlookup($F38,'Reference info'!$J$5:$J$8,1,0))),"Key Artist",not(iserror(vlookup($F38,'Reference info'!$J$38:$J$405,1,0))),"Performer",not(iserror(vlookup($F38,'Reference info'!$J$10:$J$36,1,0))),"Producer &amp; Engineer")</f>
        <v/>
      </c>
    </row>
    <row r="39">
      <c r="B39" s="97"/>
      <c r="C39" s="121" t="str">
        <f t="array" ref="C39">ifs(and(isblank($A39),isblank($B39)),"", not(iserror(vlookup($A39&amp;$B39,'5) Release_Track'!$F:$F&amp;'5) Release_Track'!$G:$G,1,0))),vlookup($A39&amp;$B39,{'5) Release_Track'!$F:$F&amp;'5) Release_Track'!$G:$G,'5) Release_Track'!$H:$H},2,0),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D39" s="121" t="str">
        <f t="array" ref="D39">ifs(and(isblank($A39),isblank($B39)),"", not(iserror(vlookup($A39&amp;$B39,'5) Release_Track'!$F:$F&amp;'5) Release_Track'!$G:$G,1,0))),vlookup($A39&amp;$B39,{'5) Release_Track'!$F:$F&amp;'5) Release_Track'!$G:$G,'5) Release_Track'!$I:$I},2,0),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E39" s="92"/>
      <c r="F39" s="92"/>
      <c r="G39" s="125" t="str">
        <f t="array" ref="G39">ifs(or($F39="",$F39="Main Primary Artist"),$F39,not(iserror(vlookup($F39,'Reference info'!$J$5:$J$8,1,0))),"Key Artist",not(iserror(vlookup($F39,'Reference info'!$J$38:$J$405,1,0))),"Performer",not(iserror(vlookup($F39,'Reference info'!$J$10:$J$36,1,0))),"Producer &amp; Engineer")</f>
        <v/>
      </c>
    </row>
    <row r="40">
      <c r="B40" s="97"/>
      <c r="C40" s="121" t="str">
        <f t="array" ref="C40">ifs(and(isblank($A40),isblank($B40)),"", not(iserror(vlookup($A40&amp;$B40,'5) Release_Track'!$F:$F&amp;'5) Release_Track'!$G:$G,1,0))),vlookup($A40&amp;$B40,{'5) Release_Track'!$F:$F&amp;'5) Release_Track'!$G:$G,'5) Release_Track'!$H:$H},2,0),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D40" s="121" t="str">
        <f t="array" ref="D40">ifs(and(isblank($A40),isblank($B40)),"", not(iserror(vlookup($A40&amp;$B40,'5) Release_Track'!$F:$F&amp;'5) Release_Track'!$G:$G,1,0))),vlookup($A40&amp;$B40,{'5) Release_Track'!$F:$F&amp;'5) Release_Track'!$G:$G,'5) Release_Track'!$I:$I},2,0),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E40" s="92"/>
      <c r="F40" s="92"/>
      <c r="G40" s="125" t="str">
        <f t="array" ref="G40">ifs(or($F40="",$F40="Main Primary Artist"),$F40,not(iserror(vlookup($F40,'Reference info'!$J$5:$J$8,1,0))),"Key Artist",not(iserror(vlookup($F40,'Reference info'!$J$38:$J$405,1,0))),"Performer",not(iserror(vlookup($F40,'Reference info'!$J$10:$J$36,1,0))),"Producer &amp; Engineer")</f>
        <v/>
      </c>
    </row>
    <row r="41">
      <c r="B41" s="97"/>
      <c r="C41" s="121" t="str">
        <f t="array" ref="C41">ifs(and(isblank($A41),isblank($B41)),"", not(iserror(vlookup($A41&amp;$B41,'5) Release_Track'!$F:$F&amp;'5) Release_Track'!$G:$G,1,0))),vlookup($A41&amp;$B41,{'5) Release_Track'!$F:$F&amp;'5) Release_Track'!$G:$G,'5) Release_Track'!$H:$H},2,0),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D41" s="121" t="str">
        <f t="array" ref="D41">ifs(and(isblank($A41),isblank($B41)),"", not(iserror(vlookup($A41&amp;$B41,'5) Release_Track'!$F:$F&amp;'5) Release_Track'!$G:$G,1,0))),vlookup($A41&amp;$B41,{'5) Release_Track'!$F:$F&amp;'5) Release_Track'!$G:$G,'5) Release_Track'!$I:$I},2,0),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E41" s="92"/>
      <c r="F41" s="92"/>
      <c r="G41" s="125" t="str">
        <f t="array" ref="G41">ifs(or($F41="",$F41="Main Primary Artist"),$F41,not(iserror(vlookup($F41,'Reference info'!$J$5:$J$8,1,0))),"Key Artist",not(iserror(vlookup($F41,'Reference info'!$J$38:$J$405,1,0))),"Performer",not(iserror(vlookup($F41,'Reference info'!$J$10:$J$36,1,0))),"Producer &amp; Engineer")</f>
        <v/>
      </c>
    </row>
    <row r="42">
      <c r="B42" s="97"/>
      <c r="C42" s="121" t="str">
        <f t="array" ref="C42">ifs(and(isblank($A42),isblank($B42)),"", not(iserror(vlookup($A42&amp;$B42,'5) Release_Track'!$F:$F&amp;'5) Release_Track'!$G:$G,1,0))),vlookup($A42&amp;$B42,{'5) Release_Track'!$F:$F&amp;'5) Release_Track'!$G:$G,'5) Release_Track'!$H:$H},2,0),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D42" s="121" t="str">
        <f t="array" ref="D42">ifs(and(isblank($A42),isblank($B42)),"", not(iserror(vlookup($A42&amp;$B42,'5) Release_Track'!$F:$F&amp;'5) Release_Track'!$G:$G,1,0))),vlookup($A42&amp;$B42,{'5) Release_Track'!$F:$F&amp;'5) Release_Track'!$G:$G,'5) Release_Track'!$I:$I},2,0),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E42" s="92"/>
      <c r="F42" s="92"/>
      <c r="G42" s="125" t="str">
        <f t="array" ref="G42">ifs(or($F42="",$F42="Main Primary Artist"),$F42,not(iserror(vlookup($F42,'Reference info'!$J$5:$J$8,1,0))),"Key Artist",not(iserror(vlookup($F42,'Reference info'!$J$38:$J$405,1,0))),"Performer",not(iserror(vlookup($F42,'Reference info'!$J$10:$J$36,1,0))),"Producer &amp; Engineer")</f>
        <v/>
      </c>
    </row>
    <row r="43">
      <c r="B43" s="97"/>
      <c r="C43" s="121" t="str">
        <f t="array" ref="C43">ifs(and(isblank($A43),isblank($B43)),"", not(iserror(vlookup($A43&amp;$B43,'5) Release_Track'!$F:$F&amp;'5) Release_Track'!$G:$G,1,0))),vlookup($A43&amp;$B43,{'5) Release_Track'!$F:$F&amp;'5) Release_Track'!$G:$G,'5) Release_Track'!$H:$H},2,0),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D43" s="121" t="str">
        <f t="array" ref="D43">ifs(and(isblank($A43),isblank($B43)),"", not(iserror(vlookup($A43&amp;$B43,'5) Release_Track'!$F:$F&amp;'5) Release_Track'!$G:$G,1,0))),vlookup($A43&amp;$B43,{'5) Release_Track'!$F:$F&amp;'5) Release_Track'!$G:$G,'5) Release_Track'!$I:$I},2,0),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E43" s="92"/>
      <c r="F43" s="92"/>
      <c r="G43" s="125" t="str">
        <f t="array" ref="G43">ifs(or($F43="",$F43="Main Primary Artist"),$F43,not(iserror(vlookup($F43,'Reference info'!$J$5:$J$8,1,0))),"Key Artist",not(iserror(vlookup($F43,'Reference info'!$J$38:$J$405,1,0))),"Performer",not(iserror(vlookup($F43,'Reference info'!$J$10:$J$36,1,0))),"Producer &amp; Engineer")</f>
        <v/>
      </c>
    </row>
    <row r="44">
      <c r="B44" s="97"/>
      <c r="C44" s="121" t="str">
        <f t="array" ref="C44">ifs(and(isblank($A44),isblank($B44)),"", not(iserror(vlookup($A44&amp;$B44,'5) Release_Track'!$F:$F&amp;'5) Release_Track'!$G:$G,1,0))),vlookup($A44&amp;$B44,{'5) Release_Track'!$F:$F&amp;'5) Release_Track'!$G:$G,'5) Release_Track'!$H:$H},2,0),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D44" s="121" t="str">
        <f t="array" ref="D44">ifs(and(isblank($A44),isblank($B44)),"", not(iserror(vlookup($A44&amp;$B44,'5) Release_Track'!$F:$F&amp;'5) Release_Track'!$G:$G,1,0))),vlookup($A44&amp;$B44,{'5) Release_Track'!$F:$F&amp;'5) Release_Track'!$G:$G,'5) Release_Track'!$I:$I},2,0),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E44" s="92"/>
      <c r="F44" s="92"/>
      <c r="G44" s="125" t="str">
        <f t="array" ref="G44">ifs(or($F44="",$F44="Main Primary Artist"),$F44,not(iserror(vlookup($F44,'Reference info'!$J$5:$J$8,1,0))),"Key Artist",not(iserror(vlookup($F44,'Reference info'!$J$38:$J$405,1,0))),"Performer",not(iserror(vlookup($F44,'Reference info'!$J$10:$J$36,1,0))),"Producer &amp; Engineer")</f>
        <v/>
      </c>
    </row>
    <row r="45">
      <c r="B45" s="97"/>
      <c r="C45" s="121" t="str">
        <f t="array" ref="C45">ifs(and(isblank($A45),isblank($B45)),"", not(iserror(vlookup($A45&amp;$B45,'5) Release_Track'!$F:$F&amp;'5) Release_Track'!$G:$G,1,0))),vlookup($A45&amp;$B45,{'5) Release_Track'!$F:$F&amp;'5) Release_Track'!$G:$G,'5) Release_Track'!$H:$H},2,0),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D45" s="121" t="str">
        <f t="array" ref="D45">ifs(and(isblank($A45),isblank($B45)),"", not(iserror(vlookup($A45&amp;$B45,'5) Release_Track'!$F:$F&amp;'5) Release_Track'!$G:$G,1,0))),vlookup($A45&amp;$B45,{'5) Release_Track'!$F:$F&amp;'5) Release_Track'!$G:$G,'5) Release_Track'!$I:$I},2,0),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E45" s="92"/>
      <c r="F45" s="92"/>
      <c r="G45" s="125" t="str">
        <f t="array" ref="G45">ifs(or($F45="",$F45="Main Primary Artist"),$F45,not(iserror(vlookup($F45,'Reference info'!$J$5:$J$8,1,0))),"Key Artist",not(iserror(vlookup($F45,'Reference info'!$J$38:$J$405,1,0))),"Performer",not(iserror(vlookup($F45,'Reference info'!$J$10:$J$36,1,0))),"Producer &amp; Engineer")</f>
        <v/>
      </c>
    </row>
    <row r="46">
      <c r="B46" s="97"/>
      <c r="C46" s="121" t="str">
        <f t="array" ref="C46">ifs(and(isblank($A46),isblank($B46)),"", not(iserror(vlookup($A46&amp;$B46,'5) Release_Track'!$F:$F&amp;'5) Release_Track'!$G:$G,1,0))),vlookup($A46&amp;$B46,{'5) Release_Track'!$F:$F&amp;'5) Release_Track'!$G:$G,'5) Release_Track'!$H:$H},2,0),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D46" s="121" t="str">
        <f t="array" ref="D46">ifs(and(isblank($A46),isblank($B46)),"", not(iserror(vlookup($A46&amp;$B46,'5) Release_Track'!$F:$F&amp;'5) Release_Track'!$G:$G,1,0))),vlookup($A46&amp;$B46,{'5) Release_Track'!$F:$F&amp;'5) Release_Track'!$G:$G,'5) Release_Track'!$I:$I},2,0),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E46" s="92"/>
      <c r="F46" s="92"/>
      <c r="G46" s="125" t="str">
        <f t="array" ref="G46">ifs(or($F46="",$F46="Main Primary Artist"),$F46,not(iserror(vlookup($F46,'Reference info'!$J$5:$J$8,1,0))),"Key Artist",not(iserror(vlookup($F46,'Reference info'!$J$38:$J$405,1,0))),"Performer",not(iserror(vlookup($F46,'Reference info'!$J$10:$J$36,1,0))),"Producer &amp; Engineer")</f>
        <v/>
      </c>
    </row>
    <row r="47">
      <c r="B47" s="97"/>
      <c r="C47" s="121" t="str">
        <f t="array" ref="C47">ifs(and(isblank($A47),isblank($B47)),"", not(iserror(vlookup($A47&amp;$B47,'5) Release_Track'!$F:$F&amp;'5) Release_Track'!$G:$G,1,0))),vlookup($A47&amp;$B47,{'5) Release_Track'!$F:$F&amp;'5) Release_Track'!$G:$G,'5) Release_Track'!$H:$H},2,0),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D47" s="121" t="str">
        <f t="array" ref="D47">ifs(and(isblank($A47),isblank($B47)),"", not(iserror(vlookup($A47&amp;$B47,'5) Release_Track'!$F:$F&amp;'5) Release_Track'!$G:$G,1,0))),vlookup($A47&amp;$B47,{'5) Release_Track'!$F:$F&amp;'5) Release_Track'!$G:$G,'5) Release_Track'!$I:$I},2,0),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E47" s="92"/>
      <c r="F47" s="92"/>
      <c r="G47" s="125" t="str">
        <f t="array" ref="G47">ifs(or($F47="",$F47="Main Primary Artist"),$F47,not(iserror(vlookup($F47,'Reference info'!$J$5:$J$8,1,0))),"Key Artist",not(iserror(vlookup($F47,'Reference info'!$J$38:$J$405,1,0))),"Performer",not(iserror(vlookup($F47,'Reference info'!$J$10:$J$36,1,0))),"Producer &amp; Engineer")</f>
        <v/>
      </c>
    </row>
    <row r="48">
      <c r="B48" s="97"/>
      <c r="C48" s="121" t="str">
        <f t="array" ref="C48">ifs(and(isblank($A48),isblank($B48)),"", not(iserror(vlookup($A48&amp;$B48,'5) Release_Track'!$F:$F&amp;'5) Release_Track'!$G:$G,1,0))),vlookup($A48&amp;$B48,{'5) Release_Track'!$F:$F&amp;'5) Release_Track'!$G:$G,'5) Release_Track'!$H:$H},2,0),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D48" s="121" t="str">
        <f t="array" ref="D48">ifs(and(isblank($A48),isblank($B48)),"", not(iserror(vlookup($A48&amp;$B48,'5) Release_Track'!$F:$F&amp;'5) Release_Track'!$G:$G,1,0))),vlookup($A48&amp;$B48,{'5) Release_Track'!$F:$F&amp;'5) Release_Track'!$G:$G,'5) Release_Track'!$I:$I},2,0),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E48" s="92"/>
      <c r="F48" s="92"/>
      <c r="G48" s="125" t="str">
        <f t="array" ref="G48">ifs(or($F48="",$F48="Main Primary Artist"),$F48,not(iserror(vlookup($F48,'Reference info'!$J$5:$J$8,1,0))),"Key Artist",not(iserror(vlookup($F48,'Reference info'!$J$38:$J$405,1,0))),"Performer",not(iserror(vlookup($F48,'Reference info'!$J$10:$J$36,1,0))),"Producer &amp; Engineer")</f>
        <v/>
      </c>
    </row>
    <row r="49">
      <c r="B49" s="97"/>
      <c r="C49" s="121" t="str">
        <f t="array" ref="C49">ifs(and(isblank($A49),isblank($B49)),"", not(iserror(vlookup($A49&amp;$B49,'5) Release_Track'!$F:$F&amp;'5) Release_Track'!$G:$G,1,0))),vlookup($A49&amp;$B49,{'5) Release_Track'!$F:$F&amp;'5) Release_Track'!$G:$G,'5) Release_Track'!$H:$H},2,0),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D49" s="121" t="str">
        <f t="array" ref="D49">ifs(and(isblank($A49),isblank($B49)),"", not(iserror(vlookup($A49&amp;$B49,'5) Release_Track'!$F:$F&amp;'5) Release_Track'!$G:$G,1,0))),vlookup($A49&amp;$B49,{'5) Release_Track'!$F:$F&amp;'5) Release_Track'!$G:$G,'5) Release_Track'!$I:$I},2,0),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E49" s="92"/>
      <c r="F49" s="92"/>
      <c r="G49" s="125" t="str">
        <f t="array" ref="G49">ifs(or($F49="",$F49="Main Primary Artist"),$F49,not(iserror(vlookup($F49,'Reference info'!$J$5:$J$8,1,0))),"Key Artist",not(iserror(vlookup($F49,'Reference info'!$J$38:$J$405,1,0))),"Performer",not(iserror(vlookup($F49,'Reference info'!$J$10:$J$36,1,0))),"Producer &amp; Engineer")</f>
        <v/>
      </c>
    </row>
    <row r="50">
      <c r="B50" s="97"/>
      <c r="C50" s="121" t="str">
        <f t="array" ref="C50">ifs(and(isblank($A50),isblank($B50)),"", not(iserror(vlookup($A50&amp;$B50,'5) Release_Track'!$F:$F&amp;'5) Release_Track'!$G:$G,1,0))),vlookup($A50&amp;$B50,{'5) Release_Track'!$F:$F&amp;'5) Release_Track'!$G:$G,'5) Release_Track'!$H:$H},2,0),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D50" s="121" t="str">
        <f t="array" ref="D50">ifs(and(isblank($A50),isblank($B50)),"", not(iserror(vlookup($A50&amp;$B50,'5) Release_Track'!$F:$F&amp;'5) Release_Track'!$G:$G,1,0))),vlookup($A50&amp;$B50,{'5) Release_Track'!$F:$F&amp;'5) Release_Track'!$G:$G,'5) Release_Track'!$I:$I},2,0),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E50" s="92"/>
      <c r="F50" s="92"/>
      <c r="G50" s="125" t="str">
        <f t="array" ref="G50">ifs(or($F50="",$F50="Main Primary Artist"),$F50,not(iserror(vlookup($F50,'Reference info'!$J$5:$J$8,1,0))),"Key Artist",not(iserror(vlookup($F50,'Reference info'!$J$38:$J$405,1,0))),"Performer",not(iserror(vlookup($F50,'Reference info'!$J$10:$J$36,1,0))),"Producer &amp; Engineer")</f>
        <v/>
      </c>
    </row>
    <row r="51">
      <c r="B51" s="97"/>
      <c r="C51" s="121" t="str">
        <f t="array" ref="C51">ifs(and(isblank($A51),isblank($B51)),"", not(iserror(vlookup($A51&amp;$B51,'5) Release_Track'!$F:$F&amp;'5) Release_Track'!$G:$G,1,0))),vlookup($A51&amp;$B51,{'5) Release_Track'!$F:$F&amp;'5) Release_Track'!$G:$G,'5) Release_Track'!$H:$H},2,0),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D51" s="121" t="str">
        <f t="array" ref="D51">ifs(and(isblank($A51),isblank($B51)),"", not(iserror(vlookup($A51&amp;$B51,'5) Release_Track'!$F:$F&amp;'5) Release_Track'!$G:$G,1,0))),vlookup($A51&amp;$B51,{'5) Release_Track'!$F:$F&amp;'5) Release_Track'!$G:$G,'5) Release_Track'!$I:$I},2,0),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E51" s="92"/>
      <c r="F51" s="92"/>
      <c r="G51" s="125" t="str">
        <f t="array" ref="G51">ifs(or($F51="",$F51="Main Primary Artist"),$F51,not(iserror(vlookup($F51,'Reference info'!$J$5:$J$8,1,0))),"Key Artist",not(iserror(vlookup($F51,'Reference info'!$J$38:$J$405,1,0))),"Performer",not(iserror(vlookup($F51,'Reference info'!$J$10:$J$36,1,0))),"Producer &amp; Engineer")</f>
        <v/>
      </c>
    </row>
    <row r="52">
      <c r="B52" s="97"/>
      <c r="C52" s="121" t="str">
        <f t="array" ref="C52">ifs(and(isblank($A52),isblank($B52)),"", not(iserror(vlookup($A52&amp;$B52,'5) Release_Track'!$F:$F&amp;'5) Release_Track'!$G:$G,1,0))),vlookup($A52&amp;$B52,{'5) Release_Track'!$F:$F&amp;'5) Release_Track'!$G:$G,'5) Release_Track'!$H:$H},2,0),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D52" s="121" t="str">
        <f t="array" ref="D52">ifs(and(isblank($A52),isblank($B52)),"", not(iserror(vlookup($A52&amp;$B52,'5) Release_Track'!$F:$F&amp;'5) Release_Track'!$G:$G,1,0))),vlookup($A52&amp;$B52,{'5) Release_Track'!$F:$F&amp;'5) Release_Track'!$G:$G,'5) Release_Track'!$I:$I},2,0),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E52" s="92"/>
      <c r="F52" s="92"/>
      <c r="G52" s="125" t="str">
        <f t="array" ref="G52">ifs(or($F52="",$F52="Main Primary Artist"),$F52,not(iserror(vlookup($F52,'Reference info'!$J$5:$J$8,1,0))),"Key Artist",not(iserror(vlookup($F52,'Reference info'!$J$38:$J$405,1,0))),"Performer",not(iserror(vlookup($F52,'Reference info'!$J$10:$J$36,1,0))),"Producer &amp; Engineer")</f>
        <v/>
      </c>
    </row>
    <row r="53">
      <c r="B53" s="97"/>
      <c r="C53" s="121" t="str">
        <f t="array" ref="C53">ifs(and(isblank($A53),isblank($B53)),"", not(iserror(vlookup($A53&amp;$B53,'5) Release_Track'!$F:$F&amp;'5) Release_Track'!$G:$G,1,0))),vlookup($A53&amp;$B53,{'5) Release_Track'!$F:$F&amp;'5) Release_Track'!$G:$G,'5) Release_Track'!$H:$H},2,0),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D53" s="121" t="str">
        <f t="array" ref="D53">ifs(and(isblank($A53),isblank($B53)),"", not(iserror(vlookup($A53&amp;$B53,'5) Release_Track'!$F:$F&amp;'5) Release_Track'!$G:$G,1,0))),vlookup($A53&amp;$B53,{'5) Release_Track'!$F:$F&amp;'5) Release_Track'!$G:$G,'5) Release_Track'!$I:$I},2,0),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E53" s="92"/>
      <c r="F53" s="92"/>
      <c r="G53" s="125" t="str">
        <f t="array" ref="G53">ifs(or($F53="",$F53="Main Primary Artist"),$F53,not(iserror(vlookup($F53,'Reference info'!$J$5:$J$8,1,0))),"Key Artist",not(iserror(vlookup($F53,'Reference info'!$J$38:$J$405,1,0))),"Performer",not(iserror(vlookup($F53,'Reference info'!$J$10:$J$36,1,0))),"Producer &amp; Engineer")</f>
        <v/>
      </c>
    </row>
    <row r="54">
      <c r="B54" s="97"/>
      <c r="C54" s="121" t="str">
        <f t="array" ref="C54">ifs(and(isblank($A54),isblank($B54)),"", not(iserror(vlookup($A54&amp;$B54,'5) Release_Track'!$F:$F&amp;'5) Release_Track'!$G:$G,1,0))),vlookup($A54&amp;$B54,{'5) Release_Track'!$F:$F&amp;'5) Release_Track'!$G:$G,'5) Release_Track'!$H:$H},2,0),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D54" s="121" t="str">
        <f t="array" ref="D54">ifs(and(isblank($A54),isblank($B54)),"", not(iserror(vlookup($A54&amp;$B54,'5) Release_Track'!$F:$F&amp;'5) Release_Track'!$G:$G,1,0))),vlookup($A54&amp;$B54,{'5) Release_Track'!$F:$F&amp;'5) Release_Track'!$G:$G,'5) Release_Track'!$I:$I},2,0),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E54" s="92"/>
      <c r="F54" s="92"/>
      <c r="G54" s="125" t="str">
        <f t="array" ref="G54">ifs(or($F54="",$F54="Main Primary Artist"),$F54,not(iserror(vlookup($F54,'Reference info'!$J$5:$J$8,1,0))),"Key Artist",not(iserror(vlookup($F54,'Reference info'!$J$38:$J$405,1,0))),"Performer",not(iserror(vlookup($F54,'Reference info'!$J$10:$J$36,1,0))),"Producer &amp; Engineer")</f>
        <v/>
      </c>
    </row>
    <row r="55">
      <c r="B55" s="97"/>
      <c r="C55" s="121" t="str">
        <f t="array" ref="C55">ifs(and(isblank($A55),isblank($B55)),"", not(iserror(vlookup($A55&amp;$B55,'5) Release_Track'!$F:$F&amp;'5) Release_Track'!$G:$G,1,0))),vlookup($A55&amp;$B55,{'5) Release_Track'!$F:$F&amp;'5) Release_Track'!$G:$G,'5) Release_Track'!$H:$H},2,0),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D55" s="121" t="str">
        <f t="array" ref="D55">ifs(and(isblank($A55),isblank($B55)),"", not(iserror(vlookup($A55&amp;$B55,'5) Release_Track'!$F:$F&amp;'5) Release_Track'!$G:$G,1,0))),vlookup($A55&amp;$B55,{'5) Release_Track'!$F:$F&amp;'5) Release_Track'!$G:$G,'5) Release_Track'!$I:$I},2,0),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E55" s="92"/>
      <c r="F55" s="92"/>
      <c r="G55" s="125" t="str">
        <f t="array" ref="G55">ifs(or($F55="",$F55="Main Primary Artist"),$F55,not(iserror(vlookup($F55,'Reference info'!$J$5:$J$8,1,0))),"Key Artist",not(iserror(vlookup($F55,'Reference info'!$J$38:$J$405,1,0))),"Performer",not(iserror(vlookup($F55,'Reference info'!$J$10:$J$36,1,0))),"Producer &amp; Engineer")</f>
        <v/>
      </c>
    </row>
    <row r="56">
      <c r="B56" s="97"/>
      <c r="C56" s="121" t="str">
        <f t="array" ref="C56">ifs(and(isblank($A56),isblank($B56)),"", not(iserror(vlookup($A56&amp;$B56,'5) Release_Track'!$F:$F&amp;'5) Release_Track'!$G:$G,1,0))),vlookup($A56&amp;$B56,{'5) Release_Track'!$F:$F&amp;'5) Release_Track'!$G:$G,'5) Release_Track'!$H:$H},2,0),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D56" s="121" t="str">
        <f t="array" ref="D56">ifs(and(isblank($A56),isblank($B56)),"", not(iserror(vlookup($A56&amp;$B56,'5) Release_Track'!$F:$F&amp;'5) Release_Track'!$G:$G,1,0))),vlookup($A56&amp;$B56,{'5) Release_Track'!$F:$F&amp;'5) Release_Track'!$G:$G,'5) Release_Track'!$I:$I},2,0),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E56" s="92"/>
      <c r="F56" s="92"/>
      <c r="G56" s="125" t="str">
        <f t="array" ref="G56">ifs(or($F56="",$F56="Main Primary Artist"),$F56,not(iserror(vlookup($F56,'Reference info'!$J$5:$J$8,1,0))),"Key Artist",not(iserror(vlookup($F56,'Reference info'!$J$38:$J$405,1,0))),"Performer",not(iserror(vlookup($F56,'Reference info'!$J$10:$J$36,1,0))),"Producer &amp; Engineer")</f>
        <v/>
      </c>
    </row>
    <row r="57">
      <c r="B57" s="97"/>
      <c r="C57" s="121" t="str">
        <f t="array" ref="C57">ifs(and(isblank($A57),isblank($B57)),"", not(iserror(vlookup($A57&amp;$B57,'5) Release_Track'!$F:$F&amp;'5) Release_Track'!$G:$G,1,0))),vlookup($A57&amp;$B57,{'5) Release_Track'!$F:$F&amp;'5) Release_Track'!$G:$G,'5) Release_Track'!$H:$H},2,0),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D57" s="121" t="str">
        <f t="array" ref="D57">ifs(and(isblank($A57),isblank($B57)),"", not(iserror(vlookup($A57&amp;$B57,'5) Release_Track'!$F:$F&amp;'5) Release_Track'!$G:$G,1,0))),vlookup($A57&amp;$B57,{'5) Release_Track'!$F:$F&amp;'5) Release_Track'!$G:$G,'5) Release_Track'!$I:$I},2,0),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E57" s="92"/>
      <c r="F57" s="92"/>
      <c r="G57" s="125" t="str">
        <f t="array" ref="G57">ifs(or($F57="",$F57="Main Primary Artist"),$F57,not(iserror(vlookup($F57,'Reference info'!$J$5:$J$8,1,0))),"Key Artist",not(iserror(vlookup($F57,'Reference info'!$J$38:$J$405,1,0))),"Performer",not(iserror(vlookup($F57,'Reference info'!$J$10:$J$36,1,0))),"Producer &amp; Engineer")</f>
        <v/>
      </c>
    </row>
    <row r="58">
      <c r="B58" s="97"/>
      <c r="C58" s="121" t="str">
        <f t="array" ref="C58">ifs(and(isblank($A58),isblank($B58)),"", not(iserror(vlookup($A58&amp;$B58,'5) Release_Track'!$F:$F&amp;'5) Release_Track'!$G:$G,1,0))),vlookup($A58&amp;$B58,{'5) Release_Track'!$F:$F&amp;'5) Release_Track'!$G:$G,'5) Release_Track'!$H:$H},2,0),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D58" s="121" t="str">
        <f t="array" ref="D58">ifs(and(isblank($A58),isblank($B58)),"", not(iserror(vlookup($A58&amp;$B58,'5) Release_Track'!$F:$F&amp;'5) Release_Track'!$G:$G,1,0))),vlookup($A58&amp;$B58,{'5) Release_Track'!$F:$F&amp;'5) Release_Track'!$G:$G,'5) Release_Track'!$I:$I},2,0),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E58" s="92"/>
      <c r="F58" s="92"/>
      <c r="G58" s="125" t="str">
        <f t="array" ref="G58">ifs(or($F58="",$F58="Main Primary Artist"),$F58,not(iserror(vlookup($F58,'Reference info'!$J$5:$J$8,1,0))),"Key Artist",not(iserror(vlookup($F58,'Reference info'!$J$38:$J$405,1,0))),"Performer",not(iserror(vlookup($F58,'Reference info'!$J$10:$J$36,1,0))),"Producer &amp; Engineer")</f>
        <v/>
      </c>
    </row>
    <row r="59">
      <c r="B59" s="97"/>
      <c r="C59" s="121" t="str">
        <f t="array" ref="C59">ifs(and(isblank($A59),isblank($B59)),"", not(iserror(vlookup($A59&amp;$B59,'5) Release_Track'!$F:$F&amp;'5) Release_Track'!$G:$G,1,0))),vlookup($A59&amp;$B59,{'5) Release_Track'!$F:$F&amp;'5) Release_Track'!$G:$G,'5) Release_Track'!$H:$H},2,0),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D59" s="121" t="str">
        <f t="array" ref="D59">ifs(and(isblank($A59),isblank($B59)),"", not(iserror(vlookup($A59&amp;$B59,'5) Release_Track'!$F:$F&amp;'5) Release_Track'!$G:$G,1,0))),vlookup($A59&amp;$B59,{'5) Release_Track'!$F:$F&amp;'5) Release_Track'!$G:$G,'5) Release_Track'!$I:$I},2,0),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E59" s="92"/>
      <c r="F59" s="92"/>
      <c r="G59" s="125" t="str">
        <f t="array" ref="G59">ifs(or($F59="",$F59="Main Primary Artist"),$F59,not(iserror(vlookup($F59,'Reference info'!$J$5:$J$8,1,0))),"Key Artist",not(iserror(vlookup($F59,'Reference info'!$J$38:$J$405,1,0))),"Performer",not(iserror(vlookup($F59,'Reference info'!$J$10:$J$36,1,0))),"Producer &amp; Engineer")</f>
        <v/>
      </c>
    </row>
    <row r="60">
      <c r="B60" s="97"/>
      <c r="C60" s="121" t="str">
        <f t="array" ref="C60">ifs(and(isblank($A60),isblank($B60)),"", not(iserror(vlookup($A60&amp;$B60,'5) Release_Track'!$F:$F&amp;'5) Release_Track'!$G:$G,1,0))),vlookup($A60&amp;$B60,{'5) Release_Track'!$F:$F&amp;'5) Release_Track'!$G:$G,'5) Release_Track'!$H:$H},2,0),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D60" s="121" t="str">
        <f t="array" ref="D60">ifs(and(isblank($A60),isblank($B60)),"", not(iserror(vlookup($A60&amp;$B60,'5) Release_Track'!$F:$F&amp;'5) Release_Track'!$G:$G,1,0))),vlookup($A60&amp;$B60,{'5) Release_Track'!$F:$F&amp;'5) Release_Track'!$G:$G,'5) Release_Track'!$I:$I},2,0),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E60" s="92"/>
      <c r="F60" s="92"/>
      <c r="G60" s="125" t="str">
        <f t="array" ref="G60">ifs(or($F60="",$F60="Main Primary Artist"),$F60,not(iserror(vlookup($F60,'Reference info'!$J$5:$J$8,1,0))),"Key Artist",not(iserror(vlookup($F60,'Reference info'!$J$38:$J$405,1,0))),"Performer",not(iserror(vlookup($F60,'Reference info'!$J$10:$J$36,1,0))),"Producer &amp; Engineer")</f>
        <v/>
      </c>
    </row>
    <row r="61">
      <c r="B61" s="97"/>
      <c r="C61" s="121" t="str">
        <f t="array" ref="C61">ifs(and(isblank($A61),isblank($B61)),"", not(iserror(vlookup($A61&amp;$B61,'5) Release_Track'!$F:$F&amp;'5) Release_Track'!$G:$G,1,0))),vlookup($A61&amp;$B61,{'5) Release_Track'!$F:$F&amp;'5) Release_Track'!$G:$G,'5) Release_Track'!$H:$H},2,0),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D61" s="121" t="str">
        <f t="array" ref="D61">ifs(and(isblank($A61),isblank($B61)),"", not(iserror(vlookup($A61&amp;$B61,'5) Release_Track'!$F:$F&amp;'5) Release_Track'!$G:$G,1,0))),vlookup($A61&amp;$B61,{'5) Release_Track'!$F:$F&amp;'5) Release_Track'!$G:$G,'5) Release_Track'!$I:$I},2,0),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E61" s="92"/>
      <c r="F61" s="92"/>
      <c r="G61" s="125" t="str">
        <f t="array" ref="G61">ifs(or($F61="",$F61="Main Primary Artist"),$F61,not(iserror(vlookup($F61,'Reference info'!$J$5:$J$8,1,0))),"Key Artist",not(iserror(vlookup($F61,'Reference info'!$J$38:$J$405,1,0))),"Performer",not(iserror(vlookup($F61,'Reference info'!$J$10:$J$36,1,0))),"Producer &amp; Engineer")</f>
        <v/>
      </c>
    </row>
    <row r="62">
      <c r="B62" s="97"/>
      <c r="C62" s="121" t="str">
        <f t="array" ref="C62">ifs(and(isblank($A62),isblank($B62)),"", not(iserror(vlookup($A62&amp;$B62,'5) Release_Track'!$F:$F&amp;'5) Release_Track'!$G:$G,1,0))),vlookup($A62&amp;$B62,{'5) Release_Track'!$F:$F&amp;'5) Release_Track'!$G:$G,'5) Release_Track'!$H:$H},2,0),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D62" s="121" t="str">
        <f t="array" ref="D62">ifs(and(isblank($A62),isblank($B62)),"", not(iserror(vlookup($A62&amp;$B62,'5) Release_Track'!$F:$F&amp;'5) Release_Track'!$G:$G,1,0))),vlookup($A62&amp;$B62,{'5) Release_Track'!$F:$F&amp;'5) Release_Track'!$G:$G,'5) Release_Track'!$I:$I},2,0),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E62" s="92"/>
      <c r="F62" s="92"/>
      <c r="G62" s="125" t="str">
        <f t="array" ref="G62">ifs(or($F62="",$F62="Main Primary Artist"),$F62,not(iserror(vlookup($F62,'Reference info'!$J$5:$J$8,1,0))),"Key Artist",not(iserror(vlookup($F62,'Reference info'!$J$38:$J$405,1,0))),"Performer",not(iserror(vlookup($F62,'Reference info'!$J$10:$J$36,1,0))),"Producer &amp; Engineer")</f>
        <v/>
      </c>
    </row>
    <row r="63">
      <c r="B63" s="97"/>
      <c r="C63" s="121" t="str">
        <f t="array" ref="C63">ifs(and(isblank($A63),isblank($B63)),"", not(iserror(vlookup($A63&amp;$B63,'5) Release_Track'!$F:$F&amp;'5) Release_Track'!$G:$G,1,0))),vlookup($A63&amp;$B63,{'5) Release_Track'!$F:$F&amp;'5) Release_Track'!$G:$G,'5) Release_Track'!$H:$H},2,0),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D63" s="121" t="str">
        <f t="array" ref="D63">ifs(and(isblank($A63),isblank($B63)),"", not(iserror(vlookup($A63&amp;$B63,'5) Release_Track'!$F:$F&amp;'5) Release_Track'!$G:$G,1,0))),vlookup($A63&amp;$B63,{'5) Release_Track'!$F:$F&amp;'5) Release_Track'!$G:$G,'5) Release_Track'!$I:$I},2,0),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E63" s="92"/>
      <c r="F63" s="92"/>
      <c r="G63" s="125" t="str">
        <f t="array" ref="G63">ifs(or($F63="",$F63="Main Primary Artist"),$F63,not(iserror(vlookup($F63,'Reference info'!$J$5:$J$8,1,0))),"Key Artist",not(iserror(vlookup($F63,'Reference info'!$J$38:$J$405,1,0))),"Performer",not(iserror(vlookup($F63,'Reference info'!$J$10:$J$36,1,0))),"Producer &amp; Engineer")</f>
        <v/>
      </c>
    </row>
    <row r="64">
      <c r="B64" s="97"/>
      <c r="C64" s="121" t="str">
        <f t="array" ref="C64">ifs(and(isblank($A64),isblank($B64)),"", not(iserror(vlookup($A64&amp;$B64,'5) Release_Track'!$F:$F&amp;'5) Release_Track'!$G:$G,1,0))),vlookup($A64&amp;$B64,{'5) Release_Track'!$F:$F&amp;'5) Release_Track'!$G:$G,'5) Release_Track'!$H:$H},2,0),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D64" s="121" t="str">
        <f t="array" ref="D64">ifs(and(isblank($A64),isblank($B64)),"", not(iserror(vlookup($A64&amp;$B64,'5) Release_Track'!$F:$F&amp;'5) Release_Track'!$G:$G,1,0))),vlookup($A64&amp;$B64,{'5) Release_Track'!$F:$F&amp;'5) Release_Track'!$G:$G,'5) Release_Track'!$I:$I},2,0),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E64" s="92"/>
      <c r="F64" s="92"/>
      <c r="G64" s="125" t="str">
        <f t="array" ref="G64">ifs(or($F64="",$F64="Main Primary Artist"),$F64,not(iserror(vlookup($F64,'Reference info'!$J$5:$J$8,1,0))),"Key Artist",not(iserror(vlookup($F64,'Reference info'!$J$38:$J$405,1,0))),"Performer",not(iserror(vlookup($F64,'Reference info'!$J$10:$J$36,1,0))),"Producer &amp; Engineer")</f>
        <v/>
      </c>
    </row>
    <row r="65">
      <c r="B65" s="97"/>
      <c r="C65" s="121" t="str">
        <f t="array" ref="C65">ifs(and(isblank($A65),isblank($B65)),"", not(iserror(vlookup($A65&amp;$B65,'5) Release_Track'!$F:$F&amp;'5) Release_Track'!$G:$G,1,0))),vlookup($A65&amp;$B65,{'5) Release_Track'!$F:$F&amp;'5) Release_Track'!$G:$G,'5) Release_Track'!$H:$H},2,0),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D65" s="121" t="str">
        <f t="array" ref="D65">ifs(and(isblank($A65),isblank($B65)),"", not(iserror(vlookup($A65&amp;$B65,'5) Release_Track'!$F:$F&amp;'5) Release_Track'!$G:$G,1,0))),vlookup($A65&amp;$B65,{'5) Release_Track'!$F:$F&amp;'5) Release_Track'!$G:$G,'5) Release_Track'!$I:$I},2,0),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E65" s="92"/>
      <c r="F65" s="92"/>
      <c r="G65" s="125" t="str">
        <f t="array" ref="G65">ifs(or($F65="",$F65="Main Primary Artist"),$F65,not(iserror(vlookup($F65,'Reference info'!$J$5:$J$8,1,0))),"Key Artist",not(iserror(vlookup($F65,'Reference info'!$J$38:$J$405,1,0))),"Performer",not(iserror(vlookup($F65,'Reference info'!$J$10:$J$36,1,0))),"Producer &amp; Engineer")</f>
        <v/>
      </c>
    </row>
    <row r="66">
      <c r="B66" s="97"/>
      <c r="C66" s="121" t="str">
        <f t="array" ref="C66">ifs(and(isblank($A66),isblank($B66)),"", not(iserror(vlookup($A66&amp;$B66,'5) Release_Track'!$F:$F&amp;'5) Release_Track'!$G:$G,1,0))),vlookup($A66&amp;$B66,{'5) Release_Track'!$F:$F&amp;'5) Release_Track'!$G:$G,'5) Release_Track'!$H:$H},2,0),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D66" s="121" t="str">
        <f t="array" ref="D66">ifs(and(isblank($A66),isblank($B66)),"", not(iserror(vlookup($A66&amp;$B66,'5) Release_Track'!$F:$F&amp;'5) Release_Track'!$G:$G,1,0))),vlookup($A66&amp;$B66,{'5) Release_Track'!$F:$F&amp;'5) Release_Track'!$G:$G,'5) Release_Track'!$I:$I},2,0),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E66" s="92"/>
      <c r="F66" s="92"/>
      <c r="G66" s="125" t="str">
        <f t="array" ref="G66">ifs(or($F66="",$F66="Main Primary Artist"),$F66,not(iserror(vlookup($F66,'Reference info'!$J$5:$J$8,1,0))),"Key Artist",not(iserror(vlookup($F66,'Reference info'!$J$38:$J$405,1,0))),"Performer",not(iserror(vlookup($F66,'Reference info'!$J$10:$J$36,1,0))),"Producer &amp; Engineer")</f>
        <v/>
      </c>
    </row>
    <row r="67">
      <c r="B67" s="97"/>
      <c r="C67" s="121" t="str">
        <f t="array" ref="C67">ifs(and(isblank($A67),isblank($B67)),"", not(iserror(vlookup($A67&amp;$B67,'5) Release_Track'!$F:$F&amp;'5) Release_Track'!$G:$G,1,0))),vlookup($A67&amp;$B67,{'5) Release_Track'!$F:$F&amp;'5) Release_Track'!$G:$G,'5) Release_Track'!$H:$H},2,0),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D67" s="121" t="str">
        <f t="array" ref="D67">ifs(and(isblank($A67),isblank($B67)),"", not(iserror(vlookup($A67&amp;$B67,'5) Release_Track'!$F:$F&amp;'5) Release_Track'!$G:$G,1,0))),vlookup($A67&amp;$B67,{'5) Release_Track'!$F:$F&amp;'5) Release_Track'!$G:$G,'5) Release_Track'!$I:$I},2,0),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E67" s="92"/>
      <c r="F67" s="92"/>
      <c r="G67" s="125" t="str">
        <f t="array" ref="G67">ifs(or($F67="",$F67="Main Primary Artist"),$F67,not(iserror(vlookup($F67,'Reference info'!$J$5:$J$8,1,0))),"Key Artist",not(iserror(vlookup($F67,'Reference info'!$J$38:$J$405,1,0))),"Performer",not(iserror(vlookup($F67,'Reference info'!$J$10:$J$36,1,0))),"Producer &amp; Engineer")</f>
        <v/>
      </c>
    </row>
    <row r="68">
      <c r="B68" s="97"/>
      <c r="C68" s="121" t="str">
        <f t="array" ref="C68">ifs(and(isblank($A68),isblank($B68)),"", not(iserror(vlookup($A68&amp;$B68,'5) Release_Track'!$F:$F&amp;'5) Release_Track'!$G:$G,1,0))),vlookup($A68&amp;$B68,{'5) Release_Track'!$F:$F&amp;'5) Release_Track'!$G:$G,'5) Release_Track'!$H:$H},2,0),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D68" s="121" t="str">
        <f t="array" ref="D68">ifs(and(isblank($A68),isblank($B68)),"", not(iserror(vlookup($A68&amp;$B68,'5) Release_Track'!$F:$F&amp;'5) Release_Track'!$G:$G,1,0))),vlookup($A68&amp;$B68,{'5) Release_Track'!$F:$F&amp;'5) Release_Track'!$G:$G,'5) Release_Track'!$I:$I},2,0),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E68" s="92"/>
      <c r="F68" s="92"/>
      <c r="G68" s="125" t="str">
        <f t="array" ref="G68">ifs(or($F68="",$F68="Main Primary Artist"),$F68,not(iserror(vlookup($F68,'Reference info'!$J$5:$J$8,1,0))),"Key Artist",not(iserror(vlookup($F68,'Reference info'!$J$38:$J$405,1,0))),"Performer",not(iserror(vlookup($F68,'Reference info'!$J$10:$J$36,1,0))),"Producer &amp; Engineer")</f>
        <v/>
      </c>
    </row>
    <row r="69">
      <c r="B69" s="97"/>
      <c r="C69" s="121" t="str">
        <f t="array" ref="C69">ifs(and(isblank($A69),isblank($B69)),"", not(iserror(vlookup($A69&amp;$B69,'5) Release_Track'!$F:$F&amp;'5) Release_Track'!$G:$G,1,0))),vlookup($A69&amp;$B69,{'5) Release_Track'!$F:$F&amp;'5) Release_Track'!$G:$G,'5) Release_Track'!$H:$H},2,0),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D69" s="121" t="str">
        <f t="array" ref="D69">ifs(and(isblank($A69),isblank($B69)),"", not(iserror(vlookup($A69&amp;$B69,'5) Release_Track'!$F:$F&amp;'5) Release_Track'!$G:$G,1,0))),vlookup($A69&amp;$B69,{'5) Release_Track'!$F:$F&amp;'5) Release_Track'!$G:$G,'5) Release_Track'!$I:$I},2,0),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E69" s="92"/>
      <c r="F69" s="92"/>
      <c r="G69" s="125" t="str">
        <f t="array" ref="G69">ifs(or($F69="",$F69="Main Primary Artist"),$F69,not(iserror(vlookup($F69,'Reference info'!$J$5:$J$8,1,0))),"Key Artist",not(iserror(vlookup($F69,'Reference info'!$J$38:$J$405,1,0))),"Performer",not(iserror(vlookup($F69,'Reference info'!$J$10:$J$36,1,0))),"Producer &amp; Engineer")</f>
        <v/>
      </c>
    </row>
    <row r="70">
      <c r="B70" s="97"/>
      <c r="C70" s="121" t="str">
        <f t="array" ref="C70">ifs(and(isblank($A70),isblank($B70)),"", not(iserror(vlookup($A70&amp;$B70,'5) Release_Track'!$F:$F&amp;'5) Release_Track'!$G:$G,1,0))),vlookup($A70&amp;$B70,{'5) Release_Track'!$F:$F&amp;'5) Release_Track'!$G:$G,'5) Release_Track'!$H:$H},2,0),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D70" s="121" t="str">
        <f t="array" ref="D70">ifs(and(isblank($A70),isblank($B70)),"", not(iserror(vlookup($A70&amp;$B70,'5) Release_Track'!$F:$F&amp;'5) Release_Track'!$G:$G,1,0))),vlookup($A70&amp;$B70,{'5) Release_Track'!$F:$F&amp;'5) Release_Track'!$G:$G,'5) Release_Track'!$I:$I},2,0),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E70" s="92"/>
      <c r="F70" s="92"/>
      <c r="G70" s="125" t="str">
        <f t="array" ref="G70">ifs(or($F70="",$F70="Main Primary Artist"),$F70,not(iserror(vlookup($F70,'Reference info'!$J$5:$J$8,1,0))),"Key Artist",not(iserror(vlookup($F70,'Reference info'!$J$38:$J$405,1,0))),"Performer",not(iserror(vlookup($F70,'Reference info'!$J$10:$J$36,1,0))),"Producer &amp; Engineer")</f>
        <v/>
      </c>
    </row>
    <row r="71">
      <c r="B71" s="97"/>
      <c r="C71" s="121" t="str">
        <f t="array" ref="C71">ifs(and(isblank($A71),isblank($B71)),"", not(iserror(vlookup($A71&amp;$B71,'5) Release_Track'!$F:$F&amp;'5) Release_Track'!$G:$G,1,0))),vlookup($A71&amp;$B71,{'5) Release_Track'!$F:$F&amp;'5) Release_Track'!$G:$G,'5) Release_Track'!$H:$H},2,0),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D71" s="121" t="str">
        <f t="array" ref="D71">ifs(and(isblank($A71),isblank($B71)),"", not(iserror(vlookup($A71&amp;$B71,'5) Release_Track'!$F:$F&amp;'5) Release_Track'!$G:$G,1,0))),vlookup($A71&amp;$B71,{'5) Release_Track'!$F:$F&amp;'5) Release_Track'!$G:$G,'5) Release_Track'!$I:$I},2,0),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E71" s="92"/>
      <c r="F71" s="92"/>
      <c r="G71" s="125" t="str">
        <f t="array" ref="G71">ifs(or($F71="",$F71="Main Primary Artist"),$F71,not(iserror(vlookup($F71,'Reference info'!$J$5:$J$8,1,0))),"Key Artist",not(iserror(vlookup($F71,'Reference info'!$J$38:$J$405,1,0))),"Performer",not(iserror(vlookup($F71,'Reference info'!$J$10:$J$36,1,0))),"Producer &amp; Engineer")</f>
        <v/>
      </c>
    </row>
    <row r="72">
      <c r="B72" s="97"/>
      <c r="C72" s="121" t="str">
        <f t="array" ref="C72">ifs(and(isblank($A72),isblank($B72)),"", not(iserror(vlookup($A72&amp;$B72,'5) Release_Track'!$F:$F&amp;'5) Release_Track'!$G:$G,1,0))),vlookup($A72&amp;$B72,{'5) Release_Track'!$F:$F&amp;'5) Release_Track'!$G:$G,'5) Release_Track'!$H:$H},2,0),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D72" s="121" t="str">
        <f t="array" ref="D72">ifs(and(isblank($A72),isblank($B72)),"", not(iserror(vlookup($A72&amp;$B72,'5) Release_Track'!$F:$F&amp;'5) Release_Track'!$G:$G,1,0))),vlookup($A72&amp;$B72,{'5) Release_Track'!$F:$F&amp;'5) Release_Track'!$G:$G,'5) Release_Track'!$I:$I},2,0),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E72" s="92"/>
      <c r="F72" s="92"/>
      <c r="G72" s="125" t="str">
        <f t="array" ref="G72">ifs(or($F72="",$F72="Main Primary Artist"),$F72,not(iserror(vlookup($F72,'Reference info'!$J$5:$J$8,1,0))),"Key Artist",not(iserror(vlookup($F72,'Reference info'!$J$38:$J$405,1,0))),"Performer",not(iserror(vlookup($F72,'Reference info'!$J$10:$J$36,1,0))),"Producer &amp; Engineer")</f>
        <v/>
      </c>
    </row>
    <row r="73">
      <c r="B73" s="97"/>
      <c r="C73" s="121" t="str">
        <f t="array" ref="C73">ifs(and(isblank($A73),isblank($B73)),"", not(iserror(vlookup($A73&amp;$B73,'5) Release_Track'!$F:$F&amp;'5) Release_Track'!$G:$G,1,0))),vlookup($A73&amp;$B73,{'5) Release_Track'!$F:$F&amp;'5) Release_Track'!$G:$G,'5) Release_Track'!$H:$H},2,0),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D73" s="121" t="str">
        <f t="array" ref="D73">ifs(and(isblank($A73),isblank($B73)),"", not(iserror(vlookup($A73&amp;$B73,'5) Release_Track'!$F:$F&amp;'5) Release_Track'!$G:$G,1,0))),vlookup($A73&amp;$B73,{'5) Release_Track'!$F:$F&amp;'5) Release_Track'!$G:$G,'5) Release_Track'!$I:$I},2,0),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E73" s="92"/>
      <c r="F73" s="92"/>
      <c r="G73" s="125" t="str">
        <f t="array" ref="G73">ifs(or($F73="",$F73="Main Primary Artist"),$F73,not(iserror(vlookup($F73,'Reference info'!$J$5:$J$8,1,0))),"Key Artist",not(iserror(vlookup($F73,'Reference info'!$J$38:$J$405,1,0))),"Performer",not(iserror(vlookup($F73,'Reference info'!$J$10:$J$36,1,0))),"Producer &amp; Engineer")</f>
        <v/>
      </c>
    </row>
    <row r="74">
      <c r="B74" s="97"/>
      <c r="C74" s="121" t="str">
        <f t="array" ref="C74">ifs(and(isblank($A74),isblank($B74)),"", not(iserror(vlookup($A74&amp;$B74,'5) Release_Track'!$F:$F&amp;'5) Release_Track'!$G:$G,1,0))),vlookup($A74&amp;$B74,{'5) Release_Track'!$F:$F&amp;'5) Release_Track'!$G:$G,'5) Release_Track'!$H:$H},2,0),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D74" s="121" t="str">
        <f t="array" ref="D74">ifs(and(isblank($A74),isblank($B74)),"", not(iserror(vlookup($A74&amp;$B74,'5) Release_Track'!$F:$F&amp;'5) Release_Track'!$G:$G,1,0))),vlookup($A74&amp;$B74,{'5) Release_Track'!$F:$F&amp;'5) Release_Track'!$G:$G,'5) Release_Track'!$I:$I},2,0),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E74" s="92"/>
      <c r="F74" s="92"/>
      <c r="G74" s="125" t="str">
        <f t="array" ref="G74">ifs(or($F74="",$F74="Main Primary Artist"),$F74,not(iserror(vlookup($F74,'Reference info'!$J$5:$J$8,1,0))),"Key Artist",not(iserror(vlookup($F74,'Reference info'!$J$38:$J$405,1,0))),"Performer",not(iserror(vlookup($F74,'Reference info'!$J$10:$J$36,1,0))),"Producer &amp; Engineer")</f>
        <v/>
      </c>
    </row>
    <row r="75">
      <c r="B75" s="97"/>
      <c r="C75" s="121" t="str">
        <f t="array" ref="C75">ifs(and(isblank($A75),isblank($B75)),"", not(iserror(vlookup($A75&amp;$B75,'5) Release_Track'!$F:$F&amp;'5) Release_Track'!$G:$G,1,0))),vlookup($A75&amp;$B75,{'5) Release_Track'!$F:$F&amp;'5) Release_Track'!$G:$G,'5) Release_Track'!$H:$H},2,0),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D75" s="121" t="str">
        <f t="array" ref="D75">ifs(and(isblank($A75),isblank($B75)),"", not(iserror(vlookup($A75&amp;$B75,'5) Release_Track'!$F:$F&amp;'5) Release_Track'!$G:$G,1,0))),vlookup($A75&amp;$B75,{'5) Release_Track'!$F:$F&amp;'5) Release_Track'!$G:$G,'5) Release_Track'!$I:$I},2,0),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E75" s="92"/>
      <c r="F75" s="92"/>
      <c r="G75" s="125" t="str">
        <f t="array" ref="G75">ifs(or($F75="",$F75="Main Primary Artist"),$F75,not(iserror(vlookup($F75,'Reference info'!$J$5:$J$8,1,0))),"Key Artist",not(iserror(vlookup($F75,'Reference info'!$J$38:$J$405,1,0))),"Performer",not(iserror(vlookup($F75,'Reference info'!$J$10:$J$36,1,0))),"Producer &amp; Engineer")</f>
        <v/>
      </c>
    </row>
    <row r="76">
      <c r="B76" s="97"/>
      <c r="C76" s="121" t="str">
        <f t="array" ref="C76">ifs(and(isblank($A76),isblank($B76)),"", not(iserror(vlookup($A76&amp;$B76,'5) Release_Track'!$F:$F&amp;'5) Release_Track'!$G:$G,1,0))),vlookup($A76&amp;$B76,{'5) Release_Track'!$F:$F&amp;'5) Release_Track'!$G:$G,'5) Release_Track'!$H:$H},2,0),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D76" s="121" t="str">
        <f t="array" ref="D76">ifs(and(isblank($A76),isblank($B76)),"", not(iserror(vlookup($A76&amp;$B76,'5) Release_Track'!$F:$F&amp;'5) Release_Track'!$G:$G,1,0))),vlookup($A76&amp;$B76,{'5) Release_Track'!$F:$F&amp;'5) Release_Track'!$G:$G,'5) Release_Track'!$I:$I},2,0),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E76" s="92"/>
      <c r="F76" s="92"/>
      <c r="G76" s="125" t="str">
        <f t="array" ref="G76">ifs(or($F76="",$F76="Main Primary Artist"),$F76,not(iserror(vlookup($F76,'Reference info'!$J$5:$J$8,1,0))),"Key Artist",not(iserror(vlookup($F76,'Reference info'!$J$38:$J$405,1,0))),"Performer",not(iserror(vlookup($F76,'Reference info'!$J$10:$J$36,1,0))),"Producer &amp; Engineer")</f>
        <v/>
      </c>
    </row>
    <row r="77">
      <c r="B77" s="97"/>
      <c r="C77" s="121" t="str">
        <f t="array" ref="C77">ifs(and(isblank($A77),isblank($B77)),"", not(iserror(vlookup($A77&amp;$B77,'5) Release_Track'!$F:$F&amp;'5) Release_Track'!$G:$G,1,0))),vlookup($A77&amp;$B77,{'5) Release_Track'!$F:$F&amp;'5) Release_Track'!$G:$G,'5) Release_Track'!$H:$H},2,0),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D77" s="121" t="str">
        <f t="array" ref="D77">ifs(and(isblank($A77),isblank($B77)),"", not(iserror(vlookup($A77&amp;$B77,'5) Release_Track'!$F:$F&amp;'5) Release_Track'!$G:$G,1,0))),vlookup($A77&amp;$B77,{'5) Release_Track'!$F:$F&amp;'5) Release_Track'!$G:$G,'5) Release_Track'!$I:$I},2,0),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E77" s="92"/>
      <c r="F77" s="92"/>
      <c r="G77" s="125" t="str">
        <f t="array" ref="G77">ifs(or($F77="",$F77="Main Primary Artist"),$F77,not(iserror(vlookup($F77,'Reference info'!$J$5:$J$8,1,0))),"Key Artist",not(iserror(vlookup($F77,'Reference info'!$J$38:$J$405,1,0))),"Performer",not(iserror(vlookup($F77,'Reference info'!$J$10:$J$36,1,0))),"Producer &amp; Engineer")</f>
        <v/>
      </c>
    </row>
    <row r="78">
      <c r="B78" s="97"/>
      <c r="C78" s="121" t="str">
        <f t="array" ref="C78">ifs(and(isblank($A78),isblank($B78)),"", not(iserror(vlookup($A78&amp;$B78,'5) Release_Track'!$F:$F&amp;'5) Release_Track'!$G:$G,1,0))),vlookup($A78&amp;$B78,{'5) Release_Track'!$F:$F&amp;'5) Release_Track'!$G:$G,'5) Release_Track'!$H:$H},2,0),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D78" s="121" t="str">
        <f t="array" ref="D78">ifs(and(isblank($A78),isblank($B78)),"", not(iserror(vlookup($A78&amp;$B78,'5) Release_Track'!$F:$F&amp;'5) Release_Track'!$G:$G,1,0))),vlookup($A78&amp;$B78,{'5) Release_Track'!$F:$F&amp;'5) Release_Track'!$G:$G,'5) Release_Track'!$I:$I},2,0),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E78" s="92"/>
      <c r="F78" s="92"/>
      <c r="G78" s="125" t="str">
        <f t="array" ref="G78">ifs(or($F78="",$F78="Main Primary Artist"),$F78,not(iserror(vlookup($F78,'Reference info'!$J$5:$J$8,1,0))),"Key Artist",not(iserror(vlookup($F78,'Reference info'!$J$38:$J$405,1,0))),"Performer",not(iserror(vlookup($F78,'Reference info'!$J$10:$J$36,1,0))),"Producer &amp; Engineer")</f>
        <v/>
      </c>
    </row>
    <row r="79">
      <c r="B79" s="97"/>
      <c r="C79" s="121" t="str">
        <f t="array" ref="C79">ifs(and(isblank($A79),isblank($B79)),"", not(iserror(vlookup($A79&amp;$B79,'5) Release_Track'!$F:$F&amp;'5) Release_Track'!$G:$G,1,0))),vlookup($A79&amp;$B79,{'5) Release_Track'!$F:$F&amp;'5) Release_Track'!$G:$G,'5) Release_Track'!$H:$H},2,0),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D79" s="121" t="str">
        <f t="array" ref="D79">ifs(and(isblank($A79),isblank($B79)),"", not(iserror(vlookup($A79&amp;$B79,'5) Release_Track'!$F:$F&amp;'5) Release_Track'!$G:$G,1,0))),vlookup($A79&amp;$B79,{'5) Release_Track'!$F:$F&amp;'5) Release_Track'!$G:$G,'5) Release_Track'!$I:$I},2,0),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E79" s="92"/>
      <c r="F79" s="92"/>
      <c r="G79" s="125" t="str">
        <f t="array" ref="G79">ifs(or($F79="",$F79="Main Primary Artist"),$F79,not(iserror(vlookup($F79,'Reference info'!$J$5:$J$8,1,0))),"Key Artist",not(iserror(vlookup($F79,'Reference info'!$J$38:$J$405,1,0))),"Performer",not(iserror(vlookup($F79,'Reference info'!$J$10:$J$36,1,0))),"Producer &amp; Engineer")</f>
        <v/>
      </c>
    </row>
    <row r="80">
      <c r="B80" s="97"/>
      <c r="C80" s="121" t="str">
        <f t="array" ref="C80">ifs(and(isblank($A80),isblank($B80)),"", not(iserror(vlookup($A80&amp;$B80,'5) Release_Track'!$F:$F&amp;'5) Release_Track'!$G:$G,1,0))),vlookup($A80&amp;$B80,{'5) Release_Track'!$F:$F&amp;'5) Release_Track'!$G:$G,'5) Release_Track'!$H:$H},2,0),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D80" s="121" t="str">
        <f t="array" ref="D80">ifs(and(isblank($A80),isblank($B80)),"", not(iserror(vlookup($A80&amp;$B80,'5) Release_Track'!$F:$F&amp;'5) Release_Track'!$G:$G,1,0))),vlookup($A80&amp;$B80,{'5) Release_Track'!$F:$F&amp;'5) Release_Track'!$G:$G,'5) Release_Track'!$I:$I},2,0),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E80" s="92"/>
      <c r="F80" s="92"/>
      <c r="G80" s="125" t="str">
        <f t="array" ref="G80">ifs(or($F80="",$F80="Main Primary Artist"),$F80,not(iserror(vlookup($F80,'Reference info'!$J$5:$J$8,1,0))),"Key Artist",not(iserror(vlookup($F80,'Reference info'!$J$38:$J$405,1,0))),"Performer",not(iserror(vlookup($F80,'Reference info'!$J$10:$J$36,1,0))),"Producer &amp; Engineer")</f>
        <v/>
      </c>
    </row>
    <row r="81">
      <c r="B81" s="97"/>
      <c r="C81" s="121" t="str">
        <f t="array" ref="C81">ifs(and(isblank($A81),isblank($B81)),"", not(iserror(vlookup($A81&amp;$B81,'5) Release_Track'!$F:$F&amp;'5) Release_Track'!$G:$G,1,0))),vlookup($A81&amp;$B81,{'5) Release_Track'!$F:$F&amp;'5) Release_Track'!$G:$G,'5) Release_Track'!$H:$H},2,0),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D81" s="121" t="str">
        <f t="array" ref="D81">ifs(and(isblank($A81),isblank($B81)),"", not(iserror(vlookup($A81&amp;$B81,'5) Release_Track'!$F:$F&amp;'5) Release_Track'!$G:$G,1,0))),vlookup($A81&amp;$B81,{'5) Release_Track'!$F:$F&amp;'5) Release_Track'!$G:$G,'5) Release_Track'!$I:$I},2,0),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E81" s="92"/>
      <c r="F81" s="92"/>
      <c r="G81" s="125" t="str">
        <f t="array" ref="G81">ifs(or($F81="",$F81="Main Primary Artist"),$F81,not(iserror(vlookup($F81,'Reference info'!$J$5:$J$8,1,0))),"Key Artist",not(iserror(vlookup($F81,'Reference info'!$J$38:$J$405,1,0))),"Performer",not(iserror(vlookup($F81,'Reference info'!$J$10:$J$36,1,0))),"Producer &amp; Engineer")</f>
        <v/>
      </c>
    </row>
    <row r="82">
      <c r="B82" s="97"/>
      <c r="C82" s="121" t="str">
        <f t="array" ref="C82">ifs(and(isblank($A82),isblank($B82)),"", not(iserror(vlookup($A82&amp;$B82,'5) Release_Track'!$F:$F&amp;'5) Release_Track'!$G:$G,1,0))),vlookup($A82&amp;$B82,{'5) Release_Track'!$F:$F&amp;'5) Release_Track'!$G:$G,'5) Release_Track'!$H:$H},2,0),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D82" s="121" t="str">
        <f t="array" ref="D82">ifs(and(isblank($A82),isblank($B82)),"", not(iserror(vlookup($A82&amp;$B82,'5) Release_Track'!$F:$F&amp;'5) Release_Track'!$G:$G,1,0))),vlookup($A82&amp;$B82,{'5) Release_Track'!$F:$F&amp;'5) Release_Track'!$G:$G,'5) Release_Track'!$I:$I},2,0),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E82" s="92"/>
      <c r="F82" s="92"/>
      <c r="G82" s="125" t="str">
        <f t="array" ref="G82">ifs(or($F82="",$F82="Main Primary Artist"),$F82,not(iserror(vlookup($F82,'Reference info'!$J$5:$J$8,1,0))),"Key Artist",not(iserror(vlookup($F82,'Reference info'!$J$38:$J$405,1,0))),"Performer",not(iserror(vlookup($F82,'Reference info'!$J$10:$J$36,1,0))),"Producer &amp; Engineer")</f>
        <v/>
      </c>
    </row>
    <row r="83">
      <c r="B83" s="97"/>
      <c r="C83" s="121" t="str">
        <f t="array" ref="C83">ifs(and(isblank($A83),isblank($B83)),"", not(iserror(vlookup($A83&amp;$B83,'5) Release_Track'!$F:$F&amp;'5) Release_Track'!$G:$G,1,0))),vlookup($A83&amp;$B83,{'5) Release_Track'!$F:$F&amp;'5) Release_Track'!$G:$G,'5) Release_Track'!$H:$H},2,0),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D83" s="121" t="str">
        <f t="array" ref="D83">ifs(and(isblank($A83),isblank($B83)),"", not(iserror(vlookup($A83&amp;$B83,'5) Release_Track'!$F:$F&amp;'5) Release_Track'!$G:$G,1,0))),vlookup($A83&amp;$B83,{'5) Release_Track'!$F:$F&amp;'5) Release_Track'!$G:$G,'5) Release_Track'!$I:$I},2,0),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E83" s="92"/>
      <c r="F83" s="92"/>
      <c r="G83" s="125" t="str">
        <f t="array" ref="G83">ifs(or($F83="",$F83="Main Primary Artist"),$F83,not(iserror(vlookup($F83,'Reference info'!$J$5:$J$8,1,0))),"Key Artist",not(iserror(vlookup($F83,'Reference info'!$J$38:$J$405,1,0))),"Performer",not(iserror(vlookup($F83,'Reference info'!$J$10:$J$36,1,0))),"Producer &amp; Engineer")</f>
        <v/>
      </c>
    </row>
    <row r="84">
      <c r="B84" s="97"/>
      <c r="C84" s="121" t="str">
        <f t="array" ref="C84">ifs(and(isblank($A84),isblank($B84)),"", not(iserror(vlookup($A84&amp;$B84,'5) Release_Track'!$F:$F&amp;'5) Release_Track'!$G:$G,1,0))),vlookup($A84&amp;$B84,{'5) Release_Track'!$F:$F&amp;'5) Release_Track'!$G:$G,'5) Release_Track'!$H:$H},2,0),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D84" s="121" t="str">
        <f t="array" ref="D84">ifs(and(isblank($A84),isblank($B84)),"", not(iserror(vlookup($A84&amp;$B84,'5) Release_Track'!$F:$F&amp;'5) Release_Track'!$G:$G,1,0))),vlookup($A84&amp;$B84,{'5) Release_Track'!$F:$F&amp;'5) Release_Track'!$G:$G,'5) Release_Track'!$I:$I},2,0),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E84" s="92"/>
      <c r="F84" s="92"/>
      <c r="G84" s="125" t="str">
        <f t="array" ref="G84">ifs(or($F84="",$F84="Main Primary Artist"),$F84,not(iserror(vlookup($F84,'Reference info'!$J$5:$J$8,1,0))),"Key Artist",not(iserror(vlookup($F84,'Reference info'!$J$38:$J$405,1,0))),"Performer",not(iserror(vlookup($F84,'Reference info'!$J$10:$J$36,1,0))),"Producer &amp; Engineer")</f>
        <v/>
      </c>
    </row>
    <row r="85">
      <c r="B85" s="97"/>
      <c r="C85" s="121" t="str">
        <f t="array" ref="C85">ifs(and(isblank($A85),isblank($B85)),"", not(iserror(vlookup($A85&amp;$B85,'5) Release_Track'!$F:$F&amp;'5) Release_Track'!$G:$G,1,0))),vlookup($A85&amp;$B85,{'5) Release_Track'!$F:$F&amp;'5) Release_Track'!$G:$G,'5) Release_Track'!$H:$H},2,0),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D85" s="121" t="str">
        <f t="array" ref="D85">ifs(and(isblank($A85),isblank($B85)),"", not(iserror(vlookup($A85&amp;$B85,'5) Release_Track'!$F:$F&amp;'5) Release_Track'!$G:$G,1,0))),vlookup($A85&amp;$B85,{'5) Release_Track'!$F:$F&amp;'5) Release_Track'!$G:$G,'5) Release_Track'!$I:$I},2,0),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E85" s="92"/>
      <c r="F85" s="92"/>
      <c r="G85" s="125" t="str">
        <f t="array" ref="G85">ifs(or($F85="",$F85="Main Primary Artist"),$F85,not(iserror(vlookup($F85,'Reference info'!$J$5:$J$8,1,0))),"Key Artist",not(iserror(vlookup($F85,'Reference info'!$J$38:$J$405,1,0))),"Performer",not(iserror(vlookup($F85,'Reference info'!$J$10:$J$36,1,0))),"Producer &amp; Engineer")</f>
        <v/>
      </c>
    </row>
    <row r="86">
      <c r="B86" s="97"/>
      <c r="C86" s="121" t="str">
        <f t="array" ref="C86">ifs(and(isblank($A86),isblank($B86)),"", not(iserror(vlookup($A86&amp;$B86,'5) Release_Track'!$F:$F&amp;'5) Release_Track'!$G:$G,1,0))),vlookup($A86&amp;$B86,{'5) Release_Track'!$F:$F&amp;'5) Release_Track'!$G:$G,'5) Release_Track'!$H:$H},2,0),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D86" s="121" t="str">
        <f t="array" ref="D86">ifs(and(isblank($A86),isblank($B86)),"", not(iserror(vlookup($A86&amp;$B86,'5) Release_Track'!$F:$F&amp;'5) Release_Track'!$G:$G,1,0))),vlookup($A86&amp;$B86,{'5) Release_Track'!$F:$F&amp;'5) Release_Track'!$G:$G,'5) Release_Track'!$I:$I},2,0),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E86" s="92"/>
      <c r="F86" s="92"/>
      <c r="G86" s="125" t="str">
        <f t="array" ref="G86">ifs(or($F86="",$F86="Main Primary Artist"),$F86,not(iserror(vlookup($F86,'Reference info'!$J$5:$J$8,1,0))),"Key Artist",not(iserror(vlookup($F86,'Reference info'!$J$38:$J$405,1,0))),"Performer",not(iserror(vlookup($F86,'Reference info'!$J$10:$J$36,1,0))),"Producer &amp; Engineer")</f>
        <v/>
      </c>
    </row>
    <row r="87">
      <c r="B87" s="97"/>
      <c r="C87" s="121" t="str">
        <f t="array" ref="C87">ifs(and(isblank($A87),isblank($B87)),"", not(iserror(vlookup($A87&amp;$B87,'5) Release_Track'!$F:$F&amp;'5) Release_Track'!$G:$G,1,0))),vlookup($A87&amp;$B87,{'5) Release_Track'!$F:$F&amp;'5) Release_Track'!$G:$G,'5) Release_Track'!$H:$H},2,0),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D87" s="121" t="str">
        <f t="array" ref="D87">ifs(and(isblank($A87),isblank($B87)),"", not(iserror(vlookup($A87&amp;$B87,'5) Release_Track'!$F:$F&amp;'5) Release_Track'!$G:$G,1,0))),vlookup($A87&amp;$B87,{'5) Release_Track'!$F:$F&amp;'5) Release_Track'!$G:$G,'5) Release_Track'!$I:$I},2,0),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E87" s="92"/>
      <c r="F87" s="92"/>
      <c r="G87" s="125" t="str">
        <f t="array" ref="G87">ifs(or($F87="",$F87="Main Primary Artist"),$F87,not(iserror(vlookup($F87,'Reference info'!$J$5:$J$8,1,0))),"Key Artist",not(iserror(vlookup($F87,'Reference info'!$J$38:$J$405,1,0))),"Performer",not(iserror(vlookup($F87,'Reference info'!$J$10:$J$36,1,0))),"Producer &amp; Engineer")</f>
        <v/>
      </c>
    </row>
    <row r="88">
      <c r="B88" s="97"/>
      <c r="C88" s="121" t="str">
        <f t="array" ref="C88">ifs(and(isblank($A88),isblank($B88)),"", not(iserror(vlookup($A88&amp;$B88,'5) Release_Track'!$F:$F&amp;'5) Release_Track'!$G:$G,1,0))),vlookup($A88&amp;$B88,{'5) Release_Track'!$F:$F&amp;'5) Release_Track'!$G:$G,'5) Release_Track'!$H:$H},2,0),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D88" s="121" t="str">
        <f t="array" ref="D88">ifs(and(isblank($A88),isblank($B88)),"", not(iserror(vlookup($A88&amp;$B88,'5) Release_Track'!$F:$F&amp;'5) Release_Track'!$G:$G,1,0))),vlookup($A88&amp;$B88,{'5) Release_Track'!$F:$F&amp;'5) Release_Track'!$G:$G,'5) Release_Track'!$I:$I},2,0),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E88" s="92"/>
      <c r="F88" s="92"/>
      <c r="G88" s="125" t="str">
        <f t="array" ref="G88">ifs(or($F88="",$F88="Main Primary Artist"),$F88,not(iserror(vlookup($F88,'Reference info'!$J$5:$J$8,1,0))),"Key Artist",not(iserror(vlookup($F88,'Reference info'!$J$38:$J$405,1,0))),"Performer",not(iserror(vlookup($F88,'Reference info'!$J$10:$J$36,1,0))),"Producer &amp; Engineer")</f>
        <v/>
      </c>
    </row>
    <row r="89">
      <c r="B89" s="97"/>
      <c r="C89" s="121" t="str">
        <f t="array" ref="C89">ifs(and(isblank($A89),isblank($B89)),"", not(iserror(vlookup($A89&amp;$B89,'5) Release_Track'!$F:$F&amp;'5) Release_Track'!$G:$G,1,0))),vlookup($A89&amp;$B89,{'5) Release_Track'!$F:$F&amp;'5) Release_Track'!$G:$G,'5) Release_Track'!$H:$H},2,0),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D89" s="121" t="str">
        <f t="array" ref="D89">ifs(and(isblank($A89),isblank($B89)),"", not(iserror(vlookup($A89&amp;$B89,'5) Release_Track'!$F:$F&amp;'5) Release_Track'!$G:$G,1,0))),vlookup($A89&amp;$B89,{'5) Release_Track'!$F:$F&amp;'5) Release_Track'!$G:$G,'5) Release_Track'!$I:$I},2,0),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E89" s="92"/>
      <c r="F89" s="92"/>
      <c r="G89" s="125" t="str">
        <f t="array" ref="G89">ifs(or($F89="",$F89="Main Primary Artist"),$F89,not(iserror(vlookup($F89,'Reference info'!$J$5:$J$8,1,0))),"Key Artist",not(iserror(vlookup($F89,'Reference info'!$J$38:$J$405,1,0))),"Performer",not(iserror(vlookup($F89,'Reference info'!$J$10:$J$36,1,0))),"Producer &amp; Engineer")</f>
        <v/>
      </c>
    </row>
    <row r="90">
      <c r="B90" s="97"/>
      <c r="C90" s="121" t="str">
        <f t="array" ref="C90">ifs(and(isblank($A90),isblank($B90)),"", not(iserror(vlookup($A90&amp;$B90,'5) Release_Track'!$F:$F&amp;'5) Release_Track'!$G:$G,1,0))),vlookup($A90&amp;$B90,{'5) Release_Track'!$F:$F&amp;'5) Release_Track'!$G:$G,'5) Release_Track'!$H:$H},2,0),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D90" s="121" t="str">
        <f t="array" ref="D90">ifs(and(isblank($A90),isblank($B90)),"", not(iserror(vlookup($A90&amp;$B90,'5) Release_Track'!$F:$F&amp;'5) Release_Track'!$G:$G,1,0))),vlookup($A90&amp;$B90,{'5) Release_Track'!$F:$F&amp;'5) Release_Track'!$G:$G,'5) Release_Track'!$I:$I},2,0),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E90" s="92"/>
      <c r="F90" s="92"/>
      <c r="G90" s="125" t="str">
        <f t="array" ref="G90">ifs(or($F90="",$F90="Main Primary Artist"),$F90,not(iserror(vlookup($F90,'Reference info'!$J$5:$J$8,1,0))),"Key Artist",not(iserror(vlookup($F90,'Reference info'!$J$38:$J$405,1,0))),"Performer",not(iserror(vlookup($F90,'Reference info'!$J$10:$J$36,1,0))),"Producer &amp; Engineer")</f>
        <v/>
      </c>
    </row>
    <row r="91">
      <c r="B91" s="97"/>
      <c r="C91" s="121" t="str">
        <f t="array" ref="C91">ifs(and(isblank($A91),isblank($B91)),"", not(iserror(vlookup($A91&amp;$B91,'5) Release_Track'!$F:$F&amp;'5) Release_Track'!$G:$G,1,0))),vlookup($A91&amp;$B91,{'5) Release_Track'!$F:$F&amp;'5) Release_Track'!$G:$G,'5) Release_Track'!$H:$H},2,0),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D91" s="121" t="str">
        <f t="array" ref="D91">ifs(and(isblank($A91),isblank($B91)),"", not(iserror(vlookup($A91&amp;$B91,'5) Release_Track'!$F:$F&amp;'5) Release_Track'!$G:$G,1,0))),vlookup($A91&amp;$B91,{'5) Release_Track'!$F:$F&amp;'5) Release_Track'!$G:$G,'5) Release_Track'!$I:$I},2,0),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E91" s="92"/>
      <c r="F91" s="92"/>
      <c r="G91" s="125" t="str">
        <f t="array" ref="G91">ifs(or($F91="",$F91="Main Primary Artist"),$F91,not(iserror(vlookup($F91,'Reference info'!$J$5:$J$8,1,0))),"Key Artist",not(iserror(vlookup($F91,'Reference info'!$J$38:$J$405,1,0))),"Performer",not(iserror(vlookup($F91,'Reference info'!$J$10:$J$36,1,0))),"Producer &amp; Engineer")</f>
        <v/>
      </c>
    </row>
    <row r="92">
      <c r="B92" s="97"/>
      <c r="C92" s="121" t="str">
        <f t="array" ref="C92">ifs(and(isblank($A92),isblank($B92)),"", not(iserror(vlookup($A92&amp;$B92,'5) Release_Track'!$F:$F&amp;'5) Release_Track'!$G:$G,1,0))),vlookup($A92&amp;$B92,{'5) Release_Track'!$F:$F&amp;'5) Release_Track'!$G:$G,'5) Release_Track'!$H:$H},2,0),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D92" s="121" t="str">
        <f t="array" ref="D92">ifs(and(isblank($A92),isblank($B92)),"", not(iserror(vlookup($A92&amp;$B92,'5) Release_Track'!$F:$F&amp;'5) Release_Track'!$G:$G,1,0))),vlookup($A92&amp;$B92,{'5) Release_Track'!$F:$F&amp;'5) Release_Track'!$G:$G,'5) Release_Track'!$I:$I},2,0),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E92" s="92"/>
      <c r="F92" s="92"/>
      <c r="G92" s="125" t="str">
        <f t="array" ref="G92">ifs(or($F92="",$F92="Main Primary Artist"),$F92,not(iserror(vlookup($F92,'Reference info'!$J$5:$J$8,1,0))),"Key Artist",not(iserror(vlookup($F92,'Reference info'!$J$38:$J$405,1,0))),"Performer",not(iserror(vlookup($F92,'Reference info'!$J$10:$J$36,1,0))),"Producer &amp; Engineer")</f>
        <v/>
      </c>
    </row>
    <row r="93">
      <c r="B93" s="97"/>
      <c r="C93" s="121" t="str">
        <f t="array" ref="C93">ifs(and(isblank($A93),isblank($B93)),"", not(iserror(vlookup($A93&amp;$B93,'5) Release_Track'!$F:$F&amp;'5) Release_Track'!$G:$G,1,0))),vlookup($A93&amp;$B93,{'5) Release_Track'!$F:$F&amp;'5) Release_Track'!$G:$G,'5) Release_Track'!$H:$H},2,0),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D93" s="121" t="str">
        <f t="array" ref="D93">ifs(and(isblank($A93),isblank($B93)),"", not(iserror(vlookup($A93&amp;$B93,'5) Release_Track'!$F:$F&amp;'5) Release_Track'!$G:$G,1,0))),vlookup($A93&amp;$B93,{'5) Release_Track'!$F:$F&amp;'5) Release_Track'!$G:$G,'5) Release_Track'!$I:$I},2,0),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E93" s="92"/>
      <c r="F93" s="92"/>
      <c r="G93" s="125" t="str">
        <f t="array" ref="G93">ifs(or($F93="",$F93="Main Primary Artist"),$F93,not(iserror(vlookup($F93,'Reference info'!$J$5:$J$8,1,0))),"Key Artist",not(iserror(vlookup($F93,'Reference info'!$J$38:$J$405,1,0))),"Performer",not(iserror(vlookup($F93,'Reference info'!$J$10:$J$36,1,0))),"Producer &amp; Engineer")</f>
        <v/>
      </c>
    </row>
    <row r="94">
      <c r="B94" s="97"/>
      <c r="C94" s="121" t="str">
        <f t="array" ref="C94">ifs(and(isblank($A94),isblank($B94)),"", not(iserror(vlookup($A94&amp;$B94,'5) Release_Track'!$F:$F&amp;'5) Release_Track'!$G:$G,1,0))),vlookup($A94&amp;$B94,{'5) Release_Track'!$F:$F&amp;'5) Release_Track'!$G:$G,'5) Release_Track'!$H:$H},2,0),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D94" s="121" t="str">
        <f t="array" ref="D94">ifs(and(isblank($A94),isblank($B94)),"", not(iserror(vlookup($A94&amp;$B94,'5) Release_Track'!$F:$F&amp;'5) Release_Track'!$G:$G,1,0))),vlookup($A94&amp;$B94,{'5) Release_Track'!$F:$F&amp;'5) Release_Track'!$G:$G,'5) Release_Track'!$I:$I},2,0),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E94" s="92"/>
      <c r="F94" s="92"/>
      <c r="G94" s="125" t="str">
        <f t="array" ref="G94">ifs(or($F94="",$F94="Main Primary Artist"),$F94,not(iserror(vlookup($F94,'Reference info'!$J$5:$J$8,1,0))),"Key Artist",not(iserror(vlookup($F94,'Reference info'!$J$38:$J$405,1,0))),"Performer",not(iserror(vlookup($F94,'Reference info'!$J$10:$J$36,1,0))),"Producer &amp; Engineer")</f>
        <v/>
      </c>
    </row>
    <row r="95">
      <c r="B95" s="97"/>
      <c r="C95" s="121" t="str">
        <f t="array" ref="C95">ifs(and(isblank($A95),isblank($B95)),"", not(iserror(vlookup($A95&amp;$B95,'5) Release_Track'!$F:$F&amp;'5) Release_Track'!$G:$G,1,0))),vlookup($A95&amp;$B95,{'5) Release_Track'!$F:$F&amp;'5) Release_Track'!$G:$G,'5) Release_Track'!$H:$H},2,0),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D95" s="121" t="str">
        <f t="array" ref="D95">ifs(and(isblank($A95),isblank($B95)),"", not(iserror(vlookup($A95&amp;$B95,'5) Release_Track'!$F:$F&amp;'5) Release_Track'!$G:$G,1,0))),vlookup($A95&amp;$B95,{'5) Release_Track'!$F:$F&amp;'5) Release_Track'!$G:$G,'5) Release_Track'!$I:$I},2,0),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E95" s="92"/>
      <c r="F95" s="92"/>
      <c r="G95" s="125" t="str">
        <f t="array" ref="G95">ifs(or($F95="",$F95="Main Primary Artist"),$F95,not(iserror(vlookup($F95,'Reference info'!$J$5:$J$8,1,0))),"Key Artist",not(iserror(vlookup($F95,'Reference info'!$J$38:$J$405,1,0))),"Performer",not(iserror(vlookup($F95,'Reference info'!$J$10:$J$36,1,0))),"Producer &amp; Engineer")</f>
        <v/>
      </c>
    </row>
    <row r="96">
      <c r="B96" s="97"/>
      <c r="C96" s="121" t="str">
        <f t="array" ref="C96">ifs(and(isblank($A96),isblank($B96)),"", not(iserror(vlookup($A96&amp;$B96,'5) Release_Track'!$F:$F&amp;'5) Release_Track'!$G:$G,1,0))),vlookup($A96&amp;$B96,{'5) Release_Track'!$F:$F&amp;'5) Release_Track'!$G:$G,'5) Release_Track'!$H:$H},2,0),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D96" s="121" t="str">
        <f t="array" ref="D96">ifs(and(isblank($A96),isblank($B96)),"", not(iserror(vlookup($A96&amp;$B96,'5) Release_Track'!$F:$F&amp;'5) Release_Track'!$G:$G,1,0))),vlookup($A96&amp;$B96,{'5) Release_Track'!$F:$F&amp;'5) Release_Track'!$G:$G,'5) Release_Track'!$I:$I},2,0),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E96" s="92"/>
      <c r="F96" s="92"/>
      <c r="G96" s="125" t="str">
        <f t="array" ref="G96">ifs(or($F96="",$F96="Main Primary Artist"),$F96,not(iserror(vlookup($F96,'Reference info'!$J$5:$J$8,1,0))),"Key Artist",not(iserror(vlookup($F96,'Reference info'!$J$38:$J$405,1,0))),"Performer",not(iserror(vlookup($F96,'Reference info'!$J$10:$J$36,1,0))),"Producer &amp; Engineer")</f>
        <v/>
      </c>
    </row>
    <row r="97">
      <c r="B97" s="97"/>
      <c r="C97" s="121" t="str">
        <f t="array" ref="C97">ifs(and(isblank($A97),isblank($B97)),"", not(iserror(vlookup($A97&amp;$B97,'5) Release_Track'!$F:$F&amp;'5) Release_Track'!$G:$G,1,0))),vlookup($A97&amp;$B97,{'5) Release_Track'!$F:$F&amp;'5) Release_Track'!$G:$G,'5) Release_Track'!$H:$H},2,0),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D97" s="121" t="str">
        <f t="array" ref="D97">ifs(and(isblank($A97),isblank($B97)),"", not(iserror(vlookup($A97&amp;$B97,'5) Release_Track'!$F:$F&amp;'5) Release_Track'!$G:$G,1,0))),vlookup($A97&amp;$B97,{'5) Release_Track'!$F:$F&amp;'5) Release_Track'!$G:$G,'5) Release_Track'!$I:$I},2,0),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E97" s="92"/>
      <c r="F97" s="92"/>
      <c r="G97" s="125" t="str">
        <f t="array" ref="G97">ifs(or($F97="",$F97="Main Primary Artist"),$F97,not(iserror(vlookup($F97,'Reference info'!$J$5:$J$8,1,0))),"Key Artist",not(iserror(vlookup($F97,'Reference info'!$J$38:$J$405,1,0))),"Performer",not(iserror(vlookup($F97,'Reference info'!$J$10:$J$36,1,0))),"Producer &amp; Engineer")</f>
        <v/>
      </c>
    </row>
    <row r="98">
      <c r="B98" s="97"/>
      <c r="C98" s="121" t="str">
        <f t="array" ref="C98">ifs(and(isblank($A98),isblank($B98)),"", not(iserror(vlookup($A98&amp;$B98,'5) Release_Track'!$F:$F&amp;'5) Release_Track'!$G:$G,1,0))),vlookup($A98&amp;$B98,{'5) Release_Track'!$F:$F&amp;'5) Release_Track'!$G:$G,'5) Release_Track'!$H:$H},2,0),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D98" s="121" t="str">
        <f t="array" ref="D98">ifs(and(isblank($A98),isblank($B98)),"", not(iserror(vlookup($A98&amp;$B98,'5) Release_Track'!$F:$F&amp;'5) Release_Track'!$G:$G,1,0))),vlookup($A98&amp;$B98,{'5) Release_Track'!$F:$F&amp;'5) Release_Track'!$G:$G,'5) Release_Track'!$I:$I},2,0),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E98" s="92"/>
      <c r="F98" s="92"/>
      <c r="G98" s="125" t="str">
        <f t="array" ref="G98">ifs(or($F98="",$F98="Main Primary Artist"),$F98,not(iserror(vlookup($F98,'Reference info'!$J$5:$J$8,1,0))),"Key Artist",not(iserror(vlookup($F98,'Reference info'!$J$38:$J$405,1,0))),"Performer",not(iserror(vlookup($F98,'Reference info'!$J$10:$J$36,1,0))),"Producer &amp; Engineer")</f>
        <v/>
      </c>
    </row>
    <row r="99">
      <c r="B99" s="97"/>
      <c r="C99" s="121" t="str">
        <f t="array" ref="C99">ifs(and(isblank($A99),isblank($B99)),"", not(iserror(vlookup($A99&amp;$B99,'5) Release_Track'!$F:$F&amp;'5) Release_Track'!$G:$G,1,0))),vlookup($A99&amp;$B99,{'5) Release_Track'!$F:$F&amp;'5) Release_Track'!$G:$G,'5) Release_Track'!$H:$H},2,0),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D99" s="121" t="str">
        <f t="array" ref="D99">ifs(and(isblank($A99),isblank($B99)),"", not(iserror(vlookup($A99&amp;$B99,'5) Release_Track'!$F:$F&amp;'5) Release_Track'!$G:$G,1,0))),vlookup($A99&amp;$B99,{'5) Release_Track'!$F:$F&amp;'5) Release_Track'!$G:$G,'5) Release_Track'!$I:$I},2,0),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E99" s="92"/>
      <c r="F99" s="92"/>
      <c r="G99" s="125" t="str">
        <f t="array" ref="G99">ifs(or($F99="",$F99="Main Primary Artist"),$F99,not(iserror(vlookup($F99,'Reference info'!$J$5:$J$8,1,0))),"Key Artist",not(iserror(vlookup($F99,'Reference info'!$J$38:$J$405,1,0))),"Performer",not(iserror(vlookup($F99,'Reference info'!$J$10:$J$36,1,0))),"Producer &amp; Engineer")</f>
        <v/>
      </c>
    </row>
    <row r="100">
      <c r="B100" s="97"/>
      <c r="C100" s="121" t="str">
        <f t="array" ref="C100">ifs(and(isblank($A100),isblank($B100)),"", not(iserror(vlookup($A100&amp;$B100,'5) Release_Track'!$F:$F&amp;'5) Release_Track'!$G:$G,1,0))),vlookup($A100&amp;$B100,{'5) Release_Track'!$F:$F&amp;'5) Release_Track'!$G:$G,'5) Release_Track'!$H:$H},2,0),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D100" s="121" t="str">
        <f t="array" ref="D100">ifs(and(isblank($A100),isblank($B100)),"", not(iserror(vlookup($A100&amp;$B100,'5) Release_Track'!$F:$F&amp;'5) Release_Track'!$G:$G,1,0))),vlookup($A100&amp;$B100,{'5) Release_Track'!$F:$F&amp;'5) Release_Track'!$G:$G,'5) Release_Track'!$I:$I},2,0),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E100" s="92"/>
      <c r="F100" s="92"/>
      <c r="G100" s="125" t="str">
        <f t="array" ref="G100">ifs(or($F100="",$F100="Main Primary Artist"),$F100,not(iserror(vlookup($F100,'Reference info'!$J$5:$J$8,1,0))),"Key Artist",not(iserror(vlookup($F100,'Reference info'!$J$38:$J$405,1,0))),"Performer",not(iserror(vlookup($F100,'Reference info'!$J$10:$J$36,1,0))),"Producer &amp; Engineer")</f>
        <v/>
      </c>
    </row>
    <row r="101">
      <c r="B101" s="97"/>
      <c r="C101" s="121" t="str">
        <f t="array" ref="C101">ifs(and(isblank($A101),isblank($B101)),"", not(iserror(vlookup($A101&amp;$B101,'5) Release_Track'!$F:$F&amp;'5) Release_Track'!$G:$G,1,0))),vlookup($A101&amp;$B101,{'5) Release_Track'!$F:$F&amp;'5) Release_Track'!$G:$G,'5) Release_Track'!$H:$H},2,0),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D101" s="121" t="str">
        <f t="array" ref="D101">ifs(and(isblank($A101),isblank($B101)),"", not(iserror(vlookup($A101&amp;$B101,'5) Release_Track'!$F:$F&amp;'5) Release_Track'!$G:$G,1,0))),vlookup($A101&amp;$B101,{'5) Release_Track'!$F:$F&amp;'5) Release_Track'!$G:$G,'5) Release_Track'!$I:$I},2,0),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E101" s="92"/>
      <c r="F101" s="92"/>
      <c r="G101" s="125" t="str">
        <f t="array" ref="G101">ifs(or($F101="",$F101="Main Primary Artist"),$F101,not(iserror(vlookup($F101,'Reference info'!$J$5:$J$8,1,0))),"Key Artist",not(iserror(vlookup($F101,'Reference info'!$J$38:$J$405,1,0))),"Performer",not(iserror(vlookup($F101,'Reference info'!$J$10:$J$36,1,0))),"Producer &amp; Engineer")</f>
        <v/>
      </c>
    </row>
    <row r="102">
      <c r="B102" s="97"/>
      <c r="C102" s="121" t="str">
        <f t="array" ref="C102">ifs(and(isblank($A102),isblank($B102)),"", not(iserror(vlookup($A102&amp;$B102,'5) Release_Track'!$F:$F&amp;'5) Release_Track'!$G:$G,1,0))),vlookup($A102&amp;$B102,{'5) Release_Track'!$F:$F&amp;'5) Release_Track'!$G:$G,'5) Release_Track'!$H:$H},2,0),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D102" s="121" t="str">
        <f t="array" ref="D102">ifs(and(isblank($A102),isblank($B102)),"", not(iserror(vlookup($A102&amp;$B102,'5) Release_Track'!$F:$F&amp;'5) Release_Track'!$G:$G,1,0))),vlookup($A102&amp;$B102,{'5) Release_Track'!$F:$F&amp;'5) Release_Track'!$G:$G,'5) Release_Track'!$I:$I},2,0),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E102" s="92"/>
      <c r="F102" s="92"/>
      <c r="G102" s="125" t="str">
        <f t="array" ref="G102">ifs(or($F102="",$F102="Main Primary Artist"),$F102,not(iserror(vlookup($F102,'Reference info'!$J$5:$J$8,1,0))),"Key Artist",not(iserror(vlookup($F102,'Reference info'!$J$38:$J$405,1,0))),"Performer",not(iserror(vlookup($F102,'Reference info'!$J$10:$J$36,1,0))),"Producer &amp; Engineer")</f>
        <v/>
      </c>
    </row>
    <row r="103">
      <c r="B103" s="97"/>
      <c r="C103" s="121" t="str">
        <f t="array" ref="C103">ifs(and(isblank($A103),isblank($B103)),"", not(iserror(vlookup($A103&amp;$B103,'5) Release_Track'!$F:$F&amp;'5) Release_Track'!$G:$G,1,0))),vlookup($A103&amp;$B103,{'5) Release_Track'!$F:$F&amp;'5) Release_Track'!$G:$G,'5) Release_Track'!$H:$H},2,0),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D103" s="121" t="str">
        <f t="array" ref="D103">ifs(and(isblank($A103),isblank($B103)),"", not(iserror(vlookup($A103&amp;$B103,'5) Release_Track'!$F:$F&amp;'5) Release_Track'!$G:$G,1,0))),vlookup($A103&amp;$B103,{'5) Release_Track'!$F:$F&amp;'5) Release_Track'!$G:$G,'5) Release_Track'!$I:$I},2,0),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E103" s="92"/>
      <c r="F103" s="92"/>
      <c r="G103" s="125" t="str">
        <f t="array" ref="G103">ifs(or($F103="",$F103="Main Primary Artist"),$F103,not(iserror(vlookup($F103,'Reference info'!$J$5:$J$8,1,0))),"Key Artist",not(iserror(vlookup($F103,'Reference info'!$J$38:$J$405,1,0))),"Performer",not(iserror(vlookup($F103,'Reference info'!$J$10:$J$36,1,0))),"Producer &amp; Engineer")</f>
        <v/>
      </c>
    </row>
    <row r="104">
      <c r="B104" s="97"/>
      <c r="C104" s="121" t="str">
        <f t="array" ref="C104">ifs(and(isblank($A104),isblank($B104)),"", not(iserror(vlookup($A104&amp;$B104,'5) Release_Track'!$F:$F&amp;'5) Release_Track'!$G:$G,1,0))),vlookup($A104&amp;$B104,{'5) Release_Track'!$F:$F&amp;'5) Release_Track'!$G:$G,'5) Release_Track'!$H:$H},2,0),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D104" s="121" t="str">
        <f t="array" ref="D104">ifs(and(isblank($A104),isblank($B104)),"", not(iserror(vlookup($A104&amp;$B104,'5) Release_Track'!$F:$F&amp;'5) Release_Track'!$G:$G,1,0))),vlookup($A104&amp;$B104,{'5) Release_Track'!$F:$F&amp;'5) Release_Track'!$G:$G,'5) Release_Track'!$I:$I},2,0),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E104" s="92"/>
      <c r="F104" s="92"/>
      <c r="G104" s="125" t="str">
        <f t="array" ref="G104">ifs(or($F104="",$F104="Main Primary Artist"),$F104,not(iserror(vlookup($F104,'Reference info'!$J$5:$J$8,1,0))),"Key Artist",not(iserror(vlookup($F104,'Reference info'!$J$38:$J$405,1,0))),"Performer",not(iserror(vlookup($F104,'Reference info'!$J$10:$J$36,1,0))),"Producer &amp; Engineer")</f>
        <v/>
      </c>
    </row>
    <row r="105">
      <c r="B105" s="97"/>
      <c r="C105" s="121" t="str">
        <f t="array" ref="C105">ifs(and(isblank($A105),isblank($B105)),"", not(iserror(vlookup($A105&amp;$B105,'5) Release_Track'!$F:$F&amp;'5) Release_Track'!$G:$G,1,0))),vlookup($A105&amp;$B105,{'5) Release_Track'!$F:$F&amp;'5) Release_Track'!$G:$G,'5) Release_Track'!$H:$H},2,0),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D105" s="121" t="str">
        <f t="array" ref="D105">ifs(and(isblank($A105),isblank($B105)),"", not(iserror(vlookup($A105&amp;$B105,'5) Release_Track'!$F:$F&amp;'5) Release_Track'!$G:$G,1,0))),vlookup($A105&amp;$B105,{'5) Release_Track'!$F:$F&amp;'5) Release_Track'!$G:$G,'5) Release_Track'!$I:$I},2,0),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E105" s="92"/>
      <c r="F105" s="92"/>
      <c r="G105" s="125" t="str">
        <f t="array" ref="G105">ifs(or($F105="",$F105="Main Primary Artist"),$F105,not(iserror(vlookup($F105,'Reference info'!$J$5:$J$8,1,0))),"Key Artist",not(iserror(vlookup($F105,'Reference info'!$J$38:$J$405,1,0))),"Performer",not(iserror(vlookup($F105,'Reference info'!$J$10:$J$36,1,0))),"Producer &amp; Engineer")</f>
        <v/>
      </c>
    </row>
    <row r="106">
      <c r="B106" s="97"/>
      <c r="C106" s="121" t="str">
        <f t="array" ref="C106">ifs(and(isblank($A106),isblank($B106)),"", not(iserror(vlookup($A106&amp;$B106,'5) Release_Track'!$F:$F&amp;'5) Release_Track'!$G:$G,1,0))),vlookup($A106&amp;$B106,{'5) Release_Track'!$F:$F&amp;'5) Release_Track'!$G:$G,'5) Release_Track'!$H:$H},2,0),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D106" s="121" t="str">
        <f t="array" ref="D106">ifs(and(isblank($A106),isblank($B106)),"", not(iserror(vlookup($A106&amp;$B106,'5) Release_Track'!$F:$F&amp;'5) Release_Track'!$G:$G,1,0))),vlookup($A106&amp;$B106,{'5) Release_Track'!$F:$F&amp;'5) Release_Track'!$G:$G,'5) Release_Track'!$I:$I},2,0),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E106" s="92"/>
      <c r="F106" s="92"/>
      <c r="G106" s="125" t="str">
        <f t="array" ref="G106">ifs(or($F106="",$F106="Main Primary Artist"),$F106,not(iserror(vlookup($F106,'Reference info'!$J$5:$J$8,1,0))),"Key Artist",not(iserror(vlookup($F106,'Reference info'!$J$38:$J$405,1,0))),"Performer",not(iserror(vlookup($F106,'Reference info'!$J$10:$J$36,1,0))),"Producer &amp; Engineer")</f>
        <v/>
      </c>
    </row>
    <row r="107">
      <c r="B107" s="97"/>
      <c r="C107" s="121" t="str">
        <f t="array" ref="C107">ifs(and(isblank($A107),isblank($B107)),"", not(iserror(vlookup($A107&amp;$B107,'5) Release_Track'!$F:$F&amp;'5) Release_Track'!$G:$G,1,0))),vlookup($A107&amp;$B107,{'5) Release_Track'!$F:$F&amp;'5) Release_Track'!$G:$G,'5) Release_Track'!$H:$H},2,0),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D107" s="121" t="str">
        <f t="array" ref="D107">ifs(and(isblank($A107),isblank($B107)),"", not(iserror(vlookup($A107&amp;$B107,'5) Release_Track'!$F:$F&amp;'5) Release_Track'!$G:$G,1,0))),vlookup($A107&amp;$B107,{'5) Release_Track'!$F:$F&amp;'5) Release_Track'!$G:$G,'5) Release_Track'!$I:$I},2,0),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E107" s="92"/>
      <c r="F107" s="92"/>
      <c r="G107" s="125" t="str">
        <f t="array" ref="G107">ifs(or($F107="",$F107="Main Primary Artist"),$F107,not(iserror(vlookup($F107,'Reference info'!$J$5:$J$8,1,0))),"Key Artist",not(iserror(vlookup($F107,'Reference info'!$J$38:$J$405,1,0))),"Performer",not(iserror(vlookup($F107,'Reference info'!$J$10:$J$36,1,0))),"Producer &amp; Engineer")</f>
        <v/>
      </c>
    </row>
    <row r="108">
      <c r="B108" s="97"/>
      <c r="C108" s="121" t="str">
        <f t="array" ref="C108">ifs(and(isblank($A108),isblank($B108)),"", not(iserror(vlookup($A108&amp;$B108,'5) Release_Track'!$F:$F&amp;'5) Release_Track'!$G:$G,1,0))),vlookup($A108&amp;$B108,{'5) Release_Track'!$F:$F&amp;'5) Release_Track'!$G:$G,'5) Release_Track'!$H:$H},2,0),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D108" s="121" t="str">
        <f t="array" ref="D108">ifs(and(isblank($A108),isblank($B108)),"", not(iserror(vlookup($A108&amp;$B108,'5) Release_Track'!$F:$F&amp;'5) Release_Track'!$G:$G,1,0))),vlookup($A108&amp;$B108,{'5) Release_Track'!$F:$F&amp;'5) Release_Track'!$G:$G,'5) Release_Track'!$I:$I},2,0),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E108" s="92"/>
      <c r="F108" s="92"/>
      <c r="G108" s="125" t="str">
        <f t="array" ref="G108">ifs(or($F108="",$F108="Main Primary Artist"),$F108,not(iserror(vlookup($F108,'Reference info'!$J$5:$J$8,1,0))),"Key Artist",not(iserror(vlookup($F108,'Reference info'!$J$38:$J$405,1,0))),"Performer",not(iserror(vlookup($F108,'Reference info'!$J$10:$J$36,1,0))),"Producer &amp; Engineer")</f>
        <v/>
      </c>
    </row>
    <row r="109">
      <c r="B109" s="97"/>
      <c r="C109" s="121" t="str">
        <f t="array" ref="C109">ifs(and(isblank($A109),isblank($B109)),"", not(iserror(vlookup($A109&amp;$B109,'5) Release_Track'!$F:$F&amp;'5) Release_Track'!$G:$G,1,0))),vlookup($A109&amp;$B109,{'5) Release_Track'!$F:$F&amp;'5) Release_Track'!$G:$G,'5) Release_Track'!$H:$H},2,0),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D109" s="121" t="str">
        <f t="array" ref="D109">ifs(and(isblank($A109),isblank($B109)),"", not(iserror(vlookup($A109&amp;$B109,'5) Release_Track'!$F:$F&amp;'5) Release_Track'!$G:$G,1,0))),vlookup($A109&amp;$B109,{'5) Release_Track'!$F:$F&amp;'5) Release_Track'!$G:$G,'5) Release_Track'!$I:$I},2,0),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E109" s="92"/>
      <c r="F109" s="92"/>
      <c r="G109" s="125" t="str">
        <f t="array" ref="G109">ifs(or($F109="",$F109="Main Primary Artist"),$F109,not(iserror(vlookup($F109,'Reference info'!$J$5:$J$8,1,0))),"Key Artist",not(iserror(vlookup($F109,'Reference info'!$J$38:$J$405,1,0))),"Performer",not(iserror(vlookup($F109,'Reference info'!$J$10:$J$36,1,0))),"Producer &amp; Engineer")</f>
        <v/>
      </c>
    </row>
    <row r="110">
      <c r="B110" s="97"/>
      <c r="C110" s="121" t="str">
        <f t="array" ref="C110">ifs(and(isblank($A110),isblank($B110)),"", not(iserror(vlookup($A110&amp;$B110,'5) Release_Track'!$F:$F&amp;'5) Release_Track'!$G:$G,1,0))),vlookup($A110&amp;$B110,{'5) Release_Track'!$F:$F&amp;'5) Release_Track'!$G:$G,'5) Release_Track'!$H:$H},2,0),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D110" s="121" t="str">
        <f t="array" ref="D110">ifs(and(isblank($A110),isblank($B110)),"", not(iserror(vlookup($A110&amp;$B110,'5) Release_Track'!$F:$F&amp;'5) Release_Track'!$G:$G,1,0))),vlookup($A110&amp;$B110,{'5) Release_Track'!$F:$F&amp;'5) Release_Track'!$G:$G,'5) Release_Track'!$I:$I},2,0),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E110" s="92"/>
      <c r="F110" s="92"/>
      <c r="G110" s="125" t="str">
        <f t="array" ref="G110">ifs(or($F110="",$F110="Main Primary Artist"),$F110,not(iserror(vlookup($F110,'Reference info'!$J$5:$J$8,1,0))),"Key Artist",not(iserror(vlookup($F110,'Reference info'!$J$38:$J$405,1,0))),"Performer",not(iserror(vlookup($F110,'Reference info'!$J$10:$J$36,1,0))),"Producer &amp; Engineer")</f>
        <v/>
      </c>
    </row>
    <row r="111">
      <c r="B111" s="97"/>
      <c r="C111" s="121" t="str">
        <f t="array" ref="C111">ifs(and(isblank($A111),isblank($B111)),"", not(iserror(vlookup($A111&amp;$B111,'5) Release_Track'!$F:$F&amp;'5) Release_Track'!$G:$G,1,0))),vlookup($A111&amp;$B111,{'5) Release_Track'!$F:$F&amp;'5) Release_Track'!$G:$G,'5) Release_Track'!$H:$H},2,0),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D111" s="121" t="str">
        <f t="array" ref="D111">ifs(and(isblank($A111),isblank($B111)),"", not(iserror(vlookup($A111&amp;$B111,'5) Release_Track'!$F:$F&amp;'5) Release_Track'!$G:$G,1,0))),vlookup($A111&amp;$B111,{'5) Release_Track'!$F:$F&amp;'5) Release_Track'!$G:$G,'5) Release_Track'!$I:$I},2,0),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E111" s="92"/>
      <c r="F111" s="92"/>
      <c r="G111" s="125" t="str">
        <f t="array" ref="G111">ifs(or($F111="",$F111="Main Primary Artist"),$F111,not(iserror(vlookup($F111,'Reference info'!$J$5:$J$8,1,0))),"Key Artist",not(iserror(vlookup($F111,'Reference info'!$J$38:$J$405,1,0))),"Performer",not(iserror(vlookup($F111,'Reference info'!$J$10:$J$36,1,0))),"Producer &amp; Engineer")</f>
        <v/>
      </c>
    </row>
    <row r="112">
      <c r="B112" s="97"/>
      <c r="C112" s="121" t="str">
        <f t="array" ref="C112">ifs(and(isblank($A112),isblank($B112)),"", not(iserror(vlookup($A112&amp;$B112,'5) Release_Track'!$F:$F&amp;'5) Release_Track'!$G:$G,1,0))),vlookup($A112&amp;$B112,{'5) Release_Track'!$F:$F&amp;'5) Release_Track'!$G:$G,'5) Release_Track'!$H:$H},2,0),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D112" s="121" t="str">
        <f t="array" ref="D112">ifs(and(isblank($A112),isblank($B112)),"", not(iserror(vlookup($A112&amp;$B112,'5) Release_Track'!$F:$F&amp;'5) Release_Track'!$G:$G,1,0))),vlookup($A112&amp;$B112,{'5) Release_Track'!$F:$F&amp;'5) Release_Track'!$G:$G,'5) Release_Track'!$I:$I},2,0),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E112" s="92"/>
      <c r="F112" s="92"/>
      <c r="G112" s="125" t="str">
        <f t="array" ref="G112">ifs(or($F112="",$F112="Main Primary Artist"),$F112,not(iserror(vlookup($F112,'Reference info'!$J$5:$J$8,1,0))),"Key Artist",not(iserror(vlookup($F112,'Reference info'!$J$38:$J$405,1,0))),"Performer",not(iserror(vlookup($F112,'Reference info'!$J$10:$J$36,1,0))),"Producer &amp; Engineer")</f>
        <v/>
      </c>
    </row>
    <row r="113">
      <c r="B113" s="97"/>
      <c r="C113" s="121" t="str">
        <f t="array" ref="C113">ifs(and(isblank($A113),isblank($B113)),"", not(iserror(vlookup($A113&amp;$B113,'5) Release_Track'!$F:$F&amp;'5) Release_Track'!$G:$G,1,0))),vlookup($A113&amp;$B113,{'5) Release_Track'!$F:$F&amp;'5) Release_Track'!$G:$G,'5) Release_Track'!$H:$H},2,0),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D113" s="121" t="str">
        <f t="array" ref="D113">ifs(and(isblank($A113),isblank($B113)),"", not(iserror(vlookup($A113&amp;$B113,'5) Release_Track'!$F:$F&amp;'5) Release_Track'!$G:$G,1,0))),vlookup($A113&amp;$B113,{'5) Release_Track'!$F:$F&amp;'5) Release_Track'!$G:$G,'5) Release_Track'!$I:$I},2,0),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E113" s="92"/>
      <c r="F113" s="92"/>
      <c r="G113" s="125" t="str">
        <f t="array" ref="G113">ifs(or($F113="",$F113="Main Primary Artist"),$F113,not(iserror(vlookup($F113,'Reference info'!$J$5:$J$8,1,0))),"Key Artist",not(iserror(vlookup($F113,'Reference info'!$J$38:$J$405,1,0))),"Performer",not(iserror(vlookup($F113,'Reference info'!$J$10:$J$36,1,0))),"Producer &amp; Engineer")</f>
        <v/>
      </c>
    </row>
    <row r="114">
      <c r="B114" s="97"/>
      <c r="C114" s="121" t="str">
        <f t="array" ref="C114">ifs(and(isblank($A114),isblank($B114)),"", not(iserror(vlookup($A114&amp;$B114,'5) Release_Track'!$F:$F&amp;'5) Release_Track'!$G:$G,1,0))),vlookup($A114&amp;$B114,{'5) Release_Track'!$F:$F&amp;'5) Release_Track'!$G:$G,'5) Release_Track'!$H:$H},2,0),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D114" s="121" t="str">
        <f t="array" ref="D114">ifs(and(isblank($A114),isblank($B114)),"", not(iserror(vlookup($A114&amp;$B114,'5) Release_Track'!$F:$F&amp;'5) Release_Track'!$G:$G,1,0))),vlookup($A114&amp;$B114,{'5) Release_Track'!$F:$F&amp;'5) Release_Track'!$G:$G,'5) Release_Track'!$I:$I},2,0),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E114" s="92"/>
      <c r="F114" s="92"/>
      <c r="G114" s="125" t="str">
        <f t="array" ref="G114">ifs(or($F114="",$F114="Main Primary Artist"),$F114,not(iserror(vlookup($F114,'Reference info'!$J$5:$J$8,1,0))),"Key Artist",not(iserror(vlookup($F114,'Reference info'!$J$38:$J$405,1,0))),"Performer",not(iserror(vlookup($F114,'Reference info'!$J$10:$J$36,1,0))),"Producer &amp; Engineer")</f>
        <v/>
      </c>
    </row>
    <row r="115">
      <c r="B115" s="97"/>
      <c r="C115" s="121" t="str">
        <f t="array" ref="C115">ifs(and(isblank($A115),isblank($B115)),"", not(iserror(vlookup($A115&amp;$B115,'5) Release_Track'!$F:$F&amp;'5) Release_Track'!$G:$G,1,0))),vlookup($A115&amp;$B115,{'5) Release_Track'!$F:$F&amp;'5) Release_Track'!$G:$G,'5) Release_Track'!$H:$H},2,0),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D115" s="121" t="str">
        <f t="array" ref="D115">ifs(and(isblank($A115),isblank($B115)),"", not(iserror(vlookup($A115&amp;$B115,'5) Release_Track'!$F:$F&amp;'5) Release_Track'!$G:$G,1,0))),vlookup($A115&amp;$B115,{'5) Release_Track'!$F:$F&amp;'5) Release_Track'!$G:$G,'5) Release_Track'!$I:$I},2,0),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E115" s="92"/>
      <c r="F115" s="92"/>
      <c r="G115" s="125" t="str">
        <f t="array" ref="G115">ifs(or($F115="",$F115="Main Primary Artist"),$F115,not(iserror(vlookup($F115,'Reference info'!$J$5:$J$8,1,0))),"Key Artist",not(iserror(vlookup($F115,'Reference info'!$J$38:$J$405,1,0))),"Performer",not(iserror(vlookup($F115,'Reference info'!$J$10:$J$36,1,0))),"Producer &amp; Engineer")</f>
        <v/>
      </c>
    </row>
    <row r="116">
      <c r="B116" s="97"/>
      <c r="C116" s="121" t="str">
        <f t="array" ref="C116">ifs(and(isblank($A116),isblank($B116)),"", not(iserror(vlookup($A116&amp;$B116,'5) Release_Track'!$F:$F&amp;'5) Release_Track'!$G:$G,1,0))),vlookup($A116&amp;$B116,{'5) Release_Track'!$F:$F&amp;'5) Release_Track'!$G:$G,'5) Release_Track'!$H:$H},2,0),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D116" s="121" t="str">
        <f t="array" ref="D116">ifs(and(isblank($A116),isblank($B116)),"", not(iserror(vlookup($A116&amp;$B116,'5) Release_Track'!$F:$F&amp;'5) Release_Track'!$G:$G,1,0))),vlookup($A116&amp;$B116,{'5) Release_Track'!$F:$F&amp;'5) Release_Track'!$G:$G,'5) Release_Track'!$I:$I},2,0),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E116" s="92"/>
      <c r="F116" s="92"/>
      <c r="G116" s="125" t="str">
        <f t="array" ref="G116">ifs(or($F116="",$F116="Main Primary Artist"),$F116,not(iserror(vlookup($F116,'Reference info'!$J$5:$J$8,1,0))),"Key Artist",not(iserror(vlookup($F116,'Reference info'!$J$38:$J$405,1,0))),"Performer",not(iserror(vlookup($F116,'Reference info'!$J$10:$J$36,1,0))),"Producer &amp; Engineer")</f>
        <v/>
      </c>
    </row>
    <row r="117">
      <c r="B117" s="97"/>
      <c r="C117" s="121" t="str">
        <f t="array" ref="C117">ifs(and(isblank($A117),isblank($B117)),"", not(iserror(vlookup($A117&amp;$B117,'5) Release_Track'!$F:$F&amp;'5) Release_Track'!$G:$G,1,0))),vlookup($A117&amp;$B117,{'5) Release_Track'!$F:$F&amp;'5) Release_Track'!$G:$G,'5) Release_Track'!$H:$H},2,0),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D117" s="121" t="str">
        <f t="array" ref="D117">ifs(and(isblank($A117),isblank($B117)),"", not(iserror(vlookup($A117&amp;$B117,'5) Release_Track'!$F:$F&amp;'5) Release_Track'!$G:$G,1,0))),vlookup($A117&amp;$B117,{'5) Release_Track'!$F:$F&amp;'5) Release_Track'!$G:$G,'5) Release_Track'!$I:$I},2,0),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E117" s="92"/>
      <c r="F117" s="92"/>
      <c r="G117" s="125" t="str">
        <f t="array" ref="G117">ifs(or($F117="",$F117="Main Primary Artist"),$F117,not(iserror(vlookup($F117,'Reference info'!$J$5:$J$8,1,0))),"Key Artist",not(iserror(vlookup($F117,'Reference info'!$J$38:$J$405,1,0))),"Performer",not(iserror(vlookup($F117,'Reference info'!$J$10:$J$36,1,0))),"Producer &amp; Engineer")</f>
        <v/>
      </c>
    </row>
    <row r="118">
      <c r="B118" s="97"/>
      <c r="C118" s="121" t="str">
        <f t="array" ref="C118">ifs(and(isblank($A118),isblank($B118)),"", not(iserror(vlookup($A118&amp;$B118,'5) Release_Track'!$F:$F&amp;'5) Release_Track'!$G:$G,1,0))),vlookup($A118&amp;$B118,{'5) Release_Track'!$F:$F&amp;'5) Release_Track'!$G:$G,'5) Release_Track'!$H:$H},2,0),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D118" s="121" t="str">
        <f t="array" ref="D118">ifs(and(isblank($A118),isblank($B118)),"", not(iserror(vlookup($A118&amp;$B118,'5) Release_Track'!$F:$F&amp;'5) Release_Track'!$G:$G,1,0))),vlookup($A118&amp;$B118,{'5) Release_Track'!$F:$F&amp;'5) Release_Track'!$G:$G,'5) Release_Track'!$I:$I},2,0),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E118" s="92"/>
      <c r="F118" s="92"/>
      <c r="G118" s="125" t="str">
        <f t="array" ref="G118">ifs(or($F118="",$F118="Main Primary Artist"),$F118,not(iserror(vlookup($F118,'Reference info'!$J$5:$J$8,1,0))),"Key Artist",not(iserror(vlookup($F118,'Reference info'!$J$38:$J$405,1,0))),"Performer",not(iserror(vlookup($F118,'Reference info'!$J$10:$J$36,1,0))),"Producer &amp; Engineer")</f>
        <v/>
      </c>
    </row>
    <row r="119">
      <c r="B119" s="97"/>
      <c r="C119" s="121" t="str">
        <f t="array" ref="C119">ifs(and(isblank($A119),isblank($B119)),"", not(iserror(vlookup($A119&amp;$B119,'5) Release_Track'!$F:$F&amp;'5) Release_Track'!$G:$G,1,0))),vlookup($A119&amp;$B119,{'5) Release_Track'!$F:$F&amp;'5) Release_Track'!$G:$G,'5) Release_Track'!$H:$H},2,0),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D119" s="121" t="str">
        <f t="array" ref="D119">ifs(and(isblank($A119),isblank($B119)),"", not(iserror(vlookup($A119&amp;$B119,'5) Release_Track'!$F:$F&amp;'5) Release_Track'!$G:$G,1,0))),vlookup($A119&amp;$B119,{'5) Release_Track'!$F:$F&amp;'5) Release_Track'!$G:$G,'5) Release_Track'!$I:$I},2,0),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E119" s="92"/>
      <c r="F119" s="92"/>
      <c r="G119" s="125" t="str">
        <f t="array" ref="G119">ifs(or($F119="",$F119="Main Primary Artist"),$F119,not(iserror(vlookup($F119,'Reference info'!$J$5:$J$8,1,0))),"Key Artist",not(iserror(vlookup($F119,'Reference info'!$J$38:$J$405,1,0))),"Performer",not(iserror(vlookup($F119,'Reference info'!$J$10:$J$36,1,0))),"Producer &amp; Engineer")</f>
        <v/>
      </c>
    </row>
    <row r="120">
      <c r="B120" s="97"/>
      <c r="C120" s="121" t="str">
        <f t="array" ref="C120">ifs(and(isblank($A120),isblank($B120)),"", not(iserror(vlookup($A120&amp;$B120,'5) Release_Track'!$F:$F&amp;'5) Release_Track'!$G:$G,1,0))),vlookup($A120&amp;$B120,{'5) Release_Track'!$F:$F&amp;'5) Release_Track'!$G:$G,'5) Release_Track'!$H:$H},2,0),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D120" s="121" t="str">
        <f t="array" ref="D120">ifs(and(isblank($A120),isblank($B120)),"", not(iserror(vlookup($A120&amp;$B120,'5) Release_Track'!$F:$F&amp;'5) Release_Track'!$G:$G,1,0))),vlookup($A120&amp;$B120,{'5) Release_Track'!$F:$F&amp;'5) Release_Track'!$G:$G,'5) Release_Track'!$I:$I},2,0),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E120" s="92"/>
      <c r="F120" s="92"/>
      <c r="G120" s="125" t="str">
        <f t="array" ref="G120">ifs(or($F120="",$F120="Main Primary Artist"),$F120,not(iserror(vlookup($F120,'Reference info'!$J$5:$J$8,1,0))),"Key Artist",not(iserror(vlookup($F120,'Reference info'!$J$38:$J$405,1,0))),"Performer",not(iserror(vlookup($F120,'Reference info'!$J$10:$J$36,1,0))),"Producer &amp; Engineer")</f>
        <v/>
      </c>
    </row>
    <row r="121">
      <c r="B121" s="97"/>
      <c r="C121" s="121" t="str">
        <f t="array" ref="C121">ifs(and(isblank($A121),isblank($B121)),"", not(iserror(vlookup($A121&amp;$B121,'5) Release_Track'!$F:$F&amp;'5) Release_Track'!$G:$G,1,0))),vlookup($A121&amp;$B121,{'5) Release_Track'!$F:$F&amp;'5) Release_Track'!$G:$G,'5) Release_Track'!$H:$H},2,0),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D121" s="121" t="str">
        <f t="array" ref="D121">ifs(and(isblank($A121),isblank($B121)),"", not(iserror(vlookup($A121&amp;$B121,'5) Release_Track'!$F:$F&amp;'5) Release_Track'!$G:$G,1,0))),vlookup($A121&amp;$B121,{'5) Release_Track'!$F:$F&amp;'5) Release_Track'!$G:$G,'5) Release_Track'!$I:$I},2,0),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E121" s="92"/>
      <c r="F121" s="92"/>
      <c r="G121" s="125" t="str">
        <f t="array" ref="G121">ifs(or($F121="",$F121="Main Primary Artist"),$F121,not(iserror(vlookup($F121,'Reference info'!$J$5:$J$8,1,0))),"Key Artist",not(iserror(vlookup($F121,'Reference info'!$J$38:$J$405,1,0))),"Performer",not(iserror(vlookup($F121,'Reference info'!$J$10:$J$36,1,0))),"Producer &amp; Engineer")</f>
        <v/>
      </c>
    </row>
    <row r="122">
      <c r="B122" s="97"/>
      <c r="C122" s="121" t="str">
        <f t="array" ref="C122">ifs(and(isblank($A122),isblank($B122)),"", not(iserror(vlookup($A122&amp;$B122,'5) Release_Track'!$F:$F&amp;'5) Release_Track'!$G:$G,1,0))),vlookup($A122&amp;$B122,{'5) Release_Track'!$F:$F&amp;'5) Release_Track'!$G:$G,'5) Release_Track'!$H:$H},2,0),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D122" s="121" t="str">
        <f t="array" ref="D122">ifs(and(isblank($A122),isblank($B122)),"", not(iserror(vlookup($A122&amp;$B122,'5) Release_Track'!$F:$F&amp;'5) Release_Track'!$G:$G,1,0))),vlookup($A122&amp;$B122,{'5) Release_Track'!$F:$F&amp;'5) Release_Track'!$G:$G,'5) Release_Track'!$I:$I},2,0),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E122" s="92"/>
      <c r="F122" s="92"/>
      <c r="G122" s="125" t="str">
        <f t="array" ref="G122">ifs(or($F122="",$F122="Main Primary Artist"),$F122,not(iserror(vlookup($F122,'Reference info'!$J$5:$J$8,1,0))),"Key Artist",not(iserror(vlookup($F122,'Reference info'!$J$38:$J$405,1,0))),"Performer",not(iserror(vlookup($F122,'Reference info'!$J$10:$J$36,1,0))),"Producer &amp; Engineer")</f>
        <v/>
      </c>
    </row>
    <row r="123">
      <c r="B123" s="97"/>
      <c r="C123" s="121" t="str">
        <f t="array" ref="C123">ifs(and(isblank($A123),isblank($B123)),"", not(iserror(vlookup($A123&amp;$B123,'5) Release_Track'!$F:$F&amp;'5) Release_Track'!$G:$G,1,0))),vlookup($A123&amp;$B123,{'5) Release_Track'!$F:$F&amp;'5) Release_Track'!$G:$G,'5) Release_Track'!$H:$H},2,0),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D123" s="121" t="str">
        <f t="array" ref="D123">ifs(and(isblank($A123),isblank($B123)),"", not(iserror(vlookup($A123&amp;$B123,'5) Release_Track'!$F:$F&amp;'5) Release_Track'!$G:$G,1,0))),vlookup($A123&amp;$B123,{'5) Release_Track'!$F:$F&amp;'5) Release_Track'!$G:$G,'5) Release_Track'!$I:$I},2,0),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E123" s="92"/>
      <c r="F123" s="92"/>
      <c r="G123" s="125" t="str">
        <f t="array" ref="G123">ifs(or($F123="",$F123="Main Primary Artist"),$F123,not(iserror(vlookup($F123,'Reference info'!$J$5:$J$8,1,0))),"Key Artist",not(iserror(vlookup($F123,'Reference info'!$J$38:$J$405,1,0))),"Performer",not(iserror(vlookup($F123,'Reference info'!$J$10:$J$36,1,0))),"Producer &amp; Engineer")</f>
        <v/>
      </c>
    </row>
    <row r="124">
      <c r="B124" s="97"/>
      <c r="C124" s="121" t="str">
        <f t="array" ref="C124">ifs(and(isblank($A124),isblank($B124)),"", not(iserror(vlookup($A124&amp;$B124,'5) Release_Track'!$F:$F&amp;'5) Release_Track'!$G:$G,1,0))),vlookup($A124&amp;$B124,{'5) Release_Track'!$F:$F&amp;'5) Release_Track'!$G:$G,'5) Release_Track'!$H:$H},2,0),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D124" s="121" t="str">
        <f t="array" ref="D124">ifs(and(isblank($A124),isblank($B124)),"", not(iserror(vlookup($A124&amp;$B124,'5) Release_Track'!$F:$F&amp;'5) Release_Track'!$G:$G,1,0))),vlookup($A124&amp;$B124,{'5) Release_Track'!$F:$F&amp;'5) Release_Track'!$G:$G,'5) Release_Track'!$I:$I},2,0),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E124" s="92"/>
      <c r="F124" s="92"/>
      <c r="G124" s="125" t="str">
        <f t="array" ref="G124">ifs(or($F124="",$F124="Main Primary Artist"),$F124,not(iserror(vlookup($F124,'Reference info'!$J$5:$J$8,1,0))),"Key Artist",not(iserror(vlookup($F124,'Reference info'!$J$38:$J$405,1,0))),"Performer",not(iserror(vlookup($F124,'Reference info'!$J$10:$J$36,1,0))),"Producer &amp; Engineer")</f>
        <v/>
      </c>
    </row>
    <row r="125">
      <c r="B125" s="97"/>
      <c r="C125" s="121" t="str">
        <f t="array" ref="C125">ifs(and(isblank($A125),isblank($B125)),"", not(iserror(vlookup($A125&amp;$B125,'5) Release_Track'!$F:$F&amp;'5) Release_Track'!$G:$G,1,0))),vlookup($A125&amp;$B125,{'5) Release_Track'!$F:$F&amp;'5) Release_Track'!$G:$G,'5) Release_Track'!$H:$H},2,0),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D125" s="121" t="str">
        <f t="array" ref="D125">ifs(and(isblank($A125),isblank($B125)),"", not(iserror(vlookup($A125&amp;$B125,'5) Release_Track'!$F:$F&amp;'5) Release_Track'!$G:$G,1,0))),vlookup($A125&amp;$B125,{'5) Release_Track'!$F:$F&amp;'5) Release_Track'!$G:$G,'5) Release_Track'!$I:$I},2,0),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E125" s="92"/>
      <c r="F125" s="92"/>
      <c r="G125" s="125" t="str">
        <f t="array" ref="G125">ifs(or($F125="",$F125="Main Primary Artist"),$F125,not(iserror(vlookup($F125,'Reference info'!$J$5:$J$8,1,0))),"Key Artist",not(iserror(vlookup($F125,'Reference info'!$J$38:$J$405,1,0))),"Performer",not(iserror(vlookup($F125,'Reference info'!$J$10:$J$36,1,0))),"Producer &amp; Engineer")</f>
        <v/>
      </c>
    </row>
    <row r="126">
      <c r="B126" s="97"/>
      <c r="C126" s="121" t="str">
        <f t="array" ref="C126">ifs(and(isblank($A126),isblank($B126)),"", not(iserror(vlookup($A126&amp;$B126,'5) Release_Track'!$F:$F&amp;'5) Release_Track'!$G:$G,1,0))),vlookup($A126&amp;$B126,{'5) Release_Track'!$F:$F&amp;'5) Release_Track'!$G:$G,'5) Release_Track'!$H:$H},2,0),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D126" s="121" t="str">
        <f t="array" ref="D126">ifs(and(isblank($A126),isblank($B126)),"", not(iserror(vlookup($A126&amp;$B126,'5) Release_Track'!$F:$F&amp;'5) Release_Track'!$G:$G,1,0))),vlookup($A126&amp;$B126,{'5) Release_Track'!$F:$F&amp;'5) Release_Track'!$G:$G,'5) Release_Track'!$I:$I},2,0),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E126" s="92"/>
      <c r="F126" s="92"/>
      <c r="G126" s="125" t="str">
        <f t="array" ref="G126">ifs(or($F126="",$F126="Main Primary Artist"),$F126,not(iserror(vlookup($F126,'Reference info'!$J$5:$J$8,1,0))),"Key Artist",not(iserror(vlookup($F126,'Reference info'!$J$38:$J$405,1,0))),"Performer",not(iserror(vlookup($F126,'Reference info'!$J$10:$J$36,1,0))),"Producer &amp; Engineer")</f>
        <v/>
      </c>
    </row>
    <row r="127">
      <c r="B127" s="97"/>
      <c r="C127" s="121" t="str">
        <f t="array" ref="C127">ifs(and(isblank($A127),isblank($B127)),"", not(iserror(vlookup($A127&amp;$B127,'5) Release_Track'!$F:$F&amp;'5) Release_Track'!$G:$G,1,0))),vlookup($A127&amp;$B127,{'5) Release_Track'!$F:$F&amp;'5) Release_Track'!$G:$G,'5) Release_Track'!$H:$H},2,0),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D127" s="121" t="str">
        <f t="array" ref="D127">ifs(and(isblank($A127),isblank($B127)),"", not(iserror(vlookup($A127&amp;$B127,'5) Release_Track'!$F:$F&amp;'5) Release_Track'!$G:$G,1,0))),vlookup($A127&amp;$B127,{'5) Release_Track'!$F:$F&amp;'5) Release_Track'!$G:$G,'5) Release_Track'!$I:$I},2,0),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E127" s="92"/>
      <c r="F127" s="92"/>
      <c r="G127" s="125" t="str">
        <f t="array" ref="G127">ifs(or($F127="",$F127="Main Primary Artist"),$F127,not(iserror(vlookup($F127,'Reference info'!$J$5:$J$8,1,0))),"Key Artist",not(iserror(vlookup($F127,'Reference info'!$J$38:$J$405,1,0))),"Performer",not(iserror(vlookup($F127,'Reference info'!$J$10:$J$36,1,0))),"Producer &amp; Engineer")</f>
        <v/>
      </c>
    </row>
    <row r="128">
      <c r="B128" s="97"/>
      <c r="C128" s="121" t="str">
        <f t="array" ref="C128">ifs(and(isblank($A128),isblank($B128)),"", not(iserror(vlookup($A128&amp;$B128,'5) Release_Track'!$F:$F&amp;'5) Release_Track'!$G:$G,1,0))),vlookup($A128&amp;$B128,{'5) Release_Track'!$F:$F&amp;'5) Release_Track'!$G:$G,'5) Release_Track'!$H:$H},2,0),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D128" s="121" t="str">
        <f t="array" ref="D128">ifs(and(isblank($A128),isblank($B128)),"", not(iserror(vlookup($A128&amp;$B128,'5) Release_Track'!$F:$F&amp;'5) Release_Track'!$G:$G,1,0))),vlookup($A128&amp;$B128,{'5) Release_Track'!$F:$F&amp;'5) Release_Track'!$G:$G,'5) Release_Track'!$I:$I},2,0),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E128" s="92"/>
      <c r="F128" s="92"/>
      <c r="G128" s="125" t="str">
        <f t="array" ref="G128">ifs(or($F128="",$F128="Main Primary Artist"),$F128,not(iserror(vlookup($F128,'Reference info'!$J$5:$J$8,1,0))),"Key Artist",not(iserror(vlookup($F128,'Reference info'!$J$38:$J$405,1,0))),"Performer",not(iserror(vlookup($F128,'Reference info'!$J$10:$J$36,1,0))),"Producer &amp; Engineer")</f>
        <v/>
      </c>
    </row>
    <row r="129">
      <c r="B129" s="97"/>
      <c r="C129" s="121" t="str">
        <f t="array" ref="C129">ifs(and(isblank($A129),isblank($B129)),"", not(iserror(vlookup($A129&amp;$B129,'5) Release_Track'!$F:$F&amp;'5) Release_Track'!$G:$G,1,0))),vlookup($A129&amp;$B129,{'5) Release_Track'!$F:$F&amp;'5) Release_Track'!$G:$G,'5) Release_Track'!$H:$H},2,0),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D129" s="121" t="str">
        <f t="array" ref="D129">ifs(and(isblank($A129),isblank($B129)),"", not(iserror(vlookup($A129&amp;$B129,'5) Release_Track'!$F:$F&amp;'5) Release_Track'!$G:$G,1,0))),vlookup($A129&amp;$B129,{'5) Release_Track'!$F:$F&amp;'5) Release_Track'!$G:$G,'5) Release_Track'!$I:$I},2,0),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E129" s="92"/>
      <c r="F129" s="92"/>
      <c r="G129" s="125" t="str">
        <f t="array" ref="G129">ifs(or($F129="",$F129="Main Primary Artist"),$F129,not(iserror(vlookup($F129,'Reference info'!$J$5:$J$8,1,0))),"Key Artist",not(iserror(vlookup($F129,'Reference info'!$J$38:$J$405,1,0))),"Performer",not(iserror(vlookup($F129,'Reference info'!$J$10:$J$36,1,0))),"Producer &amp; Engineer")</f>
        <v/>
      </c>
    </row>
    <row r="130">
      <c r="B130" s="97"/>
      <c r="C130" s="121" t="str">
        <f t="array" ref="C130">ifs(and(isblank($A130),isblank($B130)),"", not(iserror(vlookup($A130&amp;$B130,'5) Release_Track'!$F:$F&amp;'5) Release_Track'!$G:$G,1,0))),vlookup($A130&amp;$B130,{'5) Release_Track'!$F:$F&amp;'5) Release_Track'!$G:$G,'5) Release_Track'!$H:$H},2,0),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D130" s="121" t="str">
        <f t="array" ref="D130">ifs(and(isblank($A130),isblank($B130)),"", not(iserror(vlookup($A130&amp;$B130,'5) Release_Track'!$F:$F&amp;'5) Release_Track'!$G:$G,1,0))),vlookup($A130&amp;$B130,{'5) Release_Track'!$F:$F&amp;'5) Release_Track'!$G:$G,'5) Release_Track'!$I:$I},2,0),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E130" s="92"/>
      <c r="F130" s="92"/>
      <c r="G130" s="125" t="str">
        <f t="array" ref="G130">ifs(or($F130="",$F130="Main Primary Artist"),$F130,not(iserror(vlookup($F130,'Reference info'!$J$5:$J$8,1,0))),"Key Artist",not(iserror(vlookup($F130,'Reference info'!$J$38:$J$405,1,0))),"Performer",not(iserror(vlookup($F130,'Reference info'!$J$10:$J$36,1,0))),"Producer &amp; Engineer")</f>
        <v/>
      </c>
    </row>
    <row r="131">
      <c r="B131" s="97"/>
      <c r="C131" s="121" t="str">
        <f t="array" ref="C131">ifs(and(isblank($A131),isblank($B131)),"", not(iserror(vlookup($A131&amp;$B131,'5) Release_Track'!$F:$F&amp;'5) Release_Track'!$G:$G,1,0))),vlookup($A131&amp;$B131,{'5) Release_Track'!$F:$F&amp;'5) Release_Track'!$G:$G,'5) Release_Track'!$H:$H},2,0),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D131" s="121" t="str">
        <f t="array" ref="D131">ifs(and(isblank($A131),isblank($B131)),"", not(iserror(vlookup($A131&amp;$B131,'5) Release_Track'!$F:$F&amp;'5) Release_Track'!$G:$G,1,0))),vlookup($A131&amp;$B131,{'5) Release_Track'!$F:$F&amp;'5) Release_Track'!$G:$G,'5) Release_Track'!$I:$I},2,0),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E131" s="92"/>
      <c r="F131" s="92"/>
      <c r="G131" s="125" t="str">
        <f t="array" ref="G131">ifs(or($F131="",$F131="Main Primary Artist"),$F131,not(iserror(vlookup($F131,'Reference info'!$J$5:$J$8,1,0))),"Key Artist",not(iserror(vlookup($F131,'Reference info'!$J$38:$J$405,1,0))),"Performer",not(iserror(vlookup($F131,'Reference info'!$J$10:$J$36,1,0))),"Producer &amp; Engineer")</f>
        <v/>
      </c>
    </row>
    <row r="132">
      <c r="B132" s="97"/>
      <c r="C132" s="121" t="str">
        <f t="array" ref="C132">ifs(and(isblank($A132),isblank($B132)),"", not(iserror(vlookup($A132&amp;$B132,'5) Release_Track'!$F:$F&amp;'5) Release_Track'!$G:$G,1,0))),vlookup($A132&amp;$B132,{'5) Release_Track'!$F:$F&amp;'5) Release_Track'!$G:$G,'5) Release_Track'!$H:$H},2,0),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D132" s="121" t="str">
        <f t="array" ref="D132">ifs(and(isblank($A132),isblank($B132)),"", not(iserror(vlookup($A132&amp;$B132,'5) Release_Track'!$F:$F&amp;'5) Release_Track'!$G:$G,1,0))),vlookup($A132&amp;$B132,{'5) Release_Track'!$F:$F&amp;'5) Release_Track'!$G:$G,'5) Release_Track'!$I:$I},2,0),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E132" s="92"/>
      <c r="F132" s="92"/>
      <c r="G132" s="125" t="str">
        <f t="array" ref="G132">ifs(or($F132="",$F132="Main Primary Artist"),$F132,not(iserror(vlookup($F132,'Reference info'!$J$5:$J$8,1,0))),"Key Artist",not(iserror(vlookup($F132,'Reference info'!$J$38:$J$405,1,0))),"Performer",not(iserror(vlookup($F132,'Reference info'!$J$10:$J$36,1,0))),"Producer &amp; Engineer")</f>
        <v/>
      </c>
    </row>
    <row r="133">
      <c r="B133" s="97"/>
      <c r="C133" s="121" t="str">
        <f t="array" ref="C133">ifs(and(isblank($A133),isblank($B133)),"", not(iserror(vlookup($A133&amp;$B133,'5) Release_Track'!$F:$F&amp;'5) Release_Track'!$G:$G,1,0))),vlookup($A133&amp;$B133,{'5) Release_Track'!$F:$F&amp;'5) Release_Track'!$G:$G,'5) Release_Track'!$H:$H},2,0),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D133" s="121" t="str">
        <f t="array" ref="D133">ifs(and(isblank($A133),isblank($B133)),"", not(iserror(vlookup($A133&amp;$B133,'5) Release_Track'!$F:$F&amp;'5) Release_Track'!$G:$G,1,0))),vlookup($A133&amp;$B133,{'5) Release_Track'!$F:$F&amp;'5) Release_Track'!$G:$G,'5) Release_Track'!$I:$I},2,0),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E133" s="92"/>
      <c r="F133" s="92"/>
      <c r="G133" s="125" t="str">
        <f t="array" ref="G133">ifs(or($F133="",$F133="Main Primary Artist"),$F133,not(iserror(vlookup($F133,'Reference info'!$J$5:$J$8,1,0))),"Key Artist",not(iserror(vlookup($F133,'Reference info'!$J$38:$J$405,1,0))),"Performer",not(iserror(vlookup($F133,'Reference info'!$J$10:$J$36,1,0))),"Producer &amp; Engineer")</f>
        <v/>
      </c>
    </row>
    <row r="134">
      <c r="B134" s="97"/>
      <c r="C134" s="121" t="str">
        <f t="array" ref="C134">ifs(and(isblank($A134),isblank($B134)),"", not(iserror(vlookup($A134&amp;$B134,'5) Release_Track'!$F:$F&amp;'5) Release_Track'!$G:$G,1,0))),vlookup($A134&amp;$B134,{'5) Release_Track'!$F:$F&amp;'5) Release_Track'!$G:$G,'5) Release_Track'!$H:$H},2,0),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D134" s="121" t="str">
        <f t="array" ref="D134">ifs(and(isblank($A134),isblank($B134)),"", not(iserror(vlookup($A134&amp;$B134,'5) Release_Track'!$F:$F&amp;'5) Release_Track'!$G:$G,1,0))),vlookup($A134&amp;$B134,{'5) Release_Track'!$F:$F&amp;'5) Release_Track'!$G:$G,'5) Release_Track'!$I:$I},2,0),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E134" s="92"/>
      <c r="F134" s="92"/>
      <c r="G134" s="125" t="str">
        <f t="array" ref="G134">ifs(or($F134="",$F134="Main Primary Artist"),$F134,not(iserror(vlookup($F134,'Reference info'!$J$5:$J$8,1,0))),"Key Artist",not(iserror(vlookup($F134,'Reference info'!$J$38:$J$405,1,0))),"Performer",not(iserror(vlookup($F134,'Reference info'!$J$10:$J$36,1,0))),"Producer &amp; Engineer")</f>
        <v/>
      </c>
    </row>
    <row r="135">
      <c r="B135" s="97"/>
      <c r="C135" s="121" t="str">
        <f t="array" ref="C135">ifs(and(isblank($A135),isblank($B135)),"", not(iserror(vlookup($A135&amp;$B135,'5) Release_Track'!$F:$F&amp;'5) Release_Track'!$G:$G,1,0))),vlookup($A135&amp;$B135,{'5) Release_Track'!$F:$F&amp;'5) Release_Track'!$G:$G,'5) Release_Track'!$H:$H},2,0),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D135" s="121" t="str">
        <f t="array" ref="D135">ifs(and(isblank($A135),isblank($B135)),"", not(iserror(vlookup($A135&amp;$B135,'5) Release_Track'!$F:$F&amp;'5) Release_Track'!$G:$G,1,0))),vlookup($A135&amp;$B135,{'5) Release_Track'!$F:$F&amp;'5) Release_Track'!$G:$G,'5) Release_Track'!$I:$I},2,0),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E135" s="92"/>
      <c r="F135" s="92"/>
      <c r="G135" s="125" t="str">
        <f t="array" ref="G135">ifs(or($F135="",$F135="Main Primary Artist"),$F135,not(iserror(vlookup($F135,'Reference info'!$J$5:$J$8,1,0))),"Key Artist",not(iserror(vlookup($F135,'Reference info'!$J$38:$J$405,1,0))),"Performer",not(iserror(vlookup($F135,'Reference info'!$J$10:$J$36,1,0))),"Producer &amp; Engineer")</f>
        <v/>
      </c>
    </row>
    <row r="136">
      <c r="B136" s="97"/>
      <c r="C136" s="121" t="str">
        <f t="array" ref="C136">ifs(and(isblank($A136),isblank($B136)),"", not(iserror(vlookup($A136&amp;$B136,'5) Release_Track'!$F:$F&amp;'5) Release_Track'!$G:$G,1,0))),vlookup($A136&amp;$B136,{'5) Release_Track'!$F:$F&amp;'5) Release_Track'!$G:$G,'5) Release_Track'!$H:$H},2,0),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D136" s="121" t="str">
        <f t="array" ref="D136">ifs(and(isblank($A136),isblank($B136)),"", not(iserror(vlookup($A136&amp;$B136,'5) Release_Track'!$F:$F&amp;'5) Release_Track'!$G:$G,1,0))),vlookup($A136&amp;$B136,{'5) Release_Track'!$F:$F&amp;'5) Release_Track'!$G:$G,'5) Release_Track'!$I:$I},2,0),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E136" s="92"/>
      <c r="F136" s="92"/>
      <c r="G136" s="125" t="str">
        <f t="array" ref="G136">ifs(or($F136="",$F136="Main Primary Artist"),$F136,not(iserror(vlookup($F136,'Reference info'!$J$5:$J$8,1,0))),"Key Artist",not(iserror(vlookup($F136,'Reference info'!$J$38:$J$405,1,0))),"Performer",not(iserror(vlookup($F136,'Reference info'!$J$10:$J$36,1,0))),"Producer &amp; Engineer")</f>
        <v/>
      </c>
    </row>
    <row r="137">
      <c r="B137" s="97"/>
      <c r="C137" s="121" t="str">
        <f t="array" ref="C137">ifs(and(isblank($A137),isblank($B137)),"", not(iserror(vlookup($A137&amp;$B137,'5) Release_Track'!$F:$F&amp;'5) Release_Track'!$G:$G,1,0))),vlookup($A137&amp;$B137,{'5) Release_Track'!$F:$F&amp;'5) Release_Track'!$G:$G,'5) Release_Track'!$H:$H},2,0),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D137" s="121" t="str">
        <f t="array" ref="D137">ifs(and(isblank($A137),isblank($B137)),"", not(iserror(vlookup($A137&amp;$B137,'5) Release_Track'!$F:$F&amp;'5) Release_Track'!$G:$G,1,0))),vlookup($A137&amp;$B137,{'5) Release_Track'!$F:$F&amp;'5) Release_Track'!$G:$G,'5) Release_Track'!$I:$I},2,0),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E137" s="92"/>
      <c r="F137" s="92"/>
      <c r="G137" s="125" t="str">
        <f t="array" ref="G137">ifs(or($F137="",$F137="Main Primary Artist"),$F137,not(iserror(vlookup($F137,'Reference info'!$J$5:$J$8,1,0))),"Key Artist",not(iserror(vlookup($F137,'Reference info'!$J$38:$J$405,1,0))),"Performer",not(iserror(vlookup($F137,'Reference info'!$J$10:$J$36,1,0))),"Producer &amp; Engineer")</f>
        <v/>
      </c>
    </row>
    <row r="138">
      <c r="B138" s="97"/>
      <c r="C138" s="121" t="str">
        <f t="array" ref="C138">ifs(and(isblank($A138),isblank($B138)),"", not(iserror(vlookup($A138&amp;$B138,'5) Release_Track'!$F:$F&amp;'5) Release_Track'!$G:$G,1,0))),vlookup($A138&amp;$B138,{'5) Release_Track'!$F:$F&amp;'5) Release_Track'!$G:$G,'5) Release_Track'!$H:$H},2,0),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D138" s="121" t="str">
        <f t="array" ref="D138">ifs(and(isblank($A138),isblank($B138)),"", not(iserror(vlookup($A138&amp;$B138,'5) Release_Track'!$F:$F&amp;'5) Release_Track'!$G:$G,1,0))),vlookup($A138&amp;$B138,{'5) Release_Track'!$F:$F&amp;'5) Release_Track'!$G:$G,'5) Release_Track'!$I:$I},2,0),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E138" s="92"/>
      <c r="F138" s="92"/>
      <c r="G138" s="125" t="str">
        <f t="array" ref="G138">ifs(or($F138="",$F138="Main Primary Artist"),$F138,not(iserror(vlookup($F138,'Reference info'!$J$5:$J$8,1,0))),"Key Artist",not(iserror(vlookup($F138,'Reference info'!$J$38:$J$405,1,0))),"Performer",not(iserror(vlookup($F138,'Reference info'!$J$10:$J$36,1,0))),"Producer &amp; Engineer")</f>
        <v/>
      </c>
    </row>
    <row r="139">
      <c r="B139" s="97"/>
      <c r="C139" s="121" t="str">
        <f t="array" ref="C139">ifs(and(isblank($A139),isblank($B139)),"", not(iserror(vlookup($A139&amp;$B139,'5) Release_Track'!$F:$F&amp;'5) Release_Track'!$G:$G,1,0))),vlookup($A139&amp;$B139,{'5) Release_Track'!$F:$F&amp;'5) Release_Track'!$G:$G,'5) Release_Track'!$H:$H},2,0),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D139" s="121" t="str">
        <f t="array" ref="D139">ifs(and(isblank($A139),isblank($B139)),"", not(iserror(vlookup($A139&amp;$B139,'5) Release_Track'!$F:$F&amp;'5) Release_Track'!$G:$G,1,0))),vlookup($A139&amp;$B139,{'5) Release_Track'!$F:$F&amp;'5) Release_Track'!$G:$G,'5) Release_Track'!$I:$I},2,0),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E139" s="92"/>
      <c r="F139" s="92"/>
      <c r="G139" s="125" t="str">
        <f t="array" ref="G139">ifs(or($F139="",$F139="Main Primary Artist"),$F139,not(iserror(vlookup($F139,'Reference info'!$J$5:$J$8,1,0))),"Key Artist",not(iserror(vlookup($F139,'Reference info'!$J$38:$J$405,1,0))),"Performer",not(iserror(vlookup($F139,'Reference info'!$J$10:$J$36,1,0))),"Producer &amp; Engineer")</f>
        <v/>
      </c>
    </row>
    <row r="140">
      <c r="B140" s="97"/>
      <c r="C140" s="121" t="str">
        <f t="array" ref="C140">ifs(and(isblank($A140),isblank($B140)),"", not(iserror(vlookup($A140&amp;$B140,'5) Release_Track'!$F:$F&amp;'5) Release_Track'!$G:$G,1,0))),vlookup($A140&amp;$B140,{'5) Release_Track'!$F:$F&amp;'5) Release_Track'!$G:$G,'5) Release_Track'!$H:$H},2,0),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D140" s="121" t="str">
        <f t="array" ref="D140">ifs(and(isblank($A140),isblank($B140)),"", not(iserror(vlookup($A140&amp;$B140,'5) Release_Track'!$F:$F&amp;'5) Release_Track'!$G:$G,1,0))),vlookup($A140&amp;$B140,{'5) Release_Track'!$F:$F&amp;'5) Release_Track'!$G:$G,'5) Release_Track'!$I:$I},2,0),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E140" s="92"/>
      <c r="F140" s="92"/>
      <c r="G140" s="125" t="str">
        <f t="array" ref="G140">ifs(or($F140="",$F140="Main Primary Artist"),$F140,not(iserror(vlookup($F140,'Reference info'!$J$5:$J$8,1,0))),"Key Artist",not(iserror(vlookup($F140,'Reference info'!$J$38:$J$405,1,0))),"Performer",not(iserror(vlookup($F140,'Reference info'!$J$10:$J$36,1,0))),"Producer &amp; Engineer")</f>
        <v/>
      </c>
    </row>
    <row r="141">
      <c r="B141" s="97"/>
      <c r="C141" s="121" t="str">
        <f t="array" ref="C141">ifs(and(isblank($A141),isblank($B141)),"", not(iserror(vlookup($A141&amp;$B141,'5) Release_Track'!$F:$F&amp;'5) Release_Track'!$G:$G,1,0))),vlookup($A141&amp;$B141,{'5) Release_Track'!$F:$F&amp;'5) Release_Track'!$G:$G,'5) Release_Track'!$H:$H},2,0),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D141" s="121" t="str">
        <f t="array" ref="D141">ifs(and(isblank($A141),isblank($B141)),"", not(iserror(vlookup($A141&amp;$B141,'5) Release_Track'!$F:$F&amp;'5) Release_Track'!$G:$G,1,0))),vlookup($A141&amp;$B141,{'5) Release_Track'!$F:$F&amp;'5) Release_Track'!$G:$G,'5) Release_Track'!$I:$I},2,0),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E141" s="92"/>
      <c r="F141" s="92"/>
      <c r="G141" s="125" t="str">
        <f t="array" ref="G141">ifs(or($F141="",$F141="Main Primary Artist"),$F141,not(iserror(vlookup($F141,'Reference info'!$J$5:$J$8,1,0))),"Key Artist",not(iserror(vlookup($F141,'Reference info'!$J$38:$J$405,1,0))),"Performer",not(iserror(vlookup($F141,'Reference info'!$J$10:$J$36,1,0))),"Producer &amp; Engineer")</f>
        <v/>
      </c>
    </row>
    <row r="142">
      <c r="B142" s="97"/>
      <c r="C142" s="121" t="str">
        <f t="array" ref="C142">ifs(and(isblank($A142),isblank($B142)),"", not(iserror(vlookup($A142&amp;$B142,'5) Release_Track'!$F:$F&amp;'5) Release_Track'!$G:$G,1,0))),vlookup($A142&amp;$B142,{'5) Release_Track'!$F:$F&amp;'5) Release_Track'!$G:$G,'5) Release_Track'!$H:$H},2,0),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D142" s="121" t="str">
        <f t="array" ref="D142">ifs(and(isblank($A142),isblank($B142)),"", not(iserror(vlookup($A142&amp;$B142,'5) Release_Track'!$F:$F&amp;'5) Release_Track'!$G:$G,1,0))),vlookup($A142&amp;$B142,{'5) Release_Track'!$F:$F&amp;'5) Release_Track'!$G:$G,'5) Release_Track'!$I:$I},2,0),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E142" s="92"/>
      <c r="F142" s="92"/>
      <c r="G142" s="125" t="str">
        <f t="array" ref="G142">ifs(or($F142="",$F142="Main Primary Artist"),$F142,not(iserror(vlookup($F142,'Reference info'!$J$5:$J$8,1,0))),"Key Artist",not(iserror(vlookup($F142,'Reference info'!$J$38:$J$405,1,0))),"Performer",not(iserror(vlookup($F142,'Reference info'!$J$10:$J$36,1,0))),"Producer &amp; Engineer")</f>
        <v/>
      </c>
    </row>
    <row r="143">
      <c r="B143" s="97"/>
      <c r="C143" s="121" t="str">
        <f t="array" ref="C143">ifs(and(isblank($A143),isblank($B143)),"", not(iserror(vlookup($A143&amp;$B143,'5) Release_Track'!$F:$F&amp;'5) Release_Track'!$G:$G,1,0))),vlookup($A143&amp;$B143,{'5) Release_Track'!$F:$F&amp;'5) Release_Track'!$G:$G,'5) Release_Track'!$H:$H},2,0),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D143" s="121" t="str">
        <f t="array" ref="D143">ifs(and(isblank($A143),isblank($B143)),"", not(iserror(vlookup($A143&amp;$B143,'5) Release_Track'!$F:$F&amp;'5) Release_Track'!$G:$G,1,0))),vlookup($A143&amp;$B143,{'5) Release_Track'!$F:$F&amp;'5) Release_Track'!$G:$G,'5) Release_Track'!$I:$I},2,0),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E143" s="92"/>
      <c r="F143" s="92"/>
      <c r="G143" s="125" t="str">
        <f t="array" ref="G143">ifs(or($F143="",$F143="Main Primary Artist"),$F143,not(iserror(vlookup($F143,'Reference info'!$J$5:$J$8,1,0))),"Key Artist",not(iserror(vlookup($F143,'Reference info'!$J$38:$J$405,1,0))),"Performer",not(iserror(vlookup($F143,'Reference info'!$J$10:$J$36,1,0))),"Producer &amp; Engineer")</f>
        <v/>
      </c>
    </row>
    <row r="144">
      <c r="B144" s="97"/>
      <c r="C144" s="121" t="str">
        <f t="array" ref="C144">ifs(and(isblank($A144),isblank($B144)),"", not(iserror(vlookup($A144&amp;$B144,'5) Release_Track'!$F:$F&amp;'5) Release_Track'!$G:$G,1,0))),vlookup($A144&amp;$B144,{'5) Release_Track'!$F:$F&amp;'5) Release_Track'!$G:$G,'5) Release_Track'!$H:$H},2,0),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D144" s="121" t="str">
        <f t="array" ref="D144">ifs(and(isblank($A144),isblank($B144)),"", not(iserror(vlookup($A144&amp;$B144,'5) Release_Track'!$F:$F&amp;'5) Release_Track'!$G:$G,1,0))),vlookup($A144&amp;$B144,{'5) Release_Track'!$F:$F&amp;'5) Release_Track'!$G:$G,'5) Release_Track'!$I:$I},2,0),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E144" s="92"/>
      <c r="F144" s="92"/>
      <c r="G144" s="125" t="str">
        <f t="array" ref="G144">ifs(or($F144="",$F144="Main Primary Artist"),$F144,not(iserror(vlookup($F144,'Reference info'!$J$5:$J$8,1,0))),"Key Artist",not(iserror(vlookup($F144,'Reference info'!$J$38:$J$405,1,0))),"Performer",not(iserror(vlookup($F144,'Reference info'!$J$10:$J$36,1,0))),"Producer &amp; Engineer")</f>
        <v/>
      </c>
    </row>
    <row r="145">
      <c r="B145" s="97"/>
      <c r="C145" s="121" t="str">
        <f t="array" ref="C145">ifs(and(isblank($A145),isblank($B145)),"", not(iserror(vlookup($A145&amp;$B145,'5) Release_Track'!$F:$F&amp;'5) Release_Track'!$G:$G,1,0))),vlookup($A145&amp;$B145,{'5) Release_Track'!$F:$F&amp;'5) Release_Track'!$G:$G,'5) Release_Track'!$H:$H},2,0),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D145" s="121" t="str">
        <f t="array" ref="D145">ifs(and(isblank($A145),isblank($B145)),"", not(iserror(vlookup($A145&amp;$B145,'5) Release_Track'!$F:$F&amp;'5) Release_Track'!$G:$G,1,0))),vlookup($A145&amp;$B145,{'5) Release_Track'!$F:$F&amp;'5) Release_Track'!$G:$G,'5) Release_Track'!$I:$I},2,0),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E145" s="92"/>
      <c r="F145" s="92"/>
      <c r="G145" s="125" t="str">
        <f t="array" ref="G145">ifs(or($F145="",$F145="Main Primary Artist"),$F145,not(iserror(vlookup($F145,'Reference info'!$J$5:$J$8,1,0))),"Key Artist",not(iserror(vlookup($F145,'Reference info'!$J$38:$J$405,1,0))),"Performer",not(iserror(vlookup($F145,'Reference info'!$J$10:$J$36,1,0))),"Producer &amp; Engineer")</f>
        <v/>
      </c>
    </row>
    <row r="146">
      <c r="B146" s="97"/>
      <c r="C146" s="121" t="str">
        <f t="array" ref="C146">ifs(and(isblank($A146),isblank($B146)),"", not(iserror(vlookup($A146&amp;$B146,'5) Release_Track'!$F:$F&amp;'5) Release_Track'!$G:$G,1,0))),vlookup($A146&amp;$B146,{'5) Release_Track'!$F:$F&amp;'5) Release_Track'!$G:$G,'5) Release_Track'!$H:$H},2,0),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D146" s="121" t="str">
        <f t="array" ref="D146">ifs(and(isblank($A146),isblank($B146)),"", not(iserror(vlookup($A146&amp;$B146,'5) Release_Track'!$F:$F&amp;'5) Release_Track'!$G:$G,1,0))),vlookup($A146&amp;$B146,{'5) Release_Track'!$F:$F&amp;'5) Release_Track'!$G:$G,'5) Release_Track'!$I:$I},2,0),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E146" s="92"/>
      <c r="F146" s="92"/>
      <c r="G146" s="125" t="str">
        <f t="array" ref="G146">ifs(or($F146="",$F146="Main Primary Artist"),$F146,not(iserror(vlookup($F146,'Reference info'!$J$5:$J$8,1,0))),"Key Artist",not(iserror(vlookup($F146,'Reference info'!$J$38:$J$405,1,0))),"Performer",not(iserror(vlookup($F146,'Reference info'!$J$10:$J$36,1,0))),"Producer &amp; Engineer")</f>
        <v/>
      </c>
    </row>
    <row r="147">
      <c r="B147" s="97"/>
      <c r="C147" s="121" t="str">
        <f t="array" ref="C147">ifs(and(isblank($A147),isblank($B147)),"", not(iserror(vlookup($A147&amp;$B147,'5) Release_Track'!$F:$F&amp;'5) Release_Track'!$G:$G,1,0))),vlookup($A147&amp;$B147,{'5) Release_Track'!$F:$F&amp;'5) Release_Track'!$G:$G,'5) Release_Track'!$H:$H},2,0),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D147" s="121" t="str">
        <f t="array" ref="D147">ifs(and(isblank($A147),isblank($B147)),"", not(iserror(vlookup($A147&amp;$B147,'5) Release_Track'!$F:$F&amp;'5) Release_Track'!$G:$G,1,0))),vlookup($A147&amp;$B147,{'5) Release_Track'!$F:$F&amp;'5) Release_Track'!$G:$G,'5) Release_Track'!$I:$I},2,0),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E147" s="92"/>
      <c r="F147" s="92"/>
      <c r="G147" s="125" t="str">
        <f t="array" ref="G147">ifs(or($F147="",$F147="Main Primary Artist"),$F147,not(iserror(vlookup($F147,'Reference info'!$J$5:$J$8,1,0))),"Key Artist",not(iserror(vlookup($F147,'Reference info'!$J$38:$J$405,1,0))),"Performer",not(iserror(vlookup($F147,'Reference info'!$J$10:$J$36,1,0))),"Producer &amp; Engineer")</f>
        <v/>
      </c>
    </row>
    <row r="148">
      <c r="B148" s="97"/>
      <c r="C148" s="121" t="str">
        <f t="array" ref="C148">ifs(and(isblank($A148),isblank($B148)),"", not(iserror(vlookup($A148&amp;$B148,'5) Release_Track'!$F:$F&amp;'5) Release_Track'!$G:$G,1,0))),vlookup($A148&amp;$B148,{'5) Release_Track'!$F:$F&amp;'5) Release_Track'!$G:$G,'5) Release_Track'!$H:$H},2,0),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D148" s="121" t="str">
        <f t="array" ref="D148">ifs(and(isblank($A148),isblank($B148)),"", not(iserror(vlookup($A148&amp;$B148,'5) Release_Track'!$F:$F&amp;'5) Release_Track'!$G:$G,1,0))),vlookup($A148&amp;$B148,{'5) Release_Track'!$F:$F&amp;'5) Release_Track'!$G:$G,'5) Release_Track'!$I:$I},2,0),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E148" s="92"/>
      <c r="F148" s="92"/>
      <c r="G148" s="125" t="str">
        <f t="array" ref="G148">ifs(or($F148="",$F148="Main Primary Artist"),$F148,not(iserror(vlookup($F148,'Reference info'!$J$5:$J$8,1,0))),"Key Artist",not(iserror(vlookup($F148,'Reference info'!$J$38:$J$405,1,0))),"Performer",not(iserror(vlookup($F148,'Reference info'!$J$10:$J$36,1,0))),"Producer &amp; Engineer")</f>
        <v/>
      </c>
    </row>
    <row r="149">
      <c r="B149" s="97"/>
      <c r="C149" s="121" t="str">
        <f t="array" ref="C149">ifs(and(isblank($A149),isblank($B149)),"", not(iserror(vlookup($A149&amp;$B149,'5) Release_Track'!$F:$F&amp;'5) Release_Track'!$G:$G,1,0))),vlookup($A149&amp;$B149,{'5) Release_Track'!$F:$F&amp;'5) Release_Track'!$G:$G,'5) Release_Track'!$H:$H},2,0),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D149" s="121" t="str">
        <f t="array" ref="D149">ifs(and(isblank($A149),isblank($B149)),"", not(iserror(vlookup($A149&amp;$B149,'5) Release_Track'!$F:$F&amp;'5) Release_Track'!$G:$G,1,0))),vlookup($A149&amp;$B149,{'5) Release_Track'!$F:$F&amp;'5) Release_Track'!$G:$G,'5) Release_Track'!$I:$I},2,0),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E149" s="92"/>
      <c r="F149" s="92"/>
      <c r="G149" s="125" t="str">
        <f t="array" ref="G149">ifs(or($F149="",$F149="Main Primary Artist"),$F149,not(iserror(vlookup($F149,'Reference info'!$J$5:$J$8,1,0))),"Key Artist",not(iserror(vlookup($F149,'Reference info'!$J$38:$J$405,1,0))),"Performer",not(iserror(vlookup($F149,'Reference info'!$J$10:$J$36,1,0))),"Producer &amp; Engineer")</f>
        <v/>
      </c>
    </row>
    <row r="150">
      <c r="B150" s="97"/>
      <c r="C150" s="121" t="str">
        <f t="array" ref="C150">ifs(and(isblank($A150),isblank($B150)),"", not(iserror(vlookup($A150&amp;$B150,'5) Release_Track'!$F:$F&amp;'5) Release_Track'!$G:$G,1,0))),vlookup($A150&amp;$B150,{'5) Release_Track'!$F:$F&amp;'5) Release_Track'!$G:$G,'5) Release_Track'!$H:$H},2,0),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D150" s="121" t="str">
        <f t="array" ref="D150">ifs(and(isblank($A150),isblank($B150)),"", not(iserror(vlookup($A150&amp;$B150,'5) Release_Track'!$F:$F&amp;'5) Release_Track'!$G:$G,1,0))),vlookup($A150&amp;$B150,{'5) Release_Track'!$F:$F&amp;'5) Release_Track'!$G:$G,'5) Release_Track'!$I:$I},2,0),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E150" s="92"/>
      <c r="F150" s="92"/>
      <c r="G150" s="125" t="str">
        <f t="array" ref="G150">ifs(or($F150="",$F150="Main Primary Artist"),$F150,not(iserror(vlookup($F150,'Reference info'!$J$5:$J$8,1,0))),"Key Artist",not(iserror(vlookup($F150,'Reference info'!$J$38:$J$405,1,0))),"Performer",not(iserror(vlookup($F150,'Reference info'!$J$10:$J$36,1,0))),"Producer &amp; Engineer")</f>
        <v/>
      </c>
    </row>
    <row r="151">
      <c r="B151" s="97"/>
      <c r="C151" s="121" t="str">
        <f t="array" ref="C151">ifs(and(isblank($A151),isblank($B151)),"", not(iserror(vlookup($A151&amp;$B151,'5) Release_Track'!$F:$F&amp;'5) Release_Track'!$G:$G,1,0))),vlookup($A151&amp;$B151,{'5) Release_Track'!$F:$F&amp;'5) Release_Track'!$G:$G,'5) Release_Track'!$H:$H},2,0),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D151" s="121" t="str">
        <f t="array" ref="D151">ifs(and(isblank($A151),isblank($B151)),"", not(iserror(vlookup($A151&amp;$B151,'5) Release_Track'!$F:$F&amp;'5) Release_Track'!$G:$G,1,0))),vlookup($A151&amp;$B151,{'5) Release_Track'!$F:$F&amp;'5) Release_Track'!$G:$G,'5) Release_Track'!$I:$I},2,0),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E151" s="92"/>
      <c r="F151" s="92"/>
      <c r="G151" s="125" t="str">
        <f t="array" ref="G151">ifs(or($F151="",$F151="Main Primary Artist"),$F151,not(iserror(vlookup($F151,'Reference info'!$J$5:$J$8,1,0))),"Key Artist",not(iserror(vlookup($F151,'Reference info'!$J$38:$J$405,1,0))),"Performer",not(iserror(vlookup($F151,'Reference info'!$J$10:$J$36,1,0))),"Producer &amp; Engineer")</f>
        <v/>
      </c>
    </row>
    <row r="152">
      <c r="B152" s="97"/>
      <c r="C152" s="121" t="str">
        <f t="array" ref="C152">ifs(and(isblank($A152),isblank($B152)),"", not(iserror(vlookup($A152&amp;$B152,'5) Release_Track'!$F:$F&amp;'5) Release_Track'!$G:$G,1,0))),vlookup($A152&amp;$B152,{'5) Release_Track'!$F:$F&amp;'5) Release_Track'!$G:$G,'5) Release_Track'!$H:$H},2,0),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D152" s="121" t="str">
        <f t="array" ref="D152">ifs(and(isblank($A152),isblank($B152)),"", not(iserror(vlookup($A152&amp;$B152,'5) Release_Track'!$F:$F&amp;'5) Release_Track'!$G:$G,1,0))),vlookup($A152&amp;$B152,{'5) Release_Track'!$F:$F&amp;'5) Release_Track'!$G:$G,'5) Release_Track'!$I:$I},2,0),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E152" s="92"/>
      <c r="F152" s="92"/>
      <c r="G152" s="125" t="str">
        <f t="array" ref="G152">ifs(or($F152="",$F152="Main Primary Artist"),$F152,not(iserror(vlookup($F152,'Reference info'!$J$5:$J$8,1,0))),"Key Artist",not(iserror(vlookup($F152,'Reference info'!$J$38:$J$405,1,0))),"Performer",not(iserror(vlookup($F152,'Reference info'!$J$10:$J$36,1,0))),"Producer &amp; Engineer")</f>
        <v/>
      </c>
    </row>
    <row r="153">
      <c r="B153" s="97"/>
      <c r="C153" s="121" t="str">
        <f t="array" ref="C153">ifs(and(isblank($A153),isblank($B153)),"", not(iserror(vlookup($A153&amp;$B153,'5) Release_Track'!$F:$F&amp;'5) Release_Track'!$G:$G,1,0))),vlookup($A153&amp;$B153,{'5) Release_Track'!$F:$F&amp;'5) Release_Track'!$G:$G,'5) Release_Track'!$H:$H},2,0),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D153" s="121" t="str">
        <f t="array" ref="D153">ifs(and(isblank($A153),isblank($B153)),"", not(iserror(vlookup($A153&amp;$B153,'5) Release_Track'!$F:$F&amp;'5) Release_Track'!$G:$G,1,0))),vlookup($A153&amp;$B153,{'5) Release_Track'!$F:$F&amp;'5) Release_Track'!$G:$G,'5) Release_Track'!$I:$I},2,0),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E153" s="92"/>
      <c r="F153" s="92"/>
      <c r="G153" s="125" t="str">
        <f t="array" ref="G153">ifs(or($F153="",$F153="Main Primary Artist"),$F153,not(iserror(vlookup($F153,'Reference info'!$J$5:$J$8,1,0))),"Key Artist",not(iserror(vlookup($F153,'Reference info'!$J$38:$J$405,1,0))),"Performer",not(iserror(vlookup($F153,'Reference info'!$J$10:$J$36,1,0))),"Producer &amp; Engineer")</f>
        <v/>
      </c>
    </row>
    <row r="154">
      <c r="B154" s="97"/>
      <c r="C154" s="121" t="str">
        <f t="array" ref="C154">ifs(and(isblank($A154),isblank($B154)),"", not(iserror(vlookup($A154&amp;$B154,'5) Release_Track'!$F:$F&amp;'5) Release_Track'!$G:$G,1,0))),vlookup($A154&amp;$B154,{'5) Release_Track'!$F:$F&amp;'5) Release_Track'!$G:$G,'5) Release_Track'!$H:$H},2,0),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D154" s="121" t="str">
        <f t="array" ref="D154">ifs(and(isblank($A154),isblank($B154)),"", not(iserror(vlookup($A154&amp;$B154,'5) Release_Track'!$F:$F&amp;'5) Release_Track'!$G:$G,1,0))),vlookup($A154&amp;$B154,{'5) Release_Track'!$F:$F&amp;'5) Release_Track'!$G:$G,'5) Release_Track'!$I:$I},2,0),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E154" s="92"/>
      <c r="F154" s="92"/>
      <c r="G154" s="125" t="str">
        <f t="array" ref="G154">ifs(or($F154="",$F154="Main Primary Artist"),$F154,not(iserror(vlookup($F154,'Reference info'!$J$5:$J$8,1,0))),"Key Artist",not(iserror(vlookup($F154,'Reference info'!$J$38:$J$405,1,0))),"Performer",not(iserror(vlookup($F154,'Reference info'!$J$10:$J$36,1,0))),"Producer &amp; Engineer")</f>
        <v/>
      </c>
    </row>
    <row r="155">
      <c r="B155" s="97"/>
      <c r="C155" s="121" t="str">
        <f t="array" ref="C155">ifs(and(isblank($A155),isblank($B155)),"", not(iserror(vlookup($A155&amp;$B155,'5) Release_Track'!$F:$F&amp;'5) Release_Track'!$G:$G,1,0))),vlookup($A155&amp;$B155,{'5) Release_Track'!$F:$F&amp;'5) Release_Track'!$G:$G,'5) Release_Track'!$H:$H},2,0),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D155" s="121" t="str">
        <f t="array" ref="D155">ifs(and(isblank($A155),isblank($B155)),"", not(iserror(vlookup($A155&amp;$B155,'5) Release_Track'!$F:$F&amp;'5) Release_Track'!$G:$G,1,0))),vlookup($A155&amp;$B155,{'5) Release_Track'!$F:$F&amp;'5) Release_Track'!$G:$G,'5) Release_Track'!$I:$I},2,0),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E155" s="92"/>
      <c r="F155" s="92"/>
      <c r="G155" s="125" t="str">
        <f t="array" ref="G155">ifs(or($F155="",$F155="Main Primary Artist"),$F155,not(iserror(vlookup($F155,'Reference info'!$J$5:$J$8,1,0))),"Key Artist",not(iserror(vlookup($F155,'Reference info'!$J$38:$J$405,1,0))),"Performer",not(iserror(vlookup($F155,'Reference info'!$J$10:$J$36,1,0))),"Producer &amp; Engineer")</f>
        <v/>
      </c>
    </row>
    <row r="156">
      <c r="B156" s="97"/>
      <c r="C156" s="121" t="str">
        <f t="array" ref="C156">ifs(and(isblank($A156),isblank($B156)),"", not(iserror(vlookup($A156&amp;$B156,'5) Release_Track'!$F:$F&amp;'5) Release_Track'!$G:$G,1,0))),vlookup($A156&amp;$B156,{'5) Release_Track'!$F:$F&amp;'5) Release_Track'!$G:$G,'5) Release_Track'!$H:$H},2,0),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D156" s="121" t="str">
        <f t="array" ref="D156">ifs(and(isblank($A156),isblank($B156)),"", not(iserror(vlookup($A156&amp;$B156,'5) Release_Track'!$F:$F&amp;'5) Release_Track'!$G:$G,1,0))),vlookup($A156&amp;$B156,{'5) Release_Track'!$F:$F&amp;'5) Release_Track'!$G:$G,'5) Release_Track'!$I:$I},2,0),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E156" s="92"/>
      <c r="F156" s="92"/>
      <c r="G156" s="125" t="str">
        <f t="array" ref="G156">ifs(or($F156="",$F156="Main Primary Artist"),$F156,not(iserror(vlookup($F156,'Reference info'!$J$5:$J$8,1,0))),"Key Artist",not(iserror(vlookup($F156,'Reference info'!$J$38:$J$405,1,0))),"Performer",not(iserror(vlookup($F156,'Reference info'!$J$10:$J$36,1,0))),"Producer &amp; Engineer")</f>
        <v/>
      </c>
    </row>
    <row r="157">
      <c r="B157" s="97"/>
      <c r="C157" s="121" t="str">
        <f t="array" ref="C157">ifs(and(isblank($A157),isblank($B157)),"", not(iserror(vlookup($A157&amp;$B157,'5) Release_Track'!$F:$F&amp;'5) Release_Track'!$G:$G,1,0))),vlookup($A157&amp;$B157,{'5) Release_Track'!$F:$F&amp;'5) Release_Track'!$G:$G,'5) Release_Track'!$H:$H},2,0),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D157" s="121" t="str">
        <f t="array" ref="D157">ifs(and(isblank($A157),isblank($B157)),"", not(iserror(vlookup($A157&amp;$B157,'5) Release_Track'!$F:$F&amp;'5) Release_Track'!$G:$G,1,0))),vlookup($A157&amp;$B157,{'5) Release_Track'!$F:$F&amp;'5) Release_Track'!$G:$G,'5) Release_Track'!$I:$I},2,0),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E157" s="92"/>
      <c r="F157" s="92"/>
      <c r="G157" s="125" t="str">
        <f t="array" ref="G157">ifs(or($F157="",$F157="Main Primary Artist"),$F157,not(iserror(vlookup($F157,'Reference info'!$J$5:$J$8,1,0))),"Key Artist",not(iserror(vlookup($F157,'Reference info'!$J$38:$J$405,1,0))),"Performer",not(iserror(vlookup($F157,'Reference info'!$J$10:$J$36,1,0))),"Producer &amp; Engineer")</f>
        <v/>
      </c>
    </row>
    <row r="158">
      <c r="B158" s="97"/>
      <c r="C158" s="121" t="str">
        <f t="array" ref="C158">ifs(and(isblank($A158),isblank($B158)),"", not(iserror(vlookup($A158&amp;$B158,'5) Release_Track'!$F:$F&amp;'5) Release_Track'!$G:$G,1,0))),vlookup($A158&amp;$B158,{'5) Release_Track'!$F:$F&amp;'5) Release_Track'!$G:$G,'5) Release_Track'!$H:$H},2,0),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D158" s="121" t="str">
        <f t="array" ref="D158">ifs(and(isblank($A158),isblank($B158)),"", not(iserror(vlookup($A158&amp;$B158,'5) Release_Track'!$F:$F&amp;'5) Release_Track'!$G:$G,1,0))),vlookup($A158&amp;$B158,{'5) Release_Track'!$F:$F&amp;'5) Release_Track'!$G:$G,'5) Release_Track'!$I:$I},2,0),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E158" s="92"/>
      <c r="F158" s="92"/>
      <c r="G158" s="125" t="str">
        <f t="array" ref="G158">ifs(or($F158="",$F158="Main Primary Artist"),$F158,not(iserror(vlookup($F158,'Reference info'!$J$5:$J$8,1,0))),"Key Artist",not(iserror(vlookup($F158,'Reference info'!$J$38:$J$405,1,0))),"Performer",not(iserror(vlookup($F158,'Reference info'!$J$10:$J$36,1,0))),"Producer &amp; Engineer")</f>
        <v/>
      </c>
    </row>
    <row r="159">
      <c r="B159" s="97"/>
      <c r="C159" s="121" t="str">
        <f t="array" ref="C159">ifs(and(isblank($A159),isblank($B159)),"", not(iserror(vlookup($A159&amp;$B159,'5) Release_Track'!$F:$F&amp;'5) Release_Track'!$G:$G,1,0))),vlookup($A159&amp;$B159,{'5) Release_Track'!$F:$F&amp;'5) Release_Track'!$G:$G,'5) Release_Track'!$H:$H},2,0),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D159" s="121" t="str">
        <f t="array" ref="D159">ifs(and(isblank($A159),isblank($B159)),"", not(iserror(vlookup($A159&amp;$B159,'5) Release_Track'!$F:$F&amp;'5) Release_Track'!$G:$G,1,0))),vlookup($A159&amp;$B159,{'5) Release_Track'!$F:$F&amp;'5) Release_Track'!$G:$G,'5) Release_Track'!$I:$I},2,0),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E159" s="92"/>
      <c r="F159" s="92"/>
      <c r="G159" s="125" t="str">
        <f t="array" ref="G159">ifs(or($F159="",$F159="Main Primary Artist"),$F159,not(iserror(vlookup($F159,'Reference info'!$J$5:$J$8,1,0))),"Key Artist",not(iserror(vlookup($F159,'Reference info'!$J$38:$J$405,1,0))),"Performer",not(iserror(vlookup($F159,'Reference info'!$J$10:$J$36,1,0))),"Producer &amp; Engineer")</f>
        <v/>
      </c>
    </row>
    <row r="160">
      <c r="B160" s="97"/>
      <c r="C160" s="121" t="str">
        <f t="array" ref="C160">ifs(and(isblank($A160),isblank($B160)),"", not(iserror(vlookup($A160&amp;$B160,'5) Release_Track'!$F:$F&amp;'5) Release_Track'!$G:$G,1,0))),vlookup($A160&amp;$B160,{'5) Release_Track'!$F:$F&amp;'5) Release_Track'!$G:$G,'5) Release_Track'!$H:$H},2,0),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D160" s="121" t="str">
        <f t="array" ref="D160">ifs(and(isblank($A160),isblank($B160)),"", not(iserror(vlookup($A160&amp;$B160,'5) Release_Track'!$F:$F&amp;'5) Release_Track'!$G:$G,1,0))),vlookup($A160&amp;$B160,{'5) Release_Track'!$F:$F&amp;'5) Release_Track'!$G:$G,'5) Release_Track'!$I:$I},2,0),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E160" s="92"/>
      <c r="F160" s="92"/>
      <c r="G160" s="125" t="str">
        <f t="array" ref="G160">ifs(or($F160="",$F160="Main Primary Artist"),$F160,not(iserror(vlookup($F160,'Reference info'!$J$5:$J$8,1,0))),"Key Artist",not(iserror(vlookup($F160,'Reference info'!$J$38:$J$405,1,0))),"Performer",not(iserror(vlookup($F160,'Reference info'!$J$10:$J$36,1,0))),"Producer &amp; Engineer")</f>
        <v/>
      </c>
    </row>
    <row r="161">
      <c r="B161" s="97"/>
      <c r="C161" s="121" t="str">
        <f t="array" ref="C161">ifs(and(isblank($A161),isblank($B161)),"", not(iserror(vlookup($A161&amp;$B161,'5) Release_Track'!$F:$F&amp;'5) Release_Track'!$G:$G,1,0))),vlookup($A161&amp;$B161,{'5) Release_Track'!$F:$F&amp;'5) Release_Track'!$G:$G,'5) Release_Track'!$H:$H},2,0),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D161" s="121" t="str">
        <f t="array" ref="D161">ifs(and(isblank($A161),isblank($B161)),"", not(iserror(vlookup($A161&amp;$B161,'5) Release_Track'!$F:$F&amp;'5) Release_Track'!$G:$G,1,0))),vlookup($A161&amp;$B161,{'5) Release_Track'!$F:$F&amp;'5) Release_Track'!$G:$G,'5) Release_Track'!$I:$I},2,0),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E161" s="92"/>
      <c r="F161" s="92"/>
      <c r="G161" s="125" t="str">
        <f t="array" ref="G161">ifs(or($F161="",$F161="Main Primary Artist"),$F161,not(iserror(vlookup($F161,'Reference info'!$J$5:$J$8,1,0))),"Key Artist",not(iserror(vlookup($F161,'Reference info'!$J$38:$J$405,1,0))),"Performer",not(iserror(vlookup($F161,'Reference info'!$J$10:$J$36,1,0))),"Producer &amp; Engineer")</f>
        <v/>
      </c>
    </row>
    <row r="162">
      <c r="B162" s="97"/>
      <c r="C162" s="121" t="str">
        <f t="array" ref="C162">ifs(and(isblank($A162),isblank($B162)),"", not(iserror(vlookup($A162&amp;$B162,'5) Release_Track'!$F:$F&amp;'5) Release_Track'!$G:$G,1,0))),vlookup($A162&amp;$B162,{'5) Release_Track'!$F:$F&amp;'5) Release_Track'!$G:$G,'5) Release_Track'!$H:$H},2,0),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D162" s="121" t="str">
        <f t="array" ref="D162">ifs(and(isblank($A162),isblank($B162)),"", not(iserror(vlookup($A162&amp;$B162,'5) Release_Track'!$F:$F&amp;'5) Release_Track'!$G:$G,1,0))),vlookup($A162&amp;$B162,{'5) Release_Track'!$F:$F&amp;'5) Release_Track'!$G:$G,'5) Release_Track'!$I:$I},2,0),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E162" s="92"/>
      <c r="F162" s="92"/>
      <c r="G162" s="125" t="str">
        <f t="array" ref="G162">ifs(or($F162="",$F162="Main Primary Artist"),$F162,not(iserror(vlookup($F162,'Reference info'!$J$5:$J$8,1,0))),"Key Artist",not(iserror(vlookup($F162,'Reference info'!$J$38:$J$405,1,0))),"Performer",not(iserror(vlookup($F162,'Reference info'!$J$10:$J$36,1,0))),"Producer &amp; Engineer")</f>
        <v/>
      </c>
    </row>
    <row r="163">
      <c r="B163" s="97"/>
      <c r="C163" s="121" t="str">
        <f t="array" ref="C163">ifs(and(isblank($A163),isblank($B163)),"", not(iserror(vlookup($A163&amp;$B163,'5) Release_Track'!$F:$F&amp;'5) Release_Track'!$G:$G,1,0))),vlookup($A163&amp;$B163,{'5) Release_Track'!$F:$F&amp;'5) Release_Track'!$G:$G,'5) Release_Track'!$H:$H},2,0),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D163" s="121" t="str">
        <f t="array" ref="D163">ifs(and(isblank($A163),isblank($B163)),"", not(iserror(vlookup($A163&amp;$B163,'5) Release_Track'!$F:$F&amp;'5) Release_Track'!$G:$G,1,0))),vlookup($A163&amp;$B163,{'5) Release_Track'!$F:$F&amp;'5) Release_Track'!$G:$G,'5) Release_Track'!$I:$I},2,0),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E163" s="92"/>
      <c r="F163" s="92"/>
      <c r="G163" s="125" t="str">
        <f t="array" ref="G163">ifs(or($F163="",$F163="Main Primary Artist"),$F163,not(iserror(vlookup($F163,'Reference info'!$J$5:$J$8,1,0))),"Key Artist",not(iserror(vlookup($F163,'Reference info'!$J$38:$J$405,1,0))),"Performer",not(iserror(vlookup($F163,'Reference info'!$J$10:$J$36,1,0))),"Producer &amp; Engineer")</f>
        <v/>
      </c>
    </row>
    <row r="164">
      <c r="B164" s="97"/>
      <c r="C164" s="121" t="str">
        <f t="array" ref="C164">ifs(and(isblank($A164),isblank($B164)),"", not(iserror(vlookup($A164&amp;$B164,'5) Release_Track'!$F:$F&amp;'5) Release_Track'!$G:$G,1,0))),vlookup($A164&amp;$B164,{'5) Release_Track'!$F:$F&amp;'5) Release_Track'!$G:$G,'5) Release_Track'!$H:$H},2,0),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D164" s="121" t="str">
        <f t="array" ref="D164">ifs(and(isblank($A164),isblank($B164)),"", not(iserror(vlookup($A164&amp;$B164,'5) Release_Track'!$F:$F&amp;'5) Release_Track'!$G:$G,1,0))),vlookup($A164&amp;$B164,{'5) Release_Track'!$F:$F&amp;'5) Release_Track'!$G:$G,'5) Release_Track'!$I:$I},2,0),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E164" s="92"/>
      <c r="F164" s="92"/>
      <c r="G164" s="125" t="str">
        <f t="array" ref="G164">ifs(or($F164="",$F164="Main Primary Artist"),$F164,not(iserror(vlookup($F164,'Reference info'!$J$5:$J$8,1,0))),"Key Artist",not(iserror(vlookup($F164,'Reference info'!$J$38:$J$405,1,0))),"Performer",not(iserror(vlookup($F164,'Reference info'!$J$10:$J$36,1,0))),"Producer &amp; Engineer")</f>
        <v/>
      </c>
    </row>
    <row r="165">
      <c r="B165" s="97"/>
      <c r="C165" s="121" t="str">
        <f t="array" ref="C165">ifs(and(isblank($A165),isblank($B165)),"", not(iserror(vlookup($A165&amp;$B165,'5) Release_Track'!$F:$F&amp;'5) Release_Track'!$G:$G,1,0))),vlookup($A165&amp;$B165,{'5) Release_Track'!$F:$F&amp;'5) Release_Track'!$G:$G,'5) Release_Track'!$H:$H},2,0),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D165" s="121" t="str">
        <f t="array" ref="D165">ifs(and(isblank($A165),isblank($B165)),"", not(iserror(vlookup($A165&amp;$B165,'5) Release_Track'!$F:$F&amp;'5) Release_Track'!$G:$G,1,0))),vlookup($A165&amp;$B165,{'5) Release_Track'!$F:$F&amp;'5) Release_Track'!$G:$G,'5) Release_Track'!$I:$I},2,0),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E165" s="92"/>
      <c r="F165" s="92"/>
      <c r="G165" s="125" t="str">
        <f t="array" ref="G165">ifs(or($F165="",$F165="Main Primary Artist"),$F165,not(iserror(vlookup($F165,'Reference info'!$J$5:$J$8,1,0))),"Key Artist",not(iserror(vlookup($F165,'Reference info'!$J$38:$J$405,1,0))),"Performer",not(iserror(vlookup($F165,'Reference info'!$J$10:$J$36,1,0))),"Producer &amp; Engineer")</f>
        <v/>
      </c>
    </row>
    <row r="166">
      <c r="B166" s="97"/>
      <c r="C166" s="121" t="str">
        <f t="array" ref="C166">ifs(and(isblank($A166),isblank($B166)),"", not(iserror(vlookup($A166&amp;$B166,'5) Release_Track'!$F:$F&amp;'5) Release_Track'!$G:$G,1,0))),vlookup($A166&amp;$B166,{'5) Release_Track'!$F:$F&amp;'5) Release_Track'!$G:$G,'5) Release_Track'!$H:$H},2,0),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D166" s="121" t="str">
        <f t="array" ref="D166">ifs(and(isblank($A166),isblank($B166)),"", not(iserror(vlookup($A166&amp;$B166,'5) Release_Track'!$F:$F&amp;'5) Release_Track'!$G:$G,1,0))),vlookup($A166&amp;$B166,{'5) Release_Track'!$F:$F&amp;'5) Release_Track'!$G:$G,'5) Release_Track'!$I:$I},2,0),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E166" s="92"/>
      <c r="F166" s="92"/>
      <c r="G166" s="125" t="str">
        <f t="array" ref="G166">ifs(or($F166="",$F166="Main Primary Artist"),$F166,not(iserror(vlookup($F166,'Reference info'!$J$5:$J$8,1,0))),"Key Artist",not(iserror(vlookup($F166,'Reference info'!$J$38:$J$405,1,0))),"Performer",not(iserror(vlookup($F166,'Reference info'!$J$10:$J$36,1,0))),"Producer &amp; Engineer")</f>
        <v/>
      </c>
    </row>
    <row r="167">
      <c r="B167" s="97"/>
      <c r="C167" s="121" t="str">
        <f t="array" ref="C167">ifs(and(isblank($A167),isblank($B167)),"", not(iserror(vlookup($A167&amp;$B167,'5) Release_Track'!$F:$F&amp;'5) Release_Track'!$G:$G,1,0))),vlookup($A167&amp;$B167,{'5) Release_Track'!$F:$F&amp;'5) Release_Track'!$G:$G,'5) Release_Track'!$H:$H},2,0),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D167" s="121" t="str">
        <f t="array" ref="D167">ifs(and(isblank($A167),isblank($B167)),"", not(iserror(vlookup($A167&amp;$B167,'5) Release_Track'!$F:$F&amp;'5) Release_Track'!$G:$G,1,0))),vlookup($A167&amp;$B167,{'5) Release_Track'!$F:$F&amp;'5) Release_Track'!$G:$G,'5) Release_Track'!$I:$I},2,0),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E167" s="92"/>
      <c r="F167" s="92"/>
      <c r="G167" s="125" t="str">
        <f t="array" ref="G167">ifs(or($F167="",$F167="Main Primary Artist"),$F167,not(iserror(vlookup($F167,'Reference info'!$J$5:$J$8,1,0))),"Key Artist",not(iserror(vlookup($F167,'Reference info'!$J$38:$J$405,1,0))),"Performer",not(iserror(vlookup($F167,'Reference info'!$J$10:$J$36,1,0))),"Producer &amp; Engineer")</f>
        <v/>
      </c>
    </row>
    <row r="168">
      <c r="B168" s="97"/>
      <c r="C168" s="121" t="str">
        <f t="array" ref="C168">ifs(and(isblank($A168),isblank($B168)),"", not(iserror(vlookup($A168&amp;$B168,'5) Release_Track'!$F:$F&amp;'5) Release_Track'!$G:$G,1,0))),vlookup($A168&amp;$B168,{'5) Release_Track'!$F:$F&amp;'5) Release_Track'!$G:$G,'5) Release_Track'!$H:$H},2,0),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D168" s="121" t="str">
        <f t="array" ref="D168">ifs(and(isblank($A168),isblank($B168)),"", not(iserror(vlookup($A168&amp;$B168,'5) Release_Track'!$F:$F&amp;'5) Release_Track'!$G:$G,1,0))),vlookup($A168&amp;$B168,{'5) Release_Track'!$F:$F&amp;'5) Release_Track'!$G:$G,'5) Release_Track'!$I:$I},2,0),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E168" s="92"/>
      <c r="F168" s="92"/>
      <c r="G168" s="125" t="str">
        <f t="array" ref="G168">ifs(or($F168="",$F168="Main Primary Artist"),$F168,not(iserror(vlookup($F168,'Reference info'!$J$5:$J$8,1,0))),"Key Artist",not(iserror(vlookup($F168,'Reference info'!$J$38:$J$405,1,0))),"Performer",not(iserror(vlookup($F168,'Reference info'!$J$10:$J$36,1,0))),"Producer &amp; Engineer")</f>
        <v/>
      </c>
    </row>
    <row r="169">
      <c r="B169" s="97"/>
      <c r="C169" s="121" t="str">
        <f t="array" ref="C169">ifs(and(isblank($A169),isblank($B169)),"", not(iserror(vlookup($A169&amp;$B169,'5) Release_Track'!$F:$F&amp;'5) Release_Track'!$G:$G,1,0))),vlookup($A169&amp;$B169,{'5) Release_Track'!$F:$F&amp;'5) Release_Track'!$G:$G,'5) Release_Track'!$H:$H},2,0),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D169" s="121" t="str">
        <f t="array" ref="D169">ifs(and(isblank($A169),isblank($B169)),"", not(iserror(vlookup($A169&amp;$B169,'5) Release_Track'!$F:$F&amp;'5) Release_Track'!$G:$G,1,0))),vlookup($A169&amp;$B169,{'5) Release_Track'!$F:$F&amp;'5) Release_Track'!$G:$G,'5) Release_Track'!$I:$I},2,0),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E169" s="92"/>
      <c r="F169" s="92"/>
      <c r="G169" s="125" t="str">
        <f t="array" ref="G169">ifs(or($F169="",$F169="Main Primary Artist"),$F169,not(iserror(vlookup($F169,'Reference info'!$J$5:$J$8,1,0))),"Key Artist",not(iserror(vlookup($F169,'Reference info'!$J$38:$J$405,1,0))),"Performer",not(iserror(vlookup($F169,'Reference info'!$J$10:$J$36,1,0))),"Producer &amp; Engineer")</f>
        <v/>
      </c>
    </row>
    <row r="170">
      <c r="B170" s="97"/>
      <c r="C170" s="121" t="str">
        <f t="array" ref="C170">ifs(and(isblank($A170),isblank($B170)),"", not(iserror(vlookup($A170&amp;$B170,'5) Release_Track'!$F:$F&amp;'5) Release_Track'!$G:$G,1,0))),vlookup($A170&amp;$B170,{'5) Release_Track'!$F:$F&amp;'5) Release_Track'!$G:$G,'5) Release_Track'!$H:$H},2,0),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D170" s="121" t="str">
        <f t="array" ref="D170">ifs(and(isblank($A170),isblank($B170)),"", not(iserror(vlookup($A170&amp;$B170,'5) Release_Track'!$F:$F&amp;'5) Release_Track'!$G:$G,1,0))),vlookup($A170&amp;$B170,{'5) Release_Track'!$F:$F&amp;'5) Release_Track'!$G:$G,'5) Release_Track'!$I:$I},2,0),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E170" s="92"/>
      <c r="F170" s="92"/>
      <c r="G170" s="125" t="str">
        <f t="array" ref="G170">ifs(or($F170="",$F170="Main Primary Artist"),$F170,not(iserror(vlookup($F170,'Reference info'!$J$5:$J$8,1,0))),"Key Artist",not(iserror(vlookup($F170,'Reference info'!$J$38:$J$405,1,0))),"Performer",not(iserror(vlookup($F170,'Reference info'!$J$10:$J$36,1,0))),"Producer &amp; Engineer")</f>
        <v/>
      </c>
    </row>
    <row r="171">
      <c r="B171" s="97"/>
      <c r="C171" s="121" t="str">
        <f t="array" ref="C171">ifs(and(isblank($A171),isblank($B171)),"", not(iserror(vlookup($A171&amp;$B171,'5) Release_Track'!$F:$F&amp;'5) Release_Track'!$G:$G,1,0))),vlookup($A171&amp;$B171,{'5) Release_Track'!$F:$F&amp;'5) Release_Track'!$G:$G,'5) Release_Track'!$H:$H},2,0),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D171" s="121" t="str">
        <f t="array" ref="D171">ifs(and(isblank($A171),isblank($B171)),"", not(iserror(vlookup($A171&amp;$B171,'5) Release_Track'!$F:$F&amp;'5) Release_Track'!$G:$G,1,0))),vlookup($A171&amp;$B171,{'5) Release_Track'!$F:$F&amp;'5) Release_Track'!$G:$G,'5) Release_Track'!$I:$I},2,0),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E171" s="92"/>
      <c r="F171" s="92"/>
      <c r="G171" s="125" t="str">
        <f t="array" ref="G171">ifs(or($F171="",$F171="Main Primary Artist"),$F171,not(iserror(vlookup($F171,'Reference info'!$J$5:$J$8,1,0))),"Key Artist",not(iserror(vlookup($F171,'Reference info'!$J$38:$J$405,1,0))),"Performer",not(iserror(vlookup($F171,'Reference info'!$J$10:$J$36,1,0))),"Producer &amp; Engineer")</f>
        <v/>
      </c>
    </row>
    <row r="172">
      <c r="B172" s="97"/>
      <c r="C172" s="121" t="str">
        <f t="array" ref="C172">ifs(and(isblank($A172),isblank($B172)),"", not(iserror(vlookup($A172&amp;$B172,'5) Release_Track'!$F:$F&amp;'5) Release_Track'!$G:$G,1,0))),vlookup($A172&amp;$B172,{'5) Release_Track'!$F:$F&amp;'5) Release_Track'!$G:$G,'5) Release_Track'!$H:$H},2,0),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D172" s="121" t="str">
        <f t="array" ref="D172">ifs(and(isblank($A172),isblank($B172)),"", not(iserror(vlookup($A172&amp;$B172,'5) Release_Track'!$F:$F&amp;'5) Release_Track'!$G:$G,1,0))),vlookup($A172&amp;$B172,{'5) Release_Track'!$F:$F&amp;'5) Release_Track'!$G:$G,'5) Release_Track'!$I:$I},2,0),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E172" s="92"/>
      <c r="F172" s="92"/>
      <c r="G172" s="125" t="str">
        <f t="array" ref="G172">ifs(or($F172="",$F172="Main Primary Artist"),$F172,not(iserror(vlookup($F172,'Reference info'!$J$5:$J$8,1,0))),"Key Artist",not(iserror(vlookup($F172,'Reference info'!$J$38:$J$405,1,0))),"Performer",not(iserror(vlookup($F172,'Reference info'!$J$10:$J$36,1,0))),"Producer &amp; Engineer")</f>
        <v/>
      </c>
    </row>
    <row r="173">
      <c r="B173" s="97"/>
      <c r="C173" s="121" t="str">
        <f t="array" ref="C173">ifs(and(isblank($A173),isblank($B173)),"", not(iserror(vlookup($A173&amp;$B173,'5) Release_Track'!$F:$F&amp;'5) Release_Track'!$G:$G,1,0))),vlookup($A173&amp;$B173,{'5) Release_Track'!$F:$F&amp;'5) Release_Track'!$G:$G,'5) Release_Track'!$H:$H},2,0),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D173" s="121" t="str">
        <f t="array" ref="D173">ifs(and(isblank($A173),isblank($B173)),"", not(iserror(vlookup($A173&amp;$B173,'5) Release_Track'!$F:$F&amp;'5) Release_Track'!$G:$G,1,0))),vlookup($A173&amp;$B173,{'5) Release_Track'!$F:$F&amp;'5) Release_Track'!$G:$G,'5) Release_Track'!$I:$I},2,0),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E173" s="92"/>
      <c r="F173" s="92"/>
      <c r="G173" s="125" t="str">
        <f t="array" ref="G173">ifs(or($F173="",$F173="Main Primary Artist"),$F173,not(iserror(vlookup($F173,'Reference info'!$J$5:$J$8,1,0))),"Key Artist",not(iserror(vlookup($F173,'Reference info'!$J$38:$J$405,1,0))),"Performer",not(iserror(vlookup($F173,'Reference info'!$J$10:$J$36,1,0))),"Producer &amp; Engineer")</f>
        <v/>
      </c>
    </row>
    <row r="174">
      <c r="B174" s="97"/>
      <c r="C174" s="121" t="str">
        <f t="array" ref="C174">ifs(and(isblank($A174),isblank($B174)),"", not(iserror(vlookup($A174&amp;$B174,'5) Release_Track'!$F:$F&amp;'5) Release_Track'!$G:$G,1,0))),vlookup($A174&amp;$B174,{'5) Release_Track'!$F:$F&amp;'5) Release_Track'!$G:$G,'5) Release_Track'!$H:$H},2,0),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D174" s="121" t="str">
        <f t="array" ref="D174">ifs(and(isblank($A174),isblank($B174)),"", not(iserror(vlookup($A174&amp;$B174,'5) Release_Track'!$F:$F&amp;'5) Release_Track'!$G:$G,1,0))),vlookup($A174&amp;$B174,{'5) Release_Track'!$F:$F&amp;'5) Release_Track'!$G:$G,'5) Release_Track'!$I:$I},2,0),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E174" s="92"/>
      <c r="F174" s="92"/>
      <c r="G174" s="125" t="str">
        <f t="array" ref="G174">ifs(or($F174="",$F174="Main Primary Artist"),$F174,not(iserror(vlookup($F174,'Reference info'!$J$5:$J$8,1,0))),"Key Artist",not(iserror(vlookup($F174,'Reference info'!$J$38:$J$405,1,0))),"Performer",not(iserror(vlookup($F174,'Reference info'!$J$10:$J$36,1,0))),"Producer &amp; Engineer")</f>
        <v/>
      </c>
    </row>
    <row r="175">
      <c r="B175" s="97"/>
      <c r="C175" s="121" t="str">
        <f t="array" ref="C175">ifs(and(isblank($A175),isblank($B175)),"", not(iserror(vlookup($A175&amp;$B175,'5) Release_Track'!$F:$F&amp;'5) Release_Track'!$G:$G,1,0))),vlookup($A175&amp;$B175,{'5) Release_Track'!$F:$F&amp;'5) Release_Track'!$G:$G,'5) Release_Track'!$H:$H},2,0),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D175" s="121" t="str">
        <f t="array" ref="D175">ifs(and(isblank($A175),isblank($B175)),"", not(iserror(vlookup($A175&amp;$B175,'5) Release_Track'!$F:$F&amp;'5) Release_Track'!$G:$G,1,0))),vlookup($A175&amp;$B175,{'5) Release_Track'!$F:$F&amp;'5) Release_Track'!$G:$G,'5) Release_Track'!$I:$I},2,0),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E175" s="92"/>
      <c r="F175" s="92"/>
      <c r="G175" s="125" t="str">
        <f t="array" ref="G175">ifs(or($F175="",$F175="Main Primary Artist"),$F175,not(iserror(vlookup($F175,'Reference info'!$J$5:$J$8,1,0))),"Key Artist",not(iserror(vlookup($F175,'Reference info'!$J$38:$J$405,1,0))),"Performer",not(iserror(vlookup($F175,'Reference info'!$J$10:$J$36,1,0))),"Producer &amp; Engineer")</f>
        <v/>
      </c>
    </row>
    <row r="176">
      <c r="B176" s="97"/>
      <c r="C176" s="121" t="str">
        <f t="array" ref="C176">ifs(and(isblank($A176),isblank($B176)),"", not(iserror(vlookup($A176&amp;$B176,'5) Release_Track'!$F:$F&amp;'5) Release_Track'!$G:$G,1,0))),vlookup($A176&amp;$B176,{'5) Release_Track'!$F:$F&amp;'5) Release_Track'!$G:$G,'5) Release_Track'!$H:$H},2,0),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D176" s="121" t="str">
        <f t="array" ref="D176">ifs(and(isblank($A176),isblank($B176)),"", not(iserror(vlookup($A176&amp;$B176,'5) Release_Track'!$F:$F&amp;'5) Release_Track'!$G:$G,1,0))),vlookup($A176&amp;$B176,{'5) Release_Track'!$F:$F&amp;'5) Release_Track'!$G:$G,'5) Release_Track'!$I:$I},2,0),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E176" s="92"/>
      <c r="F176" s="92"/>
      <c r="G176" s="125" t="str">
        <f t="array" ref="G176">ifs(or($F176="",$F176="Main Primary Artist"),$F176,not(iserror(vlookup($F176,'Reference info'!$J$5:$J$8,1,0))),"Key Artist",not(iserror(vlookup($F176,'Reference info'!$J$38:$J$405,1,0))),"Performer",not(iserror(vlookup($F176,'Reference info'!$J$10:$J$36,1,0))),"Producer &amp; Engineer")</f>
        <v/>
      </c>
    </row>
    <row r="177">
      <c r="B177" s="97"/>
      <c r="C177" s="121" t="str">
        <f t="array" ref="C177">ifs(and(isblank($A177),isblank($B177)),"", not(iserror(vlookup($A177&amp;$B177,'5) Release_Track'!$F:$F&amp;'5) Release_Track'!$G:$G,1,0))),vlookup($A177&amp;$B177,{'5) Release_Track'!$F:$F&amp;'5) Release_Track'!$G:$G,'5) Release_Track'!$H:$H},2,0),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D177" s="121" t="str">
        <f t="array" ref="D177">ifs(and(isblank($A177),isblank($B177)),"", not(iserror(vlookup($A177&amp;$B177,'5) Release_Track'!$F:$F&amp;'5) Release_Track'!$G:$G,1,0))),vlookup($A177&amp;$B177,{'5) Release_Track'!$F:$F&amp;'5) Release_Track'!$G:$G,'5) Release_Track'!$I:$I},2,0),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E177" s="92"/>
      <c r="F177" s="92"/>
      <c r="G177" s="125" t="str">
        <f t="array" ref="G177">ifs(or($F177="",$F177="Main Primary Artist"),$F177,not(iserror(vlookup($F177,'Reference info'!$J$5:$J$8,1,0))),"Key Artist",not(iserror(vlookup($F177,'Reference info'!$J$38:$J$405,1,0))),"Performer",not(iserror(vlookup($F177,'Reference info'!$J$10:$J$36,1,0))),"Producer &amp; Engineer")</f>
        <v/>
      </c>
    </row>
    <row r="178">
      <c r="B178" s="97"/>
      <c r="C178" s="121" t="str">
        <f t="array" ref="C178">ifs(and(isblank($A178),isblank($B178)),"", not(iserror(vlookup($A178&amp;$B178,'5) Release_Track'!$F:$F&amp;'5) Release_Track'!$G:$G,1,0))),vlookup($A178&amp;$B178,{'5) Release_Track'!$F:$F&amp;'5) Release_Track'!$G:$G,'5) Release_Track'!$H:$H},2,0),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D178" s="121" t="str">
        <f t="array" ref="D178">ifs(and(isblank($A178),isblank($B178)),"", not(iserror(vlookup($A178&amp;$B178,'5) Release_Track'!$F:$F&amp;'5) Release_Track'!$G:$G,1,0))),vlookup($A178&amp;$B178,{'5) Release_Track'!$F:$F&amp;'5) Release_Track'!$G:$G,'5) Release_Track'!$I:$I},2,0),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E178" s="92"/>
      <c r="F178" s="92"/>
      <c r="G178" s="125" t="str">
        <f t="array" ref="G178">ifs(or($F178="",$F178="Main Primary Artist"),$F178,not(iserror(vlookup($F178,'Reference info'!$J$5:$J$8,1,0))),"Key Artist",not(iserror(vlookup($F178,'Reference info'!$J$38:$J$405,1,0))),"Performer",not(iserror(vlookup($F178,'Reference info'!$J$10:$J$36,1,0))),"Producer &amp; Engineer")</f>
        <v/>
      </c>
    </row>
    <row r="179">
      <c r="B179" s="97"/>
      <c r="C179" s="121" t="str">
        <f t="array" ref="C179">ifs(and(isblank($A179),isblank($B179)),"", not(iserror(vlookup($A179&amp;$B179,'5) Release_Track'!$F:$F&amp;'5) Release_Track'!$G:$G,1,0))),vlookup($A179&amp;$B179,{'5) Release_Track'!$F:$F&amp;'5) Release_Track'!$G:$G,'5) Release_Track'!$H:$H},2,0),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D179" s="121" t="str">
        <f t="array" ref="D179">ifs(and(isblank($A179),isblank($B179)),"", not(iserror(vlookup($A179&amp;$B179,'5) Release_Track'!$F:$F&amp;'5) Release_Track'!$G:$G,1,0))),vlookup($A179&amp;$B179,{'5) Release_Track'!$F:$F&amp;'5) Release_Track'!$G:$G,'5) Release_Track'!$I:$I},2,0),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E179" s="92"/>
      <c r="F179" s="92"/>
      <c r="G179" s="125" t="str">
        <f t="array" ref="G179">ifs(or($F179="",$F179="Main Primary Artist"),$F179,not(iserror(vlookup($F179,'Reference info'!$J$5:$J$8,1,0))),"Key Artist",not(iserror(vlookup($F179,'Reference info'!$J$38:$J$405,1,0))),"Performer",not(iserror(vlookup($F179,'Reference info'!$J$10:$J$36,1,0))),"Producer &amp; Engineer")</f>
        <v/>
      </c>
    </row>
    <row r="180">
      <c r="B180" s="97"/>
      <c r="C180" s="121" t="str">
        <f t="array" ref="C180">ifs(and(isblank($A180),isblank($B180)),"", not(iserror(vlookup($A180&amp;$B180,'5) Release_Track'!$F:$F&amp;'5) Release_Track'!$G:$G,1,0))),vlookup($A180&amp;$B180,{'5) Release_Track'!$F:$F&amp;'5) Release_Track'!$G:$G,'5) Release_Track'!$H:$H},2,0),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D180" s="121" t="str">
        <f t="array" ref="D180">ifs(and(isblank($A180),isblank($B180)),"", not(iserror(vlookup($A180&amp;$B180,'5) Release_Track'!$F:$F&amp;'5) Release_Track'!$G:$G,1,0))),vlookup($A180&amp;$B180,{'5) Release_Track'!$F:$F&amp;'5) Release_Track'!$G:$G,'5) Release_Track'!$I:$I},2,0),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E180" s="92"/>
      <c r="F180" s="92"/>
      <c r="G180" s="125" t="str">
        <f t="array" ref="G180">ifs(or($F180="",$F180="Main Primary Artist"),$F180,not(iserror(vlookup($F180,'Reference info'!$J$5:$J$8,1,0))),"Key Artist",not(iserror(vlookup($F180,'Reference info'!$J$38:$J$405,1,0))),"Performer",not(iserror(vlookup($F180,'Reference info'!$J$10:$J$36,1,0))),"Producer &amp; Engineer")</f>
        <v/>
      </c>
    </row>
    <row r="181">
      <c r="B181" s="97"/>
      <c r="C181" s="121" t="str">
        <f t="array" ref="C181">ifs(and(isblank($A181),isblank($B181)),"", not(iserror(vlookup($A181&amp;$B181,'5) Release_Track'!$F:$F&amp;'5) Release_Track'!$G:$G,1,0))),vlookup($A181&amp;$B181,{'5) Release_Track'!$F:$F&amp;'5) Release_Track'!$G:$G,'5) Release_Track'!$H:$H},2,0),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D181" s="121" t="str">
        <f t="array" ref="D181">ifs(and(isblank($A181),isblank($B181)),"", not(iserror(vlookup($A181&amp;$B181,'5) Release_Track'!$F:$F&amp;'5) Release_Track'!$G:$G,1,0))),vlookup($A181&amp;$B181,{'5) Release_Track'!$F:$F&amp;'5) Release_Track'!$G:$G,'5) Release_Track'!$I:$I},2,0),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E181" s="92"/>
      <c r="F181" s="92"/>
      <c r="G181" s="125" t="str">
        <f t="array" ref="G181">ifs(or($F181="",$F181="Main Primary Artist"),$F181,not(iserror(vlookup($F181,'Reference info'!$J$5:$J$8,1,0))),"Key Artist",not(iserror(vlookup($F181,'Reference info'!$J$38:$J$405,1,0))),"Performer",not(iserror(vlookup($F181,'Reference info'!$J$10:$J$36,1,0))),"Producer &amp; Engineer")</f>
        <v/>
      </c>
    </row>
    <row r="182">
      <c r="B182" s="97"/>
      <c r="C182" s="121" t="str">
        <f t="array" ref="C182">ifs(and(isblank($A182),isblank($B182)),"", not(iserror(vlookup($A182&amp;$B182,'5) Release_Track'!$F:$F&amp;'5) Release_Track'!$G:$G,1,0))),vlookup($A182&amp;$B182,{'5) Release_Track'!$F:$F&amp;'5) Release_Track'!$G:$G,'5) Release_Track'!$H:$H},2,0),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D182" s="121" t="str">
        <f t="array" ref="D182">ifs(and(isblank($A182),isblank($B182)),"", not(iserror(vlookup($A182&amp;$B182,'5) Release_Track'!$F:$F&amp;'5) Release_Track'!$G:$G,1,0))),vlookup($A182&amp;$B182,{'5) Release_Track'!$F:$F&amp;'5) Release_Track'!$G:$G,'5) Release_Track'!$I:$I},2,0),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E182" s="92"/>
      <c r="F182" s="92"/>
      <c r="G182" s="125" t="str">
        <f t="array" ref="G182">ifs(or($F182="",$F182="Main Primary Artist"),$F182,not(iserror(vlookup($F182,'Reference info'!$J$5:$J$8,1,0))),"Key Artist",not(iserror(vlookup($F182,'Reference info'!$J$38:$J$405,1,0))),"Performer",not(iserror(vlookup($F182,'Reference info'!$J$10:$J$36,1,0))),"Producer &amp; Engineer")</f>
        <v/>
      </c>
    </row>
    <row r="183">
      <c r="B183" s="97"/>
      <c r="C183" s="121" t="str">
        <f t="array" ref="C183">ifs(and(isblank($A183),isblank($B183)),"", not(iserror(vlookup($A183&amp;$B183,'5) Release_Track'!$F:$F&amp;'5) Release_Track'!$G:$G,1,0))),vlookup($A183&amp;$B183,{'5) Release_Track'!$F:$F&amp;'5) Release_Track'!$G:$G,'5) Release_Track'!$H:$H},2,0),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D183" s="121" t="str">
        <f t="array" ref="D183">ifs(and(isblank($A183),isblank($B183)),"", not(iserror(vlookup($A183&amp;$B183,'5) Release_Track'!$F:$F&amp;'5) Release_Track'!$G:$G,1,0))),vlookup($A183&amp;$B183,{'5) Release_Track'!$F:$F&amp;'5) Release_Track'!$G:$G,'5) Release_Track'!$I:$I},2,0),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E183" s="92"/>
      <c r="F183" s="92"/>
      <c r="G183" s="125" t="str">
        <f t="array" ref="G183">ifs(or($F183="",$F183="Main Primary Artist"),$F183,not(iserror(vlookup($F183,'Reference info'!$J$5:$J$8,1,0))),"Key Artist",not(iserror(vlookup($F183,'Reference info'!$J$38:$J$405,1,0))),"Performer",not(iserror(vlookup($F183,'Reference info'!$J$10:$J$36,1,0))),"Producer &amp; Engineer")</f>
        <v/>
      </c>
    </row>
    <row r="184">
      <c r="B184" s="97"/>
      <c r="C184" s="121" t="str">
        <f t="array" ref="C184">ifs(and(isblank($A184),isblank($B184)),"", not(iserror(vlookup($A184&amp;$B184,'5) Release_Track'!$F:$F&amp;'5) Release_Track'!$G:$G,1,0))),vlookup($A184&amp;$B184,{'5) Release_Track'!$F:$F&amp;'5) Release_Track'!$G:$G,'5) Release_Track'!$H:$H},2,0),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D184" s="121" t="str">
        <f t="array" ref="D184">ifs(and(isblank($A184),isblank($B184)),"", not(iserror(vlookup($A184&amp;$B184,'5) Release_Track'!$F:$F&amp;'5) Release_Track'!$G:$G,1,0))),vlookup($A184&amp;$B184,{'5) Release_Track'!$F:$F&amp;'5) Release_Track'!$G:$G,'5) Release_Track'!$I:$I},2,0),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E184" s="92"/>
      <c r="F184" s="92"/>
      <c r="G184" s="125" t="str">
        <f t="array" ref="G184">ifs(or($F184="",$F184="Main Primary Artist"),$F184,not(iserror(vlookup($F184,'Reference info'!$J$5:$J$8,1,0))),"Key Artist",not(iserror(vlookup($F184,'Reference info'!$J$38:$J$405,1,0))),"Performer",not(iserror(vlookup($F184,'Reference info'!$J$10:$J$36,1,0))),"Producer &amp; Engineer")</f>
        <v/>
      </c>
    </row>
    <row r="185">
      <c r="B185" s="97"/>
      <c r="C185" s="121" t="str">
        <f t="array" ref="C185">ifs(and(isblank($A185),isblank($B185)),"", not(iserror(vlookup($A185&amp;$B185,'5) Release_Track'!$F:$F&amp;'5) Release_Track'!$G:$G,1,0))),vlookup($A185&amp;$B185,{'5) Release_Track'!$F:$F&amp;'5) Release_Track'!$G:$G,'5) Release_Track'!$H:$H},2,0),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D185" s="121" t="str">
        <f t="array" ref="D185">ifs(and(isblank($A185),isblank($B185)),"", not(iserror(vlookup($A185&amp;$B185,'5) Release_Track'!$F:$F&amp;'5) Release_Track'!$G:$G,1,0))),vlookup($A185&amp;$B185,{'5) Release_Track'!$F:$F&amp;'5) Release_Track'!$G:$G,'5) Release_Track'!$I:$I},2,0),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E185" s="92"/>
      <c r="F185" s="92"/>
      <c r="G185" s="125" t="str">
        <f t="array" ref="G185">ifs(or($F185="",$F185="Main Primary Artist"),$F185,not(iserror(vlookup($F185,'Reference info'!$J$5:$J$8,1,0))),"Key Artist",not(iserror(vlookup($F185,'Reference info'!$J$38:$J$405,1,0))),"Performer",not(iserror(vlookup($F185,'Reference info'!$J$10:$J$36,1,0))),"Producer &amp; Engineer")</f>
        <v/>
      </c>
    </row>
    <row r="186">
      <c r="B186" s="97"/>
      <c r="C186" s="121" t="str">
        <f t="array" ref="C186">ifs(and(isblank($A186),isblank($B186)),"", not(iserror(vlookup($A186&amp;$B186,'5) Release_Track'!$F:$F&amp;'5) Release_Track'!$G:$G,1,0))),vlookup($A186&amp;$B186,{'5) Release_Track'!$F:$F&amp;'5) Release_Track'!$G:$G,'5) Release_Track'!$H:$H},2,0),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D186" s="121" t="str">
        <f t="array" ref="D186">ifs(and(isblank($A186),isblank($B186)),"", not(iserror(vlookup($A186&amp;$B186,'5) Release_Track'!$F:$F&amp;'5) Release_Track'!$G:$G,1,0))),vlookup($A186&amp;$B186,{'5) Release_Track'!$F:$F&amp;'5) Release_Track'!$G:$G,'5) Release_Track'!$I:$I},2,0),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E186" s="92"/>
      <c r="F186" s="92"/>
      <c r="G186" s="125" t="str">
        <f t="array" ref="G186">ifs(or($F186="",$F186="Main Primary Artist"),$F186,not(iserror(vlookup($F186,'Reference info'!$J$5:$J$8,1,0))),"Key Artist",not(iserror(vlookup($F186,'Reference info'!$J$38:$J$405,1,0))),"Performer",not(iserror(vlookup($F186,'Reference info'!$J$10:$J$36,1,0))),"Producer &amp; Engineer")</f>
        <v/>
      </c>
    </row>
    <row r="187">
      <c r="B187" s="97"/>
      <c r="C187" s="121" t="str">
        <f t="array" ref="C187">ifs(and(isblank($A187),isblank($B187)),"", not(iserror(vlookup($A187&amp;$B187,'5) Release_Track'!$F:$F&amp;'5) Release_Track'!$G:$G,1,0))),vlookup($A187&amp;$B187,{'5) Release_Track'!$F:$F&amp;'5) Release_Track'!$G:$G,'5) Release_Track'!$H:$H},2,0),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D187" s="121" t="str">
        <f t="array" ref="D187">ifs(and(isblank($A187),isblank($B187)),"", not(iserror(vlookup($A187&amp;$B187,'5) Release_Track'!$F:$F&amp;'5) Release_Track'!$G:$G,1,0))),vlookup($A187&amp;$B187,{'5) Release_Track'!$F:$F&amp;'5) Release_Track'!$G:$G,'5) Release_Track'!$I:$I},2,0),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E187" s="92"/>
      <c r="F187" s="92"/>
      <c r="G187" s="125" t="str">
        <f t="array" ref="G187">ifs(or($F187="",$F187="Main Primary Artist"),$F187,not(iserror(vlookup($F187,'Reference info'!$J$5:$J$8,1,0))),"Key Artist",not(iserror(vlookup($F187,'Reference info'!$J$38:$J$405,1,0))),"Performer",not(iserror(vlookup($F187,'Reference info'!$J$10:$J$36,1,0))),"Producer &amp; Engineer")</f>
        <v/>
      </c>
    </row>
    <row r="188">
      <c r="B188" s="97"/>
      <c r="C188" s="121" t="str">
        <f t="array" ref="C188">ifs(and(isblank($A188),isblank($B188)),"", not(iserror(vlookup($A188&amp;$B188,'5) Release_Track'!$F:$F&amp;'5) Release_Track'!$G:$G,1,0))),vlookup($A188&amp;$B188,{'5) Release_Track'!$F:$F&amp;'5) Release_Track'!$G:$G,'5) Release_Track'!$H:$H},2,0),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D188" s="121" t="str">
        <f t="array" ref="D188">ifs(and(isblank($A188),isblank($B188)),"", not(iserror(vlookup($A188&amp;$B188,'5) Release_Track'!$F:$F&amp;'5) Release_Track'!$G:$G,1,0))),vlookup($A188&amp;$B188,{'5) Release_Track'!$F:$F&amp;'5) Release_Track'!$G:$G,'5) Release_Track'!$I:$I},2,0),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E188" s="92"/>
      <c r="F188" s="92"/>
      <c r="G188" s="125" t="str">
        <f t="array" ref="G188">ifs(or($F188="",$F188="Main Primary Artist"),$F188,not(iserror(vlookup($F188,'Reference info'!$J$5:$J$8,1,0))),"Key Artist",not(iserror(vlookup($F188,'Reference info'!$J$38:$J$405,1,0))),"Performer",not(iserror(vlookup($F188,'Reference info'!$J$10:$J$36,1,0))),"Producer &amp; Engineer")</f>
        <v/>
      </c>
    </row>
    <row r="189">
      <c r="B189" s="97"/>
      <c r="C189" s="121" t="str">
        <f t="array" ref="C189">ifs(and(isblank($A189),isblank($B189)),"", not(iserror(vlookup($A189&amp;$B189,'5) Release_Track'!$F:$F&amp;'5) Release_Track'!$G:$G,1,0))),vlookup($A189&amp;$B189,{'5) Release_Track'!$F:$F&amp;'5) Release_Track'!$G:$G,'5) Release_Track'!$H:$H},2,0),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D189" s="121" t="str">
        <f t="array" ref="D189">ifs(and(isblank($A189),isblank($B189)),"", not(iserror(vlookup($A189&amp;$B189,'5) Release_Track'!$F:$F&amp;'5) Release_Track'!$G:$G,1,0))),vlookup($A189&amp;$B189,{'5) Release_Track'!$F:$F&amp;'5) Release_Track'!$G:$G,'5) Release_Track'!$I:$I},2,0),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E189" s="92"/>
      <c r="F189" s="92"/>
      <c r="G189" s="125" t="str">
        <f t="array" ref="G189">ifs(or($F189="",$F189="Main Primary Artist"),$F189,not(iserror(vlookup($F189,'Reference info'!$J$5:$J$8,1,0))),"Key Artist",not(iserror(vlookup($F189,'Reference info'!$J$38:$J$405,1,0))),"Performer",not(iserror(vlookup($F189,'Reference info'!$J$10:$J$36,1,0))),"Producer &amp; Engineer")</f>
        <v/>
      </c>
    </row>
    <row r="190">
      <c r="B190" s="97"/>
      <c r="C190" s="121" t="str">
        <f t="array" ref="C190">ifs(and(isblank($A190),isblank($B190)),"", not(iserror(vlookup($A190&amp;$B190,'5) Release_Track'!$F:$F&amp;'5) Release_Track'!$G:$G,1,0))),vlookup($A190&amp;$B190,{'5) Release_Track'!$F:$F&amp;'5) Release_Track'!$G:$G,'5) Release_Track'!$H:$H},2,0),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D190" s="121" t="str">
        <f t="array" ref="D190">ifs(and(isblank($A190),isblank($B190)),"", not(iserror(vlookup($A190&amp;$B190,'5) Release_Track'!$F:$F&amp;'5) Release_Track'!$G:$G,1,0))),vlookup($A190&amp;$B190,{'5) Release_Track'!$F:$F&amp;'5) Release_Track'!$G:$G,'5) Release_Track'!$I:$I},2,0),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E190" s="92"/>
      <c r="F190" s="92"/>
      <c r="G190" s="125" t="str">
        <f t="array" ref="G190">ifs(or($F190="",$F190="Main Primary Artist"),$F190,not(iserror(vlookup($F190,'Reference info'!$J$5:$J$8,1,0))),"Key Artist",not(iserror(vlookup($F190,'Reference info'!$J$38:$J$405,1,0))),"Performer",not(iserror(vlookup($F190,'Reference info'!$J$10:$J$36,1,0))),"Producer &amp; Engineer")</f>
        <v/>
      </c>
    </row>
    <row r="191">
      <c r="B191" s="97"/>
      <c r="C191" s="121" t="str">
        <f t="array" ref="C191">ifs(and(isblank($A191),isblank($B191)),"", not(iserror(vlookup($A191&amp;$B191,'5) Release_Track'!$F:$F&amp;'5) Release_Track'!$G:$G,1,0))),vlookup($A191&amp;$B191,{'5) Release_Track'!$F:$F&amp;'5) Release_Track'!$G:$G,'5) Release_Track'!$H:$H},2,0),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D191" s="121" t="str">
        <f t="array" ref="D191">ifs(and(isblank($A191),isblank($B191)),"", not(iserror(vlookup($A191&amp;$B191,'5) Release_Track'!$F:$F&amp;'5) Release_Track'!$G:$G,1,0))),vlookup($A191&amp;$B191,{'5) Release_Track'!$F:$F&amp;'5) Release_Track'!$G:$G,'5) Release_Track'!$I:$I},2,0),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E191" s="92"/>
      <c r="F191" s="92"/>
      <c r="G191" s="125" t="str">
        <f t="array" ref="G191">ifs(or($F191="",$F191="Main Primary Artist"),$F191,not(iserror(vlookup($F191,'Reference info'!$J$5:$J$8,1,0))),"Key Artist",not(iserror(vlookup($F191,'Reference info'!$J$38:$J$405,1,0))),"Performer",not(iserror(vlookup($F191,'Reference info'!$J$10:$J$36,1,0))),"Producer &amp; Engineer")</f>
        <v/>
      </c>
    </row>
    <row r="192">
      <c r="B192" s="97"/>
      <c r="C192" s="121" t="str">
        <f t="array" ref="C192">ifs(and(isblank($A192),isblank($B192)),"", not(iserror(vlookup($A192&amp;$B192,'5) Release_Track'!$F:$F&amp;'5) Release_Track'!$G:$G,1,0))),vlookup($A192&amp;$B192,{'5) Release_Track'!$F:$F&amp;'5) Release_Track'!$G:$G,'5) Release_Track'!$H:$H},2,0),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D192" s="121" t="str">
        <f t="array" ref="D192">ifs(and(isblank($A192),isblank($B192)),"", not(iserror(vlookup($A192&amp;$B192,'5) Release_Track'!$F:$F&amp;'5) Release_Track'!$G:$G,1,0))),vlookup($A192&amp;$B192,{'5) Release_Track'!$F:$F&amp;'5) Release_Track'!$G:$G,'5) Release_Track'!$I:$I},2,0),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E192" s="92"/>
      <c r="F192" s="92"/>
      <c r="G192" s="125" t="str">
        <f t="array" ref="G192">ifs(or($F192="",$F192="Main Primary Artist"),$F192,not(iserror(vlookup($F192,'Reference info'!$J$5:$J$8,1,0))),"Key Artist",not(iserror(vlookup($F192,'Reference info'!$J$38:$J$405,1,0))),"Performer",not(iserror(vlookup($F192,'Reference info'!$J$10:$J$36,1,0))),"Producer &amp; Engineer")</f>
        <v/>
      </c>
    </row>
    <row r="193">
      <c r="B193" s="97"/>
      <c r="C193" s="121" t="str">
        <f t="array" ref="C193">ifs(and(isblank($A193),isblank($B193)),"", not(iserror(vlookup($A193&amp;$B193,'5) Release_Track'!$F:$F&amp;'5) Release_Track'!$G:$G,1,0))),vlookup($A193&amp;$B193,{'5) Release_Track'!$F:$F&amp;'5) Release_Track'!$G:$G,'5) Release_Track'!$H:$H},2,0),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D193" s="121" t="str">
        <f t="array" ref="D193">ifs(and(isblank($A193),isblank($B193)),"", not(iserror(vlookup($A193&amp;$B193,'5) Release_Track'!$F:$F&amp;'5) Release_Track'!$G:$G,1,0))),vlookup($A193&amp;$B193,{'5) Release_Track'!$F:$F&amp;'5) Release_Track'!$G:$G,'5) Release_Track'!$I:$I},2,0),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E193" s="92"/>
      <c r="F193" s="92"/>
      <c r="G193" s="125" t="str">
        <f t="array" ref="G193">ifs(or($F193="",$F193="Main Primary Artist"),$F193,not(iserror(vlookup($F193,'Reference info'!$J$5:$J$8,1,0))),"Key Artist",not(iserror(vlookup($F193,'Reference info'!$J$38:$J$405,1,0))),"Performer",not(iserror(vlookup($F193,'Reference info'!$J$10:$J$36,1,0))),"Producer &amp; Engineer")</f>
        <v/>
      </c>
    </row>
    <row r="194">
      <c r="B194" s="97"/>
      <c r="C194" s="121" t="str">
        <f t="array" ref="C194">ifs(and(isblank($A194),isblank($B194)),"", not(iserror(vlookup($A194&amp;$B194,'5) Release_Track'!$F:$F&amp;'5) Release_Track'!$G:$G,1,0))),vlookup($A194&amp;$B194,{'5) Release_Track'!$F:$F&amp;'5) Release_Track'!$G:$G,'5) Release_Track'!$H:$H},2,0),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D194" s="121" t="str">
        <f t="array" ref="D194">ifs(and(isblank($A194),isblank($B194)),"", not(iserror(vlookup($A194&amp;$B194,'5) Release_Track'!$F:$F&amp;'5) Release_Track'!$G:$G,1,0))),vlookup($A194&amp;$B194,{'5) Release_Track'!$F:$F&amp;'5) Release_Track'!$G:$G,'5) Release_Track'!$I:$I},2,0),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E194" s="92"/>
      <c r="F194" s="92"/>
      <c r="G194" s="125" t="str">
        <f t="array" ref="G194">ifs(or($F194="",$F194="Main Primary Artist"),$F194,not(iserror(vlookup($F194,'Reference info'!$J$5:$J$8,1,0))),"Key Artist",not(iserror(vlookup($F194,'Reference info'!$J$38:$J$405,1,0))),"Performer",not(iserror(vlookup($F194,'Reference info'!$J$10:$J$36,1,0))),"Producer &amp; Engineer")</f>
        <v/>
      </c>
    </row>
    <row r="195">
      <c r="B195" s="97"/>
      <c r="C195" s="121" t="str">
        <f t="array" ref="C195">ifs(and(isblank($A195),isblank($B195)),"", not(iserror(vlookup($A195&amp;$B195,'5) Release_Track'!$F:$F&amp;'5) Release_Track'!$G:$G,1,0))),vlookup($A195&amp;$B195,{'5) Release_Track'!$F:$F&amp;'5) Release_Track'!$G:$G,'5) Release_Track'!$H:$H},2,0),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D195" s="121" t="str">
        <f t="array" ref="D195">ifs(and(isblank($A195),isblank($B195)),"", not(iserror(vlookup($A195&amp;$B195,'5) Release_Track'!$F:$F&amp;'5) Release_Track'!$G:$G,1,0))),vlookup($A195&amp;$B195,{'5) Release_Track'!$F:$F&amp;'5) Release_Track'!$G:$G,'5) Release_Track'!$I:$I},2,0),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E195" s="92"/>
      <c r="F195" s="92"/>
      <c r="G195" s="125" t="str">
        <f t="array" ref="G195">ifs(or($F195="",$F195="Main Primary Artist"),$F195,not(iserror(vlookup($F195,'Reference info'!$J$5:$J$8,1,0))),"Key Artist",not(iserror(vlookup($F195,'Reference info'!$J$38:$J$405,1,0))),"Performer",not(iserror(vlookup($F195,'Reference info'!$J$10:$J$36,1,0))),"Producer &amp; Engineer")</f>
        <v/>
      </c>
    </row>
    <row r="196">
      <c r="B196" s="97"/>
      <c r="C196" s="121" t="str">
        <f t="array" ref="C196">ifs(and(isblank($A196),isblank($B196)),"", not(iserror(vlookup($A196&amp;$B196,'5) Release_Track'!$F:$F&amp;'5) Release_Track'!$G:$G,1,0))),vlookup($A196&amp;$B196,{'5) Release_Track'!$F:$F&amp;'5) Release_Track'!$G:$G,'5) Release_Track'!$H:$H},2,0),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D196" s="121" t="str">
        <f t="array" ref="D196">ifs(and(isblank($A196),isblank($B196)),"", not(iserror(vlookup($A196&amp;$B196,'5) Release_Track'!$F:$F&amp;'5) Release_Track'!$G:$G,1,0))),vlookup($A196&amp;$B196,{'5) Release_Track'!$F:$F&amp;'5) Release_Track'!$G:$G,'5) Release_Track'!$I:$I},2,0),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E196" s="92"/>
      <c r="F196" s="92"/>
      <c r="G196" s="125" t="str">
        <f t="array" ref="G196">ifs(or($F196="",$F196="Main Primary Artist"),$F196,not(iserror(vlookup($F196,'Reference info'!$J$5:$J$8,1,0))),"Key Artist",not(iserror(vlookup($F196,'Reference info'!$J$38:$J$405,1,0))),"Performer",not(iserror(vlookup($F196,'Reference info'!$J$10:$J$36,1,0))),"Producer &amp; Engineer")</f>
        <v/>
      </c>
    </row>
    <row r="197">
      <c r="B197" s="97"/>
      <c r="C197" s="121" t="str">
        <f t="array" ref="C197">ifs(and(isblank($A197),isblank($B197)),"", not(iserror(vlookup($A197&amp;$B197,'5) Release_Track'!$F:$F&amp;'5) Release_Track'!$G:$G,1,0))),vlookup($A197&amp;$B197,{'5) Release_Track'!$F:$F&amp;'5) Release_Track'!$G:$G,'5) Release_Track'!$H:$H},2,0),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D197" s="121" t="str">
        <f t="array" ref="D197">ifs(and(isblank($A197),isblank($B197)),"", not(iserror(vlookup($A197&amp;$B197,'5) Release_Track'!$F:$F&amp;'5) Release_Track'!$G:$G,1,0))),vlookup($A197&amp;$B197,{'5) Release_Track'!$F:$F&amp;'5) Release_Track'!$G:$G,'5) Release_Track'!$I:$I},2,0),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E197" s="92"/>
      <c r="F197" s="92"/>
      <c r="G197" s="125" t="str">
        <f t="array" ref="G197">ifs(or($F197="",$F197="Main Primary Artist"),$F197,not(iserror(vlookup($F197,'Reference info'!$J$5:$J$8,1,0))),"Key Artist",not(iserror(vlookup($F197,'Reference info'!$J$38:$J$405,1,0))),"Performer",not(iserror(vlookup($F197,'Reference info'!$J$10:$J$36,1,0))),"Producer &amp; Engineer")</f>
        <v/>
      </c>
    </row>
    <row r="198">
      <c r="B198" s="97"/>
      <c r="C198" s="121" t="str">
        <f t="array" ref="C198">ifs(and(isblank($A198),isblank($B198)),"", not(iserror(vlookup($A198&amp;$B198,'5) Release_Track'!$F:$F&amp;'5) Release_Track'!$G:$G,1,0))),vlookup($A198&amp;$B198,{'5) Release_Track'!$F:$F&amp;'5) Release_Track'!$G:$G,'5) Release_Track'!$H:$H},2,0),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D198" s="121" t="str">
        <f t="array" ref="D198">ifs(and(isblank($A198),isblank($B198)),"", not(iserror(vlookup($A198&amp;$B198,'5) Release_Track'!$F:$F&amp;'5) Release_Track'!$G:$G,1,0))),vlookup($A198&amp;$B198,{'5) Release_Track'!$F:$F&amp;'5) Release_Track'!$G:$G,'5) Release_Track'!$I:$I},2,0),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E198" s="92"/>
      <c r="F198" s="92"/>
      <c r="G198" s="125" t="str">
        <f t="array" ref="G198">ifs(or($F198="",$F198="Main Primary Artist"),$F198,not(iserror(vlookup($F198,'Reference info'!$J$5:$J$8,1,0))),"Key Artist",not(iserror(vlookup($F198,'Reference info'!$J$38:$J$405,1,0))),"Performer",not(iserror(vlookup($F198,'Reference info'!$J$10:$J$36,1,0))),"Producer &amp; Engineer")</f>
        <v/>
      </c>
    </row>
    <row r="199">
      <c r="B199" s="97"/>
      <c r="C199" s="121" t="str">
        <f t="array" ref="C199">ifs(and(isblank($A199),isblank($B199)),"", not(iserror(vlookup($A199&amp;$B199,'5) Release_Track'!$F:$F&amp;'5) Release_Track'!$G:$G,1,0))),vlookup($A199&amp;$B199,{'5) Release_Track'!$F:$F&amp;'5) Release_Track'!$G:$G,'5) Release_Track'!$H:$H},2,0),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D199" s="121" t="str">
        <f t="array" ref="D199">ifs(and(isblank($A199),isblank($B199)),"", not(iserror(vlookup($A199&amp;$B199,'5) Release_Track'!$F:$F&amp;'5) Release_Track'!$G:$G,1,0))),vlookup($A199&amp;$B199,{'5) Release_Track'!$F:$F&amp;'5) Release_Track'!$G:$G,'5) Release_Track'!$I:$I},2,0),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E199" s="92"/>
      <c r="F199" s="92"/>
      <c r="G199" s="125" t="str">
        <f t="array" ref="G199">ifs(or($F199="",$F199="Main Primary Artist"),$F199,not(iserror(vlookup($F199,'Reference info'!$J$5:$J$8,1,0))),"Key Artist",not(iserror(vlookup($F199,'Reference info'!$J$38:$J$405,1,0))),"Performer",not(iserror(vlookup($F199,'Reference info'!$J$10:$J$36,1,0))),"Producer &amp; Engineer")</f>
        <v/>
      </c>
    </row>
    <row r="200">
      <c r="B200" s="97"/>
      <c r="C200" s="121" t="str">
        <f t="array" ref="C200">ifs(and(isblank($A200),isblank($B200)),"", not(iserror(vlookup($A200&amp;$B200,'5) Release_Track'!$F:$F&amp;'5) Release_Track'!$G:$G,1,0))),vlookup($A200&amp;$B200,{'5) Release_Track'!$F:$F&amp;'5) Release_Track'!$G:$G,'5) Release_Track'!$H:$H},2,0),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D200" s="121" t="str">
        <f t="array" ref="D200">ifs(and(isblank($A200),isblank($B200)),"", not(iserror(vlookup($A200&amp;$B200,'5) Release_Track'!$F:$F&amp;'5) Release_Track'!$G:$G,1,0))),vlookup($A200&amp;$B200,{'5) Release_Track'!$F:$F&amp;'5) Release_Track'!$G:$G,'5) Release_Track'!$I:$I},2,0),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E200" s="92"/>
      <c r="F200" s="92"/>
      <c r="G200" s="125" t="str">
        <f t="array" ref="G200">ifs(or($F200="",$F200="Main Primary Artist"),$F200,not(iserror(vlookup($F200,'Reference info'!$J$5:$J$8,1,0))),"Key Artist",not(iserror(vlookup($F200,'Reference info'!$J$38:$J$405,1,0))),"Performer",not(iserror(vlookup($F200,'Reference info'!$J$10:$J$36,1,0))),"Producer &amp; Engineer")</f>
        <v/>
      </c>
    </row>
    <row r="201">
      <c r="B201" s="97"/>
      <c r="C201" s="121" t="str">
        <f t="array" ref="C201">ifs(and(isblank($A201),isblank($B201)),"", not(iserror(vlookup($A201&amp;$B201,'5) Release_Track'!$F:$F&amp;'5) Release_Track'!$G:$G,1,0))),vlookup($A201&amp;$B201,{'5) Release_Track'!$F:$F&amp;'5) Release_Track'!$G:$G,'5) Release_Track'!$H:$H},2,0),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D201" s="121" t="str">
        <f t="array" ref="D201">ifs(and(isblank($A201),isblank($B201)),"", not(iserror(vlookup($A201&amp;$B201,'5) Release_Track'!$F:$F&amp;'5) Release_Track'!$G:$G,1,0))),vlookup($A201&amp;$B201,{'5) Release_Track'!$F:$F&amp;'5) Release_Track'!$G:$G,'5) Release_Track'!$I:$I},2,0),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E201" s="92"/>
      <c r="F201" s="92"/>
      <c r="G201" s="125" t="str">
        <f t="array" ref="G201">ifs(or($F201="",$F201="Main Primary Artist"),$F201,not(iserror(vlookup($F201,'Reference info'!$J$5:$J$8,1,0))),"Key Artist",not(iserror(vlookup($F201,'Reference info'!$J$38:$J$405,1,0))),"Performer",not(iserror(vlookup($F201,'Reference info'!$J$10:$J$36,1,0))),"Producer &amp; Engineer")</f>
        <v/>
      </c>
    </row>
    <row r="202">
      <c r="B202" s="97"/>
      <c r="C202" s="121" t="str">
        <f t="array" ref="C202">ifs(and(isblank($A202),isblank($B202)),"", not(iserror(vlookup($A202&amp;$B202,'5) Release_Track'!$F:$F&amp;'5) Release_Track'!$G:$G,1,0))),vlookup($A202&amp;$B202,{'5) Release_Track'!$F:$F&amp;'5) Release_Track'!$G:$G,'5) Release_Track'!$H:$H},2,0),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D202" s="121" t="str">
        <f t="array" ref="D202">ifs(and(isblank($A202),isblank($B202)),"", not(iserror(vlookup($A202&amp;$B202,'5) Release_Track'!$F:$F&amp;'5) Release_Track'!$G:$G,1,0))),vlookup($A202&amp;$B202,{'5) Release_Track'!$F:$F&amp;'5) Release_Track'!$G:$G,'5) Release_Track'!$I:$I},2,0),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E202" s="92"/>
      <c r="F202" s="92"/>
      <c r="G202" s="125" t="str">
        <f t="array" ref="G202">ifs(or($F202="",$F202="Main Primary Artist"),$F202,not(iserror(vlookup($F202,'Reference info'!$J$5:$J$8,1,0))),"Key Artist",not(iserror(vlookup($F202,'Reference info'!$J$38:$J$405,1,0))),"Performer",not(iserror(vlookup($F202,'Reference info'!$J$10:$J$36,1,0))),"Producer &amp; Engineer")</f>
        <v/>
      </c>
    </row>
    <row r="203">
      <c r="B203" s="97"/>
      <c r="C203" s="121" t="str">
        <f t="array" ref="C203">ifs(and(isblank($A203),isblank($B203)),"", not(iserror(vlookup($A203&amp;$B203,'5) Release_Track'!$F:$F&amp;'5) Release_Track'!$G:$G,1,0))),vlookup($A203&amp;$B203,{'5) Release_Track'!$F:$F&amp;'5) Release_Track'!$G:$G,'5) Release_Track'!$H:$H},2,0),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D203" s="121" t="str">
        <f t="array" ref="D203">ifs(and(isblank($A203),isblank($B203)),"", not(iserror(vlookup($A203&amp;$B203,'5) Release_Track'!$F:$F&amp;'5) Release_Track'!$G:$G,1,0))),vlookup($A203&amp;$B203,{'5) Release_Track'!$F:$F&amp;'5) Release_Track'!$G:$G,'5) Release_Track'!$I:$I},2,0),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E203" s="92"/>
      <c r="F203" s="92"/>
      <c r="G203" s="125" t="str">
        <f t="array" ref="G203">ifs(or($F203="",$F203="Main Primary Artist"),$F203,not(iserror(vlookup($F203,'Reference info'!$J$5:$J$8,1,0))),"Key Artist",not(iserror(vlookup($F203,'Reference info'!$J$38:$J$405,1,0))),"Performer",not(iserror(vlookup($F203,'Reference info'!$J$10:$J$36,1,0))),"Producer &amp; Engineer")</f>
        <v/>
      </c>
    </row>
    <row r="204">
      <c r="B204" s="97"/>
      <c r="C204" s="121" t="str">
        <f t="array" ref="C204">ifs(and(isblank($A204),isblank($B204)),"", not(iserror(vlookup($A204&amp;$B204,'5) Release_Track'!$F:$F&amp;'5) Release_Track'!$G:$G,1,0))),vlookup($A204&amp;$B204,{'5) Release_Track'!$F:$F&amp;'5) Release_Track'!$G:$G,'5) Release_Track'!$H:$H},2,0),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D204" s="121" t="str">
        <f t="array" ref="D204">ifs(and(isblank($A204),isblank($B204)),"", not(iserror(vlookup($A204&amp;$B204,'5) Release_Track'!$F:$F&amp;'5) Release_Track'!$G:$G,1,0))),vlookup($A204&amp;$B204,{'5) Release_Track'!$F:$F&amp;'5) Release_Track'!$G:$G,'5) Release_Track'!$I:$I},2,0),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E204" s="92"/>
      <c r="F204" s="92"/>
      <c r="G204" s="125" t="str">
        <f t="array" ref="G204">ifs(or($F204="",$F204="Main Primary Artist"),$F204,not(iserror(vlookup($F204,'Reference info'!$J$5:$J$8,1,0))),"Key Artist",not(iserror(vlookup($F204,'Reference info'!$J$38:$J$405,1,0))),"Performer",not(iserror(vlookup($F204,'Reference info'!$J$10:$J$36,1,0))),"Producer &amp; Engineer")</f>
        <v/>
      </c>
    </row>
    <row r="205">
      <c r="B205" s="97"/>
      <c r="C205" s="121" t="str">
        <f t="array" ref="C205">ifs(and(isblank($A205),isblank($B205)),"", not(iserror(vlookup($A205&amp;$B205,'5) Release_Track'!$F:$F&amp;'5) Release_Track'!$G:$G,1,0))),vlookup($A205&amp;$B205,{'5) Release_Track'!$F:$F&amp;'5) Release_Track'!$G:$G,'5) Release_Track'!$H:$H},2,0),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D205" s="121" t="str">
        <f t="array" ref="D205">ifs(and(isblank($A205),isblank($B205)),"", not(iserror(vlookup($A205&amp;$B205,'5) Release_Track'!$F:$F&amp;'5) Release_Track'!$G:$G,1,0))),vlookup($A205&amp;$B205,{'5) Release_Track'!$F:$F&amp;'5) Release_Track'!$G:$G,'5) Release_Track'!$I:$I},2,0),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E205" s="92"/>
      <c r="F205" s="92"/>
      <c r="G205" s="125" t="str">
        <f t="array" ref="G205">ifs(or($F205="",$F205="Main Primary Artist"),$F205,not(iserror(vlookup($F205,'Reference info'!$J$5:$J$8,1,0))),"Key Artist",not(iserror(vlookup($F205,'Reference info'!$J$38:$J$405,1,0))),"Performer",not(iserror(vlookup($F205,'Reference info'!$J$10:$J$36,1,0))),"Producer &amp; Engineer")</f>
        <v/>
      </c>
    </row>
    <row r="206">
      <c r="B206" s="97"/>
      <c r="C206" s="121" t="str">
        <f t="array" ref="C206">ifs(and(isblank($A206),isblank($B206)),"", not(iserror(vlookup($A206&amp;$B206,'5) Release_Track'!$F:$F&amp;'5) Release_Track'!$G:$G,1,0))),vlookup($A206&amp;$B206,{'5) Release_Track'!$F:$F&amp;'5) Release_Track'!$G:$G,'5) Release_Track'!$H:$H},2,0),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D206" s="121" t="str">
        <f t="array" ref="D206">ifs(and(isblank($A206),isblank($B206)),"", not(iserror(vlookup($A206&amp;$B206,'5) Release_Track'!$F:$F&amp;'5) Release_Track'!$G:$G,1,0))),vlookup($A206&amp;$B206,{'5) Release_Track'!$F:$F&amp;'5) Release_Track'!$G:$G,'5) Release_Track'!$I:$I},2,0),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E206" s="92"/>
      <c r="F206" s="92"/>
      <c r="G206" s="125" t="str">
        <f t="array" ref="G206">ifs(or($F206="",$F206="Main Primary Artist"),$F206,not(iserror(vlookup($F206,'Reference info'!$J$5:$J$8,1,0))),"Key Artist",not(iserror(vlookup($F206,'Reference info'!$J$38:$J$405,1,0))),"Performer",not(iserror(vlookup($F206,'Reference info'!$J$10:$J$36,1,0))),"Producer &amp; Engineer")</f>
        <v/>
      </c>
    </row>
    <row r="207">
      <c r="B207" s="97"/>
      <c r="C207" s="121" t="str">
        <f t="array" ref="C207">ifs(and(isblank($A207),isblank($B207)),"", not(iserror(vlookup($A207&amp;$B207,'5) Release_Track'!$F:$F&amp;'5) Release_Track'!$G:$G,1,0))),vlookup($A207&amp;$B207,{'5) Release_Track'!$F:$F&amp;'5) Release_Track'!$G:$G,'5) Release_Track'!$H:$H},2,0),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D207" s="121" t="str">
        <f t="array" ref="D207">ifs(and(isblank($A207),isblank($B207)),"", not(iserror(vlookup($A207&amp;$B207,'5) Release_Track'!$F:$F&amp;'5) Release_Track'!$G:$G,1,0))),vlookup($A207&amp;$B207,{'5) Release_Track'!$F:$F&amp;'5) Release_Track'!$G:$G,'5) Release_Track'!$I:$I},2,0),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E207" s="92"/>
      <c r="F207" s="92"/>
      <c r="G207" s="125" t="str">
        <f t="array" ref="G207">ifs(or($F207="",$F207="Main Primary Artist"),$F207,not(iserror(vlookup($F207,'Reference info'!$J$5:$J$8,1,0))),"Key Artist",not(iserror(vlookup($F207,'Reference info'!$J$38:$J$405,1,0))),"Performer",not(iserror(vlookup($F207,'Reference info'!$J$10:$J$36,1,0))),"Producer &amp; Engineer")</f>
        <v/>
      </c>
    </row>
    <row r="208">
      <c r="B208" s="97"/>
      <c r="C208" s="121" t="str">
        <f t="array" ref="C208">ifs(and(isblank($A208),isblank($B208)),"", not(iserror(vlookup($A208&amp;$B208,'5) Release_Track'!$F:$F&amp;'5) Release_Track'!$G:$G,1,0))),vlookup($A208&amp;$B208,{'5) Release_Track'!$F:$F&amp;'5) Release_Track'!$G:$G,'5) Release_Track'!$H:$H},2,0),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D208" s="121" t="str">
        <f t="array" ref="D208">ifs(and(isblank($A208),isblank($B208)),"", not(iserror(vlookup($A208&amp;$B208,'5) Release_Track'!$F:$F&amp;'5) Release_Track'!$G:$G,1,0))),vlookup($A208&amp;$B208,{'5) Release_Track'!$F:$F&amp;'5) Release_Track'!$G:$G,'5) Release_Track'!$I:$I},2,0),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E208" s="92"/>
      <c r="F208" s="92"/>
      <c r="G208" s="125" t="str">
        <f t="array" ref="G208">ifs(or($F208="",$F208="Main Primary Artist"),$F208,not(iserror(vlookup($F208,'Reference info'!$J$5:$J$8,1,0))),"Key Artist",not(iserror(vlookup($F208,'Reference info'!$J$38:$J$405,1,0))),"Performer",not(iserror(vlookup($F208,'Reference info'!$J$10:$J$36,1,0))),"Producer &amp; Engineer")</f>
        <v/>
      </c>
    </row>
    <row r="209">
      <c r="B209" s="97"/>
      <c r="C209" s="121" t="str">
        <f t="array" ref="C209">ifs(and(isblank($A209),isblank($B209)),"", not(iserror(vlookup($A209&amp;$B209,'5) Release_Track'!$F:$F&amp;'5) Release_Track'!$G:$G,1,0))),vlookup($A209&amp;$B209,{'5) Release_Track'!$F:$F&amp;'5) Release_Track'!$G:$G,'5) Release_Track'!$H:$H},2,0),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D209" s="121" t="str">
        <f t="array" ref="D209">ifs(and(isblank($A209),isblank($B209)),"", not(iserror(vlookup($A209&amp;$B209,'5) Release_Track'!$F:$F&amp;'5) Release_Track'!$G:$G,1,0))),vlookup($A209&amp;$B209,{'5) Release_Track'!$F:$F&amp;'5) Release_Track'!$G:$G,'5) Release_Track'!$I:$I},2,0),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E209" s="92"/>
      <c r="F209" s="92"/>
      <c r="G209" s="125" t="str">
        <f t="array" ref="G209">ifs(or($F209="",$F209="Main Primary Artist"),$F209,not(iserror(vlookup($F209,'Reference info'!$J$5:$J$8,1,0))),"Key Artist",not(iserror(vlookup($F209,'Reference info'!$J$38:$J$405,1,0))),"Performer",not(iserror(vlookup($F209,'Reference info'!$J$10:$J$36,1,0))),"Producer &amp; Engineer")</f>
        <v/>
      </c>
    </row>
    <row r="210">
      <c r="B210" s="97"/>
      <c r="C210" s="121" t="str">
        <f t="array" ref="C210">ifs(and(isblank($A210),isblank($B210)),"", not(iserror(vlookup($A210&amp;$B210,'5) Release_Track'!$F:$F&amp;'5) Release_Track'!$G:$G,1,0))),vlookup($A210&amp;$B210,{'5) Release_Track'!$F:$F&amp;'5) Release_Track'!$G:$G,'5) Release_Track'!$H:$H},2,0),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D210" s="121" t="str">
        <f t="array" ref="D210">ifs(and(isblank($A210),isblank($B210)),"", not(iserror(vlookup($A210&amp;$B210,'5) Release_Track'!$F:$F&amp;'5) Release_Track'!$G:$G,1,0))),vlookup($A210&amp;$B210,{'5) Release_Track'!$F:$F&amp;'5) Release_Track'!$G:$G,'5) Release_Track'!$I:$I},2,0),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E210" s="92"/>
      <c r="F210" s="92"/>
      <c r="G210" s="125" t="str">
        <f t="array" ref="G210">ifs(or($F210="",$F210="Main Primary Artist"),$F210,not(iserror(vlookup($F210,'Reference info'!$J$5:$J$8,1,0))),"Key Artist",not(iserror(vlookup($F210,'Reference info'!$J$38:$J$405,1,0))),"Performer",not(iserror(vlookup($F210,'Reference info'!$J$10:$J$36,1,0))),"Producer &amp; Engineer")</f>
        <v/>
      </c>
    </row>
    <row r="211">
      <c r="B211" s="97"/>
      <c r="C211" s="121" t="str">
        <f t="array" ref="C211">ifs(and(isblank($A211),isblank($B211)),"", not(iserror(vlookup($A211&amp;$B211,'5) Release_Track'!$F:$F&amp;'5) Release_Track'!$G:$G,1,0))),vlookup($A211&amp;$B211,{'5) Release_Track'!$F:$F&amp;'5) Release_Track'!$G:$G,'5) Release_Track'!$H:$H},2,0),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D211" s="121" t="str">
        <f t="array" ref="D211">ifs(and(isblank($A211),isblank($B211)),"", not(iserror(vlookup($A211&amp;$B211,'5) Release_Track'!$F:$F&amp;'5) Release_Track'!$G:$G,1,0))),vlookup($A211&amp;$B211,{'5) Release_Track'!$F:$F&amp;'5) Release_Track'!$G:$G,'5) Release_Track'!$I:$I},2,0),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E211" s="92"/>
      <c r="F211" s="92"/>
      <c r="G211" s="125" t="str">
        <f t="array" ref="G211">ifs(or($F211="",$F211="Main Primary Artist"),$F211,not(iserror(vlookup($F211,'Reference info'!$J$5:$J$8,1,0))),"Key Artist",not(iserror(vlookup($F211,'Reference info'!$J$38:$J$405,1,0))),"Performer",not(iserror(vlookup($F211,'Reference info'!$J$10:$J$36,1,0))),"Producer &amp; Engineer")</f>
        <v/>
      </c>
    </row>
    <row r="212">
      <c r="B212" s="97"/>
      <c r="C212" s="121" t="str">
        <f t="array" ref="C212">ifs(and(isblank($A212),isblank($B212)),"", not(iserror(vlookup($A212&amp;$B212,'5) Release_Track'!$F:$F&amp;'5) Release_Track'!$G:$G,1,0))),vlookup($A212&amp;$B212,{'5) Release_Track'!$F:$F&amp;'5) Release_Track'!$G:$G,'5) Release_Track'!$H:$H},2,0),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D212" s="121" t="str">
        <f t="array" ref="D212">ifs(and(isblank($A212),isblank($B212)),"", not(iserror(vlookup($A212&amp;$B212,'5) Release_Track'!$F:$F&amp;'5) Release_Track'!$G:$G,1,0))),vlookup($A212&amp;$B212,{'5) Release_Track'!$F:$F&amp;'5) Release_Track'!$G:$G,'5) Release_Track'!$I:$I},2,0),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E212" s="92"/>
      <c r="F212" s="92"/>
      <c r="G212" s="125" t="str">
        <f t="array" ref="G212">ifs(or($F212="",$F212="Main Primary Artist"),$F212,not(iserror(vlookup($F212,'Reference info'!$J$5:$J$8,1,0))),"Key Artist",not(iserror(vlookup($F212,'Reference info'!$J$38:$J$405,1,0))),"Performer",not(iserror(vlookup($F212,'Reference info'!$J$10:$J$36,1,0))),"Producer &amp; Engineer")</f>
        <v/>
      </c>
    </row>
    <row r="213">
      <c r="B213" s="97"/>
      <c r="C213" s="121" t="str">
        <f t="array" ref="C213">ifs(and(isblank($A213),isblank($B213)),"", not(iserror(vlookup($A213&amp;$B213,'5) Release_Track'!$F:$F&amp;'5) Release_Track'!$G:$G,1,0))),vlookup($A213&amp;$B213,{'5) Release_Track'!$F:$F&amp;'5) Release_Track'!$G:$G,'5) Release_Track'!$H:$H},2,0),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D213" s="121" t="str">
        <f t="array" ref="D213">ifs(and(isblank($A213),isblank($B213)),"", not(iserror(vlookup($A213&amp;$B213,'5) Release_Track'!$F:$F&amp;'5) Release_Track'!$G:$G,1,0))),vlookup($A213&amp;$B213,{'5) Release_Track'!$F:$F&amp;'5) Release_Track'!$G:$G,'5) Release_Track'!$I:$I},2,0),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E213" s="92"/>
      <c r="F213" s="92"/>
      <c r="G213" s="125" t="str">
        <f t="array" ref="G213">ifs(or($F213="",$F213="Main Primary Artist"),$F213,not(iserror(vlookup($F213,'Reference info'!$J$5:$J$8,1,0))),"Key Artist",not(iserror(vlookup($F213,'Reference info'!$J$38:$J$405,1,0))),"Performer",not(iserror(vlookup($F213,'Reference info'!$J$10:$J$36,1,0))),"Producer &amp; Engineer")</f>
        <v/>
      </c>
    </row>
    <row r="214">
      <c r="B214" s="97"/>
      <c r="C214" s="121" t="str">
        <f t="array" ref="C214">ifs(and(isblank($A214),isblank($B214)),"", not(iserror(vlookup($A214&amp;$B214,'5) Release_Track'!$F:$F&amp;'5) Release_Track'!$G:$G,1,0))),vlookup($A214&amp;$B214,{'5) Release_Track'!$F:$F&amp;'5) Release_Track'!$G:$G,'5) Release_Track'!$H:$H},2,0),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D214" s="121" t="str">
        <f t="array" ref="D214">ifs(and(isblank($A214),isblank($B214)),"", not(iserror(vlookup($A214&amp;$B214,'5) Release_Track'!$F:$F&amp;'5) Release_Track'!$G:$G,1,0))),vlookup($A214&amp;$B214,{'5) Release_Track'!$F:$F&amp;'5) Release_Track'!$G:$G,'5) Release_Track'!$I:$I},2,0),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E214" s="92"/>
      <c r="F214" s="92"/>
      <c r="G214" s="125" t="str">
        <f t="array" ref="G214">ifs(or($F214="",$F214="Main Primary Artist"),$F214,not(iserror(vlookup($F214,'Reference info'!$J$5:$J$8,1,0))),"Key Artist",not(iserror(vlookup($F214,'Reference info'!$J$38:$J$405,1,0))),"Performer",not(iserror(vlookup($F214,'Reference info'!$J$10:$J$36,1,0))),"Producer &amp; Engineer")</f>
        <v/>
      </c>
    </row>
    <row r="215">
      <c r="B215" s="97"/>
      <c r="C215" s="121" t="str">
        <f t="array" ref="C215">ifs(and(isblank($A215),isblank($B215)),"", not(iserror(vlookup($A215&amp;$B215,'5) Release_Track'!$F:$F&amp;'5) Release_Track'!$G:$G,1,0))),vlookup($A215&amp;$B215,{'5) Release_Track'!$F:$F&amp;'5) Release_Track'!$G:$G,'5) Release_Track'!$H:$H},2,0),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D215" s="121" t="str">
        <f t="array" ref="D215">ifs(and(isblank($A215),isblank($B215)),"", not(iserror(vlookup($A215&amp;$B215,'5) Release_Track'!$F:$F&amp;'5) Release_Track'!$G:$G,1,0))),vlookup($A215&amp;$B215,{'5) Release_Track'!$F:$F&amp;'5) Release_Track'!$G:$G,'5) Release_Track'!$I:$I},2,0),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E215" s="92"/>
      <c r="F215" s="92"/>
      <c r="G215" s="125" t="str">
        <f t="array" ref="G215">ifs(or($F215="",$F215="Main Primary Artist"),$F215,not(iserror(vlookup($F215,'Reference info'!$J$5:$J$8,1,0))),"Key Artist",not(iserror(vlookup($F215,'Reference info'!$J$38:$J$405,1,0))),"Performer",not(iserror(vlookup($F215,'Reference info'!$J$10:$J$36,1,0))),"Producer &amp; Engineer")</f>
        <v/>
      </c>
    </row>
    <row r="216">
      <c r="B216" s="97"/>
      <c r="C216" s="121" t="str">
        <f t="array" ref="C216">ifs(and(isblank($A216),isblank($B216)),"", not(iserror(vlookup($A216&amp;$B216,'5) Release_Track'!$F:$F&amp;'5) Release_Track'!$G:$G,1,0))),vlookup($A216&amp;$B216,{'5) Release_Track'!$F:$F&amp;'5) Release_Track'!$G:$G,'5) Release_Track'!$H:$H},2,0),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D216" s="121" t="str">
        <f t="array" ref="D216">ifs(and(isblank($A216),isblank($B216)),"", not(iserror(vlookup($A216&amp;$B216,'5) Release_Track'!$F:$F&amp;'5) Release_Track'!$G:$G,1,0))),vlookup($A216&amp;$B216,{'5) Release_Track'!$F:$F&amp;'5) Release_Track'!$G:$G,'5) Release_Track'!$I:$I},2,0),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E216" s="92"/>
      <c r="F216" s="92"/>
      <c r="G216" s="125" t="str">
        <f t="array" ref="G216">ifs(or($F216="",$F216="Main Primary Artist"),$F216,not(iserror(vlookup($F216,'Reference info'!$J$5:$J$8,1,0))),"Key Artist",not(iserror(vlookup($F216,'Reference info'!$J$38:$J$405,1,0))),"Performer",not(iserror(vlookup($F216,'Reference info'!$J$10:$J$36,1,0))),"Producer &amp; Engineer")</f>
        <v/>
      </c>
    </row>
    <row r="217">
      <c r="B217" s="97"/>
      <c r="C217" s="121" t="str">
        <f t="array" ref="C217">ifs(and(isblank($A217),isblank($B217)),"", not(iserror(vlookup($A217&amp;$B217,'5) Release_Track'!$F:$F&amp;'5) Release_Track'!$G:$G,1,0))),vlookup($A217&amp;$B217,{'5) Release_Track'!$F:$F&amp;'5) Release_Track'!$G:$G,'5) Release_Track'!$H:$H},2,0),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D217" s="121" t="str">
        <f t="array" ref="D217">ifs(and(isblank($A217),isblank($B217)),"", not(iserror(vlookup($A217&amp;$B217,'5) Release_Track'!$F:$F&amp;'5) Release_Track'!$G:$G,1,0))),vlookup($A217&amp;$B217,{'5) Release_Track'!$F:$F&amp;'5) Release_Track'!$G:$G,'5) Release_Track'!$I:$I},2,0),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E217" s="92"/>
      <c r="F217" s="92"/>
      <c r="G217" s="125" t="str">
        <f t="array" ref="G217">ifs(or($F217="",$F217="Main Primary Artist"),$F217,not(iserror(vlookup($F217,'Reference info'!$J$5:$J$8,1,0))),"Key Artist",not(iserror(vlookup($F217,'Reference info'!$J$38:$J$405,1,0))),"Performer",not(iserror(vlookup($F217,'Reference info'!$J$10:$J$36,1,0))),"Producer &amp; Engineer")</f>
        <v/>
      </c>
    </row>
    <row r="218">
      <c r="B218" s="97"/>
      <c r="C218" s="121" t="str">
        <f t="array" ref="C218">ifs(and(isblank($A218),isblank($B218)),"", not(iserror(vlookup($A218&amp;$B218,'5) Release_Track'!$F:$F&amp;'5) Release_Track'!$G:$G,1,0))),vlookup($A218&amp;$B218,{'5) Release_Track'!$F:$F&amp;'5) Release_Track'!$G:$G,'5) Release_Track'!$H:$H},2,0),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D218" s="121" t="str">
        <f t="array" ref="D218">ifs(and(isblank($A218),isblank($B218)),"", not(iserror(vlookup($A218&amp;$B218,'5) Release_Track'!$F:$F&amp;'5) Release_Track'!$G:$G,1,0))),vlookup($A218&amp;$B218,{'5) Release_Track'!$F:$F&amp;'5) Release_Track'!$G:$G,'5) Release_Track'!$I:$I},2,0),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E218" s="92"/>
      <c r="F218" s="92"/>
      <c r="G218" s="125" t="str">
        <f t="array" ref="G218">ifs(or($F218="",$F218="Main Primary Artist"),$F218,not(iserror(vlookup($F218,'Reference info'!$J$5:$J$8,1,0))),"Key Artist",not(iserror(vlookup($F218,'Reference info'!$J$38:$J$405,1,0))),"Performer",not(iserror(vlookup($F218,'Reference info'!$J$10:$J$36,1,0))),"Producer &amp; Engineer")</f>
        <v/>
      </c>
    </row>
    <row r="219">
      <c r="B219" s="97"/>
      <c r="C219" s="121" t="str">
        <f t="array" ref="C219">ifs(and(isblank($A219),isblank($B219)),"", not(iserror(vlookup($A219&amp;$B219,'5) Release_Track'!$F:$F&amp;'5) Release_Track'!$G:$G,1,0))),vlookup($A219&amp;$B219,{'5) Release_Track'!$F:$F&amp;'5) Release_Track'!$G:$G,'5) Release_Track'!$H:$H},2,0),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D219" s="121" t="str">
        <f t="array" ref="D219">ifs(and(isblank($A219),isblank($B219)),"", not(iserror(vlookup($A219&amp;$B219,'5) Release_Track'!$F:$F&amp;'5) Release_Track'!$G:$G,1,0))),vlookup($A219&amp;$B219,{'5) Release_Track'!$F:$F&amp;'5) Release_Track'!$G:$G,'5) Release_Track'!$I:$I},2,0),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E219" s="92"/>
      <c r="F219" s="92"/>
      <c r="G219" s="125" t="str">
        <f t="array" ref="G219">ifs(or($F219="",$F219="Main Primary Artist"),$F219,not(iserror(vlookup($F219,'Reference info'!$J$5:$J$8,1,0))),"Key Artist",not(iserror(vlookup($F219,'Reference info'!$J$38:$J$405,1,0))),"Performer",not(iserror(vlookup($F219,'Reference info'!$J$10:$J$36,1,0))),"Producer &amp; Engineer")</f>
        <v/>
      </c>
    </row>
    <row r="220">
      <c r="B220" s="97"/>
      <c r="C220" s="121" t="str">
        <f t="array" ref="C220">ifs(and(isblank($A220),isblank($B220)),"", not(iserror(vlookup($A220&amp;$B220,'5) Release_Track'!$F:$F&amp;'5) Release_Track'!$G:$G,1,0))),vlookup($A220&amp;$B220,{'5) Release_Track'!$F:$F&amp;'5) Release_Track'!$G:$G,'5) Release_Track'!$H:$H},2,0),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D220" s="121" t="str">
        <f t="array" ref="D220">ifs(and(isblank($A220),isblank($B220)),"", not(iserror(vlookup($A220&amp;$B220,'5) Release_Track'!$F:$F&amp;'5) Release_Track'!$G:$G,1,0))),vlookup($A220&amp;$B220,{'5) Release_Track'!$F:$F&amp;'5) Release_Track'!$G:$G,'5) Release_Track'!$I:$I},2,0),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E220" s="92"/>
      <c r="F220" s="92"/>
      <c r="G220" s="125" t="str">
        <f t="array" ref="G220">ifs(or($F220="",$F220="Main Primary Artist"),$F220,not(iserror(vlookup($F220,'Reference info'!$J$5:$J$8,1,0))),"Key Artist",not(iserror(vlookup($F220,'Reference info'!$J$38:$J$405,1,0))),"Performer",not(iserror(vlookup($F220,'Reference info'!$J$10:$J$36,1,0))),"Producer &amp; Engineer")</f>
        <v/>
      </c>
    </row>
    <row r="221">
      <c r="B221" s="97"/>
      <c r="C221" s="121" t="str">
        <f t="array" ref="C221">ifs(and(isblank($A221),isblank($B221)),"", not(iserror(vlookup($A221&amp;$B221,'5) Release_Track'!$F:$F&amp;'5) Release_Track'!$G:$G,1,0))),vlookup($A221&amp;$B221,{'5) Release_Track'!$F:$F&amp;'5) Release_Track'!$G:$G,'5) Release_Track'!$H:$H},2,0),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D221" s="121" t="str">
        <f t="array" ref="D221">ifs(and(isblank($A221),isblank($B221)),"", not(iserror(vlookup($A221&amp;$B221,'5) Release_Track'!$F:$F&amp;'5) Release_Track'!$G:$G,1,0))),vlookup($A221&amp;$B221,{'5) Release_Track'!$F:$F&amp;'5) Release_Track'!$G:$G,'5) Release_Track'!$I:$I},2,0),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E221" s="92"/>
      <c r="F221" s="92"/>
      <c r="G221" s="125" t="str">
        <f t="array" ref="G221">ifs(or($F221="",$F221="Main Primary Artist"),$F221,not(iserror(vlookup($F221,'Reference info'!$J$5:$J$8,1,0))),"Key Artist",not(iserror(vlookup($F221,'Reference info'!$J$38:$J$405,1,0))),"Performer",not(iserror(vlookup($F221,'Reference info'!$J$10:$J$36,1,0))),"Producer &amp; Engineer")</f>
        <v/>
      </c>
    </row>
    <row r="222">
      <c r="B222" s="97"/>
      <c r="C222" s="121" t="str">
        <f t="array" ref="C222">ifs(and(isblank($A222),isblank($B222)),"", not(iserror(vlookup($A222&amp;$B222,'5) Release_Track'!$F:$F&amp;'5) Release_Track'!$G:$G,1,0))),vlookup($A222&amp;$B222,{'5) Release_Track'!$F:$F&amp;'5) Release_Track'!$G:$G,'5) Release_Track'!$H:$H},2,0),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D222" s="121" t="str">
        <f t="array" ref="D222">ifs(and(isblank($A222),isblank($B222)),"", not(iserror(vlookup($A222&amp;$B222,'5) Release_Track'!$F:$F&amp;'5) Release_Track'!$G:$G,1,0))),vlookup($A222&amp;$B222,{'5) Release_Track'!$F:$F&amp;'5) Release_Track'!$G:$G,'5) Release_Track'!$I:$I},2,0),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E222" s="92"/>
      <c r="F222" s="92"/>
      <c r="G222" s="125" t="str">
        <f t="array" ref="G222">ifs(or($F222="",$F222="Main Primary Artist"),$F222,not(iserror(vlookup($F222,'Reference info'!$J$5:$J$8,1,0))),"Key Artist",not(iserror(vlookup($F222,'Reference info'!$J$38:$J$405,1,0))),"Performer",not(iserror(vlookup($F222,'Reference info'!$J$10:$J$36,1,0))),"Producer &amp; Engineer")</f>
        <v/>
      </c>
    </row>
    <row r="223">
      <c r="B223" s="97"/>
      <c r="C223" s="121" t="str">
        <f t="array" ref="C223">ifs(and(isblank($A223),isblank($B223)),"", not(iserror(vlookup($A223&amp;$B223,'5) Release_Track'!$F:$F&amp;'5) Release_Track'!$G:$G,1,0))),vlookup($A223&amp;$B223,{'5) Release_Track'!$F:$F&amp;'5) Release_Track'!$G:$G,'5) Release_Track'!$H:$H},2,0),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D223" s="121" t="str">
        <f t="array" ref="D223">ifs(and(isblank($A223),isblank($B223)),"", not(iserror(vlookup($A223&amp;$B223,'5) Release_Track'!$F:$F&amp;'5) Release_Track'!$G:$G,1,0))),vlookup($A223&amp;$B223,{'5) Release_Track'!$F:$F&amp;'5) Release_Track'!$G:$G,'5) Release_Track'!$I:$I},2,0),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E223" s="92"/>
      <c r="F223" s="92"/>
      <c r="G223" s="125" t="str">
        <f t="array" ref="G223">ifs(or($F223="",$F223="Main Primary Artist"),$F223,not(iserror(vlookup($F223,'Reference info'!$J$5:$J$8,1,0))),"Key Artist",not(iserror(vlookup($F223,'Reference info'!$J$38:$J$405,1,0))),"Performer",not(iserror(vlookup($F223,'Reference info'!$J$10:$J$36,1,0))),"Producer &amp; Engineer")</f>
        <v/>
      </c>
    </row>
    <row r="224">
      <c r="B224" s="97"/>
      <c r="C224" s="121" t="str">
        <f t="array" ref="C224">ifs(and(isblank($A224),isblank($B224)),"", not(iserror(vlookup($A224&amp;$B224,'5) Release_Track'!$F:$F&amp;'5) Release_Track'!$G:$G,1,0))),vlookup($A224&amp;$B224,{'5) Release_Track'!$F:$F&amp;'5) Release_Track'!$G:$G,'5) Release_Track'!$H:$H},2,0),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D224" s="121" t="str">
        <f t="array" ref="D224">ifs(and(isblank($A224),isblank($B224)),"", not(iserror(vlookup($A224&amp;$B224,'5) Release_Track'!$F:$F&amp;'5) Release_Track'!$G:$G,1,0))),vlookup($A224&amp;$B224,{'5) Release_Track'!$F:$F&amp;'5) Release_Track'!$G:$G,'5) Release_Track'!$I:$I},2,0),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E224" s="92"/>
      <c r="F224" s="92"/>
      <c r="G224" s="125" t="str">
        <f t="array" ref="G224">ifs(or($F224="",$F224="Main Primary Artist"),$F224,not(iserror(vlookup($F224,'Reference info'!$J$5:$J$8,1,0))),"Key Artist",not(iserror(vlookup($F224,'Reference info'!$J$38:$J$405,1,0))),"Performer",not(iserror(vlookup($F224,'Reference info'!$J$10:$J$36,1,0))),"Producer &amp; Engineer")</f>
        <v/>
      </c>
    </row>
    <row r="225">
      <c r="B225" s="97"/>
      <c r="C225" s="121" t="str">
        <f t="array" ref="C225">ifs(and(isblank($A225),isblank($B225)),"", not(iserror(vlookup($A225&amp;$B225,'5) Release_Track'!$F:$F&amp;'5) Release_Track'!$G:$G,1,0))),vlookup($A225&amp;$B225,{'5) Release_Track'!$F:$F&amp;'5) Release_Track'!$G:$G,'5) Release_Track'!$H:$H},2,0),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D225" s="121" t="str">
        <f t="array" ref="D225">ifs(and(isblank($A225),isblank($B225)),"", not(iserror(vlookup($A225&amp;$B225,'5) Release_Track'!$F:$F&amp;'5) Release_Track'!$G:$G,1,0))),vlookup($A225&amp;$B225,{'5) Release_Track'!$F:$F&amp;'5) Release_Track'!$G:$G,'5) Release_Track'!$I:$I},2,0),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E225" s="92"/>
      <c r="F225" s="92"/>
      <c r="G225" s="125" t="str">
        <f t="array" ref="G225">ifs(or($F225="",$F225="Main Primary Artist"),$F225,not(iserror(vlookup($F225,'Reference info'!$J$5:$J$8,1,0))),"Key Artist",not(iserror(vlookup($F225,'Reference info'!$J$38:$J$405,1,0))),"Performer",not(iserror(vlookup($F225,'Reference info'!$J$10:$J$36,1,0))),"Producer &amp; Engineer")</f>
        <v/>
      </c>
    </row>
    <row r="226">
      <c r="B226" s="97"/>
      <c r="C226" s="121" t="str">
        <f t="array" ref="C226">ifs(and(isblank($A226),isblank($B226)),"", not(iserror(vlookup($A226&amp;$B226,'5) Release_Track'!$F:$F&amp;'5) Release_Track'!$G:$G,1,0))),vlookup($A226&amp;$B226,{'5) Release_Track'!$F:$F&amp;'5) Release_Track'!$G:$G,'5) Release_Track'!$H:$H},2,0),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D226" s="121" t="str">
        <f t="array" ref="D226">ifs(and(isblank($A226),isblank($B226)),"", not(iserror(vlookup($A226&amp;$B226,'5) Release_Track'!$F:$F&amp;'5) Release_Track'!$G:$G,1,0))),vlookup($A226&amp;$B226,{'5) Release_Track'!$F:$F&amp;'5) Release_Track'!$G:$G,'5) Release_Track'!$I:$I},2,0),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E226" s="92"/>
      <c r="F226" s="92"/>
      <c r="G226" s="125" t="str">
        <f t="array" ref="G226">ifs(or($F226="",$F226="Main Primary Artist"),$F226,not(iserror(vlookup($F226,'Reference info'!$J$5:$J$8,1,0))),"Key Artist",not(iserror(vlookup($F226,'Reference info'!$J$38:$J$405,1,0))),"Performer",not(iserror(vlookup($F226,'Reference info'!$J$10:$J$36,1,0))),"Producer &amp; Engineer")</f>
        <v/>
      </c>
    </row>
    <row r="227">
      <c r="B227" s="97"/>
      <c r="C227" s="121" t="str">
        <f t="array" ref="C227">ifs(and(isblank($A227),isblank($B227)),"", not(iserror(vlookup($A227&amp;$B227,'5) Release_Track'!$F:$F&amp;'5) Release_Track'!$G:$G,1,0))),vlookup($A227&amp;$B227,{'5) Release_Track'!$F:$F&amp;'5) Release_Track'!$G:$G,'5) Release_Track'!$H:$H},2,0),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D227" s="121" t="str">
        <f t="array" ref="D227">ifs(and(isblank($A227),isblank($B227)),"", not(iserror(vlookup($A227&amp;$B227,'5) Release_Track'!$F:$F&amp;'5) Release_Track'!$G:$G,1,0))),vlookup($A227&amp;$B227,{'5) Release_Track'!$F:$F&amp;'5) Release_Track'!$G:$G,'5) Release_Track'!$I:$I},2,0),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E227" s="92"/>
      <c r="F227" s="92"/>
      <c r="G227" s="125" t="str">
        <f t="array" ref="G227">ifs(or($F227="",$F227="Main Primary Artist"),$F227,not(iserror(vlookup($F227,'Reference info'!$J$5:$J$8,1,0))),"Key Artist",not(iserror(vlookup($F227,'Reference info'!$J$38:$J$405,1,0))),"Performer",not(iserror(vlookup($F227,'Reference info'!$J$10:$J$36,1,0))),"Producer &amp; Engineer")</f>
        <v/>
      </c>
    </row>
    <row r="228">
      <c r="B228" s="97"/>
      <c r="C228" s="121" t="str">
        <f t="array" ref="C228">ifs(and(isblank($A228),isblank($B228)),"", not(iserror(vlookup($A228&amp;$B228,'5) Release_Track'!$F:$F&amp;'5) Release_Track'!$G:$G,1,0))),vlookup($A228&amp;$B228,{'5) Release_Track'!$F:$F&amp;'5) Release_Track'!$G:$G,'5) Release_Track'!$H:$H},2,0),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D228" s="121" t="str">
        <f t="array" ref="D228">ifs(and(isblank($A228),isblank($B228)),"", not(iserror(vlookup($A228&amp;$B228,'5) Release_Track'!$F:$F&amp;'5) Release_Track'!$G:$G,1,0))),vlookup($A228&amp;$B228,{'5) Release_Track'!$F:$F&amp;'5) Release_Track'!$G:$G,'5) Release_Track'!$I:$I},2,0),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E228" s="92"/>
      <c r="F228" s="92"/>
      <c r="G228" s="125" t="str">
        <f t="array" ref="G228">ifs(or($F228="",$F228="Main Primary Artist"),$F228,not(iserror(vlookup($F228,'Reference info'!$J$5:$J$8,1,0))),"Key Artist",not(iserror(vlookup($F228,'Reference info'!$J$38:$J$405,1,0))),"Performer",not(iserror(vlookup($F228,'Reference info'!$J$10:$J$36,1,0))),"Producer &amp; Engineer")</f>
        <v/>
      </c>
    </row>
    <row r="229">
      <c r="B229" s="97"/>
      <c r="C229" s="121" t="str">
        <f t="array" ref="C229">ifs(and(isblank($A229),isblank($B229)),"", not(iserror(vlookup($A229&amp;$B229,'5) Release_Track'!$F:$F&amp;'5) Release_Track'!$G:$G,1,0))),vlookup($A229&amp;$B229,{'5) Release_Track'!$F:$F&amp;'5) Release_Track'!$G:$G,'5) Release_Track'!$H:$H},2,0),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D229" s="121" t="str">
        <f t="array" ref="D229">ifs(and(isblank($A229),isblank($B229)),"", not(iserror(vlookup($A229&amp;$B229,'5) Release_Track'!$F:$F&amp;'5) Release_Track'!$G:$G,1,0))),vlookup($A229&amp;$B229,{'5) Release_Track'!$F:$F&amp;'5) Release_Track'!$G:$G,'5) Release_Track'!$I:$I},2,0),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E229" s="92"/>
      <c r="F229" s="92"/>
      <c r="G229" s="125" t="str">
        <f t="array" ref="G229">ifs(or($F229="",$F229="Main Primary Artist"),$F229,not(iserror(vlookup($F229,'Reference info'!$J$5:$J$8,1,0))),"Key Artist",not(iserror(vlookup($F229,'Reference info'!$J$38:$J$405,1,0))),"Performer",not(iserror(vlookup($F229,'Reference info'!$J$10:$J$36,1,0))),"Producer &amp; Engineer")</f>
        <v/>
      </c>
    </row>
    <row r="230">
      <c r="B230" s="97"/>
      <c r="C230" s="121" t="str">
        <f t="array" ref="C230">ifs(and(isblank($A230),isblank($B230)),"", not(iserror(vlookup($A230&amp;$B230,'5) Release_Track'!$F:$F&amp;'5) Release_Track'!$G:$G,1,0))),vlookup($A230&amp;$B230,{'5) Release_Track'!$F:$F&amp;'5) Release_Track'!$G:$G,'5) Release_Track'!$H:$H},2,0),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D230" s="121" t="str">
        <f t="array" ref="D230">ifs(and(isblank($A230),isblank($B230)),"", not(iserror(vlookup($A230&amp;$B230,'5) Release_Track'!$F:$F&amp;'5) Release_Track'!$G:$G,1,0))),vlookup($A230&amp;$B230,{'5) Release_Track'!$F:$F&amp;'5) Release_Track'!$G:$G,'5) Release_Track'!$I:$I},2,0),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E230" s="92"/>
      <c r="F230" s="92"/>
      <c r="G230" s="125" t="str">
        <f t="array" ref="G230">ifs(or($F230="",$F230="Main Primary Artist"),$F230,not(iserror(vlookup($F230,'Reference info'!$J$5:$J$8,1,0))),"Key Artist",not(iserror(vlookup($F230,'Reference info'!$J$38:$J$405,1,0))),"Performer",not(iserror(vlookup($F230,'Reference info'!$J$10:$J$36,1,0))),"Producer &amp; Engineer")</f>
        <v/>
      </c>
    </row>
    <row r="231">
      <c r="B231" s="97"/>
      <c r="C231" s="121" t="str">
        <f t="array" ref="C231">ifs(and(isblank($A231),isblank($B231)),"", not(iserror(vlookup($A231&amp;$B231,'5) Release_Track'!$F:$F&amp;'5) Release_Track'!$G:$G,1,0))),vlookup($A231&amp;$B231,{'5) Release_Track'!$F:$F&amp;'5) Release_Track'!$G:$G,'5) Release_Track'!$H:$H},2,0),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D231" s="121" t="str">
        <f t="array" ref="D231">ifs(and(isblank($A231),isblank($B231)),"", not(iserror(vlookup($A231&amp;$B231,'5) Release_Track'!$F:$F&amp;'5) Release_Track'!$G:$G,1,0))),vlookup($A231&amp;$B231,{'5) Release_Track'!$F:$F&amp;'5) Release_Track'!$G:$G,'5) Release_Track'!$I:$I},2,0),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E231" s="92"/>
      <c r="F231" s="92"/>
      <c r="G231" s="125" t="str">
        <f t="array" ref="G231">ifs(or($F231="",$F231="Main Primary Artist"),$F231,not(iserror(vlookup($F231,'Reference info'!$J$5:$J$8,1,0))),"Key Artist",not(iserror(vlookup($F231,'Reference info'!$J$38:$J$405,1,0))),"Performer",not(iserror(vlookup($F231,'Reference info'!$J$10:$J$36,1,0))),"Producer &amp; Engineer")</f>
        <v/>
      </c>
    </row>
    <row r="232">
      <c r="B232" s="97"/>
      <c r="C232" s="121" t="str">
        <f t="array" ref="C232">ifs(and(isblank($A232),isblank($B232)),"", not(iserror(vlookup($A232&amp;$B232,'5) Release_Track'!$F:$F&amp;'5) Release_Track'!$G:$G,1,0))),vlookup($A232&amp;$B232,{'5) Release_Track'!$F:$F&amp;'5) Release_Track'!$G:$G,'5) Release_Track'!$H:$H},2,0),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D232" s="121" t="str">
        <f t="array" ref="D232">ifs(and(isblank($A232),isblank($B232)),"", not(iserror(vlookup($A232&amp;$B232,'5) Release_Track'!$F:$F&amp;'5) Release_Track'!$G:$G,1,0))),vlookup($A232&amp;$B232,{'5) Release_Track'!$F:$F&amp;'5) Release_Track'!$G:$G,'5) Release_Track'!$I:$I},2,0),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E232" s="92"/>
      <c r="F232" s="92"/>
      <c r="G232" s="125" t="str">
        <f t="array" ref="G232">ifs(or($F232="",$F232="Main Primary Artist"),$F232,not(iserror(vlookup($F232,'Reference info'!$J$5:$J$8,1,0))),"Key Artist",not(iserror(vlookup($F232,'Reference info'!$J$38:$J$405,1,0))),"Performer",not(iserror(vlookup($F232,'Reference info'!$J$10:$J$36,1,0))),"Producer &amp; Engineer")</f>
        <v/>
      </c>
    </row>
    <row r="233">
      <c r="B233" s="97"/>
      <c r="C233" s="121" t="str">
        <f t="array" ref="C233">ifs(and(isblank($A233),isblank($B233)),"", not(iserror(vlookup($A233&amp;$B233,'5) Release_Track'!$F:$F&amp;'5) Release_Track'!$G:$G,1,0))),vlookup($A233&amp;$B233,{'5) Release_Track'!$F:$F&amp;'5) Release_Track'!$G:$G,'5) Release_Track'!$H:$H},2,0),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D233" s="121" t="str">
        <f t="array" ref="D233">ifs(and(isblank($A233),isblank($B233)),"", not(iserror(vlookup($A233&amp;$B233,'5) Release_Track'!$F:$F&amp;'5) Release_Track'!$G:$G,1,0))),vlookup($A233&amp;$B233,{'5) Release_Track'!$F:$F&amp;'5) Release_Track'!$G:$G,'5) Release_Track'!$I:$I},2,0),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E233" s="92"/>
      <c r="F233" s="92"/>
      <c r="G233" s="125" t="str">
        <f t="array" ref="G233">ifs(or($F233="",$F233="Main Primary Artist"),$F233,not(iserror(vlookup($F233,'Reference info'!$J$5:$J$8,1,0))),"Key Artist",not(iserror(vlookup($F233,'Reference info'!$J$38:$J$405,1,0))),"Performer",not(iserror(vlookup($F233,'Reference info'!$J$10:$J$36,1,0))),"Producer &amp; Engineer")</f>
        <v/>
      </c>
    </row>
    <row r="234">
      <c r="B234" s="97"/>
      <c r="C234" s="121" t="str">
        <f t="array" ref="C234">ifs(and(isblank($A234),isblank($B234)),"", not(iserror(vlookup($A234&amp;$B234,'5) Release_Track'!$F:$F&amp;'5) Release_Track'!$G:$G,1,0))),vlookup($A234&amp;$B234,{'5) Release_Track'!$F:$F&amp;'5) Release_Track'!$G:$G,'5) Release_Track'!$H:$H},2,0),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D234" s="121" t="str">
        <f t="array" ref="D234">ifs(and(isblank($A234),isblank($B234)),"", not(iserror(vlookup($A234&amp;$B234,'5) Release_Track'!$F:$F&amp;'5) Release_Track'!$G:$G,1,0))),vlookup($A234&amp;$B234,{'5) Release_Track'!$F:$F&amp;'5) Release_Track'!$G:$G,'5) Release_Track'!$I:$I},2,0),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E234" s="92"/>
      <c r="F234" s="92"/>
      <c r="G234" s="125" t="str">
        <f t="array" ref="G234">ifs(or($F234="",$F234="Main Primary Artist"),$F234,not(iserror(vlookup($F234,'Reference info'!$J$5:$J$8,1,0))),"Key Artist",not(iserror(vlookup($F234,'Reference info'!$J$38:$J$405,1,0))),"Performer",not(iserror(vlookup($F234,'Reference info'!$J$10:$J$36,1,0))),"Producer &amp; Engineer")</f>
        <v/>
      </c>
    </row>
    <row r="235">
      <c r="B235" s="97"/>
      <c r="C235" s="121" t="str">
        <f t="array" ref="C235">ifs(and(isblank($A235),isblank($B235)),"", not(iserror(vlookup($A235&amp;$B235,'5) Release_Track'!$F:$F&amp;'5) Release_Track'!$G:$G,1,0))),vlookup($A235&amp;$B235,{'5) Release_Track'!$F:$F&amp;'5) Release_Track'!$G:$G,'5) Release_Track'!$H:$H},2,0),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D235" s="121" t="str">
        <f t="array" ref="D235">ifs(and(isblank($A235),isblank($B235)),"", not(iserror(vlookup($A235&amp;$B235,'5) Release_Track'!$F:$F&amp;'5) Release_Track'!$G:$G,1,0))),vlookup($A235&amp;$B235,{'5) Release_Track'!$F:$F&amp;'5) Release_Track'!$G:$G,'5) Release_Track'!$I:$I},2,0),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E235" s="92"/>
      <c r="F235" s="92"/>
      <c r="G235" s="125" t="str">
        <f t="array" ref="G235">ifs(or($F235="",$F235="Main Primary Artist"),$F235,not(iserror(vlookup($F235,'Reference info'!$J$5:$J$8,1,0))),"Key Artist",not(iserror(vlookup($F235,'Reference info'!$J$38:$J$405,1,0))),"Performer",not(iserror(vlookup($F235,'Reference info'!$J$10:$J$36,1,0))),"Producer &amp; Engineer")</f>
        <v/>
      </c>
    </row>
    <row r="236">
      <c r="B236" s="97"/>
      <c r="C236" s="121" t="str">
        <f t="array" ref="C236">ifs(and(isblank($A236),isblank($B236)),"", not(iserror(vlookup($A236&amp;$B236,'5) Release_Track'!$F:$F&amp;'5) Release_Track'!$G:$G,1,0))),vlookup($A236&amp;$B236,{'5) Release_Track'!$F:$F&amp;'5) Release_Track'!$G:$G,'5) Release_Track'!$H:$H},2,0),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D236" s="121" t="str">
        <f t="array" ref="D236">ifs(and(isblank($A236),isblank($B236)),"", not(iserror(vlookup($A236&amp;$B236,'5) Release_Track'!$F:$F&amp;'5) Release_Track'!$G:$G,1,0))),vlookup($A236&amp;$B236,{'5) Release_Track'!$F:$F&amp;'5) Release_Track'!$G:$G,'5) Release_Track'!$I:$I},2,0),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E236" s="92"/>
      <c r="F236" s="92"/>
      <c r="G236" s="125" t="str">
        <f t="array" ref="G236">ifs(or($F236="",$F236="Main Primary Artist"),$F236,not(iserror(vlookup($F236,'Reference info'!$J$5:$J$8,1,0))),"Key Artist",not(iserror(vlookup($F236,'Reference info'!$J$38:$J$405,1,0))),"Performer",not(iserror(vlookup($F236,'Reference info'!$J$10:$J$36,1,0))),"Producer &amp; Engineer")</f>
        <v/>
      </c>
    </row>
    <row r="237">
      <c r="B237" s="97"/>
      <c r="C237" s="121" t="str">
        <f t="array" ref="C237">ifs(and(isblank($A237),isblank($B237)),"", not(iserror(vlookup($A237&amp;$B237,'5) Release_Track'!$F:$F&amp;'5) Release_Track'!$G:$G,1,0))),vlookup($A237&amp;$B237,{'5) Release_Track'!$F:$F&amp;'5) Release_Track'!$G:$G,'5) Release_Track'!$H:$H},2,0),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D237" s="121" t="str">
        <f t="array" ref="D237">ifs(and(isblank($A237),isblank($B237)),"", not(iserror(vlookup($A237&amp;$B237,'5) Release_Track'!$F:$F&amp;'5) Release_Track'!$G:$G,1,0))),vlookup($A237&amp;$B237,{'5) Release_Track'!$F:$F&amp;'5) Release_Track'!$G:$G,'5) Release_Track'!$I:$I},2,0),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E237" s="92"/>
      <c r="F237" s="92"/>
      <c r="G237" s="125" t="str">
        <f t="array" ref="G237">ifs(or($F237="",$F237="Main Primary Artist"),$F237,not(iserror(vlookup($F237,'Reference info'!$J$5:$J$8,1,0))),"Key Artist",not(iserror(vlookup($F237,'Reference info'!$J$38:$J$405,1,0))),"Performer",not(iserror(vlookup($F237,'Reference info'!$J$10:$J$36,1,0))),"Producer &amp; Engineer")</f>
        <v/>
      </c>
    </row>
    <row r="238">
      <c r="B238" s="97"/>
      <c r="C238" s="121" t="str">
        <f t="array" ref="C238">ifs(and(isblank($A238),isblank($B238)),"", not(iserror(vlookup($A238&amp;$B238,'5) Release_Track'!$F:$F&amp;'5) Release_Track'!$G:$G,1,0))),vlookup($A238&amp;$B238,{'5) Release_Track'!$F:$F&amp;'5) Release_Track'!$G:$G,'5) Release_Track'!$H:$H},2,0),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D238" s="121" t="str">
        <f t="array" ref="D238">ifs(and(isblank($A238),isblank($B238)),"", not(iserror(vlookup($A238&amp;$B238,'5) Release_Track'!$F:$F&amp;'5) Release_Track'!$G:$G,1,0))),vlookup($A238&amp;$B238,{'5) Release_Track'!$F:$F&amp;'5) Release_Track'!$G:$G,'5) Release_Track'!$I:$I},2,0),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E238" s="92"/>
      <c r="F238" s="92"/>
      <c r="G238" s="125" t="str">
        <f t="array" ref="G238">ifs(or($F238="",$F238="Main Primary Artist"),$F238,not(iserror(vlookup($F238,'Reference info'!$J$5:$J$8,1,0))),"Key Artist",not(iserror(vlookup($F238,'Reference info'!$J$38:$J$405,1,0))),"Performer",not(iserror(vlookup($F238,'Reference info'!$J$10:$J$36,1,0))),"Producer &amp; Engineer")</f>
        <v/>
      </c>
    </row>
    <row r="239">
      <c r="B239" s="97"/>
      <c r="C239" s="121" t="str">
        <f t="array" ref="C239">ifs(and(isblank($A239),isblank($B239)),"", not(iserror(vlookup($A239&amp;$B239,'5) Release_Track'!$F:$F&amp;'5) Release_Track'!$G:$G,1,0))),vlookup($A239&amp;$B239,{'5) Release_Track'!$F:$F&amp;'5) Release_Track'!$G:$G,'5) Release_Track'!$H:$H},2,0),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D239" s="121" t="str">
        <f t="array" ref="D239">ifs(and(isblank($A239),isblank($B239)),"", not(iserror(vlookup($A239&amp;$B239,'5) Release_Track'!$F:$F&amp;'5) Release_Track'!$G:$G,1,0))),vlookup($A239&amp;$B239,{'5) Release_Track'!$F:$F&amp;'5) Release_Track'!$G:$G,'5) Release_Track'!$I:$I},2,0),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E239" s="92"/>
      <c r="F239" s="92"/>
      <c r="G239" s="125" t="str">
        <f t="array" ref="G239">ifs(or($F239="",$F239="Main Primary Artist"),$F239,not(iserror(vlookup($F239,'Reference info'!$J$5:$J$8,1,0))),"Key Artist",not(iserror(vlookup($F239,'Reference info'!$J$38:$J$405,1,0))),"Performer",not(iserror(vlookup($F239,'Reference info'!$J$10:$J$36,1,0))),"Producer &amp; Engineer")</f>
        <v/>
      </c>
    </row>
    <row r="240">
      <c r="B240" s="97"/>
      <c r="C240" s="121" t="str">
        <f t="array" ref="C240">ifs(and(isblank($A240),isblank($B240)),"", not(iserror(vlookup($A240&amp;$B240,'5) Release_Track'!$F:$F&amp;'5) Release_Track'!$G:$G,1,0))),vlookup($A240&amp;$B240,{'5) Release_Track'!$F:$F&amp;'5) Release_Track'!$G:$G,'5) Release_Track'!$H:$H},2,0),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D240" s="121" t="str">
        <f t="array" ref="D240">ifs(and(isblank($A240),isblank($B240)),"", not(iserror(vlookup($A240&amp;$B240,'5) Release_Track'!$F:$F&amp;'5) Release_Track'!$G:$G,1,0))),vlookup($A240&amp;$B240,{'5) Release_Track'!$F:$F&amp;'5) Release_Track'!$G:$G,'5) Release_Track'!$I:$I},2,0),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E240" s="92"/>
      <c r="F240" s="92"/>
      <c r="G240" s="125" t="str">
        <f t="array" ref="G240">ifs(or($F240="",$F240="Main Primary Artist"),$F240,not(iserror(vlookup($F240,'Reference info'!$J$5:$J$8,1,0))),"Key Artist",not(iserror(vlookup($F240,'Reference info'!$J$38:$J$405,1,0))),"Performer",not(iserror(vlookup($F240,'Reference info'!$J$10:$J$36,1,0))),"Producer &amp; Engineer")</f>
        <v/>
      </c>
    </row>
    <row r="241">
      <c r="B241" s="97"/>
      <c r="C241" s="121" t="str">
        <f t="array" ref="C241">ifs(and(isblank($A241),isblank($B241)),"", not(iserror(vlookup($A241&amp;$B241,'5) Release_Track'!$F:$F&amp;'5) Release_Track'!$G:$G,1,0))),vlookup($A241&amp;$B241,{'5) Release_Track'!$F:$F&amp;'5) Release_Track'!$G:$G,'5) Release_Track'!$H:$H},2,0),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D241" s="121" t="str">
        <f t="array" ref="D241">ifs(and(isblank($A241),isblank($B241)),"", not(iserror(vlookup($A241&amp;$B241,'5) Release_Track'!$F:$F&amp;'5) Release_Track'!$G:$G,1,0))),vlookup($A241&amp;$B241,{'5) Release_Track'!$F:$F&amp;'5) Release_Track'!$G:$G,'5) Release_Track'!$I:$I},2,0),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E241" s="92"/>
      <c r="F241" s="92"/>
      <c r="G241" s="125" t="str">
        <f t="array" ref="G241">ifs(or($F241="",$F241="Main Primary Artist"),$F241,not(iserror(vlookup($F241,'Reference info'!$J$5:$J$8,1,0))),"Key Artist",not(iserror(vlookup($F241,'Reference info'!$J$38:$J$405,1,0))),"Performer",not(iserror(vlookup($F241,'Reference info'!$J$10:$J$36,1,0))),"Producer &amp; Engineer")</f>
        <v/>
      </c>
    </row>
    <row r="242">
      <c r="B242" s="97"/>
      <c r="C242" s="121" t="str">
        <f t="array" ref="C242">ifs(and(isblank($A242),isblank($B242)),"", not(iserror(vlookup($A242&amp;$B242,'5) Release_Track'!$F:$F&amp;'5) Release_Track'!$G:$G,1,0))),vlookup($A242&amp;$B242,{'5) Release_Track'!$F:$F&amp;'5) Release_Track'!$G:$G,'5) Release_Track'!$H:$H},2,0),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D242" s="121" t="str">
        <f t="array" ref="D242">ifs(and(isblank($A242),isblank($B242)),"", not(iserror(vlookup($A242&amp;$B242,'5) Release_Track'!$F:$F&amp;'5) Release_Track'!$G:$G,1,0))),vlookup($A242&amp;$B242,{'5) Release_Track'!$F:$F&amp;'5) Release_Track'!$G:$G,'5) Release_Track'!$I:$I},2,0),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E242" s="92"/>
      <c r="F242" s="92"/>
      <c r="G242" s="125" t="str">
        <f t="array" ref="G242">ifs(or($F242="",$F242="Main Primary Artist"),$F242,not(iserror(vlookup($F242,'Reference info'!$J$5:$J$8,1,0))),"Key Artist",not(iserror(vlookup($F242,'Reference info'!$J$38:$J$405,1,0))),"Performer",not(iserror(vlookup($F242,'Reference info'!$J$10:$J$36,1,0))),"Producer &amp; Engineer")</f>
        <v/>
      </c>
    </row>
    <row r="243">
      <c r="B243" s="97"/>
      <c r="C243" s="121" t="str">
        <f t="array" ref="C243">ifs(and(isblank($A243),isblank($B243)),"", not(iserror(vlookup($A243&amp;$B243,'5) Release_Track'!$F:$F&amp;'5) Release_Track'!$G:$G,1,0))),vlookup($A243&amp;$B243,{'5) Release_Track'!$F:$F&amp;'5) Release_Track'!$G:$G,'5) Release_Track'!$H:$H},2,0),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D243" s="121" t="str">
        <f t="array" ref="D243">ifs(and(isblank($A243),isblank($B243)),"", not(iserror(vlookup($A243&amp;$B243,'5) Release_Track'!$F:$F&amp;'5) Release_Track'!$G:$G,1,0))),vlookup($A243&amp;$B243,{'5) Release_Track'!$F:$F&amp;'5) Release_Track'!$G:$G,'5) Release_Track'!$I:$I},2,0),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E243" s="92"/>
      <c r="F243" s="92"/>
      <c r="G243" s="125" t="str">
        <f t="array" ref="G243">ifs(or($F243="",$F243="Main Primary Artist"),$F243,not(iserror(vlookup($F243,'Reference info'!$J$5:$J$8,1,0))),"Key Artist",not(iserror(vlookup($F243,'Reference info'!$J$38:$J$405,1,0))),"Performer",not(iserror(vlookup($F243,'Reference info'!$J$10:$J$36,1,0))),"Producer &amp; Engineer")</f>
        <v/>
      </c>
    </row>
    <row r="244">
      <c r="B244" s="97"/>
      <c r="C244" s="121" t="str">
        <f t="array" ref="C244">ifs(and(isblank($A244),isblank($B244)),"", not(iserror(vlookup($A244&amp;$B244,'5) Release_Track'!$F:$F&amp;'5) Release_Track'!$G:$G,1,0))),vlookup($A244&amp;$B244,{'5) Release_Track'!$F:$F&amp;'5) Release_Track'!$G:$G,'5) Release_Track'!$H:$H},2,0),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D244" s="121" t="str">
        <f t="array" ref="D244">ifs(and(isblank($A244),isblank($B244)),"", not(iserror(vlookup($A244&amp;$B244,'5) Release_Track'!$F:$F&amp;'5) Release_Track'!$G:$G,1,0))),vlookup($A244&amp;$B244,{'5) Release_Track'!$F:$F&amp;'5) Release_Track'!$G:$G,'5) Release_Track'!$I:$I},2,0),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E244" s="92"/>
      <c r="F244" s="92"/>
      <c r="G244" s="125" t="str">
        <f t="array" ref="G244">ifs(or($F244="",$F244="Main Primary Artist"),$F244,not(iserror(vlookup($F244,'Reference info'!$J$5:$J$8,1,0))),"Key Artist",not(iserror(vlookup($F244,'Reference info'!$J$38:$J$405,1,0))),"Performer",not(iserror(vlookup($F244,'Reference info'!$J$10:$J$36,1,0))),"Producer &amp; Engineer")</f>
        <v/>
      </c>
    </row>
    <row r="245">
      <c r="B245" s="97"/>
      <c r="C245" s="121" t="str">
        <f t="array" ref="C245">ifs(and(isblank($A245),isblank($B245)),"", not(iserror(vlookup($A245&amp;$B245,'5) Release_Track'!$F:$F&amp;'5) Release_Track'!$G:$G,1,0))),vlookup($A245&amp;$B245,{'5) Release_Track'!$F:$F&amp;'5) Release_Track'!$G:$G,'5) Release_Track'!$H:$H},2,0),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D245" s="121" t="str">
        <f t="array" ref="D245">ifs(and(isblank($A245),isblank($B245)),"", not(iserror(vlookup($A245&amp;$B245,'5) Release_Track'!$F:$F&amp;'5) Release_Track'!$G:$G,1,0))),vlookup($A245&amp;$B245,{'5) Release_Track'!$F:$F&amp;'5) Release_Track'!$G:$G,'5) Release_Track'!$I:$I},2,0),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E245" s="92"/>
      <c r="F245" s="92"/>
      <c r="G245" s="125" t="str">
        <f t="array" ref="G245">ifs(or($F245="",$F245="Main Primary Artist"),$F245,not(iserror(vlookup($F245,'Reference info'!$J$5:$J$8,1,0))),"Key Artist",not(iserror(vlookup($F245,'Reference info'!$J$38:$J$405,1,0))),"Performer",not(iserror(vlookup($F245,'Reference info'!$J$10:$J$36,1,0))),"Producer &amp; Engineer")</f>
        <v/>
      </c>
    </row>
    <row r="246">
      <c r="B246" s="97"/>
      <c r="C246" s="121" t="str">
        <f t="array" ref="C246">ifs(and(isblank($A246),isblank($B246)),"", not(iserror(vlookup($A246&amp;$B246,'5) Release_Track'!$F:$F&amp;'5) Release_Track'!$G:$G,1,0))),vlookup($A246&amp;$B246,{'5) Release_Track'!$F:$F&amp;'5) Release_Track'!$G:$G,'5) Release_Track'!$H:$H},2,0),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D246" s="121" t="str">
        <f t="array" ref="D246">ifs(and(isblank($A246),isblank($B246)),"", not(iserror(vlookup($A246&amp;$B246,'5) Release_Track'!$F:$F&amp;'5) Release_Track'!$G:$G,1,0))),vlookup($A246&amp;$B246,{'5) Release_Track'!$F:$F&amp;'5) Release_Track'!$G:$G,'5) Release_Track'!$I:$I},2,0),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E246" s="92"/>
      <c r="F246" s="92"/>
      <c r="G246" s="125" t="str">
        <f t="array" ref="G246">ifs(or($F246="",$F246="Main Primary Artist"),$F246,not(iserror(vlookup($F246,'Reference info'!$J$5:$J$8,1,0))),"Key Artist",not(iserror(vlookup($F246,'Reference info'!$J$38:$J$405,1,0))),"Performer",not(iserror(vlookup($F246,'Reference info'!$J$10:$J$36,1,0))),"Producer &amp; Engineer")</f>
        <v/>
      </c>
    </row>
    <row r="247">
      <c r="B247" s="97"/>
      <c r="C247" s="121" t="str">
        <f t="array" ref="C247">ifs(and(isblank($A247),isblank($B247)),"", not(iserror(vlookup($A247&amp;$B247,'5) Release_Track'!$F:$F&amp;'5) Release_Track'!$G:$G,1,0))),vlookup($A247&amp;$B247,{'5) Release_Track'!$F:$F&amp;'5) Release_Track'!$G:$G,'5) Release_Track'!$H:$H},2,0),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D247" s="121" t="str">
        <f t="array" ref="D247">ifs(and(isblank($A247),isblank($B247)),"", not(iserror(vlookup($A247&amp;$B247,'5) Release_Track'!$F:$F&amp;'5) Release_Track'!$G:$G,1,0))),vlookup($A247&amp;$B247,{'5) Release_Track'!$F:$F&amp;'5) Release_Track'!$G:$G,'5) Release_Track'!$I:$I},2,0),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E247" s="92"/>
      <c r="F247" s="92"/>
      <c r="G247" s="125" t="str">
        <f t="array" ref="G247">ifs(or($F247="",$F247="Main Primary Artist"),$F247,not(iserror(vlookup($F247,'Reference info'!$J$5:$J$8,1,0))),"Key Artist",not(iserror(vlookup($F247,'Reference info'!$J$38:$J$405,1,0))),"Performer",not(iserror(vlookup($F247,'Reference info'!$J$10:$J$36,1,0))),"Producer &amp; Engineer")</f>
        <v/>
      </c>
    </row>
    <row r="248">
      <c r="B248" s="97"/>
      <c r="C248" s="121" t="str">
        <f t="array" ref="C248">ifs(and(isblank($A248),isblank($B248)),"", not(iserror(vlookup($A248&amp;$B248,'5) Release_Track'!$F:$F&amp;'5) Release_Track'!$G:$G,1,0))),vlookup($A248&amp;$B248,{'5) Release_Track'!$F:$F&amp;'5) Release_Track'!$G:$G,'5) Release_Track'!$H:$H},2,0),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D248" s="121" t="str">
        <f t="array" ref="D248">ifs(and(isblank($A248),isblank($B248)),"", not(iserror(vlookup($A248&amp;$B248,'5) Release_Track'!$F:$F&amp;'5) Release_Track'!$G:$G,1,0))),vlookup($A248&amp;$B248,{'5) Release_Track'!$F:$F&amp;'5) Release_Track'!$G:$G,'5) Release_Track'!$I:$I},2,0),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E248" s="92"/>
      <c r="F248" s="92"/>
      <c r="G248" s="125" t="str">
        <f t="array" ref="G248">ifs(or($F248="",$F248="Main Primary Artist"),$F248,not(iserror(vlookup($F248,'Reference info'!$J$5:$J$8,1,0))),"Key Artist",not(iserror(vlookup($F248,'Reference info'!$J$38:$J$405,1,0))),"Performer",not(iserror(vlookup($F248,'Reference info'!$J$10:$J$36,1,0))),"Producer &amp; Engineer")</f>
        <v/>
      </c>
    </row>
    <row r="249">
      <c r="B249" s="97"/>
      <c r="C249" s="121" t="str">
        <f t="array" ref="C249">ifs(and(isblank($A249),isblank($B249)),"", not(iserror(vlookup($A249&amp;$B249,'5) Release_Track'!$F:$F&amp;'5) Release_Track'!$G:$G,1,0))),vlookup($A249&amp;$B249,{'5) Release_Track'!$F:$F&amp;'5) Release_Track'!$G:$G,'5) Release_Track'!$H:$H},2,0),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D249" s="121" t="str">
        <f t="array" ref="D249">ifs(and(isblank($A249),isblank($B249)),"", not(iserror(vlookup($A249&amp;$B249,'5) Release_Track'!$F:$F&amp;'5) Release_Track'!$G:$G,1,0))),vlookup($A249&amp;$B249,{'5) Release_Track'!$F:$F&amp;'5) Release_Track'!$G:$G,'5) Release_Track'!$I:$I},2,0),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E249" s="92"/>
      <c r="F249" s="92"/>
      <c r="G249" s="125" t="str">
        <f t="array" ref="G249">ifs(or($F249="",$F249="Main Primary Artist"),$F249,not(iserror(vlookup($F249,'Reference info'!$J$5:$J$8,1,0))),"Key Artist",not(iserror(vlookup($F249,'Reference info'!$J$38:$J$405,1,0))),"Performer",not(iserror(vlookup($F249,'Reference info'!$J$10:$J$36,1,0))),"Producer &amp; Engineer")</f>
        <v/>
      </c>
    </row>
    <row r="250">
      <c r="B250" s="97"/>
      <c r="C250" s="121" t="str">
        <f t="array" ref="C250">ifs(and(isblank($A250),isblank($B250)),"", not(iserror(vlookup($A250&amp;$B250,'5) Release_Track'!$F:$F&amp;'5) Release_Track'!$G:$G,1,0))),vlookup($A250&amp;$B250,{'5) Release_Track'!$F:$F&amp;'5) Release_Track'!$G:$G,'5) Release_Track'!$H:$H},2,0),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D250" s="121" t="str">
        <f t="array" ref="D250">ifs(and(isblank($A250),isblank($B250)),"", not(iserror(vlookup($A250&amp;$B250,'5) Release_Track'!$F:$F&amp;'5) Release_Track'!$G:$G,1,0))),vlookup($A250&amp;$B250,{'5) Release_Track'!$F:$F&amp;'5) Release_Track'!$G:$G,'5) Release_Track'!$I:$I},2,0),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E250" s="92"/>
      <c r="F250" s="92"/>
      <c r="G250" s="125" t="str">
        <f t="array" ref="G250">ifs(or($F250="",$F250="Main Primary Artist"),$F250,not(iserror(vlookup($F250,'Reference info'!$J$5:$J$8,1,0))),"Key Artist",not(iserror(vlookup($F250,'Reference info'!$J$38:$J$405,1,0))),"Performer",not(iserror(vlookup($F250,'Reference info'!$J$10:$J$36,1,0))),"Producer &amp; Engineer")</f>
        <v/>
      </c>
    </row>
    <row r="251">
      <c r="B251" s="97"/>
      <c r="C251" s="121" t="str">
        <f t="array" ref="C251">ifs(and(isblank($A251),isblank($B251)),"", not(iserror(vlookup($A251&amp;$B251,'5) Release_Track'!$F:$F&amp;'5) Release_Track'!$G:$G,1,0))),vlookup($A251&amp;$B251,{'5) Release_Track'!$F:$F&amp;'5) Release_Track'!$G:$G,'5) Release_Track'!$H:$H},2,0),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D251" s="121" t="str">
        <f t="array" ref="D251">ifs(and(isblank($A251),isblank($B251)),"", not(iserror(vlookup($A251&amp;$B251,'5) Release_Track'!$F:$F&amp;'5) Release_Track'!$G:$G,1,0))),vlookup($A251&amp;$B251,{'5) Release_Track'!$F:$F&amp;'5) Release_Track'!$G:$G,'5) Release_Track'!$I:$I},2,0),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E251" s="92"/>
      <c r="F251" s="92"/>
      <c r="G251" s="125" t="str">
        <f t="array" ref="G251">ifs(or($F251="",$F251="Main Primary Artist"),$F251,not(iserror(vlookup($F251,'Reference info'!$J$5:$J$8,1,0))),"Key Artist",not(iserror(vlookup($F251,'Reference info'!$J$38:$J$405,1,0))),"Performer",not(iserror(vlookup($F251,'Reference info'!$J$10:$J$36,1,0))),"Producer &amp; Engineer")</f>
        <v/>
      </c>
    </row>
    <row r="252">
      <c r="B252" s="97"/>
      <c r="C252" s="121" t="str">
        <f t="array" ref="C252">ifs(and(isblank($A252),isblank($B252)),"", not(iserror(vlookup($A252&amp;$B252,'5) Release_Track'!$F:$F&amp;'5) Release_Track'!$G:$G,1,0))),vlookup($A252&amp;$B252,{'5) Release_Track'!$F:$F&amp;'5) Release_Track'!$G:$G,'5) Release_Track'!$H:$H},2,0),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D252" s="121" t="str">
        <f t="array" ref="D252">ifs(and(isblank($A252),isblank($B252)),"", not(iserror(vlookup($A252&amp;$B252,'5) Release_Track'!$F:$F&amp;'5) Release_Track'!$G:$G,1,0))),vlookup($A252&amp;$B252,{'5) Release_Track'!$F:$F&amp;'5) Release_Track'!$G:$G,'5) Release_Track'!$I:$I},2,0),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E252" s="92"/>
      <c r="F252" s="92"/>
      <c r="G252" s="125" t="str">
        <f t="array" ref="G252">ifs(or($F252="",$F252="Main Primary Artist"),$F252,not(iserror(vlookup($F252,'Reference info'!$J$5:$J$8,1,0))),"Key Artist",not(iserror(vlookup($F252,'Reference info'!$J$38:$J$405,1,0))),"Performer",not(iserror(vlookup($F252,'Reference info'!$J$10:$J$36,1,0))),"Producer &amp; Engineer")</f>
        <v/>
      </c>
    </row>
    <row r="253">
      <c r="B253" s="97"/>
      <c r="C253" s="121" t="str">
        <f t="array" ref="C253">ifs(and(isblank($A253),isblank($B253)),"", not(iserror(vlookup($A253&amp;$B253,'5) Release_Track'!$F:$F&amp;'5) Release_Track'!$G:$G,1,0))),vlookup($A253&amp;$B253,{'5) Release_Track'!$F:$F&amp;'5) Release_Track'!$G:$G,'5) Release_Track'!$H:$H},2,0),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D253" s="121" t="str">
        <f t="array" ref="D253">ifs(and(isblank($A253),isblank($B253)),"", not(iserror(vlookup($A253&amp;$B253,'5) Release_Track'!$F:$F&amp;'5) Release_Track'!$G:$G,1,0))),vlookup($A253&amp;$B253,{'5) Release_Track'!$F:$F&amp;'5) Release_Track'!$G:$G,'5) Release_Track'!$I:$I},2,0),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E253" s="92"/>
      <c r="F253" s="92"/>
      <c r="G253" s="125" t="str">
        <f t="array" ref="G253">ifs(or($F253="",$F253="Main Primary Artist"),$F253,not(iserror(vlookup($F253,'Reference info'!$J$5:$J$8,1,0))),"Key Artist",not(iserror(vlookup($F253,'Reference info'!$J$38:$J$405,1,0))),"Performer",not(iserror(vlookup($F253,'Reference info'!$J$10:$J$36,1,0))),"Producer &amp; Engineer")</f>
        <v/>
      </c>
    </row>
    <row r="254">
      <c r="B254" s="97"/>
      <c r="C254" s="121" t="str">
        <f t="array" ref="C254">ifs(and(isblank($A254),isblank($B254)),"", not(iserror(vlookup($A254&amp;$B254,'5) Release_Track'!$F:$F&amp;'5) Release_Track'!$G:$G,1,0))),vlookup($A254&amp;$B254,{'5) Release_Track'!$F:$F&amp;'5) Release_Track'!$G:$G,'5) Release_Track'!$H:$H},2,0),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D254" s="121" t="str">
        <f t="array" ref="D254">ifs(and(isblank($A254),isblank($B254)),"", not(iserror(vlookup($A254&amp;$B254,'5) Release_Track'!$F:$F&amp;'5) Release_Track'!$G:$G,1,0))),vlookup($A254&amp;$B254,{'5) Release_Track'!$F:$F&amp;'5) Release_Track'!$G:$G,'5) Release_Track'!$I:$I},2,0),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E254" s="92"/>
      <c r="F254" s="92"/>
      <c r="G254" s="125" t="str">
        <f t="array" ref="G254">ifs(or($F254="",$F254="Main Primary Artist"),$F254,not(iserror(vlookup($F254,'Reference info'!$J$5:$J$8,1,0))),"Key Artist",not(iserror(vlookup($F254,'Reference info'!$J$38:$J$405,1,0))),"Performer",not(iserror(vlookup($F254,'Reference info'!$J$10:$J$36,1,0))),"Producer &amp; Engineer")</f>
        <v/>
      </c>
    </row>
    <row r="255">
      <c r="B255" s="97"/>
      <c r="C255" s="121" t="str">
        <f t="array" ref="C255">ifs(and(isblank($A255),isblank($B255)),"", not(iserror(vlookup($A255&amp;$B255,'5) Release_Track'!$F:$F&amp;'5) Release_Track'!$G:$G,1,0))),vlookup($A255&amp;$B255,{'5) Release_Track'!$F:$F&amp;'5) Release_Track'!$G:$G,'5) Release_Track'!$H:$H},2,0),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D255" s="121" t="str">
        <f t="array" ref="D255">ifs(and(isblank($A255),isblank($B255)),"", not(iserror(vlookup($A255&amp;$B255,'5) Release_Track'!$F:$F&amp;'5) Release_Track'!$G:$G,1,0))),vlookup($A255&amp;$B255,{'5) Release_Track'!$F:$F&amp;'5) Release_Track'!$G:$G,'5) Release_Track'!$I:$I},2,0),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E255" s="92"/>
      <c r="F255" s="92"/>
      <c r="G255" s="125" t="str">
        <f t="array" ref="G255">ifs(or($F255="",$F255="Main Primary Artist"),$F255,not(iserror(vlookup($F255,'Reference info'!$J$5:$J$8,1,0))),"Key Artist",not(iserror(vlookup($F255,'Reference info'!$J$38:$J$405,1,0))),"Performer",not(iserror(vlookup($F255,'Reference info'!$J$10:$J$36,1,0))),"Producer &amp; Engineer")</f>
        <v/>
      </c>
    </row>
    <row r="256">
      <c r="B256" s="97"/>
      <c r="C256" s="121" t="str">
        <f t="array" ref="C256">ifs(and(isblank($A256),isblank($B256)),"", not(iserror(vlookup($A256&amp;$B256,'5) Release_Track'!$F:$F&amp;'5) Release_Track'!$G:$G,1,0))),vlookup($A256&amp;$B256,{'5) Release_Track'!$F:$F&amp;'5) Release_Track'!$G:$G,'5) Release_Track'!$H:$H},2,0),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D256" s="121" t="str">
        <f t="array" ref="D256">ifs(and(isblank($A256),isblank($B256)),"", not(iserror(vlookup($A256&amp;$B256,'5) Release_Track'!$F:$F&amp;'5) Release_Track'!$G:$G,1,0))),vlookup($A256&amp;$B256,{'5) Release_Track'!$F:$F&amp;'5) Release_Track'!$G:$G,'5) Release_Track'!$I:$I},2,0),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E256" s="92"/>
      <c r="F256" s="92"/>
      <c r="G256" s="125" t="str">
        <f t="array" ref="G256">ifs(or($F256="",$F256="Main Primary Artist"),$F256,not(iserror(vlookup($F256,'Reference info'!$J$5:$J$8,1,0))),"Key Artist",not(iserror(vlookup($F256,'Reference info'!$J$38:$J$405,1,0))),"Performer",not(iserror(vlookup($F256,'Reference info'!$J$10:$J$36,1,0))),"Producer &amp; Engineer")</f>
        <v/>
      </c>
    </row>
    <row r="257">
      <c r="B257" s="97"/>
      <c r="C257" s="121" t="str">
        <f t="array" ref="C257">ifs(and(isblank($A257),isblank($B257)),"", not(iserror(vlookup($A257&amp;$B257,'5) Release_Track'!$F:$F&amp;'5) Release_Track'!$G:$G,1,0))),vlookup($A257&amp;$B257,{'5) Release_Track'!$F:$F&amp;'5) Release_Track'!$G:$G,'5) Release_Track'!$H:$H},2,0),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D257" s="121" t="str">
        <f t="array" ref="D257">ifs(and(isblank($A257),isblank($B257)),"", not(iserror(vlookup($A257&amp;$B257,'5) Release_Track'!$F:$F&amp;'5) Release_Track'!$G:$G,1,0))),vlookup($A257&amp;$B257,{'5) Release_Track'!$F:$F&amp;'5) Release_Track'!$G:$G,'5) Release_Track'!$I:$I},2,0),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E257" s="92"/>
      <c r="F257" s="92"/>
      <c r="G257" s="125" t="str">
        <f t="array" ref="G257">ifs(or($F257="",$F257="Main Primary Artist"),$F257,not(iserror(vlookup($F257,'Reference info'!$J$5:$J$8,1,0))),"Key Artist",not(iserror(vlookup($F257,'Reference info'!$J$38:$J$405,1,0))),"Performer",not(iserror(vlookup($F257,'Reference info'!$J$10:$J$36,1,0))),"Producer &amp; Engineer")</f>
        <v/>
      </c>
    </row>
    <row r="258">
      <c r="B258" s="97"/>
      <c r="C258" s="121" t="str">
        <f t="array" ref="C258">ifs(and(isblank($A258),isblank($B258)),"", not(iserror(vlookup($A258&amp;$B258,'5) Release_Track'!$F:$F&amp;'5) Release_Track'!$G:$G,1,0))),vlookup($A258&amp;$B258,{'5) Release_Track'!$F:$F&amp;'5) Release_Track'!$G:$G,'5) Release_Track'!$H:$H},2,0),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D258" s="121" t="str">
        <f t="array" ref="D258">ifs(and(isblank($A258),isblank($B258)),"", not(iserror(vlookup($A258&amp;$B258,'5) Release_Track'!$F:$F&amp;'5) Release_Track'!$G:$G,1,0))),vlookup($A258&amp;$B258,{'5) Release_Track'!$F:$F&amp;'5) Release_Track'!$G:$G,'5) Release_Track'!$I:$I},2,0),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E258" s="92"/>
      <c r="F258" s="92"/>
      <c r="G258" s="125" t="str">
        <f t="array" ref="G258">ifs(or($F258="",$F258="Main Primary Artist"),$F258,not(iserror(vlookup($F258,'Reference info'!$J$5:$J$8,1,0))),"Key Artist",not(iserror(vlookup($F258,'Reference info'!$J$38:$J$405,1,0))),"Performer",not(iserror(vlookup($F258,'Reference info'!$J$10:$J$36,1,0))),"Producer &amp; Engineer")</f>
        <v/>
      </c>
    </row>
    <row r="259">
      <c r="B259" s="97"/>
      <c r="C259" s="121" t="str">
        <f t="array" ref="C259">ifs(and(isblank($A259),isblank($B259)),"", not(iserror(vlookup($A259&amp;$B259,'5) Release_Track'!$F:$F&amp;'5) Release_Track'!$G:$G,1,0))),vlookup($A259&amp;$B259,{'5) Release_Track'!$F:$F&amp;'5) Release_Track'!$G:$G,'5) Release_Track'!$H:$H},2,0),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D259" s="121" t="str">
        <f t="array" ref="D259">ifs(and(isblank($A259),isblank($B259)),"", not(iserror(vlookup($A259&amp;$B259,'5) Release_Track'!$F:$F&amp;'5) Release_Track'!$G:$G,1,0))),vlookup($A259&amp;$B259,{'5) Release_Track'!$F:$F&amp;'5) Release_Track'!$G:$G,'5) Release_Track'!$I:$I},2,0),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E259" s="92"/>
      <c r="F259" s="92"/>
      <c r="G259" s="125" t="str">
        <f t="array" ref="G259">ifs(or($F259="",$F259="Main Primary Artist"),$F259,not(iserror(vlookup($F259,'Reference info'!$J$5:$J$8,1,0))),"Key Artist",not(iserror(vlookup($F259,'Reference info'!$J$38:$J$405,1,0))),"Performer",not(iserror(vlookup($F259,'Reference info'!$J$10:$J$36,1,0))),"Producer &amp; Engineer")</f>
        <v/>
      </c>
    </row>
    <row r="260">
      <c r="B260" s="97"/>
      <c r="C260" s="121" t="str">
        <f t="array" ref="C260">ifs(and(isblank($A260),isblank($B260)),"", not(iserror(vlookup($A260&amp;$B260,'5) Release_Track'!$F:$F&amp;'5) Release_Track'!$G:$G,1,0))),vlookup($A260&amp;$B260,{'5) Release_Track'!$F:$F&amp;'5) Release_Track'!$G:$G,'5) Release_Track'!$H:$H},2,0),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D260" s="121" t="str">
        <f t="array" ref="D260">ifs(and(isblank($A260),isblank($B260)),"", not(iserror(vlookup($A260&amp;$B260,'5) Release_Track'!$F:$F&amp;'5) Release_Track'!$G:$G,1,0))),vlookup($A260&amp;$B260,{'5) Release_Track'!$F:$F&amp;'5) Release_Track'!$G:$G,'5) Release_Track'!$I:$I},2,0),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E260" s="92"/>
      <c r="F260" s="92"/>
      <c r="G260" s="125" t="str">
        <f t="array" ref="G260">ifs(or($F260="",$F260="Main Primary Artist"),$F260,not(iserror(vlookup($F260,'Reference info'!$J$5:$J$8,1,0))),"Key Artist",not(iserror(vlookup($F260,'Reference info'!$J$38:$J$405,1,0))),"Performer",not(iserror(vlookup($F260,'Reference info'!$J$10:$J$36,1,0))),"Producer &amp; Engineer")</f>
        <v/>
      </c>
    </row>
    <row r="261">
      <c r="B261" s="97"/>
      <c r="C261" s="121" t="str">
        <f t="array" ref="C261">ifs(and(isblank($A261),isblank($B261)),"", not(iserror(vlookup($A261&amp;$B261,'5) Release_Track'!$F:$F&amp;'5) Release_Track'!$G:$G,1,0))),vlookup($A261&amp;$B261,{'5) Release_Track'!$F:$F&amp;'5) Release_Track'!$G:$G,'5) Release_Track'!$H:$H},2,0),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D261" s="121" t="str">
        <f t="array" ref="D261">ifs(and(isblank($A261),isblank($B261)),"", not(iserror(vlookup($A261&amp;$B261,'5) Release_Track'!$F:$F&amp;'5) Release_Track'!$G:$G,1,0))),vlookup($A261&amp;$B261,{'5) Release_Track'!$F:$F&amp;'5) Release_Track'!$G:$G,'5) Release_Track'!$I:$I},2,0),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E261" s="92"/>
      <c r="F261" s="92"/>
      <c r="G261" s="125" t="str">
        <f t="array" ref="G261">ifs(or($F261="",$F261="Main Primary Artist"),$F261,not(iserror(vlookup($F261,'Reference info'!$J$5:$J$8,1,0))),"Key Artist",not(iserror(vlookup($F261,'Reference info'!$J$38:$J$405,1,0))),"Performer",not(iserror(vlookup($F261,'Reference info'!$J$10:$J$36,1,0))),"Producer &amp; Engineer")</f>
        <v/>
      </c>
    </row>
    <row r="262">
      <c r="B262" s="97"/>
      <c r="C262" s="121" t="str">
        <f t="array" ref="C262">ifs(and(isblank($A262),isblank($B262)),"", not(iserror(vlookup($A262&amp;$B262,'5) Release_Track'!$F:$F&amp;'5) Release_Track'!$G:$G,1,0))),vlookup($A262&amp;$B262,{'5) Release_Track'!$F:$F&amp;'5) Release_Track'!$G:$G,'5) Release_Track'!$H:$H},2,0),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D262" s="121" t="str">
        <f t="array" ref="D262">ifs(and(isblank($A262),isblank($B262)),"", not(iserror(vlookup($A262&amp;$B262,'5) Release_Track'!$F:$F&amp;'5) Release_Track'!$G:$G,1,0))),vlookup($A262&amp;$B262,{'5) Release_Track'!$F:$F&amp;'5) Release_Track'!$G:$G,'5) Release_Track'!$I:$I},2,0),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E262" s="92"/>
      <c r="F262" s="92"/>
      <c r="G262" s="125" t="str">
        <f t="array" ref="G262">ifs(or($F262="",$F262="Main Primary Artist"),$F262,not(iserror(vlookup($F262,'Reference info'!$J$5:$J$8,1,0))),"Key Artist",not(iserror(vlookup($F262,'Reference info'!$J$38:$J$405,1,0))),"Performer",not(iserror(vlookup($F262,'Reference info'!$J$10:$J$36,1,0))),"Producer &amp; Engineer")</f>
        <v/>
      </c>
    </row>
    <row r="263">
      <c r="B263" s="97"/>
      <c r="C263" s="121" t="str">
        <f t="array" ref="C263">ifs(and(isblank($A263),isblank($B263)),"", not(iserror(vlookup($A263&amp;$B263,'5) Release_Track'!$F:$F&amp;'5) Release_Track'!$G:$G,1,0))),vlookup($A263&amp;$B263,{'5) Release_Track'!$F:$F&amp;'5) Release_Track'!$G:$G,'5) Release_Track'!$H:$H},2,0),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D263" s="121" t="str">
        <f t="array" ref="D263">ifs(and(isblank($A263),isblank($B263)),"", not(iserror(vlookup($A263&amp;$B263,'5) Release_Track'!$F:$F&amp;'5) Release_Track'!$G:$G,1,0))),vlookup($A263&amp;$B263,{'5) Release_Track'!$F:$F&amp;'5) Release_Track'!$G:$G,'5) Release_Track'!$I:$I},2,0),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E263" s="92"/>
      <c r="F263" s="92"/>
      <c r="G263" s="125" t="str">
        <f t="array" ref="G263">ifs(or($F263="",$F263="Main Primary Artist"),$F263,not(iserror(vlookup($F263,'Reference info'!$J$5:$J$8,1,0))),"Key Artist",not(iserror(vlookup($F263,'Reference info'!$J$38:$J$405,1,0))),"Performer",not(iserror(vlookup($F263,'Reference info'!$J$10:$J$36,1,0))),"Producer &amp; Engineer")</f>
        <v/>
      </c>
    </row>
    <row r="264">
      <c r="B264" s="97"/>
      <c r="C264" s="121" t="str">
        <f t="array" ref="C264">ifs(and(isblank($A264),isblank($B264)),"", not(iserror(vlookup($A264&amp;$B264,'5) Release_Track'!$F:$F&amp;'5) Release_Track'!$G:$G,1,0))),vlookup($A264&amp;$B264,{'5) Release_Track'!$F:$F&amp;'5) Release_Track'!$G:$G,'5) Release_Track'!$H:$H},2,0),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D264" s="121" t="str">
        <f t="array" ref="D264">ifs(and(isblank($A264),isblank($B264)),"", not(iserror(vlookup($A264&amp;$B264,'5) Release_Track'!$F:$F&amp;'5) Release_Track'!$G:$G,1,0))),vlookup($A264&amp;$B264,{'5) Release_Track'!$F:$F&amp;'5) Release_Track'!$G:$G,'5) Release_Track'!$I:$I},2,0),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E264" s="92"/>
      <c r="F264" s="92"/>
      <c r="G264" s="125" t="str">
        <f t="array" ref="G264">ifs(or($F264="",$F264="Main Primary Artist"),$F264,not(iserror(vlookup($F264,'Reference info'!$J$5:$J$8,1,0))),"Key Artist",not(iserror(vlookup($F264,'Reference info'!$J$38:$J$405,1,0))),"Performer",not(iserror(vlookup($F264,'Reference info'!$J$10:$J$36,1,0))),"Producer &amp; Engineer")</f>
        <v/>
      </c>
    </row>
    <row r="265">
      <c r="B265" s="97"/>
      <c r="C265" s="121" t="str">
        <f t="array" ref="C265">ifs(and(isblank($A265),isblank($B265)),"", not(iserror(vlookup($A265&amp;$B265,'5) Release_Track'!$F:$F&amp;'5) Release_Track'!$G:$G,1,0))),vlookup($A265&amp;$B265,{'5) Release_Track'!$F:$F&amp;'5) Release_Track'!$G:$G,'5) Release_Track'!$H:$H},2,0),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D265" s="121" t="str">
        <f t="array" ref="D265">ifs(and(isblank($A265),isblank($B265)),"", not(iserror(vlookup($A265&amp;$B265,'5) Release_Track'!$F:$F&amp;'5) Release_Track'!$G:$G,1,0))),vlookup($A265&amp;$B265,{'5) Release_Track'!$F:$F&amp;'5) Release_Track'!$G:$G,'5) Release_Track'!$I:$I},2,0),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E265" s="92"/>
      <c r="F265" s="92"/>
      <c r="G265" s="125" t="str">
        <f t="array" ref="G265">ifs(or($F265="",$F265="Main Primary Artist"),$F265,not(iserror(vlookup($F265,'Reference info'!$J$5:$J$8,1,0))),"Key Artist",not(iserror(vlookup($F265,'Reference info'!$J$38:$J$405,1,0))),"Performer",not(iserror(vlookup($F265,'Reference info'!$J$10:$J$36,1,0))),"Producer &amp; Engineer")</f>
        <v/>
      </c>
    </row>
    <row r="266">
      <c r="B266" s="97"/>
      <c r="C266" s="121" t="str">
        <f t="array" ref="C266">ifs(and(isblank($A266),isblank($B266)),"", not(iserror(vlookup($A266&amp;$B266,'5) Release_Track'!$F:$F&amp;'5) Release_Track'!$G:$G,1,0))),vlookup($A266&amp;$B266,{'5) Release_Track'!$F:$F&amp;'5) Release_Track'!$G:$G,'5) Release_Track'!$H:$H},2,0),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D266" s="121" t="str">
        <f t="array" ref="D266">ifs(and(isblank($A266),isblank($B266)),"", not(iserror(vlookup($A266&amp;$B266,'5) Release_Track'!$F:$F&amp;'5) Release_Track'!$G:$G,1,0))),vlookup($A266&amp;$B266,{'5) Release_Track'!$F:$F&amp;'5) Release_Track'!$G:$G,'5) Release_Track'!$I:$I},2,0),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E266" s="92"/>
      <c r="F266" s="92"/>
      <c r="G266" s="125" t="str">
        <f t="array" ref="G266">ifs(or($F266="",$F266="Main Primary Artist"),$F266,not(iserror(vlookup($F266,'Reference info'!$J$5:$J$8,1,0))),"Key Artist",not(iserror(vlookup($F266,'Reference info'!$J$38:$J$405,1,0))),"Performer",not(iserror(vlookup($F266,'Reference info'!$J$10:$J$36,1,0))),"Producer &amp; Engineer")</f>
        <v/>
      </c>
    </row>
    <row r="267">
      <c r="B267" s="97"/>
      <c r="C267" s="121" t="str">
        <f t="array" ref="C267">ifs(and(isblank($A267),isblank($B267)),"", not(iserror(vlookup($A267&amp;$B267,'5) Release_Track'!$F:$F&amp;'5) Release_Track'!$G:$G,1,0))),vlookup($A267&amp;$B267,{'5) Release_Track'!$F:$F&amp;'5) Release_Track'!$G:$G,'5) Release_Track'!$H:$H},2,0),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D267" s="121" t="str">
        <f t="array" ref="D267">ifs(and(isblank($A267),isblank($B267)),"", not(iserror(vlookup($A267&amp;$B267,'5) Release_Track'!$F:$F&amp;'5) Release_Track'!$G:$G,1,0))),vlookup($A267&amp;$B267,{'5) Release_Track'!$F:$F&amp;'5) Release_Track'!$G:$G,'5) Release_Track'!$I:$I},2,0),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E267" s="92"/>
      <c r="F267" s="92"/>
      <c r="G267" s="125" t="str">
        <f t="array" ref="G267">ifs(or($F267="",$F267="Main Primary Artist"),$F267,not(iserror(vlookup($F267,'Reference info'!$J$5:$J$8,1,0))),"Key Artist",not(iserror(vlookup($F267,'Reference info'!$J$38:$J$405,1,0))),"Performer",not(iserror(vlookup($F267,'Reference info'!$J$10:$J$36,1,0))),"Producer &amp; Engineer")</f>
        <v/>
      </c>
    </row>
    <row r="268">
      <c r="B268" s="97"/>
      <c r="C268" s="121" t="str">
        <f t="array" ref="C268">ifs(and(isblank($A268),isblank($B268)),"", not(iserror(vlookup($A268&amp;$B268,'5) Release_Track'!$F:$F&amp;'5) Release_Track'!$G:$G,1,0))),vlookup($A268&amp;$B268,{'5) Release_Track'!$F:$F&amp;'5) Release_Track'!$G:$G,'5) Release_Track'!$H:$H},2,0),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D268" s="121" t="str">
        <f t="array" ref="D268">ifs(and(isblank($A268),isblank($B268)),"", not(iserror(vlookup($A268&amp;$B268,'5) Release_Track'!$F:$F&amp;'5) Release_Track'!$G:$G,1,0))),vlookup($A268&amp;$B268,{'5) Release_Track'!$F:$F&amp;'5) Release_Track'!$G:$G,'5) Release_Track'!$I:$I},2,0),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E268" s="92"/>
      <c r="F268" s="92"/>
      <c r="G268" s="125" t="str">
        <f t="array" ref="G268">ifs(or($F268="",$F268="Main Primary Artist"),$F268,not(iserror(vlookup($F268,'Reference info'!$J$5:$J$8,1,0))),"Key Artist",not(iserror(vlookup($F268,'Reference info'!$J$38:$J$405,1,0))),"Performer",not(iserror(vlookup($F268,'Reference info'!$J$10:$J$36,1,0))),"Producer &amp; Engineer")</f>
        <v/>
      </c>
    </row>
    <row r="269">
      <c r="B269" s="97"/>
      <c r="C269" s="121" t="str">
        <f t="array" ref="C269">ifs(and(isblank($A269),isblank($B269)),"", not(iserror(vlookup($A269&amp;$B269,'5) Release_Track'!$F:$F&amp;'5) Release_Track'!$G:$G,1,0))),vlookup($A269&amp;$B269,{'5) Release_Track'!$F:$F&amp;'5) Release_Track'!$G:$G,'5) Release_Track'!$H:$H},2,0),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D269" s="121" t="str">
        <f t="array" ref="D269">ifs(and(isblank($A269),isblank($B269)),"", not(iserror(vlookup($A269&amp;$B269,'5) Release_Track'!$F:$F&amp;'5) Release_Track'!$G:$G,1,0))),vlookup($A269&amp;$B269,{'5) Release_Track'!$F:$F&amp;'5) Release_Track'!$G:$G,'5) Release_Track'!$I:$I},2,0),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E269" s="92"/>
      <c r="F269" s="92"/>
      <c r="G269" s="125" t="str">
        <f t="array" ref="G269">ifs(or($F269="",$F269="Main Primary Artist"),$F269,not(iserror(vlookup($F269,'Reference info'!$J$5:$J$8,1,0))),"Key Artist",not(iserror(vlookup($F269,'Reference info'!$J$38:$J$405,1,0))),"Performer",not(iserror(vlookup($F269,'Reference info'!$J$10:$J$36,1,0))),"Producer &amp; Engineer")</f>
        <v/>
      </c>
    </row>
    <row r="270">
      <c r="B270" s="97"/>
      <c r="C270" s="121" t="str">
        <f t="array" ref="C270">ifs(and(isblank($A270),isblank($B270)),"", not(iserror(vlookup($A270&amp;$B270,'5) Release_Track'!$F:$F&amp;'5) Release_Track'!$G:$G,1,0))),vlookup($A270&amp;$B270,{'5) Release_Track'!$F:$F&amp;'5) Release_Track'!$G:$G,'5) Release_Track'!$H:$H},2,0),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D270" s="121" t="str">
        <f t="array" ref="D270">ifs(and(isblank($A270),isblank($B270)),"", not(iserror(vlookup($A270&amp;$B270,'5) Release_Track'!$F:$F&amp;'5) Release_Track'!$G:$G,1,0))),vlookup($A270&amp;$B270,{'5) Release_Track'!$F:$F&amp;'5) Release_Track'!$G:$G,'5) Release_Track'!$I:$I},2,0),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E270" s="92"/>
      <c r="F270" s="92"/>
      <c r="G270" s="125" t="str">
        <f t="array" ref="G270">ifs(or($F270="",$F270="Main Primary Artist"),$F270,not(iserror(vlookup($F270,'Reference info'!$J$5:$J$8,1,0))),"Key Artist",not(iserror(vlookup($F270,'Reference info'!$J$38:$J$405,1,0))),"Performer",not(iserror(vlookup($F270,'Reference info'!$J$10:$J$36,1,0))),"Producer &amp; Engineer")</f>
        <v/>
      </c>
    </row>
    <row r="271">
      <c r="B271" s="97"/>
      <c r="C271" s="121" t="str">
        <f t="array" ref="C271">ifs(and(isblank($A271),isblank($B271)),"", not(iserror(vlookup($A271&amp;$B271,'5) Release_Track'!$F:$F&amp;'5) Release_Track'!$G:$G,1,0))),vlookup($A271&amp;$B271,{'5) Release_Track'!$F:$F&amp;'5) Release_Track'!$G:$G,'5) Release_Track'!$H:$H},2,0),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D271" s="121" t="str">
        <f t="array" ref="D271">ifs(and(isblank($A271),isblank($B271)),"", not(iserror(vlookup($A271&amp;$B271,'5) Release_Track'!$F:$F&amp;'5) Release_Track'!$G:$G,1,0))),vlookup($A271&amp;$B271,{'5) Release_Track'!$F:$F&amp;'5) Release_Track'!$G:$G,'5) Release_Track'!$I:$I},2,0),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E271" s="92"/>
      <c r="F271" s="92"/>
      <c r="G271" s="125" t="str">
        <f t="array" ref="G271">ifs(or($F271="",$F271="Main Primary Artist"),$F271,not(iserror(vlookup($F271,'Reference info'!$J$5:$J$8,1,0))),"Key Artist",not(iserror(vlookup($F271,'Reference info'!$J$38:$J$405,1,0))),"Performer",not(iserror(vlookup($F271,'Reference info'!$J$10:$J$36,1,0))),"Producer &amp; Engineer")</f>
        <v/>
      </c>
    </row>
    <row r="272">
      <c r="B272" s="97"/>
      <c r="C272" s="121" t="str">
        <f t="array" ref="C272">ifs(and(isblank($A272),isblank($B272)),"", not(iserror(vlookup($A272&amp;$B272,'5) Release_Track'!$F:$F&amp;'5) Release_Track'!$G:$G,1,0))),vlookup($A272&amp;$B272,{'5) Release_Track'!$F:$F&amp;'5) Release_Track'!$G:$G,'5) Release_Track'!$H:$H},2,0),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D272" s="121" t="str">
        <f t="array" ref="D272">ifs(and(isblank($A272),isblank($B272)),"", not(iserror(vlookup($A272&amp;$B272,'5) Release_Track'!$F:$F&amp;'5) Release_Track'!$G:$G,1,0))),vlookup($A272&amp;$B272,{'5) Release_Track'!$F:$F&amp;'5) Release_Track'!$G:$G,'5) Release_Track'!$I:$I},2,0),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E272" s="92"/>
      <c r="F272" s="92"/>
      <c r="G272" s="125" t="str">
        <f t="array" ref="G272">ifs(or($F272="",$F272="Main Primary Artist"),$F272,not(iserror(vlookup($F272,'Reference info'!$J$5:$J$8,1,0))),"Key Artist",not(iserror(vlookup($F272,'Reference info'!$J$38:$J$405,1,0))),"Performer",not(iserror(vlookup($F272,'Reference info'!$J$10:$J$36,1,0))),"Producer &amp; Engineer")</f>
        <v/>
      </c>
    </row>
    <row r="273">
      <c r="B273" s="97"/>
      <c r="C273" s="121" t="str">
        <f t="array" ref="C273">ifs(and(isblank($A273),isblank($B273)),"", not(iserror(vlookup($A273&amp;$B273,'5) Release_Track'!$F:$F&amp;'5) Release_Track'!$G:$G,1,0))),vlookup($A273&amp;$B273,{'5) Release_Track'!$F:$F&amp;'5) Release_Track'!$G:$G,'5) Release_Track'!$H:$H},2,0),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D273" s="121" t="str">
        <f t="array" ref="D273">ifs(and(isblank($A273),isblank($B273)),"", not(iserror(vlookup($A273&amp;$B273,'5) Release_Track'!$F:$F&amp;'5) Release_Track'!$G:$G,1,0))),vlookup($A273&amp;$B273,{'5) Release_Track'!$F:$F&amp;'5) Release_Track'!$G:$G,'5) Release_Track'!$I:$I},2,0),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E273" s="92"/>
      <c r="F273" s="92"/>
      <c r="G273" s="125" t="str">
        <f t="array" ref="G273">ifs(or($F273="",$F273="Main Primary Artist"),$F273,not(iserror(vlookup($F273,'Reference info'!$J$5:$J$8,1,0))),"Key Artist",not(iserror(vlookup($F273,'Reference info'!$J$38:$J$405,1,0))),"Performer",not(iserror(vlookup($F273,'Reference info'!$J$10:$J$36,1,0))),"Producer &amp; Engineer")</f>
        <v/>
      </c>
    </row>
    <row r="274">
      <c r="B274" s="97"/>
      <c r="C274" s="121" t="str">
        <f t="array" ref="C274">ifs(and(isblank($A274),isblank($B274)),"", not(iserror(vlookup($A274&amp;$B274,'5) Release_Track'!$F:$F&amp;'5) Release_Track'!$G:$G,1,0))),vlookup($A274&amp;$B274,{'5) Release_Track'!$F:$F&amp;'5) Release_Track'!$G:$G,'5) Release_Track'!$H:$H},2,0),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D274" s="121" t="str">
        <f t="array" ref="D274">ifs(and(isblank($A274),isblank($B274)),"", not(iserror(vlookup($A274&amp;$B274,'5) Release_Track'!$F:$F&amp;'5) Release_Track'!$G:$G,1,0))),vlookup($A274&amp;$B274,{'5) Release_Track'!$F:$F&amp;'5) Release_Track'!$G:$G,'5) Release_Track'!$I:$I},2,0),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E274" s="92"/>
      <c r="F274" s="92"/>
      <c r="G274" s="125" t="str">
        <f t="array" ref="G274">ifs(or($F274="",$F274="Main Primary Artist"),$F274,not(iserror(vlookup($F274,'Reference info'!$J$5:$J$8,1,0))),"Key Artist",not(iserror(vlookup($F274,'Reference info'!$J$38:$J$405,1,0))),"Performer",not(iserror(vlookup($F274,'Reference info'!$J$10:$J$36,1,0))),"Producer &amp; Engineer")</f>
        <v/>
      </c>
    </row>
    <row r="275">
      <c r="B275" s="97"/>
      <c r="C275" s="121" t="str">
        <f t="array" ref="C275">ifs(and(isblank($A275),isblank($B275)),"", not(iserror(vlookup($A275&amp;$B275,'5) Release_Track'!$F:$F&amp;'5) Release_Track'!$G:$G,1,0))),vlookup($A275&amp;$B275,{'5) Release_Track'!$F:$F&amp;'5) Release_Track'!$G:$G,'5) Release_Track'!$H:$H},2,0),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D275" s="121" t="str">
        <f t="array" ref="D275">ifs(and(isblank($A275),isblank($B275)),"", not(iserror(vlookup($A275&amp;$B275,'5) Release_Track'!$F:$F&amp;'5) Release_Track'!$G:$G,1,0))),vlookup($A275&amp;$B275,{'5) Release_Track'!$F:$F&amp;'5) Release_Track'!$G:$G,'5) Release_Track'!$I:$I},2,0),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E275" s="92"/>
      <c r="F275" s="92"/>
      <c r="G275" s="125" t="str">
        <f t="array" ref="G275">ifs(or($F275="",$F275="Main Primary Artist"),$F275,not(iserror(vlookup($F275,'Reference info'!$J$5:$J$8,1,0))),"Key Artist",not(iserror(vlookup($F275,'Reference info'!$J$38:$J$405,1,0))),"Performer",not(iserror(vlookup($F275,'Reference info'!$J$10:$J$36,1,0))),"Producer &amp; Engineer")</f>
        <v/>
      </c>
    </row>
    <row r="276">
      <c r="B276" s="97"/>
      <c r="C276" s="121" t="str">
        <f t="array" ref="C276">ifs(and(isblank($A276),isblank($B276)),"", not(iserror(vlookup($A276&amp;$B276,'5) Release_Track'!$F:$F&amp;'5) Release_Track'!$G:$G,1,0))),vlookup($A276&amp;$B276,{'5) Release_Track'!$F:$F&amp;'5) Release_Track'!$G:$G,'5) Release_Track'!$H:$H},2,0),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D276" s="121" t="str">
        <f t="array" ref="D276">ifs(and(isblank($A276),isblank($B276)),"", not(iserror(vlookup($A276&amp;$B276,'5) Release_Track'!$F:$F&amp;'5) Release_Track'!$G:$G,1,0))),vlookup($A276&amp;$B276,{'5) Release_Track'!$F:$F&amp;'5) Release_Track'!$G:$G,'5) Release_Track'!$I:$I},2,0),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E276" s="92"/>
      <c r="F276" s="92"/>
      <c r="G276" s="125" t="str">
        <f t="array" ref="G276">ifs(or($F276="",$F276="Main Primary Artist"),$F276,not(iserror(vlookup($F276,'Reference info'!$J$5:$J$8,1,0))),"Key Artist",not(iserror(vlookup($F276,'Reference info'!$J$38:$J$405,1,0))),"Performer",not(iserror(vlookup($F276,'Reference info'!$J$10:$J$36,1,0))),"Producer &amp; Engineer")</f>
        <v/>
      </c>
    </row>
    <row r="277">
      <c r="B277" s="97"/>
      <c r="C277" s="121" t="str">
        <f t="array" ref="C277">ifs(and(isblank($A277),isblank($B277)),"", not(iserror(vlookup($A277&amp;$B277,'5) Release_Track'!$F:$F&amp;'5) Release_Track'!$G:$G,1,0))),vlookup($A277&amp;$B277,{'5) Release_Track'!$F:$F&amp;'5) Release_Track'!$G:$G,'5) Release_Track'!$H:$H},2,0),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D277" s="121" t="str">
        <f t="array" ref="D277">ifs(and(isblank($A277),isblank($B277)),"", not(iserror(vlookup($A277&amp;$B277,'5) Release_Track'!$F:$F&amp;'5) Release_Track'!$G:$G,1,0))),vlookup($A277&amp;$B277,{'5) Release_Track'!$F:$F&amp;'5) Release_Track'!$G:$G,'5) Release_Track'!$I:$I},2,0),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E277" s="92"/>
      <c r="F277" s="92"/>
      <c r="G277" s="125" t="str">
        <f t="array" ref="G277">ifs(or($F277="",$F277="Main Primary Artist"),$F277,not(iserror(vlookup($F277,'Reference info'!$J$5:$J$8,1,0))),"Key Artist",not(iserror(vlookup($F277,'Reference info'!$J$38:$J$405,1,0))),"Performer",not(iserror(vlookup($F277,'Reference info'!$J$10:$J$36,1,0))),"Producer &amp; Engineer")</f>
        <v/>
      </c>
    </row>
    <row r="278">
      <c r="B278" s="97"/>
      <c r="C278" s="121" t="str">
        <f t="array" ref="C278">ifs(and(isblank($A278),isblank($B278)),"", not(iserror(vlookup($A278&amp;$B278,'5) Release_Track'!$F:$F&amp;'5) Release_Track'!$G:$G,1,0))),vlookup($A278&amp;$B278,{'5) Release_Track'!$F:$F&amp;'5) Release_Track'!$G:$G,'5) Release_Track'!$H:$H},2,0),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D278" s="121" t="str">
        <f t="array" ref="D278">ifs(and(isblank($A278),isblank($B278)),"", not(iserror(vlookup($A278&amp;$B278,'5) Release_Track'!$F:$F&amp;'5) Release_Track'!$G:$G,1,0))),vlookup($A278&amp;$B278,{'5) Release_Track'!$F:$F&amp;'5) Release_Track'!$G:$G,'5) Release_Track'!$I:$I},2,0),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E278" s="92"/>
      <c r="F278" s="92"/>
      <c r="G278" s="125" t="str">
        <f t="array" ref="G278">ifs(or($F278="",$F278="Main Primary Artist"),$F278,not(iserror(vlookup($F278,'Reference info'!$J$5:$J$8,1,0))),"Key Artist",not(iserror(vlookup($F278,'Reference info'!$J$38:$J$405,1,0))),"Performer",not(iserror(vlookup($F278,'Reference info'!$J$10:$J$36,1,0))),"Producer &amp; Engineer")</f>
        <v/>
      </c>
    </row>
    <row r="279">
      <c r="B279" s="97"/>
      <c r="C279" s="121" t="str">
        <f t="array" ref="C279">ifs(and(isblank($A279),isblank($B279)),"", not(iserror(vlookup($A279&amp;$B279,'5) Release_Track'!$F:$F&amp;'5) Release_Track'!$G:$G,1,0))),vlookup($A279&amp;$B279,{'5) Release_Track'!$F:$F&amp;'5) Release_Track'!$G:$G,'5) Release_Track'!$H:$H},2,0),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D279" s="121" t="str">
        <f t="array" ref="D279">ifs(and(isblank($A279),isblank($B279)),"", not(iserror(vlookup($A279&amp;$B279,'5) Release_Track'!$F:$F&amp;'5) Release_Track'!$G:$G,1,0))),vlookup($A279&amp;$B279,{'5) Release_Track'!$F:$F&amp;'5) Release_Track'!$G:$G,'5) Release_Track'!$I:$I},2,0),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E279" s="92"/>
      <c r="F279" s="92"/>
      <c r="G279" s="125" t="str">
        <f t="array" ref="G279">ifs(or($F279="",$F279="Main Primary Artist"),$F279,not(iserror(vlookup($F279,'Reference info'!$J$5:$J$8,1,0))),"Key Artist",not(iserror(vlookup($F279,'Reference info'!$J$38:$J$405,1,0))),"Performer",not(iserror(vlookup($F279,'Reference info'!$J$10:$J$36,1,0))),"Producer &amp; Engineer")</f>
        <v/>
      </c>
    </row>
    <row r="280">
      <c r="B280" s="97"/>
      <c r="C280" s="121" t="str">
        <f t="array" ref="C280">ifs(and(isblank($A280),isblank($B280)),"", not(iserror(vlookup($A280&amp;$B280,'5) Release_Track'!$F:$F&amp;'5) Release_Track'!$G:$G,1,0))),vlookup($A280&amp;$B280,{'5) Release_Track'!$F:$F&amp;'5) Release_Track'!$G:$G,'5) Release_Track'!$H:$H},2,0),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D280" s="121" t="str">
        <f t="array" ref="D280">ifs(and(isblank($A280),isblank($B280)),"", not(iserror(vlookup($A280&amp;$B280,'5) Release_Track'!$F:$F&amp;'5) Release_Track'!$G:$G,1,0))),vlookup($A280&amp;$B280,{'5) Release_Track'!$F:$F&amp;'5) Release_Track'!$G:$G,'5) Release_Track'!$I:$I},2,0),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E280" s="92"/>
      <c r="F280" s="92"/>
      <c r="G280" s="125" t="str">
        <f t="array" ref="G280">ifs(or($F280="",$F280="Main Primary Artist"),$F280,not(iserror(vlookup($F280,'Reference info'!$J$5:$J$8,1,0))),"Key Artist",not(iserror(vlookup($F280,'Reference info'!$J$38:$J$405,1,0))),"Performer",not(iserror(vlookup($F280,'Reference info'!$J$10:$J$36,1,0))),"Producer &amp; Engineer")</f>
        <v/>
      </c>
    </row>
    <row r="281">
      <c r="B281" s="97"/>
      <c r="C281" s="121" t="str">
        <f t="array" ref="C281">ifs(and(isblank($A281),isblank($B281)),"", not(iserror(vlookup($A281&amp;$B281,'5) Release_Track'!$F:$F&amp;'5) Release_Track'!$G:$G,1,0))),vlookup($A281&amp;$B281,{'5) Release_Track'!$F:$F&amp;'5) Release_Track'!$G:$G,'5) Release_Track'!$H:$H},2,0),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D281" s="121" t="str">
        <f t="array" ref="D281">ifs(and(isblank($A281),isblank($B281)),"", not(iserror(vlookup($A281&amp;$B281,'5) Release_Track'!$F:$F&amp;'5) Release_Track'!$G:$G,1,0))),vlookup($A281&amp;$B281,{'5) Release_Track'!$F:$F&amp;'5) Release_Track'!$G:$G,'5) Release_Track'!$I:$I},2,0),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E281" s="92"/>
      <c r="F281" s="92"/>
      <c r="G281" s="125" t="str">
        <f t="array" ref="G281">ifs(or($F281="",$F281="Main Primary Artist"),$F281,not(iserror(vlookup($F281,'Reference info'!$J$5:$J$8,1,0))),"Key Artist",not(iserror(vlookup($F281,'Reference info'!$J$38:$J$405,1,0))),"Performer",not(iserror(vlookup($F281,'Reference info'!$J$10:$J$36,1,0))),"Producer &amp; Engineer")</f>
        <v/>
      </c>
    </row>
    <row r="282">
      <c r="B282" s="97"/>
      <c r="C282" s="121" t="str">
        <f t="array" ref="C282">ifs(and(isblank($A282),isblank($B282)),"", not(iserror(vlookup($A282&amp;$B282,'5) Release_Track'!$F:$F&amp;'5) Release_Track'!$G:$G,1,0))),vlookup($A282&amp;$B282,{'5) Release_Track'!$F:$F&amp;'5) Release_Track'!$G:$G,'5) Release_Track'!$H:$H},2,0),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D282" s="121" t="str">
        <f t="array" ref="D282">ifs(and(isblank($A282),isblank($B282)),"", not(iserror(vlookup($A282&amp;$B282,'5) Release_Track'!$F:$F&amp;'5) Release_Track'!$G:$G,1,0))),vlookup($A282&amp;$B282,{'5) Release_Track'!$F:$F&amp;'5) Release_Track'!$G:$G,'5) Release_Track'!$I:$I},2,0),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E282" s="92"/>
      <c r="F282" s="92"/>
      <c r="G282" s="125" t="str">
        <f t="array" ref="G282">ifs(or($F282="",$F282="Main Primary Artist"),$F282,not(iserror(vlookup($F282,'Reference info'!$J$5:$J$8,1,0))),"Key Artist",not(iserror(vlookup($F282,'Reference info'!$J$38:$J$405,1,0))),"Performer",not(iserror(vlookup($F282,'Reference info'!$J$10:$J$36,1,0))),"Producer &amp; Engineer")</f>
        <v/>
      </c>
    </row>
    <row r="283">
      <c r="B283" s="97"/>
      <c r="C283" s="121" t="str">
        <f t="array" ref="C283">ifs(and(isblank($A283),isblank($B283)),"", not(iserror(vlookup($A283&amp;$B283,'5) Release_Track'!$F:$F&amp;'5) Release_Track'!$G:$G,1,0))),vlookup($A283&amp;$B283,{'5) Release_Track'!$F:$F&amp;'5) Release_Track'!$G:$G,'5) Release_Track'!$H:$H},2,0),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D283" s="121" t="str">
        <f t="array" ref="D283">ifs(and(isblank($A283),isblank($B283)),"", not(iserror(vlookup($A283&amp;$B283,'5) Release_Track'!$F:$F&amp;'5) Release_Track'!$G:$G,1,0))),vlookup($A283&amp;$B283,{'5) Release_Track'!$F:$F&amp;'5) Release_Track'!$G:$G,'5) Release_Track'!$I:$I},2,0),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E283" s="92"/>
      <c r="F283" s="92"/>
      <c r="G283" s="125" t="str">
        <f t="array" ref="G283">ifs(or($F283="",$F283="Main Primary Artist"),$F283,not(iserror(vlookup($F283,'Reference info'!$J$5:$J$8,1,0))),"Key Artist",not(iserror(vlookup($F283,'Reference info'!$J$38:$J$405,1,0))),"Performer",not(iserror(vlookup($F283,'Reference info'!$J$10:$J$36,1,0))),"Producer &amp; Engineer")</f>
        <v/>
      </c>
    </row>
    <row r="284">
      <c r="B284" s="97"/>
      <c r="C284" s="121" t="str">
        <f t="array" ref="C284">ifs(and(isblank($A284),isblank($B284)),"", not(iserror(vlookup($A284&amp;$B284,'5) Release_Track'!$F:$F&amp;'5) Release_Track'!$G:$G,1,0))),vlookup($A284&amp;$B284,{'5) Release_Track'!$F:$F&amp;'5) Release_Track'!$G:$G,'5) Release_Track'!$H:$H},2,0),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D284" s="121" t="str">
        <f t="array" ref="D284">ifs(and(isblank($A284),isblank($B284)),"", not(iserror(vlookup($A284&amp;$B284,'5) Release_Track'!$F:$F&amp;'5) Release_Track'!$G:$G,1,0))),vlookup($A284&amp;$B284,{'5) Release_Track'!$F:$F&amp;'5) Release_Track'!$G:$G,'5) Release_Track'!$I:$I},2,0),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E284" s="92"/>
      <c r="F284" s="92"/>
      <c r="G284" s="125" t="str">
        <f t="array" ref="G284">ifs(or($F284="",$F284="Main Primary Artist"),$F284,not(iserror(vlookup($F284,'Reference info'!$J$5:$J$8,1,0))),"Key Artist",not(iserror(vlookup($F284,'Reference info'!$J$38:$J$405,1,0))),"Performer",not(iserror(vlookup($F284,'Reference info'!$J$10:$J$36,1,0))),"Producer &amp; Engineer")</f>
        <v/>
      </c>
    </row>
    <row r="285">
      <c r="B285" s="97"/>
      <c r="C285" s="121" t="str">
        <f t="array" ref="C285">ifs(and(isblank($A285),isblank($B285)),"", not(iserror(vlookup($A285&amp;$B285,'5) Release_Track'!$F:$F&amp;'5) Release_Track'!$G:$G,1,0))),vlookup($A285&amp;$B285,{'5) Release_Track'!$F:$F&amp;'5) Release_Track'!$G:$G,'5) Release_Track'!$H:$H},2,0),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D285" s="121" t="str">
        <f t="array" ref="D285">ifs(and(isblank($A285),isblank($B285)),"", not(iserror(vlookup($A285&amp;$B285,'5) Release_Track'!$F:$F&amp;'5) Release_Track'!$G:$G,1,0))),vlookup($A285&amp;$B285,{'5) Release_Track'!$F:$F&amp;'5) Release_Track'!$G:$G,'5) Release_Track'!$I:$I},2,0),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E285" s="92"/>
      <c r="F285" s="92"/>
      <c r="G285" s="125" t="str">
        <f t="array" ref="G285">ifs(or($F285="",$F285="Main Primary Artist"),$F285,not(iserror(vlookup($F285,'Reference info'!$J$5:$J$8,1,0))),"Key Artist",not(iserror(vlookup($F285,'Reference info'!$J$38:$J$405,1,0))),"Performer",not(iserror(vlookup($F285,'Reference info'!$J$10:$J$36,1,0))),"Producer &amp; Engineer")</f>
        <v/>
      </c>
    </row>
    <row r="286">
      <c r="B286" s="97"/>
      <c r="C286" s="121" t="str">
        <f t="array" ref="C286">ifs(and(isblank($A286),isblank($B286)),"", not(iserror(vlookup($A286&amp;$B286,'5) Release_Track'!$F:$F&amp;'5) Release_Track'!$G:$G,1,0))),vlookup($A286&amp;$B286,{'5) Release_Track'!$F:$F&amp;'5) Release_Track'!$G:$G,'5) Release_Track'!$H:$H},2,0),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D286" s="121" t="str">
        <f t="array" ref="D286">ifs(and(isblank($A286),isblank($B286)),"", not(iserror(vlookup($A286&amp;$B286,'5) Release_Track'!$F:$F&amp;'5) Release_Track'!$G:$G,1,0))),vlookup($A286&amp;$B286,{'5) Release_Track'!$F:$F&amp;'5) Release_Track'!$G:$G,'5) Release_Track'!$I:$I},2,0),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E286" s="92"/>
      <c r="F286" s="92"/>
      <c r="G286" s="125" t="str">
        <f t="array" ref="G286">ifs(or($F286="",$F286="Main Primary Artist"),$F286,not(iserror(vlookup($F286,'Reference info'!$J$5:$J$8,1,0))),"Key Artist",not(iserror(vlookup($F286,'Reference info'!$J$38:$J$405,1,0))),"Performer",not(iserror(vlookup($F286,'Reference info'!$J$10:$J$36,1,0))),"Producer &amp; Engineer")</f>
        <v/>
      </c>
    </row>
    <row r="287">
      <c r="B287" s="97"/>
      <c r="C287" s="121" t="str">
        <f t="array" ref="C287">ifs(and(isblank($A287),isblank($B287)),"", not(iserror(vlookup($A287&amp;$B287,'5) Release_Track'!$F:$F&amp;'5) Release_Track'!$G:$G,1,0))),vlookup($A287&amp;$B287,{'5) Release_Track'!$F:$F&amp;'5) Release_Track'!$G:$G,'5) Release_Track'!$H:$H},2,0),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D287" s="121" t="str">
        <f t="array" ref="D287">ifs(and(isblank($A287),isblank($B287)),"", not(iserror(vlookup($A287&amp;$B287,'5) Release_Track'!$F:$F&amp;'5) Release_Track'!$G:$G,1,0))),vlookup($A287&amp;$B287,{'5) Release_Track'!$F:$F&amp;'5) Release_Track'!$G:$G,'5) Release_Track'!$I:$I},2,0),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E287" s="92"/>
      <c r="F287" s="92"/>
      <c r="G287" s="125" t="str">
        <f t="array" ref="G287">ifs(or($F287="",$F287="Main Primary Artist"),$F287,not(iserror(vlookup($F287,'Reference info'!$J$5:$J$8,1,0))),"Key Artist",not(iserror(vlookup($F287,'Reference info'!$J$38:$J$405,1,0))),"Performer",not(iserror(vlookup($F287,'Reference info'!$J$10:$J$36,1,0))),"Producer &amp; Engineer")</f>
        <v/>
      </c>
    </row>
    <row r="288">
      <c r="B288" s="97"/>
      <c r="C288" s="121" t="str">
        <f t="array" ref="C288">ifs(and(isblank($A288),isblank($B288)),"", not(iserror(vlookup($A288&amp;$B288,'5) Release_Track'!$F:$F&amp;'5) Release_Track'!$G:$G,1,0))),vlookup($A288&amp;$B288,{'5) Release_Track'!$F:$F&amp;'5) Release_Track'!$G:$G,'5) Release_Track'!$H:$H},2,0),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D288" s="121" t="str">
        <f t="array" ref="D288">ifs(and(isblank($A288),isblank($B288)),"", not(iserror(vlookup($A288&amp;$B288,'5) Release_Track'!$F:$F&amp;'5) Release_Track'!$G:$G,1,0))),vlookup($A288&amp;$B288,{'5) Release_Track'!$F:$F&amp;'5) Release_Track'!$G:$G,'5) Release_Track'!$I:$I},2,0),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E288" s="92"/>
      <c r="F288" s="92"/>
      <c r="G288" s="125" t="str">
        <f t="array" ref="G288">ifs(or($F288="",$F288="Main Primary Artist"),$F288,not(iserror(vlookup($F288,'Reference info'!$J$5:$J$8,1,0))),"Key Artist",not(iserror(vlookup($F288,'Reference info'!$J$38:$J$405,1,0))),"Performer",not(iserror(vlookup($F288,'Reference info'!$J$10:$J$36,1,0))),"Producer &amp; Engineer")</f>
        <v/>
      </c>
    </row>
    <row r="289">
      <c r="B289" s="97"/>
      <c r="C289" s="121" t="str">
        <f t="array" ref="C289">ifs(and(isblank($A289),isblank($B289)),"", not(iserror(vlookup($A289&amp;$B289,'5) Release_Track'!$F:$F&amp;'5) Release_Track'!$G:$G,1,0))),vlookup($A289&amp;$B289,{'5) Release_Track'!$F:$F&amp;'5) Release_Track'!$G:$G,'5) Release_Track'!$H:$H},2,0),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D289" s="121" t="str">
        <f t="array" ref="D289">ifs(and(isblank($A289),isblank($B289)),"", not(iserror(vlookup($A289&amp;$B289,'5) Release_Track'!$F:$F&amp;'5) Release_Track'!$G:$G,1,0))),vlookup($A289&amp;$B289,{'5) Release_Track'!$F:$F&amp;'5) Release_Track'!$G:$G,'5) Release_Track'!$I:$I},2,0),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E289" s="92"/>
      <c r="F289" s="92"/>
      <c r="G289" s="125" t="str">
        <f t="array" ref="G289">ifs(or($F289="",$F289="Main Primary Artist"),$F289,not(iserror(vlookup($F289,'Reference info'!$J$5:$J$8,1,0))),"Key Artist",not(iserror(vlookup($F289,'Reference info'!$J$38:$J$405,1,0))),"Performer",not(iserror(vlookup($F289,'Reference info'!$J$10:$J$36,1,0))),"Producer &amp; Engineer")</f>
        <v/>
      </c>
    </row>
    <row r="290">
      <c r="B290" s="97"/>
      <c r="C290" s="121" t="str">
        <f t="array" ref="C290">ifs(and(isblank($A290),isblank($B290)),"", not(iserror(vlookup($A290&amp;$B290,'5) Release_Track'!$F:$F&amp;'5) Release_Track'!$G:$G,1,0))),vlookup($A290&amp;$B290,{'5) Release_Track'!$F:$F&amp;'5) Release_Track'!$G:$G,'5) Release_Track'!$H:$H},2,0),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D290" s="121" t="str">
        <f t="array" ref="D290">ifs(and(isblank($A290),isblank($B290)),"", not(iserror(vlookup($A290&amp;$B290,'5) Release_Track'!$F:$F&amp;'5) Release_Track'!$G:$G,1,0))),vlookup($A290&amp;$B290,{'5) Release_Track'!$F:$F&amp;'5) Release_Track'!$G:$G,'5) Release_Track'!$I:$I},2,0),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E290" s="92"/>
      <c r="F290" s="92"/>
      <c r="G290" s="125" t="str">
        <f t="array" ref="G290">ifs(or($F290="",$F290="Main Primary Artist"),$F290,not(iserror(vlookup($F290,'Reference info'!$J$5:$J$8,1,0))),"Key Artist",not(iserror(vlookup($F290,'Reference info'!$J$38:$J$405,1,0))),"Performer",not(iserror(vlookup($F290,'Reference info'!$J$10:$J$36,1,0))),"Producer &amp; Engineer")</f>
        <v/>
      </c>
    </row>
    <row r="291">
      <c r="B291" s="97"/>
      <c r="C291" s="121" t="str">
        <f t="array" ref="C291">ifs(and(isblank($A291),isblank($B291)),"", not(iserror(vlookup($A291&amp;$B291,'5) Release_Track'!$F:$F&amp;'5) Release_Track'!$G:$G,1,0))),vlookup($A291&amp;$B291,{'5) Release_Track'!$F:$F&amp;'5) Release_Track'!$G:$G,'5) Release_Track'!$H:$H},2,0),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D291" s="121" t="str">
        <f t="array" ref="D291">ifs(and(isblank($A291),isblank($B291)),"", not(iserror(vlookup($A291&amp;$B291,'5) Release_Track'!$F:$F&amp;'5) Release_Track'!$G:$G,1,0))),vlookup($A291&amp;$B291,{'5) Release_Track'!$F:$F&amp;'5) Release_Track'!$G:$G,'5) Release_Track'!$I:$I},2,0),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E291" s="92"/>
      <c r="F291" s="92"/>
      <c r="G291" s="125" t="str">
        <f t="array" ref="G291">ifs(or($F291="",$F291="Main Primary Artist"),$F291,not(iserror(vlookup($F291,'Reference info'!$J$5:$J$8,1,0))),"Key Artist",not(iserror(vlookup($F291,'Reference info'!$J$38:$J$405,1,0))),"Performer",not(iserror(vlookup($F291,'Reference info'!$J$10:$J$36,1,0))),"Producer &amp; Engineer")</f>
        <v/>
      </c>
    </row>
    <row r="292">
      <c r="B292" s="97"/>
      <c r="C292" s="121" t="str">
        <f t="array" ref="C292">ifs(and(isblank($A292),isblank($B292)),"", not(iserror(vlookup($A292&amp;$B292,'5) Release_Track'!$F:$F&amp;'5) Release_Track'!$G:$G,1,0))),vlookup($A292&amp;$B292,{'5) Release_Track'!$F:$F&amp;'5) Release_Track'!$G:$G,'5) Release_Track'!$H:$H},2,0),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D292" s="121" t="str">
        <f t="array" ref="D292">ifs(and(isblank($A292),isblank($B292)),"", not(iserror(vlookup($A292&amp;$B292,'5) Release_Track'!$F:$F&amp;'5) Release_Track'!$G:$G,1,0))),vlookup($A292&amp;$B292,{'5) Release_Track'!$F:$F&amp;'5) Release_Track'!$G:$G,'5) Release_Track'!$I:$I},2,0),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E292" s="92"/>
      <c r="F292" s="92"/>
      <c r="G292" s="125" t="str">
        <f t="array" ref="G292">ifs(or($F292="",$F292="Main Primary Artist"),$F292,not(iserror(vlookup($F292,'Reference info'!$J$5:$J$8,1,0))),"Key Artist",not(iserror(vlookup($F292,'Reference info'!$J$38:$J$405,1,0))),"Performer",not(iserror(vlookup($F292,'Reference info'!$J$10:$J$36,1,0))),"Producer &amp; Engineer")</f>
        <v/>
      </c>
    </row>
    <row r="293">
      <c r="B293" s="97"/>
      <c r="C293" s="121" t="str">
        <f t="array" ref="C293">ifs(and(isblank($A293),isblank($B293)),"", not(iserror(vlookup($A293&amp;$B293,'5) Release_Track'!$F:$F&amp;'5) Release_Track'!$G:$G,1,0))),vlookup($A293&amp;$B293,{'5) Release_Track'!$F:$F&amp;'5) Release_Track'!$G:$G,'5) Release_Track'!$H:$H},2,0),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D293" s="121" t="str">
        <f t="array" ref="D293">ifs(and(isblank($A293),isblank($B293)),"", not(iserror(vlookup($A293&amp;$B293,'5) Release_Track'!$F:$F&amp;'5) Release_Track'!$G:$G,1,0))),vlookup($A293&amp;$B293,{'5) Release_Track'!$F:$F&amp;'5) Release_Track'!$G:$G,'5) Release_Track'!$I:$I},2,0),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E293" s="92"/>
      <c r="F293" s="92"/>
      <c r="G293" s="125" t="str">
        <f t="array" ref="G293">ifs(or($F293="",$F293="Main Primary Artist"),$F293,not(iserror(vlookup($F293,'Reference info'!$J$5:$J$8,1,0))),"Key Artist",not(iserror(vlookup($F293,'Reference info'!$J$38:$J$405,1,0))),"Performer",not(iserror(vlookup($F293,'Reference info'!$J$10:$J$36,1,0))),"Producer &amp; Engineer")</f>
        <v/>
      </c>
    </row>
    <row r="294">
      <c r="B294" s="97"/>
      <c r="C294" s="121" t="str">
        <f t="array" ref="C294">ifs(and(isblank($A294),isblank($B294)),"", not(iserror(vlookup($A294&amp;$B294,'5) Release_Track'!$F:$F&amp;'5) Release_Track'!$G:$G,1,0))),vlookup($A294&amp;$B294,{'5) Release_Track'!$F:$F&amp;'5) Release_Track'!$G:$G,'5) Release_Track'!$H:$H},2,0),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D294" s="121" t="str">
        <f t="array" ref="D294">ifs(and(isblank($A294),isblank($B294)),"", not(iserror(vlookup($A294&amp;$B294,'5) Release_Track'!$F:$F&amp;'5) Release_Track'!$G:$G,1,0))),vlookup($A294&amp;$B294,{'5) Release_Track'!$F:$F&amp;'5) Release_Track'!$G:$G,'5) Release_Track'!$I:$I},2,0),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E294" s="92"/>
      <c r="F294" s="92"/>
      <c r="G294" s="125" t="str">
        <f t="array" ref="G294">ifs(or($F294="",$F294="Main Primary Artist"),$F294,not(iserror(vlookup($F294,'Reference info'!$J$5:$J$8,1,0))),"Key Artist",not(iserror(vlookup($F294,'Reference info'!$J$38:$J$405,1,0))),"Performer",not(iserror(vlookup($F294,'Reference info'!$J$10:$J$36,1,0))),"Producer &amp; Engineer")</f>
        <v/>
      </c>
    </row>
    <row r="295">
      <c r="B295" s="97"/>
      <c r="C295" s="121" t="str">
        <f t="array" ref="C295">ifs(and(isblank($A295),isblank($B295)),"", not(iserror(vlookup($A295&amp;$B295,'5) Release_Track'!$F:$F&amp;'5) Release_Track'!$G:$G,1,0))),vlookup($A295&amp;$B295,{'5) Release_Track'!$F:$F&amp;'5) Release_Track'!$G:$G,'5) Release_Track'!$H:$H},2,0),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D295" s="121" t="str">
        <f t="array" ref="D295">ifs(and(isblank($A295),isblank($B295)),"", not(iserror(vlookup($A295&amp;$B295,'5) Release_Track'!$F:$F&amp;'5) Release_Track'!$G:$G,1,0))),vlookup($A295&amp;$B295,{'5) Release_Track'!$F:$F&amp;'5) Release_Track'!$G:$G,'5) Release_Track'!$I:$I},2,0),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E295" s="92"/>
      <c r="F295" s="92"/>
      <c r="G295" s="125" t="str">
        <f t="array" ref="G295">ifs(or($F295="",$F295="Main Primary Artist"),$F295,not(iserror(vlookup($F295,'Reference info'!$J$5:$J$8,1,0))),"Key Artist",not(iserror(vlookup($F295,'Reference info'!$J$38:$J$405,1,0))),"Performer",not(iserror(vlookup($F295,'Reference info'!$J$10:$J$36,1,0))),"Producer &amp; Engineer")</f>
        <v/>
      </c>
    </row>
    <row r="296">
      <c r="B296" s="97"/>
      <c r="C296" s="121" t="str">
        <f t="array" ref="C296">ifs(and(isblank($A296),isblank($B296)),"", not(iserror(vlookup($A296&amp;$B296,'5) Release_Track'!$F:$F&amp;'5) Release_Track'!$G:$G,1,0))),vlookup($A296&amp;$B296,{'5) Release_Track'!$F:$F&amp;'5) Release_Track'!$G:$G,'5) Release_Track'!$H:$H},2,0),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D296" s="121" t="str">
        <f t="array" ref="D296">ifs(and(isblank($A296),isblank($B296)),"", not(iserror(vlookup($A296&amp;$B296,'5) Release_Track'!$F:$F&amp;'5) Release_Track'!$G:$G,1,0))),vlookup($A296&amp;$B296,{'5) Release_Track'!$F:$F&amp;'5) Release_Track'!$G:$G,'5) Release_Track'!$I:$I},2,0),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E296" s="92"/>
      <c r="F296" s="92"/>
      <c r="G296" s="125" t="str">
        <f t="array" ref="G296">ifs(or($F296="",$F296="Main Primary Artist"),$F296,not(iserror(vlookup($F296,'Reference info'!$J$5:$J$8,1,0))),"Key Artist",not(iserror(vlookup($F296,'Reference info'!$J$38:$J$405,1,0))),"Performer",not(iserror(vlookup($F296,'Reference info'!$J$10:$J$36,1,0))),"Producer &amp; Engineer")</f>
        <v/>
      </c>
    </row>
    <row r="297">
      <c r="B297" s="97"/>
      <c r="C297" s="121" t="str">
        <f t="array" ref="C297">ifs(and(isblank($A297),isblank($B297)),"", not(iserror(vlookup($A297&amp;$B297,'5) Release_Track'!$F:$F&amp;'5) Release_Track'!$G:$G,1,0))),vlookup($A297&amp;$B297,{'5) Release_Track'!$F:$F&amp;'5) Release_Track'!$G:$G,'5) Release_Track'!$H:$H},2,0),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D297" s="121" t="str">
        <f t="array" ref="D297">ifs(and(isblank($A297),isblank($B297)),"", not(iserror(vlookup($A297&amp;$B297,'5) Release_Track'!$F:$F&amp;'5) Release_Track'!$G:$G,1,0))),vlookup($A297&amp;$B297,{'5) Release_Track'!$F:$F&amp;'5) Release_Track'!$G:$G,'5) Release_Track'!$I:$I},2,0),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E297" s="92"/>
      <c r="F297" s="92"/>
      <c r="G297" s="125" t="str">
        <f t="array" ref="G297">ifs(or($F297="",$F297="Main Primary Artist"),$F297,not(iserror(vlookup($F297,'Reference info'!$J$5:$J$8,1,0))),"Key Artist",not(iserror(vlookup($F297,'Reference info'!$J$38:$J$405,1,0))),"Performer",not(iserror(vlookup($F297,'Reference info'!$J$10:$J$36,1,0))),"Producer &amp; Engineer")</f>
        <v/>
      </c>
    </row>
    <row r="298">
      <c r="B298" s="97"/>
      <c r="C298" s="121" t="str">
        <f t="array" ref="C298">ifs(and(isblank($A298),isblank($B298)),"", not(iserror(vlookup($A298&amp;$B298,'5) Release_Track'!$F:$F&amp;'5) Release_Track'!$G:$G,1,0))),vlookup($A298&amp;$B298,{'5) Release_Track'!$F:$F&amp;'5) Release_Track'!$G:$G,'5) Release_Track'!$H:$H},2,0),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D298" s="121" t="str">
        <f t="array" ref="D298">ifs(and(isblank($A298),isblank($B298)),"", not(iserror(vlookup($A298&amp;$B298,'5) Release_Track'!$F:$F&amp;'5) Release_Track'!$G:$G,1,0))),vlookup($A298&amp;$B298,{'5) Release_Track'!$F:$F&amp;'5) Release_Track'!$G:$G,'5) Release_Track'!$I:$I},2,0),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E298" s="92"/>
      <c r="F298" s="92"/>
      <c r="G298" s="125" t="str">
        <f t="array" ref="G298">ifs(or($F298="",$F298="Main Primary Artist"),$F298,not(iserror(vlookup($F298,'Reference info'!$J$5:$J$8,1,0))),"Key Artist",not(iserror(vlookup($F298,'Reference info'!$J$38:$J$405,1,0))),"Performer",not(iserror(vlookup($F298,'Reference info'!$J$10:$J$36,1,0))),"Producer &amp; Engineer")</f>
        <v/>
      </c>
    </row>
    <row r="299">
      <c r="B299" s="97"/>
      <c r="C299" s="121" t="str">
        <f t="array" ref="C299">ifs(and(isblank($A299),isblank($B299)),"", not(iserror(vlookup($A299&amp;$B299,'5) Release_Track'!$F:$F&amp;'5) Release_Track'!$G:$G,1,0))),vlookup($A299&amp;$B299,{'5) Release_Track'!$F:$F&amp;'5) Release_Track'!$G:$G,'5) Release_Track'!$H:$H},2,0),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D299" s="121" t="str">
        <f t="array" ref="D299">ifs(and(isblank($A299),isblank($B299)),"", not(iserror(vlookup($A299&amp;$B299,'5) Release_Track'!$F:$F&amp;'5) Release_Track'!$G:$G,1,0))),vlookup($A299&amp;$B299,{'5) Release_Track'!$F:$F&amp;'5) Release_Track'!$G:$G,'5) Release_Track'!$I:$I},2,0),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E299" s="92"/>
      <c r="F299" s="92"/>
      <c r="G299" s="125" t="str">
        <f t="array" ref="G299">ifs(or($F299="",$F299="Main Primary Artist"),$F299,not(iserror(vlookup($F299,'Reference info'!$J$5:$J$8,1,0))),"Key Artist",not(iserror(vlookup($F299,'Reference info'!$J$38:$J$405,1,0))),"Performer",not(iserror(vlookup($F299,'Reference info'!$J$10:$J$36,1,0))),"Producer &amp; Engineer")</f>
        <v/>
      </c>
    </row>
    <row r="300">
      <c r="B300" s="97"/>
      <c r="C300" s="121" t="str">
        <f t="array" ref="C300">ifs(and(isblank($A300),isblank($B300)),"", not(iserror(vlookup($A300&amp;$B300,'5) Release_Track'!$F:$F&amp;'5) Release_Track'!$G:$G,1,0))),vlookup($A300&amp;$B300,{'5) Release_Track'!$F:$F&amp;'5) Release_Track'!$G:$G,'5) Release_Track'!$H:$H},2,0),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D300" s="121" t="str">
        <f t="array" ref="D300">ifs(and(isblank($A300),isblank($B300)),"", not(iserror(vlookup($A300&amp;$B300,'5) Release_Track'!$F:$F&amp;'5) Release_Track'!$G:$G,1,0))),vlookup($A300&amp;$B300,{'5) Release_Track'!$F:$F&amp;'5) Release_Track'!$G:$G,'5) Release_Track'!$I:$I},2,0),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E300" s="92"/>
      <c r="F300" s="92"/>
      <c r="G300" s="125" t="str">
        <f t="array" ref="G300">ifs(or($F300="",$F300="Main Primary Artist"),$F300,not(iserror(vlookup($F300,'Reference info'!$J$5:$J$8,1,0))),"Key Artist",not(iserror(vlookup($F300,'Reference info'!$J$38:$J$405,1,0))),"Performer",not(iserror(vlookup($F300,'Reference info'!$J$10:$J$36,1,0))),"Producer &amp; Engineer")</f>
        <v/>
      </c>
    </row>
    <row r="301">
      <c r="B301" s="97"/>
      <c r="C301" s="121" t="str">
        <f t="array" ref="C301">ifs(and(isblank($A301),isblank($B301)),"", not(iserror(vlookup($A301&amp;$B301,'5) Release_Track'!$F:$F&amp;'5) Release_Track'!$G:$G,1,0))),vlookup($A301&amp;$B301,{'5) Release_Track'!$F:$F&amp;'5) Release_Track'!$G:$G,'5) Release_Track'!$H:$H},2,0),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D301" s="121" t="str">
        <f t="array" ref="D301">ifs(and(isblank($A301),isblank($B301)),"", not(iserror(vlookup($A301&amp;$B301,'5) Release_Track'!$F:$F&amp;'5) Release_Track'!$G:$G,1,0))),vlookup($A301&amp;$B301,{'5) Release_Track'!$F:$F&amp;'5) Release_Track'!$G:$G,'5) Release_Track'!$I:$I},2,0),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E301" s="92"/>
      <c r="F301" s="92"/>
      <c r="G301" s="125" t="str">
        <f t="array" ref="G301">ifs(or($F301="",$F301="Main Primary Artist"),$F301,not(iserror(vlookup($F301,'Reference info'!$J$5:$J$8,1,0))),"Key Artist",not(iserror(vlookup($F301,'Reference info'!$J$38:$J$405,1,0))),"Performer",not(iserror(vlookup($F301,'Reference info'!$J$10:$J$36,1,0))),"Producer &amp; Engineer")</f>
        <v/>
      </c>
    </row>
    <row r="302">
      <c r="B302" s="97"/>
      <c r="C302" s="121" t="str">
        <f t="array" ref="C302">ifs(and(isblank($A302),isblank($B302)),"", not(iserror(vlookup($A302&amp;$B302,'5) Release_Track'!$F:$F&amp;'5) Release_Track'!$G:$G,1,0))),vlookup($A302&amp;$B302,{'5) Release_Track'!$F:$F&amp;'5) Release_Track'!$G:$G,'5) Release_Track'!$H:$H},2,0),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D302" s="121" t="str">
        <f t="array" ref="D302">ifs(and(isblank($A302),isblank($B302)),"", not(iserror(vlookup($A302&amp;$B302,'5) Release_Track'!$F:$F&amp;'5) Release_Track'!$G:$G,1,0))),vlookup($A302&amp;$B302,{'5) Release_Track'!$F:$F&amp;'5) Release_Track'!$G:$G,'5) Release_Track'!$I:$I},2,0),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E302" s="92"/>
      <c r="F302" s="92"/>
      <c r="G302" s="125" t="str">
        <f t="array" ref="G302">ifs(or($F302="",$F302="Main Primary Artist"),$F302,not(iserror(vlookup($F302,'Reference info'!$J$5:$J$8,1,0))),"Key Artist",not(iserror(vlookup($F302,'Reference info'!$J$38:$J$405,1,0))),"Performer",not(iserror(vlookup($F302,'Reference info'!$J$10:$J$36,1,0))),"Producer &amp; Engineer")</f>
        <v/>
      </c>
    </row>
    <row r="303">
      <c r="B303" s="97"/>
      <c r="C303" s="121" t="str">
        <f t="array" ref="C303">ifs(and(isblank($A303),isblank($B303)),"", not(iserror(vlookup($A303&amp;$B303,'5) Release_Track'!$F:$F&amp;'5) Release_Track'!$G:$G,1,0))),vlookup($A303&amp;$B303,{'5) Release_Track'!$F:$F&amp;'5) Release_Track'!$G:$G,'5) Release_Track'!$H:$H},2,0),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D303" s="121" t="str">
        <f t="array" ref="D303">ifs(and(isblank($A303),isblank($B303)),"", not(iserror(vlookup($A303&amp;$B303,'5) Release_Track'!$F:$F&amp;'5) Release_Track'!$G:$G,1,0))),vlookup($A303&amp;$B303,{'5) Release_Track'!$F:$F&amp;'5) Release_Track'!$G:$G,'5) Release_Track'!$I:$I},2,0),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E303" s="92"/>
      <c r="F303" s="92"/>
      <c r="G303" s="125" t="str">
        <f t="array" ref="G303">ifs(or($F303="",$F303="Main Primary Artist"),$F303,not(iserror(vlookup($F303,'Reference info'!$J$5:$J$8,1,0))),"Key Artist",not(iserror(vlookup($F303,'Reference info'!$J$38:$J$405,1,0))),"Performer",not(iserror(vlookup($F303,'Reference info'!$J$10:$J$36,1,0))),"Producer &amp; Engineer")</f>
        <v/>
      </c>
    </row>
    <row r="304">
      <c r="B304" s="97"/>
      <c r="C304" s="121" t="str">
        <f t="array" ref="C304">ifs(and(isblank($A304),isblank($B304)),"", not(iserror(vlookup($A304&amp;$B304,'5) Release_Track'!$F:$F&amp;'5) Release_Track'!$G:$G,1,0))),vlookup($A304&amp;$B304,{'5) Release_Track'!$F:$F&amp;'5) Release_Track'!$G:$G,'5) Release_Track'!$H:$H},2,0),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D304" s="121" t="str">
        <f t="array" ref="D304">ifs(and(isblank($A304),isblank($B304)),"", not(iserror(vlookup($A304&amp;$B304,'5) Release_Track'!$F:$F&amp;'5) Release_Track'!$G:$G,1,0))),vlookup($A304&amp;$B304,{'5) Release_Track'!$F:$F&amp;'5) Release_Track'!$G:$G,'5) Release_Track'!$I:$I},2,0),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E304" s="92"/>
      <c r="F304" s="92"/>
      <c r="G304" s="125" t="str">
        <f t="array" ref="G304">ifs(or($F304="",$F304="Main Primary Artist"),$F304,not(iserror(vlookup($F304,'Reference info'!$J$5:$J$8,1,0))),"Key Artist",not(iserror(vlookup($F304,'Reference info'!$J$38:$J$405,1,0))),"Performer",not(iserror(vlookup($F304,'Reference info'!$J$10:$J$36,1,0))),"Producer &amp; Engineer")</f>
        <v/>
      </c>
    </row>
    <row r="305">
      <c r="B305" s="97"/>
      <c r="C305" s="121" t="str">
        <f t="array" ref="C305">ifs(and(isblank($A305),isblank($B305)),"", not(iserror(vlookup($A305&amp;$B305,'5) Release_Track'!$F:$F&amp;'5) Release_Track'!$G:$G,1,0))),vlookup($A305&amp;$B305,{'5) Release_Track'!$F:$F&amp;'5) Release_Track'!$G:$G,'5) Release_Track'!$H:$H},2,0),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D305" s="121" t="str">
        <f t="array" ref="D305">ifs(and(isblank($A305),isblank($B305)),"", not(iserror(vlookup($A305&amp;$B305,'5) Release_Track'!$F:$F&amp;'5) Release_Track'!$G:$G,1,0))),vlookup($A305&amp;$B305,{'5) Release_Track'!$F:$F&amp;'5) Release_Track'!$G:$G,'5) Release_Track'!$I:$I},2,0),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E305" s="92"/>
      <c r="F305" s="92"/>
      <c r="G305" s="125" t="str">
        <f t="array" ref="G305">ifs(or($F305="",$F305="Main Primary Artist"),$F305,not(iserror(vlookup($F305,'Reference info'!$J$5:$J$8,1,0))),"Key Artist",not(iserror(vlookup($F305,'Reference info'!$J$38:$J$405,1,0))),"Performer",not(iserror(vlookup($F305,'Reference info'!$J$10:$J$36,1,0))),"Producer &amp; Engineer")</f>
        <v/>
      </c>
    </row>
    <row r="306">
      <c r="B306" s="97"/>
      <c r="C306" s="121" t="str">
        <f t="array" ref="C306">ifs(and(isblank($A306),isblank($B306)),"", not(iserror(vlookup($A306&amp;$B306,'5) Release_Track'!$F:$F&amp;'5) Release_Track'!$G:$G,1,0))),vlookup($A306&amp;$B306,{'5) Release_Track'!$F:$F&amp;'5) Release_Track'!$G:$G,'5) Release_Track'!$H:$H},2,0),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D306" s="121" t="str">
        <f t="array" ref="D306">ifs(and(isblank($A306),isblank($B306)),"", not(iserror(vlookup($A306&amp;$B306,'5) Release_Track'!$F:$F&amp;'5) Release_Track'!$G:$G,1,0))),vlookup($A306&amp;$B306,{'5) Release_Track'!$F:$F&amp;'5) Release_Track'!$G:$G,'5) Release_Track'!$I:$I},2,0),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E306" s="92"/>
      <c r="F306" s="92"/>
      <c r="G306" s="125" t="str">
        <f t="array" ref="G306">ifs(or($F306="",$F306="Main Primary Artist"),$F306,not(iserror(vlookup($F306,'Reference info'!$J$5:$J$8,1,0))),"Key Artist",not(iserror(vlookup($F306,'Reference info'!$J$38:$J$405,1,0))),"Performer",not(iserror(vlookup($F306,'Reference info'!$J$10:$J$36,1,0))),"Producer &amp; Engineer")</f>
        <v/>
      </c>
    </row>
    <row r="307">
      <c r="B307" s="97"/>
      <c r="C307" s="121" t="str">
        <f t="array" ref="C307">ifs(and(isblank($A307),isblank($B307)),"", not(iserror(vlookup($A307&amp;$B307,'5) Release_Track'!$F:$F&amp;'5) Release_Track'!$G:$G,1,0))),vlookup($A307&amp;$B307,{'5) Release_Track'!$F:$F&amp;'5) Release_Track'!$G:$G,'5) Release_Track'!$H:$H},2,0),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D307" s="121" t="str">
        <f t="array" ref="D307">ifs(and(isblank($A307),isblank($B307)),"", not(iserror(vlookup($A307&amp;$B307,'5) Release_Track'!$F:$F&amp;'5) Release_Track'!$G:$G,1,0))),vlookup($A307&amp;$B307,{'5) Release_Track'!$F:$F&amp;'5) Release_Track'!$G:$G,'5) Release_Track'!$I:$I},2,0),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E307" s="92"/>
      <c r="F307" s="92"/>
      <c r="G307" s="125" t="str">
        <f t="array" ref="G307">ifs(or($F307="",$F307="Main Primary Artist"),$F307,not(iserror(vlookup($F307,'Reference info'!$J$5:$J$8,1,0))),"Key Artist",not(iserror(vlookup($F307,'Reference info'!$J$38:$J$405,1,0))),"Performer",not(iserror(vlookup($F307,'Reference info'!$J$10:$J$36,1,0))),"Producer &amp; Engineer")</f>
        <v/>
      </c>
    </row>
    <row r="308">
      <c r="B308" s="97"/>
      <c r="C308" s="121" t="str">
        <f t="array" ref="C308">ifs(and(isblank($A308),isblank($B308)),"", not(iserror(vlookup($A308&amp;$B308,'5) Release_Track'!$F:$F&amp;'5) Release_Track'!$G:$G,1,0))),vlookup($A308&amp;$B308,{'5) Release_Track'!$F:$F&amp;'5) Release_Track'!$G:$G,'5) Release_Track'!$H:$H},2,0),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D308" s="121" t="str">
        <f t="array" ref="D308">ifs(and(isblank($A308),isblank($B308)),"", not(iserror(vlookup($A308&amp;$B308,'5) Release_Track'!$F:$F&amp;'5) Release_Track'!$G:$G,1,0))),vlookup($A308&amp;$B308,{'5) Release_Track'!$F:$F&amp;'5) Release_Track'!$G:$G,'5) Release_Track'!$I:$I},2,0),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E308" s="92"/>
      <c r="F308" s="92"/>
      <c r="G308" s="125" t="str">
        <f t="array" ref="G308">ifs(or($F308="",$F308="Main Primary Artist"),$F308,not(iserror(vlookup($F308,'Reference info'!$J$5:$J$8,1,0))),"Key Artist",not(iserror(vlookup($F308,'Reference info'!$J$38:$J$405,1,0))),"Performer",not(iserror(vlookup($F308,'Reference info'!$J$10:$J$36,1,0))),"Producer &amp; Engineer")</f>
        <v/>
      </c>
    </row>
    <row r="309">
      <c r="B309" s="97"/>
      <c r="C309" s="121" t="str">
        <f t="array" ref="C309">ifs(and(isblank($A309),isblank($B309)),"", not(iserror(vlookup($A309&amp;$B309,'5) Release_Track'!$F:$F&amp;'5) Release_Track'!$G:$G,1,0))),vlookup($A309&amp;$B309,{'5) Release_Track'!$F:$F&amp;'5) Release_Track'!$G:$G,'5) Release_Track'!$H:$H},2,0),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D309" s="121" t="str">
        <f t="array" ref="D309">ifs(and(isblank($A309),isblank($B309)),"", not(iserror(vlookup($A309&amp;$B309,'5) Release_Track'!$F:$F&amp;'5) Release_Track'!$G:$G,1,0))),vlookup($A309&amp;$B309,{'5) Release_Track'!$F:$F&amp;'5) Release_Track'!$G:$G,'5) Release_Track'!$I:$I},2,0),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E309" s="92"/>
      <c r="F309" s="92"/>
      <c r="G309" s="125" t="str">
        <f t="array" ref="G309">ifs(or($F309="",$F309="Main Primary Artist"),$F309,not(iserror(vlookup($F309,'Reference info'!$J$5:$J$8,1,0))),"Key Artist",not(iserror(vlookup($F309,'Reference info'!$J$38:$J$405,1,0))),"Performer",not(iserror(vlookup($F309,'Reference info'!$J$10:$J$36,1,0))),"Producer &amp; Engineer")</f>
        <v/>
      </c>
    </row>
    <row r="310">
      <c r="B310" s="97"/>
      <c r="C310" s="121" t="str">
        <f t="array" ref="C310">ifs(and(isblank($A310),isblank($B310)),"", not(iserror(vlookup($A310&amp;$B310,'5) Release_Track'!$F:$F&amp;'5) Release_Track'!$G:$G,1,0))),vlookup($A310&amp;$B310,{'5) Release_Track'!$F:$F&amp;'5) Release_Track'!$G:$G,'5) Release_Track'!$H:$H},2,0),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D310" s="121" t="str">
        <f t="array" ref="D310">ifs(and(isblank($A310),isblank($B310)),"", not(iserror(vlookup($A310&amp;$B310,'5) Release_Track'!$F:$F&amp;'5) Release_Track'!$G:$G,1,0))),vlookup($A310&amp;$B310,{'5) Release_Track'!$F:$F&amp;'5) Release_Track'!$G:$G,'5) Release_Track'!$I:$I},2,0),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E310" s="92"/>
      <c r="F310" s="92"/>
      <c r="G310" s="125" t="str">
        <f t="array" ref="G310">ifs(or($F310="",$F310="Main Primary Artist"),$F310,not(iserror(vlookup($F310,'Reference info'!$J$5:$J$8,1,0))),"Key Artist",not(iserror(vlookup($F310,'Reference info'!$J$38:$J$405,1,0))),"Performer",not(iserror(vlookup($F310,'Reference info'!$J$10:$J$36,1,0))),"Producer &amp; Engineer")</f>
        <v/>
      </c>
    </row>
    <row r="311">
      <c r="B311" s="97"/>
      <c r="C311" s="121" t="str">
        <f t="array" ref="C311">ifs(and(isblank($A311),isblank($B311)),"", not(iserror(vlookup($A311&amp;$B311,'5) Release_Track'!$F:$F&amp;'5) Release_Track'!$G:$G,1,0))),vlookup($A311&amp;$B311,{'5) Release_Track'!$F:$F&amp;'5) Release_Track'!$G:$G,'5) Release_Track'!$H:$H},2,0),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D311" s="121" t="str">
        <f t="array" ref="D311">ifs(and(isblank($A311),isblank($B311)),"", not(iserror(vlookup($A311&amp;$B311,'5) Release_Track'!$F:$F&amp;'5) Release_Track'!$G:$G,1,0))),vlookup($A311&amp;$B311,{'5) Release_Track'!$F:$F&amp;'5) Release_Track'!$G:$G,'5) Release_Track'!$I:$I},2,0),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E311" s="92"/>
      <c r="F311" s="92"/>
      <c r="G311" s="125" t="str">
        <f t="array" ref="G311">ifs(or($F311="",$F311="Main Primary Artist"),$F311,not(iserror(vlookup($F311,'Reference info'!$J$5:$J$8,1,0))),"Key Artist",not(iserror(vlookup($F311,'Reference info'!$J$38:$J$405,1,0))),"Performer",not(iserror(vlookup($F311,'Reference info'!$J$10:$J$36,1,0))),"Producer &amp; Engineer")</f>
        <v/>
      </c>
    </row>
    <row r="312">
      <c r="B312" s="97"/>
      <c r="C312" s="121" t="str">
        <f t="array" ref="C312">ifs(and(isblank($A312),isblank($B312)),"", not(iserror(vlookup($A312&amp;$B312,'5) Release_Track'!$F:$F&amp;'5) Release_Track'!$G:$G,1,0))),vlookup($A312&amp;$B312,{'5) Release_Track'!$F:$F&amp;'5) Release_Track'!$G:$G,'5) Release_Track'!$H:$H},2,0),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D312" s="121" t="str">
        <f t="array" ref="D312">ifs(and(isblank($A312),isblank($B312)),"", not(iserror(vlookup($A312&amp;$B312,'5) Release_Track'!$F:$F&amp;'5) Release_Track'!$G:$G,1,0))),vlookup($A312&amp;$B312,{'5) Release_Track'!$F:$F&amp;'5) Release_Track'!$G:$G,'5) Release_Track'!$I:$I},2,0),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E312" s="92"/>
      <c r="F312" s="92"/>
      <c r="G312" s="125" t="str">
        <f t="array" ref="G312">ifs(or($F312="",$F312="Main Primary Artist"),$F312,not(iserror(vlookup($F312,'Reference info'!$J$5:$J$8,1,0))),"Key Artist",not(iserror(vlookup($F312,'Reference info'!$J$38:$J$405,1,0))),"Performer",not(iserror(vlookup($F312,'Reference info'!$J$10:$J$36,1,0))),"Producer &amp; Engineer")</f>
        <v/>
      </c>
    </row>
    <row r="313">
      <c r="B313" s="97"/>
      <c r="C313" s="121" t="str">
        <f t="array" ref="C313">ifs(and(isblank($A313),isblank($B313)),"", not(iserror(vlookup($A313&amp;$B313,'5) Release_Track'!$F:$F&amp;'5) Release_Track'!$G:$G,1,0))),vlookup($A313&amp;$B313,{'5) Release_Track'!$F:$F&amp;'5) Release_Track'!$G:$G,'5) Release_Track'!$H:$H},2,0),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D313" s="121" t="str">
        <f t="array" ref="D313">ifs(and(isblank($A313),isblank($B313)),"", not(iserror(vlookup($A313&amp;$B313,'5) Release_Track'!$F:$F&amp;'5) Release_Track'!$G:$G,1,0))),vlookup($A313&amp;$B313,{'5) Release_Track'!$F:$F&amp;'5) Release_Track'!$G:$G,'5) Release_Track'!$I:$I},2,0),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E313" s="92"/>
      <c r="F313" s="92"/>
      <c r="G313" s="125" t="str">
        <f t="array" ref="G313">ifs(or($F313="",$F313="Main Primary Artist"),$F313,not(iserror(vlookup($F313,'Reference info'!$J$5:$J$8,1,0))),"Key Artist",not(iserror(vlookup($F313,'Reference info'!$J$38:$J$405,1,0))),"Performer",not(iserror(vlookup($F313,'Reference info'!$J$10:$J$36,1,0))),"Producer &amp; Engineer")</f>
        <v/>
      </c>
    </row>
    <row r="314">
      <c r="B314" s="97"/>
      <c r="C314" s="121" t="str">
        <f t="array" ref="C314">ifs(and(isblank($A314),isblank($B314)),"", not(iserror(vlookup($A314&amp;$B314,'5) Release_Track'!$F:$F&amp;'5) Release_Track'!$G:$G,1,0))),vlookup($A314&amp;$B314,{'5) Release_Track'!$F:$F&amp;'5) Release_Track'!$G:$G,'5) Release_Track'!$H:$H},2,0),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D314" s="121" t="str">
        <f t="array" ref="D314">ifs(and(isblank($A314),isblank($B314)),"", not(iserror(vlookup($A314&amp;$B314,'5) Release_Track'!$F:$F&amp;'5) Release_Track'!$G:$G,1,0))),vlookup($A314&amp;$B314,{'5) Release_Track'!$F:$F&amp;'5) Release_Track'!$G:$G,'5) Release_Track'!$I:$I},2,0),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E314" s="92"/>
      <c r="F314" s="92"/>
      <c r="G314" s="125" t="str">
        <f t="array" ref="G314">ifs(or($F314="",$F314="Main Primary Artist"),$F314,not(iserror(vlookup($F314,'Reference info'!$J$5:$J$8,1,0))),"Key Artist",not(iserror(vlookup($F314,'Reference info'!$J$38:$J$405,1,0))),"Performer",not(iserror(vlookup($F314,'Reference info'!$J$10:$J$36,1,0))),"Producer &amp; Engineer")</f>
        <v/>
      </c>
    </row>
    <row r="315">
      <c r="B315" s="97"/>
      <c r="C315" s="121" t="str">
        <f t="array" ref="C315">ifs(and(isblank($A315),isblank($B315)),"", not(iserror(vlookup($A315&amp;$B315,'5) Release_Track'!$F:$F&amp;'5) Release_Track'!$G:$G,1,0))),vlookup($A315&amp;$B315,{'5) Release_Track'!$F:$F&amp;'5) Release_Track'!$G:$G,'5) Release_Track'!$H:$H},2,0),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D315" s="121" t="str">
        <f t="array" ref="D315">ifs(and(isblank($A315),isblank($B315)),"", not(iserror(vlookup($A315&amp;$B315,'5) Release_Track'!$F:$F&amp;'5) Release_Track'!$G:$G,1,0))),vlookup($A315&amp;$B315,{'5) Release_Track'!$F:$F&amp;'5) Release_Track'!$G:$G,'5) Release_Track'!$I:$I},2,0),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E315" s="92"/>
      <c r="F315" s="92"/>
      <c r="G315" s="125" t="str">
        <f t="array" ref="G315">ifs(or($F315="",$F315="Main Primary Artist"),$F315,not(iserror(vlookup($F315,'Reference info'!$J$5:$J$8,1,0))),"Key Artist",not(iserror(vlookup($F315,'Reference info'!$J$38:$J$405,1,0))),"Performer",not(iserror(vlookup($F315,'Reference info'!$J$10:$J$36,1,0))),"Producer &amp; Engineer")</f>
        <v/>
      </c>
    </row>
    <row r="316">
      <c r="B316" s="97"/>
      <c r="C316" s="121" t="str">
        <f t="array" ref="C316">ifs(and(isblank($A316),isblank($B316)),"", not(iserror(vlookup($A316&amp;$B316,'5) Release_Track'!$F:$F&amp;'5) Release_Track'!$G:$G,1,0))),vlookup($A316&amp;$B316,{'5) Release_Track'!$F:$F&amp;'5) Release_Track'!$G:$G,'5) Release_Track'!$H:$H},2,0),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D316" s="121" t="str">
        <f t="array" ref="D316">ifs(and(isblank($A316),isblank($B316)),"", not(iserror(vlookup($A316&amp;$B316,'5) Release_Track'!$F:$F&amp;'5) Release_Track'!$G:$G,1,0))),vlookup($A316&amp;$B316,{'5) Release_Track'!$F:$F&amp;'5) Release_Track'!$G:$G,'5) Release_Track'!$I:$I},2,0),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E316" s="92"/>
      <c r="F316" s="92"/>
      <c r="G316" s="125" t="str">
        <f t="array" ref="G316">ifs(or($F316="",$F316="Main Primary Artist"),$F316,not(iserror(vlookup($F316,'Reference info'!$J$5:$J$8,1,0))),"Key Artist",not(iserror(vlookup($F316,'Reference info'!$J$38:$J$405,1,0))),"Performer",not(iserror(vlookup($F316,'Reference info'!$J$10:$J$36,1,0))),"Producer &amp; Engineer")</f>
        <v/>
      </c>
    </row>
    <row r="317">
      <c r="B317" s="97"/>
      <c r="C317" s="121" t="str">
        <f t="array" ref="C317">ifs(and(isblank($A317),isblank($B317)),"", not(iserror(vlookup($A317&amp;$B317,'5) Release_Track'!$F:$F&amp;'5) Release_Track'!$G:$G,1,0))),vlookup($A317&amp;$B317,{'5) Release_Track'!$F:$F&amp;'5) Release_Track'!$G:$G,'5) Release_Track'!$H:$H},2,0),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D317" s="121" t="str">
        <f t="array" ref="D317">ifs(and(isblank($A317),isblank($B317)),"", not(iserror(vlookup($A317&amp;$B317,'5) Release_Track'!$F:$F&amp;'5) Release_Track'!$G:$G,1,0))),vlookup($A317&amp;$B317,{'5) Release_Track'!$F:$F&amp;'5) Release_Track'!$G:$G,'5) Release_Track'!$I:$I},2,0),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E317" s="92"/>
      <c r="F317" s="92"/>
      <c r="G317" s="125" t="str">
        <f t="array" ref="G317">ifs(or($F317="",$F317="Main Primary Artist"),$F317,not(iserror(vlookup($F317,'Reference info'!$J$5:$J$8,1,0))),"Key Artist",not(iserror(vlookup($F317,'Reference info'!$J$38:$J$405,1,0))),"Performer",not(iserror(vlookup($F317,'Reference info'!$J$10:$J$36,1,0))),"Producer &amp; Engineer")</f>
        <v/>
      </c>
    </row>
    <row r="318">
      <c r="B318" s="97"/>
      <c r="C318" s="121" t="str">
        <f t="array" ref="C318">ifs(and(isblank($A318),isblank($B318)),"", not(iserror(vlookup($A318&amp;$B318,'5) Release_Track'!$F:$F&amp;'5) Release_Track'!$G:$G,1,0))),vlookup($A318&amp;$B318,{'5) Release_Track'!$F:$F&amp;'5) Release_Track'!$G:$G,'5) Release_Track'!$H:$H},2,0),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D318" s="121" t="str">
        <f t="array" ref="D318">ifs(and(isblank($A318),isblank($B318)),"", not(iserror(vlookup($A318&amp;$B318,'5) Release_Track'!$F:$F&amp;'5) Release_Track'!$G:$G,1,0))),vlookup($A318&amp;$B318,{'5) Release_Track'!$F:$F&amp;'5) Release_Track'!$G:$G,'5) Release_Track'!$I:$I},2,0),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E318" s="92"/>
      <c r="F318" s="92"/>
      <c r="G318" s="125" t="str">
        <f t="array" ref="G318">ifs(or($F318="",$F318="Main Primary Artist"),$F318,not(iserror(vlookup($F318,'Reference info'!$J$5:$J$8,1,0))),"Key Artist",not(iserror(vlookup($F318,'Reference info'!$J$38:$J$405,1,0))),"Performer",not(iserror(vlookup($F318,'Reference info'!$J$10:$J$36,1,0))),"Producer &amp; Engineer")</f>
        <v/>
      </c>
    </row>
    <row r="319">
      <c r="B319" s="97"/>
      <c r="C319" s="121" t="str">
        <f t="array" ref="C319">ifs(and(isblank($A319),isblank($B319)),"", not(iserror(vlookup($A319&amp;$B319,'5) Release_Track'!$F:$F&amp;'5) Release_Track'!$G:$G,1,0))),vlookup($A319&amp;$B319,{'5) Release_Track'!$F:$F&amp;'5) Release_Track'!$G:$G,'5) Release_Track'!$H:$H},2,0),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D319" s="121" t="str">
        <f t="array" ref="D319">ifs(and(isblank($A319),isblank($B319)),"", not(iserror(vlookup($A319&amp;$B319,'5) Release_Track'!$F:$F&amp;'5) Release_Track'!$G:$G,1,0))),vlookup($A319&amp;$B319,{'5) Release_Track'!$F:$F&amp;'5) Release_Track'!$G:$G,'5) Release_Track'!$I:$I},2,0),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E319" s="92"/>
      <c r="F319" s="92"/>
      <c r="G319" s="125" t="str">
        <f t="array" ref="G319">ifs(or($F319="",$F319="Main Primary Artist"),$F319,not(iserror(vlookup($F319,'Reference info'!$J$5:$J$8,1,0))),"Key Artist",not(iserror(vlookup($F319,'Reference info'!$J$38:$J$405,1,0))),"Performer",not(iserror(vlookup($F319,'Reference info'!$J$10:$J$36,1,0))),"Producer &amp; Engineer")</f>
        <v/>
      </c>
    </row>
    <row r="320">
      <c r="B320" s="97"/>
      <c r="C320" s="121" t="str">
        <f t="array" ref="C320">ifs(and(isblank($A320),isblank($B320)),"", not(iserror(vlookup($A320&amp;$B320,'5) Release_Track'!$F:$F&amp;'5) Release_Track'!$G:$G,1,0))),vlookup($A320&amp;$B320,{'5) Release_Track'!$F:$F&amp;'5) Release_Track'!$G:$G,'5) Release_Track'!$H:$H},2,0),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D320" s="121" t="str">
        <f t="array" ref="D320">ifs(and(isblank($A320),isblank($B320)),"", not(iserror(vlookup($A320&amp;$B320,'5) Release_Track'!$F:$F&amp;'5) Release_Track'!$G:$G,1,0))),vlookup($A320&amp;$B320,{'5) Release_Track'!$F:$F&amp;'5) Release_Track'!$G:$G,'5) Release_Track'!$I:$I},2,0),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E320" s="92"/>
      <c r="F320" s="92"/>
      <c r="G320" s="125" t="str">
        <f t="array" ref="G320">ifs(or($F320="",$F320="Main Primary Artist"),$F320,not(iserror(vlookup($F320,'Reference info'!$J$5:$J$8,1,0))),"Key Artist",not(iserror(vlookup($F320,'Reference info'!$J$38:$J$405,1,0))),"Performer",not(iserror(vlookup($F320,'Reference info'!$J$10:$J$36,1,0))),"Producer &amp; Engineer")</f>
        <v/>
      </c>
    </row>
    <row r="321">
      <c r="B321" s="97"/>
      <c r="C321" s="121" t="str">
        <f t="array" ref="C321">ifs(and(isblank($A321),isblank($B321)),"", not(iserror(vlookup($A321&amp;$B321,'5) Release_Track'!$F:$F&amp;'5) Release_Track'!$G:$G,1,0))),vlookup($A321&amp;$B321,{'5) Release_Track'!$F:$F&amp;'5) Release_Track'!$G:$G,'5) Release_Track'!$H:$H},2,0),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D321" s="121" t="str">
        <f t="array" ref="D321">ifs(and(isblank($A321),isblank($B321)),"", not(iserror(vlookup($A321&amp;$B321,'5) Release_Track'!$F:$F&amp;'5) Release_Track'!$G:$G,1,0))),vlookup($A321&amp;$B321,{'5) Release_Track'!$F:$F&amp;'5) Release_Track'!$G:$G,'5) Release_Track'!$I:$I},2,0),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E321" s="92"/>
      <c r="F321" s="92"/>
      <c r="G321" s="125" t="str">
        <f t="array" ref="G321">ifs(or($F321="",$F321="Main Primary Artist"),$F321,not(iserror(vlookup($F321,'Reference info'!$J$5:$J$8,1,0))),"Key Artist",not(iserror(vlookup($F321,'Reference info'!$J$38:$J$405,1,0))),"Performer",not(iserror(vlookup($F321,'Reference info'!$J$10:$J$36,1,0))),"Producer &amp; Engineer")</f>
        <v/>
      </c>
    </row>
    <row r="322">
      <c r="B322" s="97"/>
      <c r="C322" s="121" t="str">
        <f t="array" ref="C322">ifs(and(isblank($A322),isblank($B322)),"", not(iserror(vlookup($A322&amp;$B322,'5) Release_Track'!$F:$F&amp;'5) Release_Track'!$G:$G,1,0))),vlookup($A322&amp;$B322,{'5) Release_Track'!$F:$F&amp;'5) Release_Track'!$G:$G,'5) Release_Track'!$H:$H},2,0),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D322" s="121" t="str">
        <f t="array" ref="D322">ifs(and(isblank($A322),isblank($B322)),"", not(iserror(vlookup($A322&amp;$B322,'5) Release_Track'!$F:$F&amp;'5) Release_Track'!$G:$G,1,0))),vlookup($A322&amp;$B322,{'5) Release_Track'!$F:$F&amp;'5) Release_Track'!$G:$G,'5) Release_Track'!$I:$I},2,0),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E322" s="92"/>
      <c r="F322" s="92"/>
      <c r="G322" s="125" t="str">
        <f t="array" ref="G322">ifs(or($F322="",$F322="Main Primary Artist"),$F322,not(iserror(vlookup($F322,'Reference info'!$J$5:$J$8,1,0))),"Key Artist",not(iserror(vlookup($F322,'Reference info'!$J$38:$J$405,1,0))),"Performer",not(iserror(vlookup($F322,'Reference info'!$J$10:$J$36,1,0))),"Producer &amp; Engineer")</f>
        <v/>
      </c>
    </row>
    <row r="323">
      <c r="B323" s="97"/>
      <c r="C323" s="121" t="str">
        <f t="array" ref="C323">ifs(and(isblank($A323),isblank($B323)),"", not(iserror(vlookup($A323&amp;$B323,'5) Release_Track'!$F:$F&amp;'5) Release_Track'!$G:$G,1,0))),vlookup($A323&amp;$B323,{'5) Release_Track'!$F:$F&amp;'5) Release_Track'!$G:$G,'5) Release_Track'!$H:$H},2,0),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D323" s="121" t="str">
        <f t="array" ref="D323">ifs(and(isblank($A323),isblank($B323)),"", not(iserror(vlookup($A323&amp;$B323,'5) Release_Track'!$F:$F&amp;'5) Release_Track'!$G:$G,1,0))),vlookup($A323&amp;$B323,{'5) Release_Track'!$F:$F&amp;'5) Release_Track'!$G:$G,'5) Release_Track'!$I:$I},2,0),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E323" s="92"/>
      <c r="F323" s="92"/>
      <c r="G323" s="125" t="str">
        <f t="array" ref="G323">ifs(or($F323="",$F323="Main Primary Artist"),$F323,not(iserror(vlookup($F323,'Reference info'!$J$5:$J$8,1,0))),"Key Artist",not(iserror(vlookup($F323,'Reference info'!$J$38:$J$405,1,0))),"Performer",not(iserror(vlookup($F323,'Reference info'!$J$10:$J$36,1,0))),"Producer &amp; Engineer")</f>
        <v/>
      </c>
    </row>
    <row r="324">
      <c r="B324" s="97"/>
      <c r="C324" s="121" t="str">
        <f t="array" ref="C324">ifs(and(isblank($A324),isblank($B324)),"", not(iserror(vlookup($A324&amp;$B324,'5) Release_Track'!$F:$F&amp;'5) Release_Track'!$G:$G,1,0))),vlookup($A324&amp;$B324,{'5) Release_Track'!$F:$F&amp;'5) Release_Track'!$G:$G,'5) Release_Track'!$H:$H},2,0),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D324" s="121" t="str">
        <f t="array" ref="D324">ifs(and(isblank($A324),isblank($B324)),"", not(iserror(vlookup($A324&amp;$B324,'5) Release_Track'!$F:$F&amp;'5) Release_Track'!$G:$G,1,0))),vlookup($A324&amp;$B324,{'5) Release_Track'!$F:$F&amp;'5) Release_Track'!$G:$G,'5) Release_Track'!$I:$I},2,0),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E324" s="92"/>
      <c r="F324" s="92"/>
      <c r="G324" s="125" t="str">
        <f t="array" ref="G324">ifs(or($F324="",$F324="Main Primary Artist"),$F324,not(iserror(vlookup($F324,'Reference info'!$J$5:$J$8,1,0))),"Key Artist",not(iserror(vlookup($F324,'Reference info'!$J$38:$J$405,1,0))),"Performer",not(iserror(vlookup($F324,'Reference info'!$J$10:$J$36,1,0))),"Producer &amp; Engineer")</f>
        <v/>
      </c>
    </row>
    <row r="325">
      <c r="B325" s="97"/>
      <c r="C325" s="121" t="str">
        <f t="array" ref="C325">ifs(and(isblank($A325),isblank($B325)),"", not(iserror(vlookup($A325&amp;$B325,'5) Release_Track'!$F:$F&amp;'5) Release_Track'!$G:$G,1,0))),vlookup($A325&amp;$B325,{'5) Release_Track'!$F:$F&amp;'5) Release_Track'!$G:$G,'5) Release_Track'!$H:$H},2,0),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D325" s="121" t="str">
        <f t="array" ref="D325">ifs(and(isblank($A325),isblank($B325)),"", not(iserror(vlookup($A325&amp;$B325,'5) Release_Track'!$F:$F&amp;'5) Release_Track'!$G:$G,1,0))),vlookup($A325&amp;$B325,{'5) Release_Track'!$F:$F&amp;'5) Release_Track'!$G:$G,'5) Release_Track'!$I:$I},2,0),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E325" s="92"/>
      <c r="F325" s="92"/>
      <c r="G325" s="125" t="str">
        <f t="array" ref="G325">ifs(or($F325="",$F325="Main Primary Artist"),$F325,not(iserror(vlookup($F325,'Reference info'!$J$5:$J$8,1,0))),"Key Artist",not(iserror(vlookup($F325,'Reference info'!$J$38:$J$405,1,0))),"Performer",not(iserror(vlookup($F325,'Reference info'!$J$10:$J$36,1,0))),"Producer &amp; Engineer")</f>
        <v/>
      </c>
    </row>
    <row r="326">
      <c r="B326" s="97"/>
      <c r="C326" s="121" t="str">
        <f t="array" ref="C326">ifs(and(isblank($A326),isblank($B326)),"", not(iserror(vlookup($A326&amp;$B326,'5) Release_Track'!$F:$F&amp;'5) Release_Track'!$G:$G,1,0))),vlookup($A326&amp;$B326,{'5) Release_Track'!$F:$F&amp;'5) Release_Track'!$G:$G,'5) Release_Track'!$H:$H},2,0),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D326" s="121" t="str">
        <f t="array" ref="D326">ifs(and(isblank($A326),isblank($B326)),"", not(iserror(vlookup($A326&amp;$B326,'5) Release_Track'!$F:$F&amp;'5) Release_Track'!$G:$G,1,0))),vlookup($A326&amp;$B326,{'5) Release_Track'!$F:$F&amp;'5) Release_Track'!$G:$G,'5) Release_Track'!$I:$I},2,0),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E326" s="92"/>
      <c r="F326" s="92"/>
      <c r="G326" s="125" t="str">
        <f t="array" ref="G326">ifs(or($F326="",$F326="Main Primary Artist"),$F326,not(iserror(vlookup($F326,'Reference info'!$J$5:$J$8,1,0))),"Key Artist",not(iserror(vlookup($F326,'Reference info'!$J$38:$J$405,1,0))),"Performer",not(iserror(vlookup($F326,'Reference info'!$J$10:$J$36,1,0))),"Producer &amp; Engineer")</f>
        <v/>
      </c>
    </row>
    <row r="327">
      <c r="B327" s="97"/>
      <c r="C327" s="121" t="str">
        <f t="array" ref="C327">ifs(and(isblank($A327),isblank($B327)),"", not(iserror(vlookup($A327&amp;$B327,'5) Release_Track'!$F:$F&amp;'5) Release_Track'!$G:$G,1,0))),vlookup($A327&amp;$B327,{'5) Release_Track'!$F:$F&amp;'5) Release_Track'!$G:$G,'5) Release_Track'!$H:$H},2,0),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D327" s="121" t="str">
        <f t="array" ref="D327">ifs(and(isblank($A327),isblank($B327)),"", not(iserror(vlookup($A327&amp;$B327,'5) Release_Track'!$F:$F&amp;'5) Release_Track'!$G:$G,1,0))),vlookup($A327&amp;$B327,{'5) Release_Track'!$F:$F&amp;'5) Release_Track'!$G:$G,'5) Release_Track'!$I:$I},2,0),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E327" s="92"/>
      <c r="F327" s="92"/>
      <c r="G327" s="125" t="str">
        <f t="array" ref="G327">ifs(or($F327="",$F327="Main Primary Artist"),$F327,not(iserror(vlookup($F327,'Reference info'!$J$5:$J$8,1,0))),"Key Artist",not(iserror(vlookup($F327,'Reference info'!$J$38:$J$405,1,0))),"Performer",not(iserror(vlookup($F327,'Reference info'!$J$10:$J$36,1,0))),"Producer &amp; Engineer")</f>
        <v/>
      </c>
    </row>
    <row r="328">
      <c r="B328" s="97"/>
      <c r="C328" s="121" t="str">
        <f t="array" ref="C328">ifs(and(isblank($A328),isblank($B328)),"", not(iserror(vlookup($A328&amp;$B328,'5) Release_Track'!$F:$F&amp;'5) Release_Track'!$G:$G,1,0))),vlookup($A328&amp;$B328,{'5) Release_Track'!$F:$F&amp;'5) Release_Track'!$G:$G,'5) Release_Track'!$H:$H},2,0),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D328" s="121" t="str">
        <f t="array" ref="D328">ifs(and(isblank($A328),isblank($B328)),"", not(iserror(vlookup($A328&amp;$B328,'5) Release_Track'!$F:$F&amp;'5) Release_Track'!$G:$G,1,0))),vlookup($A328&amp;$B328,{'5) Release_Track'!$F:$F&amp;'5) Release_Track'!$G:$G,'5) Release_Track'!$I:$I},2,0),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E328" s="92"/>
      <c r="F328" s="92"/>
      <c r="G328" s="125" t="str">
        <f t="array" ref="G328">ifs(or($F328="",$F328="Main Primary Artist"),$F328,not(iserror(vlookup($F328,'Reference info'!$J$5:$J$8,1,0))),"Key Artist",not(iserror(vlookup($F328,'Reference info'!$J$38:$J$405,1,0))),"Performer",not(iserror(vlookup($F328,'Reference info'!$J$10:$J$36,1,0))),"Producer &amp; Engineer")</f>
        <v/>
      </c>
    </row>
    <row r="329">
      <c r="B329" s="97"/>
      <c r="C329" s="121" t="str">
        <f t="array" ref="C329">ifs(and(isblank($A329),isblank($B329)),"", not(iserror(vlookup($A329&amp;$B329,'5) Release_Track'!$F:$F&amp;'5) Release_Track'!$G:$G,1,0))),vlookup($A329&amp;$B329,{'5) Release_Track'!$F:$F&amp;'5) Release_Track'!$G:$G,'5) Release_Track'!$H:$H},2,0),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D329" s="121" t="str">
        <f t="array" ref="D329">ifs(and(isblank($A329),isblank($B329)),"", not(iserror(vlookup($A329&amp;$B329,'5) Release_Track'!$F:$F&amp;'5) Release_Track'!$G:$G,1,0))),vlookup($A329&amp;$B329,{'5) Release_Track'!$F:$F&amp;'5) Release_Track'!$G:$G,'5) Release_Track'!$I:$I},2,0),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E329" s="92"/>
      <c r="F329" s="92"/>
      <c r="G329" s="125" t="str">
        <f t="array" ref="G329">ifs(or($F329="",$F329="Main Primary Artist"),$F329,not(iserror(vlookup($F329,'Reference info'!$J$5:$J$8,1,0))),"Key Artist",not(iserror(vlookup($F329,'Reference info'!$J$38:$J$405,1,0))),"Performer",not(iserror(vlookup($F329,'Reference info'!$J$10:$J$36,1,0))),"Producer &amp; Engineer")</f>
        <v/>
      </c>
    </row>
    <row r="330">
      <c r="B330" s="97"/>
      <c r="C330" s="121" t="str">
        <f t="array" ref="C330">ifs(and(isblank($A330),isblank($B330)),"", not(iserror(vlookup($A330&amp;$B330,'5) Release_Track'!$F:$F&amp;'5) Release_Track'!$G:$G,1,0))),vlookup($A330&amp;$B330,{'5) Release_Track'!$F:$F&amp;'5) Release_Track'!$G:$G,'5) Release_Track'!$H:$H},2,0),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D330" s="121" t="str">
        <f t="array" ref="D330">ifs(and(isblank($A330),isblank($B330)),"", not(iserror(vlookup($A330&amp;$B330,'5) Release_Track'!$F:$F&amp;'5) Release_Track'!$G:$G,1,0))),vlookup($A330&amp;$B330,{'5) Release_Track'!$F:$F&amp;'5) Release_Track'!$G:$G,'5) Release_Track'!$I:$I},2,0),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E330" s="92"/>
      <c r="F330" s="92"/>
      <c r="G330" s="125" t="str">
        <f t="array" ref="G330">ifs(or($F330="",$F330="Main Primary Artist"),$F330,not(iserror(vlookup($F330,'Reference info'!$J$5:$J$8,1,0))),"Key Artist",not(iserror(vlookup($F330,'Reference info'!$J$38:$J$405,1,0))),"Performer",not(iserror(vlookup($F330,'Reference info'!$J$10:$J$36,1,0))),"Producer &amp; Engineer")</f>
        <v/>
      </c>
    </row>
    <row r="331">
      <c r="B331" s="97"/>
      <c r="C331" s="121" t="str">
        <f t="array" ref="C331">ifs(and(isblank($A331),isblank($B331)),"", not(iserror(vlookup($A331&amp;$B331,'5) Release_Track'!$F:$F&amp;'5) Release_Track'!$G:$G,1,0))),vlookup($A331&amp;$B331,{'5) Release_Track'!$F:$F&amp;'5) Release_Track'!$G:$G,'5) Release_Track'!$H:$H},2,0),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D331" s="121" t="str">
        <f t="array" ref="D331">ifs(and(isblank($A331),isblank($B331)),"", not(iserror(vlookup($A331&amp;$B331,'5) Release_Track'!$F:$F&amp;'5) Release_Track'!$G:$G,1,0))),vlookup($A331&amp;$B331,{'5) Release_Track'!$F:$F&amp;'5) Release_Track'!$G:$G,'5) Release_Track'!$I:$I},2,0),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E331" s="92"/>
      <c r="F331" s="92"/>
      <c r="G331" s="125" t="str">
        <f t="array" ref="G331">ifs(or($F331="",$F331="Main Primary Artist"),$F331,not(iserror(vlookup($F331,'Reference info'!$J$5:$J$8,1,0))),"Key Artist",not(iserror(vlookup($F331,'Reference info'!$J$38:$J$405,1,0))),"Performer",not(iserror(vlookup($F331,'Reference info'!$J$10:$J$36,1,0))),"Producer &amp; Engineer")</f>
        <v/>
      </c>
    </row>
    <row r="332">
      <c r="B332" s="97"/>
      <c r="C332" s="121" t="str">
        <f t="array" ref="C332">ifs(and(isblank($A332),isblank($B332)),"", not(iserror(vlookup($A332&amp;$B332,'5) Release_Track'!$F:$F&amp;'5) Release_Track'!$G:$G,1,0))),vlookup($A332&amp;$B332,{'5) Release_Track'!$F:$F&amp;'5) Release_Track'!$G:$G,'5) Release_Track'!$H:$H},2,0),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D332" s="121" t="str">
        <f t="array" ref="D332">ifs(and(isblank($A332),isblank($B332)),"", not(iserror(vlookup($A332&amp;$B332,'5) Release_Track'!$F:$F&amp;'5) Release_Track'!$G:$G,1,0))),vlookup($A332&amp;$B332,{'5) Release_Track'!$F:$F&amp;'5) Release_Track'!$G:$G,'5) Release_Track'!$I:$I},2,0),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E332" s="92"/>
      <c r="F332" s="92"/>
      <c r="G332" s="125" t="str">
        <f t="array" ref="G332">ifs(or($F332="",$F332="Main Primary Artist"),$F332,not(iserror(vlookup($F332,'Reference info'!$J$5:$J$8,1,0))),"Key Artist",not(iserror(vlookup($F332,'Reference info'!$J$38:$J$405,1,0))),"Performer",not(iserror(vlookup($F332,'Reference info'!$J$10:$J$36,1,0))),"Producer &amp; Engineer")</f>
        <v/>
      </c>
    </row>
    <row r="333">
      <c r="B333" s="97"/>
      <c r="C333" s="121" t="str">
        <f t="array" ref="C333">ifs(and(isblank($A333),isblank($B333)),"", not(iserror(vlookup($A333&amp;$B333,'5) Release_Track'!$F:$F&amp;'5) Release_Track'!$G:$G,1,0))),vlookup($A333&amp;$B333,{'5) Release_Track'!$F:$F&amp;'5) Release_Track'!$G:$G,'5) Release_Track'!$H:$H},2,0),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D333" s="121" t="str">
        <f t="array" ref="D333">ifs(and(isblank($A333),isblank($B333)),"", not(iserror(vlookup($A333&amp;$B333,'5) Release_Track'!$F:$F&amp;'5) Release_Track'!$G:$G,1,0))),vlookup($A333&amp;$B333,{'5) Release_Track'!$F:$F&amp;'5) Release_Track'!$G:$G,'5) Release_Track'!$I:$I},2,0),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E333" s="92"/>
      <c r="F333" s="92"/>
      <c r="G333" s="125" t="str">
        <f t="array" ref="G333">ifs(or($F333="",$F333="Main Primary Artist"),$F333,not(iserror(vlookup($F333,'Reference info'!$J$5:$J$8,1,0))),"Key Artist",not(iserror(vlookup($F333,'Reference info'!$J$38:$J$405,1,0))),"Performer",not(iserror(vlookup($F333,'Reference info'!$J$10:$J$36,1,0))),"Producer &amp; Engineer")</f>
        <v/>
      </c>
    </row>
    <row r="334">
      <c r="B334" s="97"/>
      <c r="C334" s="121" t="str">
        <f t="array" ref="C334">ifs(and(isblank($A334),isblank($B334)),"", not(iserror(vlookup($A334&amp;$B334,'5) Release_Track'!$F:$F&amp;'5) Release_Track'!$G:$G,1,0))),vlookup($A334&amp;$B334,{'5) Release_Track'!$F:$F&amp;'5) Release_Track'!$G:$G,'5) Release_Track'!$H:$H},2,0),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D334" s="121" t="str">
        <f t="array" ref="D334">ifs(and(isblank($A334),isblank($B334)),"", not(iserror(vlookup($A334&amp;$B334,'5) Release_Track'!$F:$F&amp;'5) Release_Track'!$G:$G,1,0))),vlookup($A334&amp;$B334,{'5) Release_Track'!$F:$F&amp;'5) Release_Track'!$G:$G,'5) Release_Track'!$I:$I},2,0),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E334" s="92"/>
      <c r="F334" s="92"/>
      <c r="G334" s="125" t="str">
        <f t="array" ref="G334">ifs(or($F334="",$F334="Main Primary Artist"),$F334,not(iserror(vlookup($F334,'Reference info'!$J$5:$J$8,1,0))),"Key Artist",not(iserror(vlookup($F334,'Reference info'!$J$38:$J$405,1,0))),"Performer",not(iserror(vlookup($F334,'Reference info'!$J$10:$J$36,1,0))),"Producer &amp; Engineer")</f>
        <v/>
      </c>
    </row>
    <row r="335">
      <c r="B335" s="97"/>
      <c r="C335" s="121" t="str">
        <f t="array" ref="C335">ifs(and(isblank($A335),isblank($B335)),"", not(iserror(vlookup($A335&amp;$B335,'5) Release_Track'!$F:$F&amp;'5) Release_Track'!$G:$G,1,0))),vlookup($A335&amp;$B335,{'5) Release_Track'!$F:$F&amp;'5) Release_Track'!$G:$G,'5) Release_Track'!$H:$H},2,0),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D335" s="121" t="str">
        <f t="array" ref="D335">ifs(and(isblank($A335),isblank($B335)),"", not(iserror(vlookup($A335&amp;$B335,'5) Release_Track'!$F:$F&amp;'5) Release_Track'!$G:$G,1,0))),vlookup($A335&amp;$B335,{'5) Release_Track'!$F:$F&amp;'5) Release_Track'!$G:$G,'5) Release_Track'!$I:$I},2,0),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E335" s="92"/>
      <c r="F335" s="92"/>
      <c r="G335" s="125" t="str">
        <f t="array" ref="G335">ifs(or($F335="",$F335="Main Primary Artist"),$F335,not(iserror(vlookup($F335,'Reference info'!$J$5:$J$8,1,0))),"Key Artist",not(iserror(vlookup($F335,'Reference info'!$J$38:$J$405,1,0))),"Performer",not(iserror(vlookup($F335,'Reference info'!$J$10:$J$36,1,0))),"Producer &amp; Engineer")</f>
        <v/>
      </c>
    </row>
    <row r="336">
      <c r="B336" s="97"/>
      <c r="C336" s="121" t="str">
        <f t="array" ref="C336">ifs(and(isblank($A336),isblank($B336)),"", not(iserror(vlookup($A336&amp;$B336,'5) Release_Track'!$F:$F&amp;'5) Release_Track'!$G:$G,1,0))),vlookup($A336&amp;$B336,{'5) Release_Track'!$F:$F&amp;'5) Release_Track'!$G:$G,'5) Release_Track'!$H:$H},2,0),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D336" s="121" t="str">
        <f t="array" ref="D336">ifs(and(isblank($A336),isblank($B336)),"", not(iserror(vlookup($A336&amp;$B336,'5) Release_Track'!$F:$F&amp;'5) Release_Track'!$G:$G,1,0))),vlookup($A336&amp;$B336,{'5) Release_Track'!$F:$F&amp;'5) Release_Track'!$G:$G,'5) Release_Track'!$I:$I},2,0),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E336" s="92"/>
      <c r="F336" s="92"/>
      <c r="G336" s="125" t="str">
        <f t="array" ref="G336">ifs(or($F336="",$F336="Main Primary Artist"),$F336,not(iserror(vlookup($F336,'Reference info'!$J$5:$J$8,1,0))),"Key Artist",not(iserror(vlookup($F336,'Reference info'!$J$38:$J$405,1,0))),"Performer",not(iserror(vlookup($F336,'Reference info'!$J$10:$J$36,1,0))),"Producer &amp; Engineer")</f>
        <v/>
      </c>
    </row>
    <row r="337">
      <c r="B337" s="97"/>
      <c r="C337" s="121" t="str">
        <f t="array" ref="C337">ifs(and(isblank($A337),isblank($B337)),"", not(iserror(vlookup($A337&amp;$B337,'5) Release_Track'!$F:$F&amp;'5) Release_Track'!$G:$G,1,0))),vlookup($A337&amp;$B337,{'5) Release_Track'!$F:$F&amp;'5) Release_Track'!$G:$G,'5) Release_Track'!$H:$H},2,0),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D337" s="121" t="str">
        <f t="array" ref="D337">ifs(and(isblank($A337),isblank($B337)),"", not(iserror(vlookup($A337&amp;$B337,'5) Release_Track'!$F:$F&amp;'5) Release_Track'!$G:$G,1,0))),vlookup($A337&amp;$B337,{'5) Release_Track'!$F:$F&amp;'5) Release_Track'!$G:$G,'5) Release_Track'!$I:$I},2,0),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E337" s="92"/>
      <c r="F337" s="92"/>
      <c r="G337" s="125" t="str">
        <f t="array" ref="G337">ifs(or($F337="",$F337="Main Primary Artist"),$F337,not(iserror(vlookup($F337,'Reference info'!$J$5:$J$8,1,0))),"Key Artist",not(iserror(vlookup($F337,'Reference info'!$J$38:$J$405,1,0))),"Performer",not(iserror(vlookup($F337,'Reference info'!$J$10:$J$36,1,0))),"Producer &amp; Engineer")</f>
        <v/>
      </c>
    </row>
    <row r="338">
      <c r="B338" s="97"/>
      <c r="C338" s="121" t="str">
        <f t="array" ref="C338">ifs(and(isblank($A338),isblank($B338)),"", not(iserror(vlookup($A338&amp;$B338,'5) Release_Track'!$F:$F&amp;'5) Release_Track'!$G:$G,1,0))),vlookup($A338&amp;$B338,{'5) Release_Track'!$F:$F&amp;'5) Release_Track'!$G:$G,'5) Release_Track'!$H:$H},2,0),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D338" s="121" t="str">
        <f t="array" ref="D338">ifs(and(isblank($A338),isblank($B338)),"", not(iserror(vlookup($A338&amp;$B338,'5) Release_Track'!$F:$F&amp;'5) Release_Track'!$G:$G,1,0))),vlookup($A338&amp;$B338,{'5) Release_Track'!$F:$F&amp;'5) Release_Track'!$G:$G,'5) Release_Track'!$I:$I},2,0),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E338" s="92"/>
      <c r="F338" s="92"/>
      <c r="G338" s="125" t="str">
        <f t="array" ref="G338">ifs(or($F338="",$F338="Main Primary Artist"),$F338,not(iserror(vlookup($F338,'Reference info'!$J$5:$J$8,1,0))),"Key Artist",not(iserror(vlookup($F338,'Reference info'!$J$38:$J$405,1,0))),"Performer",not(iserror(vlookup($F338,'Reference info'!$J$10:$J$36,1,0))),"Producer &amp; Engineer")</f>
        <v/>
      </c>
    </row>
    <row r="339">
      <c r="B339" s="97"/>
      <c r="C339" s="121" t="str">
        <f t="array" ref="C339">ifs(and(isblank($A339),isblank($B339)),"", not(iserror(vlookup($A339&amp;$B339,'5) Release_Track'!$F:$F&amp;'5) Release_Track'!$G:$G,1,0))),vlookup($A339&amp;$B339,{'5) Release_Track'!$F:$F&amp;'5) Release_Track'!$G:$G,'5) Release_Track'!$H:$H},2,0),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D339" s="121" t="str">
        <f t="array" ref="D339">ifs(and(isblank($A339),isblank($B339)),"", not(iserror(vlookup($A339&amp;$B339,'5) Release_Track'!$F:$F&amp;'5) Release_Track'!$G:$G,1,0))),vlookup($A339&amp;$B339,{'5) Release_Track'!$F:$F&amp;'5) Release_Track'!$G:$G,'5) Release_Track'!$I:$I},2,0),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E339" s="92"/>
      <c r="F339" s="92"/>
      <c r="G339" s="125" t="str">
        <f t="array" ref="G339">ifs(or($F339="",$F339="Main Primary Artist"),$F339,not(iserror(vlookup($F339,'Reference info'!$J$5:$J$8,1,0))),"Key Artist",not(iserror(vlookup($F339,'Reference info'!$J$38:$J$405,1,0))),"Performer",not(iserror(vlookup($F339,'Reference info'!$J$10:$J$36,1,0))),"Producer &amp; Engineer")</f>
        <v/>
      </c>
    </row>
    <row r="340">
      <c r="B340" s="97"/>
      <c r="C340" s="121" t="str">
        <f t="array" ref="C340">ifs(and(isblank($A340),isblank($B340)),"", not(iserror(vlookup($A340&amp;$B340,'5) Release_Track'!$F:$F&amp;'5) Release_Track'!$G:$G,1,0))),vlookup($A340&amp;$B340,{'5) Release_Track'!$F:$F&amp;'5) Release_Track'!$G:$G,'5) Release_Track'!$H:$H},2,0),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D340" s="121" t="str">
        <f t="array" ref="D340">ifs(and(isblank($A340),isblank($B340)),"", not(iserror(vlookup($A340&amp;$B340,'5) Release_Track'!$F:$F&amp;'5) Release_Track'!$G:$G,1,0))),vlookup($A340&amp;$B340,{'5) Release_Track'!$F:$F&amp;'5) Release_Track'!$G:$G,'5) Release_Track'!$I:$I},2,0),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E340" s="92"/>
      <c r="F340" s="92"/>
      <c r="G340" s="125" t="str">
        <f t="array" ref="G340">ifs(or($F340="",$F340="Main Primary Artist"),$F340,not(iserror(vlookup($F340,'Reference info'!$J$5:$J$8,1,0))),"Key Artist",not(iserror(vlookup($F340,'Reference info'!$J$38:$J$405,1,0))),"Performer",not(iserror(vlookup($F340,'Reference info'!$J$10:$J$36,1,0))),"Producer &amp; Engineer")</f>
        <v/>
      </c>
    </row>
    <row r="341">
      <c r="B341" s="97"/>
      <c r="C341" s="121" t="str">
        <f t="array" ref="C341">ifs(and(isblank($A341),isblank($B341)),"", not(iserror(vlookup($A341&amp;$B341,'5) Release_Track'!$F:$F&amp;'5) Release_Track'!$G:$G,1,0))),vlookup($A341&amp;$B341,{'5) Release_Track'!$F:$F&amp;'5) Release_Track'!$G:$G,'5) Release_Track'!$H:$H},2,0),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D341" s="121" t="str">
        <f t="array" ref="D341">ifs(and(isblank($A341),isblank($B341)),"", not(iserror(vlookup($A341&amp;$B341,'5) Release_Track'!$F:$F&amp;'5) Release_Track'!$G:$G,1,0))),vlookup($A341&amp;$B341,{'5) Release_Track'!$F:$F&amp;'5) Release_Track'!$G:$G,'5) Release_Track'!$I:$I},2,0),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E341" s="92"/>
      <c r="F341" s="92"/>
      <c r="G341" s="125" t="str">
        <f t="array" ref="G341">ifs(or($F341="",$F341="Main Primary Artist"),$F341,not(iserror(vlookup($F341,'Reference info'!$J$5:$J$8,1,0))),"Key Artist",not(iserror(vlookup($F341,'Reference info'!$J$38:$J$405,1,0))),"Performer",not(iserror(vlookup($F341,'Reference info'!$J$10:$J$36,1,0))),"Producer &amp; Engineer")</f>
        <v/>
      </c>
    </row>
    <row r="342">
      <c r="B342" s="97"/>
      <c r="C342" s="121" t="str">
        <f t="array" ref="C342">ifs(and(isblank($A342),isblank($B342)),"", not(iserror(vlookup($A342&amp;$B342,'5) Release_Track'!$F:$F&amp;'5) Release_Track'!$G:$G,1,0))),vlookup($A342&amp;$B342,{'5) Release_Track'!$F:$F&amp;'5) Release_Track'!$G:$G,'5) Release_Track'!$H:$H},2,0),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D342" s="121" t="str">
        <f t="array" ref="D342">ifs(and(isblank($A342),isblank($B342)),"", not(iserror(vlookup($A342&amp;$B342,'5) Release_Track'!$F:$F&amp;'5) Release_Track'!$G:$G,1,0))),vlookup($A342&amp;$B342,{'5) Release_Track'!$F:$F&amp;'5) Release_Track'!$G:$G,'5) Release_Track'!$I:$I},2,0),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E342" s="92"/>
      <c r="F342" s="92"/>
      <c r="G342" s="125" t="str">
        <f t="array" ref="G342">ifs(or($F342="",$F342="Main Primary Artist"),$F342,not(iserror(vlookup($F342,'Reference info'!$J$5:$J$8,1,0))),"Key Artist",not(iserror(vlookup($F342,'Reference info'!$J$38:$J$405,1,0))),"Performer",not(iserror(vlookup($F342,'Reference info'!$J$10:$J$36,1,0))),"Producer &amp; Engineer")</f>
        <v/>
      </c>
    </row>
    <row r="343">
      <c r="B343" s="97"/>
      <c r="C343" s="121" t="str">
        <f t="array" ref="C343">ifs(and(isblank($A343),isblank($B343)),"", not(iserror(vlookup($A343&amp;$B343,'5) Release_Track'!$F:$F&amp;'5) Release_Track'!$G:$G,1,0))),vlookup($A343&amp;$B343,{'5) Release_Track'!$F:$F&amp;'5) Release_Track'!$G:$G,'5) Release_Track'!$H:$H},2,0),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D343" s="121" t="str">
        <f t="array" ref="D343">ifs(and(isblank($A343),isblank($B343)),"", not(iserror(vlookup($A343&amp;$B343,'5) Release_Track'!$F:$F&amp;'5) Release_Track'!$G:$G,1,0))),vlookup($A343&amp;$B343,{'5) Release_Track'!$F:$F&amp;'5) Release_Track'!$G:$G,'5) Release_Track'!$I:$I},2,0),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E343" s="92"/>
      <c r="F343" s="92"/>
      <c r="G343" s="125" t="str">
        <f t="array" ref="G343">ifs(or($F343="",$F343="Main Primary Artist"),$F343,not(iserror(vlookup($F343,'Reference info'!$J$5:$J$8,1,0))),"Key Artist",not(iserror(vlookup($F343,'Reference info'!$J$38:$J$405,1,0))),"Performer",not(iserror(vlookup($F343,'Reference info'!$J$10:$J$36,1,0))),"Producer &amp; Engineer")</f>
        <v/>
      </c>
    </row>
    <row r="344">
      <c r="B344" s="97"/>
      <c r="C344" s="121" t="str">
        <f t="array" ref="C344">ifs(and(isblank($A344),isblank($B344)),"", not(iserror(vlookup($A344&amp;$B344,'5) Release_Track'!$F:$F&amp;'5) Release_Track'!$G:$G,1,0))),vlookup($A344&amp;$B344,{'5) Release_Track'!$F:$F&amp;'5) Release_Track'!$G:$G,'5) Release_Track'!$H:$H},2,0),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D344" s="121" t="str">
        <f t="array" ref="D344">ifs(and(isblank($A344),isblank($B344)),"", not(iserror(vlookup($A344&amp;$B344,'5) Release_Track'!$F:$F&amp;'5) Release_Track'!$G:$G,1,0))),vlookup($A344&amp;$B344,{'5) Release_Track'!$F:$F&amp;'5) Release_Track'!$G:$G,'5) Release_Track'!$I:$I},2,0),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E344" s="92"/>
      <c r="F344" s="92"/>
      <c r="G344" s="125" t="str">
        <f t="array" ref="G344">ifs(or($F344="",$F344="Main Primary Artist"),$F344,not(iserror(vlookup($F344,'Reference info'!$J$5:$J$8,1,0))),"Key Artist",not(iserror(vlookup($F344,'Reference info'!$J$38:$J$405,1,0))),"Performer",not(iserror(vlookup($F344,'Reference info'!$J$10:$J$36,1,0))),"Producer &amp; Engineer")</f>
        <v/>
      </c>
    </row>
    <row r="345">
      <c r="B345" s="97"/>
      <c r="C345" s="121" t="str">
        <f t="array" ref="C345">ifs(and(isblank($A345),isblank($B345)),"", not(iserror(vlookup($A345&amp;$B345,'5) Release_Track'!$F:$F&amp;'5) Release_Track'!$G:$G,1,0))),vlookup($A345&amp;$B345,{'5) Release_Track'!$F:$F&amp;'5) Release_Track'!$G:$G,'5) Release_Track'!$H:$H},2,0),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D345" s="121" t="str">
        <f t="array" ref="D345">ifs(and(isblank($A345),isblank($B345)),"", not(iserror(vlookup($A345&amp;$B345,'5) Release_Track'!$F:$F&amp;'5) Release_Track'!$G:$G,1,0))),vlookup($A345&amp;$B345,{'5) Release_Track'!$F:$F&amp;'5) Release_Track'!$G:$G,'5) Release_Track'!$I:$I},2,0),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E345" s="92"/>
      <c r="F345" s="92"/>
      <c r="G345" s="125" t="str">
        <f t="array" ref="G345">ifs(or($F345="",$F345="Main Primary Artist"),$F345,not(iserror(vlookup($F345,'Reference info'!$J$5:$J$8,1,0))),"Key Artist",not(iserror(vlookup($F345,'Reference info'!$J$38:$J$405,1,0))),"Performer",not(iserror(vlookup($F345,'Reference info'!$J$10:$J$36,1,0))),"Producer &amp; Engineer")</f>
        <v/>
      </c>
    </row>
    <row r="346">
      <c r="B346" s="97"/>
      <c r="C346" s="121" t="str">
        <f t="array" ref="C346">ifs(and(isblank($A346),isblank($B346)),"", not(iserror(vlookup($A346&amp;$B346,'5) Release_Track'!$F:$F&amp;'5) Release_Track'!$G:$G,1,0))),vlookup($A346&amp;$B346,{'5) Release_Track'!$F:$F&amp;'5) Release_Track'!$G:$G,'5) Release_Track'!$H:$H},2,0),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D346" s="121" t="str">
        <f t="array" ref="D346">ifs(and(isblank($A346),isblank($B346)),"", not(iserror(vlookup($A346&amp;$B346,'5) Release_Track'!$F:$F&amp;'5) Release_Track'!$G:$G,1,0))),vlookup($A346&amp;$B346,{'5) Release_Track'!$F:$F&amp;'5) Release_Track'!$G:$G,'5) Release_Track'!$I:$I},2,0),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E346" s="92"/>
      <c r="F346" s="92"/>
      <c r="G346" s="125" t="str">
        <f t="array" ref="G346">ifs(or($F346="",$F346="Main Primary Artist"),$F346,not(iserror(vlookup($F346,'Reference info'!$J$5:$J$8,1,0))),"Key Artist",not(iserror(vlookup($F346,'Reference info'!$J$38:$J$405,1,0))),"Performer",not(iserror(vlookup($F346,'Reference info'!$J$10:$J$36,1,0))),"Producer &amp; Engineer")</f>
        <v/>
      </c>
    </row>
    <row r="347">
      <c r="B347" s="97"/>
      <c r="C347" s="121" t="str">
        <f t="array" ref="C347">ifs(and(isblank($A347),isblank($B347)),"", not(iserror(vlookup($A347&amp;$B347,'5) Release_Track'!$F:$F&amp;'5) Release_Track'!$G:$G,1,0))),vlookup($A347&amp;$B347,{'5) Release_Track'!$F:$F&amp;'5) Release_Track'!$G:$G,'5) Release_Track'!$H:$H},2,0),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D347" s="121" t="str">
        <f t="array" ref="D347">ifs(and(isblank($A347),isblank($B347)),"", not(iserror(vlookup($A347&amp;$B347,'5) Release_Track'!$F:$F&amp;'5) Release_Track'!$G:$G,1,0))),vlookup($A347&amp;$B347,{'5) Release_Track'!$F:$F&amp;'5) Release_Track'!$G:$G,'5) Release_Track'!$I:$I},2,0),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E347" s="92"/>
      <c r="F347" s="92"/>
      <c r="G347" s="125" t="str">
        <f t="array" ref="G347">ifs(or($F347="",$F347="Main Primary Artist"),$F347,not(iserror(vlookup($F347,'Reference info'!$J$5:$J$8,1,0))),"Key Artist",not(iserror(vlookup($F347,'Reference info'!$J$38:$J$405,1,0))),"Performer",not(iserror(vlookup($F347,'Reference info'!$J$10:$J$36,1,0))),"Producer &amp; Engineer")</f>
        <v/>
      </c>
    </row>
    <row r="348">
      <c r="B348" s="97"/>
      <c r="C348" s="121" t="str">
        <f t="array" ref="C348">ifs(and(isblank($A348),isblank($B348)),"", not(iserror(vlookup($A348&amp;$B348,'5) Release_Track'!$F:$F&amp;'5) Release_Track'!$G:$G,1,0))),vlookup($A348&amp;$B348,{'5) Release_Track'!$F:$F&amp;'5) Release_Track'!$G:$G,'5) Release_Track'!$H:$H},2,0),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D348" s="121" t="str">
        <f t="array" ref="D348">ifs(and(isblank($A348),isblank($B348)),"", not(iserror(vlookup($A348&amp;$B348,'5) Release_Track'!$F:$F&amp;'5) Release_Track'!$G:$G,1,0))),vlookup($A348&amp;$B348,{'5) Release_Track'!$F:$F&amp;'5) Release_Track'!$G:$G,'5) Release_Track'!$I:$I},2,0),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E348" s="92"/>
      <c r="F348" s="92"/>
      <c r="G348" s="125" t="str">
        <f t="array" ref="G348">ifs(or($F348="",$F348="Main Primary Artist"),$F348,not(iserror(vlookup($F348,'Reference info'!$J$5:$J$8,1,0))),"Key Artist",not(iserror(vlookup($F348,'Reference info'!$J$38:$J$405,1,0))),"Performer",not(iserror(vlookup($F348,'Reference info'!$J$10:$J$36,1,0))),"Producer &amp; Engineer")</f>
        <v/>
      </c>
    </row>
    <row r="349">
      <c r="B349" s="97"/>
      <c r="C349" s="121" t="str">
        <f t="array" ref="C349">ifs(and(isblank($A349),isblank($B349)),"", not(iserror(vlookup($A349&amp;$B349,'5) Release_Track'!$F:$F&amp;'5) Release_Track'!$G:$G,1,0))),vlookup($A349&amp;$B349,{'5) Release_Track'!$F:$F&amp;'5) Release_Track'!$G:$G,'5) Release_Track'!$H:$H},2,0),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D349" s="121" t="str">
        <f t="array" ref="D349">ifs(and(isblank($A349),isblank($B349)),"", not(iserror(vlookup($A349&amp;$B349,'5) Release_Track'!$F:$F&amp;'5) Release_Track'!$G:$G,1,0))),vlookup($A349&amp;$B349,{'5) Release_Track'!$F:$F&amp;'5) Release_Track'!$G:$G,'5) Release_Track'!$I:$I},2,0),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E349" s="92"/>
      <c r="F349" s="92"/>
      <c r="G349" s="125" t="str">
        <f t="array" ref="G349">ifs(or($F349="",$F349="Main Primary Artist"),$F349,not(iserror(vlookup($F349,'Reference info'!$J$5:$J$8,1,0))),"Key Artist",not(iserror(vlookup($F349,'Reference info'!$J$38:$J$405,1,0))),"Performer",not(iserror(vlookup($F349,'Reference info'!$J$10:$J$36,1,0))),"Producer &amp; Engineer")</f>
        <v/>
      </c>
    </row>
    <row r="350">
      <c r="B350" s="97"/>
      <c r="C350" s="121" t="str">
        <f t="array" ref="C350">ifs(and(isblank($A350),isblank($B350)),"", not(iserror(vlookup($A350&amp;$B350,'5) Release_Track'!$F:$F&amp;'5) Release_Track'!$G:$G,1,0))),vlookup($A350&amp;$B350,{'5) Release_Track'!$F:$F&amp;'5) Release_Track'!$G:$G,'5) Release_Track'!$H:$H},2,0),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D350" s="121" t="str">
        <f t="array" ref="D350">ifs(and(isblank($A350),isblank($B350)),"", not(iserror(vlookup($A350&amp;$B350,'5) Release_Track'!$F:$F&amp;'5) Release_Track'!$G:$G,1,0))),vlookup($A350&amp;$B350,{'5) Release_Track'!$F:$F&amp;'5) Release_Track'!$G:$G,'5) Release_Track'!$I:$I},2,0),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E350" s="92"/>
      <c r="F350" s="92"/>
      <c r="G350" s="125" t="str">
        <f t="array" ref="G350">ifs(or($F350="",$F350="Main Primary Artist"),$F350,not(iserror(vlookup($F350,'Reference info'!$J$5:$J$8,1,0))),"Key Artist",not(iserror(vlookup($F350,'Reference info'!$J$38:$J$405,1,0))),"Performer",not(iserror(vlookup($F350,'Reference info'!$J$10:$J$36,1,0))),"Producer &amp; Engineer")</f>
        <v/>
      </c>
    </row>
    <row r="351">
      <c r="B351" s="97"/>
      <c r="C351" s="121" t="str">
        <f t="array" ref="C351">ifs(and(isblank($A351),isblank($B351)),"", not(iserror(vlookup($A351&amp;$B351,'5) Release_Track'!$F:$F&amp;'5) Release_Track'!$G:$G,1,0))),vlookup($A351&amp;$B351,{'5) Release_Track'!$F:$F&amp;'5) Release_Track'!$G:$G,'5) Release_Track'!$H:$H},2,0),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D351" s="121" t="str">
        <f t="array" ref="D351">ifs(and(isblank($A351),isblank($B351)),"", not(iserror(vlookup($A351&amp;$B351,'5) Release_Track'!$F:$F&amp;'5) Release_Track'!$G:$G,1,0))),vlookup($A351&amp;$B351,{'5) Release_Track'!$F:$F&amp;'5) Release_Track'!$G:$G,'5) Release_Track'!$I:$I},2,0),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E351" s="92"/>
      <c r="F351" s="92"/>
      <c r="G351" s="125" t="str">
        <f t="array" ref="G351">ifs(or($F351="",$F351="Main Primary Artist"),$F351,not(iserror(vlookup($F351,'Reference info'!$J$5:$J$8,1,0))),"Key Artist",not(iserror(vlookup($F351,'Reference info'!$J$38:$J$405,1,0))),"Performer",not(iserror(vlookup($F351,'Reference info'!$J$10:$J$36,1,0))),"Producer &amp; Engineer")</f>
        <v/>
      </c>
    </row>
    <row r="352">
      <c r="B352" s="97"/>
      <c r="C352" s="121" t="str">
        <f t="array" ref="C352">ifs(and(isblank($A352),isblank($B352)),"", not(iserror(vlookup($A352&amp;$B352,'5) Release_Track'!$F:$F&amp;'5) Release_Track'!$G:$G,1,0))),vlookup($A352&amp;$B352,{'5) Release_Track'!$F:$F&amp;'5) Release_Track'!$G:$G,'5) Release_Track'!$H:$H},2,0),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D352" s="121" t="str">
        <f t="array" ref="D352">ifs(and(isblank($A352),isblank($B352)),"", not(iserror(vlookup($A352&amp;$B352,'5) Release_Track'!$F:$F&amp;'5) Release_Track'!$G:$G,1,0))),vlookup($A352&amp;$B352,{'5) Release_Track'!$F:$F&amp;'5) Release_Track'!$G:$G,'5) Release_Track'!$I:$I},2,0),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E352" s="92"/>
      <c r="F352" s="92"/>
      <c r="G352" s="125" t="str">
        <f t="array" ref="G352">ifs(or($F352="",$F352="Main Primary Artist"),$F352,not(iserror(vlookup($F352,'Reference info'!$J$5:$J$8,1,0))),"Key Artist",not(iserror(vlookup($F352,'Reference info'!$J$38:$J$405,1,0))),"Performer",not(iserror(vlookup($F352,'Reference info'!$J$10:$J$36,1,0))),"Producer &amp; Engineer")</f>
        <v/>
      </c>
    </row>
    <row r="353">
      <c r="B353" s="97"/>
      <c r="C353" s="121" t="str">
        <f t="array" ref="C353">ifs(and(isblank($A353),isblank($B353)),"", not(iserror(vlookup($A353&amp;$B353,'5) Release_Track'!$F:$F&amp;'5) Release_Track'!$G:$G,1,0))),vlookup($A353&amp;$B353,{'5) Release_Track'!$F:$F&amp;'5) Release_Track'!$G:$G,'5) Release_Track'!$H:$H},2,0),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D353" s="121" t="str">
        <f t="array" ref="D353">ifs(and(isblank($A353),isblank($B353)),"", not(iserror(vlookup($A353&amp;$B353,'5) Release_Track'!$F:$F&amp;'5) Release_Track'!$G:$G,1,0))),vlookup($A353&amp;$B353,{'5) Release_Track'!$F:$F&amp;'5) Release_Track'!$G:$G,'5) Release_Track'!$I:$I},2,0),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E353" s="92"/>
      <c r="F353" s="92"/>
      <c r="G353" s="125" t="str">
        <f t="array" ref="G353">ifs(or($F353="",$F353="Main Primary Artist"),$F353,not(iserror(vlookup($F353,'Reference info'!$J$5:$J$8,1,0))),"Key Artist",not(iserror(vlookup($F353,'Reference info'!$J$38:$J$405,1,0))),"Performer",not(iserror(vlookup($F353,'Reference info'!$J$10:$J$36,1,0))),"Producer &amp; Engineer")</f>
        <v/>
      </c>
    </row>
    <row r="354">
      <c r="B354" s="97"/>
      <c r="C354" s="121" t="str">
        <f t="array" ref="C354">ifs(and(isblank($A354),isblank($B354)),"", not(iserror(vlookup($A354&amp;$B354,'5) Release_Track'!$F:$F&amp;'5) Release_Track'!$G:$G,1,0))),vlookup($A354&amp;$B354,{'5) Release_Track'!$F:$F&amp;'5) Release_Track'!$G:$G,'5) Release_Track'!$H:$H},2,0),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D354" s="121" t="str">
        <f t="array" ref="D354">ifs(and(isblank($A354),isblank($B354)),"", not(iserror(vlookup($A354&amp;$B354,'5) Release_Track'!$F:$F&amp;'5) Release_Track'!$G:$G,1,0))),vlookup($A354&amp;$B354,{'5) Release_Track'!$F:$F&amp;'5) Release_Track'!$G:$G,'5) Release_Track'!$I:$I},2,0),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E354" s="92"/>
      <c r="F354" s="92"/>
      <c r="G354" s="125" t="str">
        <f t="array" ref="G354">ifs(or($F354="",$F354="Main Primary Artist"),$F354,not(iserror(vlookup($F354,'Reference info'!$J$5:$J$8,1,0))),"Key Artist",not(iserror(vlookup($F354,'Reference info'!$J$38:$J$405,1,0))),"Performer",not(iserror(vlookup($F354,'Reference info'!$J$10:$J$36,1,0))),"Producer &amp; Engineer")</f>
        <v/>
      </c>
    </row>
    <row r="355">
      <c r="B355" s="97"/>
      <c r="C355" s="121" t="str">
        <f t="array" ref="C355">ifs(and(isblank($A355),isblank($B355)),"", not(iserror(vlookup($A355&amp;$B355,'5) Release_Track'!$F:$F&amp;'5) Release_Track'!$G:$G,1,0))),vlookup($A355&amp;$B355,{'5) Release_Track'!$F:$F&amp;'5) Release_Track'!$G:$G,'5) Release_Track'!$H:$H},2,0),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D355" s="121" t="str">
        <f t="array" ref="D355">ifs(and(isblank($A355),isblank($B355)),"", not(iserror(vlookup($A355&amp;$B355,'5) Release_Track'!$F:$F&amp;'5) Release_Track'!$G:$G,1,0))),vlookup($A355&amp;$B355,{'5) Release_Track'!$F:$F&amp;'5) Release_Track'!$G:$G,'5) Release_Track'!$I:$I},2,0),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E355" s="92"/>
      <c r="F355" s="92"/>
      <c r="G355" s="125" t="str">
        <f t="array" ref="G355">ifs(or($F355="",$F355="Main Primary Artist"),$F355,not(iserror(vlookup($F355,'Reference info'!$J$5:$J$8,1,0))),"Key Artist",not(iserror(vlookup($F355,'Reference info'!$J$38:$J$405,1,0))),"Performer",not(iserror(vlookup($F355,'Reference info'!$J$10:$J$36,1,0))),"Producer &amp; Engineer")</f>
        <v/>
      </c>
    </row>
    <row r="356">
      <c r="B356" s="97"/>
      <c r="C356" s="121" t="str">
        <f t="array" ref="C356">ifs(and(isblank($A356),isblank($B356)),"", not(iserror(vlookup($A356&amp;$B356,'5) Release_Track'!$F:$F&amp;'5) Release_Track'!$G:$G,1,0))),vlookup($A356&amp;$B356,{'5) Release_Track'!$F:$F&amp;'5) Release_Track'!$G:$G,'5) Release_Track'!$H:$H},2,0),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D356" s="121" t="str">
        <f t="array" ref="D356">ifs(and(isblank($A356),isblank($B356)),"", not(iserror(vlookup($A356&amp;$B356,'5) Release_Track'!$F:$F&amp;'5) Release_Track'!$G:$G,1,0))),vlookup($A356&amp;$B356,{'5) Release_Track'!$F:$F&amp;'5) Release_Track'!$G:$G,'5) Release_Track'!$I:$I},2,0),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E356" s="92"/>
      <c r="F356" s="92"/>
      <c r="G356" s="125" t="str">
        <f t="array" ref="G356">ifs(or($F356="",$F356="Main Primary Artist"),$F356,not(iserror(vlookup($F356,'Reference info'!$J$5:$J$8,1,0))),"Key Artist",not(iserror(vlookup($F356,'Reference info'!$J$38:$J$405,1,0))),"Performer",not(iserror(vlookup($F356,'Reference info'!$J$10:$J$36,1,0))),"Producer &amp; Engineer")</f>
        <v/>
      </c>
    </row>
    <row r="357">
      <c r="B357" s="97"/>
      <c r="C357" s="121" t="str">
        <f t="array" ref="C357">ifs(and(isblank($A357),isblank($B357)),"", not(iserror(vlookup($A357&amp;$B357,'5) Release_Track'!$F:$F&amp;'5) Release_Track'!$G:$G,1,0))),vlookup($A357&amp;$B357,{'5) Release_Track'!$F:$F&amp;'5) Release_Track'!$G:$G,'5) Release_Track'!$H:$H},2,0),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D357" s="121" t="str">
        <f t="array" ref="D357">ifs(and(isblank($A357),isblank($B357)),"", not(iserror(vlookup($A357&amp;$B357,'5) Release_Track'!$F:$F&amp;'5) Release_Track'!$G:$G,1,0))),vlookup($A357&amp;$B357,{'5) Release_Track'!$F:$F&amp;'5) Release_Track'!$G:$G,'5) Release_Track'!$I:$I},2,0),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E357" s="92"/>
      <c r="F357" s="92"/>
      <c r="G357" s="125" t="str">
        <f t="array" ref="G357">ifs(or($F357="",$F357="Main Primary Artist"),$F357,not(iserror(vlookup($F357,'Reference info'!$J$5:$J$8,1,0))),"Key Artist",not(iserror(vlookup($F357,'Reference info'!$J$38:$J$405,1,0))),"Performer",not(iserror(vlookup($F357,'Reference info'!$J$10:$J$36,1,0))),"Producer &amp; Engineer")</f>
        <v/>
      </c>
    </row>
    <row r="358">
      <c r="B358" s="97"/>
      <c r="C358" s="121" t="str">
        <f t="array" ref="C358">ifs(and(isblank($A358),isblank($B358)),"", not(iserror(vlookup($A358&amp;$B358,'5) Release_Track'!$F:$F&amp;'5) Release_Track'!$G:$G,1,0))),vlookup($A358&amp;$B358,{'5) Release_Track'!$F:$F&amp;'5) Release_Track'!$G:$G,'5) Release_Track'!$H:$H},2,0),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D358" s="121" t="str">
        <f t="array" ref="D358">ifs(and(isblank($A358),isblank($B358)),"", not(iserror(vlookup($A358&amp;$B358,'5) Release_Track'!$F:$F&amp;'5) Release_Track'!$G:$G,1,0))),vlookup($A358&amp;$B358,{'5) Release_Track'!$F:$F&amp;'5) Release_Track'!$G:$G,'5) Release_Track'!$I:$I},2,0),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E358" s="92"/>
      <c r="F358" s="92"/>
      <c r="G358" s="125" t="str">
        <f t="array" ref="G358">ifs(or($F358="",$F358="Main Primary Artist"),$F358,not(iserror(vlookup($F358,'Reference info'!$J$5:$J$8,1,0))),"Key Artist",not(iserror(vlookup($F358,'Reference info'!$J$38:$J$405,1,0))),"Performer",not(iserror(vlookup($F358,'Reference info'!$J$10:$J$36,1,0))),"Producer &amp; Engineer")</f>
        <v/>
      </c>
    </row>
    <row r="359">
      <c r="B359" s="97"/>
      <c r="C359" s="121" t="str">
        <f t="array" ref="C359">ifs(and(isblank($A359),isblank($B359)),"", not(iserror(vlookup($A359&amp;$B359,'5) Release_Track'!$F:$F&amp;'5) Release_Track'!$G:$G,1,0))),vlookup($A359&amp;$B359,{'5) Release_Track'!$F:$F&amp;'5) Release_Track'!$G:$G,'5) Release_Track'!$H:$H},2,0),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D359" s="121" t="str">
        <f t="array" ref="D359">ifs(and(isblank($A359),isblank($B359)),"", not(iserror(vlookup($A359&amp;$B359,'5) Release_Track'!$F:$F&amp;'5) Release_Track'!$G:$G,1,0))),vlookup($A359&amp;$B359,{'5) Release_Track'!$F:$F&amp;'5) Release_Track'!$G:$G,'5) Release_Track'!$I:$I},2,0),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E359" s="92"/>
      <c r="F359" s="92"/>
      <c r="G359" s="125" t="str">
        <f t="array" ref="G359">ifs(or($F359="",$F359="Main Primary Artist"),$F359,not(iserror(vlookup($F359,'Reference info'!$J$5:$J$8,1,0))),"Key Artist",not(iserror(vlookup($F359,'Reference info'!$J$38:$J$405,1,0))),"Performer",not(iserror(vlookup($F359,'Reference info'!$J$10:$J$36,1,0))),"Producer &amp; Engineer")</f>
        <v/>
      </c>
    </row>
    <row r="360">
      <c r="B360" s="97"/>
      <c r="C360" s="121" t="str">
        <f t="array" ref="C360">ifs(and(isblank($A360),isblank($B360)),"", not(iserror(vlookup($A360&amp;$B360,'5) Release_Track'!$F:$F&amp;'5) Release_Track'!$G:$G,1,0))),vlookup($A360&amp;$B360,{'5) Release_Track'!$F:$F&amp;'5) Release_Track'!$G:$G,'5) Release_Track'!$H:$H},2,0),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D360" s="121" t="str">
        <f t="array" ref="D360">ifs(and(isblank($A360),isblank($B360)),"", not(iserror(vlookup($A360&amp;$B360,'5) Release_Track'!$F:$F&amp;'5) Release_Track'!$G:$G,1,0))),vlookup($A360&amp;$B360,{'5) Release_Track'!$F:$F&amp;'5) Release_Track'!$G:$G,'5) Release_Track'!$I:$I},2,0),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E360" s="92"/>
      <c r="F360" s="92"/>
      <c r="G360" s="125" t="str">
        <f t="array" ref="G360">ifs(or($F360="",$F360="Main Primary Artist"),$F360,not(iserror(vlookup($F360,'Reference info'!$J$5:$J$8,1,0))),"Key Artist",not(iserror(vlookup($F360,'Reference info'!$J$38:$J$405,1,0))),"Performer",not(iserror(vlookup($F360,'Reference info'!$J$10:$J$36,1,0))),"Producer &amp; Engineer")</f>
        <v/>
      </c>
    </row>
    <row r="361">
      <c r="B361" s="97"/>
      <c r="C361" s="121" t="str">
        <f t="array" ref="C361">ifs(and(isblank($A361),isblank($B361)),"", not(iserror(vlookup($A361&amp;$B361,'5) Release_Track'!$F:$F&amp;'5) Release_Track'!$G:$G,1,0))),vlookup($A361&amp;$B361,{'5) Release_Track'!$F:$F&amp;'5) Release_Track'!$G:$G,'5) Release_Track'!$H:$H},2,0),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D361" s="121" t="str">
        <f t="array" ref="D361">ifs(and(isblank($A361),isblank($B361)),"", not(iserror(vlookup($A361&amp;$B361,'5) Release_Track'!$F:$F&amp;'5) Release_Track'!$G:$G,1,0))),vlookup($A361&amp;$B361,{'5) Release_Track'!$F:$F&amp;'5) Release_Track'!$G:$G,'5) Release_Track'!$I:$I},2,0),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E361" s="92"/>
      <c r="F361" s="92"/>
      <c r="G361" s="125" t="str">
        <f t="array" ref="G361">ifs(or($F361="",$F361="Main Primary Artist"),$F361,not(iserror(vlookup($F361,'Reference info'!$J$5:$J$8,1,0))),"Key Artist",not(iserror(vlookup($F361,'Reference info'!$J$38:$J$405,1,0))),"Performer",not(iserror(vlookup($F361,'Reference info'!$J$10:$J$36,1,0))),"Producer &amp; Engineer")</f>
        <v/>
      </c>
    </row>
    <row r="362">
      <c r="B362" s="97"/>
      <c r="C362" s="121" t="str">
        <f t="array" ref="C362">ifs(and(isblank($A362),isblank($B362)),"", not(iserror(vlookup($A362&amp;$B362,'5) Release_Track'!$F:$F&amp;'5) Release_Track'!$G:$G,1,0))),vlookup($A362&amp;$B362,{'5) Release_Track'!$F:$F&amp;'5) Release_Track'!$G:$G,'5) Release_Track'!$H:$H},2,0),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D362" s="121" t="str">
        <f t="array" ref="D362">ifs(and(isblank($A362),isblank($B362)),"", not(iserror(vlookup($A362&amp;$B362,'5) Release_Track'!$F:$F&amp;'5) Release_Track'!$G:$G,1,0))),vlookup($A362&amp;$B362,{'5) Release_Track'!$F:$F&amp;'5) Release_Track'!$G:$G,'5) Release_Track'!$I:$I},2,0),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E362" s="92"/>
      <c r="F362" s="92"/>
      <c r="G362" s="125" t="str">
        <f t="array" ref="G362">ifs(or($F362="",$F362="Main Primary Artist"),$F362,not(iserror(vlookup($F362,'Reference info'!$J$5:$J$8,1,0))),"Key Artist",not(iserror(vlookup($F362,'Reference info'!$J$38:$J$405,1,0))),"Performer",not(iserror(vlookup($F362,'Reference info'!$J$10:$J$36,1,0))),"Producer &amp; Engineer")</f>
        <v/>
      </c>
    </row>
    <row r="363">
      <c r="B363" s="97"/>
      <c r="C363" s="121" t="str">
        <f t="array" ref="C363">ifs(and(isblank($A363),isblank($B363)),"", not(iserror(vlookup($A363&amp;$B363,'5) Release_Track'!$F:$F&amp;'5) Release_Track'!$G:$G,1,0))),vlookup($A363&amp;$B363,{'5) Release_Track'!$F:$F&amp;'5) Release_Track'!$G:$G,'5) Release_Track'!$H:$H},2,0),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D363" s="121" t="str">
        <f t="array" ref="D363">ifs(and(isblank($A363),isblank($B363)),"", not(iserror(vlookup($A363&amp;$B363,'5) Release_Track'!$F:$F&amp;'5) Release_Track'!$G:$G,1,0))),vlookup($A363&amp;$B363,{'5) Release_Track'!$F:$F&amp;'5) Release_Track'!$G:$G,'5) Release_Track'!$I:$I},2,0),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E363" s="92"/>
      <c r="F363" s="92"/>
      <c r="G363" s="125" t="str">
        <f t="array" ref="G363">ifs(or($F363="",$F363="Main Primary Artist"),$F363,not(iserror(vlookup($F363,'Reference info'!$J$5:$J$8,1,0))),"Key Artist",not(iserror(vlookup($F363,'Reference info'!$J$38:$J$405,1,0))),"Performer",not(iserror(vlookup($F363,'Reference info'!$J$10:$J$36,1,0))),"Producer &amp; Engineer")</f>
        <v/>
      </c>
    </row>
    <row r="364">
      <c r="B364" s="97"/>
      <c r="C364" s="121" t="str">
        <f t="array" ref="C364">ifs(and(isblank($A364),isblank($B364)),"", not(iserror(vlookup($A364&amp;$B364,'5) Release_Track'!$F:$F&amp;'5) Release_Track'!$G:$G,1,0))),vlookup($A364&amp;$B364,{'5) Release_Track'!$F:$F&amp;'5) Release_Track'!$G:$G,'5) Release_Track'!$H:$H},2,0),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D364" s="121" t="str">
        <f t="array" ref="D364">ifs(and(isblank($A364),isblank($B364)),"", not(iserror(vlookup($A364&amp;$B364,'5) Release_Track'!$F:$F&amp;'5) Release_Track'!$G:$G,1,0))),vlookup($A364&amp;$B364,{'5) Release_Track'!$F:$F&amp;'5) Release_Track'!$G:$G,'5) Release_Track'!$I:$I},2,0),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E364" s="92"/>
      <c r="F364" s="92"/>
      <c r="G364" s="125" t="str">
        <f t="array" ref="G364">ifs(or($F364="",$F364="Main Primary Artist"),$F364,not(iserror(vlookup($F364,'Reference info'!$J$5:$J$8,1,0))),"Key Artist",not(iserror(vlookup($F364,'Reference info'!$J$38:$J$405,1,0))),"Performer",not(iserror(vlookup($F364,'Reference info'!$J$10:$J$36,1,0))),"Producer &amp; Engineer")</f>
        <v/>
      </c>
    </row>
    <row r="365">
      <c r="B365" s="97"/>
      <c r="C365" s="121" t="str">
        <f t="array" ref="C365">ifs(and(isblank($A365),isblank($B365)),"", not(iserror(vlookup($A365&amp;$B365,'5) Release_Track'!$F:$F&amp;'5) Release_Track'!$G:$G,1,0))),vlookup($A365&amp;$B365,{'5) Release_Track'!$F:$F&amp;'5) Release_Track'!$G:$G,'5) Release_Track'!$H:$H},2,0),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D365" s="121" t="str">
        <f t="array" ref="D365">ifs(and(isblank($A365),isblank($B365)),"", not(iserror(vlookup($A365&amp;$B365,'5) Release_Track'!$F:$F&amp;'5) Release_Track'!$G:$G,1,0))),vlookup($A365&amp;$B365,{'5) Release_Track'!$F:$F&amp;'5) Release_Track'!$G:$G,'5) Release_Track'!$I:$I},2,0),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E365" s="92"/>
      <c r="F365" s="92"/>
      <c r="G365" s="125" t="str">
        <f t="array" ref="G365">ifs(or($F365="",$F365="Main Primary Artist"),$F365,not(iserror(vlookup($F365,'Reference info'!$J$5:$J$8,1,0))),"Key Artist",not(iserror(vlookup($F365,'Reference info'!$J$38:$J$405,1,0))),"Performer",not(iserror(vlookup($F365,'Reference info'!$J$10:$J$36,1,0))),"Producer &amp; Engineer")</f>
        <v/>
      </c>
    </row>
    <row r="366">
      <c r="B366" s="97"/>
      <c r="C366" s="121" t="str">
        <f t="array" ref="C366">ifs(and(isblank($A366),isblank($B366)),"", not(iserror(vlookup($A366&amp;$B366,'5) Release_Track'!$F:$F&amp;'5) Release_Track'!$G:$G,1,0))),vlookup($A366&amp;$B366,{'5) Release_Track'!$F:$F&amp;'5) Release_Track'!$G:$G,'5) Release_Track'!$H:$H},2,0),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D366" s="121" t="str">
        <f t="array" ref="D366">ifs(and(isblank($A366),isblank($B366)),"", not(iserror(vlookup($A366&amp;$B366,'5) Release_Track'!$F:$F&amp;'5) Release_Track'!$G:$G,1,0))),vlookup($A366&amp;$B366,{'5) Release_Track'!$F:$F&amp;'5) Release_Track'!$G:$G,'5) Release_Track'!$I:$I},2,0),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E366" s="92"/>
      <c r="F366" s="92"/>
      <c r="G366" s="125" t="str">
        <f t="array" ref="G366">ifs(or($F366="",$F366="Main Primary Artist"),$F366,not(iserror(vlookup($F366,'Reference info'!$J$5:$J$8,1,0))),"Key Artist",not(iserror(vlookup($F366,'Reference info'!$J$38:$J$405,1,0))),"Performer",not(iserror(vlookup($F366,'Reference info'!$J$10:$J$36,1,0))),"Producer &amp; Engineer")</f>
        <v/>
      </c>
    </row>
    <row r="367">
      <c r="B367" s="97"/>
      <c r="C367" s="121" t="str">
        <f t="array" ref="C367">ifs(and(isblank($A367),isblank($B367)),"", not(iserror(vlookup($A367&amp;$B367,'5) Release_Track'!$F:$F&amp;'5) Release_Track'!$G:$G,1,0))),vlookup($A367&amp;$B367,{'5) Release_Track'!$F:$F&amp;'5) Release_Track'!$G:$G,'5) Release_Track'!$H:$H},2,0),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D367" s="121" t="str">
        <f t="array" ref="D367">ifs(and(isblank($A367),isblank($B367)),"", not(iserror(vlookup($A367&amp;$B367,'5) Release_Track'!$F:$F&amp;'5) Release_Track'!$G:$G,1,0))),vlookup($A367&amp;$B367,{'5) Release_Track'!$F:$F&amp;'5) Release_Track'!$G:$G,'5) Release_Track'!$I:$I},2,0),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E367" s="92"/>
      <c r="F367" s="92"/>
      <c r="G367" s="125" t="str">
        <f t="array" ref="G367">ifs(or($F367="",$F367="Main Primary Artist"),$F367,not(iserror(vlookup($F367,'Reference info'!$J$5:$J$8,1,0))),"Key Artist",not(iserror(vlookup($F367,'Reference info'!$J$38:$J$405,1,0))),"Performer",not(iserror(vlookup($F367,'Reference info'!$J$10:$J$36,1,0))),"Producer &amp; Engineer")</f>
        <v/>
      </c>
    </row>
    <row r="368">
      <c r="B368" s="97"/>
      <c r="C368" s="121" t="str">
        <f t="array" ref="C368">ifs(and(isblank($A368),isblank($B368)),"", not(iserror(vlookup($A368&amp;$B368,'5) Release_Track'!$F:$F&amp;'5) Release_Track'!$G:$G,1,0))),vlookup($A368&amp;$B368,{'5) Release_Track'!$F:$F&amp;'5) Release_Track'!$G:$G,'5) Release_Track'!$H:$H},2,0),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D368" s="121" t="str">
        <f t="array" ref="D368">ifs(and(isblank($A368),isblank($B368)),"", not(iserror(vlookup($A368&amp;$B368,'5) Release_Track'!$F:$F&amp;'5) Release_Track'!$G:$G,1,0))),vlookup($A368&amp;$B368,{'5) Release_Track'!$F:$F&amp;'5) Release_Track'!$G:$G,'5) Release_Track'!$I:$I},2,0),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E368" s="92"/>
      <c r="F368" s="92"/>
      <c r="G368" s="125" t="str">
        <f t="array" ref="G368">ifs(or($F368="",$F368="Main Primary Artist"),$F368,not(iserror(vlookup($F368,'Reference info'!$J$5:$J$8,1,0))),"Key Artist",not(iserror(vlookup($F368,'Reference info'!$J$38:$J$405,1,0))),"Performer",not(iserror(vlookup($F368,'Reference info'!$J$10:$J$36,1,0))),"Producer &amp; Engineer")</f>
        <v/>
      </c>
    </row>
    <row r="369">
      <c r="B369" s="97"/>
      <c r="C369" s="121" t="str">
        <f t="array" ref="C369">ifs(and(isblank($A369),isblank($B369)),"", not(iserror(vlookup($A369&amp;$B369,'5) Release_Track'!$F:$F&amp;'5) Release_Track'!$G:$G,1,0))),vlookup($A369&amp;$B369,{'5) Release_Track'!$F:$F&amp;'5) Release_Track'!$G:$G,'5) Release_Track'!$H:$H},2,0),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D369" s="121" t="str">
        <f t="array" ref="D369">ifs(and(isblank($A369),isblank($B369)),"", not(iserror(vlookup($A369&amp;$B369,'5) Release_Track'!$F:$F&amp;'5) Release_Track'!$G:$G,1,0))),vlookup($A369&amp;$B369,{'5) Release_Track'!$F:$F&amp;'5) Release_Track'!$G:$G,'5) Release_Track'!$I:$I},2,0),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E369" s="92"/>
      <c r="F369" s="92"/>
      <c r="G369" s="125" t="str">
        <f t="array" ref="G369">ifs(or($F369="",$F369="Main Primary Artist"),$F369,not(iserror(vlookup($F369,'Reference info'!$J$5:$J$8,1,0))),"Key Artist",not(iserror(vlookup($F369,'Reference info'!$J$38:$J$405,1,0))),"Performer",not(iserror(vlookup($F369,'Reference info'!$J$10:$J$36,1,0))),"Producer &amp; Engineer")</f>
        <v/>
      </c>
    </row>
    <row r="370">
      <c r="B370" s="97"/>
      <c r="C370" s="121" t="str">
        <f t="array" ref="C370">ifs(and(isblank($A370),isblank($B370)),"", not(iserror(vlookup($A370&amp;$B370,'5) Release_Track'!$F:$F&amp;'5) Release_Track'!$G:$G,1,0))),vlookup($A370&amp;$B370,{'5) Release_Track'!$F:$F&amp;'5) Release_Track'!$G:$G,'5) Release_Track'!$H:$H},2,0),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D370" s="121" t="str">
        <f t="array" ref="D370">ifs(and(isblank($A370),isblank($B370)),"", not(iserror(vlookup($A370&amp;$B370,'5) Release_Track'!$F:$F&amp;'5) Release_Track'!$G:$G,1,0))),vlookup($A370&amp;$B370,{'5) Release_Track'!$F:$F&amp;'5) Release_Track'!$G:$G,'5) Release_Track'!$I:$I},2,0),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E370" s="92"/>
      <c r="F370" s="92"/>
      <c r="G370" s="125" t="str">
        <f t="array" ref="G370">ifs(or($F370="",$F370="Main Primary Artist"),$F370,not(iserror(vlookup($F370,'Reference info'!$J$5:$J$8,1,0))),"Key Artist",not(iserror(vlookup($F370,'Reference info'!$J$38:$J$405,1,0))),"Performer",not(iserror(vlookup($F370,'Reference info'!$J$10:$J$36,1,0))),"Producer &amp; Engineer")</f>
        <v/>
      </c>
    </row>
    <row r="371">
      <c r="B371" s="97"/>
      <c r="C371" s="121" t="str">
        <f t="array" ref="C371">ifs(and(isblank($A371),isblank($B371)),"", not(iserror(vlookup($A371&amp;$B371,'5) Release_Track'!$F:$F&amp;'5) Release_Track'!$G:$G,1,0))),vlookup($A371&amp;$B371,{'5) Release_Track'!$F:$F&amp;'5) Release_Track'!$G:$G,'5) Release_Track'!$H:$H},2,0),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D371" s="121" t="str">
        <f t="array" ref="D371">ifs(and(isblank($A371),isblank($B371)),"", not(iserror(vlookup($A371&amp;$B371,'5) Release_Track'!$F:$F&amp;'5) Release_Track'!$G:$G,1,0))),vlookup($A371&amp;$B371,{'5) Release_Track'!$F:$F&amp;'5) Release_Track'!$G:$G,'5) Release_Track'!$I:$I},2,0),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E371" s="92"/>
      <c r="F371" s="92"/>
      <c r="G371" s="125" t="str">
        <f t="array" ref="G371">ifs(or($F371="",$F371="Main Primary Artist"),$F371,not(iserror(vlookup($F371,'Reference info'!$J$5:$J$8,1,0))),"Key Artist",not(iserror(vlookup($F371,'Reference info'!$J$38:$J$405,1,0))),"Performer",not(iserror(vlookup($F371,'Reference info'!$J$10:$J$36,1,0))),"Producer &amp; Engineer")</f>
        <v/>
      </c>
    </row>
    <row r="372">
      <c r="B372" s="97"/>
      <c r="C372" s="121" t="str">
        <f t="array" ref="C372">ifs(and(isblank($A372),isblank($B372)),"", not(iserror(vlookup($A372&amp;$B372,'5) Release_Track'!$F:$F&amp;'5) Release_Track'!$G:$G,1,0))),vlookup($A372&amp;$B372,{'5) Release_Track'!$F:$F&amp;'5) Release_Track'!$G:$G,'5) Release_Track'!$H:$H},2,0),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D372" s="121" t="str">
        <f t="array" ref="D372">ifs(and(isblank($A372),isblank($B372)),"", not(iserror(vlookup($A372&amp;$B372,'5) Release_Track'!$F:$F&amp;'5) Release_Track'!$G:$G,1,0))),vlookup($A372&amp;$B372,{'5) Release_Track'!$F:$F&amp;'5) Release_Track'!$G:$G,'5) Release_Track'!$I:$I},2,0),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E372" s="92"/>
      <c r="F372" s="92"/>
      <c r="G372" s="125" t="str">
        <f t="array" ref="G372">ifs(or($F372="",$F372="Main Primary Artist"),$F372,not(iserror(vlookup($F372,'Reference info'!$J$5:$J$8,1,0))),"Key Artist",not(iserror(vlookup($F372,'Reference info'!$J$38:$J$405,1,0))),"Performer",not(iserror(vlookup($F372,'Reference info'!$J$10:$J$36,1,0))),"Producer &amp; Engineer")</f>
        <v/>
      </c>
    </row>
    <row r="373">
      <c r="B373" s="97"/>
      <c r="C373" s="121" t="str">
        <f t="array" ref="C373">ifs(and(isblank($A373),isblank($B373)),"", not(iserror(vlookup($A373&amp;$B373,'5) Release_Track'!$F:$F&amp;'5) Release_Track'!$G:$G,1,0))),vlookup($A373&amp;$B373,{'5) Release_Track'!$F:$F&amp;'5) Release_Track'!$G:$G,'5) Release_Track'!$H:$H},2,0),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D373" s="121" t="str">
        <f t="array" ref="D373">ifs(and(isblank($A373),isblank($B373)),"", not(iserror(vlookup($A373&amp;$B373,'5) Release_Track'!$F:$F&amp;'5) Release_Track'!$G:$G,1,0))),vlookup($A373&amp;$B373,{'5) Release_Track'!$F:$F&amp;'5) Release_Track'!$G:$G,'5) Release_Track'!$I:$I},2,0),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E373" s="92"/>
      <c r="F373" s="92"/>
      <c r="G373" s="125" t="str">
        <f t="array" ref="G373">ifs(or($F373="",$F373="Main Primary Artist"),$F373,not(iserror(vlookup($F373,'Reference info'!$J$5:$J$8,1,0))),"Key Artist",not(iserror(vlookup($F373,'Reference info'!$J$38:$J$405,1,0))),"Performer",not(iserror(vlookup($F373,'Reference info'!$J$10:$J$36,1,0))),"Producer &amp; Engineer")</f>
        <v/>
      </c>
    </row>
    <row r="374">
      <c r="B374" s="97"/>
      <c r="C374" s="121" t="str">
        <f t="array" ref="C374">ifs(and(isblank($A374),isblank($B374)),"", not(iserror(vlookup($A374&amp;$B374,'5) Release_Track'!$F:$F&amp;'5) Release_Track'!$G:$G,1,0))),vlookup($A374&amp;$B374,{'5) Release_Track'!$F:$F&amp;'5) Release_Track'!$G:$G,'5) Release_Track'!$H:$H},2,0),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D374" s="121" t="str">
        <f t="array" ref="D374">ifs(and(isblank($A374),isblank($B374)),"", not(iserror(vlookup($A374&amp;$B374,'5) Release_Track'!$F:$F&amp;'5) Release_Track'!$G:$G,1,0))),vlookup($A374&amp;$B374,{'5) Release_Track'!$F:$F&amp;'5) Release_Track'!$G:$G,'5) Release_Track'!$I:$I},2,0),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E374" s="92"/>
      <c r="F374" s="92"/>
      <c r="G374" s="125" t="str">
        <f t="array" ref="G374">ifs(or($F374="",$F374="Main Primary Artist"),$F374,not(iserror(vlookup($F374,'Reference info'!$J$5:$J$8,1,0))),"Key Artist",not(iserror(vlookup($F374,'Reference info'!$J$38:$J$405,1,0))),"Performer",not(iserror(vlookup($F374,'Reference info'!$J$10:$J$36,1,0))),"Producer &amp; Engineer")</f>
        <v/>
      </c>
    </row>
    <row r="375">
      <c r="B375" s="97"/>
      <c r="C375" s="121" t="str">
        <f t="array" ref="C375">ifs(and(isblank($A375),isblank($B375)),"", not(iserror(vlookup($A375&amp;$B375,'5) Release_Track'!$F:$F&amp;'5) Release_Track'!$G:$G,1,0))),vlookup($A375&amp;$B375,{'5) Release_Track'!$F:$F&amp;'5) Release_Track'!$G:$G,'5) Release_Track'!$H:$H},2,0),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D375" s="121" t="str">
        <f t="array" ref="D375">ifs(and(isblank($A375),isblank($B375)),"", not(iserror(vlookup($A375&amp;$B375,'5) Release_Track'!$F:$F&amp;'5) Release_Track'!$G:$G,1,0))),vlookup($A375&amp;$B375,{'5) Release_Track'!$F:$F&amp;'5) Release_Track'!$G:$G,'5) Release_Track'!$I:$I},2,0),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E375" s="92"/>
      <c r="F375" s="92"/>
      <c r="G375" s="125" t="str">
        <f t="array" ref="G375">ifs(or($F375="",$F375="Main Primary Artist"),$F375,not(iserror(vlookup($F375,'Reference info'!$J$5:$J$8,1,0))),"Key Artist",not(iserror(vlookup($F375,'Reference info'!$J$38:$J$405,1,0))),"Performer",not(iserror(vlookup($F375,'Reference info'!$J$10:$J$36,1,0))),"Producer &amp; Engineer")</f>
        <v/>
      </c>
    </row>
    <row r="376">
      <c r="B376" s="97"/>
      <c r="C376" s="121" t="str">
        <f t="array" ref="C376">ifs(and(isblank($A376),isblank($B376)),"", not(iserror(vlookup($A376&amp;$B376,'5) Release_Track'!$F:$F&amp;'5) Release_Track'!$G:$G,1,0))),vlookup($A376&amp;$B376,{'5) Release_Track'!$F:$F&amp;'5) Release_Track'!$G:$G,'5) Release_Track'!$H:$H},2,0),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D376" s="121" t="str">
        <f t="array" ref="D376">ifs(and(isblank($A376),isblank($B376)),"", not(iserror(vlookup($A376&amp;$B376,'5) Release_Track'!$F:$F&amp;'5) Release_Track'!$G:$G,1,0))),vlookup($A376&amp;$B376,{'5) Release_Track'!$F:$F&amp;'5) Release_Track'!$G:$G,'5) Release_Track'!$I:$I},2,0),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E376" s="92"/>
      <c r="F376" s="92"/>
      <c r="G376" s="125" t="str">
        <f t="array" ref="G376">ifs(or($F376="",$F376="Main Primary Artist"),$F376,not(iserror(vlookup($F376,'Reference info'!$J$5:$J$8,1,0))),"Key Artist",not(iserror(vlookup($F376,'Reference info'!$J$38:$J$405,1,0))),"Performer",not(iserror(vlookup($F376,'Reference info'!$J$10:$J$36,1,0))),"Producer &amp; Engineer")</f>
        <v/>
      </c>
    </row>
    <row r="377">
      <c r="B377" s="97"/>
      <c r="C377" s="121" t="str">
        <f t="array" ref="C377">ifs(and(isblank($A377),isblank($B377)),"", not(iserror(vlookup($A377&amp;$B377,'5) Release_Track'!$F:$F&amp;'5) Release_Track'!$G:$G,1,0))),vlookup($A377&amp;$B377,{'5) Release_Track'!$F:$F&amp;'5) Release_Track'!$G:$G,'5) Release_Track'!$H:$H},2,0),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D377" s="121" t="str">
        <f t="array" ref="D377">ifs(and(isblank($A377),isblank($B377)),"", not(iserror(vlookup($A377&amp;$B377,'5) Release_Track'!$F:$F&amp;'5) Release_Track'!$G:$G,1,0))),vlookup($A377&amp;$B377,{'5) Release_Track'!$F:$F&amp;'5) Release_Track'!$G:$G,'5) Release_Track'!$I:$I},2,0),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E377" s="92"/>
      <c r="F377" s="92"/>
      <c r="G377" s="125" t="str">
        <f t="array" ref="G377">ifs(or($F377="",$F377="Main Primary Artist"),$F377,not(iserror(vlookup($F377,'Reference info'!$J$5:$J$8,1,0))),"Key Artist",not(iserror(vlookup($F377,'Reference info'!$J$38:$J$405,1,0))),"Performer",not(iserror(vlookup($F377,'Reference info'!$J$10:$J$36,1,0))),"Producer &amp; Engineer")</f>
        <v/>
      </c>
    </row>
    <row r="378">
      <c r="B378" s="97"/>
      <c r="C378" s="121" t="str">
        <f t="array" ref="C378">ifs(and(isblank($A378),isblank($B378)),"", not(iserror(vlookup($A378&amp;$B378,'5) Release_Track'!$F:$F&amp;'5) Release_Track'!$G:$G,1,0))),vlookup($A378&amp;$B378,{'5) Release_Track'!$F:$F&amp;'5) Release_Track'!$G:$G,'5) Release_Track'!$H:$H},2,0),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D378" s="121" t="str">
        <f t="array" ref="D378">ifs(and(isblank($A378),isblank($B378)),"", not(iserror(vlookup($A378&amp;$B378,'5) Release_Track'!$F:$F&amp;'5) Release_Track'!$G:$G,1,0))),vlookup($A378&amp;$B378,{'5) Release_Track'!$F:$F&amp;'5) Release_Track'!$G:$G,'5) Release_Track'!$I:$I},2,0),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E378" s="92"/>
      <c r="F378" s="92"/>
      <c r="G378" s="125" t="str">
        <f t="array" ref="G378">ifs(or($F378="",$F378="Main Primary Artist"),$F378,not(iserror(vlookup($F378,'Reference info'!$J$5:$J$8,1,0))),"Key Artist",not(iserror(vlookup($F378,'Reference info'!$J$38:$J$405,1,0))),"Performer",not(iserror(vlookup($F378,'Reference info'!$J$10:$J$36,1,0))),"Producer &amp; Engineer")</f>
        <v/>
      </c>
    </row>
    <row r="379">
      <c r="B379" s="97"/>
      <c r="C379" s="121" t="str">
        <f t="array" ref="C379">ifs(and(isblank($A379),isblank($B379)),"", not(iserror(vlookup($A379&amp;$B379,'5) Release_Track'!$F:$F&amp;'5) Release_Track'!$G:$G,1,0))),vlookup($A379&amp;$B379,{'5) Release_Track'!$F:$F&amp;'5) Release_Track'!$G:$G,'5) Release_Track'!$H:$H},2,0),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D379" s="121" t="str">
        <f t="array" ref="D379">ifs(and(isblank($A379),isblank($B379)),"", not(iserror(vlookup($A379&amp;$B379,'5) Release_Track'!$F:$F&amp;'5) Release_Track'!$G:$G,1,0))),vlookup($A379&amp;$B379,{'5) Release_Track'!$F:$F&amp;'5) Release_Track'!$G:$G,'5) Release_Track'!$I:$I},2,0),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E379" s="92"/>
      <c r="F379" s="92"/>
      <c r="G379" s="125" t="str">
        <f t="array" ref="G379">ifs(or($F379="",$F379="Main Primary Artist"),$F379,not(iserror(vlookup($F379,'Reference info'!$J$5:$J$8,1,0))),"Key Artist",not(iserror(vlookup($F379,'Reference info'!$J$38:$J$405,1,0))),"Performer",not(iserror(vlookup($F379,'Reference info'!$J$10:$J$36,1,0))),"Producer &amp; Engineer")</f>
        <v/>
      </c>
    </row>
    <row r="380">
      <c r="B380" s="97"/>
      <c r="C380" s="121" t="str">
        <f t="array" ref="C380">ifs(and(isblank($A380),isblank($B380)),"", not(iserror(vlookup($A380&amp;$B380,'5) Release_Track'!$F:$F&amp;'5) Release_Track'!$G:$G,1,0))),vlookup($A380&amp;$B380,{'5) Release_Track'!$F:$F&amp;'5) Release_Track'!$G:$G,'5) Release_Track'!$H:$H},2,0),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D380" s="121" t="str">
        <f t="array" ref="D380">ifs(and(isblank($A380),isblank($B380)),"", not(iserror(vlookup($A380&amp;$B380,'5) Release_Track'!$F:$F&amp;'5) Release_Track'!$G:$G,1,0))),vlookup($A380&amp;$B380,{'5) Release_Track'!$F:$F&amp;'5) Release_Track'!$G:$G,'5) Release_Track'!$I:$I},2,0),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E380" s="92"/>
      <c r="F380" s="92"/>
      <c r="G380" s="125" t="str">
        <f t="array" ref="G380">ifs(or($F380="",$F380="Main Primary Artist"),$F380,not(iserror(vlookup($F380,'Reference info'!$J$5:$J$8,1,0))),"Key Artist",not(iserror(vlookup($F380,'Reference info'!$J$38:$J$405,1,0))),"Performer",not(iserror(vlookup($F380,'Reference info'!$J$10:$J$36,1,0))),"Producer &amp; Engineer")</f>
        <v/>
      </c>
    </row>
    <row r="381">
      <c r="B381" s="97"/>
      <c r="C381" s="121" t="str">
        <f t="array" ref="C381">ifs(and(isblank($A381),isblank($B381)),"", not(iserror(vlookup($A381&amp;$B381,'5) Release_Track'!$F:$F&amp;'5) Release_Track'!$G:$G,1,0))),vlookup($A381&amp;$B381,{'5) Release_Track'!$F:$F&amp;'5) Release_Track'!$G:$G,'5) Release_Track'!$H:$H},2,0),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D381" s="121" t="str">
        <f t="array" ref="D381">ifs(and(isblank($A381),isblank($B381)),"", not(iserror(vlookup($A381&amp;$B381,'5) Release_Track'!$F:$F&amp;'5) Release_Track'!$G:$G,1,0))),vlookup($A381&amp;$B381,{'5) Release_Track'!$F:$F&amp;'5) Release_Track'!$G:$G,'5) Release_Track'!$I:$I},2,0),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E381" s="92"/>
      <c r="F381" s="92"/>
      <c r="G381" s="125" t="str">
        <f t="array" ref="G381">ifs(or($F381="",$F381="Main Primary Artist"),$F381,not(iserror(vlookup($F381,'Reference info'!$J$5:$J$8,1,0))),"Key Artist",not(iserror(vlookup($F381,'Reference info'!$J$38:$J$405,1,0))),"Performer",not(iserror(vlookup($F381,'Reference info'!$J$10:$J$36,1,0))),"Producer &amp; Engineer")</f>
        <v/>
      </c>
    </row>
    <row r="382">
      <c r="B382" s="97"/>
      <c r="C382" s="121" t="str">
        <f t="array" ref="C382">ifs(and(isblank($A382),isblank($B382)),"", not(iserror(vlookup($A382&amp;$B382,'5) Release_Track'!$F:$F&amp;'5) Release_Track'!$G:$G,1,0))),vlookup($A382&amp;$B382,{'5) Release_Track'!$F:$F&amp;'5) Release_Track'!$G:$G,'5) Release_Track'!$H:$H},2,0),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D382" s="121" t="str">
        <f t="array" ref="D382">ifs(and(isblank($A382),isblank($B382)),"", not(iserror(vlookup($A382&amp;$B382,'5) Release_Track'!$F:$F&amp;'5) Release_Track'!$G:$G,1,0))),vlookup($A382&amp;$B382,{'5) Release_Track'!$F:$F&amp;'5) Release_Track'!$G:$G,'5) Release_Track'!$I:$I},2,0),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E382" s="92"/>
      <c r="F382" s="92"/>
      <c r="G382" s="125" t="str">
        <f t="array" ref="G382">ifs(or($F382="",$F382="Main Primary Artist"),$F382,not(iserror(vlookup($F382,'Reference info'!$J$5:$J$8,1,0))),"Key Artist",not(iserror(vlookup($F382,'Reference info'!$J$38:$J$405,1,0))),"Performer",not(iserror(vlookup($F382,'Reference info'!$J$10:$J$36,1,0))),"Producer &amp; Engineer")</f>
        <v/>
      </c>
    </row>
    <row r="383">
      <c r="B383" s="97"/>
      <c r="C383" s="121" t="str">
        <f t="array" ref="C383">ifs(and(isblank($A383),isblank($B383)),"", not(iserror(vlookup($A383&amp;$B383,'5) Release_Track'!$F:$F&amp;'5) Release_Track'!$G:$G,1,0))),vlookup($A383&amp;$B383,{'5) Release_Track'!$F:$F&amp;'5) Release_Track'!$G:$G,'5) Release_Track'!$H:$H},2,0),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D383" s="121" t="str">
        <f t="array" ref="D383">ifs(and(isblank($A383),isblank($B383)),"", not(iserror(vlookup($A383&amp;$B383,'5) Release_Track'!$F:$F&amp;'5) Release_Track'!$G:$G,1,0))),vlookup($A383&amp;$B383,{'5) Release_Track'!$F:$F&amp;'5) Release_Track'!$G:$G,'5) Release_Track'!$I:$I},2,0),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E383" s="92"/>
      <c r="F383" s="92"/>
      <c r="G383" s="125" t="str">
        <f t="array" ref="G383">ifs(or($F383="",$F383="Main Primary Artist"),$F383,not(iserror(vlookup($F383,'Reference info'!$J$5:$J$8,1,0))),"Key Artist",not(iserror(vlookup($F383,'Reference info'!$J$38:$J$405,1,0))),"Performer",not(iserror(vlookup($F383,'Reference info'!$J$10:$J$36,1,0))),"Producer &amp; Engineer")</f>
        <v/>
      </c>
    </row>
    <row r="384">
      <c r="B384" s="97"/>
      <c r="C384" s="121" t="str">
        <f t="array" ref="C384">ifs(and(isblank($A384),isblank($B384)),"", not(iserror(vlookup($A384&amp;$B384,'5) Release_Track'!$F:$F&amp;'5) Release_Track'!$G:$G,1,0))),vlookup($A384&amp;$B384,{'5) Release_Track'!$F:$F&amp;'5) Release_Track'!$G:$G,'5) Release_Track'!$H:$H},2,0),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D384" s="121" t="str">
        <f t="array" ref="D384">ifs(and(isblank($A384),isblank($B384)),"", not(iserror(vlookup($A384&amp;$B384,'5) Release_Track'!$F:$F&amp;'5) Release_Track'!$G:$G,1,0))),vlookup($A384&amp;$B384,{'5) Release_Track'!$F:$F&amp;'5) Release_Track'!$G:$G,'5) Release_Track'!$I:$I},2,0),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E384" s="92"/>
      <c r="F384" s="92"/>
      <c r="G384" s="125" t="str">
        <f t="array" ref="G384">ifs(or($F384="",$F384="Main Primary Artist"),$F384,not(iserror(vlookup($F384,'Reference info'!$J$5:$J$8,1,0))),"Key Artist",not(iserror(vlookup($F384,'Reference info'!$J$38:$J$405,1,0))),"Performer",not(iserror(vlookup($F384,'Reference info'!$J$10:$J$36,1,0))),"Producer &amp; Engineer")</f>
        <v/>
      </c>
    </row>
    <row r="385">
      <c r="B385" s="97"/>
      <c r="C385" s="121" t="str">
        <f t="array" ref="C385">ifs(and(isblank($A385),isblank($B385)),"", not(iserror(vlookup($A385&amp;$B385,'5) Release_Track'!$F:$F&amp;'5) Release_Track'!$G:$G,1,0))),vlookup($A385&amp;$B385,{'5) Release_Track'!$F:$F&amp;'5) Release_Track'!$G:$G,'5) Release_Track'!$H:$H},2,0),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D385" s="121" t="str">
        <f t="array" ref="D385">ifs(and(isblank($A385),isblank($B385)),"", not(iserror(vlookup($A385&amp;$B385,'5) Release_Track'!$F:$F&amp;'5) Release_Track'!$G:$G,1,0))),vlookup($A385&amp;$B385,{'5) Release_Track'!$F:$F&amp;'5) Release_Track'!$G:$G,'5) Release_Track'!$I:$I},2,0),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E385" s="92"/>
      <c r="F385" s="92"/>
      <c r="G385" s="125" t="str">
        <f t="array" ref="G385">ifs(or($F385="",$F385="Main Primary Artist"),$F385,not(iserror(vlookup($F385,'Reference info'!$J$5:$J$8,1,0))),"Key Artist",not(iserror(vlookup($F385,'Reference info'!$J$38:$J$405,1,0))),"Performer",not(iserror(vlookup($F385,'Reference info'!$J$10:$J$36,1,0))),"Producer &amp; Engineer")</f>
        <v/>
      </c>
    </row>
    <row r="386">
      <c r="B386" s="97"/>
      <c r="C386" s="121" t="str">
        <f t="array" ref="C386">ifs(and(isblank($A386),isblank($B386)),"", not(iserror(vlookup($A386&amp;$B386,'5) Release_Track'!$F:$F&amp;'5) Release_Track'!$G:$G,1,0))),vlookup($A386&amp;$B386,{'5) Release_Track'!$F:$F&amp;'5) Release_Track'!$G:$G,'5) Release_Track'!$H:$H},2,0),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D386" s="121" t="str">
        <f t="array" ref="D386">ifs(and(isblank($A386),isblank($B386)),"", not(iserror(vlookup($A386&amp;$B386,'5) Release_Track'!$F:$F&amp;'5) Release_Track'!$G:$G,1,0))),vlookup($A386&amp;$B386,{'5) Release_Track'!$F:$F&amp;'5) Release_Track'!$G:$G,'5) Release_Track'!$I:$I},2,0),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E386" s="92"/>
      <c r="F386" s="92"/>
      <c r="G386" s="125" t="str">
        <f t="array" ref="G386">ifs(or($F386="",$F386="Main Primary Artist"),$F386,not(iserror(vlookup($F386,'Reference info'!$J$5:$J$8,1,0))),"Key Artist",not(iserror(vlookup($F386,'Reference info'!$J$38:$J$405,1,0))),"Performer",not(iserror(vlookup($F386,'Reference info'!$J$10:$J$36,1,0))),"Producer &amp; Engineer")</f>
        <v/>
      </c>
    </row>
    <row r="387">
      <c r="B387" s="97"/>
      <c r="C387" s="121" t="str">
        <f t="array" ref="C387">ifs(and(isblank($A387),isblank($B387)),"", not(iserror(vlookup($A387&amp;$B387,'5) Release_Track'!$F:$F&amp;'5) Release_Track'!$G:$G,1,0))),vlookup($A387&amp;$B387,{'5) Release_Track'!$F:$F&amp;'5) Release_Track'!$G:$G,'5) Release_Track'!$H:$H},2,0),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D387" s="121" t="str">
        <f t="array" ref="D387">ifs(and(isblank($A387),isblank($B387)),"", not(iserror(vlookup($A387&amp;$B387,'5) Release_Track'!$F:$F&amp;'5) Release_Track'!$G:$G,1,0))),vlookup($A387&amp;$B387,{'5) Release_Track'!$F:$F&amp;'5) Release_Track'!$G:$G,'5) Release_Track'!$I:$I},2,0),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E387" s="92"/>
      <c r="F387" s="92"/>
      <c r="G387" s="125" t="str">
        <f t="array" ref="G387">ifs(or($F387="",$F387="Main Primary Artist"),$F387,not(iserror(vlookup($F387,'Reference info'!$J$5:$J$8,1,0))),"Key Artist",not(iserror(vlookup($F387,'Reference info'!$J$38:$J$405,1,0))),"Performer",not(iserror(vlookup($F387,'Reference info'!$J$10:$J$36,1,0))),"Producer &amp; Engineer")</f>
        <v/>
      </c>
    </row>
    <row r="388">
      <c r="B388" s="97"/>
      <c r="C388" s="121" t="str">
        <f t="array" ref="C388">ifs(and(isblank($A388),isblank($B388)),"", not(iserror(vlookup($A388&amp;$B388,'5) Release_Track'!$F:$F&amp;'5) Release_Track'!$G:$G,1,0))),vlookup($A388&amp;$B388,{'5) Release_Track'!$F:$F&amp;'5) Release_Track'!$G:$G,'5) Release_Track'!$H:$H},2,0),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D388" s="121" t="str">
        <f t="array" ref="D388">ifs(and(isblank($A388),isblank($B388)),"", not(iserror(vlookup($A388&amp;$B388,'5) Release_Track'!$F:$F&amp;'5) Release_Track'!$G:$G,1,0))),vlookup($A388&amp;$B388,{'5) Release_Track'!$F:$F&amp;'5) Release_Track'!$G:$G,'5) Release_Track'!$I:$I},2,0),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E388" s="92"/>
      <c r="F388" s="92"/>
      <c r="G388" s="125" t="str">
        <f t="array" ref="G388">ifs(or($F388="",$F388="Main Primary Artist"),$F388,not(iserror(vlookup($F388,'Reference info'!$J$5:$J$8,1,0))),"Key Artist",not(iserror(vlookup($F388,'Reference info'!$J$38:$J$405,1,0))),"Performer",not(iserror(vlookup($F388,'Reference info'!$J$10:$J$36,1,0))),"Producer &amp; Engineer")</f>
        <v/>
      </c>
    </row>
    <row r="389">
      <c r="B389" s="97"/>
      <c r="C389" s="121" t="str">
        <f t="array" ref="C389">ifs(and(isblank($A389),isblank($B389)),"", not(iserror(vlookup($A389&amp;$B389,'5) Release_Track'!$F:$F&amp;'5) Release_Track'!$G:$G,1,0))),vlookup($A389&amp;$B389,{'5) Release_Track'!$F:$F&amp;'5) Release_Track'!$G:$G,'5) Release_Track'!$H:$H},2,0),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D389" s="121" t="str">
        <f t="array" ref="D389">ifs(and(isblank($A389),isblank($B389)),"", not(iserror(vlookup($A389&amp;$B389,'5) Release_Track'!$F:$F&amp;'5) Release_Track'!$G:$G,1,0))),vlookup($A389&amp;$B389,{'5) Release_Track'!$F:$F&amp;'5) Release_Track'!$G:$G,'5) Release_Track'!$I:$I},2,0),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E389" s="92"/>
      <c r="F389" s="92"/>
      <c r="G389" s="125" t="str">
        <f t="array" ref="G389">ifs(or($F389="",$F389="Main Primary Artist"),$F389,not(iserror(vlookup($F389,'Reference info'!$J$5:$J$8,1,0))),"Key Artist",not(iserror(vlookup($F389,'Reference info'!$J$38:$J$405,1,0))),"Performer",not(iserror(vlookup($F389,'Reference info'!$J$10:$J$36,1,0))),"Producer &amp; Engineer")</f>
        <v/>
      </c>
    </row>
    <row r="390">
      <c r="B390" s="97"/>
      <c r="C390" s="121" t="str">
        <f t="array" ref="C390">ifs(and(isblank($A390),isblank($B390)),"", not(iserror(vlookup($A390&amp;$B390,'5) Release_Track'!$F:$F&amp;'5) Release_Track'!$G:$G,1,0))),vlookup($A390&amp;$B390,{'5) Release_Track'!$F:$F&amp;'5) Release_Track'!$G:$G,'5) Release_Track'!$H:$H},2,0),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D390" s="121" t="str">
        <f t="array" ref="D390">ifs(and(isblank($A390),isblank($B390)),"", not(iserror(vlookup($A390&amp;$B390,'5) Release_Track'!$F:$F&amp;'5) Release_Track'!$G:$G,1,0))),vlookup($A390&amp;$B390,{'5) Release_Track'!$F:$F&amp;'5) Release_Track'!$G:$G,'5) Release_Track'!$I:$I},2,0),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E390" s="92"/>
      <c r="F390" s="92"/>
      <c r="G390" s="125" t="str">
        <f t="array" ref="G390">ifs(or($F390="",$F390="Main Primary Artist"),$F390,not(iserror(vlookup($F390,'Reference info'!$J$5:$J$8,1,0))),"Key Artist",not(iserror(vlookup($F390,'Reference info'!$J$38:$J$405,1,0))),"Performer",not(iserror(vlookup($F390,'Reference info'!$J$10:$J$36,1,0))),"Producer &amp; Engineer")</f>
        <v/>
      </c>
    </row>
    <row r="391">
      <c r="B391" s="97"/>
      <c r="C391" s="121" t="str">
        <f t="array" ref="C391">ifs(and(isblank($A391),isblank($B391)),"", not(iserror(vlookup($A391&amp;$B391,'5) Release_Track'!$F:$F&amp;'5) Release_Track'!$G:$G,1,0))),vlookup($A391&amp;$B391,{'5) Release_Track'!$F:$F&amp;'5) Release_Track'!$G:$G,'5) Release_Track'!$H:$H},2,0),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D391" s="121" t="str">
        <f t="array" ref="D391">ifs(and(isblank($A391),isblank($B391)),"", not(iserror(vlookup($A391&amp;$B391,'5) Release_Track'!$F:$F&amp;'5) Release_Track'!$G:$G,1,0))),vlookup($A391&amp;$B391,{'5) Release_Track'!$F:$F&amp;'5) Release_Track'!$G:$G,'5) Release_Track'!$I:$I},2,0),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E391" s="92"/>
      <c r="F391" s="92"/>
      <c r="G391" s="125" t="str">
        <f t="array" ref="G391">ifs(or($F391="",$F391="Main Primary Artist"),$F391,not(iserror(vlookup($F391,'Reference info'!$J$5:$J$8,1,0))),"Key Artist",not(iserror(vlookup($F391,'Reference info'!$J$38:$J$405,1,0))),"Performer",not(iserror(vlookup($F391,'Reference info'!$J$10:$J$36,1,0))),"Producer &amp; Engineer")</f>
        <v/>
      </c>
    </row>
    <row r="392">
      <c r="B392" s="97"/>
      <c r="C392" s="121" t="str">
        <f t="array" ref="C392">ifs(and(isblank($A392),isblank($B392)),"", not(iserror(vlookup($A392&amp;$B392,'5) Release_Track'!$F:$F&amp;'5) Release_Track'!$G:$G,1,0))),vlookup($A392&amp;$B392,{'5) Release_Track'!$F:$F&amp;'5) Release_Track'!$G:$G,'5) Release_Track'!$H:$H},2,0),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D392" s="121" t="str">
        <f t="array" ref="D392">ifs(and(isblank($A392),isblank($B392)),"", not(iserror(vlookup($A392&amp;$B392,'5) Release_Track'!$F:$F&amp;'5) Release_Track'!$G:$G,1,0))),vlookup($A392&amp;$B392,{'5) Release_Track'!$F:$F&amp;'5) Release_Track'!$G:$G,'5) Release_Track'!$I:$I},2,0),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E392" s="92"/>
      <c r="F392" s="92"/>
      <c r="G392" s="125" t="str">
        <f t="array" ref="G392">ifs(or($F392="",$F392="Main Primary Artist"),$F392,not(iserror(vlookup($F392,'Reference info'!$J$5:$J$8,1,0))),"Key Artist",not(iserror(vlookup($F392,'Reference info'!$J$38:$J$405,1,0))),"Performer",not(iserror(vlookup($F392,'Reference info'!$J$10:$J$36,1,0))),"Producer &amp; Engineer")</f>
        <v/>
      </c>
    </row>
    <row r="393">
      <c r="B393" s="97"/>
      <c r="C393" s="121" t="str">
        <f t="array" ref="C393">ifs(and(isblank($A393),isblank($B393)),"", not(iserror(vlookup($A393&amp;$B393,'5) Release_Track'!$F:$F&amp;'5) Release_Track'!$G:$G,1,0))),vlookup($A393&amp;$B393,{'5) Release_Track'!$F:$F&amp;'5) Release_Track'!$G:$G,'5) Release_Track'!$H:$H},2,0),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D393" s="121" t="str">
        <f t="array" ref="D393">ifs(and(isblank($A393),isblank($B393)),"", not(iserror(vlookup($A393&amp;$B393,'5) Release_Track'!$F:$F&amp;'5) Release_Track'!$G:$G,1,0))),vlookup($A393&amp;$B393,{'5) Release_Track'!$F:$F&amp;'5) Release_Track'!$G:$G,'5) Release_Track'!$I:$I},2,0),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E393" s="92"/>
      <c r="F393" s="92"/>
      <c r="G393" s="125" t="str">
        <f t="array" ref="G393">ifs(or($F393="",$F393="Main Primary Artist"),$F393,not(iserror(vlookup($F393,'Reference info'!$J$5:$J$8,1,0))),"Key Artist",not(iserror(vlookup($F393,'Reference info'!$J$38:$J$405,1,0))),"Performer",not(iserror(vlookup($F393,'Reference info'!$J$10:$J$36,1,0))),"Producer &amp; Engineer")</f>
        <v/>
      </c>
    </row>
    <row r="394">
      <c r="B394" s="97"/>
      <c r="C394" s="121" t="str">
        <f t="array" ref="C394">ifs(and(isblank($A394),isblank($B394)),"", not(iserror(vlookup($A394&amp;$B394,'5) Release_Track'!$F:$F&amp;'5) Release_Track'!$G:$G,1,0))),vlookup($A394&amp;$B394,{'5) Release_Track'!$F:$F&amp;'5) Release_Track'!$G:$G,'5) Release_Track'!$H:$H},2,0),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D394" s="121" t="str">
        <f t="array" ref="D394">ifs(and(isblank($A394),isblank($B394)),"", not(iserror(vlookup($A394&amp;$B394,'5) Release_Track'!$F:$F&amp;'5) Release_Track'!$G:$G,1,0))),vlookup($A394&amp;$B394,{'5) Release_Track'!$F:$F&amp;'5) Release_Track'!$G:$G,'5) Release_Track'!$I:$I},2,0),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E394" s="92"/>
      <c r="F394" s="92"/>
      <c r="G394" s="125" t="str">
        <f t="array" ref="G394">ifs(or($F394="",$F394="Main Primary Artist"),$F394,not(iserror(vlookup($F394,'Reference info'!$J$5:$J$8,1,0))),"Key Artist",not(iserror(vlookup($F394,'Reference info'!$J$38:$J$405,1,0))),"Performer",not(iserror(vlookup($F394,'Reference info'!$J$10:$J$36,1,0))),"Producer &amp; Engineer")</f>
        <v/>
      </c>
    </row>
    <row r="395">
      <c r="B395" s="97"/>
      <c r="C395" s="121" t="str">
        <f t="array" ref="C395">ifs(and(isblank($A395),isblank($B395)),"", not(iserror(vlookup($A395&amp;$B395,'5) Release_Track'!$F:$F&amp;'5) Release_Track'!$G:$G,1,0))),vlookup($A395&amp;$B395,{'5) Release_Track'!$F:$F&amp;'5) Release_Track'!$G:$G,'5) Release_Track'!$H:$H},2,0),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D395" s="121" t="str">
        <f t="array" ref="D395">ifs(and(isblank($A395),isblank($B395)),"", not(iserror(vlookup($A395&amp;$B395,'5) Release_Track'!$F:$F&amp;'5) Release_Track'!$G:$G,1,0))),vlookup($A395&amp;$B395,{'5) Release_Track'!$F:$F&amp;'5) Release_Track'!$G:$G,'5) Release_Track'!$I:$I},2,0),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E395" s="92"/>
      <c r="F395" s="92"/>
      <c r="G395" s="125" t="str">
        <f t="array" ref="G395">ifs(or($F395="",$F395="Main Primary Artist"),$F395,not(iserror(vlookup($F395,'Reference info'!$J$5:$J$8,1,0))),"Key Artist",not(iserror(vlookup($F395,'Reference info'!$J$38:$J$405,1,0))),"Performer",not(iserror(vlookup($F395,'Reference info'!$J$10:$J$36,1,0))),"Producer &amp; Engineer")</f>
        <v/>
      </c>
    </row>
    <row r="396">
      <c r="B396" s="97"/>
      <c r="C396" s="121" t="str">
        <f t="array" ref="C396">ifs(and(isblank($A396),isblank($B396)),"", not(iserror(vlookup($A396&amp;$B396,'5) Release_Track'!$F:$F&amp;'5) Release_Track'!$G:$G,1,0))),vlookup($A396&amp;$B396,{'5) Release_Track'!$F:$F&amp;'5) Release_Track'!$G:$G,'5) Release_Track'!$H:$H},2,0),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D396" s="121" t="str">
        <f t="array" ref="D396">ifs(and(isblank($A396),isblank($B396)),"", not(iserror(vlookup($A396&amp;$B396,'5) Release_Track'!$F:$F&amp;'5) Release_Track'!$G:$G,1,0))),vlookup($A396&amp;$B396,{'5) Release_Track'!$F:$F&amp;'5) Release_Track'!$G:$G,'5) Release_Track'!$I:$I},2,0),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E396" s="92"/>
      <c r="F396" s="92"/>
      <c r="G396" s="125" t="str">
        <f t="array" ref="G396">ifs(or($F396="",$F396="Main Primary Artist"),$F396,not(iserror(vlookup($F396,'Reference info'!$J$5:$J$8,1,0))),"Key Artist",not(iserror(vlookup($F396,'Reference info'!$J$38:$J$405,1,0))),"Performer",not(iserror(vlookup($F396,'Reference info'!$J$10:$J$36,1,0))),"Producer &amp; Engineer")</f>
        <v/>
      </c>
    </row>
    <row r="397">
      <c r="B397" s="97"/>
      <c r="C397" s="121" t="str">
        <f t="array" ref="C397">ifs(and(isblank($A397),isblank($B397)),"", not(iserror(vlookup($A397&amp;$B397,'5) Release_Track'!$F:$F&amp;'5) Release_Track'!$G:$G,1,0))),vlookup($A397&amp;$B397,{'5) Release_Track'!$F:$F&amp;'5) Release_Track'!$G:$G,'5) Release_Track'!$H:$H},2,0),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D397" s="121" t="str">
        <f t="array" ref="D397">ifs(and(isblank($A397),isblank($B397)),"", not(iserror(vlookup($A397&amp;$B397,'5) Release_Track'!$F:$F&amp;'5) Release_Track'!$G:$G,1,0))),vlookup($A397&amp;$B397,{'5) Release_Track'!$F:$F&amp;'5) Release_Track'!$G:$G,'5) Release_Track'!$I:$I},2,0),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E397" s="92"/>
      <c r="F397" s="92"/>
      <c r="G397" s="125" t="str">
        <f t="array" ref="G397">ifs(or($F397="",$F397="Main Primary Artist"),$F397,not(iserror(vlookup($F397,'Reference info'!$J$5:$J$8,1,0))),"Key Artist",not(iserror(vlookup($F397,'Reference info'!$J$38:$J$405,1,0))),"Performer",not(iserror(vlookup($F397,'Reference info'!$J$10:$J$36,1,0))),"Producer &amp; Engineer")</f>
        <v/>
      </c>
    </row>
    <row r="398">
      <c r="B398" s="97"/>
      <c r="C398" s="121" t="str">
        <f t="array" ref="C398">ifs(and(isblank($A398),isblank($B398)),"", not(iserror(vlookup($A398&amp;$B398,'5) Release_Track'!$F:$F&amp;'5) Release_Track'!$G:$G,1,0))),vlookup($A398&amp;$B398,{'5) Release_Track'!$F:$F&amp;'5) Release_Track'!$G:$G,'5) Release_Track'!$H:$H},2,0),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D398" s="121" t="str">
        <f t="array" ref="D398">ifs(and(isblank($A398),isblank($B398)),"", not(iserror(vlookup($A398&amp;$B398,'5) Release_Track'!$F:$F&amp;'5) Release_Track'!$G:$G,1,0))),vlookup($A398&amp;$B398,{'5) Release_Track'!$F:$F&amp;'5) Release_Track'!$G:$G,'5) Release_Track'!$I:$I},2,0),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E398" s="92"/>
      <c r="F398" s="92"/>
      <c r="G398" s="125" t="str">
        <f t="array" ref="G398">ifs(or($F398="",$F398="Main Primary Artist"),$F398,not(iserror(vlookup($F398,'Reference info'!$J$5:$J$8,1,0))),"Key Artist",not(iserror(vlookup($F398,'Reference info'!$J$38:$J$405,1,0))),"Performer",not(iserror(vlookup($F398,'Reference info'!$J$10:$J$36,1,0))),"Producer &amp; Engineer")</f>
        <v/>
      </c>
    </row>
    <row r="399">
      <c r="B399" s="97"/>
      <c r="C399" s="121" t="str">
        <f t="array" ref="C399">ifs(and(isblank($A399),isblank($B399)),"", not(iserror(vlookup($A399&amp;$B399,'5) Release_Track'!$F:$F&amp;'5) Release_Track'!$G:$G,1,0))),vlookup($A399&amp;$B399,{'5) Release_Track'!$F:$F&amp;'5) Release_Track'!$G:$G,'5) Release_Track'!$H:$H},2,0),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D399" s="121" t="str">
        <f t="array" ref="D399">ifs(and(isblank($A399),isblank($B399)),"", not(iserror(vlookup($A399&amp;$B399,'5) Release_Track'!$F:$F&amp;'5) Release_Track'!$G:$G,1,0))),vlookup($A399&amp;$B399,{'5) Release_Track'!$F:$F&amp;'5) Release_Track'!$G:$G,'5) Release_Track'!$I:$I},2,0),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E399" s="92"/>
      <c r="F399" s="92"/>
      <c r="G399" s="125" t="str">
        <f t="array" ref="G399">ifs(or($F399="",$F399="Main Primary Artist"),$F399,not(iserror(vlookup($F399,'Reference info'!$J$5:$J$8,1,0))),"Key Artist",not(iserror(vlookup($F399,'Reference info'!$J$38:$J$405,1,0))),"Performer",not(iserror(vlookup($F399,'Reference info'!$J$10:$J$36,1,0))),"Producer &amp; Engineer")</f>
        <v/>
      </c>
    </row>
    <row r="400">
      <c r="B400" s="97"/>
      <c r="C400" s="121" t="str">
        <f t="array" ref="C400">ifs(and(isblank($A400),isblank($B400)),"", not(iserror(vlookup($A400&amp;$B400,'5) Release_Track'!$F:$F&amp;'5) Release_Track'!$G:$G,1,0))),vlookup($A400&amp;$B400,{'5) Release_Track'!$F:$F&amp;'5) Release_Track'!$G:$G,'5) Release_Track'!$H:$H},2,0),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D400" s="121" t="str">
        <f t="array" ref="D400">ifs(and(isblank($A400),isblank($B400)),"", not(iserror(vlookup($A400&amp;$B400,'5) Release_Track'!$F:$F&amp;'5) Release_Track'!$G:$G,1,0))),vlookup($A400&amp;$B400,{'5) Release_Track'!$F:$F&amp;'5) Release_Track'!$G:$G,'5) Release_Track'!$I:$I},2,0),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E400" s="92"/>
      <c r="F400" s="92"/>
      <c r="G400" s="125" t="str">
        <f t="array" ref="G400">ifs(or($F400="",$F400="Main Primary Artist"),$F400,not(iserror(vlookup($F400,'Reference info'!$J$5:$J$8,1,0))),"Key Artist",not(iserror(vlookup($F400,'Reference info'!$J$38:$J$405,1,0))),"Performer",not(iserror(vlookup($F400,'Reference info'!$J$10:$J$36,1,0))),"Producer &amp; Engineer")</f>
        <v/>
      </c>
    </row>
    <row r="401">
      <c r="B401" s="97"/>
      <c r="C401" s="121" t="str">
        <f t="array" ref="C401">ifs(and(isblank($A401),isblank($B401)),"", not(iserror(vlookup($A401&amp;$B401,'5) Release_Track'!$F:$F&amp;'5) Release_Track'!$G:$G,1,0))),vlookup($A401&amp;$B401,{'5) Release_Track'!$F:$F&amp;'5) Release_Track'!$G:$G,'5) Release_Track'!$H:$H},2,0),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D401" s="121" t="str">
        <f t="array" ref="D401">ifs(and(isblank($A401),isblank($B401)),"", not(iserror(vlookup($A401&amp;$B401,'5) Release_Track'!$F:$F&amp;'5) Release_Track'!$G:$G,1,0))),vlookup($A401&amp;$B401,{'5) Release_Track'!$F:$F&amp;'5) Release_Track'!$G:$G,'5) Release_Track'!$I:$I},2,0),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E401" s="92"/>
      <c r="F401" s="92"/>
      <c r="G401" s="125" t="str">
        <f t="array" ref="G401">ifs(or($F401="",$F401="Main Primary Artist"),$F401,not(iserror(vlookup($F401,'Reference info'!$J$5:$J$8,1,0))),"Key Artist",not(iserror(vlookup($F401,'Reference info'!$J$38:$J$405,1,0))),"Performer",not(iserror(vlookup($F401,'Reference info'!$J$10:$J$36,1,0))),"Producer &amp; Engineer")</f>
        <v/>
      </c>
    </row>
    <row r="402">
      <c r="B402" s="97"/>
      <c r="C402" s="121" t="str">
        <f t="array" ref="C402">ifs(and(isblank($A402),isblank($B402)),"", not(iserror(vlookup($A402&amp;$B402,'5) Release_Track'!$F:$F&amp;'5) Release_Track'!$G:$G,1,0))),vlookup($A402&amp;$B402,{'5) Release_Track'!$F:$F&amp;'5) Release_Track'!$G:$G,'5) Release_Track'!$H:$H},2,0),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D402" s="121" t="str">
        <f t="array" ref="D402">ifs(and(isblank($A402),isblank($B402)),"", not(iserror(vlookup($A402&amp;$B402,'5) Release_Track'!$F:$F&amp;'5) Release_Track'!$G:$G,1,0))),vlookup($A402&amp;$B402,{'5) Release_Track'!$F:$F&amp;'5) Release_Track'!$G:$G,'5) Release_Track'!$I:$I},2,0),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E402" s="92"/>
      <c r="F402" s="92"/>
      <c r="G402" s="125" t="str">
        <f t="array" ref="G402">ifs(or($F402="",$F402="Main Primary Artist"),$F402,not(iserror(vlookup($F402,'Reference info'!$J$5:$J$8,1,0))),"Key Artist",not(iserror(vlookup($F402,'Reference info'!$J$38:$J$405,1,0))),"Performer",not(iserror(vlookup($F402,'Reference info'!$J$10:$J$36,1,0))),"Producer &amp; Engineer")</f>
        <v/>
      </c>
    </row>
    <row r="403">
      <c r="B403" s="97"/>
      <c r="C403" s="121" t="str">
        <f t="array" ref="C403">ifs(and(isblank($A403),isblank($B403)),"", not(iserror(vlookup($A403&amp;$B403,'5) Release_Track'!$F:$F&amp;'5) Release_Track'!$G:$G,1,0))),vlookup($A403&amp;$B403,{'5) Release_Track'!$F:$F&amp;'5) Release_Track'!$G:$G,'5) Release_Track'!$H:$H},2,0),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D403" s="121" t="str">
        <f t="array" ref="D403">ifs(and(isblank($A403),isblank($B403)),"", not(iserror(vlookup($A403&amp;$B403,'5) Release_Track'!$F:$F&amp;'5) Release_Track'!$G:$G,1,0))),vlookup($A403&amp;$B403,{'5) Release_Track'!$F:$F&amp;'5) Release_Track'!$G:$G,'5) Release_Track'!$I:$I},2,0),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E403" s="92"/>
      <c r="F403" s="92"/>
      <c r="G403" s="125" t="str">
        <f t="array" ref="G403">ifs(or($F403="",$F403="Main Primary Artist"),$F403,not(iserror(vlookup($F403,'Reference info'!$J$5:$J$8,1,0))),"Key Artist",not(iserror(vlookup($F403,'Reference info'!$J$38:$J$405,1,0))),"Performer",not(iserror(vlookup($F403,'Reference info'!$J$10:$J$36,1,0))),"Producer &amp; Engineer")</f>
        <v/>
      </c>
    </row>
    <row r="404">
      <c r="B404" s="97"/>
      <c r="C404" s="121" t="str">
        <f t="array" ref="C404">ifs(and(isblank($A404),isblank($B404)),"", not(iserror(vlookup($A404&amp;$B404,'5) Release_Track'!$F:$F&amp;'5) Release_Track'!$G:$G,1,0))),vlookup($A404&amp;$B404,{'5) Release_Track'!$F:$F&amp;'5) Release_Track'!$G:$G,'5) Release_Track'!$H:$H},2,0),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D404" s="121" t="str">
        <f t="array" ref="D404">ifs(and(isblank($A404),isblank($B404)),"", not(iserror(vlookup($A404&amp;$B404,'5) Release_Track'!$F:$F&amp;'5) Release_Track'!$G:$G,1,0))),vlookup($A404&amp;$B404,{'5) Release_Track'!$F:$F&amp;'5) Release_Track'!$G:$G,'5) Release_Track'!$I:$I},2,0),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E404" s="92"/>
      <c r="F404" s="92"/>
      <c r="G404" s="125" t="str">
        <f t="array" ref="G404">ifs(or($F404="",$F404="Main Primary Artist"),$F404,not(iserror(vlookup($F404,'Reference info'!$J$5:$J$8,1,0))),"Key Artist",not(iserror(vlookup($F404,'Reference info'!$J$38:$J$405,1,0))),"Performer",not(iserror(vlookup($F404,'Reference info'!$J$10:$J$36,1,0))),"Producer &amp; Engineer")</f>
        <v/>
      </c>
    </row>
    <row r="405">
      <c r="B405" s="97"/>
      <c r="C405" s="121" t="str">
        <f t="array" ref="C405">ifs(and(isblank($A405),isblank($B405)),"", not(iserror(vlookup($A405&amp;$B405,'5) Release_Track'!$F:$F&amp;'5) Release_Track'!$G:$G,1,0))),vlookup($A405&amp;$B405,{'5) Release_Track'!$F:$F&amp;'5) Release_Track'!$G:$G,'5) Release_Track'!$H:$H},2,0),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D405" s="121" t="str">
        <f t="array" ref="D405">ifs(and(isblank($A405),isblank($B405)),"", not(iserror(vlookup($A405&amp;$B405,'5) Release_Track'!$F:$F&amp;'5) Release_Track'!$G:$G,1,0))),vlookup($A405&amp;$B405,{'5) Release_Track'!$F:$F&amp;'5) Release_Track'!$G:$G,'5) Release_Track'!$I:$I},2,0),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E405" s="92"/>
      <c r="F405" s="92"/>
      <c r="G405" s="125" t="str">
        <f t="array" ref="G405">ifs(or($F405="",$F405="Main Primary Artist"),$F405,not(iserror(vlookup($F405,'Reference info'!$J$5:$J$8,1,0))),"Key Artist",not(iserror(vlookup($F405,'Reference info'!$J$38:$J$405,1,0))),"Performer",not(iserror(vlookup($F405,'Reference info'!$J$10:$J$36,1,0))),"Producer &amp; Engineer")</f>
        <v/>
      </c>
    </row>
    <row r="406">
      <c r="B406" s="97"/>
      <c r="C406" s="121" t="str">
        <f t="array" ref="C406">ifs(and(isblank($A406),isblank($B406)),"", not(iserror(vlookup($A406&amp;$B406,'5) Release_Track'!$F:$F&amp;'5) Release_Track'!$G:$G,1,0))),vlookup($A406&amp;$B406,{'5) Release_Track'!$F:$F&amp;'5) Release_Track'!$G:$G,'5) Release_Track'!$H:$H},2,0),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D406" s="121" t="str">
        <f t="array" ref="D406">ifs(and(isblank($A406),isblank($B406)),"", not(iserror(vlookup($A406&amp;$B406,'5) Release_Track'!$F:$F&amp;'5) Release_Track'!$G:$G,1,0))),vlookup($A406&amp;$B406,{'5) Release_Track'!$F:$F&amp;'5) Release_Track'!$G:$G,'5) Release_Track'!$I:$I},2,0),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E406" s="92"/>
      <c r="F406" s="92"/>
      <c r="G406" s="125" t="str">
        <f t="array" ref="G406">ifs(or($F406="",$F406="Main Primary Artist"),$F406,not(iserror(vlookup($F406,'Reference info'!$J$5:$J$8,1,0))),"Key Artist",not(iserror(vlookup($F406,'Reference info'!$J$38:$J$405,1,0))),"Performer",not(iserror(vlookup($F406,'Reference info'!$J$10:$J$36,1,0))),"Producer &amp; Engineer")</f>
        <v/>
      </c>
    </row>
    <row r="407">
      <c r="B407" s="97"/>
      <c r="C407" s="121" t="str">
        <f t="array" ref="C407">ifs(and(isblank($A407),isblank($B407)),"", not(iserror(vlookup($A407&amp;$B407,'5) Release_Track'!$F:$F&amp;'5) Release_Track'!$G:$G,1,0))),vlookup($A407&amp;$B407,{'5) Release_Track'!$F:$F&amp;'5) Release_Track'!$G:$G,'5) Release_Track'!$H:$H},2,0),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D407" s="121" t="str">
        <f t="array" ref="D407">ifs(and(isblank($A407),isblank($B407)),"", not(iserror(vlookup($A407&amp;$B407,'5) Release_Track'!$F:$F&amp;'5) Release_Track'!$G:$G,1,0))),vlookup($A407&amp;$B407,{'5) Release_Track'!$F:$F&amp;'5) Release_Track'!$G:$G,'5) Release_Track'!$I:$I},2,0),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E407" s="92"/>
      <c r="F407" s="92"/>
      <c r="G407" s="125" t="str">
        <f t="array" ref="G407">ifs(or($F407="",$F407="Main Primary Artist"),$F407,not(iserror(vlookup($F407,'Reference info'!$J$5:$J$8,1,0))),"Key Artist",not(iserror(vlookup($F407,'Reference info'!$J$38:$J$405,1,0))),"Performer",not(iserror(vlookup($F407,'Reference info'!$J$10:$J$36,1,0))),"Producer &amp; Engineer")</f>
        <v/>
      </c>
    </row>
    <row r="408">
      <c r="B408" s="97"/>
      <c r="C408" s="121" t="str">
        <f t="array" ref="C408">ifs(and(isblank($A408),isblank($B408)),"", not(iserror(vlookup($A408&amp;$B408,'5) Release_Track'!$F:$F&amp;'5) Release_Track'!$G:$G,1,0))),vlookup($A408&amp;$B408,{'5) Release_Track'!$F:$F&amp;'5) Release_Track'!$G:$G,'5) Release_Track'!$H:$H},2,0),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D408" s="121" t="str">
        <f t="array" ref="D408">ifs(and(isblank($A408),isblank($B408)),"", not(iserror(vlookup($A408&amp;$B408,'5) Release_Track'!$F:$F&amp;'5) Release_Track'!$G:$G,1,0))),vlookup($A408&amp;$B408,{'5) Release_Track'!$F:$F&amp;'5) Release_Track'!$G:$G,'5) Release_Track'!$I:$I},2,0),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E408" s="92"/>
      <c r="F408" s="92"/>
      <c r="G408" s="125" t="str">
        <f t="array" ref="G408">ifs(or($F408="",$F408="Main Primary Artist"),$F408,not(iserror(vlookup($F408,'Reference info'!$J$5:$J$8,1,0))),"Key Artist",not(iserror(vlookup($F408,'Reference info'!$J$38:$J$405,1,0))),"Performer",not(iserror(vlookup($F408,'Reference info'!$J$10:$J$36,1,0))),"Producer &amp; Engineer")</f>
        <v/>
      </c>
    </row>
    <row r="409">
      <c r="B409" s="97"/>
      <c r="C409" s="121" t="str">
        <f t="array" ref="C409">ifs(and(isblank($A409),isblank($B409)),"", not(iserror(vlookup($A409&amp;$B409,'5) Release_Track'!$F:$F&amp;'5) Release_Track'!$G:$G,1,0))),vlookup($A409&amp;$B409,{'5) Release_Track'!$F:$F&amp;'5) Release_Track'!$G:$G,'5) Release_Track'!$H:$H},2,0),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D409" s="121" t="str">
        <f t="array" ref="D409">ifs(and(isblank($A409),isblank($B409)),"", not(iserror(vlookup($A409&amp;$B409,'5) Release_Track'!$F:$F&amp;'5) Release_Track'!$G:$G,1,0))),vlookup($A409&amp;$B409,{'5) Release_Track'!$F:$F&amp;'5) Release_Track'!$G:$G,'5) Release_Track'!$I:$I},2,0),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E409" s="92"/>
      <c r="F409" s="92"/>
      <c r="G409" s="125" t="str">
        <f t="array" ref="G409">ifs(or($F409="",$F409="Main Primary Artist"),$F409,not(iserror(vlookup($F409,'Reference info'!$J$5:$J$8,1,0))),"Key Artist",not(iserror(vlookup($F409,'Reference info'!$J$38:$J$405,1,0))),"Performer",not(iserror(vlookup($F409,'Reference info'!$J$10:$J$36,1,0))),"Producer &amp; Engineer")</f>
        <v/>
      </c>
    </row>
    <row r="410">
      <c r="B410" s="97"/>
      <c r="C410" s="121" t="str">
        <f t="array" ref="C410">ifs(and(isblank($A410),isblank($B410)),"", not(iserror(vlookup($A410&amp;$B410,'5) Release_Track'!$F:$F&amp;'5) Release_Track'!$G:$G,1,0))),vlookup($A410&amp;$B410,{'5) Release_Track'!$F:$F&amp;'5) Release_Track'!$G:$G,'5) Release_Track'!$H:$H},2,0),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D410" s="121" t="str">
        <f t="array" ref="D410">ifs(and(isblank($A410),isblank($B410)),"", not(iserror(vlookup($A410&amp;$B410,'5) Release_Track'!$F:$F&amp;'5) Release_Track'!$G:$G,1,0))),vlookup($A410&amp;$B410,{'5) Release_Track'!$F:$F&amp;'5) Release_Track'!$G:$G,'5) Release_Track'!$I:$I},2,0),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E410" s="92"/>
      <c r="F410" s="92"/>
      <c r="G410" s="125" t="str">
        <f t="array" ref="G410">ifs(or($F410="",$F410="Main Primary Artist"),$F410,not(iserror(vlookup($F410,'Reference info'!$J$5:$J$8,1,0))),"Key Artist",not(iserror(vlookup($F410,'Reference info'!$J$38:$J$405,1,0))),"Performer",not(iserror(vlookup($F410,'Reference info'!$J$10:$J$36,1,0))),"Producer &amp; Engineer")</f>
        <v/>
      </c>
    </row>
    <row r="411">
      <c r="B411" s="97"/>
      <c r="C411" s="121" t="str">
        <f t="array" ref="C411">ifs(and(isblank($A411),isblank($B411)),"", not(iserror(vlookup($A411&amp;$B411,'5) Release_Track'!$F:$F&amp;'5) Release_Track'!$G:$G,1,0))),vlookup($A411&amp;$B411,{'5) Release_Track'!$F:$F&amp;'5) Release_Track'!$G:$G,'5) Release_Track'!$H:$H},2,0),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D411" s="121" t="str">
        <f t="array" ref="D411">ifs(and(isblank($A411),isblank($B411)),"", not(iserror(vlookup($A411&amp;$B411,'5) Release_Track'!$F:$F&amp;'5) Release_Track'!$G:$G,1,0))),vlookup($A411&amp;$B411,{'5) Release_Track'!$F:$F&amp;'5) Release_Track'!$G:$G,'5) Release_Track'!$I:$I},2,0),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E411" s="92"/>
      <c r="F411" s="92"/>
      <c r="G411" s="125" t="str">
        <f t="array" ref="G411">ifs(or($F411="",$F411="Main Primary Artist"),$F411,not(iserror(vlookup($F411,'Reference info'!$J$5:$J$8,1,0))),"Key Artist",not(iserror(vlookup($F411,'Reference info'!$J$38:$J$405,1,0))),"Performer",not(iserror(vlookup($F411,'Reference info'!$J$10:$J$36,1,0))),"Producer &amp; Engineer")</f>
        <v/>
      </c>
    </row>
    <row r="412">
      <c r="B412" s="97"/>
      <c r="C412" s="121" t="str">
        <f t="array" ref="C412">ifs(and(isblank($A412),isblank($B412)),"", not(iserror(vlookup($A412&amp;$B412,'5) Release_Track'!$F:$F&amp;'5) Release_Track'!$G:$G,1,0))),vlookup($A412&amp;$B412,{'5) Release_Track'!$F:$F&amp;'5) Release_Track'!$G:$G,'5) Release_Track'!$H:$H},2,0),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D412" s="121" t="str">
        <f t="array" ref="D412">ifs(and(isblank($A412),isblank($B412)),"", not(iserror(vlookup($A412&amp;$B412,'5) Release_Track'!$F:$F&amp;'5) Release_Track'!$G:$G,1,0))),vlookup($A412&amp;$B412,{'5) Release_Track'!$F:$F&amp;'5) Release_Track'!$G:$G,'5) Release_Track'!$I:$I},2,0),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E412" s="92"/>
      <c r="F412" s="92"/>
      <c r="G412" s="125" t="str">
        <f t="array" ref="G412">ifs(or($F412="",$F412="Main Primary Artist"),$F412,not(iserror(vlookup($F412,'Reference info'!$J$5:$J$8,1,0))),"Key Artist",not(iserror(vlookup($F412,'Reference info'!$J$38:$J$405,1,0))),"Performer",not(iserror(vlookup($F412,'Reference info'!$J$10:$J$36,1,0))),"Producer &amp; Engineer")</f>
        <v/>
      </c>
    </row>
    <row r="413">
      <c r="B413" s="97"/>
      <c r="C413" s="121" t="str">
        <f t="array" ref="C413">ifs(and(isblank($A413),isblank($B413)),"", not(iserror(vlookup($A413&amp;$B413,'5) Release_Track'!$F:$F&amp;'5) Release_Track'!$G:$G,1,0))),vlookup($A413&amp;$B413,{'5) Release_Track'!$F:$F&amp;'5) Release_Track'!$G:$G,'5) Release_Track'!$H:$H},2,0),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D413" s="121" t="str">
        <f t="array" ref="D413">ifs(and(isblank($A413),isblank($B413)),"", not(iserror(vlookup($A413&amp;$B413,'5) Release_Track'!$F:$F&amp;'5) Release_Track'!$G:$G,1,0))),vlookup($A413&amp;$B413,{'5) Release_Track'!$F:$F&amp;'5) Release_Track'!$G:$G,'5) Release_Track'!$I:$I},2,0),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E413" s="92"/>
      <c r="F413" s="92"/>
      <c r="G413" s="125" t="str">
        <f t="array" ref="G413">ifs(or($F413="",$F413="Main Primary Artist"),$F413,not(iserror(vlookup($F413,'Reference info'!$J$5:$J$8,1,0))),"Key Artist",not(iserror(vlookup($F413,'Reference info'!$J$38:$J$405,1,0))),"Performer",not(iserror(vlookup($F413,'Reference info'!$J$10:$J$36,1,0))),"Producer &amp; Engineer")</f>
        <v/>
      </c>
    </row>
    <row r="414">
      <c r="B414" s="97"/>
      <c r="C414" s="121" t="str">
        <f t="array" ref="C414">ifs(and(isblank($A414),isblank($B414)),"", not(iserror(vlookup($A414&amp;$B414,'5) Release_Track'!$F:$F&amp;'5) Release_Track'!$G:$G,1,0))),vlookup($A414&amp;$B414,{'5) Release_Track'!$F:$F&amp;'5) Release_Track'!$G:$G,'5) Release_Track'!$H:$H},2,0),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D414" s="121" t="str">
        <f t="array" ref="D414">ifs(and(isblank($A414),isblank($B414)),"", not(iserror(vlookup($A414&amp;$B414,'5) Release_Track'!$F:$F&amp;'5) Release_Track'!$G:$G,1,0))),vlookup($A414&amp;$B414,{'5) Release_Track'!$F:$F&amp;'5) Release_Track'!$G:$G,'5) Release_Track'!$I:$I},2,0),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E414" s="92"/>
      <c r="F414" s="92"/>
      <c r="G414" s="125" t="str">
        <f t="array" ref="G414">ifs(or($F414="",$F414="Main Primary Artist"),$F414,not(iserror(vlookup($F414,'Reference info'!$J$5:$J$8,1,0))),"Key Artist",not(iserror(vlookup($F414,'Reference info'!$J$38:$J$405,1,0))),"Performer",not(iserror(vlookup($F414,'Reference info'!$J$10:$J$36,1,0))),"Producer &amp; Engineer")</f>
        <v/>
      </c>
    </row>
    <row r="415">
      <c r="B415" s="97"/>
      <c r="C415" s="121" t="str">
        <f t="array" ref="C415">ifs(and(isblank($A415),isblank($B415)),"", not(iserror(vlookup($A415&amp;$B415,'5) Release_Track'!$F:$F&amp;'5) Release_Track'!$G:$G,1,0))),vlookup($A415&amp;$B415,{'5) Release_Track'!$F:$F&amp;'5) Release_Track'!$G:$G,'5) Release_Track'!$H:$H},2,0),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D415" s="121" t="str">
        <f t="array" ref="D415">ifs(and(isblank($A415),isblank($B415)),"", not(iserror(vlookup($A415&amp;$B415,'5) Release_Track'!$F:$F&amp;'5) Release_Track'!$G:$G,1,0))),vlookup($A415&amp;$B415,{'5) Release_Track'!$F:$F&amp;'5) Release_Track'!$G:$G,'5) Release_Track'!$I:$I},2,0),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E415" s="92"/>
      <c r="F415" s="92"/>
      <c r="G415" s="125" t="str">
        <f t="array" ref="G415">ifs(or($F415="",$F415="Main Primary Artist"),$F415,not(iserror(vlookup($F415,'Reference info'!$J$5:$J$8,1,0))),"Key Artist",not(iserror(vlookup($F415,'Reference info'!$J$38:$J$405,1,0))),"Performer",not(iserror(vlookup($F415,'Reference info'!$J$10:$J$36,1,0))),"Producer &amp; Engineer")</f>
        <v/>
      </c>
    </row>
    <row r="416">
      <c r="B416" s="97"/>
      <c r="C416" s="121" t="str">
        <f t="array" ref="C416">ifs(and(isblank($A416),isblank($B416)),"", not(iserror(vlookup($A416&amp;$B416,'5) Release_Track'!$F:$F&amp;'5) Release_Track'!$G:$G,1,0))),vlookup($A416&amp;$B416,{'5) Release_Track'!$F:$F&amp;'5) Release_Track'!$G:$G,'5) Release_Track'!$H:$H},2,0),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D416" s="121" t="str">
        <f t="array" ref="D416">ifs(and(isblank($A416),isblank($B416)),"", not(iserror(vlookup($A416&amp;$B416,'5) Release_Track'!$F:$F&amp;'5) Release_Track'!$G:$G,1,0))),vlookup($A416&amp;$B416,{'5) Release_Track'!$F:$F&amp;'5) Release_Track'!$G:$G,'5) Release_Track'!$I:$I},2,0),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E416" s="92"/>
      <c r="F416" s="92"/>
      <c r="G416" s="125" t="str">
        <f t="array" ref="G416">ifs(or($F416="",$F416="Main Primary Artist"),$F416,not(iserror(vlookup($F416,'Reference info'!$J$5:$J$8,1,0))),"Key Artist",not(iserror(vlookup($F416,'Reference info'!$J$38:$J$405,1,0))),"Performer",not(iserror(vlookup($F416,'Reference info'!$J$10:$J$36,1,0))),"Producer &amp; Engineer")</f>
        <v/>
      </c>
    </row>
    <row r="417">
      <c r="B417" s="97"/>
      <c r="C417" s="121" t="str">
        <f t="array" ref="C417">ifs(and(isblank($A417),isblank($B417)),"", not(iserror(vlookup($A417&amp;$B417,'5) Release_Track'!$F:$F&amp;'5) Release_Track'!$G:$G,1,0))),vlookup($A417&amp;$B417,{'5) Release_Track'!$F:$F&amp;'5) Release_Track'!$G:$G,'5) Release_Track'!$H:$H},2,0),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D417" s="121" t="str">
        <f t="array" ref="D417">ifs(and(isblank($A417),isblank($B417)),"", not(iserror(vlookup($A417&amp;$B417,'5) Release_Track'!$F:$F&amp;'5) Release_Track'!$G:$G,1,0))),vlookup($A417&amp;$B417,{'5) Release_Track'!$F:$F&amp;'5) Release_Track'!$G:$G,'5) Release_Track'!$I:$I},2,0),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E417" s="92"/>
      <c r="F417" s="92"/>
      <c r="G417" s="125" t="str">
        <f t="array" ref="G417">ifs(or($F417="",$F417="Main Primary Artist"),$F417,not(iserror(vlookup($F417,'Reference info'!$J$5:$J$8,1,0))),"Key Artist",not(iserror(vlookup($F417,'Reference info'!$J$38:$J$405,1,0))),"Performer",not(iserror(vlookup($F417,'Reference info'!$J$10:$J$36,1,0))),"Producer &amp; Engineer")</f>
        <v/>
      </c>
    </row>
    <row r="418">
      <c r="B418" s="97"/>
      <c r="C418" s="121" t="str">
        <f t="array" ref="C418">ifs(and(isblank($A418),isblank($B418)),"", not(iserror(vlookup($A418&amp;$B418,'5) Release_Track'!$F:$F&amp;'5) Release_Track'!$G:$G,1,0))),vlookup($A418&amp;$B418,{'5) Release_Track'!$F:$F&amp;'5) Release_Track'!$G:$G,'5) Release_Track'!$H:$H},2,0),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D418" s="121" t="str">
        <f t="array" ref="D418">ifs(and(isblank($A418),isblank($B418)),"", not(iserror(vlookup($A418&amp;$B418,'5) Release_Track'!$F:$F&amp;'5) Release_Track'!$G:$G,1,0))),vlookup($A418&amp;$B418,{'5) Release_Track'!$F:$F&amp;'5) Release_Track'!$G:$G,'5) Release_Track'!$I:$I},2,0),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E418" s="92"/>
      <c r="F418" s="92"/>
      <c r="G418" s="125" t="str">
        <f t="array" ref="G418">ifs(or($F418="",$F418="Main Primary Artist"),$F418,not(iserror(vlookup($F418,'Reference info'!$J$5:$J$8,1,0))),"Key Artist",not(iserror(vlookup($F418,'Reference info'!$J$38:$J$405,1,0))),"Performer",not(iserror(vlookup($F418,'Reference info'!$J$10:$J$36,1,0))),"Producer &amp; Engineer")</f>
        <v/>
      </c>
    </row>
    <row r="419">
      <c r="B419" s="97"/>
      <c r="C419" s="121" t="str">
        <f t="array" ref="C419">ifs(and(isblank($A419),isblank($B419)),"", not(iserror(vlookup($A419&amp;$B419,'5) Release_Track'!$F:$F&amp;'5) Release_Track'!$G:$G,1,0))),vlookup($A419&amp;$B419,{'5) Release_Track'!$F:$F&amp;'5) Release_Track'!$G:$G,'5) Release_Track'!$H:$H},2,0),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D419" s="121" t="str">
        <f t="array" ref="D419">ifs(and(isblank($A419),isblank($B419)),"", not(iserror(vlookup($A419&amp;$B419,'5) Release_Track'!$F:$F&amp;'5) Release_Track'!$G:$G,1,0))),vlookup($A419&amp;$B419,{'5) Release_Track'!$F:$F&amp;'5) Release_Track'!$G:$G,'5) Release_Track'!$I:$I},2,0),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E419" s="92"/>
      <c r="F419" s="92"/>
      <c r="G419" s="125" t="str">
        <f t="array" ref="G419">ifs(or($F419="",$F419="Main Primary Artist"),$F419,not(iserror(vlookup($F419,'Reference info'!$J$5:$J$8,1,0))),"Key Artist",not(iserror(vlookup($F419,'Reference info'!$J$38:$J$405,1,0))),"Performer",not(iserror(vlookup($F419,'Reference info'!$J$10:$J$36,1,0))),"Producer &amp; Engineer")</f>
        <v/>
      </c>
    </row>
    <row r="420">
      <c r="B420" s="97"/>
      <c r="C420" s="121" t="str">
        <f t="array" ref="C420">ifs(and(isblank($A420),isblank($B420)),"", not(iserror(vlookup($A420&amp;$B420,'5) Release_Track'!$F:$F&amp;'5) Release_Track'!$G:$G,1,0))),vlookup($A420&amp;$B420,{'5) Release_Track'!$F:$F&amp;'5) Release_Track'!$G:$G,'5) Release_Track'!$H:$H},2,0),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D420" s="121" t="str">
        <f t="array" ref="D420">ifs(and(isblank($A420),isblank($B420)),"", not(iserror(vlookup($A420&amp;$B420,'5) Release_Track'!$F:$F&amp;'5) Release_Track'!$G:$G,1,0))),vlookup($A420&amp;$B420,{'5) Release_Track'!$F:$F&amp;'5) Release_Track'!$G:$G,'5) Release_Track'!$I:$I},2,0),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E420" s="92"/>
      <c r="F420" s="92"/>
      <c r="G420" s="125" t="str">
        <f t="array" ref="G420">ifs(or($F420="",$F420="Main Primary Artist"),$F420,not(iserror(vlookup($F420,'Reference info'!$J$5:$J$8,1,0))),"Key Artist",not(iserror(vlookup($F420,'Reference info'!$J$38:$J$405,1,0))),"Performer",not(iserror(vlookup($F420,'Reference info'!$J$10:$J$36,1,0))),"Producer &amp; Engineer")</f>
        <v/>
      </c>
    </row>
    <row r="421">
      <c r="B421" s="97"/>
      <c r="C421" s="121" t="str">
        <f t="array" ref="C421">ifs(and(isblank($A421),isblank($B421)),"", not(iserror(vlookup($A421&amp;$B421,'5) Release_Track'!$F:$F&amp;'5) Release_Track'!$G:$G,1,0))),vlookup($A421&amp;$B421,{'5) Release_Track'!$F:$F&amp;'5) Release_Track'!$G:$G,'5) Release_Track'!$H:$H},2,0),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D421" s="121" t="str">
        <f t="array" ref="D421">ifs(and(isblank($A421),isblank($B421)),"", not(iserror(vlookup($A421&amp;$B421,'5) Release_Track'!$F:$F&amp;'5) Release_Track'!$G:$G,1,0))),vlookup($A421&amp;$B421,{'5) Release_Track'!$F:$F&amp;'5) Release_Track'!$G:$G,'5) Release_Track'!$I:$I},2,0),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E421" s="92"/>
      <c r="F421" s="92"/>
      <c r="G421" s="125" t="str">
        <f t="array" ref="G421">ifs(or($F421="",$F421="Main Primary Artist"),$F421,not(iserror(vlookup($F421,'Reference info'!$J$5:$J$8,1,0))),"Key Artist",not(iserror(vlookup($F421,'Reference info'!$J$38:$J$405,1,0))),"Performer",not(iserror(vlookup($F421,'Reference info'!$J$10:$J$36,1,0))),"Producer &amp; Engineer")</f>
        <v/>
      </c>
    </row>
    <row r="422">
      <c r="B422" s="97"/>
      <c r="C422" s="121" t="str">
        <f t="array" ref="C422">ifs(and(isblank($A422),isblank($B422)),"", not(iserror(vlookup($A422&amp;$B422,'5) Release_Track'!$F:$F&amp;'5) Release_Track'!$G:$G,1,0))),vlookup($A422&amp;$B422,{'5) Release_Track'!$F:$F&amp;'5) Release_Track'!$G:$G,'5) Release_Track'!$H:$H},2,0),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D422" s="121" t="str">
        <f t="array" ref="D422">ifs(and(isblank($A422),isblank($B422)),"", not(iserror(vlookup($A422&amp;$B422,'5) Release_Track'!$F:$F&amp;'5) Release_Track'!$G:$G,1,0))),vlookup($A422&amp;$B422,{'5) Release_Track'!$F:$F&amp;'5) Release_Track'!$G:$G,'5) Release_Track'!$I:$I},2,0),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E422" s="92"/>
      <c r="F422" s="92"/>
      <c r="G422" s="125" t="str">
        <f t="array" ref="G422">ifs(or($F422="",$F422="Main Primary Artist"),$F422,not(iserror(vlookup($F422,'Reference info'!$J$5:$J$8,1,0))),"Key Artist",not(iserror(vlookup($F422,'Reference info'!$J$38:$J$405,1,0))),"Performer",not(iserror(vlookup($F422,'Reference info'!$J$10:$J$36,1,0))),"Producer &amp; Engineer")</f>
        <v/>
      </c>
    </row>
    <row r="423">
      <c r="B423" s="97"/>
      <c r="C423" s="121" t="str">
        <f t="array" ref="C423">ifs(and(isblank($A423),isblank($B423)),"", not(iserror(vlookup($A423&amp;$B423,'5) Release_Track'!$F:$F&amp;'5) Release_Track'!$G:$G,1,0))),vlookup($A423&amp;$B423,{'5) Release_Track'!$F:$F&amp;'5) Release_Track'!$G:$G,'5) Release_Track'!$H:$H},2,0),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D423" s="121" t="str">
        <f t="array" ref="D423">ifs(and(isblank($A423),isblank($B423)),"", not(iserror(vlookup($A423&amp;$B423,'5) Release_Track'!$F:$F&amp;'5) Release_Track'!$G:$G,1,0))),vlookup($A423&amp;$B423,{'5) Release_Track'!$F:$F&amp;'5) Release_Track'!$G:$G,'5) Release_Track'!$I:$I},2,0),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E423" s="92"/>
      <c r="F423" s="92"/>
      <c r="G423" s="125" t="str">
        <f t="array" ref="G423">ifs(or($F423="",$F423="Main Primary Artist"),$F423,not(iserror(vlookup($F423,'Reference info'!$J$5:$J$8,1,0))),"Key Artist",not(iserror(vlookup($F423,'Reference info'!$J$38:$J$405,1,0))),"Performer",not(iserror(vlookup($F423,'Reference info'!$J$10:$J$36,1,0))),"Producer &amp; Engineer")</f>
        <v/>
      </c>
    </row>
    <row r="424">
      <c r="B424" s="97"/>
      <c r="C424" s="121" t="str">
        <f t="array" ref="C424">ifs(and(isblank($A424),isblank($B424)),"", not(iserror(vlookup($A424&amp;$B424,'5) Release_Track'!$F:$F&amp;'5) Release_Track'!$G:$G,1,0))),vlookup($A424&amp;$B424,{'5) Release_Track'!$F:$F&amp;'5) Release_Track'!$G:$G,'5) Release_Track'!$H:$H},2,0),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D424" s="121" t="str">
        <f t="array" ref="D424">ifs(and(isblank($A424),isblank($B424)),"", not(iserror(vlookup($A424&amp;$B424,'5) Release_Track'!$F:$F&amp;'5) Release_Track'!$G:$G,1,0))),vlookup($A424&amp;$B424,{'5) Release_Track'!$F:$F&amp;'5) Release_Track'!$G:$G,'5) Release_Track'!$I:$I},2,0),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E424" s="92"/>
      <c r="F424" s="92"/>
      <c r="G424" s="125" t="str">
        <f t="array" ref="G424">ifs(or($F424="",$F424="Main Primary Artist"),$F424,not(iserror(vlookup($F424,'Reference info'!$J$5:$J$8,1,0))),"Key Artist",not(iserror(vlookup($F424,'Reference info'!$J$38:$J$405,1,0))),"Performer",not(iserror(vlookup($F424,'Reference info'!$J$10:$J$36,1,0))),"Producer &amp; Engineer")</f>
        <v/>
      </c>
    </row>
    <row r="425">
      <c r="B425" s="97"/>
      <c r="C425" s="121" t="str">
        <f t="array" ref="C425">ifs(and(isblank($A425),isblank($B425)),"", not(iserror(vlookup($A425&amp;$B425,'5) Release_Track'!$F:$F&amp;'5) Release_Track'!$G:$G,1,0))),vlookup($A425&amp;$B425,{'5) Release_Track'!$F:$F&amp;'5) Release_Track'!$G:$G,'5) Release_Track'!$H:$H},2,0),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D425" s="121" t="str">
        <f t="array" ref="D425">ifs(and(isblank($A425),isblank($B425)),"", not(iserror(vlookup($A425&amp;$B425,'5) Release_Track'!$F:$F&amp;'5) Release_Track'!$G:$G,1,0))),vlookup($A425&amp;$B425,{'5) Release_Track'!$F:$F&amp;'5) Release_Track'!$G:$G,'5) Release_Track'!$I:$I},2,0),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E425" s="92"/>
      <c r="F425" s="92"/>
      <c r="G425" s="125" t="str">
        <f t="array" ref="G425">ifs(or($F425="",$F425="Main Primary Artist"),$F425,not(iserror(vlookup($F425,'Reference info'!$J$5:$J$8,1,0))),"Key Artist",not(iserror(vlookup($F425,'Reference info'!$J$38:$J$405,1,0))),"Performer",not(iserror(vlookup($F425,'Reference info'!$J$10:$J$36,1,0))),"Producer &amp; Engineer")</f>
        <v/>
      </c>
    </row>
    <row r="426">
      <c r="B426" s="97"/>
      <c r="C426" s="121" t="str">
        <f t="array" ref="C426">ifs(and(isblank($A426),isblank($B426)),"", not(iserror(vlookup($A426&amp;$B426,'5) Release_Track'!$F:$F&amp;'5) Release_Track'!$G:$G,1,0))),vlookup($A426&amp;$B426,{'5) Release_Track'!$F:$F&amp;'5) Release_Track'!$G:$G,'5) Release_Track'!$H:$H},2,0),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D426" s="121" t="str">
        <f t="array" ref="D426">ifs(and(isblank($A426),isblank($B426)),"", not(iserror(vlookup($A426&amp;$B426,'5) Release_Track'!$F:$F&amp;'5) Release_Track'!$G:$G,1,0))),vlookup($A426&amp;$B426,{'5) Release_Track'!$F:$F&amp;'5) Release_Track'!$G:$G,'5) Release_Track'!$I:$I},2,0),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E426" s="92"/>
      <c r="F426" s="92"/>
      <c r="G426" s="125" t="str">
        <f t="array" ref="G426">ifs(or($F426="",$F426="Main Primary Artist"),$F426,not(iserror(vlookup($F426,'Reference info'!$J$5:$J$8,1,0))),"Key Artist",not(iserror(vlookup($F426,'Reference info'!$J$38:$J$405,1,0))),"Performer",not(iserror(vlookup($F426,'Reference info'!$J$10:$J$36,1,0))),"Producer &amp; Engineer")</f>
        <v/>
      </c>
    </row>
    <row r="427">
      <c r="B427" s="97"/>
      <c r="C427" s="121" t="str">
        <f t="array" ref="C427">ifs(and(isblank($A427),isblank($B427)),"", not(iserror(vlookup($A427&amp;$B427,'5) Release_Track'!$F:$F&amp;'5) Release_Track'!$G:$G,1,0))),vlookup($A427&amp;$B427,{'5) Release_Track'!$F:$F&amp;'5) Release_Track'!$G:$G,'5) Release_Track'!$H:$H},2,0),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D427" s="121" t="str">
        <f t="array" ref="D427">ifs(and(isblank($A427),isblank($B427)),"", not(iserror(vlookup($A427&amp;$B427,'5) Release_Track'!$F:$F&amp;'5) Release_Track'!$G:$G,1,0))),vlookup($A427&amp;$B427,{'5) Release_Track'!$F:$F&amp;'5) Release_Track'!$G:$G,'5) Release_Track'!$I:$I},2,0),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E427" s="92"/>
      <c r="F427" s="92"/>
      <c r="G427" s="125" t="str">
        <f t="array" ref="G427">ifs(or($F427="",$F427="Main Primary Artist"),$F427,not(iserror(vlookup($F427,'Reference info'!$J$5:$J$8,1,0))),"Key Artist",not(iserror(vlookup($F427,'Reference info'!$J$38:$J$405,1,0))),"Performer",not(iserror(vlookup($F427,'Reference info'!$J$10:$J$36,1,0))),"Producer &amp; Engineer")</f>
        <v/>
      </c>
    </row>
    <row r="428">
      <c r="B428" s="97"/>
      <c r="C428" s="121" t="str">
        <f t="array" ref="C428">ifs(and(isblank($A428),isblank($B428)),"", not(iserror(vlookup($A428&amp;$B428,'5) Release_Track'!$F:$F&amp;'5) Release_Track'!$G:$G,1,0))),vlookup($A428&amp;$B428,{'5) Release_Track'!$F:$F&amp;'5) Release_Track'!$G:$G,'5) Release_Track'!$H:$H},2,0),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D428" s="121" t="str">
        <f t="array" ref="D428">ifs(and(isblank($A428),isblank($B428)),"", not(iserror(vlookup($A428&amp;$B428,'5) Release_Track'!$F:$F&amp;'5) Release_Track'!$G:$G,1,0))),vlookup($A428&amp;$B428,{'5) Release_Track'!$F:$F&amp;'5) Release_Track'!$G:$G,'5) Release_Track'!$I:$I},2,0),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E428" s="92"/>
      <c r="F428" s="92"/>
      <c r="G428" s="125" t="str">
        <f t="array" ref="G428">ifs(or($F428="",$F428="Main Primary Artist"),$F428,not(iserror(vlookup($F428,'Reference info'!$J$5:$J$8,1,0))),"Key Artist",not(iserror(vlookup($F428,'Reference info'!$J$38:$J$405,1,0))),"Performer",not(iserror(vlookup($F428,'Reference info'!$J$10:$J$36,1,0))),"Producer &amp; Engineer")</f>
        <v/>
      </c>
    </row>
    <row r="429">
      <c r="B429" s="97"/>
      <c r="C429" s="121" t="str">
        <f t="array" ref="C429">ifs(and(isblank($A429),isblank($B429)),"", not(iserror(vlookup($A429&amp;$B429,'5) Release_Track'!$F:$F&amp;'5) Release_Track'!$G:$G,1,0))),vlookup($A429&amp;$B429,{'5) Release_Track'!$F:$F&amp;'5) Release_Track'!$G:$G,'5) Release_Track'!$H:$H},2,0),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D429" s="121" t="str">
        <f t="array" ref="D429">ifs(and(isblank($A429),isblank($B429)),"", not(iserror(vlookup($A429&amp;$B429,'5) Release_Track'!$F:$F&amp;'5) Release_Track'!$G:$G,1,0))),vlookup($A429&amp;$B429,{'5) Release_Track'!$F:$F&amp;'5) Release_Track'!$G:$G,'5) Release_Track'!$I:$I},2,0),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E429" s="92"/>
      <c r="F429" s="92"/>
      <c r="G429" s="125" t="str">
        <f t="array" ref="G429">ifs(or($F429="",$F429="Main Primary Artist"),$F429,not(iserror(vlookup($F429,'Reference info'!$J$5:$J$8,1,0))),"Key Artist",not(iserror(vlookup($F429,'Reference info'!$J$38:$J$405,1,0))),"Performer",not(iserror(vlookup($F429,'Reference info'!$J$10:$J$36,1,0))),"Producer &amp; Engineer")</f>
        <v/>
      </c>
    </row>
    <row r="430">
      <c r="B430" s="97"/>
      <c r="C430" s="121" t="str">
        <f t="array" ref="C430">ifs(and(isblank($A430),isblank($B430)),"", not(iserror(vlookup($A430&amp;$B430,'5) Release_Track'!$F:$F&amp;'5) Release_Track'!$G:$G,1,0))),vlookup($A430&amp;$B430,{'5) Release_Track'!$F:$F&amp;'5) Release_Track'!$G:$G,'5) Release_Track'!$H:$H},2,0),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D430" s="121" t="str">
        <f t="array" ref="D430">ifs(and(isblank($A430),isblank($B430)),"", not(iserror(vlookup($A430&amp;$B430,'5) Release_Track'!$F:$F&amp;'5) Release_Track'!$G:$G,1,0))),vlookup($A430&amp;$B430,{'5) Release_Track'!$F:$F&amp;'5) Release_Track'!$G:$G,'5) Release_Track'!$I:$I},2,0),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E430" s="92"/>
      <c r="F430" s="92"/>
      <c r="G430" s="125" t="str">
        <f t="array" ref="G430">ifs(or($F430="",$F430="Main Primary Artist"),$F430,not(iserror(vlookup($F430,'Reference info'!$J$5:$J$8,1,0))),"Key Artist",not(iserror(vlookup($F430,'Reference info'!$J$38:$J$405,1,0))),"Performer",not(iserror(vlookup($F430,'Reference info'!$J$10:$J$36,1,0))),"Producer &amp; Engineer")</f>
        <v/>
      </c>
    </row>
    <row r="431">
      <c r="B431" s="97"/>
      <c r="C431" s="121" t="str">
        <f t="array" ref="C431">ifs(and(isblank($A431),isblank($B431)),"", not(iserror(vlookup($A431&amp;$B431,'5) Release_Track'!$F:$F&amp;'5) Release_Track'!$G:$G,1,0))),vlookup($A431&amp;$B431,{'5) Release_Track'!$F:$F&amp;'5) Release_Track'!$G:$G,'5) Release_Track'!$H:$H},2,0),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D431" s="121" t="str">
        <f t="array" ref="D431">ifs(and(isblank($A431),isblank($B431)),"", not(iserror(vlookup($A431&amp;$B431,'5) Release_Track'!$F:$F&amp;'5) Release_Track'!$G:$G,1,0))),vlookup($A431&amp;$B431,{'5) Release_Track'!$F:$F&amp;'5) Release_Track'!$G:$G,'5) Release_Track'!$I:$I},2,0),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E431" s="92"/>
      <c r="F431" s="92"/>
      <c r="G431" s="125" t="str">
        <f t="array" ref="G431">ifs(or($F431="",$F431="Main Primary Artist"),$F431,not(iserror(vlookup($F431,'Reference info'!$J$5:$J$8,1,0))),"Key Artist",not(iserror(vlookup($F431,'Reference info'!$J$38:$J$405,1,0))),"Performer",not(iserror(vlookup($F431,'Reference info'!$J$10:$J$36,1,0))),"Producer &amp; Engineer")</f>
        <v/>
      </c>
    </row>
    <row r="432">
      <c r="B432" s="97"/>
      <c r="C432" s="121" t="str">
        <f t="array" ref="C432">ifs(and(isblank($A432),isblank($B432)),"", not(iserror(vlookup($A432&amp;$B432,'5) Release_Track'!$F:$F&amp;'5) Release_Track'!$G:$G,1,0))),vlookup($A432&amp;$B432,{'5) Release_Track'!$F:$F&amp;'5) Release_Track'!$G:$G,'5) Release_Track'!$H:$H},2,0),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D432" s="121" t="str">
        <f t="array" ref="D432">ifs(and(isblank($A432),isblank($B432)),"", not(iserror(vlookup($A432&amp;$B432,'5) Release_Track'!$F:$F&amp;'5) Release_Track'!$G:$G,1,0))),vlookup($A432&amp;$B432,{'5) Release_Track'!$F:$F&amp;'5) Release_Track'!$G:$G,'5) Release_Track'!$I:$I},2,0),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E432" s="92"/>
      <c r="F432" s="92"/>
      <c r="G432" s="125" t="str">
        <f t="array" ref="G432">ifs(or($F432="",$F432="Main Primary Artist"),$F432,not(iserror(vlookup($F432,'Reference info'!$J$5:$J$8,1,0))),"Key Artist",not(iserror(vlookup($F432,'Reference info'!$J$38:$J$405,1,0))),"Performer",not(iserror(vlookup($F432,'Reference info'!$J$10:$J$36,1,0))),"Producer &amp; Engineer")</f>
        <v/>
      </c>
    </row>
    <row r="433">
      <c r="B433" s="97"/>
      <c r="C433" s="121" t="str">
        <f t="array" ref="C433">ifs(and(isblank($A433),isblank($B433)),"", not(iserror(vlookup($A433&amp;$B433,'5) Release_Track'!$F:$F&amp;'5) Release_Track'!$G:$G,1,0))),vlookup($A433&amp;$B433,{'5) Release_Track'!$F:$F&amp;'5) Release_Track'!$G:$G,'5) Release_Track'!$H:$H},2,0),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D433" s="121" t="str">
        <f t="array" ref="D433">ifs(and(isblank($A433),isblank($B433)),"", not(iserror(vlookup($A433&amp;$B433,'5) Release_Track'!$F:$F&amp;'5) Release_Track'!$G:$G,1,0))),vlookup($A433&amp;$B433,{'5) Release_Track'!$F:$F&amp;'5) Release_Track'!$G:$G,'5) Release_Track'!$I:$I},2,0),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E433" s="92"/>
      <c r="F433" s="92"/>
      <c r="G433" s="125" t="str">
        <f t="array" ref="G433">ifs(or($F433="",$F433="Main Primary Artist"),$F433,not(iserror(vlookup($F433,'Reference info'!$J$5:$J$8,1,0))),"Key Artist",not(iserror(vlookup($F433,'Reference info'!$J$38:$J$405,1,0))),"Performer",not(iserror(vlookup($F433,'Reference info'!$J$10:$J$36,1,0))),"Producer &amp; Engineer")</f>
        <v/>
      </c>
    </row>
    <row r="434">
      <c r="B434" s="97"/>
      <c r="C434" s="121" t="str">
        <f t="array" ref="C434">ifs(and(isblank($A434),isblank($B434)),"", not(iserror(vlookup($A434&amp;$B434,'5) Release_Track'!$F:$F&amp;'5) Release_Track'!$G:$G,1,0))),vlookup($A434&amp;$B434,{'5) Release_Track'!$F:$F&amp;'5) Release_Track'!$G:$G,'5) Release_Track'!$H:$H},2,0),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D434" s="121" t="str">
        <f t="array" ref="D434">ifs(and(isblank($A434),isblank($B434)),"", not(iserror(vlookup($A434&amp;$B434,'5) Release_Track'!$F:$F&amp;'5) Release_Track'!$G:$G,1,0))),vlookup($A434&amp;$B434,{'5) Release_Track'!$F:$F&amp;'5) Release_Track'!$G:$G,'5) Release_Track'!$I:$I},2,0),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E434" s="92"/>
      <c r="F434" s="92"/>
      <c r="G434" s="125" t="str">
        <f t="array" ref="G434">ifs(or($F434="",$F434="Main Primary Artist"),$F434,not(iserror(vlookup($F434,'Reference info'!$J$5:$J$8,1,0))),"Key Artist",not(iserror(vlookup($F434,'Reference info'!$J$38:$J$405,1,0))),"Performer",not(iserror(vlookup($F434,'Reference info'!$J$10:$J$36,1,0))),"Producer &amp; Engineer")</f>
        <v/>
      </c>
    </row>
    <row r="435">
      <c r="B435" s="97"/>
      <c r="C435" s="121" t="str">
        <f t="array" ref="C435">ifs(and(isblank($A435),isblank($B435)),"", not(iserror(vlookup($A435&amp;$B435,'5) Release_Track'!$F:$F&amp;'5) Release_Track'!$G:$G,1,0))),vlookup($A435&amp;$B435,{'5) Release_Track'!$F:$F&amp;'5) Release_Track'!$G:$G,'5) Release_Track'!$H:$H},2,0),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D435" s="121" t="str">
        <f t="array" ref="D435">ifs(and(isblank($A435),isblank($B435)),"", not(iserror(vlookup($A435&amp;$B435,'5) Release_Track'!$F:$F&amp;'5) Release_Track'!$G:$G,1,0))),vlookup($A435&amp;$B435,{'5) Release_Track'!$F:$F&amp;'5) Release_Track'!$G:$G,'5) Release_Track'!$I:$I},2,0),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E435" s="92"/>
      <c r="F435" s="92"/>
      <c r="G435" s="125" t="str">
        <f t="array" ref="G435">ifs(or($F435="",$F435="Main Primary Artist"),$F435,not(iserror(vlookup($F435,'Reference info'!$J$5:$J$8,1,0))),"Key Artist",not(iserror(vlookup($F435,'Reference info'!$J$38:$J$405,1,0))),"Performer",not(iserror(vlookup($F435,'Reference info'!$J$10:$J$36,1,0))),"Producer &amp; Engineer")</f>
        <v/>
      </c>
    </row>
    <row r="436">
      <c r="B436" s="97"/>
      <c r="C436" s="121" t="str">
        <f t="array" ref="C436">ifs(and(isblank($A436),isblank($B436)),"", not(iserror(vlookup($A436&amp;$B436,'5) Release_Track'!$F:$F&amp;'5) Release_Track'!$G:$G,1,0))),vlookup($A436&amp;$B436,{'5) Release_Track'!$F:$F&amp;'5) Release_Track'!$G:$G,'5) Release_Track'!$H:$H},2,0),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D436" s="121" t="str">
        <f t="array" ref="D436">ifs(and(isblank($A436),isblank($B436)),"", not(iserror(vlookup($A436&amp;$B436,'5) Release_Track'!$F:$F&amp;'5) Release_Track'!$G:$G,1,0))),vlookup($A436&amp;$B436,{'5) Release_Track'!$F:$F&amp;'5) Release_Track'!$G:$G,'5) Release_Track'!$I:$I},2,0),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E436" s="92"/>
      <c r="F436" s="92"/>
      <c r="G436" s="125" t="str">
        <f t="array" ref="G436">ifs(or($F436="",$F436="Main Primary Artist"),$F436,not(iserror(vlookup($F436,'Reference info'!$J$5:$J$8,1,0))),"Key Artist",not(iserror(vlookup($F436,'Reference info'!$J$38:$J$405,1,0))),"Performer",not(iserror(vlookup($F436,'Reference info'!$J$10:$J$36,1,0))),"Producer &amp; Engineer")</f>
        <v/>
      </c>
    </row>
    <row r="437">
      <c r="B437" s="97"/>
      <c r="C437" s="121" t="str">
        <f t="array" ref="C437">ifs(and(isblank($A437),isblank($B437)),"", not(iserror(vlookup($A437&amp;$B437,'5) Release_Track'!$F:$F&amp;'5) Release_Track'!$G:$G,1,0))),vlookup($A437&amp;$B437,{'5) Release_Track'!$F:$F&amp;'5) Release_Track'!$G:$G,'5) Release_Track'!$H:$H},2,0),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D437" s="121" t="str">
        <f t="array" ref="D437">ifs(and(isblank($A437),isblank($B437)),"", not(iserror(vlookup($A437&amp;$B437,'5) Release_Track'!$F:$F&amp;'5) Release_Track'!$G:$G,1,0))),vlookup($A437&amp;$B437,{'5) Release_Track'!$F:$F&amp;'5) Release_Track'!$G:$G,'5) Release_Track'!$I:$I},2,0),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E437" s="92"/>
      <c r="F437" s="92"/>
      <c r="G437" s="125" t="str">
        <f t="array" ref="G437">ifs(or($F437="",$F437="Main Primary Artist"),$F437,not(iserror(vlookup($F437,'Reference info'!$J$5:$J$8,1,0))),"Key Artist",not(iserror(vlookup($F437,'Reference info'!$J$38:$J$405,1,0))),"Performer",not(iserror(vlookup($F437,'Reference info'!$J$10:$J$36,1,0))),"Producer &amp; Engineer")</f>
        <v/>
      </c>
    </row>
    <row r="438">
      <c r="B438" s="97"/>
      <c r="C438" s="121" t="str">
        <f t="array" ref="C438">ifs(and(isblank($A438),isblank($B438)),"", not(iserror(vlookup($A438&amp;$B438,'5) Release_Track'!$F:$F&amp;'5) Release_Track'!$G:$G,1,0))),vlookup($A438&amp;$B438,{'5) Release_Track'!$F:$F&amp;'5) Release_Track'!$G:$G,'5) Release_Track'!$H:$H},2,0),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D438" s="121" t="str">
        <f t="array" ref="D438">ifs(and(isblank($A438),isblank($B438)),"", not(iserror(vlookup($A438&amp;$B438,'5) Release_Track'!$F:$F&amp;'5) Release_Track'!$G:$G,1,0))),vlookup($A438&amp;$B438,{'5) Release_Track'!$F:$F&amp;'5) Release_Track'!$G:$G,'5) Release_Track'!$I:$I},2,0),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E438" s="92"/>
      <c r="F438" s="92"/>
      <c r="G438" s="125" t="str">
        <f t="array" ref="G438">ifs(or($F438="",$F438="Main Primary Artist"),$F438,not(iserror(vlookup($F438,'Reference info'!$J$5:$J$8,1,0))),"Key Artist",not(iserror(vlookup($F438,'Reference info'!$J$38:$J$405,1,0))),"Performer",not(iserror(vlookup($F438,'Reference info'!$J$10:$J$36,1,0))),"Producer &amp; Engineer")</f>
        <v/>
      </c>
    </row>
    <row r="439">
      <c r="B439" s="97"/>
      <c r="C439" s="121" t="str">
        <f t="array" ref="C439">ifs(and(isblank($A439),isblank($B439)),"", not(iserror(vlookup($A439&amp;$B439,'5) Release_Track'!$F:$F&amp;'5) Release_Track'!$G:$G,1,0))),vlookup($A439&amp;$B439,{'5) Release_Track'!$F:$F&amp;'5) Release_Track'!$G:$G,'5) Release_Track'!$H:$H},2,0),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D439" s="121" t="str">
        <f t="array" ref="D439">ifs(and(isblank($A439),isblank($B439)),"", not(iserror(vlookup($A439&amp;$B439,'5) Release_Track'!$F:$F&amp;'5) Release_Track'!$G:$G,1,0))),vlookup($A439&amp;$B439,{'5) Release_Track'!$F:$F&amp;'5) Release_Track'!$G:$G,'5) Release_Track'!$I:$I},2,0),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E439" s="92"/>
      <c r="F439" s="92"/>
      <c r="G439" s="125" t="str">
        <f t="array" ref="G439">ifs(or($F439="",$F439="Main Primary Artist"),$F439,not(iserror(vlookup($F439,'Reference info'!$J$5:$J$8,1,0))),"Key Artist",not(iserror(vlookup($F439,'Reference info'!$J$38:$J$405,1,0))),"Performer",not(iserror(vlookup($F439,'Reference info'!$J$10:$J$36,1,0))),"Producer &amp; Engineer")</f>
        <v/>
      </c>
    </row>
    <row r="440">
      <c r="B440" s="97"/>
      <c r="C440" s="121" t="str">
        <f t="array" ref="C440">ifs(and(isblank($A440),isblank($B440)),"", not(iserror(vlookup($A440&amp;$B440,'5) Release_Track'!$F:$F&amp;'5) Release_Track'!$G:$G,1,0))),vlookup($A440&amp;$B440,{'5) Release_Track'!$F:$F&amp;'5) Release_Track'!$G:$G,'5) Release_Track'!$H:$H},2,0),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D440" s="121" t="str">
        <f t="array" ref="D440">ifs(and(isblank($A440),isblank($B440)),"", not(iserror(vlookup($A440&amp;$B440,'5) Release_Track'!$F:$F&amp;'5) Release_Track'!$G:$G,1,0))),vlookup($A440&amp;$B440,{'5) Release_Track'!$F:$F&amp;'5) Release_Track'!$G:$G,'5) Release_Track'!$I:$I},2,0),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E440" s="92"/>
      <c r="F440" s="92"/>
      <c r="G440" s="125" t="str">
        <f t="array" ref="G440">ifs(or($F440="",$F440="Main Primary Artist"),$F440,not(iserror(vlookup($F440,'Reference info'!$J$5:$J$8,1,0))),"Key Artist",not(iserror(vlookup($F440,'Reference info'!$J$38:$J$405,1,0))),"Performer",not(iserror(vlookup($F440,'Reference info'!$J$10:$J$36,1,0))),"Producer &amp; Engineer")</f>
        <v/>
      </c>
    </row>
    <row r="441">
      <c r="B441" s="97"/>
      <c r="C441" s="121" t="str">
        <f t="array" ref="C441">ifs(and(isblank($A441),isblank($B441)),"", not(iserror(vlookup($A441&amp;$B441,'5) Release_Track'!$F:$F&amp;'5) Release_Track'!$G:$G,1,0))),vlookup($A441&amp;$B441,{'5) Release_Track'!$F:$F&amp;'5) Release_Track'!$G:$G,'5) Release_Track'!$H:$H},2,0),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D441" s="121" t="str">
        <f t="array" ref="D441">ifs(and(isblank($A441),isblank($B441)),"", not(iserror(vlookup($A441&amp;$B441,'5) Release_Track'!$F:$F&amp;'5) Release_Track'!$G:$G,1,0))),vlookup($A441&amp;$B441,{'5) Release_Track'!$F:$F&amp;'5) Release_Track'!$G:$G,'5) Release_Track'!$I:$I},2,0),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E441" s="92"/>
      <c r="F441" s="92"/>
      <c r="G441" s="125" t="str">
        <f t="array" ref="G441">ifs(or($F441="",$F441="Main Primary Artist"),$F441,not(iserror(vlookup($F441,'Reference info'!$J$5:$J$8,1,0))),"Key Artist",not(iserror(vlookup($F441,'Reference info'!$J$38:$J$405,1,0))),"Performer",not(iserror(vlookup($F441,'Reference info'!$J$10:$J$36,1,0))),"Producer &amp; Engineer")</f>
        <v/>
      </c>
    </row>
    <row r="442">
      <c r="B442" s="97"/>
      <c r="C442" s="121" t="str">
        <f t="array" ref="C442">ifs(and(isblank($A442),isblank($B442)),"", not(iserror(vlookup($A442&amp;$B442,'5) Release_Track'!$F:$F&amp;'5) Release_Track'!$G:$G,1,0))),vlookup($A442&amp;$B442,{'5) Release_Track'!$F:$F&amp;'5) Release_Track'!$G:$G,'5) Release_Track'!$H:$H},2,0),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D442" s="121" t="str">
        <f t="array" ref="D442">ifs(and(isblank($A442),isblank($B442)),"", not(iserror(vlookup($A442&amp;$B442,'5) Release_Track'!$F:$F&amp;'5) Release_Track'!$G:$G,1,0))),vlookup($A442&amp;$B442,{'5) Release_Track'!$F:$F&amp;'5) Release_Track'!$G:$G,'5) Release_Track'!$I:$I},2,0),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E442" s="92"/>
      <c r="F442" s="92"/>
      <c r="G442" s="125" t="str">
        <f t="array" ref="G442">ifs(or($F442="",$F442="Main Primary Artist"),$F442,not(iserror(vlookup($F442,'Reference info'!$J$5:$J$8,1,0))),"Key Artist",not(iserror(vlookup($F442,'Reference info'!$J$38:$J$405,1,0))),"Performer",not(iserror(vlookup($F442,'Reference info'!$J$10:$J$36,1,0))),"Producer &amp; Engineer")</f>
        <v/>
      </c>
    </row>
    <row r="443">
      <c r="B443" s="97"/>
      <c r="C443" s="121" t="str">
        <f t="array" ref="C443">ifs(and(isblank($A443),isblank($B443)),"", not(iserror(vlookup($A443&amp;$B443,'5) Release_Track'!$F:$F&amp;'5) Release_Track'!$G:$G,1,0))),vlookup($A443&amp;$B443,{'5) Release_Track'!$F:$F&amp;'5) Release_Track'!$G:$G,'5) Release_Track'!$H:$H},2,0),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D443" s="121" t="str">
        <f t="array" ref="D443">ifs(and(isblank($A443),isblank($B443)),"", not(iserror(vlookup($A443&amp;$B443,'5) Release_Track'!$F:$F&amp;'5) Release_Track'!$G:$G,1,0))),vlookup($A443&amp;$B443,{'5) Release_Track'!$F:$F&amp;'5) Release_Track'!$G:$G,'5) Release_Track'!$I:$I},2,0),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E443" s="92"/>
      <c r="F443" s="92"/>
      <c r="G443" s="125" t="str">
        <f t="array" ref="G443">ifs(or($F443="",$F443="Main Primary Artist"),$F443,not(iserror(vlookup($F443,'Reference info'!$J$5:$J$8,1,0))),"Key Artist",not(iserror(vlookup($F443,'Reference info'!$J$38:$J$405,1,0))),"Performer",not(iserror(vlookup($F443,'Reference info'!$J$10:$J$36,1,0))),"Producer &amp; Engineer")</f>
        <v/>
      </c>
    </row>
    <row r="444">
      <c r="B444" s="97"/>
      <c r="C444" s="121" t="str">
        <f t="array" ref="C444">ifs(and(isblank($A444),isblank($B444)),"", not(iserror(vlookup($A444&amp;$B444,'5) Release_Track'!$F:$F&amp;'5) Release_Track'!$G:$G,1,0))),vlookup($A444&amp;$B444,{'5) Release_Track'!$F:$F&amp;'5) Release_Track'!$G:$G,'5) Release_Track'!$H:$H},2,0),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D444" s="121" t="str">
        <f t="array" ref="D444">ifs(and(isblank($A444),isblank($B444)),"", not(iserror(vlookup($A444&amp;$B444,'5) Release_Track'!$F:$F&amp;'5) Release_Track'!$G:$G,1,0))),vlookup($A444&amp;$B444,{'5) Release_Track'!$F:$F&amp;'5) Release_Track'!$G:$G,'5) Release_Track'!$I:$I},2,0),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E444" s="92"/>
      <c r="F444" s="92"/>
      <c r="G444" s="125" t="str">
        <f t="array" ref="G444">ifs(or($F444="",$F444="Main Primary Artist"),$F444,not(iserror(vlookup($F444,'Reference info'!$J$5:$J$8,1,0))),"Key Artist",not(iserror(vlookup($F444,'Reference info'!$J$38:$J$405,1,0))),"Performer",not(iserror(vlookup($F444,'Reference info'!$J$10:$J$36,1,0))),"Producer &amp; Engineer")</f>
        <v/>
      </c>
    </row>
    <row r="445">
      <c r="B445" s="97"/>
      <c r="C445" s="121" t="str">
        <f t="array" ref="C445">ifs(and(isblank($A445),isblank($B445)),"", not(iserror(vlookup($A445&amp;$B445,'5) Release_Track'!$F:$F&amp;'5) Release_Track'!$G:$G,1,0))),vlookup($A445&amp;$B445,{'5) Release_Track'!$F:$F&amp;'5) Release_Track'!$G:$G,'5) Release_Track'!$H:$H},2,0),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D445" s="121" t="str">
        <f t="array" ref="D445">ifs(and(isblank($A445),isblank($B445)),"", not(iserror(vlookup($A445&amp;$B445,'5) Release_Track'!$F:$F&amp;'5) Release_Track'!$G:$G,1,0))),vlookup($A445&amp;$B445,{'5) Release_Track'!$F:$F&amp;'5) Release_Track'!$G:$G,'5) Release_Track'!$I:$I},2,0),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E445" s="92"/>
      <c r="F445" s="92"/>
      <c r="G445" s="125" t="str">
        <f t="array" ref="G445">ifs(or($F445="",$F445="Main Primary Artist"),$F445,not(iserror(vlookup($F445,'Reference info'!$J$5:$J$8,1,0))),"Key Artist",not(iserror(vlookup($F445,'Reference info'!$J$38:$J$405,1,0))),"Performer",not(iserror(vlookup($F445,'Reference info'!$J$10:$J$36,1,0))),"Producer &amp; Engineer")</f>
        <v/>
      </c>
    </row>
    <row r="446">
      <c r="B446" s="97"/>
      <c r="C446" s="121" t="str">
        <f t="array" ref="C446">ifs(and(isblank($A446),isblank($B446)),"", not(iserror(vlookup($A446&amp;$B446,'5) Release_Track'!$F:$F&amp;'5) Release_Track'!$G:$G,1,0))),vlookup($A446&amp;$B446,{'5) Release_Track'!$F:$F&amp;'5) Release_Track'!$G:$G,'5) Release_Track'!$H:$H},2,0),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D446" s="121" t="str">
        <f t="array" ref="D446">ifs(and(isblank($A446),isblank($B446)),"", not(iserror(vlookup($A446&amp;$B446,'5) Release_Track'!$F:$F&amp;'5) Release_Track'!$G:$G,1,0))),vlookup($A446&amp;$B446,{'5) Release_Track'!$F:$F&amp;'5) Release_Track'!$G:$G,'5) Release_Track'!$I:$I},2,0),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E446" s="92"/>
      <c r="F446" s="92"/>
      <c r="G446" s="125" t="str">
        <f t="array" ref="G446">ifs(or($F446="",$F446="Main Primary Artist"),$F446,not(iserror(vlookup($F446,'Reference info'!$J$5:$J$8,1,0))),"Key Artist",not(iserror(vlookup($F446,'Reference info'!$J$38:$J$405,1,0))),"Performer",not(iserror(vlookup($F446,'Reference info'!$J$10:$J$36,1,0))),"Producer &amp; Engineer")</f>
        <v/>
      </c>
    </row>
    <row r="447">
      <c r="B447" s="97"/>
      <c r="C447" s="121" t="str">
        <f t="array" ref="C447">ifs(and(isblank($A447),isblank($B447)),"", not(iserror(vlookup($A447&amp;$B447,'5) Release_Track'!$F:$F&amp;'5) Release_Track'!$G:$G,1,0))),vlookup($A447&amp;$B447,{'5) Release_Track'!$F:$F&amp;'5) Release_Track'!$G:$G,'5) Release_Track'!$H:$H},2,0),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D447" s="121" t="str">
        <f t="array" ref="D447">ifs(and(isblank($A447),isblank($B447)),"", not(iserror(vlookup($A447&amp;$B447,'5) Release_Track'!$F:$F&amp;'5) Release_Track'!$G:$G,1,0))),vlookup($A447&amp;$B447,{'5) Release_Track'!$F:$F&amp;'5) Release_Track'!$G:$G,'5) Release_Track'!$I:$I},2,0),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E447" s="92"/>
      <c r="F447" s="92"/>
      <c r="G447" s="125" t="str">
        <f t="array" ref="G447">ifs(or($F447="",$F447="Main Primary Artist"),$F447,not(iserror(vlookup($F447,'Reference info'!$J$5:$J$8,1,0))),"Key Artist",not(iserror(vlookup($F447,'Reference info'!$J$38:$J$405,1,0))),"Performer",not(iserror(vlookup($F447,'Reference info'!$J$10:$J$36,1,0))),"Producer &amp; Engineer")</f>
        <v/>
      </c>
    </row>
    <row r="448">
      <c r="B448" s="97"/>
      <c r="C448" s="121" t="str">
        <f t="array" ref="C448">ifs(and(isblank($A448),isblank($B448)),"", not(iserror(vlookup($A448&amp;$B448,'5) Release_Track'!$F:$F&amp;'5) Release_Track'!$G:$G,1,0))),vlookup($A448&amp;$B448,{'5) Release_Track'!$F:$F&amp;'5) Release_Track'!$G:$G,'5) Release_Track'!$H:$H},2,0),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D448" s="121" t="str">
        <f t="array" ref="D448">ifs(and(isblank($A448),isblank($B448)),"", not(iserror(vlookup($A448&amp;$B448,'5) Release_Track'!$F:$F&amp;'5) Release_Track'!$G:$G,1,0))),vlookup($A448&amp;$B448,{'5) Release_Track'!$F:$F&amp;'5) Release_Track'!$G:$G,'5) Release_Track'!$I:$I},2,0),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E448" s="92"/>
      <c r="F448" s="92"/>
      <c r="G448" s="125" t="str">
        <f t="array" ref="G448">ifs(or($F448="",$F448="Main Primary Artist"),$F448,not(iserror(vlookup($F448,'Reference info'!$J$5:$J$8,1,0))),"Key Artist",not(iserror(vlookup($F448,'Reference info'!$J$38:$J$405,1,0))),"Performer",not(iserror(vlookup($F448,'Reference info'!$J$10:$J$36,1,0))),"Producer &amp; Engineer")</f>
        <v/>
      </c>
    </row>
    <row r="449">
      <c r="B449" s="97"/>
      <c r="C449" s="121" t="str">
        <f t="array" ref="C449">ifs(and(isblank($A449),isblank($B449)),"", not(iserror(vlookup($A449&amp;$B449,'5) Release_Track'!$F:$F&amp;'5) Release_Track'!$G:$G,1,0))),vlookup($A449&amp;$B449,{'5) Release_Track'!$F:$F&amp;'5) Release_Track'!$G:$G,'5) Release_Track'!$H:$H},2,0),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D449" s="121" t="str">
        <f t="array" ref="D449">ifs(and(isblank($A449),isblank($B449)),"", not(iserror(vlookup($A449&amp;$B449,'5) Release_Track'!$F:$F&amp;'5) Release_Track'!$G:$G,1,0))),vlookup($A449&amp;$B449,{'5) Release_Track'!$F:$F&amp;'5) Release_Track'!$G:$G,'5) Release_Track'!$I:$I},2,0),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E449" s="92"/>
      <c r="F449" s="92"/>
      <c r="G449" s="125" t="str">
        <f t="array" ref="G449">ifs(or($F449="",$F449="Main Primary Artist"),$F449,not(iserror(vlookup($F449,'Reference info'!$J$5:$J$8,1,0))),"Key Artist",not(iserror(vlookup($F449,'Reference info'!$J$38:$J$405,1,0))),"Performer",not(iserror(vlookup($F449,'Reference info'!$J$10:$J$36,1,0))),"Producer &amp; Engineer")</f>
        <v/>
      </c>
    </row>
    <row r="450">
      <c r="B450" s="97"/>
      <c r="C450" s="121" t="str">
        <f t="array" ref="C450">ifs(and(isblank($A450),isblank($B450)),"", not(iserror(vlookup($A450&amp;$B450,'5) Release_Track'!$F:$F&amp;'5) Release_Track'!$G:$G,1,0))),vlookup($A450&amp;$B450,{'5) Release_Track'!$F:$F&amp;'5) Release_Track'!$G:$G,'5) Release_Track'!$H:$H},2,0),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D450" s="121" t="str">
        <f t="array" ref="D450">ifs(and(isblank($A450),isblank($B450)),"", not(iserror(vlookup($A450&amp;$B450,'5) Release_Track'!$F:$F&amp;'5) Release_Track'!$G:$G,1,0))),vlookup($A450&amp;$B450,{'5) Release_Track'!$F:$F&amp;'5) Release_Track'!$G:$G,'5) Release_Track'!$I:$I},2,0),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E450" s="92"/>
      <c r="F450" s="92"/>
      <c r="G450" s="125" t="str">
        <f t="array" ref="G450">ifs(or($F450="",$F450="Main Primary Artist"),$F450,not(iserror(vlookup($F450,'Reference info'!$J$5:$J$8,1,0))),"Key Artist",not(iserror(vlookup($F450,'Reference info'!$J$38:$J$405,1,0))),"Performer",not(iserror(vlookup($F450,'Reference info'!$J$10:$J$36,1,0))),"Producer &amp; Engineer")</f>
        <v/>
      </c>
    </row>
    <row r="451">
      <c r="B451" s="97"/>
      <c r="C451" s="121" t="str">
        <f t="array" ref="C451">ifs(and(isblank($A451),isblank($B451)),"", not(iserror(vlookup($A451&amp;$B451,'5) Release_Track'!$F:$F&amp;'5) Release_Track'!$G:$G,1,0))),vlookup($A451&amp;$B451,{'5) Release_Track'!$F:$F&amp;'5) Release_Track'!$G:$G,'5) Release_Track'!$H:$H},2,0),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D451" s="121" t="str">
        <f t="array" ref="D451">ifs(and(isblank($A451),isblank($B451)),"", not(iserror(vlookup($A451&amp;$B451,'5) Release_Track'!$F:$F&amp;'5) Release_Track'!$G:$G,1,0))),vlookup($A451&amp;$B451,{'5) Release_Track'!$F:$F&amp;'5) Release_Track'!$G:$G,'5) Release_Track'!$I:$I},2,0),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E451" s="92"/>
      <c r="F451" s="92"/>
      <c r="G451" s="125" t="str">
        <f t="array" ref="G451">ifs(or($F451="",$F451="Main Primary Artist"),$F451,not(iserror(vlookup($F451,'Reference info'!$J$5:$J$8,1,0))),"Key Artist",not(iserror(vlookup($F451,'Reference info'!$J$38:$J$405,1,0))),"Performer",not(iserror(vlookup($F451,'Reference info'!$J$10:$J$36,1,0))),"Producer &amp; Engineer")</f>
        <v/>
      </c>
    </row>
    <row r="452">
      <c r="B452" s="97"/>
      <c r="C452" s="121" t="str">
        <f t="array" ref="C452">ifs(and(isblank($A452),isblank($B452)),"", not(iserror(vlookup($A452&amp;$B452,'5) Release_Track'!$F:$F&amp;'5) Release_Track'!$G:$G,1,0))),vlookup($A452&amp;$B452,{'5) Release_Track'!$F:$F&amp;'5) Release_Track'!$G:$G,'5) Release_Track'!$H:$H},2,0),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D452" s="121" t="str">
        <f t="array" ref="D452">ifs(and(isblank($A452),isblank($B452)),"", not(iserror(vlookup($A452&amp;$B452,'5) Release_Track'!$F:$F&amp;'5) Release_Track'!$G:$G,1,0))),vlookup($A452&amp;$B452,{'5) Release_Track'!$F:$F&amp;'5) Release_Track'!$G:$G,'5) Release_Track'!$I:$I},2,0),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E452" s="92"/>
      <c r="F452" s="92"/>
      <c r="G452" s="125" t="str">
        <f t="array" ref="G452">ifs(or($F452="",$F452="Main Primary Artist"),$F452,not(iserror(vlookup($F452,'Reference info'!$J$5:$J$8,1,0))),"Key Artist",not(iserror(vlookup($F452,'Reference info'!$J$38:$J$405,1,0))),"Performer",not(iserror(vlookup($F452,'Reference info'!$J$10:$J$36,1,0))),"Producer &amp; Engineer")</f>
        <v/>
      </c>
    </row>
    <row r="453">
      <c r="B453" s="97"/>
      <c r="C453" s="121" t="str">
        <f t="array" ref="C453">ifs(and(isblank($A453),isblank($B453)),"", not(iserror(vlookup($A453&amp;$B453,'5) Release_Track'!$F:$F&amp;'5) Release_Track'!$G:$G,1,0))),vlookup($A453&amp;$B453,{'5) Release_Track'!$F:$F&amp;'5) Release_Track'!$G:$G,'5) Release_Track'!$H:$H},2,0),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D453" s="121" t="str">
        <f t="array" ref="D453">ifs(and(isblank($A453),isblank($B453)),"", not(iserror(vlookup($A453&amp;$B453,'5) Release_Track'!$F:$F&amp;'5) Release_Track'!$G:$G,1,0))),vlookup($A453&amp;$B453,{'5) Release_Track'!$F:$F&amp;'5) Release_Track'!$G:$G,'5) Release_Track'!$I:$I},2,0),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E453" s="92"/>
      <c r="F453" s="92"/>
      <c r="G453" s="125" t="str">
        <f t="array" ref="G453">ifs(or($F453="",$F453="Main Primary Artist"),$F453,not(iserror(vlookup($F453,'Reference info'!$J$5:$J$8,1,0))),"Key Artist",not(iserror(vlookup($F453,'Reference info'!$J$38:$J$405,1,0))),"Performer",not(iserror(vlookup($F453,'Reference info'!$J$10:$J$36,1,0))),"Producer &amp; Engineer")</f>
        <v/>
      </c>
    </row>
    <row r="454">
      <c r="B454" s="97"/>
      <c r="C454" s="121" t="str">
        <f t="array" ref="C454">ifs(and(isblank($A454),isblank($B454)),"", not(iserror(vlookup($A454&amp;$B454,'5) Release_Track'!$F:$F&amp;'5) Release_Track'!$G:$G,1,0))),vlookup($A454&amp;$B454,{'5) Release_Track'!$F:$F&amp;'5) Release_Track'!$G:$G,'5) Release_Track'!$H:$H},2,0),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D454" s="121" t="str">
        <f t="array" ref="D454">ifs(and(isblank($A454),isblank($B454)),"", not(iserror(vlookup($A454&amp;$B454,'5) Release_Track'!$F:$F&amp;'5) Release_Track'!$G:$G,1,0))),vlookup($A454&amp;$B454,{'5) Release_Track'!$F:$F&amp;'5) Release_Track'!$G:$G,'5) Release_Track'!$I:$I},2,0),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E454" s="92"/>
      <c r="F454" s="92"/>
      <c r="G454" s="125" t="str">
        <f t="array" ref="G454">ifs(or($F454="",$F454="Main Primary Artist"),$F454,not(iserror(vlookup($F454,'Reference info'!$J$5:$J$8,1,0))),"Key Artist",not(iserror(vlookup($F454,'Reference info'!$J$38:$J$405,1,0))),"Performer",not(iserror(vlookup($F454,'Reference info'!$J$10:$J$36,1,0))),"Producer &amp; Engineer")</f>
        <v/>
      </c>
    </row>
    <row r="455">
      <c r="B455" s="97"/>
      <c r="C455" s="121" t="str">
        <f t="array" ref="C455">ifs(and(isblank($A455),isblank($B455)),"", not(iserror(vlookup($A455&amp;$B455,'5) Release_Track'!$F:$F&amp;'5) Release_Track'!$G:$G,1,0))),vlookup($A455&amp;$B455,{'5) Release_Track'!$F:$F&amp;'5) Release_Track'!$G:$G,'5) Release_Track'!$H:$H},2,0),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D455" s="121" t="str">
        <f t="array" ref="D455">ifs(and(isblank($A455),isblank($B455)),"", not(iserror(vlookup($A455&amp;$B455,'5) Release_Track'!$F:$F&amp;'5) Release_Track'!$G:$G,1,0))),vlookup($A455&amp;$B455,{'5) Release_Track'!$F:$F&amp;'5) Release_Track'!$G:$G,'5) Release_Track'!$I:$I},2,0),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E455" s="92"/>
      <c r="F455" s="92"/>
      <c r="G455" s="125" t="str">
        <f t="array" ref="G455">ifs(or($F455="",$F455="Main Primary Artist"),$F455,not(iserror(vlookup($F455,'Reference info'!$J$5:$J$8,1,0))),"Key Artist",not(iserror(vlookup($F455,'Reference info'!$J$38:$J$405,1,0))),"Performer",not(iserror(vlookup($F455,'Reference info'!$J$10:$J$36,1,0))),"Producer &amp; Engineer")</f>
        <v/>
      </c>
    </row>
    <row r="456">
      <c r="B456" s="97"/>
      <c r="C456" s="121" t="str">
        <f t="array" ref="C456">ifs(and(isblank($A456),isblank($B456)),"", not(iserror(vlookup($A456&amp;$B456,'5) Release_Track'!$F:$F&amp;'5) Release_Track'!$G:$G,1,0))),vlookup($A456&amp;$B456,{'5) Release_Track'!$F:$F&amp;'5) Release_Track'!$G:$G,'5) Release_Track'!$H:$H},2,0),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D456" s="121" t="str">
        <f t="array" ref="D456">ifs(and(isblank($A456),isblank($B456)),"", not(iserror(vlookup($A456&amp;$B456,'5) Release_Track'!$F:$F&amp;'5) Release_Track'!$G:$G,1,0))),vlookup($A456&amp;$B456,{'5) Release_Track'!$F:$F&amp;'5) Release_Track'!$G:$G,'5) Release_Track'!$I:$I},2,0),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E456" s="92"/>
      <c r="F456" s="92"/>
      <c r="G456" s="125" t="str">
        <f t="array" ref="G456">ifs(or($F456="",$F456="Main Primary Artist"),$F456,not(iserror(vlookup($F456,'Reference info'!$J$5:$J$8,1,0))),"Key Artist",not(iserror(vlookup($F456,'Reference info'!$J$38:$J$405,1,0))),"Performer",not(iserror(vlookup($F456,'Reference info'!$J$10:$J$36,1,0))),"Producer &amp; Engineer")</f>
        <v/>
      </c>
    </row>
    <row r="457">
      <c r="B457" s="97"/>
      <c r="C457" s="121" t="str">
        <f t="array" ref="C457">ifs(and(isblank($A457),isblank($B457)),"", not(iserror(vlookup($A457&amp;$B457,'5) Release_Track'!$F:$F&amp;'5) Release_Track'!$G:$G,1,0))),vlookup($A457&amp;$B457,{'5) Release_Track'!$F:$F&amp;'5) Release_Track'!$G:$G,'5) Release_Track'!$H:$H},2,0),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D457" s="121" t="str">
        <f t="array" ref="D457">ifs(and(isblank($A457),isblank($B457)),"", not(iserror(vlookup($A457&amp;$B457,'5) Release_Track'!$F:$F&amp;'5) Release_Track'!$G:$G,1,0))),vlookup($A457&amp;$B457,{'5) Release_Track'!$F:$F&amp;'5) Release_Track'!$G:$G,'5) Release_Track'!$I:$I},2,0),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E457" s="92"/>
      <c r="F457" s="92"/>
      <c r="G457" s="125" t="str">
        <f t="array" ref="G457">ifs(or($F457="",$F457="Main Primary Artist"),$F457,not(iserror(vlookup($F457,'Reference info'!$J$5:$J$8,1,0))),"Key Artist",not(iserror(vlookup($F457,'Reference info'!$J$38:$J$405,1,0))),"Performer",not(iserror(vlookup($F457,'Reference info'!$J$10:$J$36,1,0))),"Producer &amp; Engineer")</f>
        <v/>
      </c>
    </row>
    <row r="458">
      <c r="B458" s="97"/>
      <c r="C458" s="121" t="str">
        <f t="array" ref="C458">ifs(and(isblank($A458),isblank($B458)),"", not(iserror(vlookup($A458&amp;$B458,'5) Release_Track'!$F:$F&amp;'5) Release_Track'!$G:$G,1,0))),vlookup($A458&amp;$B458,{'5) Release_Track'!$F:$F&amp;'5) Release_Track'!$G:$G,'5) Release_Track'!$H:$H},2,0),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D458" s="121" t="str">
        <f t="array" ref="D458">ifs(and(isblank($A458),isblank($B458)),"", not(iserror(vlookup($A458&amp;$B458,'5) Release_Track'!$F:$F&amp;'5) Release_Track'!$G:$G,1,0))),vlookup($A458&amp;$B458,{'5) Release_Track'!$F:$F&amp;'5) Release_Track'!$G:$G,'5) Release_Track'!$I:$I},2,0),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E458" s="92"/>
      <c r="F458" s="92"/>
      <c r="G458" s="125" t="str">
        <f t="array" ref="G458">ifs(or($F458="",$F458="Main Primary Artist"),$F458,not(iserror(vlookup($F458,'Reference info'!$J$5:$J$8,1,0))),"Key Artist",not(iserror(vlookup($F458,'Reference info'!$J$38:$J$405,1,0))),"Performer",not(iserror(vlookup($F458,'Reference info'!$J$10:$J$36,1,0))),"Producer &amp; Engineer")</f>
        <v/>
      </c>
    </row>
    <row r="459">
      <c r="B459" s="97"/>
      <c r="C459" s="121" t="str">
        <f t="array" ref="C459">ifs(and(isblank($A459),isblank($B459)),"", not(iserror(vlookup($A459&amp;$B459,'5) Release_Track'!$F:$F&amp;'5) Release_Track'!$G:$G,1,0))),vlookup($A459&amp;$B459,{'5) Release_Track'!$F:$F&amp;'5) Release_Track'!$G:$G,'5) Release_Track'!$H:$H},2,0),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D459" s="121" t="str">
        <f t="array" ref="D459">ifs(and(isblank($A459),isblank($B459)),"", not(iserror(vlookup($A459&amp;$B459,'5) Release_Track'!$F:$F&amp;'5) Release_Track'!$G:$G,1,0))),vlookup($A459&amp;$B459,{'5) Release_Track'!$F:$F&amp;'5) Release_Track'!$G:$G,'5) Release_Track'!$I:$I},2,0),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E459" s="92"/>
      <c r="F459" s="92"/>
      <c r="G459" s="125" t="str">
        <f t="array" ref="G459">ifs(or($F459="",$F459="Main Primary Artist"),$F459,not(iserror(vlookup($F459,'Reference info'!$J$5:$J$8,1,0))),"Key Artist",not(iserror(vlookup($F459,'Reference info'!$J$38:$J$405,1,0))),"Performer",not(iserror(vlookup($F459,'Reference info'!$J$10:$J$36,1,0))),"Producer &amp; Engineer")</f>
        <v/>
      </c>
    </row>
    <row r="460">
      <c r="B460" s="97"/>
      <c r="C460" s="121" t="str">
        <f t="array" ref="C460">ifs(and(isblank($A460),isblank($B460)),"", not(iserror(vlookup($A460&amp;$B460,'5) Release_Track'!$F:$F&amp;'5) Release_Track'!$G:$G,1,0))),vlookup($A460&amp;$B460,{'5) Release_Track'!$F:$F&amp;'5) Release_Track'!$G:$G,'5) Release_Track'!$H:$H},2,0),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D460" s="121" t="str">
        <f t="array" ref="D460">ifs(and(isblank($A460),isblank($B460)),"", not(iserror(vlookup($A460&amp;$B460,'5) Release_Track'!$F:$F&amp;'5) Release_Track'!$G:$G,1,0))),vlookup($A460&amp;$B460,{'5) Release_Track'!$F:$F&amp;'5) Release_Track'!$G:$G,'5) Release_Track'!$I:$I},2,0),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E460" s="92"/>
      <c r="F460" s="92"/>
      <c r="G460" s="125" t="str">
        <f t="array" ref="G460">ifs(or($F460="",$F460="Main Primary Artist"),$F460,not(iserror(vlookup($F460,'Reference info'!$J$5:$J$8,1,0))),"Key Artist",not(iserror(vlookup($F460,'Reference info'!$J$38:$J$405,1,0))),"Performer",not(iserror(vlookup($F460,'Reference info'!$J$10:$J$36,1,0))),"Producer &amp; Engineer")</f>
        <v/>
      </c>
    </row>
    <row r="461">
      <c r="B461" s="97"/>
      <c r="C461" s="121" t="str">
        <f t="array" ref="C461">ifs(and(isblank($A461),isblank($B461)),"", not(iserror(vlookup($A461&amp;$B461,'5) Release_Track'!$F:$F&amp;'5) Release_Track'!$G:$G,1,0))),vlookup($A461&amp;$B461,{'5) Release_Track'!$F:$F&amp;'5) Release_Track'!$G:$G,'5) Release_Track'!$H:$H},2,0),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D461" s="121" t="str">
        <f t="array" ref="D461">ifs(and(isblank($A461),isblank($B461)),"", not(iserror(vlookup($A461&amp;$B461,'5) Release_Track'!$F:$F&amp;'5) Release_Track'!$G:$G,1,0))),vlookup($A461&amp;$B461,{'5) Release_Track'!$F:$F&amp;'5) Release_Track'!$G:$G,'5) Release_Track'!$I:$I},2,0),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E461" s="92"/>
      <c r="F461" s="92"/>
      <c r="G461" s="125" t="str">
        <f t="array" ref="G461">ifs(or($F461="",$F461="Main Primary Artist"),$F461,not(iserror(vlookup($F461,'Reference info'!$J$5:$J$8,1,0))),"Key Artist",not(iserror(vlookup($F461,'Reference info'!$J$38:$J$405,1,0))),"Performer",not(iserror(vlookup($F461,'Reference info'!$J$10:$J$36,1,0))),"Producer &amp; Engineer")</f>
        <v/>
      </c>
    </row>
    <row r="462">
      <c r="B462" s="97"/>
      <c r="C462" s="121" t="str">
        <f t="array" ref="C462">ifs(and(isblank($A462),isblank($B462)),"", not(iserror(vlookup($A462&amp;$B462,'5) Release_Track'!$F:$F&amp;'5) Release_Track'!$G:$G,1,0))),vlookup($A462&amp;$B462,{'5) Release_Track'!$F:$F&amp;'5) Release_Track'!$G:$G,'5) Release_Track'!$H:$H},2,0),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D462" s="121" t="str">
        <f t="array" ref="D462">ifs(and(isblank($A462),isblank($B462)),"", not(iserror(vlookup($A462&amp;$B462,'5) Release_Track'!$F:$F&amp;'5) Release_Track'!$G:$G,1,0))),vlookup($A462&amp;$B462,{'5) Release_Track'!$F:$F&amp;'5) Release_Track'!$G:$G,'5) Release_Track'!$I:$I},2,0),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E462" s="92"/>
      <c r="F462" s="92"/>
      <c r="G462" s="125" t="str">
        <f t="array" ref="G462">ifs(or($F462="",$F462="Main Primary Artist"),$F462,not(iserror(vlookup($F462,'Reference info'!$J$5:$J$8,1,0))),"Key Artist",not(iserror(vlookup($F462,'Reference info'!$J$38:$J$405,1,0))),"Performer",not(iserror(vlookup($F462,'Reference info'!$J$10:$J$36,1,0))),"Producer &amp; Engineer")</f>
        <v/>
      </c>
    </row>
    <row r="463">
      <c r="B463" s="97"/>
      <c r="C463" s="121" t="str">
        <f t="array" ref="C463">ifs(and(isblank($A463),isblank($B463)),"", not(iserror(vlookup($A463&amp;$B463,'5) Release_Track'!$F:$F&amp;'5) Release_Track'!$G:$G,1,0))),vlookup($A463&amp;$B463,{'5) Release_Track'!$F:$F&amp;'5) Release_Track'!$G:$G,'5) Release_Track'!$H:$H},2,0),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D463" s="121" t="str">
        <f t="array" ref="D463">ifs(and(isblank($A463),isblank($B463)),"", not(iserror(vlookup($A463&amp;$B463,'5) Release_Track'!$F:$F&amp;'5) Release_Track'!$G:$G,1,0))),vlookup($A463&amp;$B463,{'5) Release_Track'!$F:$F&amp;'5) Release_Track'!$G:$G,'5) Release_Track'!$I:$I},2,0),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E463" s="92"/>
      <c r="F463" s="92"/>
      <c r="G463" s="125" t="str">
        <f t="array" ref="G463">ifs(or($F463="",$F463="Main Primary Artist"),$F463,not(iserror(vlookup($F463,'Reference info'!$J$5:$J$8,1,0))),"Key Artist",not(iserror(vlookup($F463,'Reference info'!$J$38:$J$405,1,0))),"Performer",not(iserror(vlookup($F463,'Reference info'!$J$10:$J$36,1,0))),"Producer &amp; Engineer")</f>
        <v/>
      </c>
    </row>
    <row r="464">
      <c r="B464" s="97"/>
      <c r="C464" s="121" t="str">
        <f t="array" ref="C464">ifs(and(isblank($A464),isblank($B464)),"", not(iserror(vlookup($A464&amp;$B464,'5) Release_Track'!$F:$F&amp;'5) Release_Track'!$G:$G,1,0))),vlookup($A464&amp;$B464,{'5) Release_Track'!$F:$F&amp;'5) Release_Track'!$G:$G,'5) Release_Track'!$H:$H},2,0),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D464" s="121" t="str">
        <f t="array" ref="D464">ifs(and(isblank($A464),isblank($B464)),"", not(iserror(vlookup($A464&amp;$B464,'5) Release_Track'!$F:$F&amp;'5) Release_Track'!$G:$G,1,0))),vlookup($A464&amp;$B464,{'5) Release_Track'!$F:$F&amp;'5) Release_Track'!$G:$G,'5) Release_Track'!$I:$I},2,0),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E464" s="92"/>
      <c r="F464" s="92"/>
      <c r="G464" s="125" t="str">
        <f t="array" ref="G464">ifs(or($F464="",$F464="Main Primary Artist"),$F464,not(iserror(vlookup($F464,'Reference info'!$J$5:$J$8,1,0))),"Key Artist",not(iserror(vlookup($F464,'Reference info'!$J$38:$J$405,1,0))),"Performer",not(iserror(vlookup($F464,'Reference info'!$J$10:$J$36,1,0))),"Producer &amp; Engineer")</f>
        <v/>
      </c>
    </row>
    <row r="465">
      <c r="B465" s="97"/>
      <c r="C465" s="121" t="str">
        <f t="array" ref="C465">ifs(and(isblank($A465),isblank($B465)),"", not(iserror(vlookup($A465&amp;$B465,'5) Release_Track'!$F:$F&amp;'5) Release_Track'!$G:$G,1,0))),vlookup($A465&amp;$B465,{'5) Release_Track'!$F:$F&amp;'5) Release_Track'!$G:$G,'5) Release_Track'!$H:$H},2,0),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D465" s="121" t="str">
        <f t="array" ref="D465">ifs(and(isblank($A465),isblank($B465)),"", not(iserror(vlookup($A465&amp;$B465,'5) Release_Track'!$F:$F&amp;'5) Release_Track'!$G:$G,1,0))),vlookup($A465&amp;$B465,{'5) Release_Track'!$F:$F&amp;'5) Release_Track'!$G:$G,'5) Release_Track'!$I:$I},2,0),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E465" s="92"/>
      <c r="F465" s="92"/>
      <c r="G465" s="125" t="str">
        <f t="array" ref="G465">ifs(or($F465="",$F465="Main Primary Artist"),$F465,not(iserror(vlookup($F465,'Reference info'!$J$5:$J$8,1,0))),"Key Artist",not(iserror(vlookup($F465,'Reference info'!$J$38:$J$405,1,0))),"Performer",not(iserror(vlookup($F465,'Reference info'!$J$10:$J$36,1,0))),"Producer &amp; Engineer")</f>
        <v/>
      </c>
    </row>
    <row r="466">
      <c r="B466" s="97"/>
      <c r="C466" s="121" t="str">
        <f t="array" ref="C466">ifs(and(isblank($A466),isblank($B466)),"", not(iserror(vlookup($A466&amp;$B466,'5) Release_Track'!$F:$F&amp;'5) Release_Track'!$G:$G,1,0))),vlookup($A466&amp;$B466,{'5) Release_Track'!$F:$F&amp;'5) Release_Track'!$G:$G,'5) Release_Track'!$H:$H},2,0),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D466" s="121" t="str">
        <f t="array" ref="D466">ifs(and(isblank($A466),isblank($B466)),"", not(iserror(vlookup($A466&amp;$B466,'5) Release_Track'!$F:$F&amp;'5) Release_Track'!$G:$G,1,0))),vlookup($A466&amp;$B466,{'5) Release_Track'!$F:$F&amp;'5) Release_Track'!$G:$G,'5) Release_Track'!$I:$I},2,0),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E466" s="92"/>
      <c r="F466" s="92"/>
      <c r="G466" s="125" t="str">
        <f t="array" ref="G466">ifs(or($F466="",$F466="Main Primary Artist"),$F466,not(iserror(vlookup($F466,'Reference info'!$J$5:$J$8,1,0))),"Key Artist",not(iserror(vlookup($F466,'Reference info'!$J$38:$J$405,1,0))),"Performer",not(iserror(vlookup($F466,'Reference info'!$J$10:$J$36,1,0))),"Producer &amp; Engineer")</f>
        <v/>
      </c>
    </row>
    <row r="467">
      <c r="B467" s="97"/>
      <c r="C467" s="121" t="str">
        <f t="array" ref="C467">ifs(and(isblank($A467),isblank($B467)),"", not(iserror(vlookup($A467&amp;$B467,'5) Release_Track'!$F:$F&amp;'5) Release_Track'!$G:$G,1,0))),vlookup($A467&amp;$B467,{'5) Release_Track'!$F:$F&amp;'5) Release_Track'!$G:$G,'5) Release_Track'!$H:$H},2,0),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D467" s="121" t="str">
        <f t="array" ref="D467">ifs(and(isblank($A467),isblank($B467)),"", not(iserror(vlookup($A467&amp;$B467,'5) Release_Track'!$F:$F&amp;'5) Release_Track'!$G:$G,1,0))),vlookup($A467&amp;$B467,{'5) Release_Track'!$F:$F&amp;'5) Release_Track'!$G:$G,'5) Release_Track'!$I:$I},2,0),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E467" s="92"/>
      <c r="F467" s="92"/>
      <c r="G467" s="125" t="str">
        <f t="array" ref="G467">ifs(or($F467="",$F467="Main Primary Artist"),$F467,not(iserror(vlookup($F467,'Reference info'!$J$5:$J$8,1,0))),"Key Artist",not(iserror(vlookup($F467,'Reference info'!$J$38:$J$405,1,0))),"Performer",not(iserror(vlookup($F467,'Reference info'!$J$10:$J$36,1,0))),"Producer &amp; Engineer")</f>
        <v/>
      </c>
    </row>
    <row r="468">
      <c r="B468" s="97"/>
      <c r="C468" s="121" t="str">
        <f t="array" ref="C468">ifs(and(isblank($A468),isblank($B468)),"", not(iserror(vlookup($A468&amp;$B468,'5) Release_Track'!$F:$F&amp;'5) Release_Track'!$G:$G,1,0))),vlookup($A468&amp;$B468,{'5) Release_Track'!$F:$F&amp;'5) Release_Track'!$G:$G,'5) Release_Track'!$H:$H},2,0),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D468" s="121" t="str">
        <f t="array" ref="D468">ifs(and(isblank($A468),isblank($B468)),"", not(iserror(vlookup($A468&amp;$B468,'5) Release_Track'!$F:$F&amp;'5) Release_Track'!$G:$G,1,0))),vlookup($A468&amp;$B468,{'5) Release_Track'!$F:$F&amp;'5) Release_Track'!$G:$G,'5) Release_Track'!$I:$I},2,0),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E468" s="92"/>
      <c r="F468" s="92"/>
      <c r="G468" s="125" t="str">
        <f t="array" ref="G468">ifs(or($F468="",$F468="Main Primary Artist"),$F468,not(iserror(vlookup($F468,'Reference info'!$J$5:$J$8,1,0))),"Key Artist",not(iserror(vlookup($F468,'Reference info'!$J$38:$J$405,1,0))),"Performer",not(iserror(vlookup($F468,'Reference info'!$J$10:$J$36,1,0))),"Producer &amp; Engineer")</f>
        <v/>
      </c>
    </row>
    <row r="469">
      <c r="B469" s="97"/>
      <c r="C469" s="121" t="str">
        <f t="array" ref="C469">ifs(and(isblank($A469),isblank($B469)),"", not(iserror(vlookup($A469&amp;$B469,'5) Release_Track'!$F:$F&amp;'5) Release_Track'!$G:$G,1,0))),vlookup($A469&amp;$B469,{'5) Release_Track'!$F:$F&amp;'5) Release_Track'!$G:$G,'5) Release_Track'!$H:$H},2,0),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D469" s="121" t="str">
        <f t="array" ref="D469">ifs(and(isblank($A469),isblank($B469)),"", not(iserror(vlookup($A469&amp;$B469,'5) Release_Track'!$F:$F&amp;'5) Release_Track'!$G:$G,1,0))),vlookup($A469&amp;$B469,{'5) Release_Track'!$F:$F&amp;'5) Release_Track'!$G:$G,'5) Release_Track'!$I:$I},2,0),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E469" s="92"/>
      <c r="F469" s="92"/>
      <c r="G469" s="125" t="str">
        <f t="array" ref="G469">ifs(or($F469="",$F469="Main Primary Artist"),$F469,not(iserror(vlookup($F469,'Reference info'!$J$5:$J$8,1,0))),"Key Artist",not(iserror(vlookup($F469,'Reference info'!$J$38:$J$405,1,0))),"Performer",not(iserror(vlookup($F469,'Reference info'!$J$10:$J$36,1,0))),"Producer &amp; Engineer")</f>
        <v/>
      </c>
    </row>
    <row r="470">
      <c r="B470" s="97"/>
      <c r="C470" s="121" t="str">
        <f t="array" ref="C470">ifs(and(isblank($A470),isblank($B470)),"", not(iserror(vlookup($A470&amp;$B470,'5) Release_Track'!$F:$F&amp;'5) Release_Track'!$G:$G,1,0))),vlookup($A470&amp;$B470,{'5) Release_Track'!$F:$F&amp;'5) Release_Track'!$G:$G,'5) Release_Track'!$H:$H},2,0),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D470" s="121" t="str">
        <f t="array" ref="D470">ifs(and(isblank($A470),isblank($B470)),"", not(iserror(vlookup($A470&amp;$B470,'5) Release_Track'!$F:$F&amp;'5) Release_Track'!$G:$G,1,0))),vlookup($A470&amp;$B470,{'5) Release_Track'!$F:$F&amp;'5) Release_Track'!$G:$G,'5) Release_Track'!$I:$I},2,0),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E470" s="92"/>
      <c r="F470" s="92"/>
      <c r="G470" s="125" t="str">
        <f t="array" ref="G470">ifs(or($F470="",$F470="Main Primary Artist"),$F470,not(iserror(vlookup($F470,'Reference info'!$J$5:$J$8,1,0))),"Key Artist",not(iserror(vlookup($F470,'Reference info'!$J$38:$J$405,1,0))),"Performer",not(iserror(vlookup($F470,'Reference info'!$J$10:$J$36,1,0))),"Producer &amp; Engineer")</f>
        <v/>
      </c>
    </row>
    <row r="471">
      <c r="B471" s="97"/>
      <c r="C471" s="121" t="str">
        <f t="array" ref="C471">ifs(and(isblank($A471),isblank($B471)),"", not(iserror(vlookup($A471&amp;$B471,'5) Release_Track'!$F:$F&amp;'5) Release_Track'!$G:$G,1,0))),vlookup($A471&amp;$B471,{'5) Release_Track'!$F:$F&amp;'5) Release_Track'!$G:$G,'5) Release_Track'!$H:$H},2,0),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D471" s="121" t="str">
        <f t="array" ref="D471">ifs(and(isblank($A471),isblank($B471)),"", not(iserror(vlookup($A471&amp;$B471,'5) Release_Track'!$F:$F&amp;'5) Release_Track'!$G:$G,1,0))),vlookup($A471&amp;$B471,{'5) Release_Track'!$F:$F&amp;'5) Release_Track'!$G:$G,'5) Release_Track'!$I:$I},2,0),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E471" s="92"/>
      <c r="F471" s="92"/>
      <c r="G471" s="125" t="str">
        <f t="array" ref="G471">ifs(or($F471="",$F471="Main Primary Artist"),$F471,not(iserror(vlookup($F471,'Reference info'!$J$5:$J$8,1,0))),"Key Artist",not(iserror(vlookup($F471,'Reference info'!$J$38:$J$405,1,0))),"Performer",not(iserror(vlookup($F471,'Reference info'!$J$10:$J$36,1,0))),"Producer &amp; Engineer")</f>
        <v/>
      </c>
    </row>
    <row r="472">
      <c r="B472" s="97"/>
      <c r="C472" s="121" t="str">
        <f t="array" ref="C472">ifs(and(isblank($A472),isblank($B472)),"", not(iserror(vlookup($A472&amp;$B472,'5) Release_Track'!$F:$F&amp;'5) Release_Track'!$G:$G,1,0))),vlookup($A472&amp;$B472,{'5) Release_Track'!$F:$F&amp;'5) Release_Track'!$G:$G,'5) Release_Track'!$H:$H},2,0),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D472" s="121" t="str">
        <f t="array" ref="D472">ifs(and(isblank($A472),isblank($B472)),"", not(iserror(vlookup($A472&amp;$B472,'5) Release_Track'!$F:$F&amp;'5) Release_Track'!$G:$G,1,0))),vlookup($A472&amp;$B472,{'5) Release_Track'!$F:$F&amp;'5) Release_Track'!$G:$G,'5) Release_Track'!$I:$I},2,0),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E472" s="92"/>
      <c r="F472" s="92"/>
      <c r="G472" s="125" t="str">
        <f t="array" ref="G472">ifs(or($F472="",$F472="Main Primary Artist"),$F472,not(iserror(vlookup($F472,'Reference info'!$J$5:$J$8,1,0))),"Key Artist",not(iserror(vlookup($F472,'Reference info'!$J$38:$J$405,1,0))),"Performer",not(iserror(vlookup($F472,'Reference info'!$J$10:$J$36,1,0))),"Producer &amp; Engineer")</f>
        <v/>
      </c>
    </row>
    <row r="473">
      <c r="B473" s="97"/>
      <c r="C473" s="121" t="str">
        <f t="array" ref="C473">ifs(and(isblank($A473),isblank($B473)),"", not(iserror(vlookup($A473&amp;$B473,'5) Release_Track'!$F:$F&amp;'5) Release_Track'!$G:$G,1,0))),vlookup($A473&amp;$B473,{'5) Release_Track'!$F:$F&amp;'5) Release_Track'!$G:$G,'5) Release_Track'!$H:$H},2,0),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D473" s="121" t="str">
        <f t="array" ref="D473">ifs(and(isblank($A473),isblank($B473)),"", not(iserror(vlookup($A473&amp;$B473,'5) Release_Track'!$F:$F&amp;'5) Release_Track'!$G:$G,1,0))),vlookup($A473&amp;$B473,{'5) Release_Track'!$F:$F&amp;'5) Release_Track'!$G:$G,'5) Release_Track'!$I:$I},2,0),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E473" s="92"/>
      <c r="F473" s="92"/>
      <c r="G473" s="125" t="str">
        <f t="array" ref="G473">ifs(or($F473="",$F473="Main Primary Artist"),$F473,not(iserror(vlookup($F473,'Reference info'!$J$5:$J$8,1,0))),"Key Artist",not(iserror(vlookup($F473,'Reference info'!$J$38:$J$405,1,0))),"Performer",not(iserror(vlookup($F473,'Reference info'!$J$10:$J$36,1,0))),"Producer &amp; Engineer")</f>
        <v/>
      </c>
    </row>
    <row r="474">
      <c r="B474" s="97"/>
      <c r="C474" s="121" t="str">
        <f t="array" ref="C474">ifs(and(isblank($A474),isblank($B474)),"", not(iserror(vlookup($A474&amp;$B474,'5) Release_Track'!$F:$F&amp;'5) Release_Track'!$G:$G,1,0))),vlookup($A474&amp;$B474,{'5) Release_Track'!$F:$F&amp;'5) Release_Track'!$G:$G,'5) Release_Track'!$H:$H},2,0),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D474" s="121" t="str">
        <f t="array" ref="D474">ifs(and(isblank($A474),isblank($B474)),"", not(iserror(vlookup($A474&amp;$B474,'5) Release_Track'!$F:$F&amp;'5) Release_Track'!$G:$G,1,0))),vlookup($A474&amp;$B474,{'5) Release_Track'!$F:$F&amp;'5) Release_Track'!$G:$G,'5) Release_Track'!$I:$I},2,0),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E474" s="92"/>
      <c r="F474" s="92"/>
      <c r="G474" s="125" t="str">
        <f t="array" ref="G474">ifs(or($F474="",$F474="Main Primary Artist"),$F474,not(iserror(vlookup($F474,'Reference info'!$J$5:$J$8,1,0))),"Key Artist",not(iserror(vlookup($F474,'Reference info'!$J$38:$J$405,1,0))),"Performer",not(iserror(vlookup($F474,'Reference info'!$J$10:$J$36,1,0))),"Producer &amp; Engineer")</f>
        <v/>
      </c>
    </row>
    <row r="475">
      <c r="B475" s="97"/>
      <c r="C475" s="121" t="str">
        <f t="array" ref="C475">ifs(and(isblank($A475),isblank($B475)),"", not(iserror(vlookup($A475&amp;$B475,'5) Release_Track'!$F:$F&amp;'5) Release_Track'!$G:$G,1,0))),vlookup($A475&amp;$B475,{'5) Release_Track'!$F:$F&amp;'5) Release_Track'!$G:$G,'5) Release_Track'!$H:$H},2,0),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D475" s="121" t="str">
        <f t="array" ref="D475">ifs(and(isblank($A475),isblank($B475)),"", not(iserror(vlookup($A475&amp;$B475,'5) Release_Track'!$F:$F&amp;'5) Release_Track'!$G:$G,1,0))),vlookup($A475&amp;$B475,{'5) Release_Track'!$F:$F&amp;'5) Release_Track'!$G:$G,'5) Release_Track'!$I:$I},2,0),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E475" s="92"/>
      <c r="F475" s="92"/>
      <c r="G475" s="125" t="str">
        <f t="array" ref="G475">ifs(or($F475="",$F475="Main Primary Artist"),$F475,not(iserror(vlookup($F475,'Reference info'!$J$5:$J$8,1,0))),"Key Artist",not(iserror(vlookup($F475,'Reference info'!$J$38:$J$405,1,0))),"Performer",not(iserror(vlookup($F475,'Reference info'!$J$10:$J$36,1,0))),"Producer &amp; Engineer")</f>
        <v/>
      </c>
    </row>
    <row r="476">
      <c r="B476" s="97"/>
      <c r="C476" s="121" t="str">
        <f t="array" ref="C476">ifs(and(isblank($A476),isblank($B476)),"", not(iserror(vlookup($A476&amp;$B476,'5) Release_Track'!$F:$F&amp;'5) Release_Track'!$G:$G,1,0))),vlookup($A476&amp;$B476,{'5) Release_Track'!$F:$F&amp;'5) Release_Track'!$G:$G,'5) Release_Track'!$H:$H},2,0),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D476" s="121" t="str">
        <f t="array" ref="D476">ifs(and(isblank($A476),isblank($B476)),"", not(iserror(vlookup($A476&amp;$B476,'5) Release_Track'!$F:$F&amp;'5) Release_Track'!$G:$G,1,0))),vlookup($A476&amp;$B476,{'5) Release_Track'!$F:$F&amp;'5) Release_Track'!$G:$G,'5) Release_Track'!$I:$I},2,0),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E476" s="92"/>
      <c r="F476" s="92"/>
      <c r="G476" s="125" t="str">
        <f t="array" ref="G476">ifs(or($F476="",$F476="Main Primary Artist"),$F476,not(iserror(vlookup($F476,'Reference info'!$J$5:$J$8,1,0))),"Key Artist",not(iserror(vlookup($F476,'Reference info'!$J$38:$J$405,1,0))),"Performer",not(iserror(vlookup($F476,'Reference info'!$J$10:$J$36,1,0))),"Producer &amp; Engineer")</f>
        <v/>
      </c>
    </row>
    <row r="477">
      <c r="B477" s="97"/>
      <c r="C477" s="121" t="str">
        <f t="array" ref="C477">ifs(and(isblank($A477),isblank($B477)),"", not(iserror(vlookup($A477&amp;$B477,'5) Release_Track'!$F:$F&amp;'5) Release_Track'!$G:$G,1,0))),vlookup($A477&amp;$B477,{'5) Release_Track'!$F:$F&amp;'5) Release_Track'!$G:$G,'5) Release_Track'!$H:$H},2,0),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D477" s="121" t="str">
        <f t="array" ref="D477">ifs(and(isblank($A477),isblank($B477)),"", not(iserror(vlookup($A477&amp;$B477,'5) Release_Track'!$F:$F&amp;'5) Release_Track'!$G:$G,1,0))),vlookup($A477&amp;$B477,{'5) Release_Track'!$F:$F&amp;'5) Release_Track'!$G:$G,'5) Release_Track'!$I:$I},2,0),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E477" s="92"/>
      <c r="F477" s="92"/>
      <c r="G477" s="125" t="str">
        <f t="array" ref="G477">ifs(or($F477="",$F477="Main Primary Artist"),$F477,not(iserror(vlookup($F477,'Reference info'!$J$5:$J$8,1,0))),"Key Artist",not(iserror(vlookup($F477,'Reference info'!$J$38:$J$405,1,0))),"Performer",not(iserror(vlookup($F477,'Reference info'!$J$10:$J$36,1,0))),"Producer &amp; Engineer")</f>
        <v/>
      </c>
    </row>
    <row r="478">
      <c r="B478" s="97"/>
      <c r="C478" s="121" t="str">
        <f t="array" ref="C478">ifs(and(isblank($A478),isblank($B478)),"", not(iserror(vlookup($A478&amp;$B478,'5) Release_Track'!$F:$F&amp;'5) Release_Track'!$G:$G,1,0))),vlookup($A478&amp;$B478,{'5) Release_Track'!$F:$F&amp;'5) Release_Track'!$G:$G,'5) Release_Track'!$H:$H},2,0),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D478" s="121" t="str">
        <f t="array" ref="D478">ifs(and(isblank($A478),isblank($B478)),"", not(iserror(vlookup($A478&amp;$B478,'5) Release_Track'!$F:$F&amp;'5) Release_Track'!$G:$G,1,0))),vlookup($A478&amp;$B478,{'5) Release_Track'!$F:$F&amp;'5) Release_Track'!$G:$G,'5) Release_Track'!$I:$I},2,0),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E478" s="92"/>
      <c r="F478" s="92"/>
      <c r="G478" s="125" t="str">
        <f t="array" ref="G478">ifs(or($F478="",$F478="Main Primary Artist"),$F478,not(iserror(vlookup($F478,'Reference info'!$J$5:$J$8,1,0))),"Key Artist",not(iserror(vlookup($F478,'Reference info'!$J$38:$J$405,1,0))),"Performer",not(iserror(vlookup($F478,'Reference info'!$J$10:$J$36,1,0))),"Producer &amp; Engineer")</f>
        <v/>
      </c>
    </row>
    <row r="479">
      <c r="B479" s="97"/>
      <c r="C479" s="121" t="str">
        <f t="array" ref="C479">ifs(and(isblank($A479),isblank($B479)),"", not(iserror(vlookup($A479&amp;$B479,'5) Release_Track'!$F:$F&amp;'5) Release_Track'!$G:$G,1,0))),vlookup($A479&amp;$B479,{'5) Release_Track'!$F:$F&amp;'5) Release_Track'!$G:$G,'5) Release_Track'!$H:$H},2,0),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D479" s="121" t="str">
        <f t="array" ref="D479">ifs(and(isblank($A479),isblank($B479)),"", not(iserror(vlookup($A479&amp;$B479,'5) Release_Track'!$F:$F&amp;'5) Release_Track'!$G:$G,1,0))),vlookup($A479&amp;$B479,{'5) Release_Track'!$F:$F&amp;'5) Release_Track'!$G:$G,'5) Release_Track'!$I:$I},2,0),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E479" s="92"/>
      <c r="F479" s="92"/>
      <c r="G479" s="125" t="str">
        <f t="array" ref="G479">ifs(or($F479="",$F479="Main Primary Artist"),$F479,not(iserror(vlookup($F479,'Reference info'!$J$5:$J$8,1,0))),"Key Artist",not(iserror(vlookup($F479,'Reference info'!$J$38:$J$405,1,0))),"Performer",not(iserror(vlookup($F479,'Reference info'!$J$10:$J$36,1,0))),"Producer &amp; Engineer")</f>
        <v/>
      </c>
    </row>
    <row r="480">
      <c r="B480" s="97"/>
      <c r="C480" s="121" t="str">
        <f t="array" ref="C480">ifs(and(isblank($A480),isblank($B480)),"", not(iserror(vlookup($A480&amp;$B480,'5) Release_Track'!$F:$F&amp;'5) Release_Track'!$G:$G,1,0))),vlookup($A480&amp;$B480,{'5) Release_Track'!$F:$F&amp;'5) Release_Track'!$G:$G,'5) Release_Track'!$H:$H},2,0),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D480" s="121" t="str">
        <f t="array" ref="D480">ifs(and(isblank($A480),isblank($B480)),"", not(iserror(vlookup($A480&amp;$B480,'5) Release_Track'!$F:$F&amp;'5) Release_Track'!$G:$G,1,0))),vlookup($A480&amp;$B480,{'5) Release_Track'!$F:$F&amp;'5) Release_Track'!$G:$G,'5) Release_Track'!$I:$I},2,0),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E480" s="92"/>
      <c r="F480" s="92"/>
      <c r="G480" s="125" t="str">
        <f t="array" ref="G480">ifs(or($F480="",$F480="Main Primary Artist"),$F480,not(iserror(vlookup($F480,'Reference info'!$J$5:$J$8,1,0))),"Key Artist",not(iserror(vlookup($F480,'Reference info'!$J$38:$J$405,1,0))),"Performer",not(iserror(vlookup($F480,'Reference info'!$J$10:$J$36,1,0))),"Producer &amp; Engineer")</f>
        <v/>
      </c>
    </row>
    <row r="481">
      <c r="B481" s="97"/>
      <c r="C481" s="121" t="str">
        <f t="array" ref="C481">ifs(and(isblank($A481),isblank($B481)),"", not(iserror(vlookup($A481&amp;$B481,'5) Release_Track'!$F:$F&amp;'5) Release_Track'!$G:$G,1,0))),vlookup($A481&amp;$B481,{'5) Release_Track'!$F:$F&amp;'5) Release_Track'!$G:$G,'5) Release_Track'!$H:$H},2,0),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D481" s="121" t="str">
        <f t="array" ref="D481">ifs(and(isblank($A481),isblank($B481)),"", not(iserror(vlookup($A481&amp;$B481,'5) Release_Track'!$F:$F&amp;'5) Release_Track'!$G:$G,1,0))),vlookup($A481&amp;$B481,{'5) Release_Track'!$F:$F&amp;'5) Release_Track'!$G:$G,'5) Release_Track'!$I:$I},2,0),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E481" s="92"/>
      <c r="F481" s="92"/>
      <c r="G481" s="125" t="str">
        <f t="array" ref="G481">ifs(or($F481="",$F481="Main Primary Artist"),$F481,not(iserror(vlookup($F481,'Reference info'!$J$5:$J$8,1,0))),"Key Artist",not(iserror(vlookup($F481,'Reference info'!$J$38:$J$405,1,0))),"Performer",not(iserror(vlookup($F481,'Reference info'!$J$10:$J$36,1,0))),"Producer &amp; Engineer")</f>
        <v/>
      </c>
    </row>
    <row r="482">
      <c r="B482" s="97"/>
      <c r="C482" s="121" t="str">
        <f t="array" ref="C482">ifs(and(isblank($A482),isblank($B482)),"", not(iserror(vlookup($A482&amp;$B482,'5) Release_Track'!$F:$F&amp;'5) Release_Track'!$G:$G,1,0))),vlookup($A482&amp;$B482,{'5) Release_Track'!$F:$F&amp;'5) Release_Track'!$G:$G,'5) Release_Track'!$H:$H},2,0),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D482" s="121" t="str">
        <f t="array" ref="D482">ifs(and(isblank($A482),isblank($B482)),"", not(iserror(vlookup($A482&amp;$B482,'5) Release_Track'!$F:$F&amp;'5) Release_Track'!$G:$G,1,0))),vlookup($A482&amp;$B482,{'5) Release_Track'!$F:$F&amp;'5) Release_Track'!$G:$G,'5) Release_Track'!$I:$I},2,0),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E482" s="92"/>
      <c r="F482" s="92"/>
      <c r="G482" s="125" t="str">
        <f t="array" ref="G482">ifs(or($F482="",$F482="Main Primary Artist"),$F482,not(iserror(vlookup($F482,'Reference info'!$J$5:$J$8,1,0))),"Key Artist",not(iserror(vlookup($F482,'Reference info'!$J$38:$J$405,1,0))),"Performer",not(iserror(vlookup($F482,'Reference info'!$J$10:$J$36,1,0))),"Producer &amp; Engineer")</f>
        <v/>
      </c>
    </row>
    <row r="483">
      <c r="B483" s="97"/>
      <c r="C483" s="121" t="str">
        <f t="array" ref="C483">ifs(and(isblank($A483),isblank($B483)),"", not(iserror(vlookup($A483&amp;$B483,'5) Release_Track'!$F:$F&amp;'5) Release_Track'!$G:$G,1,0))),vlookup($A483&amp;$B483,{'5) Release_Track'!$F:$F&amp;'5) Release_Track'!$G:$G,'5) Release_Track'!$H:$H},2,0),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D483" s="121" t="str">
        <f t="array" ref="D483">ifs(and(isblank($A483),isblank($B483)),"", not(iserror(vlookup($A483&amp;$B483,'5) Release_Track'!$F:$F&amp;'5) Release_Track'!$G:$G,1,0))),vlookup($A483&amp;$B483,{'5) Release_Track'!$F:$F&amp;'5) Release_Track'!$G:$G,'5) Release_Track'!$I:$I},2,0),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E483" s="92"/>
      <c r="F483" s="92"/>
      <c r="G483" s="125" t="str">
        <f t="array" ref="G483">ifs(or($F483="",$F483="Main Primary Artist"),$F483,not(iserror(vlookup($F483,'Reference info'!$J$5:$J$8,1,0))),"Key Artist",not(iserror(vlookup($F483,'Reference info'!$J$38:$J$405,1,0))),"Performer",not(iserror(vlookup($F483,'Reference info'!$J$10:$J$36,1,0))),"Producer &amp; Engineer")</f>
        <v/>
      </c>
    </row>
    <row r="484">
      <c r="B484" s="97"/>
      <c r="C484" s="121" t="str">
        <f t="array" ref="C484">ifs(and(isblank($A484),isblank($B484)),"", not(iserror(vlookup($A484&amp;$B484,'5) Release_Track'!$F:$F&amp;'5) Release_Track'!$G:$G,1,0))),vlookup($A484&amp;$B484,{'5) Release_Track'!$F:$F&amp;'5) Release_Track'!$G:$G,'5) Release_Track'!$H:$H},2,0),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D484" s="121" t="str">
        <f t="array" ref="D484">ifs(and(isblank($A484),isblank($B484)),"", not(iserror(vlookup($A484&amp;$B484,'5) Release_Track'!$F:$F&amp;'5) Release_Track'!$G:$G,1,0))),vlookup($A484&amp;$B484,{'5) Release_Track'!$F:$F&amp;'5) Release_Track'!$G:$G,'5) Release_Track'!$I:$I},2,0),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E484" s="92"/>
      <c r="F484" s="92"/>
      <c r="G484" s="125" t="str">
        <f t="array" ref="G484">ifs(or($F484="",$F484="Main Primary Artist"),$F484,not(iserror(vlookup($F484,'Reference info'!$J$5:$J$8,1,0))),"Key Artist",not(iserror(vlookup($F484,'Reference info'!$J$38:$J$405,1,0))),"Performer",not(iserror(vlookup($F484,'Reference info'!$J$10:$J$36,1,0))),"Producer &amp; Engineer")</f>
        <v/>
      </c>
    </row>
    <row r="485">
      <c r="B485" s="97"/>
      <c r="C485" s="121" t="str">
        <f t="array" ref="C485">ifs(and(isblank($A485),isblank($B485)),"", not(iserror(vlookup($A485&amp;$B485,'5) Release_Track'!$F:$F&amp;'5) Release_Track'!$G:$G,1,0))),vlookup($A485&amp;$B485,{'5) Release_Track'!$F:$F&amp;'5) Release_Track'!$G:$G,'5) Release_Track'!$H:$H},2,0),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D485" s="121" t="str">
        <f t="array" ref="D485">ifs(and(isblank($A485),isblank($B485)),"", not(iserror(vlookup($A485&amp;$B485,'5) Release_Track'!$F:$F&amp;'5) Release_Track'!$G:$G,1,0))),vlookup($A485&amp;$B485,{'5) Release_Track'!$F:$F&amp;'5) Release_Track'!$G:$G,'5) Release_Track'!$I:$I},2,0),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E485" s="92"/>
      <c r="F485" s="92"/>
      <c r="G485" s="125" t="str">
        <f t="array" ref="G485">ifs(or($F485="",$F485="Main Primary Artist"),$F485,not(iserror(vlookup($F485,'Reference info'!$J$5:$J$8,1,0))),"Key Artist",not(iserror(vlookup($F485,'Reference info'!$J$38:$J$405,1,0))),"Performer",not(iserror(vlookup($F485,'Reference info'!$J$10:$J$36,1,0))),"Producer &amp; Engineer")</f>
        <v/>
      </c>
    </row>
    <row r="486">
      <c r="B486" s="97"/>
      <c r="C486" s="121" t="str">
        <f t="array" ref="C486">ifs(and(isblank($A486),isblank($B486)),"", not(iserror(vlookup($A486&amp;$B486,'5) Release_Track'!$F:$F&amp;'5) Release_Track'!$G:$G,1,0))),vlookup($A486&amp;$B486,{'5) Release_Track'!$F:$F&amp;'5) Release_Track'!$G:$G,'5) Release_Track'!$H:$H},2,0),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D486" s="121" t="str">
        <f t="array" ref="D486">ifs(and(isblank($A486),isblank($B486)),"", not(iserror(vlookup($A486&amp;$B486,'5) Release_Track'!$F:$F&amp;'5) Release_Track'!$G:$G,1,0))),vlookup($A486&amp;$B486,{'5) Release_Track'!$F:$F&amp;'5) Release_Track'!$G:$G,'5) Release_Track'!$I:$I},2,0),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E486" s="92"/>
      <c r="F486" s="92"/>
      <c r="G486" s="125" t="str">
        <f t="array" ref="G486">ifs(or($F486="",$F486="Main Primary Artist"),$F486,not(iserror(vlookup($F486,'Reference info'!$J$5:$J$8,1,0))),"Key Artist",not(iserror(vlookup($F486,'Reference info'!$J$38:$J$405,1,0))),"Performer",not(iserror(vlookup($F486,'Reference info'!$J$10:$J$36,1,0))),"Producer &amp; Engineer")</f>
        <v/>
      </c>
    </row>
    <row r="487">
      <c r="B487" s="97"/>
      <c r="C487" s="121" t="str">
        <f t="array" ref="C487">ifs(and(isblank($A487),isblank($B487)),"", not(iserror(vlookup($A487&amp;$B487,'5) Release_Track'!$F:$F&amp;'5) Release_Track'!$G:$G,1,0))),vlookup($A487&amp;$B487,{'5) Release_Track'!$F:$F&amp;'5) Release_Track'!$G:$G,'5) Release_Track'!$H:$H},2,0),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D487" s="121" t="str">
        <f t="array" ref="D487">ifs(and(isblank($A487),isblank($B487)),"", not(iserror(vlookup($A487&amp;$B487,'5) Release_Track'!$F:$F&amp;'5) Release_Track'!$G:$G,1,0))),vlookup($A487&amp;$B487,{'5) Release_Track'!$F:$F&amp;'5) Release_Track'!$G:$G,'5) Release_Track'!$I:$I},2,0),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E487" s="92"/>
      <c r="F487" s="92"/>
      <c r="G487" s="125" t="str">
        <f t="array" ref="G487">ifs(or($F487="",$F487="Main Primary Artist"),$F487,not(iserror(vlookup($F487,'Reference info'!$J$5:$J$8,1,0))),"Key Artist",not(iserror(vlookup($F487,'Reference info'!$J$38:$J$405,1,0))),"Performer",not(iserror(vlookup($F487,'Reference info'!$J$10:$J$36,1,0))),"Producer &amp; Engineer")</f>
        <v/>
      </c>
    </row>
    <row r="488">
      <c r="B488" s="97"/>
      <c r="C488" s="121" t="str">
        <f t="array" ref="C488">ifs(and(isblank($A488),isblank($B488)),"", not(iserror(vlookup($A488&amp;$B488,'5) Release_Track'!$F:$F&amp;'5) Release_Track'!$G:$G,1,0))),vlookup($A488&amp;$B488,{'5) Release_Track'!$F:$F&amp;'5) Release_Track'!$G:$G,'5) Release_Track'!$H:$H},2,0),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D488" s="121" t="str">
        <f t="array" ref="D488">ifs(and(isblank($A488),isblank($B488)),"", not(iserror(vlookup($A488&amp;$B488,'5) Release_Track'!$F:$F&amp;'5) Release_Track'!$G:$G,1,0))),vlookup($A488&amp;$B488,{'5) Release_Track'!$F:$F&amp;'5) Release_Track'!$G:$G,'5) Release_Track'!$I:$I},2,0),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E488" s="92"/>
      <c r="F488" s="92"/>
      <c r="G488" s="125" t="str">
        <f t="array" ref="G488">ifs(or($F488="",$F488="Main Primary Artist"),$F488,not(iserror(vlookup($F488,'Reference info'!$J$5:$J$8,1,0))),"Key Artist",not(iserror(vlookup($F488,'Reference info'!$J$38:$J$405,1,0))),"Performer",not(iserror(vlookup($F488,'Reference info'!$J$10:$J$36,1,0))),"Producer &amp; Engineer")</f>
        <v/>
      </c>
    </row>
    <row r="489">
      <c r="B489" s="97"/>
      <c r="C489" s="121" t="str">
        <f t="array" ref="C489">ifs(and(isblank($A489),isblank($B489)),"", not(iserror(vlookup($A489&amp;$B489,'5) Release_Track'!$F:$F&amp;'5) Release_Track'!$G:$G,1,0))),vlookup($A489&amp;$B489,{'5) Release_Track'!$F:$F&amp;'5) Release_Track'!$G:$G,'5) Release_Track'!$H:$H},2,0),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D489" s="121" t="str">
        <f t="array" ref="D489">ifs(and(isblank($A489),isblank($B489)),"", not(iserror(vlookup($A489&amp;$B489,'5) Release_Track'!$F:$F&amp;'5) Release_Track'!$G:$G,1,0))),vlookup($A489&amp;$B489,{'5) Release_Track'!$F:$F&amp;'5) Release_Track'!$G:$G,'5) Release_Track'!$I:$I},2,0),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E489" s="92"/>
      <c r="F489" s="92"/>
      <c r="G489" s="125" t="str">
        <f t="array" ref="G489">ifs(or($F489="",$F489="Main Primary Artist"),$F489,not(iserror(vlookup($F489,'Reference info'!$J$5:$J$8,1,0))),"Key Artist",not(iserror(vlookup($F489,'Reference info'!$J$38:$J$405,1,0))),"Performer",not(iserror(vlookup($F489,'Reference info'!$J$10:$J$36,1,0))),"Producer &amp; Engineer")</f>
        <v/>
      </c>
    </row>
    <row r="490">
      <c r="B490" s="97"/>
      <c r="C490" s="121" t="str">
        <f t="array" ref="C490">ifs(and(isblank($A490),isblank($B490)),"", not(iserror(vlookup($A490&amp;$B490,'5) Release_Track'!$F:$F&amp;'5) Release_Track'!$G:$G,1,0))),vlookup($A490&amp;$B490,{'5) Release_Track'!$F:$F&amp;'5) Release_Track'!$G:$G,'5) Release_Track'!$H:$H},2,0),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D490" s="121" t="str">
        <f t="array" ref="D490">ifs(and(isblank($A490),isblank($B490)),"", not(iserror(vlookup($A490&amp;$B490,'5) Release_Track'!$F:$F&amp;'5) Release_Track'!$G:$G,1,0))),vlookup($A490&amp;$B490,{'5) Release_Track'!$F:$F&amp;'5) Release_Track'!$G:$G,'5) Release_Track'!$I:$I},2,0),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E490" s="92"/>
      <c r="F490" s="92"/>
      <c r="G490" s="125" t="str">
        <f t="array" ref="G490">ifs(or($F490="",$F490="Main Primary Artist"),$F490,not(iserror(vlookup($F490,'Reference info'!$J$5:$J$8,1,0))),"Key Artist",not(iserror(vlookup($F490,'Reference info'!$J$38:$J$405,1,0))),"Performer",not(iserror(vlookup($F490,'Reference info'!$J$10:$J$36,1,0))),"Producer &amp; Engineer")</f>
        <v/>
      </c>
    </row>
    <row r="491">
      <c r="B491" s="97"/>
      <c r="C491" s="121" t="str">
        <f t="array" ref="C491">ifs(and(isblank($A491),isblank($B491)),"", not(iserror(vlookup($A491&amp;$B491,'5) Release_Track'!$F:$F&amp;'5) Release_Track'!$G:$G,1,0))),vlookup($A491&amp;$B491,{'5) Release_Track'!$F:$F&amp;'5) Release_Track'!$G:$G,'5) Release_Track'!$H:$H},2,0),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D491" s="121" t="str">
        <f t="array" ref="D491">ifs(and(isblank($A491),isblank($B491)),"", not(iserror(vlookup($A491&amp;$B491,'5) Release_Track'!$F:$F&amp;'5) Release_Track'!$G:$G,1,0))),vlookup($A491&amp;$B491,{'5) Release_Track'!$F:$F&amp;'5) Release_Track'!$G:$G,'5) Release_Track'!$I:$I},2,0),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E491" s="92"/>
      <c r="F491" s="92"/>
      <c r="G491" s="125" t="str">
        <f t="array" ref="G491">ifs(or($F491="",$F491="Main Primary Artist"),$F491,not(iserror(vlookup($F491,'Reference info'!$J$5:$J$8,1,0))),"Key Artist",not(iserror(vlookup($F491,'Reference info'!$J$38:$J$405,1,0))),"Performer",not(iserror(vlookup($F491,'Reference info'!$J$10:$J$36,1,0))),"Producer &amp; Engineer")</f>
        <v/>
      </c>
    </row>
    <row r="492">
      <c r="B492" s="97"/>
      <c r="C492" s="121" t="str">
        <f t="array" ref="C492">ifs(and(isblank($A492),isblank($B492)),"", not(iserror(vlookup($A492&amp;$B492,'5) Release_Track'!$F:$F&amp;'5) Release_Track'!$G:$G,1,0))),vlookup($A492&amp;$B492,{'5) Release_Track'!$F:$F&amp;'5) Release_Track'!$G:$G,'5) Release_Track'!$H:$H},2,0),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D492" s="121" t="str">
        <f t="array" ref="D492">ifs(and(isblank($A492),isblank($B492)),"", not(iserror(vlookup($A492&amp;$B492,'5) Release_Track'!$F:$F&amp;'5) Release_Track'!$G:$G,1,0))),vlookup($A492&amp;$B492,{'5) Release_Track'!$F:$F&amp;'5) Release_Track'!$G:$G,'5) Release_Track'!$I:$I},2,0),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E492" s="92"/>
      <c r="F492" s="92"/>
      <c r="G492" s="125" t="str">
        <f t="array" ref="G492">ifs(or($F492="",$F492="Main Primary Artist"),$F492,not(iserror(vlookup($F492,'Reference info'!$J$5:$J$8,1,0))),"Key Artist",not(iserror(vlookup($F492,'Reference info'!$J$38:$J$405,1,0))),"Performer",not(iserror(vlookup($F492,'Reference info'!$J$10:$J$36,1,0))),"Producer &amp; Engineer")</f>
        <v/>
      </c>
    </row>
    <row r="493">
      <c r="B493" s="97"/>
      <c r="C493" s="121" t="str">
        <f t="array" ref="C493">ifs(and(isblank($A493),isblank($B493)),"", not(iserror(vlookup($A493&amp;$B493,'5) Release_Track'!$F:$F&amp;'5) Release_Track'!$G:$G,1,0))),vlookup($A493&amp;$B493,{'5) Release_Track'!$F:$F&amp;'5) Release_Track'!$G:$G,'5) Release_Track'!$H:$H},2,0),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D493" s="121" t="str">
        <f t="array" ref="D493">ifs(and(isblank($A493),isblank($B493)),"", not(iserror(vlookup($A493&amp;$B493,'5) Release_Track'!$F:$F&amp;'5) Release_Track'!$G:$G,1,0))),vlookup($A493&amp;$B493,{'5) Release_Track'!$F:$F&amp;'5) Release_Track'!$G:$G,'5) Release_Track'!$I:$I},2,0),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E493" s="92"/>
      <c r="F493" s="92"/>
      <c r="G493" s="125" t="str">
        <f t="array" ref="G493">ifs(or($F493="",$F493="Main Primary Artist"),$F493,not(iserror(vlookup($F493,'Reference info'!$J$5:$J$8,1,0))),"Key Artist",not(iserror(vlookup($F493,'Reference info'!$J$38:$J$405,1,0))),"Performer",not(iserror(vlookup($F493,'Reference info'!$J$10:$J$36,1,0))),"Producer &amp; Engineer")</f>
        <v/>
      </c>
    </row>
    <row r="494">
      <c r="B494" s="97"/>
      <c r="C494" s="121" t="str">
        <f t="array" ref="C494">ifs(and(isblank($A494),isblank($B494)),"", not(iserror(vlookup($A494&amp;$B494,'5) Release_Track'!$F:$F&amp;'5) Release_Track'!$G:$G,1,0))),vlookup($A494&amp;$B494,{'5) Release_Track'!$F:$F&amp;'5) Release_Track'!$G:$G,'5) Release_Track'!$H:$H},2,0),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D494" s="121" t="str">
        <f t="array" ref="D494">ifs(and(isblank($A494),isblank($B494)),"", not(iserror(vlookup($A494&amp;$B494,'5) Release_Track'!$F:$F&amp;'5) Release_Track'!$G:$G,1,0))),vlookup($A494&amp;$B494,{'5) Release_Track'!$F:$F&amp;'5) Release_Track'!$G:$G,'5) Release_Track'!$I:$I},2,0),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E494" s="92"/>
      <c r="F494" s="92"/>
      <c r="G494" s="125" t="str">
        <f t="array" ref="G494">ifs(or($F494="",$F494="Main Primary Artist"),$F494,not(iserror(vlookup($F494,'Reference info'!$J$5:$J$8,1,0))),"Key Artist",not(iserror(vlookup($F494,'Reference info'!$J$38:$J$405,1,0))),"Performer",not(iserror(vlookup($F494,'Reference info'!$J$10:$J$36,1,0))),"Producer &amp; Engineer")</f>
        <v/>
      </c>
    </row>
    <row r="495">
      <c r="B495" s="97"/>
      <c r="C495" s="121" t="str">
        <f t="array" ref="C495">ifs(and(isblank($A495),isblank($B495)),"", not(iserror(vlookup($A495&amp;$B495,'5) Release_Track'!$F:$F&amp;'5) Release_Track'!$G:$G,1,0))),vlookup($A495&amp;$B495,{'5) Release_Track'!$F:$F&amp;'5) Release_Track'!$G:$G,'5) Release_Track'!$H:$H},2,0),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D495" s="121" t="str">
        <f t="array" ref="D495">ifs(and(isblank($A495),isblank($B495)),"", not(iserror(vlookup($A495&amp;$B495,'5) Release_Track'!$F:$F&amp;'5) Release_Track'!$G:$G,1,0))),vlookup($A495&amp;$B495,{'5) Release_Track'!$F:$F&amp;'5) Release_Track'!$G:$G,'5) Release_Track'!$I:$I},2,0),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E495" s="92"/>
      <c r="F495" s="92"/>
      <c r="G495" s="125" t="str">
        <f t="array" ref="G495">ifs(or($F495="",$F495="Main Primary Artist"),$F495,not(iserror(vlookup($F495,'Reference info'!$J$5:$J$8,1,0))),"Key Artist",not(iserror(vlookup($F495,'Reference info'!$J$38:$J$405,1,0))),"Performer",not(iserror(vlookup($F495,'Reference info'!$J$10:$J$36,1,0))),"Producer &amp; Engineer")</f>
        <v/>
      </c>
    </row>
    <row r="496">
      <c r="B496" s="97"/>
      <c r="C496" s="121" t="str">
        <f t="array" ref="C496">ifs(and(isblank($A496),isblank($B496)),"", not(iserror(vlookup($A496&amp;$B496,'5) Release_Track'!$F:$F&amp;'5) Release_Track'!$G:$G,1,0))),vlookup($A496&amp;$B496,{'5) Release_Track'!$F:$F&amp;'5) Release_Track'!$G:$G,'5) Release_Track'!$H:$H},2,0),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D496" s="121" t="str">
        <f t="array" ref="D496">ifs(and(isblank($A496),isblank($B496)),"", not(iserror(vlookup($A496&amp;$B496,'5) Release_Track'!$F:$F&amp;'5) Release_Track'!$G:$G,1,0))),vlookup($A496&amp;$B496,{'5) Release_Track'!$F:$F&amp;'5) Release_Track'!$G:$G,'5) Release_Track'!$I:$I},2,0),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E496" s="92"/>
      <c r="F496" s="92"/>
      <c r="G496" s="125" t="str">
        <f t="array" ref="G496">ifs(or($F496="",$F496="Main Primary Artist"),$F496,not(iserror(vlookup($F496,'Reference info'!$J$5:$J$8,1,0))),"Key Artist",not(iserror(vlookup($F496,'Reference info'!$J$38:$J$405,1,0))),"Performer",not(iserror(vlookup($F496,'Reference info'!$J$10:$J$36,1,0))),"Producer &amp; Engineer")</f>
        <v/>
      </c>
    </row>
    <row r="497">
      <c r="B497" s="97"/>
      <c r="C497" s="121" t="str">
        <f t="array" ref="C497">ifs(and(isblank($A497),isblank($B497)),"", not(iserror(vlookup($A497&amp;$B497,'5) Release_Track'!$F:$F&amp;'5) Release_Track'!$G:$G,1,0))),vlookup($A497&amp;$B497,{'5) Release_Track'!$F:$F&amp;'5) Release_Track'!$G:$G,'5) Release_Track'!$H:$H},2,0),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D497" s="121" t="str">
        <f t="array" ref="D497">ifs(and(isblank($A497),isblank($B497)),"", not(iserror(vlookup($A497&amp;$B497,'5) Release_Track'!$F:$F&amp;'5) Release_Track'!$G:$G,1,0))),vlookup($A497&amp;$B497,{'5) Release_Track'!$F:$F&amp;'5) Release_Track'!$G:$G,'5) Release_Track'!$I:$I},2,0),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E497" s="92"/>
      <c r="F497" s="92"/>
      <c r="G497" s="125" t="str">
        <f t="array" ref="G497">ifs(or($F497="",$F497="Main Primary Artist"),$F497,not(iserror(vlookup($F497,'Reference info'!$J$5:$J$8,1,0))),"Key Artist",not(iserror(vlookup($F497,'Reference info'!$J$38:$J$405,1,0))),"Performer",not(iserror(vlookup($F497,'Reference info'!$J$10:$J$36,1,0))),"Producer &amp; Engineer")</f>
        <v/>
      </c>
    </row>
    <row r="498">
      <c r="B498" s="97"/>
      <c r="C498" s="121" t="str">
        <f t="array" ref="C498">ifs(and(isblank($A498),isblank($B498)),"", not(iserror(vlookup($A498&amp;$B498,'5) Release_Track'!$F:$F&amp;'5) Release_Track'!$G:$G,1,0))),vlookup($A498&amp;$B498,{'5) Release_Track'!$F:$F&amp;'5) Release_Track'!$G:$G,'5) Release_Track'!$H:$H},2,0),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D498" s="121" t="str">
        <f t="array" ref="D498">ifs(and(isblank($A498),isblank($B498)),"", not(iserror(vlookup($A498&amp;$B498,'5) Release_Track'!$F:$F&amp;'5) Release_Track'!$G:$G,1,0))),vlookup($A498&amp;$B498,{'5) Release_Track'!$F:$F&amp;'5) Release_Track'!$G:$G,'5) Release_Track'!$I:$I},2,0),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E498" s="92"/>
      <c r="F498" s="92"/>
      <c r="G498" s="125" t="str">
        <f t="array" ref="G498">ifs(or($F498="",$F498="Main Primary Artist"),$F498,not(iserror(vlookup($F498,'Reference info'!$J$5:$J$8,1,0))),"Key Artist",not(iserror(vlookup($F498,'Reference info'!$J$38:$J$405,1,0))),"Performer",not(iserror(vlookup($F498,'Reference info'!$J$10:$J$36,1,0))),"Producer &amp; Engineer")</f>
        <v/>
      </c>
    </row>
    <row r="499">
      <c r="B499" s="97"/>
      <c r="C499" s="121" t="str">
        <f t="array" ref="C499">ifs(and(isblank($A499),isblank($B499)),"", not(iserror(vlookup($A499&amp;$B499,'5) Release_Track'!$F:$F&amp;'5) Release_Track'!$G:$G,1,0))),vlookup($A499&amp;$B499,{'5) Release_Track'!$F:$F&amp;'5) Release_Track'!$G:$G,'5) Release_Track'!$H:$H},2,0),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D499" s="121" t="str">
        <f t="array" ref="D499">ifs(and(isblank($A499),isblank($B499)),"", not(iserror(vlookup($A499&amp;$B499,'5) Release_Track'!$F:$F&amp;'5) Release_Track'!$G:$G,1,0))),vlookup($A499&amp;$B499,{'5) Release_Track'!$F:$F&amp;'5) Release_Track'!$G:$G,'5) Release_Track'!$I:$I},2,0),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E499" s="92"/>
      <c r="F499" s="92"/>
      <c r="G499" s="125" t="str">
        <f t="array" ref="G499">ifs(or($F499="",$F499="Main Primary Artist"),$F499,not(iserror(vlookup($F499,'Reference info'!$J$5:$J$8,1,0))),"Key Artist",not(iserror(vlookup($F499,'Reference info'!$J$38:$J$405,1,0))),"Performer",not(iserror(vlookup($F499,'Reference info'!$J$10:$J$36,1,0))),"Producer &amp; Engineer")</f>
        <v/>
      </c>
    </row>
    <row r="500">
      <c r="B500" s="97"/>
      <c r="C500" s="121" t="str">
        <f t="array" ref="C500">ifs(and(isblank($A500),isblank($B500)),"", not(iserror(vlookup($A500&amp;$B500,'5) Release_Track'!$F:$F&amp;'5) Release_Track'!$G:$G,1,0))),vlookup($A500&amp;$B500,{'5) Release_Track'!$F:$F&amp;'5) Release_Track'!$G:$G,'5) Release_Track'!$H:$H},2,0),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D500" s="121" t="str">
        <f t="array" ref="D500">ifs(and(isblank($A500),isblank($B500)),"", not(iserror(vlookup($A500&amp;$B500,'5) Release_Track'!$F:$F&amp;'5) Release_Track'!$G:$G,1,0))),vlookup($A500&amp;$B500,{'5) Release_Track'!$F:$F&amp;'5) Release_Track'!$G:$G,'5) Release_Track'!$I:$I},2,0),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E500" s="92"/>
      <c r="F500" s="92"/>
      <c r="G500" s="125" t="str">
        <f t="array" ref="G500">ifs(or($F500="",$F500="Main Primary Artist"),$F500,not(iserror(vlookup($F500,'Reference info'!$J$5:$J$8,1,0))),"Key Artist",not(iserror(vlookup($F500,'Reference info'!$J$38:$J$405,1,0))),"Performer",not(iserror(vlookup($F500,'Reference info'!$J$10:$J$36,1,0))),"Producer &amp; Engineer")</f>
        <v/>
      </c>
    </row>
    <row r="501">
      <c r="B501" s="97"/>
      <c r="C501" s="121" t="str">
        <f t="array" ref="C501">ifs(and(isblank($A501),isblank($B501)),"", not(iserror(vlookup($A501&amp;$B501,'5) Release_Track'!$F:$F&amp;'5) Release_Track'!$G:$G,1,0))),vlookup($A501&amp;$B501,{'5) Release_Track'!$F:$F&amp;'5) Release_Track'!$G:$G,'5) Release_Track'!$H:$H},2,0),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D501" s="121" t="str">
        <f t="array" ref="D501">ifs(and(isblank($A501),isblank($B501)),"", not(iserror(vlookup($A501&amp;$B501,'5) Release_Track'!$F:$F&amp;'5) Release_Track'!$G:$G,1,0))),vlookup($A501&amp;$B501,{'5) Release_Track'!$F:$F&amp;'5) Release_Track'!$G:$G,'5) Release_Track'!$I:$I},2,0),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E501" s="92"/>
      <c r="F501" s="92"/>
      <c r="G501" s="125" t="str">
        <f t="array" ref="G501">ifs(or($F501="",$F501="Main Primary Artist"),$F501,not(iserror(vlookup($F501,'Reference info'!$J$5:$J$8,1,0))),"Key Artist",not(iserror(vlookup($F501,'Reference info'!$J$38:$J$405,1,0))),"Performer",not(iserror(vlookup($F501,'Reference info'!$J$10:$J$36,1,0))),"Producer &amp; Engineer")</f>
        <v/>
      </c>
    </row>
    <row r="502">
      <c r="B502" s="97"/>
      <c r="C502" s="121" t="str">
        <f t="array" ref="C502">ifs(and(isblank($A502),isblank($B502)),"", not(iserror(vlookup($A502&amp;$B502,'5) Release_Track'!$F:$F&amp;'5) Release_Track'!$G:$G,1,0))),vlookup($A502&amp;$B502,{'5) Release_Track'!$F:$F&amp;'5) Release_Track'!$G:$G,'5) Release_Track'!$H:$H},2,0),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D502" s="121" t="str">
        <f t="array" ref="D502">ifs(and(isblank($A502),isblank($B502)),"", not(iserror(vlookup($A502&amp;$B502,'5) Release_Track'!$F:$F&amp;'5) Release_Track'!$G:$G,1,0))),vlookup($A502&amp;$B502,{'5) Release_Track'!$F:$F&amp;'5) Release_Track'!$G:$G,'5) Release_Track'!$I:$I},2,0),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E502" s="92"/>
      <c r="F502" s="92"/>
      <c r="G502" s="125" t="str">
        <f t="array" ref="G502">ifs(or($F502="",$F502="Main Primary Artist"),$F502,not(iserror(vlookup($F502,'Reference info'!$J$5:$J$8,1,0))),"Key Artist",not(iserror(vlookup($F502,'Reference info'!$J$38:$J$405,1,0))),"Performer",not(iserror(vlookup($F502,'Reference info'!$J$10:$J$36,1,0))),"Producer &amp; Engineer")</f>
        <v/>
      </c>
    </row>
    <row r="503">
      <c r="B503" s="97"/>
      <c r="C503" s="121" t="str">
        <f t="array" ref="C503">ifs(and(isblank($A503),isblank($B503)),"", not(iserror(vlookup($A503&amp;$B503,'5) Release_Track'!$F:$F&amp;'5) Release_Track'!$G:$G,1,0))),vlookup($A503&amp;$B503,{'5) Release_Track'!$F:$F&amp;'5) Release_Track'!$G:$G,'5) Release_Track'!$H:$H},2,0),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D503" s="121" t="str">
        <f t="array" ref="D503">ifs(and(isblank($A503),isblank($B503)),"", not(iserror(vlookup($A503&amp;$B503,'5) Release_Track'!$F:$F&amp;'5) Release_Track'!$G:$G,1,0))),vlookup($A503&amp;$B503,{'5) Release_Track'!$F:$F&amp;'5) Release_Track'!$G:$G,'5) Release_Track'!$I:$I},2,0),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E503" s="92"/>
      <c r="F503" s="92"/>
      <c r="G503" s="125" t="str">
        <f t="array" ref="G503">ifs(or($F503="",$F503="Main Primary Artist"),$F503,not(iserror(vlookup($F503,'Reference info'!$J$5:$J$8,1,0))),"Key Artist",not(iserror(vlookup($F503,'Reference info'!$J$38:$J$405,1,0))),"Performer",not(iserror(vlookup($F503,'Reference info'!$J$10:$J$36,1,0))),"Producer &amp; Engineer")</f>
        <v/>
      </c>
    </row>
    <row r="504">
      <c r="B504" s="97"/>
      <c r="C504" s="121" t="str">
        <f t="array" ref="C504">ifs(and(isblank($A504),isblank($B504)),"", not(iserror(vlookup($A504&amp;$B504,'5) Release_Track'!$F:$F&amp;'5) Release_Track'!$G:$G,1,0))),vlookup($A504&amp;$B504,{'5) Release_Track'!$F:$F&amp;'5) Release_Track'!$G:$G,'5) Release_Track'!$H:$H},2,0),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D504" s="121" t="str">
        <f t="array" ref="D504">ifs(and(isblank($A504),isblank($B504)),"", not(iserror(vlookup($A504&amp;$B504,'5) Release_Track'!$F:$F&amp;'5) Release_Track'!$G:$G,1,0))),vlookup($A504&amp;$B504,{'5) Release_Track'!$F:$F&amp;'5) Release_Track'!$G:$G,'5) Release_Track'!$I:$I},2,0),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E504" s="92"/>
      <c r="F504" s="92"/>
      <c r="G504" s="125" t="str">
        <f t="array" ref="G504">ifs(or($F504="",$F504="Main Primary Artist"),$F504,not(iserror(vlookup($F504,'Reference info'!$J$5:$J$8,1,0))),"Key Artist",not(iserror(vlookup($F504,'Reference info'!$J$38:$J$405,1,0))),"Performer",not(iserror(vlookup($F504,'Reference info'!$J$10:$J$36,1,0))),"Producer &amp; Engineer")</f>
        <v/>
      </c>
    </row>
    <row r="505">
      <c r="B505" s="97"/>
      <c r="C505" s="121" t="str">
        <f t="array" ref="C505">ifs(and(isblank($A505),isblank($B505)),"", not(iserror(vlookup($A505&amp;$B505,'5) Release_Track'!$F:$F&amp;'5) Release_Track'!$G:$G,1,0))),vlookup($A505&amp;$B505,{'5) Release_Track'!$F:$F&amp;'5) Release_Track'!$G:$G,'5) Release_Track'!$H:$H},2,0),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D505" s="121" t="str">
        <f t="array" ref="D505">ifs(and(isblank($A505),isblank($B505)),"", not(iserror(vlookup($A505&amp;$B505,'5) Release_Track'!$F:$F&amp;'5) Release_Track'!$G:$G,1,0))),vlookup($A505&amp;$B505,{'5) Release_Track'!$F:$F&amp;'5) Release_Track'!$G:$G,'5) Release_Track'!$I:$I},2,0),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E505" s="92"/>
      <c r="F505" s="92"/>
      <c r="G505" s="125" t="str">
        <f t="array" ref="G505">ifs(or($F505="",$F505="Main Primary Artist"),$F505,not(iserror(vlookup($F505,'Reference info'!$J$5:$J$8,1,0))),"Key Artist",not(iserror(vlookup($F505,'Reference info'!$J$38:$J$405,1,0))),"Performer",not(iserror(vlookup($F505,'Reference info'!$J$10:$J$36,1,0))),"Producer &amp; Engineer")</f>
        <v/>
      </c>
    </row>
    <row r="506">
      <c r="B506" s="97"/>
      <c r="C506" s="121" t="str">
        <f t="array" ref="C506">ifs(and(isblank($A506),isblank($B506)),"", not(iserror(vlookup($A506&amp;$B506,'5) Release_Track'!$F:$F&amp;'5) Release_Track'!$G:$G,1,0))),vlookup($A506&amp;$B506,{'5) Release_Track'!$F:$F&amp;'5) Release_Track'!$G:$G,'5) Release_Track'!$H:$H},2,0),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D506" s="121" t="str">
        <f t="array" ref="D506">ifs(and(isblank($A506),isblank($B506)),"", not(iserror(vlookup($A506&amp;$B506,'5) Release_Track'!$F:$F&amp;'5) Release_Track'!$G:$G,1,0))),vlookup($A506&amp;$B506,{'5) Release_Track'!$F:$F&amp;'5) Release_Track'!$G:$G,'5) Release_Track'!$I:$I},2,0),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E506" s="92"/>
      <c r="F506" s="92"/>
      <c r="G506" s="125" t="str">
        <f t="array" ref="G506">ifs(or($F506="",$F506="Main Primary Artist"),$F506,not(iserror(vlookup($F506,'Reference info'!$J$5:$J$8,1,0))),"Key Artist",not(iserror(vlookup($F506,'Reference info'!$J$38:$J$405,1,0))),"Performer",not(iserror(vlookup($F506,'Reference info'!$J$10:$J$36,1,0))),"Producer &amp; Engineer")</f>
        <v/>
      </c>
    </row>
    <row r="507">
      <c r="B507" s="97"/>
      <c r="C507" s="121" t="str">
        <f t="array" ref="C507">ifs(and(isblank($A507),isblank($B507)),"", not(iserror(vlookup($A507&amp;$B507,'5) Release_Track'!$F:$F&amp;'5) Release_Track'!$G:$G,1,0))),vlookup($A507&amp;$B507,{'5) Release_Track'!$F:$F&amp;'5) Release_Track'!$G:$G,'5) Release_Track'!$H:$H},2,0),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D507" s="121" t="str">
        <f t="array" ref="D507">ifs(and(isblank($A507),isblank($B507)),"", not(iserror(vlookup($A507&amp;$B507,'5) Release_Track'!$F:$F&amp;'5) Release_Track'!$G:$G,1,0))),vlookup($A507&amp;$B507,{'5) Release_Track'!$F:$F&amp;'5) Release_Track'!$G:$G,'5) Release_Track'!$I:$I},2,0),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E507" s="92"/>
      <c r="F507" s="92"/>
      <c r="G507" s="125" t="str">
        <f t="array" ref="G507">ifs(or($F507="",$F507="Main Primary Artist"),$F507,not(iserror(vlookup($F507,'Reference info'!$J$5:$J$8,1,0))),"Key Artist",not(iserror(vlookup($F507,'Reference info'!$J$38:$J$405,1,0))),"Performer",not(iserror(vlookup($F507,'Reference info'!$J$10:$J$36,1,0))),"Producer &amp; Engineer")</f>
        <v/>
      </c>
    </row>
    <row r="508">
      <c r="B508" s="97"/>
      <c r="C508" s="121" t="str">
        <f t="array" ref="C508">ifs(and(isblank($A508),isblank($B508)),"", not(iserror(vlookup($A508&amp;$B508,'5) Release_Track'!$F:$F&amp;'5) Release_Track'!$G:$G,1,0))),vlookup($A508&amp;$B508,{'5) Release_Track'!$F:$F&amp;'5) Release_Track'!$G:$G,'5) Release_Track'!$H:$H},2,0),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D508" s="121" t="str">
        <f t="array" ref="D508">ifs(and(isblank($A508),isblank($B508)),"", not(iserror(vlookup($A508&amp;$B508,'5) Release_Track'!$F:$F&amp;'5) Release_Track'!$G:$G,1,0))),vlookup($A508&amp;$B508,{'5) Release_Track'!$F:$F&amp;'5) Release_Track'!$G:$G,'5) Release_Track'!$I:$I},2,0),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E508" s="92"/>
      <c r="F508" s="92"/>
      <c r="G508" s="125" t="str">
        <f t="array" ref="G508">ifs(or($F508="",$F508="Main Primary Artist"),$F508,not(iserror(vlookup($F508,'Reference info'!$J$5:$J$8,1,0))),"Key Artist",not(iserror(vlookup($F508,'Reference info'!$J$38:$J$405,1,0))),"Performer",not(iserror(vlookup($F508,'Reference info'!$J$10:$J$36,1,0))),"Producer &amp; Engineer")</f>
        <v/>
      </c>
    </row>
    <row r="509">
      <c r="B509" s="97"/>
      <c r="C509" s="121" t="str">
        <f t="array" ref="C509">ifs(and(isblank($A509),isblank($B509)),"", not(iserror(vlookup($A509&amp;$B509,'5) Release_Track'!$F:$F&amp;'5) Release_Track'!$G:$G,1,0))),vlookup($A509&amp;$B509,{'5) Release_Track'!$F:$F&amp;'5) Release_Track'!$G:$G,'5) Release_Track'!$H:$H},2,0),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D509" s="121" t="str">
        <f t="array" ref="D509">ifs(and(isblank($A509),isblank($B509)),"", not(iserror(vlookup($A509&amp;$B509,'5) Release_Track'!$F:$F&amp;'5) Release_Track'!$G:$G,1,0))),vlookup($A509&amp;$B509,{'5) Release_Track'!$F:$F&amp;'5) Release_Track'!$G:$G,'5) Release_Track'!$I:$I},2,0),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E509" s="92"/>
      <c r="F509" s="92"/>
      <c r="G509" s="125" t="str">
        <f t="array" ref="G509">ifs(or($F509="",$F509="Main Primary Artist"),$F509,not(iserror(vlookup($F509,'Reference info'!$J$5:$J$8,1,0))),"Key Artist",not(iserror(vlookup($F509,'Reference info'!$J$38:$J$405,1,0))),"Performer",not(iserror(vlookup($F509,'Reference info'!$J$10:$J$36,1,0))),"Producer &amp; Engineer")</f>
        <v/>
      </c>
    </row>
    <row r="510">
      <c r="B510" s="97"/>
      <c r="C510" s="121" t="str">
        <f t="array" ref="C510">ifs(and(isblank($A510),isblank($B510)),"", not(iserror(vlookup($A510&amp;$B510,'5) Release_Track'!$F:$F&amp;'5) Release_Track'!$G:$G,1,0))),vlookup($A510&amp;$B510,{'5) Release_Track'!$F:$F&amp;'5) Release_Track'!$G:$G,'5) Release_Track'!$H:$H},2,0),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D510" s="121" t="str">
        <f t="array" ref="D510">ifs(and(isblank($A510),isblank($B510)),"", not(iserror(vlookup($A510&amp;$B510,'5) Release_Track'!$F:$F&amp;'5) Release_Track'!$G:$G,1,0))),vlookup($A510&amp;$B510,{'5) Release_Track'!$F:$F&amp;'5) Release_Track'!$G:$G,'5) Release_Track'!$I:$I},2,0),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E510" s="92"/>
      <c r="F510" s="92"/>
      <c r="G510" s="125" t="str">
        <f t="array" ref="G510">ifs(or($F510="",$F510="Main Primary Artist"),$F510,not(iserror(vlookup($F510,'Reference info'!$J$5:$J$8,1,0))),"Key Artist",not(iserror(vlookup($F510,'Reference info'!$J$38:$J$405,1,0))),"Performer",not(iserror(vlookup($F510,'Reference info'!$J$10:$J$36,1,0))),"Producer &amp; Engineer")</f>
        <v/>
      </c>
    </row>
    <row r="511">
      <c r="B511" s="97"/>
      <c r="C511" s="121" t="str">
        <f t="array" ref="C511">ifs(and(isblank($A511),isblank($B511)),"", not(iserror(vlookup($A511&amp;$B511,'5) Release_Track'!$F:$F&amp;'5) Release_Track'!$G:$G,1,0))),vlookup($A511&amp;$B511,{'5) Release_Track'!$F:$F&amp;'5) Release_Track'!$G:$G,'5) Release_Track'!$H:$H},2,0),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D511" s="121" t="str">
        <f t="array" ref="D511">ifs(and(isblank($A511),isblank($B511)),"", not(iserror(vlookup($A511&amp;$B511,'5) Release_Track'!$F:$F&amp;'5) Release_Track'!$G:$G,1,0))),vlookup($A511&amp;$B511,{'5) Release_Track'!$F:$F&amp;'5) Release_Track'!$G:$G,'5) Release_Track'!$I:$I},2,0),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E511" s="92"/>
      <c r="F511" s="92"/>
      <c r="G511" s="125" t="str">
        <f t="array" ref="G511">ifs(or($F511="",$F511="Main Primary Artist"),$F511,not(iserror(vlookup($F511,'Reference info'!$J$5:$J$8,1,0))),"Key Artist",not(iserror(vlookup($F511,'Reference info'!$J$38:$J$405,1,0))),"Performer",not(iserror(vlookup($F511,'Reference info'!$J$10:$J$36,1,0))),"Producer &amp; Engineer")</f>
        <v/>
      </c>
    </row>
    <row r="512">
      <c r="B512" s="97"/>
      <c r="C512" s="121" t="str">
        <f t="array" ref="C512">ifs(and(isblank($A512),isblank($B512)),"", not(iserror(vlookup($A512&amp;$B512,'5) Release_Track'!$F:$F&amp;'5) Release_Track'!$G:$G,1,0))),vlookup($A512&amp;$B512,{'5) Release_Track'!$F:$F&amp;'5) Release_Track'!$G:$G,'5) Release_Track'!$H:$H},2,0),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D512" s="121" t="str">
        <f t="array" ref="D512">ifs(and(isblank($A512),isblank($B512)),"", not(iserror(vlookup($A512&amp;$B512,'5) Release_Track'!$F:$F&amp;'5) Release_Track'!$G:$G,1,0))),vlookup($A512&amp;$B512,{'5) Release_Track'!$F:$F&amp;'5) Release_Track'!$G:$G,'5) Release_Track'!$I:$I},2,0),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E512" s="92"/>
      <c r="F512" s="92"/>
      <c r="G512" s="125" t="str">
        <f t="array" ref="G512">ifs(or($F512="",$F512="Main Primary Artist"),$F512,not(iserror(vlookup($F512,'Reference info'!$J$5:$J$8,1,0))),"Key Artist",not(iserror(vlookup($F512,'Reference info'!$J$38:$J$405,1,0))),"Performer",not(iserror(vlookup($F512,'Reference info'!$J$10:$J$36,1,0))),"Producer &amp; Engineer")</f>
        <v/>
      </c>
    </row>
    <row r="513">
      <c r="B513" s="97"/>
      <c r="C513" s="121" t="str">
        <f t="array" ref="C513">ifs(and(isblank($A513),isblank($B513)),"", not(iserror(vlookup($A513&amp;$B513,'5) Release_Track'!$F:$F&amp;'5) Release_Track'!$G:$G,1,0))),vlookup($A513&amp;$B513,{'5) Release_Track'!$F:$F&amp;'5) Release_Track'!$G:$G,'5) Release_Track'!$H:$H},2,0),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D513" s="121" t="str">
        <f t="array" ref="D513">ifs(and(isblank($A513),isblank($B513)),"", not(iserror(vlookup($A513&amp;$B513,'5) Release_Track'!$F:$F&amp;'5) Release_Track'!$G:$G,1,0))),vlookup($A513&amp;$B513,{'5) Release_Track'!$F:$F&amp;'5) Release_Track'!$G:$G,'5) Release_Track'!$I:$I},2,0),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E513" s="92"/>
      <c r="F513" s="92"/>
      <c r="G513" s="125" t="str">
        <f t="array" ref="G513">ifs(or($F513="",$F513="Main Primary Artist"),$F513,not(iserror(vlookup($F513,'Reference info'!$J$5:$J$8,1,0))),"Key Artist",not(iserror(vlookup($F513,'Reference info'!$J$38:$J$405,1,0))),"Performer",not(iserror(vlookup($F513,'Reference info'!$J$10:$J$36,1,0))),"Producer &amp; Engineer")</f>
        <v/>
      </c>
    </row>
    <row r="514">
      <c r="B514" s="97"/>
      <c r="C514" s="121" t="str">
        <f t="array" ref="C514">ifs(and(isblank($A514),isblank($B514)),"", not(iserror(vlookup($A514&amp;$B514,'5) Release_Track'!$F:$F&amp;'5) Release_Track'!$G:$G,1,0))),vlookup($A514&amp;$B514,{'5) Release_Track'!$F:$F&amp;'5) Release_Track'!$G:$G,'5) Release_Track'!$H:$H},2,0),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D514" s="121" t="str">
        <f t="array" ref="D514">ifs(and(isblank($A514),isblank($B514)),"", not(iserror(vlookup($A514&amp;$B514,'5) Release_Track'!$F:$F&amp;'5) Release_Track'!$G:$G,1,0))),vlookup($A514&amp;$B514,{'5) Release_Track'!$F:$F&amp;'5) Release_Track'!$G:$G,'5) Release_Track'!$I:$I},2,0),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E514" s="92"/>
      <c r="F514" s="92"/>
      <c r="G514" s="125" t="str">
        <f t="array" ref="G514">ifs(or($F514="",$F514="Main Primary Artist"),$F514,not(iserror(vlookup($F514,'Reference info'!$J$5:$J$8,1,0))),"Key Artist",not(iserror(vlookup($F514,'Reference info'!$J$38:$J$405,1,0))),"Performer",not(iserror(vlookup($F514,'Reference info'!$J$10:$J$36,1,0))),"Producer &amp; Engineer")</f>
        <v/>
      </c>
    </row>
    <row r="515">
      <c r="B515" s="97"/>
      <c r="C515" s="121" t="str">
        <f t="array" ref="C515">ifs(and(isblank($A515),isblank($B515)),"", not(iserror(vlookup($A515&amp;$B515,'5) Release_Track'!$F:$F&amp;'5) Release_Track'!$G:$G,1,0))),vlookup($A515&amp;$B515,{'5) Release_Track'!$F:$F&amp;'5) Release_Track'!$G:$G,'5) Release_Track'!$H:$H},2,0),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D515" s="121" t="str">
        <f t="array" ref="D515">ifs(and(isblank($A515),isblank($B515)),"", not(iserror(vlookup($A515&amp;$B515,'5) Release_Track'!$F:$F&amp;'5) Release_Track'!$G:$G,1,0))),vlookup($A515&amp;$B515,{'5) Release_Track'!$F:$F&amp;'5) Release_Track'!$G:$G,'5) Release_Track'!$I:$I},2,0),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E515" s="92"/>
      <c r="F515" s="92"/>
      <c r="G515" s="125" t="str">
        <f t="array" ref="G515">ifs(or($F515="",$F515="Main Primary Artist"),$F515,not(iserror(vlookup($F515,'Reference info'!$J$5:$J$8,1,0))),"Key Artist",not(iserror(vlookup($F515,'Reference info'!$J$38:$J$405,1,0))),"Performer",not(iserror(vlookup($F515,'Reference info'!$J$10:$J$36,1,0))),"Producer &amp; Engineer")</f>
        <v/>
      </c>
    </row>
    <row r="516">
      <c r="B516" s="97"/>
      <c r="C516" s="121" t="str">
        <f t="array" ref="C516">ifs(and(isblank($A516),isblank($B516)),"", not(iserror(vlookup($A516&amp;$B516,'5) Release_Track'!$F:$F&amp;'5) Release_Track'!$G:$G,1,0))),vlookup($A516&amp;$B516,{'5) Release_Track'!$F:$F&amp;'5) Release_Track'!$G:$G,'5) Release_Track'!$H:$H},2,0),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D516" s="121" t="str">
        <f t="array" ref="D516">ifs(and(isblank($A516),isblank($B516)),"", not(iserror(vlookup($A516&amp;$B516,'5) Release_Track'!$F:$F&amp;'5) Release_Track'!$G:$G,1,0))),vlookup($A516&amp;$B516,{'5) Release_Track'!$F:$F&amp;'5) Release_Track'!$G:$G,'5) Release_Track'!$I:$I},2,0),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E516" s="92"/>
      <c r="F516" s="92"/>
      <c r="G516" s="125" t="str">
        <f t="array" ref="G516">ifs(or($F516="",$F516="Main Primary Artist"),$F516,not(iserror(vlookup($F516,'Reference info'!$J$5:$J$8,1,0))),"Key Artist",not(iserror(vlookup($F516,'Reference info'!$J$38:$J$405,1,0))),"Performer",not(iserror(vlookup($F516,'Reference info'!$J$10:$J$36,1,0))),"Producer &amp; Engineer")</f>
        <v/>
      </c>
    </row>
    <row r="517">
      <c r="B517" s="97"/>
      <c r="C517" s="121" t="str">
        <f t="array" ref="C517">ifs(and(isblank($A517),isblank($B517)),"", not(iserror(vlookup($A517&amp;$B517,'5) Release_Track'!$F:$F&amp;'5) Release_Track'!$G:$G,1,0))),vlookup($A517&amp;$B517,{'5) Release_Track'!$F:$F&amp;'5) Release_Track'!$G:$G,'5) Release_Track'!$H:$H},2,0),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D517" s="121" t="str">
        <f t="array" ref="D517">ifs(and(isblank($A517),isblank($B517)),"", not(iserror(vlookup($A517&amp;$B517,'5) Release_Track'!$F:$F&amp;'5) Release_Track'!$G:$G,1,0))),vlookup($A517&amp;$B517,{'5) Release_Track'!$F:$F&amp;'5) Release_Track'!$G:$G,'5) Release_Track'!$I:$I},2,0),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E517" s="92"/>
      <c r="F517" s="92"/>
      <c r="G517" s="125" t="str">
        <f t="array" ref="G517">ifs(or($F517="",$F517="Main Primary Artist"),$F517,not(iserror(vlookup($F517,'Reference info'!$J$5:$J$8,1,0))),"Key Artist",not(iserror(vlookup($F517,'Reference info'!$J$38:$J$405,1,0))),"Performer",not(iserror(vlookup($F517,'Reference info'!$J$10:$J$36,1,0))),"Producer &amp; Engineer")</f>
        <v/>
      </c>
    </row>
    <row r="518">
      <c r="B518" s="97"/>
      <c r="C518" s="121" t="str">
        <f t="array" ref="C518">ifs(and(isblank($A518),isblank($B518)),"", not(iserror(vlookup($A518&amp;$B518,'5) Release_Track'!$F:$F&amp;'5) Release_Track'!$G:$G,1,0))),vlookup($A518&amp;$B518,{'5) Release_Track'!$F:$F&amp;'5) Release_Track'!$G:$G,'5) Release_Track'!$H:$H},2,0),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D518" s="121" t="str">
        <f t="array" ref="D518">ifs(and(isblank($A518),isblank($B518)),"", not(iserror(vlookup($A518&amp;$B518,'5) Release_Track'!$F:$F&amp;'5) Release_Track'!$G:$G,1,0))),vlookup($A518&amp;$B518,{'5) Release_Track'!$F:$F&amp;'5) Release_Track'!$G:$G,'5) Release_Track'!$I:$I},2,0),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E518" s="92"/>
      <c r="F518" s="92"/>
      <c r="G518" s="125" t="str">
        <f t="array" ref="G518">ifs(or($F518="",$F518="Main Primary Artist"),$F518,not(iserror(vlookup($F518,'Reference info'!$J$5:$J$8,1,0))),"Key Artist",not(iserror(vlookup($F518,'Reference info'!$J$38:$J$405,1,0))),"Performer",not(iserror(vlookup($F518,'Reference info'!$J$10:$J$36,1,0))),"Producer &amp; Engineer")</f>
        <v/>
      </c>
    </row>
    <row r="519">
      <c r="B519" s="97"/>
      <c r="C519" s="121" t="str">
        <f t="array" ref="C519">ifs(and(isblank($A519),isblank($B519)),"", not(iserror(vlookup($A519&amp;$B519,'5) Release_Track'!$F:$F&amp;'5) Release_Track'!$G:$G,1,0))),vlookup($A519&amp;$B519,{'5) Release_Track'!$F:$F&amp;'5) Release_Track'!$G:$G,'5) Release_Track'!$H:$H},2,0),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D519" s="121" t="str">
        <f t="array" ref="D519">ifs(and(isblank($A519),isblank($B519)),"", not(iserror(vlookup($A519&amp;$B519,'5) Release_Track'!$F:$F&amp;'5) Release_Track'!$G:$G,1,0))),vlookup($A519&amp;$B519,{'5) Release_Track'!$F:$F&amp;'5) Release_Track'!$G:$G,'5) Release_Track'!$I:$I},2,0),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E519" s="92"/>
      <c r="F519" s="92"/>
      <c r="G519" s="125" t="str">
        <f t="array" ref="G519">ifs(or($F519="",$F519="Main Primary Artist"),$F519,not(iserror(vlookup($F519,'Reference info'!$J$5:$J$8,1,0))),"Key Artist",not(iserror(vlookup($F519,'Reference info'!$J$38:$J$405,1,0))),"Performer",not(iserror(vlookup($F519,'Reference info'!$J$10:$J$36,1,0))),"Producer &amp; Engineer")</f>
        <v/>
      </c>
    </row>
    <row r="520">
      <c r="B520" s="97"/>
      <c r="C520" s="121" t="str">
        <f t="array" ref="C520">ifs(and(isblank($A520),isblank($B520)),"", not(iserror(vlookup($A520&amp;$B520,'5) Release_Track'!$F:$F&amp;'5) Release_Track'!$G:$G,1,0))),vlookup($A520&amp;$B520,{'5) Release_Track'!$F:$F&amp;'5) Release_Track'!$G:$G,'5) Release_Track'!$H:$H},2,0),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D520" s="121" t="str">
        <f t="array" ref="D520">ifs(and(isblank($A520),isblank($B520)),"", not(iserror(vlookup($A520&amp;$B520,'5) Release_Track'!$F:$F&amp;'5) Release_Track'!$G:$G,1,0))),vlookup($A520&amp;$B520,{'5) Release_Track'!$F:$F&amp;'5) Release_Track'!$G:$G,'5) Release_Track'!$I:$I},2,0),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E520" s="92"/>
      <c r="F520" s="92"/>
      <c r="G520" s="125" t="str">
        <f t="array" ref="G520">ifs(or($F520="",$F520="Main Primary Artist"),$F520,not(iserror(vlookup($F520,'Reference info'!$J$5:$J$8,1,0))),"Key Artist",not(iserror(vlookup($F520,'Reference info'!$J$38:$J$405,1,0))),"Performer",not(iserror(vlookup($F520,'Reference info'!$J$10:$J$36,1,0))),"Producer &amp; Engineer")</f>
        <v/>
      </c>
    </row>
    <row r="521">
      <c r="B521" s="97"/>
      <c r="C521" s="121" t="str">
        <f t="array" ref="C521">ifs(and(isblank($A521),isblank($B521)),"", not(iserror(vlookup($A521&amp;$B521,'5) Release_Track'!$F:$F&amp;'5) Release_Track'!$G:$G,1,0))),vlookup($A521&amp;$B521,{'5) Release_Track'!$F:$F&amp;'5) Release_Track'!$G:$G,'5) Release_Track'!$H:$H},2,0),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D521" s="121" t="str">
        <f t="array" ref="D521">ifs(and(isblank($A521),isblank($B521)),"", not(iserror(vlookup($A521&amp;$B521,'5) Release_Track'!$F:$F&amp;'5) Release_Track'!$G:$G,1,0))),vlookup($A521&amp;$B521,{'5) Release_Track'!$F:$F&amp;'5) Release_Track'!$G:$G,'5) Release_Track'!$I:$I},2,0),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E521" s="92"/>
      <c r="F521" s="92"/>
      <c r="G521" s="125" t="str">
        <f t="array" ref="G521">ifs(or($F521="",$F521="Main Primary Artist"),$F521,not(iserror(vlookup($F521,'Reference info'!$J$5:$J$8,1,0))),"Key Artist",not(iserror(vlookup($F521,'Reference info'!$J$38:$J$405,1,0))),"Performer",not(iserror(vlookup($F521,'Reference info'!$J$10:$J$36,1,0))),"Producer &amp; Engineer")</f>
        <v/>
      </c>
    </row>
    <row r="522">
      <c r="B522" s="97"/>
      <c r="C522" s="121" t="str">
        <f t="array" ref="C522">ifs(and(isblank($A522),isblank($B522)),"", not(iserror(vlookup($A522&amp;$B522,'5) Release_Track'!$F:$F&amp;'5) Release_Track'!$G:$G,1,0))),vlookup($A522&amp;$B522,{'5) Release_Track'!$F:$F&amp;'5) Release_Track'!$G:$G,'5) Release_Track'!$H:$H},2,0),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D522" s="121" t="str">
        <f t="array" ref="D522">ifs(and(isblank($A522),isblank($B522)),"", not(iserror(vlookup($A522&amp;$B522,'5) Release_Track'!$F:$F&amp;'5) Release_Track'!$G:$G,1,0))),vlookup($A522&amp;$B522,{'5) Release_Track'!$F:$F&amp;'5) Release_Track'!$G:$G,'5) Release_Track'!$I:$I},2,0),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E522" s="92"/>
      <c r="F522" s="92"/>
      <c r="G522" s="125" t="str">
        <f t="array" ref="G522">ifs(or($F522="",$F522="Main Primary Artist"),$F522,not(iserror(vlookup($F522,'Reference info'!$J$5:$J$8,1,0))),"Key Artist",not(iserror(vlookup($F522,'Reference info'!$J$38:$J$405,1,0))),"Performer",not(iserror(vlookup($F522,'Reference info'!$J$10:$J$36,1,0))),"Producer &amp; Engineer")</f>
        <v/>
      </c>
    </row>
    <row r="523">
      <c r="B523" s="97"/>
      <c r="C523" s="121" t="str">
        <f t="array" ref="C523">ifs(and(isblank($A523),isblank($B523)),"", not(iserror(vlookup($A523&amp;$B523,'5) Release_Track'!$F:$F&amp;'5) Release_Track'!$G:$G,1,0))),vlookup($A523&amp;$B523,{'5) Release_Track'!$F:$F&amp;'5) Release_Track'!$G:$G,'5) Release_Track'!$H:$H},2,0),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D523" s="121" t="str">
        <f t="array" ref="D523">ifs(and(isblank($A523),isblank($B523)),"", not(iserror(vlookup($A523&amp;$B523,'5) Release_Track'!$F:$F&amp;'5) Release_Track'!$G:$G,1,0))),vlookup($A523&amp;$B523,{'5) Release_Track'!$F:$F&amp;'5) Release_Track'!$G:$G,'5) Release_Track'!$I:$I},2,0),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E523" s="92"/>
      <c r="F523" s="92"/>
      <c r="G523" s="125" t="str">
        <f t="array" ref="G523">ifs(or($F523="",$F523="Main Primary Artist"),$F523,not(iserror(vlookup($F523,'Reference info'!$J$5:$J$8,1,0))),"Key Artist",not(iserror(vlookup($F523,'Reference info'!$J$38:$J$405,1,0))),"Performer",not(iserror(vlookup($F523,'Reference info'!$J$10:$J$36,1,0))),"Producer &amp; Engineer")</f>
        <v/>
      </c>
    </row>
    <row r="524">
      <c r="B524" s="97"/>
      <c r="C524" s="121" t="str">
        <f t="array" ref="C524">ifs(and(isblank($A524),isblank($B524)),"", not(iserror(vlookup($A524&amp;$B524,'5) Release_Track'!$F:$F&amp;'5) Release_Track'!$G:$G,1,0))),vlookup($A524&amp;$B524,{'5) Release_Track'!$F:$F&amp;'5) Release_Track'!$G:$G,'5) Release_Track'!$H:$H},2,0),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D524" s="121" t="str">
        <f t="array" ref="D524">ifs(and(isblank($A524),isblank($B524)),"", not(iserror(vlookup($A524&amp;$B524,'5) Release_Track'!$F:$F&amp;'5) Release_Track'!$G:$G,1,0))),vlookup($A524&amp;$B524,{'5) Release_Track'!$F:$F&amp;'5) Release_Track'!$G:$G,'5) Release_Track'!$I:$I},2,0),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E524" s="92"/>
      <c r="F524" s="92"/>
      <c r="G524" s="125" t="str">
        <f t="array" ref="G524">ifs(or($F524="",$F524="Main Primary Artist"),$F524,not(iserror(vlookup($F524,'Reference info'!$J$5:$J$8,1,0))),"Key Artist",not(iserror(vlookup($F524,'Reference info'!$J$38:$J$405,1,0))),"Performer",not(iserror(vlookup($F524,'Reference info'!$J$10:$J$36,1,0))),"Producer &amp; Engineer")</f>
        <v/>
      </c>
    </row>
    <row r="525">
      <c r="B525" s="97"/>
      <c r="C525" s="121" t="str">
        <f t="array" ref="C525">ifs(and(isblank($A525),isblank($B525)),"", not(iserror(vlookup($A525&amp;$B525,'5) Release_Track'!$F:$F&amp;'5) Release_Track'!$G:$G,1,0))),vlookup($A525&amp;$B525,{'5) Release_Track'!$F:$F&amp;'5) Release_Track'!$G:$G,'5) Release_Track'!$H:$H},2,0),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D525" s="121" t="str">
        <f t="array" ref="D525">ifs(and(isblank($A525),isblank($B525)),"", not(iserror(vlookup($A525&amp;$B525,'5) Release_Track'!$F:$F&amp;'5) Release_Track'!$G:$G,1,0))),vlookup($A525&amp;$B525,{'5) Release_Track'!$F:$F&amp;'5) Release_Track'!$G:$G,'5) Release_Track'!$I:$I},2,0),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E525" s="92"/>
      <c r="F525" s="92"/>
      <c r="G525" s="125" t="str">
        <f t="array" ref="G525">ifs(or($F525="",$F525="Main Primary Artist"),$F525,not(iserror(vlookup($F525,'Reference info'!$J$5:$J$8,1,0))),"Key Artist",not(iserror(vlookup($F525,'Reference info'!$J$38:$J$405,1,0))),"Performer",not(iserror(vlookup($F525,'Reference info'!$J$10:$J$36,1,0))),"Producer &amp; Engineer")</f>
        <v/>
      </c>
    </row>
    <row r="526">
      <c r="B526" s="97"/>
      <c r="C526" s="121" t="str">
        <f t="array" ref="C526">ifs(and(isblank($A526),isblank($B526)),"", not(iserror(vlookup($A526&amp;$B526,'5) Release_Track'!$F:$F&amp;'5) Release_Track'!$G:$G,1,0))),vlookup($A526&amp;$B526,{'5) Release_Track'!$F:$F&amp;'5) Release_Track'!$G:$G,'5) Release_Track'!$H:$H},2,0),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D526" s="121" t="str">
        <f t="array" ref="D526">ifs(and(isblank($A526),isblank($B526)),"", not(iserror(vlookup($A526&amp;$B526,'5) Release_Track'!$F:$F&amp;'5) Release_Track'!$G:$G,1,0))),vlookup($A526&amp;$B526,{'5) Release_Track'!$F:$F&amp;'5) Release_Track'!$G:$G,'5) Release_Track'!$I:$I},2,0),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E526" s="92"/>
      <c r="F526" s="92"/>
      <c r="G526" s="125" t="str">
        <f t="array" ref="G526">ifs(or($F526="",$F526="Main Primary Artist"),$F526,not(iserror(vlookup($F526,'Reference info'!$J$5:$J$8,1,0))),"Key Artist",not(iserror(vlookup($F526,'Reference info'!$J$38:$J$405,1,0))),"Performer",not(iserror(vlookup($F526,'Reference info'!$J$10:$J$36,1,0))),"Producer &amp; Engineer")</f>
        <v/>
      </c>
    </row>
    <row r="527">
      <c r="B527" s="97"/>
      <c r="C527" s="121" t="str">
        <f t="array" ref="C527">ifs(and(isblank($A527),isblank($B527)),"", not(iserror(vlookup($A527&amp;$B527,'5) Release_Track'!$F:$F&amp;'5) Release_Track'!$G:$G,1,0))),vlookup($A527&amp;$B527,{'5) Release_Track'!$F:$F&amp;'5) Release_Track'!$G:$G,'5) Release_Track'!$H:$H},2,0),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D527" s="121" t="str">
        <f t="array" ref="D527">ifs(and(isblank($A527),isblank($B527)),"", not(iserror(vlookup($A527&amp;$B527,'5) Release_Track'!$F:$F&amp;'5) Release_Track'!$G:$G,1,0))),vlookup($A527&amp;$B527,{'5) Release_Track'!$F:$F&amp;'5) Release_Track'!$G:$G,'5) Release_Track'!$I:$I},2,0),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E527" s="92"/>
      <c r="F527" s="92"/>
      <c r="G527" s="125" t="str">
        <f t="array" ref="G527">ifs(or($F527="",$F527="Main Primary Artist"),$F527,not(iserror(vlookup($F527,'Reference info'!$J$5:$J$8,1,0))),"Key Artist",not(iserror(vlookup($F527,'Reference info'!$J$38:$J$405,1,0))),"Performer",not(iserror(vlookup($F527,'Reference info'!$J$10:$J$36,1,0))),"Producer &amp; Engineer")</f>
        <v/>
      </c>
    </row>
    <row r="528">
      <c r="B528" s="97"/>
      <c r="C528" s="121" t="str">
        <f t="array" ref="C528">ifs(and(isblank($A528),isblank($B528)),"", not(iserror(vlookup($A528&amp;$B528,'5) Release_Track'!$F:$F&amp;'5) Release_Track'!$G:$G,1,0))),vlookup($A528&amp;$B528,{'5) Release_Track'!$F:$F&amp;'5) Release_Track'!$G:$G,'5) Release_Track'!$H:$H},2,0),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D528" s="121" t="str">
        <f t="array" ref="D528">ifs(and(isblank($A528),isblank($B528)),"", not(iserror(vlookup($A528&amp;$B528,'5) Release_Track'!$F:$F&amp;'5) Release_Track'!$G:$G,1,0))),vlookup($A528&amp;$B528,{'5) Release_Track'!$F:$F&amp;'5) Release_Track'!$G:$G,'5) Release_Track'!$I:$I},2,0),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E528" s="92"/>
      <c r="F528" s="92"/>
      <c r="G528" s="125" t="str">
        <f t="array" ref="G528">ifs(or($F528="",$F528="Main Primary Artist"),$F528,not(iserror(vlookup($F528,'Reference info'!$J$5:$J$8,1,0))),"Key Artist",not(iserror(vlookup($F528,'Reference info'!$J$38:$J$405,1,0))),"Performer",not(iserror(vlookup($F528,'Reference info'!$J$10:$J$36,1,0))),"Producer &amp; Engineer")</f>
        <v/>
      </c>
    </row>
    <row r="529">
      <c r="B529" s="97"/>
      <c r="C529" s="121" t="str">
        <f t="array" ref="C529">ifs(and(isblank($A529),isblank($B529)),"", not(iserror(vlookup($A529&amp;$B529,'5) Release_Track'!$F:$F&amp;'5) Release_Track'!$G:$G,1,0))),vlookup($A529&amp;$B529,{'5) Release_Track'!$F:$F&amp;'5) Release_Track'!$G:$G,'5) Release_Track'!$H:$H},2,0),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D529" s="121" t="str">
        <f t="array" ref="D529">ifs(and(isblank($A529),isblank($B529)),"", not(iserror(vlookup($A529&amp;$B529,'5) Release_Track'!$F:$F&amp;'5) Release_Track'!$G:$G,1,0))),vlookup($A529&amp;$B529,{'5) Release_Track'!$F:$F&amp;'5) Release_Track'!$G:$G,'5) Release_Track'!$I:$I},2,0),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E529" s="92"/>
      <c r="F529" s="92"/>
      <c r="G529" s="125" t="str">
        <f t="array" ref="G529">ifs(or($F529="",$F529="Main Primary Artist"),$F529,not(iserror(vlookup($F529,'Reference info'!$J$5:$J$8,1,0))),"Key Artist",not(iserror(vlookup($F529,'Reference info'!$J$38:$J$405,1,0))),"Performer",not(iserror(vlookup($F529,'Reference info'!$J$10:$J$36,1,0))),"Producer &amp; Engineer")</f>
        <v/>
      </c>
    </row>
    <row r="530">
      <c r="B530" s="97"/>
      <c r="C530" s="121" t="str">
        <f t="array" ref="C530">ifs(and(isblank($A530),isblank($B530)),"", not(iserror(vlookup($A530&amp;$B530,'5) Release_Track'!$F:$F&amp;'5) Release_Track'!$G:$G,1,0))),vlookup($A530&amp;$B530,{'5) Release_Track'!$F:$F&amp;'5) Release_Track'!$G:$G,'5) Release_Track'!$H:$H},2,0),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D530" s="121" t="str">
        <f t="array" ref="D530">ifs(and(isblank($A530),isblank($B530)),"", not(iserror(vlookup($A530&amp;$B530,'5) Release_Track'!$F:$F&amp;'5) Release_Track'!$G:$G,1,0))),vlookup($A530&amp;$B530,{'5) Release_Track'!$F:$F&amp;'5) Release_Track'!$G:$G,'5) Release_Track'!$I:$I},2,0),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E530" s="92"/>
      <c r="F530" s="92"/>
      <c r="G530" s="125" t="str">
        <f t="array" ref="G530">ifs(or($F530="",$F530="Main Primary Artist"),$F530,not(iserror(vlookup($F530,'Reference info'!$J$5:$J$8,1,0))),"Key Artist",not(iserror(vlookup($F530,'Reference info'!$J$38:$J$405,1,0))),"Performer",not(iserror(vlookup($F530,'Reference info'!$J$10:$J$36,1,0))),"Producer &amp; Engineer")</f>
        <v/>
      </c>
    </row>
    <row r="531">
      <c r="B531" s="97"/>
      <c r="C531" s="121" t="str">
        <f t="array" ref="C531">ifs(and(isblank($A531),isblank($B531)),"", not(iserror(vlookup($A531&amp;$B531,'5) Release_Track'!$F:$F&amp;'5) Release_Track'!$G:$G,1,0))),vlookup($A531&amp;$B531,{'5) Release_Track'!$F:$F&amp;'5) Release_Track'!$G:$G,'5) Release_Track'!$H:$H},2,0),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D531" s="121" t="str">
        <f t="array" ref="D531">ifs(and(isblank($A531),isblank($B531)),"", not(iserror(vlookup($A531&amp;$B531,'5) Release_Track'!$F:$F&amp;'5) Release_Track'!$G:$G,1,0))),vlookup($A531&amp;$B531,{'5) Release_Track'!$F:$F&amp;'5) Release_Track'!$G:$G,'5) Release_Track'!$I:$I},2,0),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E531" s="92"/>
      <c r="F531" s="92"/>
      <c r="G531" s="125" t="str">
        <f t="array" ref="G531">ifs(or($F531="",$F531="Main Primary Artist"),$F531,not(iserror(vlookup($F531,'Reference info'!$J$5:$J$8,1,0))),"Key Artist",not(iserror(vlookup($F531,'Reference info'!$J$38:$J$405,1,0))),"Performer",not(iserror(vlookup($F531,'Reference info'!$J$10:$J$36,1,0))),"Producer &amp; Engineer")</f>
        <v/>
      </c>
    </row>
    <row r="532">
      <c r="B532" s="97"/>
      <c r="C532" s="121" t="str">
        <f t="array" ref="C532">ifs(and(isblank($A532),isblank($B532)),"", not(iserror(vlookup($A532&amp;$B532,'5) Release_Track'!$F:$F&amp;'5) Release_Track'!$G:$G,1,0))),vlookup($A532&amp;$B532,{'5) Release_Track'!$F:$F&amp;'5) Release_Track'!$G:$G,'5) Release_Track'!$H:$H},2,0),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D532" s="121" t="str">
        <f t="array" ref="D532">ifs(and(isblank($A532),isblank($B532)),"", not(iserror(vlookup($A532&amp;$B532,'5) Release_Track'!$F:$F&amp;'5) Release_Track'!$G:$G,1,0))),vlookup($A532&amp;$B532,{'5) Release_Track'!$F:$F&amp;'5) Release_Track'!$G:$G,'5) Release_Track'!$I:$I},2,0),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E532" s="92"/>
      <c r="F532" s="92"/>
      <c r="G532" s="125" t="str">
        <f t="array" ref="G532">ifs(or($F532="",$F532="Main Primary Artist"),$F532,not(iserror(vlookup($F532,'Reference info'!$J$5:$J$8,1,0))),"Key Artist",not(iserror(vlookup($F532,'Reference info'!$J$38:$J$405,1,0))),"Performer",not(iserror(vlookup($F532,'Reference info'!$J$10:$J$36,1,0))),"Producer &amp; Engineer")</f>
        <v/>
      </c>
    </row>
    <row r="533">
      <c r="B533" s="97"/>
      <c r="C533" s="121" t="str">
        <f t="array" ref="C533">ifs(and(isblank($A533),isblank($B533)),"", not(iserror(vlookup($A533&amp;$B533,'5) Release_Track'!$F:$F&amp;'5) Release_Track'!$G:$G,1,0))),vlookup($A533&amp;$B533,{'5) Release_Track'!$F:$F&amp;'5) Release_Track'!$G:$G,'5) Release_Track'!$H:$H},2,0),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D533" s="121" t="str">
        <f t="array" ref="D533">ifs(and(isblank($A533),isblank($B533)),"", not(iserror(vlookup($A533&amp;$B533,'5) Release_Track'!$F:$F&amp;'5) Release_Track'!$G:$G,1,0))),vlookup($A533&amp;$B533,{'5) Release_Track'!$F:$F&amp;'5) Release_Track'!$G:$G,'5) Release_Track'!$I:$I},2,0),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E533" s="92"/>
      <c r="F533" s="92"/>
      <c r="G533" s="125" t="str">
        <f t="array" ref="G533">ifs(or($F533="",$F533="Main Primary Artist"),$F533,not(iserror(vlookup($F533,'Reference info'!$J$5:$J$8,1,0))),"Key Artist",not(iserror(vlookup($F533,'Reference info'!$J$38:$J$405,1,0))),"Performer",not(iserror(vlookup($F533,'Reference info'!$J$10:$J$36,1,0))),"Producer &amp; Engineer")</f>
        <v/>
      </c>
    </row>
    <row r="534">
      <c r="B534" s="97"/>
      <c r="C534" s="121" t="str">
        <f t="array" ref="C534">ifs(and(isblank($A534),isblank($B534)),"", not(iserror(vlookup($A534&amp;$B534,'5) Release_Track'!$F:$F&amp;'5) Release_Track'!$G:$G,1,0))),vlookup($A534&amp;$B534,{'5) Release_Track'!$F:$F&amp;'5) Release_Track'!$G:$G,'5) Release_Track'!$H:$H},2,0),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D534" s="121" t="str">
        <f t="array" ref="D534">ifs(and(isblank($A534),isblank($B534)),"", not(iserror(vlookup($A534&amp;$B534,'5) Release_Track'!$F:$F&amp;'5) Release_Track'!$G:$G,1,0))),vlookup($A534&amp;$B534,{'5) Release_Track'!$F:$F&amp;'5) Release_Track'!$G:$G,'5) Release_Track'!$I:$I},2,0),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E534" s="92"/>
      <c r="F534" s="92"/>
      <c r="G534" s="125" t="str">
        <f t="array" ref="G534">ifs(or($F534="",$F534="Main Primary Artist"),$F534,not(iserror(vlookup($F534,'Reference info'!$J$5:$J$8,1,0))),"Key Artist",not(iserror(vlookup($F534,'Reference info'!$J$38:$J$405,1,0))),"Performer",not(iserror(vlookup($F534,'Reference info'!$J$10:$J$36,1,0))),"Producer &amp; Engineer")</f>
        <v/>
      </c>
    </row>
    <row r="535">
      <c r="B535" s="97"/>
      <c r="C535" s="121" t="str">
        <f t="array" ref="C535">ifs(and(isblank($A535),isblank($B535)),"", not(iserror(vlookup($A535&amp;$B535,'5) Release_Track'!$F:$F&amp;'5) Release_Track'!$G:$G,1,0))),vlookup($A535&amp;$B535,{'5) Release_Track'!$F:$F&amp;'5) Release_Track'!$G:$G,'5) Release_Track'!$H:$H},2,0),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D535" s="121" t="str">
        <f t="array" ref="D535">ifs(and(isblank($A535),isblank($B535)),"", not(iserror(vlookup($A535&amp;$B535,'5) Release_Track'!$F:$F&amp;'5) Release_Track'!$G:$G,1,0))),vlookup($A535&amp;$B535,{'5) Release_Track'!$F:$F&amp;'5) Release_Track'!$G:$G,'5) Release_Track'!$I:$I},2,0),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E535" s="92"/>
      <c r="F535" s="92"/>
      <c r="G535" s="125" t="str">
        <f t="array" ref="G535">ifs(or($F535="",$F535="Main Primary Artist"),$F535,not(iserror(vlookup($F535,'Reference info'!$J$5:$J$8,1,0))),"Key Artist",not(iserror(vlookup($F535,'Reference info'!$J$38:$J$405,1,0))),"Performer",not(iserror(vlookup($F535,'Reference info'!$J$10:$J$36,1,0))),"Producer &amp; Engineer")</f>
        <v/>
      </c>
    </row>
    <row r="536">
      <c r="B536" s="97"/>
      <c r="C536" s="121" t="str">
        <f t="array" ref="C536">ifs(and(isblank($A536),isblank($B536)),"", not(iserror(vlookup($A536&amp;$B536,'5) Release_Track'!$F:$F&amp;'5) Release_Track'!$G:$G,1,0))),vlookup($A536&amp;$B536,{'5) Release_Track'!$F:$F&amp;'5) Release_Track'!$G:$G,'5) Release_Track'!$H:$H},2,0),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D536" s="121" t="str">
        <f t="array" ref="D536">ifs(and(isblank($A536),isblank($B536)),"", not(iserror(vlookup($A536&amp;$B536,'5) Release_Track'!$F:$F&amp;'5) Release_Track'!$G:$G,1,0))),vlookup($A536&amp;$B536,{'5) Release_Track'!$F:$F&amp;'5) Release_Track'!$G:$G,'5) Release_Track'!$I:$I},2,0),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E536" s="92"/>
      <c r="F536" s="92"/>
      <c r="G536" s="125" t="str">
        <f t="array" ref="G536">ifs(or($F536="",$F536="Main Primary Artist"),$F536,not(iserror(vlookup($F536,'Reference info'!$J$5:$J$8,1,0))),"Key Artist",not(iserror(vlookup($F536,'Reference info'!$J$38:$J$405,1,0))),"Performer",not(iserror(vlookup($F536,'Reference info'!$J$10:$J$36,1,0))),"Producer &amp; Engineer")</f>
        <v/>
      </c>
    </row>
    <row r="537">
      <c r="B537" s="97"/>
      <c r="C537" s="121" t="str">
        <f t="array" ref="C537">ifs(and(isblank($A537),isblank($B537)),"", not(iserror(vlookup($A537&amp;$B537,'5) Release_Track'!$F:$F&amp;'5) Release_Track'!$G:$G,1,0))),vlookup($A537&amp;$B537,{'5) Release_Track'!$F:$F&amp;'5) Release_Track'!$G:$G,'5) Release_Track'!$H:$H},2,0),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D537" s="121" t="str">
        <f t="array" ref="D537">ifs(and(isblank($A537),isblank($B537)),"", not(iserror(vlookup($A537&amp;$B537,'5) Release_Track'!$F:$F&amp;'5) Release_Track'!$G:$G,1,0))),vlookup($A537&amp;$B537,{'5) Release_Track'!$F:$F&amp;'5) Release_Track'!$G:$G,'5) Release_Track'!$I:$I},2,0),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E537" s="92"/>
      <c r="F537" s="92"/>
      <c r="G537" s="125" t="str">
        <f t="array" ref="G537">ifs(or($F537="",$F537="Main Primary Artist"),$F537,not(iserror(vlookup($F537,'Reference info'!$J$5:$J$8,1,0))),"Key Artist",not(iserror(vlookup($F537,'Reference info'!$J$38:$J$405,1,0))),"Performer",not(iserror(vlookup($F537,'Reference info'!$J$10:$J$36,1,0))),"Producer &amp; Engineer")</f>
        <v/>
      </c>
    </row>
    <row r="538">
      <c r="B538" s="97"/>
      <c r="C538" s="121" t="str">
        <f t="array" ref="C538">ifs(and(isblank($A538),isblank($B538)),"", not(iserror(vlookup($A538&amp;$B538,'5) Release_Track'!$F:$F&amp;'5) Release_Track'!$G:$G,1,0))),vlookup($A538&amp;$B538,{'5) Release_Track'!$F:$F&amp;'5) Release_Track'!$G:$G,'5) Release_Track'!$H:$H},2,0),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D538" s="121" t="str">
        <f t="array" ref="D538">ifs(and(isblank($A538),isblank($B538)),"", not(iserror(vlookup($A538&amp;$B538,'5) Release_Track'!$F:$F&amp;'5) Release_Track'!$G:$G,1,0))),vlookup($A538&amp;$B538,{'5) Release_Track'!$F:$F&amp;'5) Release_Track'!$G:$G,'5) Release_Track'!$I:$I},2,0),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E538" s="92"/>
      <c r="F538" s="92"/>
      <c r="G538" s="125" t="str">
        <f t="array" ref="G538">ifs(or($F538="",$F538="Main Primary Artist"),$F538,not(iserror(vlookup($F538,'Reference info'!$J$5:$J$8,1,0))),"Key Artist",not(iserror(vlookup($F538,'Reference info'!$J$38:$J$405,1,0))),"Performer",not(iserror(vlookup($F538,'Reference info'!$J$10:$J$36,1,0))),"Producer &amp; Engineer")</f>
        <v/>
      </c>
    </row>
    <row r="539">
      <c r="B539" s="97"/>
      <c r="C539" s="121" t="str">
        <f t="array" ref="C539">ifs(and(isblank($A539),isblank($B539)),"", not(iserror(vlookup($A539&amp;$B539,'5) Release_Track'!$F:$F&amp;'5) Release_Track'!$G:$G,1,0))),vlookup($A539&amp;$B539,{'5) Release_Track'!$F:$F&amp;'5) Release_Track'!$G:$G,'5) Release_Track'!$H:$H},2,0),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D539" s="121" t="str">
        <f t="array" ref="D539">ifs(and(isblank($A539),isblank($B539)),"", not(iserror(vlookup($A539&amp;$B539,'5) Release_Track'!$F:$F&amp;'5) Release_Track'!$G:$G,1,0))),vlookup($A539&amp;$B539,{'5) Release_Track'!$F:$F&amp;'5) Release_Track'!$G:$G,'5) Release_Track'!$I:$I},2,0),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E539" s="92"/>
      <c r="F539" s="92"/>
      <c r="G539" s="125" t="str">
        <f t="array" ref="G539">ifs(or($F539="",$F539="Main Primary Artist"),$F539,not(iserror(vlookup($F539,'Reference info'!$J$5:$J$8,1,0))),"Key Artist",not(iserror(vlookup($F539,'Reference info'!$J$38:$J$405,1,0))),"Performer",not(iserror(vlookup($F539,'Reference info'!$J$10:$J$36,1,0))),"Producer &amp; Engineer")</f>
        <v/>
      </c>
    </row>
    <row r="540">
      <c r="B540" s="97"/>
      <c r="C540" s="121" t="str">
        <f t="array" ref="C540">ifs(and(isblank($A540),isblank($B540)),"", not(iserror(vlookup($A540&amp;$B540,'5) Release_Track'!$F:$F&amp;'5) Release_Track'!$G:$G,1,0))),vlookup($A540&amp;$B540,{'5) Release_Track'!$F:$F&amp;'5) Release_Track'!$G:$G,'5) Release_Track'!$H:$H},2,0),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D540" s="121" t="str">
        <f t="array" ref="D540">ifs(and(isblank($A540),isblank($B540)),"", not(iserror(vlookup($A540&amp;$B540,'5) Release_Track'!$F:$F&amp;'5) Release_Track'!$G:$G,1,0))),vlookup($A540&amp;$B540,{'5) Release_Track'!$F:$F&amp;'5) Release_Track'!$G:$G,'5) Release_Track'!$I:$I},2,0),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E540" s="92"/>
      <c r="F540" s="92"/>
      <c r="G540" s="125" t="str">
        <f t="array" ref="G540">ifs(or($F540="",$F540="Main Primary Artist"),$F540,not(iserror(vlookup($F540,'Reference info'!$J$5:$J$8,1,0))),"Key Artist",not(iserror(vlookup($F540,'Reference info'!$J$38:$J$405,1,0))),"Performer",not(iserror(vlookup($F540,'Reference info'!$J$10:$J$36,1,0))),"Producer &amp; Engineer")</f>
        <v/>
      </c>
    </row>
    <row r="541">
      <c r="B541" s="97"/>
      <c r="C541" s="121" t="str">
        <f t="array" ref="C541">ifs(and(isblank($A541),isblank($B541)),"", not(iserror(vlookup($A541&amp;$B541,'5) Release_Track'!$F:$F&amp;'5) Release_Track'!$G:$G,1,0))),vlookup($A541&amp;$B541,{'5) Release_Track'!$F:$F&amp;'5) Release_Track'!$G:$G,'5) Release_Track'!$H:$H},2,0),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D541" s="121" t="str">
        <f t="array" ref="D541">ifs(and(isblank($A541),isblank($B541)),"", not(iserror(vlookup($A541&amp;$B541,'5) Release_Track'!$F:$F&amp;'5) Release_Track'!$G:$G,1,0))),vlookup($A541&amp;$B541,{'5) Release_Track'!$F:$F&amp;'5) Release_Track'!$G:$G,'5) Release_Track'!$I:$I},2,0),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E541" s="92"/>
      <c r="F541" s="92"/>
      <c r="G541" s="125" t="str">
        <f t="array" ref="G541">ifs(or($F541="",$F541="Main Primary Artist"),$F541,not(iserror(vlookup($F541,'Reference info'!$J$5:$J$8,1,0))),"Key Artist",not(iserror(vlookup($F541,'Reference info'!$J$38:$J$405,1,0))),"Performer",not(iserror(vlookup($F541,'Reference info'!$J$10:$J$36,1,0))),"Producer &amp; Engineer")</f>
        <v/>
      </c>
    </row>
    <row r="542">
      <c r="B542" s="97"/>
      <c r="C542" s="121" t="str">
        <f t="array" ref="C542">ifs(and(isblank($A542),isblank($B542)),"", not(iserror(vlookup($A542&amp;$B542,'5) Release_Track'!$F:$F&amp;'5) Release_Track'!$G:$G,1,0))),vlookup($A542&amp;$B542,{'5) Release_Track'!$F:$F&amp;'5) Release_Track'!$G:$G,'5) Release_Track'!$H:$H},2,0),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D542" s="121" t="str">
        <f t="array" ref="D542">ifs(and(isblank($A542),isblank($B542)),"", not(iserror(vlookup($A542&amp;$B542,'5) Release_Track'!$F:$F&amp;'5) Release_Track'!$G:$G,1,0))),vlookup($A542&amp;$B542,{'5) Release_Track'!$F:$F&amp;'5) Release_Track'!$G:$G,'5) Release_Track'!$I:$I},2,0),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E542" s="92"/>
      <c r="F542" s="92"/>
      <c r="G542" s="125" t="str">
        <f t="array" ref="G542">ifs(or($F542="",$F542="Main Primary Artist"),$F542,not(iserror(vlookup($F542,'Reference info'!$J$5:$J$8,1,0))),"Key Artist",not(iserror(vlookup($F542,'Reference info'!$J$38:$J$405,1,0))),"Performer",not(iserror(vlookup($F542,'Reference info'!$J$10:$J$36,1,0))),"Producer &amp; Engineer")</f>
        <v/>
      </c>
    </row>
    <row r="543">
      <c r="B543" s="97"/>
      <c r="C543" s="121" t="str">
        <f t="array" ref="C543">ifs(and(isblank($A543),isblank($B543)),"", not(iserror(vlookup($A543&amp;$B543,'5) Release_Track'!$F:$F&amp;'5) Release_Track'!$G:$G,1,0))),vlookup($A543&amp;$B543,{'5) Release_Track'!$F:$F&amp;'5) Release_Track'!$G:$G,'5) Release_Track'!$H:$H},2,0),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D543" s="121" t="str">
        <f t="array" ref="D543">ifs(and(isblank($A543),isblank($B543)),"", not(iserror(vlookup($A543&amp;$B543,'5) Release_Track'!$F:$F&amp;'5) Release_Track'!$G:$G,1,0))),vlookup($A543&amp;$B543,{'5) Release_Track'!$F:$F&amp;'5) Release_Track'!$G:$G,'5) Release_Track'!$I:$I},2,0),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E543" s="92"/>
      <c r="F543" s="92"/>
      <c r="G543" s="125" t="str">
        <f t="array" ref="G543">ifs(or($F543="",$F543="Main Primary Artist"),$F543,not(iserror(vlookup($F543,'Reference info'!$J$5:$J$8,1,0))),"Key Artist",not(iserror(vlookup($F543,'Reference info'!$J$38:$J$405,1,0))),"Performer",not(iserror(vlookup($F543,'Reference info'!$J$10:$J$36,1,0))),"Producer &amp; Engineer")</f>
        <v/>
      </c>
    </row>
    <row r="544">
      <c r="B544" s="97"/>
      <c r="C544" s="121" t="str">
        <f t="array" ref="C544">ifs(and(isblank($A544),isblank($B544)),"", not(iserror(vlookup($A544&amp;$B544,'5) Release_Track'!$F:$F&amp;'5) Release_Track'!$G:$G,1,0))),vlookup($A544&amp;$B544,{'5) Release_Track'!$F:$F&amp;'5) Release_Track'!$G:$G,'5) Release_Track'!$H:$H},2,0),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D544" s="121" t="str">
        <f t="array" ref="D544">ifs(and(isblank($A544),isblank($B544)),"", not(iserror(vlookup($A544&amp;$B544,'5) Release_Track'!$F:$F&amp;'5) Release_Track'!$G:$G,1,0))),vlookup($A544&amp;$B544,{'5) Release_Track'!$F:$F&amp;'5) Release_Track'!$G:$G,'5) Release_Track'!$I:$I},2,0),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E544" s="92"/>
      <c r="F544" s="92"/>
      <c r="G544" s="125" t="str">
        <f t="array" ref="G544">ifs(or($F544="",$F544="Main Primary Artist"),$F544,not(iserror(vlookup($F544,'Reference info'!$J$5:$J$8,1,0))),"Key Artist",not(iserror(vlookup($F544,'Reference info'!$J$38:$J$405,1,0))),"Performer",not(iserror(vlookup($F544,'Reference info'!$J$10:$J$36,1,0))),"Producer &amp; Engineer")</f>
        <v/>
      </c>
    </row>
    <row r="545">
      <c r="B545" s="97"/>
      <c r="C545" s="121" t="str">
        <f t="array" ref="C545">ifs(and(isblank($A545),isblank($B545)),"", not(iserror(vlookup($A545&amp;$B545,'5) Release_Track'!$F:$F&amp;'5) Release_Track'!$G:$G,1,0))),vlookup($A545&amp;$B545,{'5) Release_Track'!$F:$F&amp;'5) Release_Track'!$G:$G,'5) Release_Track'!$H:$H},2,0),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D545" s="121" t="str">
        <f t="array" ref="D545">ifs(and(isblank($A545),isblank($B545)),"", not(iserror(vlookup($A545&amp;$B545,'5) Release_Track'!$F:$F&amp;'5) Release_Track'!$G:$G,1,0))),vlookup($A545&amp;$B545,{'5) Release_Track'!$F:$F&amp;'5) Release_Track'!$G:$G,'5) Release_Track'!$I:$I},2,0),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E545" s="92"/>
      <c r="F545" s="92"/>
      <c r="G545" s="125" t="str">
        <f t="array" ref="G545">ifs(or($F545="",$F545="Main Primary Artist"),$F545,not(iserror(vlookup($F545,'Reference info'!$J$5:$J$8,1,0))),"Key Artist",not(iserror(vlookup($F545,'Reference info'!$J$38:$J$405,1,0))),"Performer",not(iserror(vlookup($F545,'Reference info'!$J$10:$J$36,1,0))),"Producer &amp; Engineer")</f>
        <v/>
      </c>
    </row>
    <row r="546">
      <c r="B546" s="97"/>
      <c r="C546" s="121" t="str">
        <f t="array" ref="C546">ifs(and(isblank($A546),isblank($B546)),"", not(iserror(vlookup($A546&amp;$B546,'5) Release_Track'!$F:$F&amp;'5) Release_Track'!$G:$G,1,0))),vlookup($A546&amp;$B546,{'5) Release_Track'!$F:$F&amp;'5) Release_Track'!$G:$G,'5) Release_Track'!$H:$H},2,0),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D546" s="121" t="str">
        <f t="array" ref="D546">ifs(and(isblank($A546),isblank($B546)),"", not(iserror(vlookup($A546&amp;$B546,'5) Release_Track'!$F:$F&amp;'5) Release_Track'!$G:$G,1,0))),vlookup($A546&amp;$B546,{'5) Release_Track'!$F:$F&amp;'5) Release_Track'!$G:$G,'5) Release_Track'!$I:$I},2,0),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E546" s="92"/>
      <c r="F546" s="92"/>
      <c r="G546" s="125" t="str">
        <f t="array" ref="G546">ifs(or($F546="",$F546="Main Primary Artist"),$F546,not(iserror(vlookup($F546,'Reference info'!$J$5:$J$8,1,0))),"Key Artist",not(iserror(vlookup($F546,'Reference info'!$J$38:$J$405,1,0))),"Performer",not(iserror(vlookup($F546,'Reference info'!$J$10:$J$36,1,0))),"Producer &amp; Engineer")</f>
        <v/>
      </c>
    </row>
    <row r="547">
      <c r="B547" s="97"/>
      <c r="C547" s="121" t="str">
        <f t="array" ref="C547">ifs(and(isblank($A547),isblank($B547)),"", not(iserror(vlookup($A547&amp;$B547,'5) Release_Track'!$F:$F&amp;'5) Release_Track'!$G:$G,1,0))),vlookup($A547&amp;$B547,{'5) Release_Track'!$F:$F&amp;'5) Release_Track'!$G:$G,'5) Release_Track'!$H:$H},2,0),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D547" s="121" t="str">
        <f t="array" ref="D547">ifs(and(isblank($A547),isblank($B547)),"", not(iserror(vlookup($A547&amp;$B547,'5) Release_Track'!$F:$F&amp;'5) Release_Track'!$G:$G,1,0))),vlookup($A547&amp;$B547,{'5) Release_Track'!$F:$F&amp;'5) Release_Track'!$G:$G,'5) Release_Track'!$I:$I},2,0),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E547" s="92"/>
      <c r="F547" s="92"/>
      <c r="G547" s="125" t="str">
        <f t="array" ref="G547">ifs(or($F547="",$F547="Main Primary Artist"),$F547,not(iserror(vlookup($F547,'Reference info'!$J$5:$J$8,1,0))),"Key Artist",not(iserror(vlookup($F547,'Reference info'!$J$38:$J$405,1,0))),"Performer",not(iserror(vlookup($F547,'Reference info'!$J$10:$J$36,1,0))),"Producer &amp; Engineer")</f>
        <v/>
      </c>
    </row>
    <row r="548">
      <c r="B548" s="97"/>
      <c r="C548" s="121" t="str">
        <f t="array" ref="C548">ifs(and(isblank($A548),isblank($B548)),"", not(iserror(vlookup($A548&amp;$B548,'5) Release_Track'!$F:$F&amp;'5) Release_Track'!$G:$G,1,0))),vlookup($A548&amp;$B548,{'5) Release_Track'!$F:$F&amp;'5) Release_Track'!$G:$G,'5) Release_Track'!$H:$H},2,0),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D548" s="121" t="str">
        <f t="array" ref="D548">ifs(and(isblank($A548),isblank($B548)),"", not(iserror(vlookup($A548&amp;$B548,'5) Release_Track'!$F:$F&amp;'5) Release_Track'!$G:$G,1,0))),vlookup($A548&amp;$B548,{'5) Release_Track'!$F:$F&amp;'5) Release_Track'!$G:$G,'5) Release_Track'!$I:$I},2,0),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E548" s="92"/>
      <c r="F548" s="92"/>
      <c r="G548" s="125" t="str">
        <f t="array" ref="G548">ifs(or($F548="",$F548="Main Primary Artist"),$F548,not(iserror(vlookup($F548,'Reference info'!$J$5:$J$8,1,0))),"Key Artist",not(iserror(vlookup($F548,'Reference info'!$J$38:$J$405,1,0))),"Performer",not(iserror(vlookup($F548,'Reference info'!$J$10:$J$36,1,0))),"Producer &amp; Engineer")</f>
        <v/>
      </c>
    </row>
    <row r="549">
      <c r="B549" s="97"/>
      <c r="C549" s="121" t="str">
        <f t="array" ref="C549">ifs(and(isblank($A549),isblank($B549)),"", not(iserror(vlookup($A549&amp;$B549,'5) Release_Track'!$F:$F&amp;'5) Release_Track'!$G:$G,1,0))),vlookup($A549&amp;$B549,{'5) Release_Track'!$F:$F&amp;'5) Release_Track'!$G:$G,'5) Release_Track'!$H:$H},2,0),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D549" s="121" t="str">
        <f t="array" ref="D549">ifs(and(isblank($A549),isblank($B549)),"", not(iserror(vlookup($A549&amp;$B549,'5) Release_Track'!$F:$F&amp;'5) Release_Track'!$G:$G,1,0))),vlookup($A549&amp;$B549,{'5) Release_Track'!$F:$F&amp;'5) Release_Track'!$G:$G,'5) Release_Track'!$I:$I},2,0),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E549" s="92"/>
      <c r="F549" s="92"/>
      <c r="G549" s="125" t="str">
        <f t="array" ref="G549">ifs(or($F549="",$F549="Main Primary Artist"),$F549,not(iserror(vlookup($F549,'Reference info'!$J$5:$J$8,1,0))),"Key Artist",not(iserror(vlookup($F549,'Reference info'!$J$38:$J$405,1,0))),"Performer",not(iserror(vlookup($F549,'Reference info'!$J$10:$J$36,1,0))),"Producer &amp; Engineer")</f>
        <v/>
      </c>
    </row>
    <row r="550">
      <c r="B550" s="97"/>
      <c r="C550" s="121" t="str">
        <f t="array" ref="C550">ifs(and(isblank($A550),isblank($B550)),"", not(iserror(vlookup($A550&amp;$B550,'5) Release_Track'!$F:$F&amp;'5) Release_Track'!$G:$G,1,0))),vlookup($A550&amp;$B550,{'5) Release_Track'!$F:$F&amp;'5) Release_Track'!$G:$G,'5) Release_Track'!$H:$H},2,0),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D550" s="121" t="str">
        <f t="array" ref="D550">ifs(and(isblank($A550),isblank($B550)),"", not(iserror(vlookup($A550&amp;$B550,'5) Release_Track'!$F:$F&amp;'5) Release_Track'!$G:$G,1,0))),vlookup($A550&amp;$B550,{'5) Release_Track'!$F:$F&amp;'5) Release_Track'!$G:$G,'5) Release_Track'!$I:$I},2,0),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E550" s="92"/>
      <c r="F550" s="92"/>
      <c r="G550" s="125" t="str">
        <f t="array" ref="G550">ifs(or($F550="",$F550="Main Primary Artist"),$F550,not(iserror(vlookup($F550,'Reference info'!$J$5:$J$8,1,0))),"Key Artist",not(iserror(vlookup($F550,'Reference info'!$J$38:$J$405,1,0))),"Performer",not(iserror(vlookup($F550,'Reference info'!$J$10:$J$36,1,0))),"Producer &amp; Engineer")</f>
        <v/>
      </c>
    </row>
    <row r="551">
      <c r="B551" s="97"/>
      <c r="C551" s="121" t="str">
        <f t="array" ref="C551">ifs(and(isblank($A551),isblank($B551)),"", not(iserror(vlookup($A551&amp;$B551,'5) Release_Track'!$F:$F&amp;'5) Release_Track'!$G:$G,1,0))),vlookup($A551&amp;$B551,{'5) Release_Track'!$F:$F&amp;'5) Release_Track'!$G:$G,'5) Release_Track'!$H:$H},2,0),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D551" s="121" t="str">
        <f t="array" ref="D551">ifs(and(isblank($A551),isblank($B551)),"", not(iserror(vlookup($A551&amp;$B551,'5) Release_Track'!$F:$F&amp;'5) Release_Track'!$G:$G,1,0))),vlookup($A551&amp;$B551,{'5) Release_Track'!$F:$F&amp;'5) Release_Track'!$G:$G,'5) Release_Track'!$I:$I},2,0),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E551" s="92"/>
      <c r="F551" s="92"/>
      <c r="G551" s="125" t="str">
        <f t="array" ref="G551">ifs(or($F551="",$F551="Main Primary Artist"),$F551,not(iserror(vlookup($F551,'Reference info'!$J$5:$J$8,1,0))),"Key Artist",not(iserror(vlookup($F551,'Reference info'!$J$38:$J$405,1,0))),"Performer",not(iserror(vlookup($F551,'Reference info'!$J$10:$J$36,1,0))),"Producer &amp; Engineer")</f>
        <v/>
      </c>
    </row>
    <row r="552">
      <c r="B552" s="97"/>
      <c r="C552" s="121" t="str">
        <f t="array" ref="C552">ifs(and(isblank($A552),isblank($B552)),"", not(iserror(vlookup($A552&amp;$B552,'5) Release_Track'!$F:$F&amp;'5) Release_Track'!$G:$G,1,0))),vlookup($A552&amp;$B552,{'5) Release_Track'!$F:$F&amp;'5) Release_Track'!$G:$G,'5) Release_Track'!$H:$H},2,0),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D552" s="121" t="str">
        <f t="array" ref="D552">ifs(and(isblank($A552),isblank($B552)),"", not(iserror(vlookup($A552&amp;$B552,'5) Release_Track'!$F:$F&amp;'5) Release_Track'!$G:$G,1,0))),vlookup($A552&amp;$B552,{'5) Release_Track'!$F:$F&amp;'5) Release_Track'!$G:$G,'5) Release_Track'!$I:$I},2,0),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E552" s="92"/>
      <c r="F552" s="92"/>
      <c r="G552" s="125" t="str">
        <f t="array" ref="G552">ifs(or($F552="",$F552="Main Primary Artist"),$F552,not(iserror(vlookup($F552,'Reference info'!$J$5:$J$8,1,0))),"Key Artist",not(iserror(vlookup($F552,'Reference info'!$J$38:$J$405,1,0))),"Performer",not(iserror(vlookup($F552,'Reference info'!$J$10:$J$36,1,0))),"Producer &amp; Engineer")</f>
        <v/>
      </c>
    </row>
    <row r="553">
      <c r="B553" s="97"/>
      <c r="C553" s="121" t="str">
        <f t="array" ref="C553">ifs(and(isblank($A553),isblank($B553)),"", not(iserror(vlookup($A553&amp;$B553,'5) Release_Track'!$F:$F&amp;'5) Release_Track'!$G:$G,1,0))),vlookup($A553&amp;$B553,{'5) Release_Track'!$F:$F&amp;'5) Release_Track'!$G:$G,'5) Release_Track'!$H:$H},2,0),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D553" s="121" t="str">
        <f t="array" ref="D553">ifs(and(isblank($A553),isblank($B553)),"", not(iserror(vlookup($A553&amp;$B553,'5) Release_Track'!$F:$F&amp;'5) Release_Track'!$G:$G,1,0))),vlookup($A553&amp;$B553,{'5) Release_Track'!$F:$F&amp;'5) Release_Track'!$G:$G,'5) Release_Track'!$I:$I},2,0),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E553" s="92"/>
      <c r="F553" s="92"/>
      <c r="G553" s="125" t="str">
        <f t="array" ref="G553">ifs(or($F553="",$F553="Main Primary Artist"),$F553,not(iserror(vlookup($F553,'Reference info'!$J$5:$J$8,1,0))),"Key Artist",not(iserror(vlookup($F553,'Reference info'!$J$38:$J$405,1,0))),"Performer",not(iserror(vlookup($F553,'Reference info'!$J$10:$J$36,1,0))),"Producer &amp; Engineer")</f>
        <v/>
      </c>
    </row>
    <row r="554">
      <c r="B554" s="97"/>
      <c r="C554" s="121" t="str">
        <f t="array" ref="C554">ifs(and(isblank($A554),isblank($B554)),"", not(iserror(vlookup($A554&amp;$B554,'5) Release_Track'!$F:$F&amp;'5) Release_Track'!$G:$G,1,0))),vlookup($A554&amp;$B554,{'5) Release_Track'!$F:$F&amp;'5) Release_Track'!$G:$G,'5) Release_Track'!$H:$H},2,0),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D554" s="121" t="str">
        <f t="array" ref="D554">ifs(and(isblank($A554),isblank($B554)),"", not(iserror(vlookup($A554&amp;$B554,'5) Release_Track'!$F:$F&amp;'5) Release_Track'!$G:$G,1,0))),vlookup($A554&amp;$B554,{'5) Release_Track'!$F:$F&amp;'5) Release_Track'!$G:$G,'5) Release_Track'!$I:$I},2,0),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E554" s="92"/>
      <c r="F554" s="92"/>
      <c r="G554" s="125" t="str">
        <f t="array" ref="G554">ifs(or($F554="",$F554="Main Primary Artist"),$F554,not(iserror(vlookup($F554,'Reference info'!$J$5:$J$8,1,0))),"Key Artist",not(iserror(vlookup($F554,'Reference info'!$J$38:$J$405,1,0))),"Performer",not(iserror(vlookup($F554,'Reference info'!$J$10:$J$36,1,0))),"Producer &amp; Engineer")</f>
        <v/>
      </c>
    </row>
    <row r="555">
      <c r="B555" s="97"/>
      <c r="C555" s="121" t="str">
        <f t="array" ref="C555">ifs(and(isblank($A555),isblank($B555)),"", not(iserror(vlookup($A555&amp;$B555,'5) Release_Track'!$F:$F&amp;'5) Release_Track'!$G:$G,1,0))),vlookup($A555&amp;$B555,{'5) Release_Track'!$F:$F&amp;'5) Release_Track'!$G:$G,'5) Release_Track'!$H:$H},2,0),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D555" s="121" t="str">
        <f t="array" ref="D555">ifs(and(isblank($A555),isblank($B555)),"", not(iserror(vlookup($A555&amp;$B555,'5) Release_Track'!$F:$F&amp;'5) Release_Track'!$G:$G,1,0))),vlookup($A555&amp;$B555,{'5) Release_Track'!$F:$F&amp;'5) Release_Track'!$G:$G,'5) Release_Track'!$I:$I},2,0),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E555" s="92"/>
      <c r="F555" s="92"/>
      <c r="G555" s="125" t="str">
        <f t="array" ref="G555">ifs(or($F555="",$F555="Main Primary Artist"),$F555,not(iserror(vlookup($F555,'Reference info'!$J$5:$J$8,1,0))),"Key Artist",not(iserror(vlookup($F555,'Reference info'!$J$38:$J$405,1,0))),"Performer",not(iserror(vlookup($F555,'Reference info'!$J$10:$J$36,1,0))),"Producer &amp; Engineer")</f>
        <v/>
      </c>
    </row>
    <row r="556">
      <c r="B556" s="97"/>
      <c r="C556" s="121" t="str">
        <f t="array" ref="C556">ifs(and(isblank($A556),isblank($B556)),"", not(iserror(vlookup($A556&amp;$B556,'5) Release_Track'!$F:$F&amp;'5) Release_Track'!$G:$G,1,0))),vlookup($A556&amp;$B556,{'5) Release_Track'!$F:$F&amp;'5) Release_Track'!$G:$G,'5) Release_Track'!$H:$H},2,0),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D556" s="121" t="str">
        <f t="array" ref="D556">ifs(and(isblank($A556),isblank($B556)),"", not(iserror(vlookup($A556&amp;$B556,'5) Release_Track'!$F:$F&amp;'5) Release_Track'!$G:$G,1,0))),vlookup($A556&amp;$B556,{'5) Release_Track'!$F:$F&amp;'5) Release_Track'!$G:$G,'5) Release_Track'!$I:$I},2,0),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E556" s="92"/>
      <c r="F556" s="92"/>
      <c r="G556" s="125" t="str">
        <f t="array" ref="G556">ifs(or($F556="",$F556="Main Primary Artist"),$F556,not(iserror(vlookup($F556,'Reference info'!$J$5:$J$8,1,0))),"Key Artist",not(iserror(vlookup($F556,'Reference info'!$J$38:$J$405,1,0))),"Performer",not(iserror(vlookup($F556,'Reference info'!$J$10:$J$36,1,0))),"Producer &amp; Engineer")</f>
        <v/>
      </c>
    </row>
    <row r="557">
      <c r="B557" s="97"/>
      <c r="C557" s="121" t="str">
        <f t="array" ref="C557">ifs(and(isblank($A557),isblank($B557)),"", not(iserror(vlookup($A557&amp;$B557,'5) Release_Track'!$F:$F&amp;'5) Release_Track'!$G:$G,1,0))),vlookup($A557&amp;$B557,{'5) Release_Track'!$F:$F&amp;'5) Release_Track'!$G:$G,'5) Release_Track'!$H:$H},2,0),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D557" s="121" t="str">
        <f t="array" ref="D557">ifs(and(isblank($A557),isblank($B557)),"", not(iserror(vlookup($A557&amp;$B557,'5) Release_Track'!$F:$F&amp;'5) Release_Track'!$G:$G,1,0))),vlookup($A557&amp;$B557,{'5) Release_Track'!$F:$F&amp;'5) Release_Track'!$G:$G,'5) Release_Track'!$I:$I},2,0),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E557" s="92"/>
      <c r="F557" s="92"/>
      <c r="G557" s="125" t="str">
        <f t="array" ref="G557">ifs(or($F557="",$F557="Main Primary Artist"),$F557,not(iserror(vlookup($F557,'Reference info'!$J$5:$J$8,1,0))),"Key Artist",not(iserror(vlookup($F557,'Reference info'!$J$38:$J$405,1,0))),"Performer",not(iserror(vlookup($F557,'Reference info'!$J$10:$J$36,1,0))),"Producer &amp; Engineer")</f>
        <v/>
      </c>
    </row>
    <row r="558">
      <c r="B558" s="97"/>
      <c r="C558" s="121" t="str">
        <f t="array" ref="C558">ifs(and(isblank($A558),isblank($B558)),"", not(iserror(vlookup($A558&amp;$B558,'5) Release_Track'!$F:$F&amp;'5) Release_Track'!$G:$G,1,0))),vlookup($A558&amp;$B558,{'5) Release_Track'!$F:$F&amp;'5) Release_Track'!$G:$G,'5) Release_Track'!$H:$H},2,0),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D558" s="121" t="str">
        <f t="array" ref="D558">ifs(and(isblank($A558),isblank($B558)),"", not(iserror(vlookup($A558&amp;$B558,'5) Release_Track'!$F:$F&amp;'5) Release_Track'!$G:$G,1,0))),vlookup($A558&amp;$B558,{'5) Release_Track'!$F:$F&amp;'5) Release_Track'!$G:$G,'5) Release_Track'!$I:$I},2,0),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E558" s="92"/>
      <c r="F558" s="92"/>
      <c r="G558" s="125" t="str">
        <f t="array" ref="G558">ifs(or($F558="",$F558="Main Primary Artist"),$F558,not(iserror(vlookup($F558,'Reference info'!$J$5:$J$8,1,0))),"Key Artist",not(iserror(vlookup($F558,'Reference info'!$J$38:$J$405,1,0))),"Performer",not(iserror(vlookup($F558,'Reference info'!$J$10:$J$36,1,0))),"Producer &amp; Engineer")</f>
        <v/>
      </c>
    </row>
    <row r="559">
      <c r="B559" s="97"/>
      <c r="C559" s="121" t="str">
        <f t="array" ref="C559">ifs(and(isblank($A559),isblank($B559)),"", not(iserror(vlookup($A559&amp;$B559,'5) Release_Track'!$F:$F&amp;'5) Release_Track'!$G:$G,1,0))),vlookup($A559&amp;$B559,{'5) Release_Track'!$F:$F&amp;'5) Release_Track'!$G:$G,'5) Release_Track'!$H:$H},2,0),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D559" s="121" t="str">
        <f t="array" ref="D559">ifs(and(isblank($A559),isblank($B559)),"", not(iserror(vlookup($A559&amp;$B559,'5) Release_Track'!$F:$F&amp;'5) Release_Track'!$G:$G,1,0))),vlookup($A559&amp;$B559,{'5) Release_Track'!$F:$F&amp;'5) Release_Track'!$G:$G,'5) Release_Track'!$I:$I},2,0),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E559" s="92"/>
      <c r="F559" s="92"/>
      <c r="G559" s="125" t="str">
        <f t="array" ref="G559">ifs(or($F559="",$F559="Main Primary Artist"),$F559,not(iserror(vlookup($F559,'Reference info'!$J$5:$J$8,1,0))),"Key Artist",not(iserror(vlookup($F559,'Reference info'!$J$38:$J$405,1,0))),"Performer",not(iserror(vlookup($F559,'Reference info'!$J$10:$J$36,1,0))),"Producer &amp; Engineer")</f>
        <v/>
      </c>
    </row>
    <row r="560">
      <c r="B560" s="97"/>
      <c r="C560" s="121" t="str">
        <f t="array" ref="C560">ifs(and(isblank($A560),isblank($B560)),"", not(iserror(vlookup($A560&amp;$B560,'5) Release_Track'!$F:$F&amp;'5) Release_Track'!$G:$G,1,0))),vlookup($A560&amp;$B560,{'5) Release_Track'!$F:$F&amp;'5) Release_Track'!$G:$G,'5) Release_Track'!$H:$H},2,0),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D560" s="121" t="str">
        <f t="array" ref="D560">ifs(and(isblank($A560),isblank($B560)),"", not(iserror(vlookup($A560&amp;$B560,'5) Release_Track'!$F:$F&amp;'5) Release_Track'!$G:$G,1,0))),vlookup($A560&amp;$B560,{'5) Release_Track'!$F:$F&amp;'5) Release_Track'!$G:$G,'5) Release_Track'!$I:$I},2,0),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E560" s="92"/>
      <c r="F560" s="92"/>
      <c r="G560" s="125" t="str">
        <f t="array" ref="G560">ifs(or($F560="",$F560="Main Primary Artist"),$F560,not(iserror(vlookup($F560,'Reference info'!$J$5:$J$8,1,0))),"Key Artist",not(iserror(vlookup($F560,'Reference info'!$J$38:$J$405,1,0))),"Performer",not(iserror(vlookup($F560,'Reference info'!$J$10:$J$36,1,0))),"Producer &amp; Engineer")</f>
        <v/>
      </c>
    </row>
    <row r="561">
      <c r="B561" s="97"/>
      <c r="C561" s="121" t="str">
        <f t="array" ref="C561">ifs(and(isblank($A561),isblank($B561)),"", not(iserror(vlookup($A561&amp;$B561,'5) Release_Track'!$F:$F&amp;'5) Release_Track'!$G:$G,1,0))),vlookup($A561&amp;$B561,{'5) Release_Track'!$F:$F&amp;'5) Release_Track'!$G:$G,'5) Release_Track'!$H:$H},2,0),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D561" s="121" t="str">
        <f t="array" ref="D561">ifs(and(isblank($A561),isblank($B561)),"", not(iserror(vlookup($A561&amp;$B561,'5) Release_Track'!$F:$F&amp;'5) Release_Track'!$G:$G,1,0))),vlookup($A561&amp;$B561,{'5) Release_Track'!$F:$F&amp;'5) Release_Track'!$G:$G,'5) Release_Track'!$I:$I},2,0),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E561" s="92"/>
      <c r="F561" s="92"/>
      <c r="G561" s="125" t="str">
        <f t="array" ref="G561">ifs(or($F561="",$F561="Main Primary Artist"),$F561,not(iserror(vlookup($F561,'Reference info'!$J$5:$J$8,1,0))),"Key Artist",not(iserror(vlookup($F561,'Reference info'!$J$38:$J$405,1,0))),"Performer",not(iserror(vlookup($F561,'Reference info'!$J$10:$J$36,1,0))),"Producer &amp; Engineer")</f>
        <v/>
      </c>
    </row>
    <row r="562">
      <c r="B562" s="97"/>
      <c r="C562" s="121" t="str">
        <f t="array" ref="C562">ifs(and(isblank($A562),isblank($B562)),"", not(iserror(vlookup($A562&amp;$B562,'5) Release_Track'!$F:$F&amp;'5) Release_Track'!$G:$G,1,0))),vlookup($A562&amp;$B562,{'5) Release_Track'!$F:$F&amp;'5) Release_Track'!$G:$G,'5) Release_Track'!$H:$H},2,0),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D562" s="121" t="str">
        <f t="array" ref="D562">ifs(and(isblank($A562),isblank($B562)),"", not(iserror(vlookup($A562&amp;$B562,'5) Release_Track'!$F:$F&amp;'5) Release_Track'!$G:$G,1,0))),vlookup($A562&amp;$B562,{'5) Release_Track'!$F:$F&amp;'5) Release_Track'!$G:$G,'5) Release_Track'!$I:$I},2,0),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E562" s="92"/>
      <c r="F562" s="92"/>
      <c r="G562" s="125" t="str">
        <f t="array" ref="G562">ifs(or($F562="",$F562="Main Primary Artist"),$F562,not(iserror(vlookup($F562,'Reference info'!$J$5:$J$8,1,0))),"Key Artist",not(iserror(vlookup($F562,'Reference info'!$J$38:$J$405,1,0))),"Performer",not(iserror(vlookup($F562,'Reference info'!$J$10:$J$36,1,0))),"Producer &amp; Engineer")</f>
        <v/>
      </c>
    </row>
    <row r="563">
      <c r="B563" s="97"/>
      <c r="C563" s="121" t="str">
        <f t="array" ref="C563">ifs(and(isblank($A563),isblank($B563)),"", not(iserror(vlookup($A563&amp;$B563,'5) Release_Track'!$F:$F&amp;'5) Release_Track'!$G:$G,1,0))),vlookup($A563&amp;$B563,{'5) Release_Track'!$F:$F&amp;'5) Release_Track'!$G:$G,'5) Release_Track'!$H:$H},2,0),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D563" s="121" t="str">
        <f t="array" ref="D563">ifs(and(isblank($A563),isblank($B563)),"", not(iserror(vlookup($A563&amp;$B563,'5) Release_Track'!$F:$F&amp;'5) Release_Track'!$G:$G,1,0))),vlookup($A563&amp;$B563,{'5) Release_Track'!$F:$F&amp;'5) Release_Track'!$G:$G,'5) Release_Track'!$I:$I},2,0),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E563" s="92"/>
      <c r="F563" s="92"/>
      <c r="G563" s="125" t="str">
        <f t="array" ref="G563">ifs(or($F563="",$F563="Main Primary Artist"),$F563,not(iserror(vlookup($F563,'Reference info'!$J$5:$J$8,1,0))),"Key Artist",not(iserror(vlookup($F563,'Reference info'!$J$38:$J$405,1,0))),"Performer",not(iserror(vlookup($F563,'Reference info'!$J$10:$J$36,1,0))),"Producer &amp; Engineer")</f>
        <v/>
      </c>
    </row>
    <row r="564">
      <c r="B564" s="97"/>
      <c r="C564" s="121" t="str">
        <f t="array" ref="C564">ifs(and(isblank($A564),isblank($B564)),"", not(iserror(vlookup($A564&amp;$B564,'5) Release_Track'!$F:$F&amp;'5) Release_Track'!$G:$G,1,0))),vlookup($A564&amp;$B564,{'5) Release_Track'!$F:$F&amp;'5) Release_Track'!$G:$G,'5) Release_Track'!$H:$H},2,0),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D564" s="121" t="str">
        <f t="array" ref="D564">ifs(and(isblank($A564),isblank($B564)),"", not(iserror(vlookup($A564&amp;$B564,'5) Release_Track'!$F:$F&amp;'5) Release_Track'!$G:$G,1,0))),vlookup($A564&amp;$B564,{'5) Release_Track'!$F:$F&amp;'5) Release_Track'!$G:$G,'5) Release_Track'!$I:$I},2,0),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E564" s="92"/>
      <c r="F564" s="92"/>
      <c r="G564" s="125" t="str">
        <f t="array" ref="G564">ifs(or($F564="",$F564="Main Primary Artist"),$F564,not(iserror(vlookup($F564,'Reference info'!$J$5:$J$8,1,0))),"Key Artist",not(iserror(vlookup($F564,'Reference info'!$J$38:$J$405,1,0))),"Performer",not(iserror(vlookup($F564,'Reference info'!$J$10:$J$36,1,0))),"Producer &amp; Engineer")</f>
        <v/>
      </c>
    </row>
    <row r="565">
      <c r="B565" s="97"/>
      <c r="C565" s="121" t="str">
        <f t="array" ref="C565">ifs(and(isblank($A565),isblank($B565)),"", not(iserror(vlookup($A565&amp;$B565,'5) Release_Track'!$F:$F&amp;'5) Release_Track'!$G:$G,1,0))),vlookup($A565&amp;$B565,{'5) Release_Track'!$F:$F&amp;'5) Release_Track'!$G:$G,'5) Release_Track'!$H:$H},2,0),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D565" s="121" t="str">
        <f t="array" ref="D565">ifs(and(isblank($A565),isblank($B565)),"", not(iserror(vlookup($A565&amp;$B565,'5) Release_Track'!$F:$F&amp;'5) Release_Track'!$G:$G,1,0))),vlookup($A565&amp;$B565,{'5) Release_Track'!$F:$F&amp;'5) Release_Track'!$G:$G,'5) Release_Track'!$I:$I},2,0),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E565" s="92"/>
      <c r="F565" s="92"/>
      <c r="G565" s="125" t="str">
        <f t="array" ref="G565">ifs(or($F565="",$F565="Main Primary Artist"),$F565,not(iserror(vlookup($F565,'Reference info'!$J$5:$J$8,1,0))),"Key Artist",not(iserror(vlookup($F565,'Reference info'!$J$38:$J$405,1,0))),"Performer",not(iserror(vlookup($F565,'Reference info'!$J$10:$J$36,1,0))),"Producer &amp; Engineer")</f>
        <v/>
      </c>
    </row>
    <row r="566">
      <c r="B566" s="97"/>
      <c r="C566" s="121" t="str">
        <f t="array" ref="C566">ifs(and(isblank($A566),isblank($B566)),"", not(iserror(vlookup($A566&amp;$B566,'5) Release_Track'!$F:$F&amp;'5) Release_Track'!$G:$G,1,0))),vlookup($A566&amp;$B566,{'5) Release_Track'!$F:$F&amp;'5) Release_Track'!$G:$G,'5) Release_Track'!$H:$H},2,0),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D566" s="121" t="str">
        <f t="array" ref="D566">ifs(and(isblank($A566),isblank($B566)),"", not(iserror(vlookup($A566&amp;$B566,'5) Release_Track'!$F:$F&amp;'5) Release_Track'!$G:$G,1,0))),vlookup($A566&amp;$B566,{'5) Release_Track'!$F:$F&amp;'5) Release_Track'!$G:$G,'5) Release_Track'!$I:$I},2,0),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E566" s="92"/>
      <c r="F566" s="92"/>
      <c r="G566" s="125" t="str">
        <f t="array" ref="G566">ifs(or($F566="",$F566="Main Primary Artist"),$F566,not(iserror(vlookup($F566,'Reference info'!$J$5:$J$8,1,0))),"Key Artist",not(iserror(vlookup($F566,'Reference info'!$J$38:$J$405,1,0))),"Performer",not(iserror(vlookup($F566,'Reference info'!$J$10:$J$36,1,0))),"Producer &amp; Engineer")</f>
        <v/>
      </c>
    </row>
    <row r="567">
      <c r="B567" s="97"/>
      <c r="C567" s="121" t="str">
        <f t="array" ref="C567">ifs(and(isblank($A567),isblank($B567)),"", not(iserror(vlookup($A567&amp;$B567,'5) Release_Track'!$F:$F&amp;'5) Release_Track'!$G:$G,1,0))),vlookup($A567&amp;$B567,{'5) Release_Track'!$F:$F&amp;'5) Release_Track'!$G:$G,'5) Release_Track'!$H:$H},2,0),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D567" s="121" t="str">
        <f t="array" ref="D567">ifs(and(isblank($A567),isblank($B567)),"", not(iserror(vlookup($A567&amp;$B567,'5) Release_Track'!$F:$F&amp;'5) Release_Track'!$G:$G,1,0))),vlookup($A567&amp;$B567,{'5) Release_Track'!$F:$F&amp;'5) Release_Track'!$G:$G,'5) Release_Track'!$I:$I},2,0),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E567" s="92"/>
      <c r="F567" s="92"/>
      <c r="G567" s="125" t="str">
        <f t="array" ref="G567">ifs(or($F567="",$F567="Main Primary Artist"),$F567,not(iserror(vlookup($F567,'Reference info'!$J$5:$J$8,1,0))),"Key Artist",not(iserror(vlookup($F567,'Reference info'!$J$38:$J$405,1,0))),"Performer",not(iserror(vlookup($F567,'Reference info'!$J$10:$J$36,1,0))),"Producer &amp; Engineer")</f>
        <v/>
      </c>
    </row>
    <row r="568">
      <c r="B568" s="97"/>
      <c r="C568" s="121" t="str">
        <f t="array" ref="C568">ifs(and(isblank($A568),isblank($B568)),"", not(iserror(vlookup($A568&amp;$B568,'5) Release_Track'!$F:$F&amp;'5) Release_Track'!$G:$G,1,0))),vlookup($A568&amp;$B568,{'5) Release_Track'!$F:$F&amp;'5) Release_Track'!$G:$G,'5) Release_Track'!$H:$H},2,0),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D568" s="121" t="str">
        <f t="array" ref="D568">ifs(and(isblank($A568),isblank($B568)),"", not(iserror(vlookup($A568&amp;$B568,'5) Release_Track'!$F:$F&amp;'5) Release_Track'!$G:$G,1,0))),vlookup($A568&amp;$B568,{'5) Release_Track'!$F:$F&amp;'5) Release_Track'!$G:$G,'5) Release_Track'!$I:$I},2,0),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E568" s="92"/>
      <c r="F568" s="92"/>
      <c r="G568" s="125" t="str">
        <f t="array" ref="G568">ifs(or($F568="",$F568="Main Primary Artist"),$F568,not(iserror(vlookup($F568,'Reference info'!$J$5:$J$8,1,0))),"Key Artist",not(iserror(vlookup($F568,'Reference info'!$J$38:$J$405,1,0))),"Performer",not(iserror(vlookup($F568,'Reference info'!$J$10:$J$36,1,0))),"Producer &amp; Engineer")</f>
        <v/>
      </c>
    </row>
    <row r="569">
      <c r="B569" s="97"/>
      <c r="C569" s="121" t="str">
        <f t="array" ref="C569">ifs(and(isblank($A569),isblank($B569)),"", not(iserror(vlookup($A569&amp;$B569,'5) Release_Track'!$F:$F&amp;'5) Release_Track'!$G:$G,1,0))),vlookup($A569&amp;$B569,{'5) Release_Track'!$F:$F&amp;'5) Release_Track'!$G:$G,'5) Release_Track'!$H:$H},2,0),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D569" s="121" t="str">
        <f t="array" ref="D569">ifs(and(isblank($A569),isblank($B569)),"", not(iserror(vlookup($A569&amp;$B569,'5) Release_Track'!$F:$F&amp;'5) Release_Track'!$G:$G,1,0))),vlookup($A569&amp;$B569,{'5) Release_Track'!$F:$F&amp;'5) Release_Track'!$G:$G,'5) Release_Track'!$I:$I},2,0),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E569" s="92"/>
      <c r="F569" s="92"/>
      <c r="G569" s="125" t="str">
        <f t="array" ref="G569">ifs(or($F569="",$F569="Main Primary Artist"),$F569,not(iserror(vlookup($F569,'Reference info'!$J$5:$J$8,1,0))),"Key Artist",not(iserror(vlookup($F569,'Reference info'!$J$38:$J$405,1,0))),"Performer",not(iserror(vlookup($F569,'Reference info'!$J$10:$J$36,1,0))),"Producer &amp; Engineer")</f>
        <v/>
      </c>
    </row>
    <row r="570">
      <c r="B570" s="97"/>
      <c r="C570" s="121" t="str">
        <f t="array" ref="C570">ifs(and(isblank($A570),isblank($B570)),"", not(iserror(vlookup($A570&amp;$B570,'5) Release_Track'!$F:$F&amp;'5) Release_Track'!$G:$G,1,0))),vlookup($A570&amp;$B570,{'5) Release_Track'!$F:$F&amp;'5) Release_Track'!$G:$G,'5) Release_Track'!$H:$H},2,0),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D570" s="121" t="str">
        <f t="array" ref="D570">ifs(and(isblank($A570),isblank($B570)),"", not(iserror(vlookup($A570&amp;$B570,'5) Release_Track'!$F:$F&amp;'5) Release_Track'!$G:$G,1,0))),vlookup($A570&amp;$B570,{'5) Release_Track'!$F:$F&amp;'5) Release_Track'!$G:$G,'5) Release_Track'!$I:$I},2,0),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E570" s="92"/>
      <c r="F570" s="92"/>
      <c r="G570" s="125" t="str">
        <f t="array" ref="G570">ifs(or($F570="",$F570="Main Primary Artist"),$F570,not(iserror(vlookup($F570,'Reference info'!$J$5:$J$8,1,0))),"Key Artist",not(iserror(vlookup($F570,'Reference info'!$J$38:$J$405,1,0))),"Performer",not(iserror(vlookup($F570,'Reference info'!$J$10:$J$36,1,0))),"Producer &amp; Engineer")</f>
        <v/>
      </c>
    </row>
    <row r="571">
      <c r="B571" s="97"/>
      <c r="C571" s="121" t="str">
        <f t="array" ref="C571">ifs(and(isblank($A571),isblank($B571)),"", not(iserror(vlookup($A571&amp;$B571,'5) Release_Track'!$F:$F&amp;'5) Release_Track'!$G:$G,1,0))),vlookup($A571&amp;$B571,{'5) Release_Track'!$F:$F&amp;'5) Release_Track'!$G:$G,'5) Release_Track'!$H:$H},2,0),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D571" s="121" t="str">
        <f t="array" ref="D571">ifs(and(isblank($A571),isblank($B571)),"", not(iserror(vlookup($A571&amp;$B571,'5) Release_Track'!$F:$F&amp;'5) Release_Track'!$G:$G,1,0))),vlookup($A571&amp;$B571,{'5) Release_Track'!$F:$F&amp;'5) Release_Track'!$G:$G,'5) Release_Track'!$I:$I},2,0),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E571" s="92"/>
      <c r="F571" s="92"/>
      <c r="G571" s="125" t="str">
        <f t="array" ref="G571">ifs(or($F571="",$F571="Main Primary Artist"),$F571,not(iserror(vlookup($F571,'Reference info'!$J$5:$J$8,1,0))),"Key Artist",not(iserror(vlookup($F571,'Reference info'!$J$38:$J$405,1,0))),"Performer",not(iserror(vlookup($F571,'Reference info'!$J$10:$J$36,1,0))),"Producer &amp; Engineer")</f>
        <v/>
      </c>
    </row>
    <row r="572">
      <c r="B572" s="97"/>
      <c r="C572" s="121" t="str">
        <f t="array" ref="C572">ifs(and(isblank($A572),isblank($B572)),"", not(iserror(vlookup($A572&amp;$B572,'5) Release_Track'!$F:$F&amp;'5) Release_Track'!$G:$G,1,0))),vlookup($A572&amp;$B572,{'5) Release_Track'!$F:$F&amp;'5) Release_Track'!$G:$G,'5) Release_Track'!$H:$H},2,0),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D572" s="121" t="str">
        <f t="array" ref="D572">ifs(and(isblank($A572),isblank($B572)),"", not(iserror(vlookup($A572&amp;$B572,'5) Release_Track'!$F:$F&amp;'5) Release_Track'!$G:$G,1,0))),vlookup($A572&amp;$B572,{'5) Release_Track'!$F:$F&amp;'5) Release_Track'!$G:$G,'5) Release_Track'!$I:$I},2,0),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E572" s="92"/>
      <c r="F572" s="92"/>
      <c r="G572" s="125" t="str">
        <f t="array" ref="G572">ifs(or($F572="",$F572="Main Primary Artist"),$F572,not(iserror(vlookup($F572,'Reference info'!$J$5:$J$8,1,0))),"Key Artist",not(iserror(vlookup($F572,'Reference info'!$J$38:$J$405,1,0))),"Performer",not(iserror(vlookup($F572,'Reference info'!$J$10:$J$36,1,0))),"Producer &amp; Engineer")</f>
        <v/>
      </c>
    </row>
    <row r="573">
      <c r="B573" s="97"/>
      <c r="C573" s="121" t="str">
        <f t="array" ref="C573">ifs(and(isblank($A573),isblank($B573)),"", not(iserror(vlookup($A573&amp;$B573,'5) Release_Track'!$F:$F&amp;'5) Release_Track'!$G:$G,1,0))),vlookup($A573&amp;$B573,{'5) Release_Track'!$F:$F&amp;'5) Release_Track'!$G:$G,'5) Release_Track'!$H:$H},2,0),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D573" s="121" t="str">
        <f t="array" ref="D573">ifs(and(isblank($A573),isblank($B573)),"", not(iserror(vlookup($A573&amp;$B573,'5) Release_Track'!$F:$F&amp;'5) Release_Track'!$G:$G,1,0))),vlookup($A573&amp;$B573,{'5) Release_Track'!$F:$F&amp;'5) Release_Track'!$G:$G,'5) Release_Track'!$I:$I},2,0),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E573" s="92"/>
      <c r="F573" s="92"/>
      <c r="G573" s="125" t="str">
        <f t="array" ref="G573">ifs(or($F573="",$F573="Main Primary Artist"),$F573,not(iserror(vlookup($F573,'Reference info'!$J$5:$J$8,1,0))),"Key Artist",not(iserror(vlookup($F573,'Reference info'!$J$38:$J$405,1,0))),"Performer",not(iserror(vlookup($F573,'Reference info'!$J$10:$J$36,1,0))),"Producer &amp; Engineer")</f>
        <v/>
      </c>
    </row>
    <row r="574">
      <c r="B574" s="97"/>
      <c r="C574" s="121" t="str">
        <f t="array" ref="C574">ifs(and(isblank($A574),isblank($B574)),"", not(iserror(vlookup($A574&amp;$B574,'5) Release_Track'!$F:$F&amp;'5) Release_Track'!$G:$G,1,0))),vlookup($A574&amp;$B574,{'5) Release_Track'!$F:$F&amp;'5) Release_Track'!$G:$G,'5) Release_Track'!$H:$H},2,0),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D574" s="121" t="str">
        <f t="array" ref="D574">ifs(and(isblank($A574),isblank($B574)),"", not(iserror(vlookup($A574&amp;$B574,'5) Release_Track'!$F:$F&amp;'5) Release_Track'!$G:$G,1,0))),vlookup($A574&amp;$B574,{'5) Release_Track'!$F:$F&amp;'5) Release_Track'!$G:$G,'5) Release_Track'!$I:$I},2,0),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E574" s="92"/>
      <c r="F574" s="92"/>
      <c r="G574" s="125" t="str">
        <f t="array" ref="G574">ifs(or($F574="",$F574="Main Primary Artist"),$F574,not(iserror(vlookup($F574,'Reference info'!$J$5:$J$8,1,0))),"Key Artist",not(iserror(vlookup($F574,'Reference info'!$J$38:$J$405,1,0))),"Performer",not(iserror(vlookup($F574,'Reference info'!$J$10:$J$36,1,0))),"Producer &amp; Engineer")</f>
        <v/>
      </c>
    </row>
    <row r="575">
      <c r="B575" s="97"/>
      <c r="C575" s="121" t="str">
        <f t="array" ref="C575">ifs(and(isblank($A575),isblank($B575)),"", not(iserror(vlookup($A575&amp;$B575,'5) Release_Track'!$F:$F&amp;'5) Release_Track'!$G:$G,1,0))),vlookup($A575&amp;$B575,{'5) Release_Track'!$F:$F&amp;'5) Release_Track'!$G:$G,'5) Release_Track'!$H:$H},2,0),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D575" s="121" t="str">
        <f t="array" ref="D575">ifs(and(isblank($A575),isblank($B575)),"", not(iserror(vlookup($A575&amp;$B575,'5) Release_Track'!$F:$F&amp;'5) Release_Track'!$G:$G,1,0))),vlookup($A575&amp;$B575,{'5) Release_Track'!$F:$F&amp;'5) Release_Track'!$G:$G,'5) Release_Track'!$I:$I},2,0),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E575" s="92"/>
      <c r="F575" s="92"/>
      <c r="G575" s="125" t="str">
        <f t="array" ref="G575">ifs(or($F575="",$F575="Main Primary Artist"),$F575,not(iserror(vlookup($F575,'Reference info'!$J$5:$J$8,1,0))),"Key Artist",not(iserror(vlookup($F575,'Reference info'!$J$38:$J$405,1,0))),"Performer",not(iserror(vlookup($F575,'Reference info'!$J$10:$J$36,1,0))),"Producer &amp; Engineer")</f>
        <v/>
      </c>
    </row>
    <row r="576">
      <c r="B576" s="97"/>
      <c r="C576" s="121" t="str">
        <f t="array" ref="C576">ifs(and(isblank($A576),isblank($B576)),"", not(iserror(vlookup($A576&amp;$B576,'5) Release_Track'!$F:$F&amp;'5) Release_Track'!$G:$G,1,0))),vlookup($A576&amp;$B576,{'5) Release_Track'!$F:$F&amp;'5) Release_Track'!$G:$G,'5) Release_Track'!$H:$H},2,0),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D576" s="121" t="str">
        <f t="array" ref="D576">ifs(and(isblank($A576),isblank($B576)),"", not(iserror(vlookup($A576&amp;$B576,'5) Release_Track'!$F:$F&amp;'5) Release_Track'!$G:$G,1,0))),vlookup($A576&amp;$B576,{'5) Release_Track'!$F:$F&amp;'5) Release_Track'!$G:$G,'5) Release_Track'!$I:$I},2,0),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E576" s="92"/>
      <c r="F576" s="92"/>
      <c r="G576" s="125" t="str">
        <f t="array" ref="G576">ifs(or($F576="",$F576="Main Primary Artist"),$F576,not(iserror(vlookup($F576,'Reference info'!$J$5:$J$8,1,0))),"Key Artist",not(iserror(vlookup($F576,'Reference info'!$J$38:$J$405,1,0))),"Performer",not(iserror(vlookup($F576,'Reference info'!$J$10:$J$36,1,0))),"Producer &amp; Engineer")</f>
        <v/>
      </c>
    </row>
    <row r="577">
      <c r="B577" s="97"/>
      <c r="C577" s="121" t="str">
        <f t="array" ref="C577">ifs(and(isblank($A577),isblank($B577)),"", not(iserror(vlookup($A577&amp;$B577,'5) Release_Track'!$F:$F&amp;'5) Release_Track'!$G:$G,1,0))),vlookup($A577&amp;$B577,{'5) Release_Track'!$F:$F&amp;'5) Release_Track'!$G:$G,'5) Release_Track'!$H:$H},2,0),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D577" s="121" t="str">
        <f t="array" ref="D577">ifs(and(isblank($A577),isblank($B577)),"", not(iserror(vlookup($A577&amp;$B577,'5) Release_Track'!$F:$F&amp;'5) Release_Track'!$G:$G,1,0))),vlookup($A577&amp;$B577,{'5) Release_Track'!$F:$F&amp;'5) Release_Track'!$G:$G,'5) Release_Track'!$I:$I},2,0),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E577" s="92"/>
      <c r="F577" s="92"/>
      <c r="G577" s="125" t="str">
        <f t="array" ref="G577">ifs(or($F577="",$F577="Main Primary Artist"),$F577,not(iserror(vlookup($F577,'Reference info'!$J$5:$J$8,1,0))),"Key Artist",not(iserror(vlookup($F577,'Reference info'!$J$38:$J$405,1,0))),"Performer",not(iserror(vlookup($F577,'Reference info'!$J$10:$J$36,1,0))),"Producer &amp; Engineer")</f>
        <v/>
      </c>
    </row>
    <row r="578">
      <c r="B578" s="97"/>
      <c r="C578" s="121" t="str">
        <f t="array" ref="C578">ifs(and(isblank($A578),isblank($B578)),"", not(iserror(vlookup($A578&amp;$B578,'5) Release_Track'!$F:$F&amp;'5) Release_Track'!$G:$G,1,0))),vlookup($A578&amp;$B578,{'5) Release_Track'!$F:$F&amp;'5) Release_Track'!$G:$G,'5) Release_Track'!$H:$H},2,0),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D578" s="121" t="str">
        <f t="array" ref="D578">ifs(and(isblank($A578),isblank($B578)),"", not(iserror(vlookup($A578&amp;$B578,'5) Release_Track'!$F:$F&amp;'5) Release_Track'!$G:$G,1,0))),vlookup($A578&amp;$B578,{'5) Release_Track'!$F:$F&amp;'5) Release_Track'!$G:$G,'5) Release_Track'!$I:$I},2,0),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E578" s="92"/>
      <c r="F578" s="92"/>
      <c r="G578" s="125" t="str">
        <f t="array" ref="G578">ifs(or($F578="",$F578="Main Primary Artist"),$F578,not(iserror(vlookup($F578,'Reference info'!$J$5:$J$8,1,0))),"Key Artist",not(iserror(vlookup($F578,'Reference info'!$J$38:$J$405,1,0))),"Performer",not(iserror(vlookup($F578,'Reference info'!$J$10:$J$36,1,0))),"Producer &amp; Engineer")</f>
        <v/>
      </c>
    </row>
    <row r="579">
      <c r="B579" s="97"/>
      <c r="C579" s="121" t="str">
        <f t="array" ref="C579">ifs(and(isblank($A579),isblank($B579)),"", not(iserror(vlookup($A579&amp;$B579,'5) Release_Track'!$F:$F&amp;'5) Release_Track'!$G:$G,1,0))),vlookup($A579&amp;$B579,{'5) Release_Track'!$F:$F&amp;'5) Release_Track'!$G:$G,'5) Release_Track'!$H:$H},2,0),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D579" s="121" t="str">
        <f t="array" ref="D579">ifs(and(isblank($A579),isblank($B579)),"", not(iserror(vlookup($A579&amp;$B579,'5) Release_Track'!$F:$F&amp;'5) Release_Track'!$G:$G,1,0))),vlookup($A579&amp;$B579,{'5) Release_Track'!$F:$F&amp;'5) Release_Track'!$G:$G,'5) Release_Track'!$I:$I},2,0),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E579" s="92"/>
      <c r="F579" s="92"/>
      <c r="G579" s="125" t="str">
        <f t="array" ref="G579">ifs(or($F579="",$F579="Main Primary Artist"),$F579,not(iserror(vlookup($F579,'Reference info'!$J$5:$J$8,1,0))),"Key Artist",not(iserror(vlookup($F579,'Reference info'!$J$38:$J$405,1,0))),"Performer",not(iserror(vlookup($F579,'Reference info'!$J$10:$J$36,1,0))),"Producer &amp; Engineer")</f>
        <v/>
      </c>
    </row>
    <row r="580">
      <c r="B580" s="97"/>
      <c r="C580" s="121" t="str">
        <f t="array" ref="C580">ifs(and(isblank($A580),isblank($B580)),"", not(iserror(vlookup($A580&amp;$B580,'5) Release_Track'!$F:$F&amp;'5) Release_Track'!$G:$G,1,0))),vlookup($A580&amp;$B580,{'5) Release_Track'!$F:$F&amp;'5) Release_Track'!$G:$G,'5) Release_Track'!$H:$H},2,0),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D580" s="121" t="str">
        <f t="array" ref="D580">ifs(and(isblank($A580),isblank($B580)),"", not(iserror(vlookup($A580&amp;$B580,'5) Release_Track'!$F:$F&amp;'5) Release_Track'!$G:$G,1,0))),vlookup($A580&amp;$B580,{'5) Release_Track'!$F:$F&amp;'5) Release_Track'!$G:$G,'5) Release_Track'!$I:$I},2,0),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E580" s="92"/>
      <c r="F580" s="92"/>
      <c r="G580" s="125" t="str">
        <f t="array" ref="G580">ifs(or($F580="",$F580="Main Primary Artist"),$F580,not(iserror(vlookup($F580,'Reference info'!$J$5:$J$8,1,0))),"Key Artist",not(iserror(vlookup($F580,'Reference info'!$J$38:$J$405,1,0))),"Performer",not(iserror(vlookup($F580,'Reference info'!$J$10:$J$36,1,0))),"Producer &amp; Engineer")</f>
        <v/>
      </c>
    </row>
    <row r="581">
      <c r="B581" s="97"/>
      <c r="C581" s="121" t="str">
        <f t="array" ref="C581">ifs(and(isblank($A581),isblank($B581)),"", not(iserror(vlookup($A581&amp;$B581,'5) Release_Track'!$F:$F&amp;'5) Release_Track'!$G:$G,1,0))),vlookup($A581&amp;$B581,{'5) Release_Track'!$F:$F&amp;'5) Release_Track'!$G:$G,'5) Release_Track'!$H:$H},2,0),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D581" s="121" t="str">
        <f t="array" ref="D581">ifs(and(isblank($A581),isblank($B581)),"", not(iserror(vlookup($A581&amp;$B581,'5) Release_Track'!$F:$F&amp;'5) Release_Track'!$G:$G,1,0))),vlookup($A581&amp;$B581,{'5) Release_Track'!$F:$F&amp;'5) Release_Track'!$G:$G,'5) Release_Track'!$I:$I},2,0),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E581" s="92"/>
      <c r="F581" s="92"/>
      <c r="G581" s="125" t="str">
        <f t="array" ref="G581">ifs(or($F581="",$F581="Main Primary Artist"),$F581,not(iserror(vlookup($F581,'Reference info'!$J$5:$J$8,1,0))),"Key Artist",not(iserror(vlookup($F581,'Reference info'!$J$38:$J$405,1,0))),"Performer",not(iserror(vlookup($F581,'Reference info'!$J$10:$J$36,1,0))),"Producer &amp; Engineer")</f>
        <v/>
      </c>
    </row>
    <row r="582">
      <c r="B582" s="97"/>
      <c r="C582" s="121" t="str">
        <f t="array" ref="C582">ifs(and(isblank($A582),isblank($B582)),"", not(iserror(vlookup($A582&amp;$B582,'5) Release_Track'!$F:$F&amp;'5) Release_Track'!$G:$G,1,0))),vlookup($A582&amp;$B582,{'5) Release_Track'!$F:$F&amp;'5) Release_Track'!$G:$G,'5) Release_Track'!$H:$H},2,0),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D582" s="121" t="str">
        <f t="array" ref="D582">ifs(and(isblank($A582),isblank($B582)),"", not(iserror(vlookup($A582&amp;$B582,'5) Release_Track'!$F:$F&amp;'5) Release_Track'!$G:$G,1,0))),vlookup($A582&amp;$B582,{'5) Release_Track'!$F:$F&amp;'5) Release_Track'!$G:$G,'5) Release_Track'!$I:$I},2,0),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E582" s="92"/>
      <c r="F582" s="92"/>
      <c r="G582" s="125" t="str">
        <f t="array" ref="G582">ifs(or($F582="",$F582="Main Primary Artist"),$F582,not(iserror(vlookup($F582,'Reference info'!$J$5:$J$8,1,0))),"Key Artist",not(iserror(vlookup($F582,'Reference info'!$J$38:$J$405,1,0))),"Performer",not(iserror(vlookup($F582,'Reference info'!$J$10:$J$36,1,0))),"Producer &amp; Engineer")</f>
        <v/>
      </c>
    </row>
    <row r="583">
      <c r="B583" s="97"/>
      <c r="C583" s="121" t="str">
        <f t="array" ref="C583">ifs(and(isblank($A583),isblank($B583)),"", not(iserror(vlookup($A583&amp;$B583,'5) Release_Track'!$F:$F&amp;'5) Release_Track'!$G:$G,1,0))),vlookup($A583&amp;$B583,{'5) Release_Track'!$F:$F&amp;'5) Release_Track'!$G:$G,'5) Release_Track'!$H:$H},2,0),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D583" s="121" t="str">
        <f t="array" ref="D583">ifs(and(isblank($A583),isblank($B583)),"", not(iserror(vlookup($A583&amp;$B583,'5) Release_Track'!$F:$F&amp;'5) Release_Track'!$G:$G,1,0))),vlookup($A583&amp;$B583,{'5) Release_Track'!$F:$F&amp;'5) Release_Track'!$G:$G,'5) Release_Track'!$I:$I},2,0),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E583" s="92"/>
      <c r="F583" s="92"/>
      <c r="G583" s="125" t="str">
        <f t="array" ref="G583">ifs(or($F583="",$F583="Main Primary Artist"),$F583,not(iserror(vlookup($F583,'Reference info'!$J$5:$J$8,1,0))),"Key Artist",not(iserror(vlookup($F583,'Reference info'!$J$38:$J$405,1,0))),"Performer",not(iserror(vlookup($F583,'Reference info'!$J$10:$J$36,1,0))),"Producer &amp; Engineer")</f>
        <v/>
      </c>
    </row>
    <row r="584">
      <c r="B584" s="97"/>
      <c r="C584" s="121" t="str">
        <f t="array" ref="C584">ifs(and(isblank($A584),isblank($B584)),"", not(iserror(vlookup($A584&amp;$B584,'5) Release_Track'!$F:$F&amp;'5) Release_Track'!$G:$G,1,0))),vlookup($A584&amp;$B584,{'5) Release_Track'!$F:$F&amp;'5) Release_Track'!$G:$G,'5) Release_Track'!$H:$H},2,0),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D584" s="121" t="str">
        <f t="array" ref="D584">ifs(and(isblank($A584),isblank($B584)),"", not(iserror(vlookup($A584&amp;$B584,'5) Release_Track'!$F:$F&amp;'5) Release_Track'!$G:$G,1,0))),vlookup($A584&amp;$B584,{'5) Release_Track'!$F:$F&amp;'5) Release_Track'!$G:$G,'5) Release_Track'!$I:$I},2,0),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E584" s="92"/>
      <c r="F584" s="92"/>
      <c r="G584" s="125" t="str">
        <f t="array" ref="G584">ifs(or($F584="",$F584="Main Primary Artist"),$F584,not(iserror(vlookup($F584,'Reference info'!$J$5:$J$8,1,0))),"Key Artist",not(iserror(vlookup($F584,'Reference info'!$J$38:$J$405,1,0))),"Performer",not(iserror(vlookup($F584,'Reference info'!$J$10:$J$36,1,0))),"Producer &amp; Engineer")</f>
        <v/>
      </c>
    </row>
    <row r="585">
      <c r="B585" s="97"/>
      <c r="C585" s="121" t="str">
        <f t="array" ref="C585">ifs(and(isblank($A585),isblank($B585)),"", not(iserror(vlookup($A585&amp;$B585,'5) Release_Track'!$F:$F&amp;'5) Release_Track'!$G:$G,1,0))),vlookup($A585&amp;$B585,{'5) Release_Track'!$F:$F&amp;'5) Release_Track'!$G:$G,'5) Release_Track'!$H:$H},2,0),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D585" s="121" t="str">
        <f t="array" ref="D585">ifs(and(isblank($A585),isblank($B585)),"", not(iserror(vlookup($A585&amp;$B585,'5) Release_Track'!$F:$F&amp;'5) Release_Track'!$G:$G,1,0))),vlookup($A585&amp;$B585,{'5) Release_Track'!$F:$F&amp;'5) Release_Track'!$G:$G,'5) Release_Track'!$I:$I},2,0),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E585" s="92"/>
      <c r="F585" s="92"/>
      <c r="G585" s="125" t="str">
        <f t="array" ref="G585">ifs(or($F585="",$F585="Main Primary Artist"),$F585,not(iserror(vlookup($F585,'Reference info'!$J$5:$J$8,1,0))),"Key Artist",not(iserror(vlookup($F585,'Reference info'!$J$38:$J$405,1,0))),"Performer",not(iserror(vlookup($F585,'Reference info'!$J$10:$J$36,1,0))),"Producer &amp; Engineer")</f>
        <v/>
      </c>
    </row>
    <row r="586">
      <c r="B586" s="97"/>
      <c r="C586" s="121" t="str">
        <f t="array" ref="C586">ifs(and(isblank($A586),isblank($B586)),"", not(iserror(vlookup($A586&amp;$B586,'5) Release_Track'!$F:$F&amp;'5) Release_Track'!$G:$G,1,0))),vlookup($A586&amp;$B586,{'5) Release_Track'!$F:$F&amp;'5) Release_Track'!$G:$G,'5) Release_Track'!$H:$H},2,0),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D586" s="121" t="str">
        <f t="array" ref="D586">ifs(and(isblank($A586),isblank($B586)),"", not(iserror(vlookup($A586&amp;$B586,'5) Release_Track'!$F:$F&amp;'5) Release_Track'!$G:$G,1,0))),vlookup($A586&amp;$B586,{'5) Release_Track'!$F:$F&amp;'5) Release_Track'!$G:$G,'5) Release_Track'!$I:$I},2,0),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E586" s="92"/>
      <c r="F586" s="92"/>
      <c r="G586" s="125" t="str">
        <f t="array" ref="G586">ifs(or($F586="",$F586="Main Primary Artist"),$F586,not(iserror(vlookup($F586,'Reference info'!$J$5:$J$8,1,0))),"Key Artist",not(iserror(vlookup($F586,'Reference info'!$J$38:$J$405,1,0))),"Performer",not(iserror(vlookup($F586,'Reference info'!$J$10:$J$36,1,0))),"Producer &amp; Engineer")</f>
        <v/>
      </c>
    </row>
    <row r="587">
      <c r="B587" s="97"/>
      <c r="C587" s="121" t="str">
        <f t="array" ref="C587">ifs(and(isblank($A587),isblank($B587)),"", not(iserror(vlookup($A587&amp;$B587,'5) Release_Track'!$F:$F&amp;'5) Release_Track'!$G:$G,1,0))),vlookup($A587&amp;$B587,{'5) Release_Track'!$F:$F&amp;'5) Release_Track'!$G:$G,'5) Release_Track'!$H:$H},2,0),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D587" s="121" t="str">
        <f t="array" ref="D587">ifs(and(isblank($A587),isblank($B587)),"", not(iserror(vlookup($A587&amp;$B587,'5) Release_Track'!$F:$F&amp;'5) Release_Track'!$G:$G,1,0))),vlookup($A587&amp;$B587,{'5) Release_Track'!$F:$F&amp;'5) Release_Track'!$G:$G,'5) Release_Track'!$I:$I},2,0),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E587" s="92"/>
      <c r="F587" s="92"/>
      <c r="G587" s="125" t="str">
        <f t="array" ref="G587">ifs(or($F587="",$F587="Main Primary Artist"),$F587,not(iserror(vlookup($F587,'Reference info'!$J$5:$J$8,1,0))),"Key Artist",not(iserror(vlookup($F587,'Reference info'!$J$38:$J$405,1,0))),"Performer",not(iserror(vlookup($F587,'Reference info'!$J$10:$J$36,1,0))),"Producer &amp; Engineer")</f>
        <v/>
      </c>
    </row>
    <row r="588">
      <c r="B588" s="97"/>
      <c r="C588" s="121" t="str">
        <f t="array" ref="C588">ifs(and(isblank($A588),isblank($B588)),"", not(iserror(vlookup($A588&amp;$B588,'5) Release_Track'!$F:$F&amp;'5) Release_Track'!$G:$G,1,0))),vlookup($A588&amp;$B588,{'5) Release_Track'!$F:$F&amp;'5) Release_Track'!$G:$G,'5) Release_Track'!$H:$H},2,0),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D588" s="121" t="str">
        <f t="array" ref="D588">ifs(and(isblank($A588),isblank($B588)),"", not(iserror(vlookup($A588&amp;$B588,'5) Release_Track'!$F:$F&amp;'5) Release_Track'!$G:$G,1,0))),vlookup($A588&amp;$B588,{'5) Release_Track'!$F:$F&amp;'5) Release_Track'!$G:$G,'5) Release_Track'!$I:$I},2,0),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E588" s="92"/>
      <c r="F588" s="92"/>
      <c r="G588" s="125" t="str">
        <f t="array" ref="G588">ifs(or($F588="",$F588="Main Primary Artist"),$F588,not(iserror(vlookup($F588,'Reference info'!$J$5:$J$8,1,0))),"Key Artist",not(iserror(vlookup($F588,'Reference info'!$J$38:$J$405,1,0))),"Performer",not(iserror(vlookup($F588,'Reference info'!$J$10:$J$36,1,0))),"Producer &amp; Engineer")</f>
        <v/>
      </c>
    </row>
    <row r="589">
      <c r="B589" s="97"/>
      <c r="C589" s="121" t="str">
        <f t="array" ref="C589">ifs(and(isblank($A589),isblank($B589)),"", not(iserror(vlookup($A589&amp;$B589,'5) Release_Track'!$F:$F&amp;'5) Release_Track'!$G:$G,1,0))),vlookup($A589&amp;$B589,{'5) Release_Track'!$F:$F&amp;'5) Release_Track'!$G:$G,'5) Release_Track'!$H:$H},2,0),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D589" s="121" t="str">
        <f t="array" ref="D589">ifs(and(isblank($A589),isblank($B589)),"", not(iserror(vlookup($A589&amp;$B589,'5) Release_Track'!$F:$F&amp;'5) Release_Track'!$G:$G,1,0))),vlookup($A589&amp;$B589,{'5) Release_Track'!$F:$F&amp;'5) Release_Track'!$G:$G,'5) Release_Track'!$I:$I},2,0),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E589" s="92"/>
      <c r="F589" s="92"/>
      <c r="G589" s="125" t="str">
        <f t="array" ref="G589">ifs(or($F589="",$F589="Main Primary Artist"),$F589,not(iserror(vlookup($F589,'Reference info'!$J$5:$J$8,1,0))),"Key Artist",not(iserror(vlookup($F589,'Reference info'!$J$38:$J$405,1,0))),"Performer",not(iserror(vlookup($F589,'Reference info'!$J$10:$J$36,1,0))),"Producer &amp; Engineer")</f>
        <v/>
      </c>
    </row>
    <row r="590">
      <c r="B590" s="97"/>
      <c r="C590" s="121" t="str">
        <f t="array" ref="C590">ifs(and(isblank($A590),isblank($B590)),"", not(iserror(vlookup($A590&amp;$B590,'5) Release_Track'!$F:$F&amp;'5) Release_Track'!$G:$G,1,0))),vlookup($A590&amp;$B590,{'5) Release_Track'!$F:$F&amp;'5) Release_Track'!$G:$G,'5) Release_Track'!$H:$H},2,0),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D590" s="121" t="str">
        <f t="array" ref="D590">ifs(and(isblank($A590),isblank($B590)),"", not(iserror(vlookup($A590&amp;$B590,'5) Release_Track'!$F:$F&amp;'5) Release_Track'!$G:$G,1,0))),vlookup($A590&amp;$B590,{'5) Release_Track'!$F:$F&amp;'5) Release_Track'!$G:$G,'5) Release_Track'!$I:$I},2,0),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E590" s="92"/>
      <c r="F590" s="92"/>
      <c r="G590" s="125" t="str">
        <f t="array" ref="G590">ifs(or($F590="",$F590="Main Primary Artist"),$F590,not(iserror(vlookup($F590,'Reference info'!$J$5:$J$8,1,0))),"Key Artist",not(iserror(vlookup($F590,'Reference info'!$J$38:$J$405,1,0))),"Performer",not(iserror(vlookup($F590,'Reference info'!$J$10:$J$36,1,0))),"Producer &amp; Engineer")</f>
        <v/>
      </c>
    </row>
    <row r="591">
      <c r="B591" s="97"/>
      <c r="C591" s="121" t="str">
        <f t="array" ref="C591">ifs(and(isblank($A591),isblank($B591)),"", not(iserror(vlookup($A591&amp;$B591,'5) Release_Track'!$F:$F&amp;'5) Release_Track'!$G:$G,1,0))),vlookup($A591&amp;$B591,{'5) Release_Track'!$F:$F&amp;'5) Release_Track'!$G:$G,'5) Release_Track'!$H:$H},2,0),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D591" s="121" t="str">
        <f t="array" ref="D591">ifs(and(isblank($A591),isblank($B591)),"", not(iserror(vlookup($A591&amp;$B591,'5) Release_Track'!$F:$F&amp;'5) Release_Track'!$G:$G,1,0))),vlookup($A591&amp;$B591,{'5) Release_Track'!$F:$F&amp;'5) Release_Track'!$G:$G,'5) Release_Track'!$I:$I},2,0),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E591" s="92"/>
      <c r="F591" s="92"/>
      <c r="G591" s="125" t="str">
        <f t="array" ref="G591">ifs(or($F591="",$F591="Main Primary Artist"),$F591,not(iserror(vlookup($F591,'Reference info'!$J$5:$J$8,1,0))),"Key Artist",not(iserror(vlookup($F591,'Reference info'!$J$38:$J$405,1,0))),"Performer",not(iserror(vlookup($F591,'Reference info'!$J$10:$J$36,1,0))),"Producer &amp; Engineer")</f>
        <v/>
      </c>
    </row>
    <row r="592">
      <c r="B592" s="97"/>
      <c r="C592" s="121" t="str">
        <f t="array" ref="C592">ifs(and(isblank($A592),isblank($B592)),"", not(iserror(vlookup($A592&amp;$B592,'5) Release_Track'!$F:$F&amp;'5) Release_Track'!$G:$G,1,0))),vlookup($A592&amp;$B592,{'5) Release_Track'!$F:$F&amp;'5) Release_Track'!$G:$G,'5) Release_Track'!$H:$H},2,0),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D592" s="121" t="str">
        <f t="array" ref="D592">ifs(and(isblank($A592),isblank($B592)),"", not(iserror(vlookup($A592&amp;$B592,'5) Release_Track'!$F:$F&amp;'5) Release_Track'!$G:$G,1,0))),vlookup($A592&amp;$B592,{'5) Release_Track'!$F:$F&amp;'5) Release_Track'!$G:$G,'5) Release_Track'!$I:$I},2,0),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E592" s="92"/>
      <c r="F592" s="92"/>
      <c r="G592" s="125" t="str">
        <f t="array" ref="G592">ifs(or($F592="",$F592="Main Primary Artist"),$F592,not(iserror(vlookup($F592,'Reference info'!$J$5:$J$8,1,0))),"Key Artist",not(iserror(vlookup($F592,'Reference info'!$J$38:$J$405,1,0))),"Performer",not(iserror(vlookup($F592,'Reference info'!$J$10:$J$36,1,0))),"Producer &amp; Engineer")</f>
        <v/>
      </c>
    </row>
    <row r="593">
      <c r="B593" s="97"/>
      <c r="C593" s="121" t="str">
        <f t="array" ref="C593">ifs(and(isblank($A593),isblank($B593)),"", not(iserror(vlookup($A593&amp;$B593,'5) Release_Track'!$F:$F&amp;'5) Release_Track'!$G:$G,1,0))),vlookup($A593&amp;$B593,{'5) Release_Track'!$F:$F&amp;'5) Release_Track'!$G:$G,'5) Release_Track'!$H:$H},2,0),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D593" s="121" t="str">
        <f t="array" ref="D593">ifs(and(isblank($A593),isblank($B593)),"", not(iserror(vlookup($A593&amp;$B593,'5) Release_Track'!$F:$F&amp;'5) Release_Track'!$G:$G,1,0))),vlookup($A593&amp;$B593,{'5) Release_Track'!$F:$F&amp;'5) Release_Track'!$G:$G,'5) Release_Track'!$I:$I},2,0),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E593" s="92"/>
      <c r="F593" s="92"/>
      <c r="G593" s="125" t="str">
        <f t="array" ref="G593">ifs(or($F593="",$F593="Main Primary Artist"),$F593,not(iserror(vlookup($F593,'Reference info'!$J$5:$J$8,1,0))),"Key Artist",not(iserror(vlookup($F593,'Reference info'!$J$38:$J$405,1,0))),"Performer",not(iserror(vlookup($F593,'Reference info'!$J$10:$J$36,1,0))),"Producer &amp; Engineer")</f>
        <v/>
      </c>
    </row>
    <row r="594">
      <c r="B594" s="97"/>
      <c r="C594" s="121" t="str">
        <f t="array" ref="C594">ifs(and(isblank($A594),isblank($B594)),"", not(iserror(vlookup($A594&amp;$B594,'5) Release_Track'!$F:$F&amp;'5) Release_Track'!$G:$G,1,0))),vlookup($A594&amp;$B594,{'5) Release_Track'!$F:$F&amp;'5) Release_Track'!$G:$G,'5) Release_Track'!$H:$H},2,0),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D594" s="121" t="str">
        <f t="array" ref="D594">ifs(and(isblank($A594),isblank($B594)),"", not(iserror(vlookup($A594&amp;$B594,'5) Release_Track'!$F:$F&amp;'5) Release_Track'!$G:$G,1,0))),vlookup($A594&amp;$B594,{'5) Release_Track'!$F:$F&amp;'5) Release_Track'!$G:$G,'5) Release_Track'!$I:$I},2,0),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E594" s="92"/>
      <c r="F594" s="92"/>
      <c r="G594" s="125" t="str">
        <f t="array" ref="G594">ifs(or($F594="",$F594="Main Primary Artist"),$F594,not(iserror(vlookup($F594,'Reference info'!$J$5:$J$8,1,0))),"Key Artist",not(iserror(vlookup($F594,'Reference info'!$J$38:$J$405,1,0))),"Performer",not(iserror(vlookup($F594,'Reference info'!$J$10:$J$36,1,0))),"Producer &amp; Engineer")</f>
        <v/>
      </c>
    </row>
    <row r="595">
      <c r="B595" s="97"/>
      <c r="C595" s="121" t="str">
        <f t="array" ref="C595">ifs(and(isblank($A595),isblank($B595)),"", not(iserror(vlookup($A595&amp;$B595,'5) Release_Track'!$F:$F&amp;'5) Release_Track'!$G:$G,1,0))),vlookup($A595&amp;$B595,{'5) Release_Track'!$F:$F&amp;'5) Release_Track'!$G:$G,'5) Release_Track'!$H:$H},2,0),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D595" s="121" t="str">
        <f t="array" ref="D595">ifs(and(isblank($A595),isblank($B595)),"", not(iserror(vlookup($A595&amp;$B595,'5) Release_Track'!$F:$F&amp;'5) Release_Track'!$G:$G,1,0))),vlookup($A595&amp;$B595,{'5) Release_Track'!$F:$F&amp;'5) Release_Track'!$G:$G,'5) Release_Track'!$I:$I},2,0),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E595" s="92"/>
      <c r="F595" s="92"/>
      <c r="G595" s="125" t="str">
        <f t="array" ref="G595">ifs(or($F595="",$F595="Main Primary Artist"),$F595,not(iserror(vlookup($F595,'Reference info'!$J$5:$J$8,1,0))),"Key Artist",not(iserror(vlookup($F595,'Reference info'!$J$38:$J$405,1,0))),"Performer",not(iserror(vlookup($F595,'Reference info'!$J$10:$J$36,1,0))),"Producer &amp; Engineer")</f>
        <v/>
      </c>
    </row>
    <row r="596">
      <c r="B596" s="97"/>
      <c r="C596" s="121" t="str">
        <f t="array" ref="C596">ifs(and(isblank($A596),isblank($B596)),"", not(iserror(vlookup($A596&amp;$B596,'5) Release_Track'!$F:$F&amp;'5) Release_Track'!$G:$G,1,0))),vlookup($A596&amp;$B596,{'5) Release_Track'!$F:$F&amp;'5) Release_Track'!$G:$G,'5) Release_Track'!$H:$H},2,0),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D596" s="121" t="str">
        <f t="array" ref="D596">ifs(and(isblank($A596),isblank($B596)),"", not(iserror(vlookup($A596&amp;$B596,'5) Release_Track'!$F:$F&amp;'5) Release_Track'!$G:$G,1,0))),vlookup($A596&amp;$B596,{'5) Release_Track'!$F:$F&amp;'5) Release_Track'!$G:$G,'5) Release_Track'!$I:$I},2,0),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E596" s="92"/>
      <c r="F596" s="92"/>
      <c r="G596" s="125" t="str">
        <f t="array" ref="G596">ifs(or($F596="",$F596="Main Primary Artist"),$F596,not(iserror(vlookup($F596,'Reference info'!$J$5:$J$8,1,0))),"Key Artist",not(iserror(vlookup($F596,'Reference info'!$J$38:$J$405,1,0))),"Performer",not(iserror(vlookup($F596,'Reference info'!$J$10:$J$36,1,0))),"Producer &amp; Engineer")</f>
        <v/>
      </c>
    </row>
    <row r="597">
      <c r="B597" s="97"/>
      <c r="C597" s="121" t="str">
        <f t="array" ref="C597">ifs(and(isblank($A597),isblank($B597)),"", not(iserror(vlookup($A597&amp;$B597,'5) Release_Track'!$F:$F&amp;'5) Release_Track'!$G:$G,1,0))),vlookup($A597&amp;$B597,{'5) Release_Track'!$F:$F&amp;'5) Release_Track'!$G:$G,'5) Release_Track'!$H:$H},2,0),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D597" s="121" t="str">
        <f t="array" ref="D597">ifs(and(isblank($A597),isblank($B597)),"", not(iserror(vlookup($A597&amp;$B597,'5) Release_Track'!$F:$F&amp;'5) Release_Track'!$G:$G,1,0))),vlookup($A597&amp;$B597,{'5) Release_Track'!$F:$F&amp;'5) Release_Track'!$G:$G,'5) Release_Track'!$I:$I},2,0),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E597" s="92"/>
      <c r="F597" s="92"/>
      <c r="G597" s="125" t="str">
        <f t="array" ref="G597">ifs(or($F597="",$F597="Main Primary Artist"),$F597,not(iserror(vlookup($F597,'Reference info'!$J$5:$J$8,1,0))),"Key Artist",not(iserror(vlookup($F597,'Reference info'!$J$38:$J$405,1,0))),"Performer",not(iserror(vlookup($F597,'Reference info'!$J$10:$J$36,1,0))),"Producer &amp; Engineer")</f>
        <v/>
      </c>
    </row>
    <row r="598">
      <c r="B598" s="97"/>
      <c r="C598" s="121" t="str">
        <f t="array" ref="C598">ifs(and(isblank($A598),isblank($B598)),"", not(iserror(vlookup($A598&amp;$B598,'5) Release_Track'!$F:$F&amp;'5) Release_Track'!$G:$G,1,0))),vlookup($A598&amp;$B598,{'5) Release_Track'!$F:$F&amp;'5) Release_Track'!$G:$G,'5) Release_Track'!$H:$H},2,0),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D598" s="121" t="str">
        <f t="array" ref="D598">ifs(and(isblank($A598),isblank($B598)),"", not(iserror(vlookup($A598&amp;$B598,'5) Release_Track'!$F:$F&amp;'5) Release_Track'!$G:$G,1,0))),vlookup($A598&amp;$B598,{'5) Release_Track'!$F:$F&amp;'5) Release_Track'!$G:$G,'5) Release_Track'!$I:$I},2,0),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E598" s="92"/>
      <c r="F598" s="92"/>
      <c r="G598" s="125" t="str">
        <f t="array" ref="G598">ifs(or($F598="",$F598="Main Primary Artist"),$F598,not(iserror(vlookup($F598,'Reference info'!$J$5:$J$8,1,0))),"Key Artist",not(iserror(vlookup($F598,'Reference info'!$J$38:$J$405,1,0))),"Performer",not(iserror(vlookup($F598,'Reference info'!$J$10:$J$36,1,0))),"Producer &amp; Engineer")</f>
        <v/>
      </c>
    </row>
    <row r="599">
      <c r="B599" s="97"/>
      <c r="C599" s="121" t="str">
        <f t="array" ref="C599">ifs(and(isblank($A599),isblank($B599)),"", not(iserror(vlookup($A599&amp;$B599,'5) Release_Track'!$F:$F&amp;'5) Release_Track'!$G:$G,1,0))),vlookup($A599&amp;$B599,{'5) Release_Track'!$F:$F&amp;'5) Release_Track'!$G:$G,'5) Release_Track'!$H:$H},2,0),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D599" s="121" t="str">
        <f t="array" ref="D599">ifs(and(isblank($A599),isblank($B599)),"", not(iserror(vlookup($A599&amp;$B599,'5) Release_Track'!$F:$F&amp;'5) Release_Track'!$G:$G,1,0))),vlookup($A599&amp;$B599,{'5) Release_Track'!$F:$F&amp;'5) Release_Track'!$G:$G,'5) Release_Track'!$I:$I},2,0),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E599" s="92"/>
      <c r="F599" s="92"/>
      <c r="G599" s="125" t="str">
        <f t="array" ref="G599">ifs(or($F599="",$F599="Main Primary Artist"),$F599,not(iserror(vlookup($F599,'Reference info'!$J$5:$J$8,1,0))),"Key Artist",not(iserror(vlookup($F599,'Reference info'!$J$38:$J$405,1,0))),"Performer",not(iserror(vlookup($F599,'Reference info'!$J$10:$J$36,1,0))),"Producer &amp; Engineer")</f>
        <v/>
      </c>
    </row>
    <row r="600">
      <c r="B600" s="97"/>
      <c r="C600" s="121" t="str">
        <f t="array" ref="C600">ifs(and(isblank($A600),isblank($B600)),"", not(iserror(vlookup($A600&amp;$B600,'5) Release_Track'!$F:$F&amp;'5) Release_Track'!$G:$G,1,0))),vlookup($A600&amp;$B600,{'5) Release_Track'!$F:$F&amp;'5) Release_Track'!$G:$G,'5) Release_Track'!$H:$H},2,0),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D600" s="121" t="str">
        <f t="array" ref="D600">ifs(and(isblank($A600),isblank($B600)),"", not(iserror(vlookup($A600&amp;$B600,'5) Release_Track'!$F:$F&amp;'5) Release_Track'!$G:$G,1,0))),vlookup($A600&amp;$B600,{'5) Release_Track'!$F:$F&amp;'5) Release_Track'!$G:$G,'5) Release_Track'!$I:$I},2,0),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E600" s="92"/>
      <c r="F600" s="92"/>
      <c r="G600" s="125" t="str">
        <f t="array" ref="G600">ifs(or($F600="",$F600="Main Primary Artist"),$F600,not(iserror(vlookup($F600,'Reference info'!$J$5:$J$8,1,0))),"Key Artist",not(iserror(vlookup($F600,'Reference info'!$J$38:$J$405,1,0))),"Performer",not(iserror(vlookup($F600,'Reference info'!$J$10:$J$36,1,0))),"Producer &amp; Engineer")</f>
        <v/>
      </c>
    </row>
    <row r="601">
      <c r="B601" s="97"/>
      <c r="C601" s="121" t="str">
        <f t="array" ref="C601">ifs(and(isblank($A601),isblank($B601)),"", not(iserror(vlookup($A601&amp;$B601,'5) Release_Track'!$F:$F&amp;'5) Release_Track'!$G:$G,1,0))),vlookup($A601&amp;$B601,{'5) Release_Track'!$F:$F&amp;'5) Release_Track'!$G:$G,'5) Release_Track'!$H:$H},2,0),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D601" s="121" t="str">
        <f t="array" ref="D601">ifs(and(isblank($A601),isblank($B601)),"", not(iserror(vlookup($A601&amp;$B601,'5) Release_Track'!$F:$F&amp;'5) Release_Track'!$G:$G,1,0))),vlookup($A601&amp;$B601,{'5) Release_Track'!$F:$F&amp;'5) Release_Track'!$G:$G,'5) Release_Track'!$I:$I},2,0),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E601" s="92"/>
      <c r="F601" s="92"/>
      <c r="G601" s="125" t="str">
        <f t="array" ref="G601">ifs(or($F601="",$F601="Main Primary Artist"),$F601,not(iserror(vlookup($F601,'Reference info'!$J$5:$J$8,1,0))),"Key Artist",not(iserror(vlookup($F601,'Reference info'!$J$38:$J$405,1,0))),"Performer",not(iserror(vlookup($F601,'Reference info'!$J$10:$J$36,1,0))),"Producer &amp; Engineer")</f>
        <v/>
      </c>
    </row>
    <row r="602">
      <c r="B602" s="97"/>
      <c r="C602" s="121" t="str">
        <f t="array" ref="C602">ifs(and(isblank($A602),isblank($B602)),"", not(iserror(vlookup($A602&amp;$B602,'5) Release_Track'!$F:$F&amp;'5) Release_Track'!$G:$G,1,0))),vlookup($A602&amp;$B602,{'5) Release_Track'!$F:$F&amp;'5) Release_Track'!$G:$G,'5) Release_Track'!$H:$H},2,0),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D602" s="121" t="str">
        <f t="array" ref="D602">ifs(and(isblank($A602),isblank($B602)),"", not(iserror(vlookup($A602&amp;$B602,'5) Release_Track'!$F:$F&amp;'5) Release_Track'!$G:$G,1,0))),vlookup($A602&amp;$B602,{'5) Release_Track'!$F:$F&amp;'5) Release_Track'!$G:$G,'5) Release_Track'!$I:$I},2,0),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E602" s="92"/>
      <c r="F602" s="92"/>
      <c r="G602" s="125" t="str">
        <f t="array" ref="G602">ifs(or($F602="",$F602="Main Primary Artist"),$F602,not(iserror(vlookup($F602,'Reference info'!$J$5:$J$8,1,0))),"Key Artist",not(iserror(vlookup($F602,'Reference info'!$J$38:$J$405,1,0))),"Performer",not(iserror(vlookup($F602,'Reference info'!$J$10:$J$36,1,0))),"Producer &amp; Engineer")</f>
        <v/>
      </c>
    </row>
    <row r="603">
      <c r="B603" s="97"/>
      <c r="C603" s="121" t="str">
        <f t="array" ref="C603">ifs(and(isblank($A603),isblank($B603)),"", not(iserror(vlookup($A603&amp;$B603,'5) Release_Track'!$F:$F&amp;'5) Release_Track'!$G:$G,1,0))),vlookup($A603&amp;$B603,{'5) Release_Track'!$F:$F&amp;'5) Release_Track'!$G:$G,'5) Release_Track'!$H:$H},2,0),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D603" s="121" t="str">
        <f t="array" ref="D603">ifs(and(isblank($A603),isblank($B603)),"", not(iserror(vlookup($A603&amp;$B603,'5) Release_Track'!$F:$F&amp;'5) Release_Track'!$G:$G,1,0))),vlookup($A603&amp;$B603,{'5) Release_Track'!$F:$F&amp;'5) Release_Track'!$G:$G,'5) Release_Track'!$I:$I},2,0),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E603" s="92"/>
      <c r="F603" s="92"/>
      <c r="G603" s="125" t="str">
        <f t="array" ref="G603">ifs(or($F603="",$F603="Main Primary Artist"),$F603,not(iserror(vlookup($F603,'Reference info'!$J$5:$J$8,1,0))),"Key Artist",not(iserror(vlookup($F603,'Reference info'!$J$38:$J$405,1,0))),"Performer",not(iserror(vlookup($F603,'Reference info'!$J$10:$J$36,1,0))),"Producer &amp; Engineer")</f>
        <v/>
      </c>
    </row>
    <row r="604">
      <c r="B604" s="97"/>
      <c r="C604" s="121" t="str">
        <f t="array" ref="C604">ifs(and(isblank($A604),isblank($B604)),"", not(iserror(vlookup($A604&amp;$B604,'5) Release_Track'!$F:$F&amp;'5) Release_Track'!$G:$G,1,0))),vlookup($A604&amp;$B604,{'5) Release_Track'!$F:$F&amp;'5) Release_Track'!$G:$G,'5) Release_Track'!$H:$H},2,0),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D604" s="121" t="str">
        <f t="array" ref="D604">ifs(and(isblank($A604),isblank($B604)),"", not(iserror(vlookup($A604&amp;$B604,'5) Release_Track'!$F:$F&amp;'5) Release_Track'!$G:$G,1,0))),vlookup($A604&amp;$B604,{'5) Release_Track'!$F:$F&amp;'5) Release_Track'!$G:$G,'5) Release_Track'!$I:$I},2,0),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E604" s="92"/>
      <c r="F604" s="92"/>
      <c r="G604" s="125" t="str">
        <f t="array" ref="G604">ifs(or($F604="",$F604="Main Primary Artist"),$F604,not(iserror(vlookup($F604,'Reference info'!$J$5:$J$8,1,0))),"Key Artist",not(iserror(vlookup($F604,'Reference info'!$J$38:$J$405,1,0))),"Performer",not(iserror(vlookup($F604,'Reference info'!$J$10:$J$36,1,0))),"Producer &amp; Engineer")</f>
        <v/>
      </c>
    </row>
    <row r="605">
      <c r="B605" s="97"/>
      <c r="C605" s="121" t="str">
        <f t="array" ref="C605">ifs(and(isblank($A605),isblank($B605)),"", not(iserror(vlookup($A605&amp;$B605,'5) Release_Track'!$F:$F&amp;'5) Release_Track'!$G:$G,1,0))),vlookup($A605&amp;$B605,{'5) Release_Track'!$F:$F&amp;'5) Release_Track'!$G:$G,'5) Release_Track'!$H:$H},2,0),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D605" s="121" t="str">
        <f t="array" ref="D605">ifs(and(isblank($A605),isblank($B605)),"", not(iserror(vlookup($A605&amp;$B605,'5) Release_Track'!$F:$F&amp;'5) Release_Track'!$G:$G,1,0))),vlookup($A605&amp;$B605,{'5) Release_Track'!$F:$F&amp;'5) Release_Track'!$G:$G,'5) Release_Track'!$I:$I},2,0),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E605" s="92"/>
      <c r="F605" s="92"/>
      <c r="G605" s="125" t="str">
        <f t="array" ref="G605">ifs(or($F605="",$F605="Main Primary Artist"),$F605,not(iserror(vlookup($F605,'Reference info'!$J$5:$J$8,1,0))),"Key Artist",not(iserror(vlookup($F605,'Reference info'!$J$38:$J$405,1,0))),"Performer",not(iserror(vlookup($F605,'Reference info'!$J$10:$J$36,1,0))),"Producer &amp; Engineer")</f>
        <v/>
      </c>
    </row>
    <row r="606">
      <c r="B606" s="97"/>
      <c r="C606" s="121" t="str">
        <f t="array" ref="C606">ifs(and(isblank($A606),isblank($B606)),"", not(iserror(vlookup($A606&amp;$B606,'5) Release_Track'!$F:$F&amp;'5) Release_Track'!$G:$G,1,0))),vlookup($A606&amp;$B606,{'5) Release_Track'!$F:$F&amp;'5) Release_Track'!$G:$G,'5) Release_Track'!$H:$H},2,0),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D606" s="121" t="str">
        <f t="array" ref="D606">ifs(and(isblank($A606),isblank($B606)),"", not(iserror(vlookup($A606&amp;$B606,'5) Release_Track'!$F:$F&amp;'5) Release_Track'!$G:$G,1,0))),vlookup($A606&amp;$B606,{'5) Release_Track'!$F:$F&amp;'5) Release_Track'!$G:$G,'5) Release_Track'!$I:$I},2,0),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E606" s="92"/>
      <c r="F606" s="92"/>
      <c r="G606" s="125" t="str">
        <f t="array" ref="G606">ifs(or($F606="",$F606="Main Primary Artist"),$F606,not(iserror(vlookup($F606,'Reference info'!$J$5:$J$8,1,0))),"Key Artist",not(iserror(vlookup($F606,'Reference info'!$J$38:$J$405,1,0))),"Performer",not(iserror(vlookup($F606,'Reference info'!$J$10:$J$36,1,0))),"Producer &amp; Engineer")</f>
        <v/>
      </c>
    </row>
    <row r="607">
      <c r="B607" s="97"/>
      <c r="C607" s="121" t="str">
        <f t="array" ref="C607">ifs(and(isblank($A607),isblank($B607)),"", not(iserror(vlookup($A607&amp;$B607,'5) Release_Track'!$F:$F&amp;'5) Release_Track'!$G:$G,1,0))),vlookup($A607&amp;$B607,{'5) Release_Track'!$F:$F&amp;'5) Release_Track'!$G:$G,'5) Release_Track'!$H:$H},2,0),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D607" s="121" t="str">
        <f t="array" ref="D607">ifs(and(isblank($A607),isblank($B607)),"", not(iserror(vlookup($A607&amp;$B607,'5) Release_Track'!$F:$F&amp;'5) Release_Track'!$G:$G,1,0))),vlookup($A607&amp;$B607,{'5) Release_Track'!$F:$F&amp;'5) Release_Track'!$G:$G,'5) Release_Track'!$I:$I},2,0),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E607" s="92"/>
      <c r="F607" s="92"/>
      <c r="G607" s="125" t="str">
        <f t="array" ref="G607">ifs(or($F607="",$F607="Main Primary Artist"),$F607,not(iserror(vlookup($F607,'Reference info'!$J$5:$J$8,1,0))),"Key Artist",not(iserror(vlookup($F607,'Reference info'!$J$38:$J$405,1,0))),"Performer",not(iserror(vlookup($F607,'Reference info'!$J$10:$J$36,1,0))),"Producer &amp; Engineer")</f>
        <v/>
      </c>
    </row>
    <row r="608">
      <c r="B608" s="97"/>
      <c r="C608" s="121" t="str">
        <f t="array" ref="C608">ifs(and(isblank($A608),isblank($B608)),"", not(iserror(vlookup($A608&amp;$B608,'5) Release_Track'!$F:$F&amp;'5) Release_Track'!$G:$G,1,0))),vlookup($A608&amp;$B608,{'5) Release_Track'!$F:$F&amp;'5) Release_Track'!$G:$G,'5) Release_Track'!$H:$H},2,0),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D608" s="121" t="str">
        <f t="array" ref="D608">ifs(and(isblank($A608),isblank($B608)),"", not(iserror(vlookup($A608&amp;$B608,'5) Release_Track'!$F:$F&amp;'5) Release_Track'!$G:$G,1,0))),vlookup($A608&amp;$B608,{'5) Release_Track'!$F:$F&amp;'5) Release_Track'!$G:$G,'5) Release_Track'!$I:$I},2,0),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E608" s="92"/>
      <c r="F608" s="92"/>
      <c r="G608" s="125" t="str">
        <f t="array" ref="G608">ifs(or($F608="",$F608="Main Primary Artist"),$F608,not(iserror(vlookup($F608,'Reference info'!$J$5:$J$8,1,0))),"Key Artist",not(iserror(vlookup($F608,'Reference info'!$J$38:$J$405,1,0))),"Performer",not(iserror(vlookup($F608,'Reference info'!$J$10:$J$36,1,0))),"Producer &amp; Engineer")</f>
        <v/>
      </c>
    </row>
    <row r="609">
      <c r="B609" s="97"/>
      <c r="C609" s="121" t="str">
        <f t="array" ref="C609">ifs(and(isblank($A609),isblank($B609)),"", not(iserror(vlookup($A609&amp;$B609,'5) Release_Track'!$F:$F&amp;'5) Release_Track'!$G:$G,1,0))),vlookup($A609&amp;$B609,{'5) Release_Track'!$F:$F&amp;'5) Release_Track'!$G:$G,'5) Release_Track'!$H:$H},2,0),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D609" s="121" t="str">
        <f t="array" ref="D609">ifs(and(isblank($A609),isblank($B609)),"", not(iserror(vlookup($A609&amp;$B609,'5) Release_Track'!$F:$F&amp;'5) Release_Track'!$G:$G,1,0))),vlookup($A609&amp;$B609,{'5) Release_Track'!$F:$F&amp;'5) Release_Track'!$G:$G,'5) Release_Track'!$I:$I},2,0),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E609" s="92"/>
      <c r="F609" s="92"/>
      <c r="G609" s="125" t="str">
        <f t="array" ref="G609">ifs(or($F609="",$F609="Main Primary Artist"),$F609,not(iserror(vlookup($F609,'Reference info'!$J$5:$J$8,1,0))),"Key Artist",not(iserror(vlookup($F609,'Reference info'!$J$38:$J$405,1,0))),"Performer",not(iserror(vlookup($F609,'Reference info'!$J$10:$J$36,1,0))),"Producer &amp; Engineer")</f>
        <v/>
      </c>
    </row>
    <row r="610">
      <c r="B610" s="97"/>
      <c r="C610" s="121" t="str">
        <f t="array" ref="C610">ifs(and(isblank($A610),isblank($B610)),"", not(iserror(vlookup($A610&amp;$B610,'5) Release_Track'!$F:$F&amp;'5) Release_Track'!$G:$G,1,0))),vlookup($A610&amp;$B610,{'5) Release_Track'!$F:$F&amp;'5) Release_Track'!$G:$G,'5) Release_Track'!$H:$H},2,0),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D610" s="121" t="str">
        <f t="array" ref="D610">ifs(and(isblank($A610),isblank($B610)),"", not(iserror(vlookup($A610&amp;$B610,'5) Release_Track'!$F:$F&amp;'5) Release_Track'!$G:$G,1,0))),vlookup($A610&amp;$B610,{'5) Release_Track'!$F:$F&amp;'5) Release_Track'!$G:$G,'5) Release_Track'!$I:$I},2,0),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E610" s="92"/>
      <c r="F610" s="92"/>
      <c r="G610" s="125" t="str">
        <f t="array" ref="G610">ifs(or($F610="",$F610="Main Primary Artist"),$F610,not(iserror(vlookup($F610,'Reference info'!$J$5:$J$8,1,0))),"Key Artist",not(iserror(vlookup($F610,'Reference info'!$J$38:$J$405,1,0))),"Performer",not(iserror(vlookup($F610,'Reference info'!$J$10:$J$36,1,0))),"Producer &amp; Engineer")</f>
        <v/>
      </c>
    </row>
    <row r="611">
      <c r="B611" s="97"/>
      <c r="C611" s="121" t="str">
        <f t="array" ref="C611">ifs(and(isblank($A611),isblank($B611)),"", not(iserror(vlookup($A611&amp;$B611,'5) Release_Track'!$F:$F&amp;'5) Release_Track'!$G:$G,1,0))),vlookup($A611&amp;$B611,{'5) Release_Track'!$F:$F&amp;'5) Release_Track'!$G:$G,'5) Release_Track'!$H:$H},2,0),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D611" s="121" t="str">
        <f t="array" ref="D611">ifs(and(isblank($A611),isblank($B611)),"", not(iserror(vlookup($A611&amp;$B611,'5) Release_Track'!$F:$F&amp;'5) Release_Track'!$G:$G,1,0))),vlookup($A611&amp;$B611,{'5) Release_Track'!$F:$F&amp;'5) Release_Track'!$G:$G,'5) Release_Track'!$I:$I},2,0),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E611" s="92"/>
      <c r="F611" s="92"/>
      <c r="G611" s="125" t="str">
        <f t="array" ref="G611">ifs(or($F611="",$F611="Main Primary Artist"),$F611,not(iserror(vlookup($F611,'Reference info'!$J$5:$J$8,1,0))),"Key Artist",not(iserror(vlookup($F611,'Reference info'!$J$38:$J$405,1,0))),"Performer",not(iserror(vlookup($F611,'Reference info'!$J$10:$J$36,1,0))),"Producer &amp; Engineer")</f>
        <v/>
      </c>
    </row>
    <row r="612">
      <c r="B612" s="97"/>
      <c r="C612" s="121" t="str">
        <f t="array" ref="C612">ifs(and(isblank($A612),isblank($B612)),"", not(iserror(vlookup($A612&amp;$B612,'5) Release_Track'!$F:$F&amp;'5) Release_Track'!$G:$G,1,0))),vlookup($A612&amp;$B612,{'5) Release_Track'!$F:$F&amp;'5) Release_Track'!$G:$G,'5) Release_Track'!$H:$H},2,0),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D612" s="121" t="str">
        <f t="array" ref="D612">ifs(and(isblank($A612),isblank($B612)),"", not(iserror(vlookup($A612&amp;$B612,'5) Release_Track'!$F:$F&amp;'5) Release_Track'!$G:$G,1,0))),vlookup($A612&amp;$B612,{'5) Release_Track'!$F:$F&amp;'5) Release_Track'!$G:$G,'5) Release_Track'!$I:$I},2,0),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E612" s="92"/>
      <c r="F612" s="92"/>
      <c r="G612" s="125" t="str">
        <f t="array" ref="G612">ifs(or($F612="",$F612="Main Primary Artist"),$F612,not(iserror(vlookup($F612,'Reference info'!$J$5:$J$8,1,0))),"Key Artist",not(iserror(vlookup($F612,'Reference info'!$J$38:$J$405,1,0))),"Performer",not(iserror(vlookup($F612,'Reference info'!$J$10:$J$36,1,0))),"Producer &amp; Engineer")</f>
        <v/>
      </c>
    </row>
    <row r="613">
      <c r="B613" s="97"/>
      <c r="C613" s="121" t="str">
        <f t="array" ref="C613">ifs(and(isblank($A613),isblank($B613)),"", not(iserror(vlookup($A613&amp;$B613,'5) Release_Track'!$F:$F&amp;'5) Release_Track'!$G:$G,1,0))),vlookup($A613&amp;$B613,{'5) Release_Track'!$F:$F&amp;'5) Release_Track'!$G:$G,'5) Release_Track'!$H:$H},2,0),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D613" s="121" t="str">
        <f t="array" ref="D613">ifs(and(isblank($A613),isblank($B613)),"", not(iserror(vlookup($A613&amp;$B613,'5) Release_Track'!$F:$F&amp;'5) Release_Track'!$G:$G,1,0))),vlookup($A613&amp;$B613,{'5) Release_Track'!$F:$F&amp;'5) Release_Track'!$G:$G,'5) Release_Track'!$I:$I},2,0),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E613" s="92"/>
      <c r="F613" s="92"/>
      <c r="G613" s="125" t="str">
        <f t="array" ref="G613">ifs(or($F613="",$F613="Main Primary Artist"),$F613,not(iserror(vlookup($F613,'Reference info'!$J$5:$J$8,1,0))),"Key Artist",not(iserror(vlookup($F613,'Reference info'!$J$38:$J$405,1,0))),"Performer",not(iserror(vlookup($F613,'Reference info'!$J$10:$J$36,1,0))),"Producer &amp; Engineer")</f>
        <v/>
      </c>
    </row>
    <row r="614">
      <c r="B614" s="97"/>
      <c r="C614" s="121" t="str">
        <f t="array" ref="C614">ifs(and(isblank($A614),isblank($B614)),"", not(iserror(vlookup($A614&amp;$B614,'5) Release_Track'!$F:$F&amp;'5) Release_Track'!$G:$G,1,0))),vlookup($A614&amp;$B614,{'5) Release_Track'!$F:$F&amp;'5) Release_Track'!$G:$G,'5) Release_Track'!$H:$H},2,0),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D614" s="121" t="str">
        <f t="array" ref="D614">ifs(and(isblank($A614),isblank($B614)),"", not(iserror(vlookup($A614&amp;$B614,'5) Release_Track'!$F:$F&amp;'5) Release_Track'!$G:$G,1,0))),vlookup($A614&amp;$B614,{'5) Release_Track'!$F:$F&amp;'5) Release_Track'!$G:$G,'5) Release_Track'!$I:$I},2,0),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E614" s="92"/>
      <c r="F614" s="92"/>
      <c r="G614" s="125" t="str">
        <f t="array" ref="G614">ifs(or($F614="",$F614="Main Primary Artist"),$F614,not(iserror(vlookup($F614,'Reference info'!$J$5:$J$8,1,0))),"Key Artist",not(iserror(vlookup($F614,'Reference info'!$J$38:$J$405,1,0))),"Performer",not(iserror(vlookup($F614,'Reference info'!$J$10:$J$36,1,0))),"Producer &amp; Engineer")</f>
        <v/>
      </c>
    </row>
    <row r="615">
      <c r="B615" s="97"/>
      <c r="C615" s="121" t="str">
        <f t="array" ref="C615">ifs(and(isblank($A615),isblank($B615)),"", not(iserror(vlookup($A615&amp;$B615,'5) Release_Track'!$F:$F&amp;'5) Release_Track'!$G:$G,1,0))),vlookup($A615&amp;$B615,{'5) Release_Track'!$F:$F&amp;'5) Release_Track'!$G:$G,'5) Release_Track'!$H:$H},2,0),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D615" s="121" t="str">
        <f t="array" ref="D615">ifs(and(isblank($A615),isblank($B615)),"", not(iserror(vlookup($A615&amp;$B615,'5) Release_Track'!$F:$F&amp;'5) Release_Track'!$G:$G,1,0))),vlookup($A615&amp;$B615,{'5) Release_Track'!$F:$F&amp;'5) Release_Track'!$G:$G,'5) Release_Track'!$I:$I},2,0),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E615" s="92"/>
      <c r="F615" s="92"/>
      <c r="G615" s="125" t="str">
        <f t="array" ref="G615">ifs(or($F615="",$F615="Main Primary Artist"),$F615,not(iserror(vlookup($F615,'Reference info'!$J$5:$J$8,1,0))),"Key Artist",not(iserror(vlookup($F615,'Reference info'!$J$38:$J$405,1,0))),"Performer",not(iserror(vlookup($F615,'Reference info'!$J$10:$J$36,1,0))),"Producer &amp; Engineer")</f>
        <v/>
      </c>
    </row>
    <row r="616">
      <c r="B616" s="97"/>
      <c r="C616" s="121" t="str">
        <f t="array" ref="C616">ifs(and(isblank($A616),isblank($B616)),"", not(iserror(vlookup($A616&amp;$B616,'5) Release_Track'!$F:$F&amp;'5) Release_Track'!$G:$G,1,0))),vlookup($A616&amp;$B616,{'5) Release_Track'!$F:$F&amp;'5) Release_Track'!$G:$G,'5) Release_Track'!$H:$H},2,0),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D616" s="121" t="str">
        <f t="array" ref="D616">ifs(and(isblank($A616),isblank($B616)),"", not(iserror(vlookup($A616&amp;$B616,'5) Release_Track'!$F:$F&amp;'5) Release_Track'!$G:$G,1,0))),vlookup($A616&amp;$B616,{'5) Release_Track'!$F:$F&amp;'5) Release_Track'!$G:$G,'5) Release_Track'!$I:$I},2,0),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E616" s="92"/>
      <c r="F616" s="92"/>
      <c r="G616" s="125" t="str">
        <f t="array" ref="G616">ifs(or($F616="",$F616="Main Primary Artist"),$F616,not(iserror(vlookup($F616,'Reference info'!$J$5:$J$8,1,0))),"Key Artist",not(iserror(vlookup($F616,'Reference info'!$J$38:$J$405,1,0))),"Performer",not(iserror(vlookup($F616,'Reference info'!$J$10:$J$36,1,0))),"Producer &amp; Engineer")</f>
        <v/>
      </c>
    </row>
    <row r="617">
      <c r="B617" s="97"/>
      <c r="C617" s="121" t="str">
        <f t="array" ref="C617">ifs(and(isblank($A617),isblank($B617)),"", not(iserror(vlookup($A617&amp;$B617,'5) Release_Track'!$F:$F&amp;'5) Release_Track'!$G:$G,1,0))),vlookup($A617&amp;$B617,{'5) Release_Track'!$F:$F&amp;'5) Release_Track'!$G:$G,'5) Release_Track'!$H:$H},2,0),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D617" s="121" t="str">
        <f t="array" ref="D617">ifs(and(isblank($A617),isblank($B617)),"", not(iserror(vlookup($A617&amp;$B617,'5) Release_Track'!$F:$F&amp;'5) Release_Track'!$G:$G,1,0))),vlookup($A617&amp;$B617,{'5) Release_Track'!$F:$F&amp;'5) Release_Track'!$G:$G,'5) Release_Track'!$I:$I},2,0),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E617" s="92"/>
      <c r="F617" s="92"/>
      <c r="G617" s="125" t="str">
        <f t="array" ref="G617">ifs(or($F617="",$F617="Main Primary Artist"),$F617,not(iserror(vlookup($F617,'Reference info'!$J$5:$J$8,1,0))),"Key Artist",not(iserror(vlookup($F617,'Reference info'!$J$38:$J$405,1,0))),"Performer",not(iserror(vlookup($F617,'Reference info'!$J$10:$J$36,1,0))),"Producer &amp; Engineer")</f>
        <v/>
      </c>
    </row>
    <row r="618">
      <c r="B618" s="97"/>
      <c r="C618" s="121" t="str">
        <f t="array" ref="C618">ifs(and(isblank($A618),isblank($B618)),"", not(iserror(vlookup($A618&amp;$B618,'5) Release_Track'!$F:$F&amp;'5) Release_Track'!$G:$G,1,0))),vlookup($A618&amp;$B618,{'5) Release_Track'!$F:$F&amp;'5) Release_Track'!$G:$G,'5) Release_Track'!$H:$H},2,0),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D618" s="121" t="str">
        <f t="array" ref="D618">ifs(and(isblank($A618),isblank($B618)),"", not(iserror(vlookup($A618&amp;$B618,'5) Release_Track'!$F:$F&amp;'5) Release_Track'!$G:$G,1,0))),vlookup($A618&amp;$B618,{'5) Release_Track'!$F:$F&amp;'5) Release_Track'!$G:$G,'5) Release_Track'!$I:$I},2,0),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E618" s="92"/>
      <c r="F618" s="92"/>
      <c r="G618" s="125" t="str">
        <f t="array" ref="G618">ifs(or($F618="",$F618="Main Primary Artist"),$F618,not(iserror(vlookup($F618,'Reference info'!$J$5:$J$8,1,0))),"Key Artist",not(iserror(vlookup($F618,'Reference info'!$J$38:$J$405,1,0))),"Performer",not(iserror(vlookup($F618,'Reference info'!$J$10:$J$36,1,0))),"Producer &amp; Engineer")</f>
        <v/>
      </c>
    </row>
    <row r="619">
      <c r="B619" s="97"/>
      <c r="C619" s="121" t="str">
        <f t="array" ref="C619">ifs(and(isblank($A619),isblank($B619)),"", not(iserror(vlookup($A619&amp;$B619,'5) Release_Track'!$F:$F&amp;'5) Release_Track'!$G:$G,1,0))),vlookup($A619&amp;$B619,{'5) Release_Track'!$F:$F&amp;'5) Release_Track'!$G:$G,'5) Release_Track'!$H:$H},2,0),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D619" s="121" t="str">
        <f t="array" ref="D619">ifs(and(isblank($A619),isblank($B619)),"", not(iserror(vlookup($A619&amp;$B619,'5) Release_Track'!$F:$F&amp;'5) Release_Track'!$G:$G,1,0))),vlookup($A619&amp;$B619,{'5) Release_Track'!$F:$F&amp;'5) Release_Track'!$G:$G,'5) Release_Track'!$I:$I},2,0),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E619" s="92"/>
      <c r="F619" s="92"/>
      <c r="G619" s="125" t="str">
        <f t="array" ref="G619">ifs(or($F619="",$F619="Main Primary Artist"),$F619,not(iserror(vlookup($F619,'Reference info'!$J$5:$J$8,1,0))),"Key Artist",not(iserror(vlookup($F619,'Reference info'!$J$38:$J$405,1,0))),"Performer",not(iserror(vlookup($F619,'Reference info'!$J$10:$J$36,1,0))),"Producer &amp; Engineer")</f>
        <v/>
      </c>
    </row>
    <row r="620">
      <c r="B620" s="97"/>
      <c r="C620" s="121" t="str">
        <f t="array" ref="C620">ifs(and(isblank($A620),isblank($B620)),"", not(iserror(vlookup($A620&amp;$B620,'5) Release_Track'!$F:$F&amp;'5) Release_Track'!$G:$G,1,0))),vlookup($A620&amp;$B620,{'5) Release_Track'!$F:$F&amp;'5) Release_Track'!$G:$G,'5) Release_Track'!$H:$H},2,0),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D620" s="121" t="str">
        <f t="array" ref="D620">ifs(and(isblank($A620),isblank($B620)),"", not(iserror(vlookup($A620&amp;$B620,'5) Release_Track'!$F:$F&amp;'5) Release_Track'!$G:$G,1,0))),vlookup($A620&amp;$B620,{'5) Release_Track'!$F:$F&amp;'5) Release_Track'!$G:$G,'5) Release_Track'!$I:$I},2,0),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E620" s="92"/>
      <c r="F620" s="92"/>
      <c r="G620" s="125" t="str">
        <f t="array" ref="G620">ifs(or($F620="",$F620="Main Primary Artist"),$F620,not(iserror(vlookup($F620,'Reference info'!$J$5:$J$8,1,0))),"Key Artist",not(iserror(vlookup($F620,'Reference info'!$J$38:$J$405,1,0))),"Performer",not(iserror(vlookup($F620,'Reference info'!$J$10:$J$36,1,0))),"Producer &amp; Engineer")</f>
        <v/>
      </c>
    </row>
    <row r="621">
      <c r="B621" s="97"/>
      <c r="C621" s="121" t="str">
        <f t="array" ref="C621">ifs(and(isblank($A621),isblank($B621)),"", not(iserror(vlookup($A621&amp;$B621,'5) Release_Track'!$F:$F&amp;'5) Release_Track'!$G:$G,1,0))),vlookup($A621&amp;$B621,{'5) Release_Track'!$F:$F&amp;'5) Release_Track'!$G:$G,'5) Release_Track'!$H:$H},2,0),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D621" s="121" t="str">
        <f t="array" ref="D621">ifs(and(isblank($A621),isblank($B621)),"", not(iserror(vlookup($A621&amp;$B621,'5) Release_Track'!$F:$F&amp;'5) Release_Track'!$G:$G,1,0))),vlookup($A621&amp;$B621,{'5) Release_Track'!$F:$F&amp;'5) Release_Track'!$G:$G,'5) Release_Track'!$I:$I},2,0),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E621" s="92"/>
      <c r="F621" s="92"/>
      <c r="G621" s="125" t="str">
        <f t="array" ref="G621">ifs(or($F621="",$F621="Main Primary Artist"),$F621,not(iserror(vlookup($F621,'Reference info'!$J$5:$J$8,1,0))),"Key Artist",not(iserror(vlookup($F621,'Reference info'!$J$38:$J$405,1,0))),"Performer",not(iserror(vlookup($F621,'Reference info'!$J$10:$J$36,1,0))),"Producer &amp; Engineer")</f>
        <v/>
      </c>
    </row>
    <row r="622">
      <c r="B622" s="97"/>
      <c r="C622" s="121" t="str">
        <f t="array" ref="C622">ifs(and(isblank($A622),isblank($B622)),"", not(iserror(vlookup($A622&amp;$B622,'5) Release_Track'!$F:$F&amp;'5) Release_Track'!$G:$G,1,0))),vlookup($A622&amp;$B622,{'5) Release_Track'!$F:$F&amp;'5) Release_Track'!$G:$G,'5) Release_Track'!$H:$H},2,0),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D622" s="121" t="str">
        <f t="array" ref="D622">ifs(and(isblank($A622),isblank($B622)),"", not(iserror(vlookup($A622&amp;$B622,'5) Release_Track'!$F:$F&amp;'5) Release_Track'!$G:$G,1,0))),vlookup($A622&amp;$B622,{'5) Release_Track'!$F:$F&amp;'5) Release_Track'!$G:$G,'5) Release_Track'!$I:$I},2,0),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E622" s="92"/>
      <c r="F622" s="92"/>
      <c r="G622" s="125" t="str">
        <f t="array" ref="G622">ifs(or($F622="",$F622="Main Primary Artist"),$F622,not(iserror(vlookup($F622,'Reference info'!$J$5:$J$8,1,0))),"Key Artist",not(iserror(vlookup($F622,'Reference info'!$J$38:$J$405,1,0))),"Performer",not(iserror(vlookup($F622,'Reference info'!$J$10:$J$36,1,0))),"Producer &amp; Engineer")</f>
        <v/>
      </c>
    </row>
    <row r="623">
      <c r="B623" s="97"/>
      <c r="C623" s="121" t="str">
        <f t="array" ref="C623">ifs(and(isblank($A623),isblank($B623)),"", not(iserror(vlookup($A623&amp;$B623,'5) Release_Track'!$F:$F&amp;'5) Release_Track'!$G:$G,1,0))),vlookup($A623&amp;$B623,{'5) Release_Track'!$F:$F&amp;'5) Release_Track'!$G:$G,'5) Release_Track'!$H:$H},2,0),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D623" s="121" t="str">
        <f t="array" ref="D623">ifs(and(isblank($A623),isblank($B623)),"", not(iserror(vlookup($A623&amp;$B623,'5) Release_Track'!$F:$F&amp;'5) Release_Track'!$G:$G,1,0))),vlookup($A623&amp;$B623,{'5) Release_Track'!$F:$F&amp;'5) Release_Track'!$G:$G,'5) Release_Track'!$I:$I},2,0),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E623" s="92"/>
      <c r="F623" s="92"/>
      <c r="G623" s="125" t="str">
        <f t="array" ref="G623">ifs(or($F623="",$F623="Main Primary Artist"),$F623,not(iserror(vlookup($F623,'Reference info'!$J$5:$J$8,1,0))),"Key Artist",not(iserror(vlookup($F623,'Reference info'!$J$38:$J$405,1,0))),"Performer",not(iserror(vlookup($F623,'Reference info'!$J$10:$J$36,1,0))),"Producer &amp; Engineer")</f>
        <v/>
      </c>
    </row>
    <row r="624">
      <c r="B624" s="97"/>
      <c r="C624" s="121" t="str">
        <f t="array" ref="C624">ifs(and(isblank($A624),isblank($B624)),"", not(iserror(vlookup($A624&amp;$B624,'5) Release_Track'!$F:$F&amp;'5) Release_Track'!$G:$G,1,0))),vlookup($A624&amp;$B624,{'5) Release_Track'!$F:$F&amp;'5) Release_Track'!$G:$G,'5) Release_Track'!$H:$H},2,0),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D624" s="121" t="str">
        <f t="array" ref="D624">ifs(and(isblank($A624),isblank($B624)),"", not(iserror(vlookup($A624&amp;$B624,'5) Release_Track'!$F:$F&amp;'5) Release_Track'!$G:$G,1,0))),vlookup($A624&amp;$B624,{'5) Release_Track'!$F:$F&amp;'5) Release_Track'!$G:$G,'5) Release_Track'!$I:$I},2,0),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E624" s="92"/>
      <c r="F624" s="92"/>
      <c r="G624" s="125" t="str">
        <f t="array" ref="G624">ifs(or($F624="",$F624="Main Primary Artist"),$F624,not(iserror(vlookup($F624,'Reference info'!$J$5:$J$8,1,0))),"Key Artist",not(iserror(vlookup($F624,'Reference info'!$J$38:$J$405,1,0))),"Performer",not(iserror(vlookup($F624,'Reference info'!$J$10:$J$36,1,0))),"Producer &amp; Engineer")</f>
        <v/>
      </c>
    </row>
    <row r="625">
      <c r="B625" s="97"/>
      <c r="C625" s="121" t="str">
        <f t="array" ref="C625">ifs(and(isblank($A625),isblank($B625)),"", not(iserror(vlookup($A625&amp;$B625,'5) Release_Track'!$F:$F&amp;'5) Release_Track'!$G:$G,1,0))),vlookup($A625&amp;$B625,{'5) Release_Track'!$F:$F&amp;'5) Release_Track'!$G:$G,'5) Release_Track'!$H:$H},2,0),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D625" s="121" t="str">
        <f t="array" ref="D625">ifs(and(isblank($A625),isblank($B625)),"", not(iserror(vlookup($A625&amp;$B625,'5) Release_Track'!$F:$F&amp;'5) Release_Track'!$G:$G,1,0))),vlookup($A625&amp;$B625,{'5) Release_Track'!$F:$F&amp;'5) Release_Track'!$G:$G,'5) Release_Track'!$I:$I},2,0),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E625" s="92"/>
      <c r="F625" s="92"/>
      <c r="G625" s="125" t="str">
        <f t="array" ref="G625">ifs(or($F625="",$F625="Main Primary Artist"),$F625,not(iserror(vlookup($F625,'Reference info'!$J$5:$J$8,1,0))),"Key Artist",not(iserror(vlookup($F625,'Reference info'!$J$38:$J$405,1,0))),"Performer",not(iserror(vlookup($F625,'Reference info'!$J$10:$J$36,1,0))),"Producer &amp; Engineer")</f>
        <v/>
      </c>
    </row>
    <row r="626">
      <c r="B626" s="97"/>
      <c r="C626" s="121" t="str">
        <f t="array" ref="C626">ifs(and(isblank($A626),isblank($B626)),"", not(iserror(vlookup($A626&amp;$B626,'5) Release_Track'!$F:$F&amp;'5) Release_Track'!$G:$G,1,0))),vlookup($A626&amp;$B626,{'5) Release_Track'!$F:$F&amp;'5) Release_Track'!$G:$G,'5) Release_Track'!$H:$H},2,0),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D626" s="121" t="str">
        <f t="array" ref="D626">ifs(and(isblank($A626),isblank($B626)),"", not(iserror(vlookup($A626&amp;$B626,'5) Release_Track'!$F:$F&amp;'5) Release_Track'!$G:$G,1,0))),vlookup($A626&amp;$B626,{'5) Release_Track'!$F:$F&amp;'5) Release_Track'!$G:$G,'5) Release_Track'!$I:$I},2,0),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E626" s="92"/>
      <c r="F626" s="92"/>
      <c r="G626" s="125" t="str">
        <f t="array" ref="G626">ifs(or($F626="",$F626="Main Primary Artist"),$F626,not(iserror(vlookup($F626,'Reference info'!$J$5:$J$8,1,0))),"Key Artist",not(iserror(vlookup($F626,'Reference info'!$J$38:$J$405,1,0))),"Performer",not(iserror(vlookup($F626,'Reference info'!$J$10:$J$36,1,0))),"Producer &amp; Engineer")</f>
        <v/>
      </c>
    </row>
    <row r="627">
      <c r="B627" s="97"/>
      <c r="C627" s="121" t="str">
        <f t="array" ref="C627">ifs(and(isblank($A627),isblank($B627)),"", not(iserror(vlookup($A627&amp;$B627,'5) Release_Track'!$F:$F&amp;'5) Release_Track'!$G:$G,1,0))),vlookup($A627&amp;$B627,{'5) Release_Track'!$F:$F&amp;'5) Release_Track'!$G:$G,'5) Release_Track'!$H:$H},2,0),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D627" s="121" t="str">
        <f t="array" ref="D627">ifs(and(isblank($A627),isblank($B627)),"", not(iserror(vlookup($A627&amp;$B627,'5) Release_Track'!$F:$F&amp;'5) Release_Track'!$G:$G,1,0))),vlookup($A627&amp;$B627,{'5) Release_Track'!$F:$F&amp;'5) Release_Track'!$G:$G,'5) Release_Track'!$I:$I},2,0),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E627" s="92"/>
      <c r="F627" s="92"/>
      <c r="G627" s="125" t="str">
        <f t="array" ref="G627">ifs(or($F627="",$F627="Main Primary Artist"),$F627,not(iserror(vlookup($F627,'Reference info'!$J$5:$J$8,1,0))),"Key Artist",not(iserror(vlookup($F627,'Reference info'!$J$38:$J$405,1,0))),"Performer",not(iserror(vlookup($F627,'Reference info'!$J$10:$J$36,1,0))),"Producer &amp; Engineer")</f>
        <v/>
      </c>
    </row>
    <row r="628">
      <c r="B628" s="97"/>
      <c r="C628" s="121" t="str">
        <f t="array" ref="C628">ifs(and(isblank($A628),isblank($B628)),"", not(iserror(vlookup($A628&amp;$B628,'5) Release_Track'!$F:$F&amp;'5) Release_Track'!$G:$G,1,0))),vlookup($A628&amp;$B628,{'5) Release_Track'!$F:$F&amp;'5) Release_Track'!$G:$G,'5) Release_Track'!$H:$H},2,0),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D628" s="121" t="str">
        <f t="array" ref="D628">ifs(and(isblank($A628),isblank($B628)),"", not(iserror(vlookup($A628&amp;$B628,'5) Release_Track'!$F:$F&amp;'5) Release_Track'!$G:$G,1,0))),vlookup($A628&amp;$B628,{'5) Release_Track'!$F:$F&amp;'5) Release_Track'!$G:$G,'5) Release_Track'!$I:$I},2,0),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E628" s="92"/>
      <c r="F628" s="92"/>
      <c r="G628" s="125" t="str">
        <f t="array" ref="G628">ifs(or($F628="",$F628="Main Primary Artist"),$F628,not(iserror(vlookup($F628,'Reference info'!$J$5:$J$8,1,0))),"Key Artist",not(iserror(vlookup($F628,'Reference info'!$J$38:$J$405,1,0))),"Performer",not(iserror(vlookup($F628,'Reference info'!$J$10:$J$36,1,0))),"Producer &amp; Engineer")</f>
        <v/>
      </c>
    </row>
    <row r="629">
      <c r="B629" s="97"/>
      <c r="C629" s="121" t="str">
        <f t="array" ref="C629">ifs(and(isblank($A629),isblank($B629)),"", not(iserror(vlookup($A629&amp;$B629,'5) Release_Track'!$F:$F&amp;'5) Release_Track'!$G:$G,1,0))),vlookup($A629&amp;$B629,{'5) Release_Track'!$F:$F&amp;'5) Release_Track'!$G:$G,'5) Release_Track'!$H:$H},2,0),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D629" s="121" t="str">
        <f t="array" ref="D629">ifs(and(isblank($A629),isblank($B629)),"", not(iserror(vlookup($A629&amp;$B629,'5) Release_Track'!$F:$F&amp;'5) Release_Track'!$G:$G,1,0))),vlookup($A629&amp;$B629,{'5) Release_Track'!$F:$F&amp;'5) Release_Track'!$G:$G,'5) Release_Track'!$I:$I},2,0),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E629" s="92"/>
      <c r="F629" s="92"/>
      <c r="G629" s="125" t="str">
        <f t="array" ref="G629">ifs(or($F629="",$F629="Main Primary Artist"),$F629,not(iserror(vlookup($F629,'Reference info'!$J$5:$J$8,1,0))),"Key Artist",not(iserror(vlookup($F629,'Reference info'!$J$38:$J$405,1,0))),"Performer",not(iserror(vlookup($F629,'Reference info'!$J$10:$J$36,1,0))),"Producer &amp; Engineer")</f>
        <v/>
      </c>
    </row>
    <row r="630">
      <c r="B630" s="97"/>
      <c r="C630" s="121" t="str">
        <f t="array" ref="C630">ifs(and(isblank($A630),isblank($B630)),"", not(iserror(vlookup($A630&amp;$B630,'5) Release_Track'!$F:$F&amp;'5) Release_Track'!$G:$G,1,0))),vlookup($A630&amp;$B630,{'5) Release_Track'!$F:$F&amp;'5) Release_Track'!$G:$G,'5) Release_Track'!$H:$H},2,0),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D630" s="121" t="str">
        <f t="array" ref="D630">ifs(and(isblank($A630),isblank($B630)),"", not(iserror(vlookup($A630&amp;$B630,'5) Release_Track'!$F:$F&amp;'5) Release_Track'!$G:$G,1,0))),vlookup($A630&amp;$B630,{'5) Release_Track'!$F:$F&amp;'5) Release_Track'!$G:$G,'5) Release_Track'!$I:$I},2,0),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E630" s="92"/>
      <c r="F630" s="92"/>
      <c r="G630" s="125" t="str">
        <f t="array" ref="G630">ifs(or($F630="",$F630="Main Primary Artist"),$F630,not(iserror(vlookup($F630,'Reference info'!$J$5:$J$8,1,0))),"Key Artist",not(iserror(vlookup($F630,'Reference info'!$J$38:$J$405,1,0))),"Performer",not(iserror(vlookup($F630,'Reference info'!$J$10:$J$36,1,0))),"Producer &amp; Engineer")</f>
        <v/>
      </c>
    </row>
    <row r="631">
      <c r="B631" s="97"/>
      <c r="C631" s="121" t="str">
        <f t="array" ref="C631">ifs(and(isblank($A631),isblank($B631)),"", not(iserror(vlookup($A631&amp;$B631,'5) Release_Track'!$F:$F&amp;'5) Release_Track'!$G:$G,1,0))),vlookup($A631&amp;$B631,{'5) Release_Track'!$F:$F&amp;'5) Release_Track'!$G:$G,'5) Release_Track'!$H:$H},2,0),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D631" s="121" t="str">
        <f t="array" ref="D631">ifs(and(isblank($A631),isblank($B631)),"", not(iserror(vlookup($A631&amp;$B631,'5) Release_Track'!$F:$F&amp;'5) Release_Track'!$G:$G,1,0))),vlookup($A631&amp;$B631,{'5) Release_Track'!$F:$F&amp;'5) Release_Track'!$G:$G,'5) Release_Track'!$I:$I},2,0),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E631" s="92"/>
      <c r="F631" s="92"/>
      <c r="G631" s="125" t="str">
        <f t="array" ref="G631">ifs(or($F631="",$F631="Main Primary Artist"),$F631,not(iserror(vlookup($F631,'Reference info'!$J$5:$J$8,1,0))),"Key Artist",not(iserror(vlookup($F631,'Reference info'!$J$38:$J$405,1,0))),"Performer",not(iserror(vlookup($F631,'Reference info'!$J$10:$J$36,1,0))),"Producer &amp; Engineer")</f>
        <v/>
      </c>
    </row>
    <row r="632">
      <c r="B632" s="97"/>
      <c r="C632" s="121" t="str">
        <f t="array" ref="C632">ifs(and(isblank($A632),isblank($B632)),"", not(iserror(vlookup($A632&amp;$B632,'5) Release_Track'!$F:$F&amp;'5) Release_Track'!$G:$G,1,0))),vlookup($A632&amp;$B632,{'5) Release_Track'!$F:$F&amp;'5) Release_Track'!$G:$G,'5) Release_Track'!$H:$H},2,0),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D632" s="121" t="str">
        <f t="array" ref="D632">ifs(and(isblank($A632),isblank($B632)),"", not(iserror(vlookup($A632&amp;$B632,'5) Release_Track'!$F:$F&amp;'5) Release_Track'!$G:$G,1,0))),vlookup($A632&amp;$B632,{'5) Release_Track'!$F:$F&amp;'5) Release_Track'!$G:$G,'5) Release_Track'!$I:$I},2,0),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E632" s="92"/>
      <c r="F632" s="92"/>
      <c r="G632" s="125" t="str">
        <f t="array" ref="G632">ifs(or($F632="",$F632="Main Primary Artist"),$F632,not(iserror(vlookup($F632,'Reference info'!$J$5:$J$8,1,0))),"Key Artist",not(iserror(vlookup($F632,'Reference info'!$J$38:$J$405,1,0))),"Performer",not(iserror(vlookup($F632,'Reference info'!$J$10:$J$36,1,0))),"Producer &amp; Engineer")</f>
        <v/>
      </c>
    </row>
    <row r="633">
      <c r="B633" s="97"/>
      <c r="C633" s="121" t="str">
        <f t="array" ref="C633">ifs(and(isblank($A633),isblank($B633)),"", not(iserror(vlookup($A633&amp;$B633,'5) Release_Track'!$F:$F&amp;'5) Release_Track'!$G:$G,1,0))),vlookup($A633&amp;$B633,{'5) Release_Track'!$F:$F&amp;'5) Release_Track'!$G:$G,'5) Release_Track'!$H:$H},2,0),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D633" s="121" t="str">
        <f t="array" ref="D633">ifs(and(isblank($A633),isblank($B633)),"", not(iserror(vlookup($A633&amp;$B633,'5) Release_Track'!$F:$F&amp;'5) Release_Track'!$G:$G,1,0))),vlookup($A633&amp;$B633,{'5) Release_Track'!$F:$F&amp;'5) Release_Track'!$G:$G,'5) Release_Track'!$I:$I},2,0),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E633" s="92"/>
      <c r="F633" s="92"/>
      <c r="G633" s="125" t="str">
        <f t="array" ref="G633">ifs(or($F633="",$F633="Main Primary Artist"),$F633,not(iserror(vlookup($F633,'Reference info'!$J$5:$J$8,1,0))),"Key Artist",not(iserror(vlookup($F633,'Reference info'!$J$38:$J$405,1,0))),"Performer",not(iserror(vlookup($F633,'Reference info'!$J$10:$J$36,1,0))),"Producer &amp; Engineer")</f>
        <v/>
      </c>
    </row>
    <row r="634">
      <c r="B634" s="97"/>
      <c r="C634" s="121" t="str">
        <f t="array" ref="C634">ifs(and(isblank($A634),isblank($B634)),"", not(iserror(vlookup($A634&amp;$B634,'5) Release_Track'!$F:$F&amp;'5) Release_Track'!$G:$G,1,0))),vlookup($A634&amp;$B634,{'5) Release_Track'!$F:$F&amp;'5) Release_Track'!$G:$G,'5) Release_Track'!$H:$H},2,0),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D634" s="121" t="str">
        <f t="array" ref="D634">ifs(and(isblank($A634),isblank($B634)),"", not(iserror(vlookup($A634&amp;$B634,'5) Release_Track'!$F:$F&amp;'5) Release_Track'!$G:$G,1,0))),vlookup($A634&amp;$B634,{'5) Release_Track'!$F:$F&amp;'5) Release_Track'!$G:$G,'5) Release_Track'!$I:$I},2,0),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E634" s="92"/>
      <c r="F634" s="92"/>
      <c r="G634" s="125" t="str">
        <f t="array" ref="G634">ifs(or($F634="",$F634="Main Primary Artist"),$F634,not(iserror(vlookup($F634,'Reference info'!$J$5:$J$8,1,0))),"Key Artist",not(iserror(vlookup($F634,'Reference info'!$J$38:$J$405,1,0))),"Performer",not(iserror(vlookup($F634,'Reference info'!$J$10:$J$36,1,0))),"Producer &amp; Engineer")</f>
        <v/>
      </c>
    </row>
    <row r="635">
      <c r="B635" s="97"/>
      <c r="C635" s="121" t="str">
        <f t="array" ref="C635">ifs(and(isblank($A635),isblank($B635)),"", not(iserror(vlookup($A635&amp;$B635,'5) Release_Track'!$F:$F&amp;'5) Release_Track'!$G:$G,1,0))),vlookup($A635&amp;$B635,{'5) Release_Track'!$F:$F&amp;'5) Release_Track'!$G:$G,'5) Release_Track'!$H:$H},2,0),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D635" s="121" t="str">
        <f t="array" ref="D635">ifs(and(isblank($A635),isblank($B635)),"", not(iserror(vlookup($A635&amp;$B635,'5) Release_Track'!$F:$F&amp;'5) Release_Track'!$G:$G,1,0))),vlookup($A635&amp;$B635,{'5) Release_Track'!$F:$F&amp;'5) Release_Track'!$G:$G,'5) Release_Track'!$I:$I},2,0),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E635" s="92"/>
      <c r="F635" s="92"/>
      <c r="G635" s="125" t="str">
        <f t="array" ref="G635">ifs(or($F635="",$F635="Main Primary Artist"),$F635,not(iserror(vlookup($F635,'Reference info'!$J$5:$J$8,1,0))),"Key Artist",not(iserror(vlookup($F635,'Reference info'!$J$38:$J$405,1,0))),"Performer",not(iserror(vlookup($F635,'Reference info'!$J$10:$J$36,1,0))),"Producer &amp; Engineer")</f>
        <v/>
      </c>
    </row>
    <row r="636">
      <c r="B636" s="97"/>
      <c r="C636" s="121" t="str">
        <f t="array" ref="C636">ifs(and(isblank($A636),isblank($B636)),"", not(iserror(vlookup($A636&amp;$B636,'5) Release_Track'!$F:$F&amp;'5) Release_Track'!$G:$G,1,0))),vlookup($A636&amp;$B636,{'5) Release_Track'!$F:$F&amp;'5) Release_Track'!$G:$G,'5) Release_Track'!$H:$H},2,0),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D636" s="121" t="str">
        <f t="array" ref="D636">ifs(and(isblank($A636),isblank($B636)),"", not(iserror(vlookup($A636&amp;$B636,'5) Release_Track'!$F:$F&amp;'5) Release_Track'!$G:$G,1,0))),vlookup($A636&amp;$B636,{'5) Release_Track'!$F:$F&amp;'5) Release_Track'!$G:$G,'5) Release_Track'!$I:$I},2,0),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E636" s="92"/>
      <c r="F636" s="92"/>
      <c r="G636" s="125" t="str">
        <f t="array" ref="G636">ifs(or($F636="",$F636="Main Primary Artist"),$F636,not(iserror(vlookup($F636,'Reference info'!$J$5:$J$8,1,0))),"Key Artist",not(iserror(vlookup($F636,'Reference info'!$J$38:$J$405,1,0))),"Performer",not(iserror(vlookup($F636,'Reference info'!$J$10:$J$36,1,0))),"Producer &amp; Engineer")</f>
        <v/>
      </c>
    </row>
    <row r="637">
      <c r="B637" s="97"/>
      <c r="C637" s="121" t="str">
        <f t="array" ref="C637">ifs(and(isblank($A637),isblank($B637)),"", not(iserror(vlookup($A637&amp;$B637,'5) Release_Track'!$F:$F&amp;'5) Release_Track'!$G:$G,1,0))),vlookup($A637&amp;$B637,{'5) Release_Track'!$F:$F&amp;'5) Release_Track'!$G:$G,'5) Release_Track'!$H:$H},2,0),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D637" s="121" t="str">
        <f t="array" ref="D637">ifs(and(isblank($A637),isblank($B637)),"", not(iserror(vlookup($A637&amp;$B637,'5) Release_Track'!$F:$F&amp;'5) Release_Track'!$G:$G,1,0))),vlookup($A637&amp;$B637,{'5) Release_Track'!$F:$F&amp;'5) Release_Track'!$G:$G,'5) Release_Track'!$I:$I},2,0),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E637" s="92"/>
      <c r="F637" s="92"/>
      <c r="G637" s="125" t="str">
        <f t="array" ref="G637">ifs(or($F637="",$F637="Main Primary Artist"),$F637,not(iserror(vlookup($F637,'Reference info'!$J$5:$J$8,1,0))),"Key Artist",not(iserror(vlookup($F637,'Reference info'!$J$38:$J$405,1,0))),"Performer",not(iserror(vlookup($F637,'Reference info'!$J$10:$J$36,1,0))),"Producer &amp; Engineer")</f>
        <v/>
      </c>
    </row>
    <row r="638">
      <c r="B638" s="97"/>
      <c r="C638" s="121" t="str">
        <f t="array" ref="C638">ifs(and(isblank($A638),isblank($B638)),"", not(iserror(vlookup($A638&amp;$B638,'5) Release_Track'!$F:$F&amp;'5) Release_Track'!$G:$G,1,0))),vlookup($A638&amp;$B638,{'5) Release_Track'!$F:$F&amp;'5) Release_Track'!$G:$G,'5) Release_Track'!$H:$H},2,0),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D638" s="121" t="str">
        <f t="array" ref="D638">ifs(and(isblank($A638),isblank($B638)),"", not(iserror(vlookup($A638&amp;$B638,'5) Release_Track'!$F:$F&amp;'5) Release_Track'!$G:$G,1,0))),vlookup($A638&amp;$B638,{'5) Release_Track'!$F:$F&amp;'5) Release_Track'!$G:$G,'5) Release_Track'!$I:$I},2,0),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E638" s="92"/>
      <c r="F638" s="92"/>
      <c r="G638" s="125" t="str">
        <f t="array" ref="G638">ifs(or($F638="",$F638="Main Primary Artist"),$F638,not(iserror(vlookup($F638,'Reference info'!$J$5:$J$8,1,0))),"Key Artist",not(iserror(vlookup($F638,'Reference info'!$J$38:$J$405,1,0))),"Performer",not(iserror(vlookup($F638,'Reference info'!$J$10:$J$36,1,0))),"Producer &amp; Engineer")</f>
        <v/>
      </c>
    </row>
    <row r="639">
      <c r="B639" s="97"/>
      <c r="C639" s="121" t="str">
        <f t="array" ref="C639">ifs(and(isblank($A639),isblank($B639)),"", not(iserror(vlookup($A639&amp;$B639,'5) Release_Track'!$F:$F&amp;'5) Release_Track'!$G:$G,1,0))),vlookup($A639&amp;$B639,{'5) Release_Track'!$F:$F&amp;'5) Release_Track'!$G:$G,'5) Release_Track'!$H:$H},2,0),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D639" s="121" t="str">
        <f t="array" ref="D639">ifs(and(isblank($A639),isblank($B639)),"", not(iserror(vlookup($A639&amp;$B639,'5) Release_Track'!$F:$F&amp;'5) Release_Track'!$G:$G,1,0))),vlookup($A639&amp;$B639,{'5) Release_Track'!$F:$F&amp;'5) Release_Track'!$G:$G,'5) Release_Track'!$I:$I},2,0),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E639" s="92"/>
      <c r="F639" s="92"/>
      <c r="G639" s="125" t="str">
        <f t="array" ref="G639">ifs(or($F639="",$F639="Main Primary Artist"),$F639,not(iserror(vlookup($F639,'Reference info'!$J$5:$J$8,1,0))),"Key Artist",not(iserror(vlookup($F639,'Reference info'!$J$38:$J$405,1,0))),"Performer",not(iserror(vlookup($F639,'Reference info'!$J$10:$J$36,1,0))),"Producer &amp; Engineer")</f>
        <v/>
      </c>
    </row>
    <row r="640">
      <c r="B640" s="97"/>
      <c r="C640" s="121" t="str">
        <f t="array" ref="C640">ifs(and(isblank($A640),isblank($B640)),"", not(iserror(vlookup($A640&amp;$B640,'5) Release_Track'!$F:$F&amp;'5) Release_Track'!$G:$G,1,0))),vlookup($A640&amp;$B640,{'5) Release_Track'!$F:$F&amp;'5) Release_Track'!$G:$G,'5) Release_Track'!$H:$H},2,0),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D640" s="121" t="str">
        <f t="array" ref="D640">ifs(and(isblank($A640),isblank($B640)),"", not(iserror(vlookup($A640&amp;$B640,'5) Release_Track'!$F:$F&amp;'5) Release_Track'!$G:$G,1,0))),vlookup($A640&amp;$B640,{'5) Release_Track'!$F:$F&amp;'5) Release_Track'!$G:$G,'5) Release_Track'!$I:$I},2,0),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E640" s="92"/>
      <c r="F640" s="92"/>
      <c r="G640" s="125" t="str">
        <f t="array" ref="G640">ifs(or($F640="",$F640="Main Primary Artist"),$F640,not(iserror(vlookup($F640,'Reference info'!$J$5:$J$8,1,0))),"Key Artist",not(iserror(vlookup($F640,'Reference info'!$J$38:$J$405,1,0))),"Performer",not(iserror(vlookup($F640,'Reference info'!$J$10:$J$36,1,0))),"Producer &amp; Engineer")</f>
        <v/>
      </c>
    </row>
    <row r="641">
      <c r="B641" s="97"/>
      <c r="C641" s="121" t="str">
        <f t="array" ref="C641">ifs(and(isblank($A641),isblank($B641)),"", not(iserror(vlookup($A641&amp;$B641,'5) Release_Track'!$F:$F&amp;'5) Release_Track'!$G:$G,1,0))),vlookup($A641&amp;$B641,{'5) Release_Track'!$F:$F&amp;'5) Release_Track'!$G:$G,'5) Release_Track'!$H:$H},2,0),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D641" s="121" t="str">
        <f t="array" ref="D641">ifs(and(isblank($A641),isblank($B641)),"", not(iserror(vlookup($A641&amp;$B641,'5) Release_Track'!$F:$F&amp;'5) Release_Track'!$G:$G,1,0))),vlookup($A641&amp;$B641,{'5) Release_Track'!$F:$F&amp;'5) Release_Track'!$G:$G,'5) Release_Track'!$I:$I},2,0),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E641" s="92"/>
      <c r="F641" s="92"/>
      <c r="G641" s="125" t="str">
        <f t="array" ref="G641">ifs(or($F641="",$F641="Main Primary Artist"),$F641,not(iserror(vlookup($F641,'Reference info'!$J$5:$J$8,1,0))),"Key Artist",not(iserror(vlookup($F641,'Reference info'!$J$38:$J$405,1,0))),"Performer",not(iserror(vlookup($F641,'Reference info'!$J$10:$J$36,1,0))),"Producer &amp; Engineer")</f>
        <v/>
      </c>
    </row>
    <row r="642">
      <c r="B642" s="97"/>
      <c r="C642" s="121" t="str">
        <f t="array" ref="C642">ifs(and(isblank($A642),isblank($B642)),"", not(iserror(vlookup($A642&amp;$B642,'5) Release_Track'!$F:$F&amp;'5) Release_Track'!$G:$G,1,0))),vlookup($A642&amp;$B642,{'5) Release_Track'!$F:$F&amp;'5) Release_Track'!$G:$G,'5) Release_Track'!$H:$H},2,0),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D642" s="121" t="str">
        <f t="array" ref="D642">ifs(and(isblank($A642),isblank($B642)),"", not(iserror(vlookup($A642&amp;$B642,'5) Release_Track'!$F:$F&amp;'5) Release_Track'!$G:$G,1,0))),vlookup($A642&amp;$B642,{'5) Release_Track'!$F:$F&amp;'5) Release_Track'!$G:$G,'5) Release_Track'!$I:$I},2,0),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E642" s="92"/>
      <c r="F642" s="92"/>
      <c r="G642" s="125" t="str">
        <f t="array" ref="G642">ifs(or($F642="",$F642="Main Primary Artist"),$F642,not(iserror(vlookup($F642,'Reference info'!$J$5:$J$8,1,0))),"Key Artist",not(iserror(vlookup($F642,'Reference info'!$J$38:$J$405,1,0))),"Performer",not(iserror(vlookup($F642,'Reference info'!$J$10:$J$36,1,0))),"Producer &amp; Engineer")</f>
        <v/>
      </c>
    </row>
    <row r="643">
      <c r="B643" s="97"/>
      <c r="C643" s="121" t="str">
        <f t="array" ref="C643">ifs(and(isblank($A643),isblank($B643)),"", not(iserror(vlookup($A643&amp;$B643,'5) Release_Track'!$F:$F&amp;'5) Release_Track'!$G:$G,1,0))),vlookup($A643&amp;$B643,{'5) Release_Track'!$F:$F&amp;'5) Release_Track'!$G:$G,'5) Release_Track'!$H:$H},2,0),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D643" s="121" t="str">
        <f t="array" ref="D643">ifs(and(isblank($A643),isblank($B643)),"", not(iserror(vlookup($A643&amp;$B643,'5) Release_Track'!$F:$F&amp;'5) Release_Track'!$G:$G,1,0))),vlookup($A643&amp;$B643,{'5) Release_Track'!$F:$F&amp;'5) Release_Track'!$G:$G,'5) Release_Track'!$I:$I},2,0),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E643" s="92"/>
      <c r="F643" s="92"/>
      <c r="G643" s="125" t="str">
        <f t="array" ref="G643">ifs(or($F643="",$F643="Main Primary Artist"),$F643,not(iserror(vlookup($F643,'Reference info'!$J$5:$J$8,1,0))),"Key Artist",not(iserror(vlookup($F643,'Reference info'!$J$38:$J$405,1,0))),"Performer",not(iserror(vlookup($F643,'Reference info'!$J$10:$J$36,1,0))),"Producer &amp; Engineer")</f>
        <v/>
      </c>
    </row>
    <row r="644">
      <c r="B644" s="97"/>
      <c r="C644" s="121" t="str">
        <f t="array" ref="C644">ifs(and(isblank($A644),isblank($B644)),"", not(iserror(vlookup($A644&amp;$B644,'5) Release_Track'!$F:$F&amp;'5) Release_Track'!$G:$G,1,0))),vlookup($A644&amp;$B644,{'5) Release_Track'!$F:$F&amp;'5) Release_Track'!$G:$G,'5) Release_Track'!$H:$H},2,0),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D644" s="121" t="str">
        <f t="array" ref="D644">ifs(and(isblank($A644),isblank($B644)),"", not(iserror(vlookup($A644&amp;$B644,'5) Release_Track'!$F:$F&amp;'5) Release_Track'!$G:$G,1,0))),vlookup($A644&amp;$B644,{'5) Release_Track'!$F:$F&amp;'5) Release_Track'!$G:$G,'5) Release_Track'!$I:$I},2,0),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E644" s="92"/>
      <c r="F644" s="92"/>
      <c r="G644" s="125" t="str">
        <f t="array" ref="G644">ifs(or($F644="",$F644="Main Primary Artist"),$F644,not(iserror(vlookup($F644,'Reference info'!$J$5:$J$8,1,0))),"Key Artist",not(iserror(vlookup($F644,'Reference info'!$J$38:$J$405,1,0))),"Performer",not(iserror(vlookup($F644,'Reference info'!$J$10:$J$36,1,0))),"Producer &amp; Engineer")</f>
        <v/>
      </c>
    </row>
    <row r="645">
      <c r="B645" s="97"/>
      <c r="C645" s="121" t="str">
        <f t="array" ref="C645">ifs(and(isblank($A645),isblank($B645)),"", not(iserror(vlookup($A645&amp;$B645,'5) Release_Track'!$F:$F&amp;'5) Release_Track'!$G:$G,1,0))),vlookup($A645&amp;$B645,{'5) Release_Track'!$F:$F&amp;'5) Release_Track'!$G:$G,'5) Release_Track'!$H:$H},2,0),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D645" s="121" t="str">
        <f t="array" ref="D645">ifs(and(isblank($A645),isblank($B645)),"", not(iserror(vlookup($A645&amp;$B645,'5) Release_Track'!$F:$F&amp;'5) Release_Track'!$G:$G,1,0))),vlookup($A645&amp;$B645,{'5) Release_Track'!$F:$F&amp;'5) Release_Track'!$G:$G,'5) Release_Track'!$I:$I},2,0),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E645" s="92"/>
      <c r="F645" s="92"/>
      <c r="G645" s="125" t="str">
        <f t="array" ref="G645">ifs(or($F645="",$F645="Main Primary Artist"),$F645,not(iserror(vlookup($F645,'Reference info'!$J$5:$J$8,1,0))),"Key Artist",not(iserror(vlookup($F645,'Reference info'!$J$38:$J$405,1,0))),"Performer",not(iserror(vlookup($F645,'Reference info'!$J$10:$J$36,1,0))),"Producer &amp; Engineer")</f>
        <v/>
      </c>
    </row>
    <row r="646">
      <c r="B646" s="97"/>
      <c r="C646" s="121" t="str">
        <f t="array" ref="C646">ifs(and(isblank($A646),isblank($B646)),"", not(iserror(vlookup($A646&amp;$B646,'5) Release_Track'!$F:$F&amp;'5) Release_Track'!$G:$G,1,0))),vlookup($A646&amp;$B646,{'5) Release_Track'!$F:$F&amp;'5) Release_Track'!$G:$G,'5) Release_Track'!$H:$H},2,0),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D646" s="121" t="str">
        <f t="array" ref="D646">ifs(and(isblank($A646),isblank($B646)),"", not(iserror(vlookup($A646&amp;$B646,'5) Release_Track'!$F:$F&amp;'5) Release_Track'!$G:$G,1,0))),vlookup($A646&amp;$B646,{'5) Release_Track'!$F:$F&amp;'5) Release_Track'!$G:$G,'5) Release_Track'!$I:$I},2,0),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E646" s="92"/>
      <c r="F646" s="92"/>
      <c r="G646" s="125" t="str">
        <f t="array" ref="G646">ifs(or($F646="",$F646="Main Primary Artist"),$F646,not(iserror(vlookup($F646,'Reference info'!$J$5:$J$8,1,0))),"Key Artist",not(iserror(vlookup($F646,'Reference info'!$J$38:$J$405,1,0))),"Performer",not(iserror(vlookup($F646,'Reference info'!$J$10:$J$36,1,0))),"Producer &amp; Engineer")</f>
        <v/>
      </c>
    </row>
    <row r="647">
      <c r="B647" s="97"/>
      <c r="C647" s="121" t="str">
        <f t="array" ref="C647">ifs(and(isblank($A647),isblank($B647)),"", not(iserror(vlookup($A647&amp;$B647,'5) Release_Track'!$F:$F&amp;'5) Release_Track'!$G:$G,1,0))),vlookup($A647&amp;$B647,{'5) Release_Track'!$F:$F&amp;'5) Release_Track'!$G:$G,'5) Release_Track'!$H:$H},2,0),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D647" s="121" t="str">
        <f t="array" ref="D647">ifs(and(isblank($A647),isblank($B647)),"", not(iserror(vlookup($A647&amp;$B647,'5) Release_Track'!$F:$F&amp;'5) Release_Track'!$G:$G,1,0))),vlookup($A647&amp;$B647,{'5) Release_Track'!$F:$F&amp;'5) Release_Track'!$G:$G,'5) Release_Track'!$I:$I},2,0),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E647" s="92"/>
      <c r="F647" s="92"/>
      <c r="G647" s="125" t="str">
        <f t="array" ref="G647">ifs(or($F647="",$F647="Main Primary Artist"),$F647,not(iserror(vlookup($F647,'Reference info'!$J$5:$J$8,1,0))),"Key Artist",not(iserror(vlookup($F647,'Reference info'!$J$38:$J$405,1,0))),"Performer",not(iserror(vlookup($F647,'Reference info'!$J$10:$J$36,1,0))),"Producer &amp; Engineer")</f>
        <v/>
      </c>
    </row>
    <row r="648">
      <c r="B648" s="97"/>
      <c r="C648" s="121" t="str">
        <f t="array" ref="C648">ifs(and(isblank($A648),isblank($B648)),"", not(iserror(vlookup($A648&amp;$B648,'5) Release_Track'!$F:$F&amp;'5) Release_Track'!$G:$G,1,0))),vlookup($A648&amp;$B648,{'5) Release_Track'!$F:$F&amp;'5) Release_Track'!$G:$G,'5) Release_Track'!$H:$H},2,0),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D648" s="121" t="str">
        <f t="array" ref="D648">ifs(and(isblank($A648),isblank($B648)),"", not(iserror(vlookup($A648&amp;$B648,'5) Release_Track'!$F:$F&amp;'5) Release_Track'!$G:$G,1,0))),vlookup($A648&amp;$B648,{'5) Release_Track'!$F:$F&amp;'5) Release_Track'!$G:$G,'5) Release_Track'!$I:$I},2,0),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E648" s="92"/>
      <c r="F648" s="92"/>
      <c r="G648" s="125" t="str">
        <f t="array" ref="G648">ifs(or($F648="",$F648="Main Primary Artist"),$F648,not(iserror(vlookup($F648,'Reference info'!$J$5:$J$8,1,0))),"Key Artist",not(iserror(vlookup($F648,'Reference info'!$J$38:$J$405,1,0))),"Performer",not(iserror(vlookup($F648,'Reference info'!$J$10:$J$36,1,0))),"Producer &amp; Engineer")</f>
        <v/>
      </c>
    </row>
    <row r="649">
      <c r="B649" s="97"/>
      <c r="C649" s="121" t="str">
        <f t="array" ref="C649">ifs(and(isblank($A649),isblank($B649)),"", not(iserror(vlookup($A649&amp;$B649,'5) Release_Track'!$F:$F&amp;'5) Release_Track'!$G:$G,1,0))),vlookup($A649&amp;$B649,{'5) Release_Track'!$F:$F&amp;'5) Release_Track'!$G:$G,'5) Release_Track'!$H:$H},2,0),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D649" s="121" t="str">
        <f t="array" ref="D649">ifs(and(isblank($A649),isblank($B649)),"", not(iserror(vlookup($A649&amp;$B649,'5) Release_Track'!$F:$F&amp;'5) Release_Track'!$G:$G,1,0))),vlookup($A649&amp;$B649,{'5) Release_Track'!$F:$F&amp;'5) Release_Track'!$G:$G,'5) Release_Track'!$I:$I},2,0),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E649" s="92"/>
      <c r="F649" s="92"/>
      <c r="G649" s="125" t="str">
        <f t="array" ref="G649">ifs(or($F649="",$F649="Main Primary Artist"),$F649,not(iserror(vlookup($F649,'Reference info'!$J$5:$J$8,1,0))),"Key Artist",not(iserror(vlookup($F649,'Reference info'!$J$38:$J$405,1,0))),"Performer",not(iserror(vlookup($F649,'Reference info'!$J$10:$J$36,1,0))),"Producer &amp; Engineer")</f>
        <v/>
      </c>
    </row>
    <row r="650">
      <c r="B650" s="97"/>
      <c r="C650" s="121" t="str">
        <f t="array" ref="C650">ifs(and(isblank($A650),isblank($B650)),"", not(iserror(vlookup($A650&amp;$B650,'5) Release_Track'!$F:$F&amp;'5) Release_Track'!$G:$G,1,0))),vlookup($A650&amp;$B650,{'5) Release_Track'!$F:$F&amp;'5) Release_Track'!$G:$G,'5) Release_Track'!$H:$H},2,0),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D650" s="121" t="str">
        <f t="array" ref="D650">ifs(and(isblank($A650),isblank($B650)),"", not(iserror(vlookup($A650&amp;$B650,'5) Release_Track'!$F:$F&amp;'5) Release_Track'!$G:$G,1,0))),vlookup($A650&amp;$B650,{'5) Release_Track'!$F:$F&amp;'5) Release_Track'!$G:$G,'5) Release_Track'!$I:$I},2,0),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E650" s="92"/>
      <c r="F650" s="92"/>
      <c r="G650" s="125" t="str">
        <f t="array" ref="G650">ifs(or($F650="",$F650="Main Primary Artist"),$F650,not(iserror(vlookup($F650,'Reference info'!$J$5:$J$8,1,0))),"Key Artist",not(iserror(vlookup($F650,'Reference info'!$J$38:$J$405,1,0))),"Performer",not(iserror(vlookup($F650,'Reference info'!$J$10:$J$36,1,0))),"Producer &amp; Engineer")</f>
        <v/>
      </c>
    </row>
    <row r="651">
      <c r="B651" s="97"/>
      <c r="C651" s="121" t="str">
        <f t="array" ref="C651">ifs(and(isblank($A651),isblank($B651)),"", not(iserror(vlookup($A651&amp;$B651,'5) Release_Track'!$F:$F&amp;'5) Release_Track'!$G:$G,1,0))),vlookup($A651&amp;$B651,{'5) Release_Track'!$F:$F&amp;'5) Release_Track'!$G:$G,'5) Release_Track'!$H:$H},2,0),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D651" s="121" t="str">
        <f t="array" ref="D651">ifs(and(isblank($A651),isblank($B651)),"", not(iserror(vlookup($A651&amp;$B651,'5) Release_Track'!$F:$F&amp;'5) Release_Track'!$G:$G,1,0))),vlookup($A651&amp;$B651,{'5) Release_Track'!$F:$F&amp;'5) Release_Track'!$G:$G,'5) Release_Track'!$I:$I},2,0),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E651" s="92"/>
      <c r="F651" s="92"/>
      <c r="G651" s="125" t="str">
        <f t="array" ref="G651">ifs(or($F651="",$F651="Main Primary Artist"),$F651,not(iserror(vlookup($F651,'Reference info'!$J$5:$J$8,1,0))),"Key Artist",not(iserror(vlookup($F651,'Reference info'!$J$38:$J$405,1,0))),"Performer",not(iserror(vlookup($F651,'Reference info'!$J$10:$J$36,1,0))),"Producer &amp; Engineer")</f>
        <v/>
      </c>
    </row>
    <row r="652">
      <c r="B652" s="97"/>
      <c r="C652" s="121" t="str">
        <f t="array" ref="C652">ifs(and(isblank($A652),isblank($B652)),"", not(iserror(vlookup($A652&amp;$B652,'5) Release_Track'!$F:$F&amp;'5) Release_Track'!$G:$G,1,0))),vlookup($A652&amp;$B652,{'5) Release_Track'!$F:$F&amp;'5) Release_Track'!$G:$G,'5) Release_Track'!$H:$H},2,0),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D652" s="121" t="str">
        <f t="array" ref="D652">ifs(and(isblank($A652),isblank($B652)),"", not(iserror(vlookup($A652&amp;$B652,'5) Release_Track'!$F:$F&amp;'5) Release_Track'!$G:$G,1,0))),vlookup($A652&amp;$B652,{'5) Release_Track'!$F:$F&amp;'5) Release_Track'!$G:$G,'5) Release_Track'!$I:$I},2,0),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E652" s="92"/>
      <c r="F652" s="92"/>
      <c r="G652" s="125" t="str">
        <f t="array" ref="G652">ifs(or($F652="",$F652="Main Primary Artist"),$F652,not(iserror(vlookup($F652,'Reference info'!$J$5:$J$8,1,0))),"Key Artist",not(iserror(vlookup($F652,'Reference info'!$J$38:$J$405,1,0))),"Performer",not(iserror(vlookup($F652,'Reference info'!$J$10:$J$36,1,0))),"Producer &amp; Engineer")</f>
        <v/>
      </c>
    </row>
    <row r="653">
      <c r="B653" s="97"/>
      <c r="C653" s="121" t="str">
        <f t="array" ref="C653">ifs(and(isblank($A653),isblank($B653)),"", not(iserror(vlookup($A653&amp;$B653,'5) Release_Track'!$F:$F&amp;'5) Release_Track'!$G:$G,1,0))),vlookup($A653&amp;$B653,{'5) Release_Track'!$F:$F&amp;'5) Release_Track'!$G:$G,'5) Release_Track'!$H:$H},2,0),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D653" s="121" t="str">
        <f t="array" ref="D653">ifs(and(isblank($A653),isblank($B653)),"", not(iserror(vlookup($A653&amp;$B653,'5) Release_Track'!$F:$F&amp;'5) Release_Track'!$G:$G,1,0))),vlookup($A653&amp;$B653,{'5) Release_Track'!$F:$F&amp;'5) Release_Track'!$G:$G,'5) Release_Track'!$I:$I},2,0),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E653" s="92"/>
      <c r="F653" s="92"/>
      <c r="G653" s="125" t="str">
        <f t="array" ref="G653">ifs(or($F653="",$F653="Main Primary Artist"),$F653,not(iserror(vlookup($F653,'Reference info'!$J$5:$J$8,1,0))),"Key Artist",not(iserror(vlookup($F653,'Reference info'!$J$38:$J$405,1,0))),"Performer",not(iserror(vlookup($F653,'Reference info'!$J$10:$J$36,1,0))),"Producer &amp; Engineer")</f>
        <v/>
      </c>
    </row>
    <row r="654">
      <c r="B654" s="97"/>
      <c r="C654" s="121" t="str">
        <f t="array" ref="C654">ifs(and(isblank($A654),isblank($B654)),"", not(iserror(vlookup($A654&amp;$B654,'5) Release_Track'!$F:$F&amp;'5) Release_Track'!$G:$G,1,0))),vlookup($A654&amp;$B654,{'5) Release_Track'!$F:$F&amp;'5) Release_Track'!$G:$G,'5) Release_Track'!$H:$H},2,0),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D654" s="121" t="str">
        <f t="array" ref="D654">ifs(and(isblank($A654),isblank($B654)),"", not(iserror(vlookup($A654&amp;$B654,'5) Release_Track'!$F:$F&amp;'5) Release_Track'!$G:$G,1,0))),vlookup($A654&amp;$B654,{'5) Release_Track'!$F:$F&amp;'5) Release_Track'!$G:$G,'5) Release_Track'!$I:$I},2,0),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E654" s="92"/>
      <c r="F654" s="92"/>
      <c r="G654" s="125" t="str">
        <f t="array" ref="G654">ifs(or($F654="",$F654="Main Primary Artist"),$F654,not(iserror(vlookup($F654,'Reference info'!$J$5:$J$8,1,0))),"Key Artist",not(iserror(vlookup($F654,'Reference info'!$J$38:$J$405,1,0))),"Performer",not(iserror(vlookup($F654,'Reference info'!$J$10:$J$36,1,0))),"Producer &amp; Engineer")</f>
        <v/>
      </c>
    </row>
    <row r="655">
      <c r="B655" s="97"/>
      <c r="C655" s="121" t="str">
        <f t="array" ref="C655">ifs(and(isblank($A655),isblank($B655)),"", not(iserror(vlookup($A655&amp;$B655,'5) Release_Track'!$F:$F&amp;'5) Release_Track'!$G:$G,1,0))),vlookup($A655&amp;$B655,{'5) Release_Track'!$F:$F&amp;'5) Release_Track'!$G:$G,'5) Release_Track'!$H:$H},2,0),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D655" s="121" t="str">
        <f t="array" ref="D655">ifs(and(isblank($A655),isblank($B655)),"", not(iserror(vlookup($A655&amp;$B655,'5) Release_Track'!$F:$F&amp;'5) Release_Track'!$G:$G,1,0))),vlookup($A655&amp;$B655,{'5) Release_Track'!$F:$F&amp;'5) Release_Track'!$G:$G,'5) Release_Track'!$I:$I},2,0),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E655" s="92"/>
      <c r="F655" s="92"/>
      <c r="G655" s="125" t="str">
        <f t="array" ref="G655">ifs(or($F655="",$F655="Main Primary Artist"),$F655,not(iserror(vlookup($F655,'Reference info'!$J$5:$J$8,1,0))),"Key Artist",not(iserror(vlookup($F655,'Reference info'!$J$38:$J$405,1,0))),"Performer",not(iserror(vlookup($F655,'Reference info'!$J$10:$J$36,1,0))),"Producer &amp; Engineer")</f>
        <v/>
      </c>
    </row>
    <row r="656">
      <c r="B656" s="97"/>
      <c r="C656" s="121" t="str">
        <f t="array" ref="C656">ifs(and(isblank($A656),isblank($B656)),"", not(iserror(vlookup($A656&amp;$B656,'5) Release_Track'!$F:$F&amp;'5) Release_Track'!$G:$G,1,0))),vlookup($A656&amp;$B656,{'5) Release_Track'!$F:$F&amp;'5) Release_Track'!$G:$G,'5) Release_Track'!$H:$H},2,0),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D656" s="121" t="str">
        <f t="array" ref="D656">ifs(and(isblank($A656),isblank($B656)),"", not(iserror(vlookup($A656&amp;$B656,'5) Release_Track'!$F:$F&amp;'5) Release_Track'!$G:$G,1,0))),vlookup($A656&amp;$B656,{'5) Release_Track'!$F:$F&amp;'5) Release_Track'!$G:$G,'5) Release_Track'!$I:$I},2,0),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E656" s="92"/>
      <c r="F656" s="92"/>
      <c r="G656" s="125" t="str">
        <f t="array" ref="G656">ifs(or($F656="",$F656="Main Primary Artist"),$F656,not(iserror(vlookup($F656,'Reference info'!$J$5:$J$8,1,0))),"Key Artist",not(iserror(vlookup($F656,'Reference info'!$J$38:$J$405,1,0))),"Performer",not(iserror(vlookup($F656,'Reference info'!$J$10:$J$36,1,0))),"Producer &amp; Engineer")</f>
        <v/>
      </c>
    </row>
    <row r="657">
      <c r="B657" s="97"/>
      <c r="C657" s="121" t="str">
        <f t="array" ref="C657">ifs(and(isblank($A657),isblank($B657)),"", not(iserror(vlookup($A657&amp;$B657,'5) Release_Track'!$F:$F&amp;'5) Release_Track'!$G:$G,1,0))),vlookup($A657&amp;$B657,{'5) Release_Track'!$F:$F&amp;'5) Release_Track'!$G:$G,'5) Release_Track'!$H:$H},2,0),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D657" s="121" t="str">
        <f t="array" ref="D657">ifs(and(isblank($A657),isblank($B657)),"", not(iserror(vlookup($A657&amp;$B657,'5) Release_Track'!$F:$F&amp;'5) Release_Track'!$G:$G,1,0))),vlookup($A657&amp;$B657,{'5) Release_Track'!$F:$F&amp;'5) Release_Track'!$G:$G,'5) Release_Track'!$I:$I},2,0),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E657" s="92"/>
      <c r="F657" s="92"/>
      <c r="G657" s="125" t="str">
        <f t="array" ref="G657">ifs(or($F657="",$F657="Main Primary Artist"),$F657,not(iserror(vlookup($F657,'Reference info'!$J$5:$J$8,1,0))),"Key Artist",not(iserror(vlookup($F657,'Reference info'!$J$38:$J$405,1,0))),"Performer",not(iserror(vlookup($F657,'Reference info'!$J$10:$J$36,1,0))),"Producer &amp; Engineer")</f>
        <v/>
      </c>
    </row>
    <row r="658">
      <c r="B658" s="97"/>
      <c r="C658" s="121" t="str">
        <f t="array" ref="C658">ifs(and(isblank($A658),isblank($B658)),"", not(iserror(vlookup($A658&amp;$B658,'5) Release_Track'!$F:$F&amp;'5) Release_Track'!$G:$G,1,0))),vlookup($A658&amp;$B658,{'5) Release_Track'!$F:$F&amp;'5) Release_Track'!$G:$G,'5) Release_Track'!$H:$H},2,0),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D658" s="121" t="str">
        <f t="array" ref="D658">ifs(and(isblank($A658),isblank($B658)),"", not(iserror(vlookup($A658&amp;$B658,'5) Release_Track'!$F:$F&amp;'5) Release_Track'!$G:$G,1,0))),vlookup($A658&amp;$B658,{'5) Release_Track'!$F:$F&amp;'5) Release_Track'!$G:$G,'5) Release_Track'!$I:$I},2,0),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E658" s="92"/>
      <c r="F658" s="92"/>
      <c r="G658" s="125" t="str">
        <f t="array" ref="G658">ifs(or($F658="",$F658="Main Primary Artist"),$F658,not(iserror(vlookup($F658,'Reference info'!$J$5:$J$8,1,0))),"Key Artist",not(iserror(vlookup($F658,'Reference info'!$J$38:$J$405,1,0))),"Performer",not(iserror(vlookup($F658,'Reference info'!$J$10:$J$36,1,0))),"Producer &amp; Engineer")</f>
        <v/>
      </c>
    </row>
    <row r="659">
      <c r="B659" s="97"/>
      <c r="C659" s="121" t="str">
        <f t="array" ref="C659">ifs(and(isblank($A659),isblank($B659)),"", not(iserror(vlookup($A659&amp;$B659,'5) Release_Track'!$F:$F&amp;'5) Release_Track'!$G:$G,1,0))),vlookup($A659&amp;$B659,{'5) Release_Track'!$F:$F&amp;'5) Release_Track'!$G:$G,'5) Release_Track'!$H:$H},2,0),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D659" s="121" t="str">
        <f t="array" ref="D659">ifs(and(isblank($A659),isblank($B659)),"", not(iserror(vlookup($A659&amp;$B659,'5) Release_Track'!$F:$F&amp;'5) Release_Track'!$G:$G,1,0))),vlookup($A659&amp;$B659,{'5) Release_Track'!$F:$F&amp;'5) Release_Track'!$G:$G,'5) Release_Track'!$I:$I},2,0),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E659" s="92"/>
      <c r="F659" s="92"/>
      <c r="G659" s="125" t="str">
        <f t="array" ref="G659">ifs(or($F659="",$F659="Main Primary Artist"),$F659,not(iserror(vlookup($F659,'Reference info'!$J$5:$J$8,1,0))),"Key Artist",not(iserror(vlookup($F659,'Reference info'!$J$38:$J$405,1,0))),"Performer",not(iserror(vlookup($F659,'Reference info'!$J$10:$J$36,1,0))),"Producer &amp; Engineer")</f>
        <v/>
      </c>
    </row>
    <row r="660">
      <c r="B660" s="97"/>
      <c r="C660" s="121" t="str">
        <f t="array" ref="C660">ifs(and(isblank($A660),isblank($B660)),"", not(iserror(vlookup($A660&amp;$B660,'5) Release_Track'!$F:$F&amp;'5) Release_Track'!$G:$G,1,0))),vlookup($A660&amp;$B660,{'5) Release_Track'!$F:$F&amp;'5) Release_Track'!$G:$G,'5) Release_Track'!$H:$H},2,0),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D660" s="121" t="str">
        <f t="array" ref="D660">ifs(and(isblank($A660),isblank($B660)),"", not(iserror(vlookup($A660&amp;$B660,'5) Release_Track'!$F:$F&amp;'5) Release_Track'!$G:$G,1,0))),vlookup($A660&amp;$B660,{'5) Release_Track'!$F:$F&amp;'5) Release_Track'!$G:$G,'5) Release_Track'!$I:$I},2,0),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E660" s="92"/>
      <c r="F660" s="92"/>
      <c r="G660" s="125" t="str">
        <f t="array" ref="G660">ifs(or($F660="",$F660="Main Primary Artist"),$F660,not(iserror(vlookup($F660,'Reference info'!$J$5:$J$8,1,0))),"Key Artist",not(iserror(vlookup($F660,'Reference info'!$J$38:$J$405,1,0))),"Performer",not(iserror(vlookup($F660,'Reference info'!$J$10:$J$36,1,0))),"Producer &amp; Engineer")</f>
        <v/>
      </c>
    </row>
    <row r="661">
      <c r="B661" s="97"/>
      <c r="C661" s="121" t="str">
        <f t="array" ref="C661">ifs(and(isblank($A661),isblank($B661)),"", not(iserror(vlookup($A661&amp;$B661,'5) Release_Track'!$F:$F&amp;'5) Release_Track'!$G:$G,1,0))),vlookup($A661&amp;$B661,{'5) Release_Track'!$F:$F&amp;'5) Release_Track'!$G:$G,'5) Release_Track'!$H:$H},2,0),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D661" s="121" t="str">
        <f t="array" ref="D661">ifs(and(isblank($A661),isblank($B661)),"", not(iserror(vlookup($A661&amp;$B661,'5) Release_Track'!$F:$F&amp;'5) Release_Track'!$G:$G,1,0))),vlookup($A661&amp;$B661,{'5) Release_Track'!$F:$F&amp;'5) Release_Track'!$G:$G,'5) Release_Track'!$I:$I},2,0),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E661" s="92"/>
      <c r="F661" s="92"/>
      <c r="G661" s="125" t="str">
        <f t="array" ref="G661">ifs(or($F661="",$F661="Main Primary Artist"),$F661,not(iserror(vlookup($F661,'Reference info'!$J$5:$J$8,1,0))),"Key Artist",not(iserror(vlookup($F661,'Reference info'!$J$38:$J$405,1,0))),"Performer",not(iserror(vlookup($F661,'Reference info'!$J$10:$J$36,1,0))),"Producer &amp; Engineer")</f>
        <v/>
      </c>
    </row>
    <row r="662">
      <c r="B662" s="97"/>
      <c r="C662" s="121" t="str">
        <f t="array" ref="C662">ifs(and(isblank($A662),isblank($B662)),"", not(iserror(vlookup($A662&amp;$B662,'5) Release_Track'!$F:$F&amp;'5) Release_Track'!$G:$G,1,0))),vlookup($A662&amp;$B662,{'5) Release_Track'!$F:$F&amp;'5) Release_Track'!$G:$G,'5) Release_Track'!$H:$H},2,0),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D662" s="121" t="str">
        <f t="array" ref="D662">ifs(and(isblank($A662),isblank($B662)),"", not(iserror(vlookup($A662&amp;$B662,'5) Release_Track'!$F:$F&amp;'5) Release_Track'!$G:$G,1,0))),vlookup($A662&amp;$B662,{'5) Release_Track'!$F:$F&amp;'5) Release_Track'!$G:$G,'5) Release_Track'!$I:$I},2,0),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E662" s="92"/>
      <c r="F662" s="92"/>
      <c r="G662" s="125" t="str">
        <f t="array" ref="G662">ifs(or($F662="",$F662="Main Primary Artist"),$F662,not(iserror(vlookup($F662,'Reference info'!$J$5:$J$8,1,0))),"Key Artist",not(iserror(vlookup($F662,'Reference info'!$J$38:$J$405,1,0))),"Performer",not(iserror(vlookup($F662,'Reference info'!$J$10:$J$36,1,0))),"Producer &amp; Engineer")</f>
        <v/>
      </c>
    </row>
    <row r="663">
      <c r="B663" s="97"/>
      <c r="C663" s="121" t="str">
        <f t="array" ref="C663">ifs(and(isblank($A663),isblank($B663)),"", not(iserror(vlookup($A663&amp;$B663,'5) Release_Track'!$F:$F&amp;'5) Release_Track'!$G:$G,1,0))),vlookup($A663&amp;$B663,{'5) Release_Track'!$F:$F&amp;'5) Release_Track'!$G:$G,'5) Release_Track'!$H:$H},2,0),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D663" s="121" t="str">
        <f t="array" ref="D663">ifs(and(isblank($A663),isblank($B663)),"", not(iserror(vlookup($A663&amp;$B663,'5) Release_Track'!$F:$F&amp;'5) Release_Track'!$G:$G,1,0))),vlookup($A663&amp;$B663,{'5) Release_Track'!$F:$F&amp;'5) Release_Track'!$G:$G,'5) Release_Track'!$I:$I},2,0),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E663" s="92"/>
      <c r="F663" s="92"/>
      <c r="G663" s="125" t="str">
        <f t="array" ref="G663">ifs(or($F663="",$F663="Main Primary Artist"),$F663,not(iserror(vlookup($F663,'Reference info'!$J$5:$J$8,1,0))),"Key Artist",not(iserror(vlookup($F663,'Reference info'!$J$38:$J$405,1,0))),"Performer",not(iserror(vlookup($F663,'Reference info'!$J$10:$J$36,1,0))),"Producer &amp; Engineer")</f>
        <v/>
      </c>
    </row>
    <row r="664">
      <c r="B664" s="97"/>
      <c r="C664" s="121" t="str">
        <f t="array" ref="C664">ifs(and(isblank($A664),isblank($B664)),"", not(iserror(vlookup($A664&amp;$B664,'5) Release_Track'!$F:$F&amp;'5) Release_Track'!$G:$G,1,0))),vlookup($A664&amp;$B664,{'5) Release_Track'!$F:$F&amp;'5) Release_Track'!$G:$G,'5) Release_Track'!$H:$H},2,0),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D664" s="121" t="str">
        <f t="array" ref="D664">ifs(and(isblank($A664),isblank($B664)),"", not(iserror(vlookup($A664&amp;$B664,'5) Release_Track'!$F:$F&amp;'5) Release_Track'!$G:$G,1,0))),vlookup($A664&amp;$B664,{'5) Release_Track'!$F:$F&amp;'5) Release_Track'!$G:$G,'5) Release_Track'!$I:$I},2,0),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E664" s="92"/>
      <c r="F664" s="92"/>
      <c r="G664" s="125" t="str">
        <f t="array" ref="G664">ifs(or($F664="",$F664="Main Primary Artist"),$F664,not(iserror(vlookup($F664,'Reference info'!$J$5:$J$8,1,0))),"Key Artist",not(iserror(vlookup($F664,'Reference info'!$J$38:$J$405,1,0))),"Performer",not(iserror(vlookup($F664,'Reference info'!$J$10:$J$36,1,0))),"Producer &amp; Engineer")</f>
        <v/>
      </c>
    </row>
    <row r="665">
      <c r="B665" s="97"/>
      <c r="C665" s="121" t="str">
        <f t="array" ref="C665">ifs(and(isblank($A665),isblank($B665)),"", not(iserror(vlookup($A665&amp;$B665,'5) Release_Track'!$F:$F&amp;'5) Release_Track'!$G:$G,1,0))),vlookup($A665&amp;$B665,{'5) Release_Track'!$F:$F&amp;'5) Release_Track'!$G:$G,'5) Release_Track'!$H:$H},2,0),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D665" s="121" t="str">
        <f t="array" ref="D665">ifs(and(isblank($A665),isblank($B665)),"", not(iserror(vlookup($A665&amp;$B665,'5) Release_Track'!$F:$F&amp;'5) Release_Track'!$G:$G,1,0))),vlookup($A665&amp;$B665,{'5) Release_Track'!$F:$F&amp;'5) Release_Track'!$G:$G,'5) Release_Track'!$I:$I},2,0),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E665" s="92"/>
      <c r="F665" s="92"/>
      <c r="G665" s="125" t="str">
        <f t="array" ref="G665">ifs(or($F665="",$F665="Main Primary Artist"),$F665,not(iserror(vlookup($F665,'Reference info'!$J$5:$J$8,1,0))),"Key Artist",not(iserror(vlookup($F665,'Reference info'!$J$38:$J$405,1,0))),"Performer",not(iserror(vlookup($F665,'Reference info'!$J$10:$J$36,1,0))),"Producer &amp; Engineer")</f>
        <v/>
      </c>
    </row>
    <row r="666">
      <c r="B666" s="97"/>
      <c r="C666" s="121" t="str">
        <f t="array" ref="C666">ifs(and(isblank($A666),isblank($B666)),"", not(iserror(vlookup($A666&amp;$B666,'5) Release_Track'!$F:$F&amp;'5) Release_Track'!$G:$G,1,0))),vlookup($A666&amp;$B666,{'5) Release_Track'!$F:$F&amp;'5) Release_Track'!$G:$G,'5) Release_Track'!$H:$H},2,0),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D666" s="121" t="str">
        <f t="array" ref="D666">ifs(and(isblank($A666),isblank($B666)),"", not(iserror(vlookup($A666&amp;$B666,'5) Release_Track'!$F:$F&amp;'5) Release_Track'!$G:$G,1,0))),vlookup($A666&amp;$B666,{'5) Release_Track'!$F:$F&amp;'5) Release_Track'!$G:$G,'5) Release_Track'!$I:$I},2,0),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E666" s="92"/>
      <c r="F666" s="92"/>
      <c r="G666" s="125" t="str">
        <f t="array" ref="G666">ifs(or($F666="",$F666="Main Primary Artist"),$F666,not(iserror(vlookup($F666,'Reference info'!$J$5:$J$8,1,0))),"Key Artist",not(iserror(vlookup($F666,'Reference info'!$J$38:$J$405,1,0))),"Performer",not(iserror(vlookup($F666,'Reference info'!$J$10:$J$36,1,0))),"Producer &amp; Engineer")</f>
        <v/>
      </c>
    </row>
    <row r="667">
      <c r="B667" s="97"/>
      <c r="C667" s="121" t="str">
        <f t="array" ref="C667">ifs(and(isblank($A667),isblank($B667)),"", not(iserror(vlookup($A667&amp;$B667,'5) Release_Track'!$F:$F&amp;'5) Release_Track'!$G:$G,1,0))),vlookup($A667&amp;$B667,{'5) Release_Track'!$F:$F&amp;'5) Release_Track'!$G:$G,'5) Release_Track'!$H:$H},2,0),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D667" s="121" t="str">
        <f t="array" ref="D667">ifs(and(isblank($A667),isblank($B667)),"", not(iserror(vlookup($A667&amp;$B667,'5) Release_Track'!$F:$F&amp;'5) Release_Track'!$G:$G,1,0))),vlookup($A667&amp;$B667,{'5) Release_Track'!$F:$F&amp;'5) Release_Track'!$G:$G,'5) Release_Track'!$I:$I},2,0),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E667" s="92"/>
      <c r="F667" s="92"/>
      <c r="G667" s="125" t="str">
        <f t="array" ref="G667">ifs(or($F667="",$F667="Main Primary Artist"),$F667,not(iserror(vlookup($F667,'Reference info'!$J$5:$J$8,1,0))),"Key Artist",not(iserror(vlookup($F667,'Reference info'!$J$38:$J$405,1,0))),"Performer",not(iserror(vlookup($F667,'Reference info'!$J$10:$J$36,1,0))),"Producer &amp; Engineer")</f>
        <v/>
      </c>
    </row>
    <row r="668">
      <c r="B668" s="97"/>
      <c r="C668" s="121" t="str">
        <f t="array" ref="C668">ifs(and(isblank($A668),isblank($B668)),"", not(iserror(vlookup($A668&amp;$B668,'5) Release_Track'!$F:$F&amp;'5) Release_Track'!$G:$G,1,0))),vlookup($A668&amp;$B668,{'5) Release_Track'!$F:$F&amp;'5) Release_Track'!$G:$G,'5) Release_Track'!$H:$H},2,0),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D668" s="121" t="str">
        <f t="array" ref="D668">ifs(and(isblank($A668),isblank($B668)),"", not(iserror(vlookup($A668&amp;$B668,'5) Release_Track'!$F:$F&amp;'5) Release_Track'!$G:$G,1,0))),vlookup($A668&amp;$B668,{'5) Release_Track'!$F:$F&amp;'5) Release_Track'!$G:$G,'5) Release_Track'!$I:$I},2,0),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E668" s="92"/>
      <c r="F668" s="92"/>
      <c r="G668" s="125" t="str">
        <f t="array" ref="G668">ifs(or($F668="",$F668="Main Primary Artist"),$F668,not(iserror(vlookup($F668,'Reference info'!$J$5:$J$8,1,0))),"Key Artist",not(iserror(vlookup($F668,'Reference info'!$J$38:$J$405,1,0))),"Performer",not(iserror(vlookup($F668,'Reference info'!$J$10:$J$36,1,0))),"Producer &amp; Engineer")</f>
        <v/>
      </c>
    </row>
    <row r="669">
      <c r="B669" s="97"/>
      <c r="C669" s="121" t="str">
        <f t="array" ref="C669">ifs(and(isblank($A669),isblank($B669)),"", not(iserror(vlookup($A669&amp;$B669,'5) Release_Track'!$F:$F&amp;'5) Release_Track'!$G:$G,1,0))),vlookup($A669&amp;$B669,{'5) Release_Track'!$F:$F&amp;'5) Release_Track'!$G:$G,'5) Release_Track'!$H:$H},2,0),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D669" s="121" t="str">
        <f t="array" ref="D669">ifs(and(isblank($A669),isblank($B669)),"", not(iserror(vlookup($A669&amp;$B669,'5) Release_Track'!$F:$F&amp;'5) Release_Track'!$G:$G,1,0))),vlookup($A669&amp;$B669,{'5) Release_Track'!$F:$F&amp;'5) Release_Track'!$G:$G,'5) Release_Track'!$I:$I},2,0),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E669" s="92"/>
      <c r="F669" s="92"/>
      <c r="G669" s="125" t="str">
        <f t="array" ref="G669">ifs(or($F669="",$F669="Main Primary Artist"),$F669,not(iserror(vlookup($F669,'Reference info'!$J$5:$J$8,1,0))),"Key Artist",not(iserror(vlookup($F669,'Reference info'!$J$38:$J$405,1,0))),"Performer",not(iserror(vlookup($F669,'Reference info'!$J$10:$J$36,1,0))),"Producer &amp; Engineer")</f>
        <v/>
      </c>
    </row>
    <row r="670">
      <c r="B670" s="97"/>
      <c r="C670" s="121" t="str">
        <f t="array" ref="C670">ifs(and(isblank($A670),isblank($B670)),"", not(iserror(vlookup($A670&amp;$B670,'5) Release_Track'!$F:$F&amp;'5) Release_Track'!$G:$G,1,0))),vlookup($A670&amp;$B670,{'5) Release_Track'!$F:$F&amp;'5) Release_Track'!$G:$G,'5) Release_Track'!$H:$H},2,0),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D670" s="121" t="str">
        <f t="array" ref="D670">ifs(and(isblank($A670),isblank($B670)),"", not(iserror(vlookup($A670&amp;$B670,'5) Release_Track'!$F:$F&amp;'5) Release_Track'!$G:$G,1,0))),vlookup($A670&amp;$B670,{'5) Release_Track'!$F:$F&amp;'5) Release_Track'!$G:$G,'5) Release_Track'!$I:$I},2,0),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E670" s="92"/>
      <c r="F670" s="92"/>
      <c r="G670" s="125" t="str">
        <f t="array" ref="G670">ifs(or($F670="",$F670="Main Primary Artist"),$F670,not(iserror(vlookup($F670,'Reference info'!$J$5:$J$8,1,0))),"Key Artist",not(iserror(vlookup($F670,'Reference info'!$J$38:$J$405,1,0))),"Performer",not(iserror(vlookup($F670,'Reference info'!$J$10:$J$36,1,0))),"Producer &amp; Engineer")</f>
        <v/>
      </c>
    </row>
    <row r="671">
      <c r="B671" s="97"/>
      <c r="C671" s="121" t="str">
        <f t="array" ref="C671">ifs(and(isblank($A671),isblank($B671)),"", not(iserror(vlookup($A671&amp;$B671,'5) Release_Track'!$F:$F&amp;'5) Release_Track'!$G:$G,1,0))),vlookup($A671&amp;$B671,{'5) Release_Track'!$F:$F&amp;'5) Release_Track'!$G:$G,'5) Release_Track'!$H:$H},2,0),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D671" s="121" t="str">
        <f t="array" ref="D671">ifs(and(isblank($A671),isblank($B671)),"", not(iserror(vlookup($A671&amp;$B671,'5) Release_Track'!$F:$F&amp;'5) Release_Track'!$G:$G,1,0))),vlookup($A671&amp;$B671,{'5) Release_Track'!$F:$F&amp;'5) Release_Track'!$G:$G,'5) Release_Track'!$I:$I},2,0),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E671" s="92"/>
      <c r="F671" s="92"/>
      <c r="G671" s="125" t="str">
        <f t="array" ref="G671">ifs(or($F671="",$F671="Main Primary Artist"),$F671,not(iserror(vlookup($F671,'Reference info'!$J$5:$J$8,1,0))),"Key Artist",not(iserror(vlookup($F671,'Reference info'!$J$38:$J$405,1,0))),"Performer",not(iserror(vlookup($F671,'Reference info'!$J$10:$J$36,1,0))),"Producer &amp; Engineer")</f>
        <v/>
      </c>
    </row>
    <row r="672">
      <c r="B672" s="97"/>
      <c r="C672" s="121" t="str">
        <f t="array" ref="C672">ifs(and(isblank($A672),isblank($B672)),"", not(iserror(vlookup($A672&amp;$B672,'5) Release_Track'!$F:$F&amp;'5) Release_Track'!$G:$G,1,0))),vlookup($A672&amp;$B672,{'5) Release_Track'!$F:$F&amp;'5) Release_Track'!$G:$G,'5) Release_Track'!$H:$H},2,0),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D672" s="121" t="str">
        <f t="array" ref="D672">ifs(and(isblank($A672),isblank($B672)),"", not(iserror(vlookup($A672&amp;$B672,'5) Release_Track'!$F:$F&amp;'5) Release_Track'!$G:$G,1,0))),vlookup($A672&amp;$B672,{'5) Release_Track'!$F:$F&amp;'5) Release_Track'!$G:$G,'5) Release_Track'!$I:$I},2,0),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E672" s="92"/>
      <c r="F672" s="92"/>
      <c r="G672" s="125" t="str">
        <f t="array" ref="G672">ifs(or($F672="",$F672="Main Primary Artist"),$F672,not(iserror(vlookup($F672,'Reference info'!$J$5:$J$8,1,0))),"Key Artist",not(iserror(vlookup($F672,'Reference info'!$J$38:$J$405,1,0))),"Performer",not(iserror(vlookup($F672,'Reference info'!$J$10:$J$36,1,0))),"Producer &amp; Engineer")</f>
        <v/>
      </c>
    </row>
    <row r="673">
      <c r="B673" s="97"/>
      <c r="C673" s="121" t="str">
        <f t="array" ref="C673">ifs(and(isblank($A673),isblank($B673)),"", not(iserror(vlookup($A673&amp;$B673,'5) Release_Track'!$F:$F&amp;'5) Release_Track'!$G:$G,1,0))),vlookup($A673&amp;$B673,{'5) Release_Track'!$F:$F&amp;'5) Release_Track'!$G:$G,'5) Release_Track'!$H:$H},2,0),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D673" s="121" t="str">
        <f t="array" ref="D673">ifs(and(isblank($A673),isblank($B673)),"", not(iserror(vlookup($A673&amp;$B673,'5) Release_Track'!$F:$F&amp;'5) Release_Track'!$G:$G,1,0))),vlookup($A673&amp;$B673,{'5) Release_Track'!$F:$F&amp;'5) Release_Track'!$G:$G,'5) Release_Track'!$I:$I},2,0),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E673" s="92"/>
      <c r="F673" s="92"/>
      <c r="G673" s="125" t="str">
        <f t="array" ref="G673">ifs(or($F673="",$F673="Main Primary Artist"),$F673,not(iserror(vlookup($F673,'Reference info'!$J$5:$J$8,1,0))),"Key Artist",not(iserror(vlookup($F673,'Reference info'!$J$38:$J$405,1,0))),"Performer",not(iserror(vlookup($F673,'Reference info'!$J$10:$J$36,1,0))),"Producer &amp; Engineer")</f>
        <v/>
      </c>
    </row>
    <row r="674">
      <c r="B674" s="97"/>
      <c r="C674" s="121" t="str">
        <f t="array" ref="C674">ifs(and(isblank($A674),isblank($B674)),"", not(iserror(vlookup($A674&amp;$B674,'5) Release_Track'!$F:$F&amp;'5) Release_Track'!$G:$G,1,0))),vlookup($A674&amp;$B674,{'5) Release_Track'!$F:$F&amp;'5) Release_Track'!$G:$G,'5) Release_Track'!$H:$H},2,0),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D674" s="121" t="str">
        <f t="array" ref="D674">ifs(and(isblank($A674),isblank($B674)),"", not(iserror(vlookup($A674&amp;$B674,'5) Release_Track'!$F:$F&amp;'5) Release_Track'!$G:$G,1,0))),vlookup($A674&amp;$B674,{'5) Release_Track'!$F:$F&amp;'5) Release_Track'!$G:$G,'5) Release_Track'!$I:$I},2,0),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E674" s="92"/>
      <c r="F674" s="92"/>
      <c r="G674" s="125" t="str">
        <f t="array" ref="G674">ifs(or($F674="",$F674="Main Primary Artist"),$F674,not(iserror(vlookup($F674,'Reference info'!$J$5:$J$8,1,0))),"Key Artist",not(iserror(vlookup($F674,'Reference info'!$J$38:$J$405,1,0))),"Performer",not(iserror(vlookup($F674,'Reference info'!$J$10:$J$36,1,0))),"Producer &amp; Engineer")</f>
        <v/>
      </c>
    </row>
    <row r="675">
      <c r="B675" s="97"/>
      <c r="C675" s="121" t="str">
        <f t="array" ref="C675">ifs(and(isblank($A675),isblank($B675)),"", not(iserror(vlookup($A675&amp;$B675,'5) Release_Track'!$F:$F&amp;'5) Release_Track'!$G:$G,1,0))),vlookup($A675&amp;$B675,{'5) Release_Track'!$F:$F&amp;'5) Release_Track'!$G:$G,'5) Release_Track'!$H:$H},2,0),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D675" s="121" t="str">
        <f t="array" ref="D675">ifs(and(isblank($A675),isblank($B675)),"", not(iserror(vlookup($A675&amp;$B675,'5) Release_Track'!$F:$F&amp;'5) Release_Track'!$G:$G,1,0))),vlookup($A675&amp;$B675,{'5) Release_Track'!$F:$F&amp;'5) Release_Track'!$G:$G,'5) Release_Track'!$I:$I},2,0),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E675" s="92"/>
      <c r="F675" s="92"/>
      <c r="G675" s="125" t="str">
        <f t="array" ref="G675">ifs(or($F675="",$F675="Main Primary Artist"),$F675,not(iserror(vlookup($F675,'Reference info'!$J$5:$J$8,1,0))),"Key Artist",not(iserror(vlookup($F675,'Reference info'!$J$38:$J$405,1,0))),"Performer",not(iserror(vlookup($F675,'Reference info'!$J$10:$J$36,1,0))),"Producer &amp; Engineer")</f>
        <v/>
      </c>
    </row>
    <row r="676">
      <c r="B676" s="97"/>
      <c r="C676" s="121" t="str">
        <f t="array" ref="C676">ifs(and(isblank($A676),isblank($B676)),"", not(iserror(vlookup($A676&amp;$B676,'5) Release_Track'!$F:$F&amp;'5) Release_Track'!$G:$G,1,0))),vlookup($A676&amp;$B676,{'5) Release_Track'!$F:$F&amp;'5) Release_Track'!$G:$G,'5) Release_Track'!$H:$H},2,0),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D676" s="121" t="str">
        <f t="array" ref="D676">ifs(and(isblank($A676),isblank($B676)),"", not(iserror(vlookup($A676&amp;$B676,'5) Release_Track'!$F:$F&amp;'5) Release_Track'!$G:$G,1,0))),vlookup($A676&amp;$B676,{'5) Release_Track'!$F:$F&amp;'5) Release_Track'!$G:$G,'5) Release_Track'!$I:$I},2,0),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E676" s="92"/>
      <c r="F676" s="92"/>
      <c r="G676" s="125" t="str">
        <f t="array" ref="G676">ifs(or($F676="",$F676="Main Primary Artist"),$F676,not(iserror(vlookup($F676,'Reference info'!$J$5:$J$8,1,0))),"Key Artist",not(iserror(vlookup($F676,'Reference info'!$J$38:$J$405,1,0))),"Performer",not(iserror(vlookup($F676,'Reference info'!$J$10:$J$36,1,0))),"Producer &amp; Engineer")</f>
        <v/>
      </c>
    </row>
    <row r="677">
      <c r="B677" s="97"/>
      <c r="C677" s="121" t="str">
        <f t="array" ref="C677">ifs(and(isblank($A677),isblank($B677)),"", not(iserror(vlookup($A677&amp;$B677,'5) Release_Track'!$F:$F&amp;'5) Release_Track'!$G:$G,1,0))),vlookup($A677&amp;$B677,{'5) Release_Track'!$F:$F&amp;'5) Release_Track'!$G:$G,'5) Release_Track'!$H:$H},2,0),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D677" s="121" t="str">
        <f t="array" ref="D677">ifs(and(isblank($A677),isblank($B677)),"", not(iserror(vlookup($A677&amp;$B677,'5) Release_Track'!$F:$F&amp;'5) Release_Track'!$G:$G,1,0))),vlookup($A677&amp;$B677,{'5) Release_Track'!$F:$F&amp;'5) Release_Track'!$G:$G,'5) Release_Track'!$I:$I},2,0),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E677" s="92"/>
      <c r="F677" s="92"/>
      <c r="G677" s="125" t="str">
        <f t="array" ref="G677">ifs(or($F677="",$F677="Main Primary Artist"),$F677,not(iserror(vlookup($F677,'Reference info'!$J$5:$J$8,1,0))),"Key Artist",not(iserror(vlookup($F677,'Reference info'!$J$38:$J$405,1,0))),"Performer",not(iserror(vlookup($F677,'Reference info'!$J$10:$J$36,1,0))),"Producer &amp; Engineer")</f>
        <v/>
      </c>
    </row>
    <row r="678">
      <c r="B678" s="97"/>
      <c r="C678" s="121" t="str">
        <f t="array" ref="C678">ifs(and(isblank($A678),isblank($B678)),"", not(iserror(vlookup($A678&amp;$B678,'5) Release_Track'!$F:$F&amp;'5) Release_Track'!$G:$G,1,0))),vlookup($A678&amp;$B678,{'5) Release_Track'!$F:$F&amp;'5) Release_Track'!$G:$G,'5) Release_Track'!$H:$H},2,0),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D678" s="121" t="str">
        <f t="array" ref="D678">ifs(and(isblank($A678),isblank($B678)),"", not(iserror(vlookup($A678&amp;$B678,'5) Release_Track'!$F:$F&amp;'5) Release_Track'!$G:$G,1,0))),vlookup($A678&amp;$B678,{'5) Release_Track'!$F:$F&amp;'5) Release_Track'!$G:$G,'5) Release_Track'!$I:$I},2,0),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E678" s="92"/>
      <c r="F678" s="92"/>
      <c r="G678" s="125" t="str">
        <f t="array" ref="G678">ifs(or($F678="",$F678="Main Primary Artist"),$F678,not(iserror(vlookup($F678,'Reference info'!$J$5:$J$8,1,0))),"Key Artist",not(iserror(vlookup($F678,'Reference info'!$J$38:$J$405,1,0))),"Performer",not(iserror(vlookup($F678,'Reference info'!$J$10:$J$36,1,0))),"Producer &amp; Engineer")</f>
        <v/>
      </c>
    </row>
    <row r="679">
      <c r="B679" s="97"/>
      <c r="C679" s="121" t="str">
        <f t="array" ref="C679">ifs(and(isblank($A679),isblank($B679)),"", not(iserror(vlookup($A679&amp;$B679,'5) Release_Track'!$F:$F&amp;'5) Release_Track'!$G:$G,1,0))),vlookup($A679&amp;$B679,{'5) Release_Track'!$F:$F&amp;'5) Release_Track'!$G:$G,'5) Release_Track'!$H:$H},2,0),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D679" s="121" t="str">
        <f t="array" ref="D679">ifs(and(isblank($A679),isblank($B679)),"", not(iserror(vlookup($A679&amp;$B679,'5) Release_Track'!$F:$F&amp;'5) Release_Track'!$G:$G,1,0))),vlookup($A679&amp;$B679,{'5) Release_Track'!$F:$F&amp;'5) Release_Track'!$G:$G,'5) Release_Track'!$I:$I},2,0),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E679" s="92"/>
      <c r="F679" s="92"/>
      <c r="G679" s="125" t="str">
        <f t="array" ref="G679">ifs(or($F679="",$F679="Main Primary Artist"),$F679,not(iserror(vlookup($F679,'Reference info'!$J$5:$J$8,1,0))),"Key Artist",not(iserror(vlookup($F679,'Reference info'!$J$38:$J$405,1,0))),"Performer",not(iserror(vlookup($F679,'Reference info'!$J$10:$J$36,1,0))),"Producer &amp; Engineer")</f>
        <v/>
      </c>
    </row>
    <row r="680">
      <c r="B680" s="97"/>
      <c r="C680" s="121" t="str">
        <f t="array" ref="C680">ifs(and(isblank($A680),isblank($B680)),"", not(iserror(vlookup($A680&amp;$B680,'5) Release_Track'!$F:$F&amp;'5) Release_Track'!$G:$G,1,0))),vlookup($A680&amp;$B680,{'5) Release_Track'!$F:$F&amp;'5) Release_Track'!$G:$G,'5) Release_Track'!$H:$H},2,0),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D680" s="121" t="str">
        <f t="array" ref="D680">ifs(and(isblank($A680),isblank($B680)),"", not(iserror(vlookup($A680&amp;$B680,'5) Release_Track'!$F:$F&amp;'5) Release_Track'!$G:$G,1,0))),vlookup($A680&amp;$B680,{'5) Release_Track'!$F:$F&amp;'5) Release_Track'!$G:$G,'5) Release_Track'!$I:$I},2,0),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E680" s="92"/>
      <c r="F680" s="92"/>
      <c r="G680" s="125" t="str">
        <f t="array" ref="G680">ifs(or($F680="",$F680="Main Primary Artist"),$F680,not(iserror(vlookup($F680,'Reference info'!$J$5:$J$8,1,0))),"Key Artist",not(iserror(vlookup($F680,'Reference info'!$J$38:$J$405,1,0))),"Performer",not(iserror(vlookup($F680,'Reference info'!$J$10:$J$36,1,0))),"Producer &amp; Engineer")</f>
        <v/>
      </c>
    </row>
    <row r="681">
      <c r="B681" s="97"/>
      <c r="C681" s="121" t="str">
        <f t="array" ref="C681">ifs(and(isblank($A681),isblank($B681)),"", not(iserror(vlookup($A681&amp;$B681,'5) Release_Track'!$F:$F&amp;'5) Release_Track'!$G:$G,1,0))),vlookup($A681&amp;$B681,{'5) Release_Track'!$F:$F&amp;'5) Release_Track'!$G:$G,'5) Release_Track'!$H:$H},2,0),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D681" s="121" t="str">
        <f t="array" ref="D681">ifs(and(isblank($A681),isblank($B681)),"", not(iserror(vlookup($A681&amp;$B681,'5) Release_Track'!$F:$F&amp;'5) Release_Track'!$G:$G,1,0))),vlookup($A681&amp;$B681,{'5) Release_Track'!$F:$F&amp;'5) Release_Track'!$G:$G,'5) Release_Track'!$I:$I},2,0),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E681" s="92"/>
      <c r="F681" s="92"/>
      <c r="G681" s="125" t="str">
        <f t="array" ref="G681">ifs(or($F681="",$F681="Main Primary Artist"),$F681,not(iserror(vlookup($F681,'Reference info'!$J$5:$J$8,1,0))),"Key Artist",not(iserror(vlookup($F681,'Reference info'!$J$38:$J$405,1,0))),"Performer",not(iserror(vlookup($F681,'Reference info'!$J$10:$J$36,1,0))),"Producer &amp; Engineer")</f>
        <v/>
      </c>
    </row>
    <row r="682">
      <c r="B682" s="97"/>
      <c r="C682" s="121" t="str">
        <f t="array" ref="C682">ifs(and(isblank($A682),isblank($B682)),"", not(iserror(vlookup($A682&amp;$B682,'5) Release_Track'!$F:$F&amp;'5) Release_Track'!$G:$G,1,0))),vlookup($A682&amp;$B682,{'5) Release_Track'!$F:$F&amp;'5) Release_Track'!$G:$G,'5) Release_Track'!$H:$H},2,0),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D682" s="121" t="str">
        <f t="array" ref="D682">ifs(and(isblank($A682),isblank($B682)),"", not(iserror(vlookup($A682&amp;$B682,'5) Release_Track'!$F:$F&amp;'5) Release_Track'!$G:$G,1,0))),vlookup($A682&amp;$B682,{'5) Release_Track'!$F:$F&amp;'5) Release_Track'!$G:$G,'5) Release_Track'!$I:$I},2,0),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E682" s="92"/>
      <c r="F682" s="92"/>
      <c r="G682" s="125" t="str">
        <f t="array" ref="G682">ifs(or($F682="",$F682="Main Primary Artist"),$F682,not(iserror(vlookup($F682,'Reference info'!$J$5:$J$8,1,0))),"Key Artist",not(iserror(vlookup($F682,'Reference info'!$J$38:$J$405,1,0))),"Performer",not(iserror(vlookup($F682,'Reference info'!$J$10:$J$36,1,0))),"Producer &amp; Engineer")</f>
        <v/>
      </c>
    </row>
    <row r="683">
      <c r="B683" s="97"/>
      <c r="C683" s="121" t="str">
        <f t="array" ref="C683">ifs(and(isblank($A683),isblank($B683)),"", not(iserror(vlookup($A683&amp;$B683,'5) Release_Track'!$F:$F&amp;'5) Release_Track'!$G:$G,1,0))),vlookup($A683&amp;$B683,{'5) Release_Track'!$F:$F&amp;'5) Release_Track'!$G:$G,'5) Release_Track'!$H:$H},2,0),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D683" s="121" t="str">
        <f t="array" ref="D683">ifs(and(isblank($A683),isblank($B683)),"", not(iserror(vlookup($A683&amp;$B683,'5) Release_Track'!$F:$F&amp;'5) Release_Track'!$G:$G,1,0))),vlookup($A683&amp;$B683,{'5) Release_Track'!$F:$F&amp;'5) Release_Track'!$G:$G,'5) Release_Track'!$I:$I},2,0),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E683" s="92"/>
      <c r="F683" s="92"/>
      <c r="G683" s="125" t="str">
        <f t="array" ref="G683">ifs(or($F683="",$F683="Main Primary Artist"),$F683,not(iserror(vlookup($F683,'Reference info'!$J$5:$J$8,1,0))),"Key Artist",not(iserror(vlookup($F683,'Reference info'!$J$38:$J$405,1,0))),"Performer",not(iserror(vlookup($F683,'Reference info'!$J$10:$J$36,1,0))),"Producer &amp; Engineer")</f>
        <v/>
      </c>
    </row>
    <row r="684">
      <c r="B684" s="97"/>
      <c r="C684" s="121" t="str">
        <f t="array" ref="C684">ifs(and(isblank($A684),isblank($B684)),"", not(iserror(vlookup($A684&amp;$B684,'5) Release_Track'!$F:$F&amp;'5) Release_Track'!$G:$G,1,0))),vlookup($A684&amp;$B684,{'5) Release_Track'!$F:$F&amp;'5) Release_Track'!$G:$G,'5) Release_Track'!$H:$H},2,0),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D684" s="121" t="str">
        <f t="array" ref="D684">ifs(and(isblank($A684),isblank($B684)),"", not(iserror(vlookup($A684&amp;$B684,'5) Release_Track'!$F:$F&amp;'5) Release_Track'!$G:$G,1,0))),vlookup($A684&amp;$B684,{'5) Release_Track'!$F:$F&amp;'5) Release_Track'!$G:$G,'5) Release_Track'!$I:$I},2,0),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E684" s="92"/>
      <c r="F684" s="92"/>
      <c r="G684" s="125" t="str">
        <f t="array" ref="G684">ifs(or($F684="",$F684="Main Primary Artist"),$F684,not(iserror(vlookup($F684,'Reference info'!$J$5:$J$8,1,0))),"Key Artist",not(iserror(vlookup($F684,'Reference info'!$J$38:$J$405,1,0))),"Performer",not(iserror(vlookup($F684,'Reference info'!$J$10:$J$36,1,0))),"Producer &amp; Engineer")</f>
        <v/>
      </c>
    </row>
    <row r="685">
      <c r="B685" s="97"/>
      <c r="C685" s="121" t="str">
        <f t="array" ref="C685">ifs(and(isblank($A685),isblank($B685)),"", not(iserror(vlookup($A685&amp;$B685,'5) Release_Track'!$F:$F&amp;'5) Release_Track'!$G:$G,1,0))),vlookup($A685&amp;$B685,{'5) Release_Track'!$F:$F&amp;'5) Release_Track'!$G:$G,'5) Release_Track'!$H:$H},2,0),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D685" s="121" t="str">
        <f t="array" ref="D685">ifs(and(isblank($A685),isblank($B685)),"", not(iserror(vlookup($A685&amp;$B685,'5) Release_Track'!$F:$F&amp;'5) Release_Track'!$G:$G,1,0))),vlookup($A685&amp;$B685,{'5) Release_Track'!$F:$F&amp;'5) Release_Track'!$G:$G,'5) Release_Track'!$I:$I},2,0),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E685" s="92"/>
      <c r="F685" s="92"/>
      <c r="G685" s="125" t="str">
        <f t="array" ref="G685">ifs(or($F685="",$F685="Main Primary Artist"),$F685,not(iserror(vlookup($F685,'Reference info'!$J$5:$J$8,1,0))),"Key Artist",not(iserror(vlookup($F685,'Reference info'!$J$38:$J$405,1,0))),"Performer",not(iserror(vlookup($F685,'Reference info'!$J$10:$J$36,1,0))),"Producer &amp; Engineer")</f>
        <v/>
      </c>
    </row>
    <row r="686">
      <c r="B686" s="97"/>
      <c r="C686" s="121" t="str">
        <f t="array" ref="C686">ifs(and(isblank($A686),isblank($B686)),"", not(iserror(vlookup($A686&amp;$B686,'5) Release_Track'!$F:$F&amp;'5) Release_Track'!$G:$G,1,0))),vlookup($A686&amp;$B686,{'5) Release_Track'!$F:$F&amp;'5) Release_Track'!$G:$G,'5) Release_Track'!$H:$H},2,0),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D686" s="121" t="str">
        <f t="array" ref="D686">ifs(and(isblank($A686),isblank($B686)),"", not(iserror(vlookup($A686&amp;$B686,'5) Release_Track'!$F:$F&amp;'5) Release_Track'!$G:$G,1,0))),vlookup($A686&amp;$B686,{'5) Release_Track'!$F:$F&amp;'5) Release_Track'!$G:$G,'5) Release_Track'!$I:$I},2,0),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E686" s="92"/>
      <c r="F686" s="92"/>
      <c r="G686" s="125" t="str">
        <f t="array" ref="G686">ifs(or($F686="",$F686="Main Primary Artist"),$F686,not(iserror(vlookup($F686,'Reference info'!$J$5:$J$8,1,0))),"Key Artist",not(iserror(vlookup($F686,'Reference info'!$J$38:$J$405,1,0))),"Performer",not(iserror(vlookup($F686,'Reference info'!$J$10:$J$36,1,0))),"Producer &amp; Engineer")</f>
        <v/>
      </c>
    </row>
    <row r="687">
      <c r="B687" s="97"/>
      <c r="C687" s="121" t="str">
        <f t="array" ref="C687">ifs(and(isblank($A687),isblank($B687)),"", not(iserror(vlookup($A687&amp;$B687,'5) Release_Track'!$F:$F&amp;'5) Release_Track'!$G:$G,1,0))),vlookup($A687&amp;$B687,{'5) Release_Track'!$F:$F&amp;'5) Release_Track'!$G:$G,'5) Release_Track'!$H:$H},2,0),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D687" s="121" t="str">
        <f t="array" ref="D687">ifs(and(isblank($A687),isblank($B687)),"", not(iserror(vlookup($A687&amp;$B687,'5) Release_Track'!$F:$F&amp;'5) Release_Track'!$G:$G,1,0))),vlookup($A687&amp;$B687,{'5) Release_Track'!$F:$F&amp;'5) Release_Track'!$G:$G,'5) Release_Track'!$I:$I},2,0),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E687" s="92"/>
      <c r="F687" s="92"/>
      <c r="G687" s="125" t="str">
        <f t="array" ref="G687">ifs(or($F687="",$F687="Main Primary Artist"),$F687,not(iserror(vlookup($F687,'Reference info'!$J$5:$J$8,1,0))),"Key Artist",not(iserror(vlookup($F687,'Reference info'!$J$38:$J$405,1,0))),"Performer",not(iserror(vlookup($F687,'Reference info'!$J$10:$J$36,1,0))),"Producer &amp; Engineer")</f>
        <v/>
      </c>
    </row>
    <row r="688">
      <c r="B688" s="97"/>
      <c r="C688" s="121" t="str">
        <f t="array" ref="C688">ifs(and(isblank($A688),isblank($B688)),"", not(iserror(vlookup($A688&amp;$B688,'5) Release_Track'!$F:$F&amp;'5) Release_Track'!$G:$G,1,0))),vlookup($A688&amp;$B688,{'5) Release_Track'!$F:$F&amp;'5) Release_Track'!$G:$G,'5) Release_Track'!$H:$H},2,0),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D688" s="121" t="str">
        <f t="array" ref="D688">ifs(and(isblank($A688),isblank($B688)),"", not(iserror(vlookup($A688&amp;$B688,'5) Release_Track'!$F:$F&amp;'5) Release_Track'!$G:$G,1,0))),vlookup($A688&amp;$B688,{'5) Release_Track'!$F:$F&amp;'5) Release_Track'!$G:$G,'5) Release_Track'!$I:$I},2,0),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E688" s="92"/>
      <c r="F688" s="92"/>
      <c r="G688" s="125" t="str">
        <f t="array" ref="G688">ifs(or($F688="",$F688="Main Primary Artist"),$F688,not(iserror(vlookup($F688,'Reference info'!$J$5:$J$8,1,0))),"Key Artist",not(iserror(vlookup($F688,'Reference info'!$J$38:$J$405,1,0))),"Performer",not(iserror(vlookup($F688,'Reference info'!$J$10:$J$36,1,0))),"Producer &amp; Engineer")</f>
        <v/>
      </c>
    </row>
    <row r="689">
      <c r="B689" s="97"/>
      <c r="C689" s="121" t="str">
        <f t="array" ref="C689">ifs(and(isblank($A689),isblank($B689)),"", not(iserror(vlookup($A689&amp;$B689,'5) Release_Track'!$F:$F&amp;'5) Release_Track'!$G:$G,1,0))),vlookup($A689&amp;$B689,{'5) Release_Track'!$F:$F&amp;'5) Release_Track'!$G:$G,'5) Release_Track'!$H:$H},2,0),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D689" s="121" t="str">
        <f t="array" ref="D689">ifs(and(isblank($A689),isblank($B689)),"", not(iserror(vlookup($A689&amp;$B689,'5) Release_Track'!$F:$F&amp;'5) Release_Track'!$G:$G,1,0))),vlookup($A689&amp;$B689,{'5) Release_Track'!$F:$F&amp;'5) Release_Track'!$G:$G,'5) Release_Track'!$I:$I},2,0),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E689" s="92"/>
      <c r="F689" s="92"/>
      <c r="G689" s="125" t="str">
        <f t="array" ref="G689">ifs(or($F689="",$F689="Main Primary Artist"),$F689,not(iserror(vlookup($F689,'Reference info'!$J$5:$J$8,1,0))),"Key Artist",not(iserror(vlookup($F689,'Reference info'!$J$38:$J$405,1,0))),"Performer",not(iserror(vlookup($F689,'Reference info'!$J$10:$J$36,1,0))),"Producer &amp; Engineer")</f>
        <v/>
      </c>
    </row>
    <row r="690">
      <c r="B690" s="97"/>
      <c r="C690" s="121" t="str">
        <f t="array" ref="C690">ifs(and(isblank($A690),isblank($B690)),"", not(iserror(vlookup($A690&amp;$B690,'5) Release_Track'!$F:$F&amp;'5) Release_Track'!$G:$G,1,0))),vlookup($A690&amp;$B690,{'5) Release_Track'!$F:$F&amp;'5) Release_Track'!$G:$G,'5) Release_Track'!$H:$H},2,0),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D690" s="121" t="str">
        <f t="array" ref="D690">ifs(and(isblank($A690),isblank($B690)),"", not(iserror(vlookup($A690&amp;$B690,'5) Release_Track'!$F:$F&amp;'5) Release_Track'!$G:$G,1,0))),vlookup($A690&amp;$B690,{'5) Release_Track'!$F:$F&amp;'5) Release_Track'!$G:$G,'5) Release_Track'!$I:$I},2,0),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E690" s="92"/>
      <c r="F690" s="92"/>
      <c r="G690" s="125" t="str">
        <f t="array" ref="G690">ifs(or($F690="",$F690="Main Primary Artist"),$F690,not(iserror(vlookup($F690,'Reference info'!$J$5:$J$8,1,0))),"Key Artist",not(iserror(vlookup($F690,'Reference info'!$J$38:$J$405,1,0))),"Performer",not(iserror(vlookup($F690,'Reference info'!$J$10:$J$36,1,0))),"Producer &amp; Engineer")</f>
        <v/>
      </c>
    </row>
    <row r="691">
      <c r="B691" s="97"/>
      <c r="C691" s="121" t="str">
        <f t="array" ref="C691">ifs(and(isblank($A691),isblank($B691)),"", not(iserror(vlookup($A691&amp;$B691,'5) Release_Track'!$F:$F&amp;'5) Release_Track'!$G:$G,1,0))),vlookup($A691&amp;$B691,{'5) Release_Track'!$F:$F&amp;'5) Release_Track'!$G:$G,'5) Release_Track'!$H:$H},2,0),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D691" s="121" t="str">
        <f t="array" ref="D691">ifs(and(isblank($A691),isblank($B691)),"", not(iserror(vlookup($A691&amp;$B691,'5) Release_Track'!$F:$F&amp;'5) Release_Track'!$G:$G,1,0))),vlookup($A691&amp;$B691,{'5) Release_Track'!$F:$F&amp;'5) Release_Track'!$G:$G,'5) Release_Track'!$I:$I},2,0),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E691" s="92"/>
      <c r="F691" s="92"/>
      <c r="G691" s="125" t="str">
        <f t="array" ref="G691">ifs(or($F691="",$F691="Main Primary Artist"),$F691,not(iserror(vlookup($F691,'Reference info'!$J$5:$J$8,1,0))),"Key Artist",not(iserror(vlookup($F691,'Reference info'!$J$38:$J$405,1,0))),"Performer",not(iserror(vlookup($F691,'Reference info'!$J$10:$J$36,1,0))),"Producer &amp; Engineer")</f>
        <v/>
      </c>
    </row>
    <row r="692">
      <c r="B692" s="97"/>
      <c r="C692" s="121" t="str">
        <f t="array" ref="C692">ifs(and(isblank($A692),isblank($B692)),"", not(iserror(vlookup($A692&amp;$B692,'5) Release_Track'!$F:$F&amp;'5) Release_Track'!$G:$G,1,0))),vlookup($A692&amp;$B692,{'5) Release_Track'!$F:$F&amp;'5) Release_Track'!$G:$G,'5) Release_Track'!$H:$H},2,0),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D692" s="121" t="str">
        <f t="array" ref="D692">ifs(and(isblank($A692),isblank($B692)),"", not(iserror(vlookup($A692&amp;$B692,'5) Release_Track'!$F:$F&amp;'5) Release_Track'!$G:$G,1,0))),vlookup($A692&amp;$B692,{'5) Release_Track'!$F:$F&amp;'5) Release_Track'!$G:$G,'5) Release_Track'!$I:$I},2,0),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E692" s="92"/>
      <c r="F692" s="92"/>
      <c r="G692" s="125" t="str">
        <f t="array" ref="G692">ifs(or($F692="",$F692="Main Primary Artist"),$F692,not(iserror(vlookup($F692,'Reference info'!$J$5:$J$8,1,0))),"Key Artist",not(iserror(vlookup($F692,'Reference info'!$J$38:$J$405,1,0))),"Performer",not(iserror(vlookup($F692,'Reference info'!$J$10:$J$36,1,0))),"Producer &amp; Engineer")</f>
        <v/>
      </c>
    </row>
    <row r="693">
      <c r="B693" s="97"/>
      <c r="C693" s="121" t="str">
        <f t="array" ref="C693">ifs(and(isblank($A693),isblank($B693)),"", not(iserror(vlookup($A693&amp;$B693,'5) Release_Track'!$F:$F&amp;'5) Release_Track'!$G:$G,1,0))),vlookup($A693&amp;$B693,{'5) Release_Track'!$F:$F&amp;'5) Release_Track'!$G:$G,'5) Release_Track'!$H:$H},2,0),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D693" s="121" t="str">
        <f t="array" ref="D693">ifs(and(isblank($A693),isblank($B693)),"", not(iserror(vlookup($A693&amp;$B693,'5) Release_Track'!$F:$F&amp;'5) Release_Track'!$G:$G,1,0))),vlookup($A693&amp;$B693,{'5) Release_Track'!$F:$F&amp;'5) Release_Track'!$G:$G,'5) Release_Track'!$I:$I},2,0),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E693" s="92"/>
      <c r="F693" s="92"/>
      <c r="G693" s="125" t="str">
        <f t="array" ref="G693">ifs(or($F693="",$F693="Main Primary Artist"),$F693,not(iserror(vlookup($F693,'Reference info'!$J$5:$J$8,1,0))),"Key Artist",not(iserror(vlookup($F693,'Reference info'!$J$38:$J$405,1,0))),"Performer",not(iserror(vlookup($F693,'Reference info'!$J$10:$J$36,1,0))),"Producer &amp; Engineer")</f>
        <v/>
      </c>
    </row>
    <row r="694">
      <c r="B694" s="97"/>
      <c r="C694" s="121" t="str">
        <f t="array" ref="C694">ifs(and(isblank($A694),isblank($B694)),"", not(iserror(vlookup($A694&amp;$B694,'5) Release_Track'!$F:$F&amp;'5) Release_Track'!$G:$G,1,0))),vlookup($A694&amp;$B694,{'5) Release_Track'!$F:$F&amp;'5) Release_Track'!$G:$G,'5) Release_Track'!$H:$H},2,0),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D694" s="121" t="str">
        <f t="array" ref="D694">ifs(and(isblank($A694),isblank($B694)),"", not(iserror(vlookup($A694&amp;$B694,'5) Release_Track'!$F:$F&amp;'5) Release_Track'!$G:$G,1,0))),vlookup($A694&amp;$B694,{'5) Release_Track'!$F:$F&amp;'5) Release_Track'!$G:$G,'5) Release_Track'!$I:$I},2,0),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E694" s="92"/>
      <c r="F694" s="92"/>
      <c r="G694" s="125" t="str">
        <f t="array" ref="G694">ifs(or($F694="",$F694="Main Primary Artist"),$F694,not(iserror(vlookup($F694,'Reference info'!$J$5:$J$8,1,0))),"Key Artist",not(iserror(vlookup($F694,'Reference info'!$J$38:$J$405,1,0))),"Performer",not(iserror(vlookup($F694,'Reference info'!$J$10:$J$36,1,0))),"Producer &amp; Engineer")</f>
        <v/>
      </c>
    </row>
    <row r="695">
      <c r="B695" s="97"/>
      <c r="C695" s="121" t="str">
        <f t="array" ref="C695">ifs(and(isblank($A695),isblank($B695)),"", not(iserror(vlookup($A695&amp;$B695,'5) Release_Track'!$F:$F&amp;'5) Release_Track'!$G:$G,1,0))),vlookup($A695&amp;$B695,{'5) Release_Track'!$F:$F&amp;'5) Release_Track'!$G:$G,'5) Release_Track'!$H:$H},2,0),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D695" s="121" t="str">
        <f t="array" ref="D695">ifs(and(isblank($A695),isblank($B695)),"", not(iserror(vlookup($A695&amp;$B695,'5) Release_Track'!$F:$F&amp;'5) Release_Track'!$G:$G,1,0))),vlookup($A695&amp;$B695,{'5) Release_Track'!$F:$F&amp;'5) Release_Track'!$G:$G,'5) Release_Track'!$I:$I},2,0),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E695" s="92"/>
      <c r="F695" s="92"/>
      <c r="G695" s="125" t="str">
        <f t="array" ref="G695">ifs(or($F695="",$F695="Main Primary Artist"),$F695,not(iserror(vlookup($F695,'Reference info'!$J$5:$J$8,1,0))),"Key Artist",not(iserror(vlookup($F695,'Reference info'!$J$38:$J$405,1,0))),"Performer",not(iserror(vlookup($F695,'Reference info'!$J$10:$J$36,1,0))),"Producer &amp; Engineer")</f>
        <v/>
      </c>
    </row>
    <row r="696">
      <c r="B696" s="97"/>
      <c r="C696" s="121" t="str">
        <f t="array" ref="C696">ifs(and(isblank($A696),isblank($B696)),"", not(iserror(vlookup($A696&amp;$B696,'5) Release_Track'!$F:$F&amp;'5) Release_Track'!$G:$G,1,0))),vlookup($A696&amp;$B696,{'5) Release_Track'!$F:$F&amp;'5) Release_Track'!$G:$G,'5) Release_Track'!$H:$H},2,0),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D696" s="121" t="str">
        <f t="array" ref="D696">ifs(and(isblank($A696),isblank($B696)),"", not(iserror(vlookup($A696&amp;$B696,'5) Release_Track'!$F:$F&amp;'5) Release_Track'!$G:$G,1,0))),vlookup($A696&amp;$B696,{'5) Release_Track'!$F:$F&amp;'5) Release_Track'!$G:$G,'5) Release_Track'!$I:$I},2,0),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E696" s="92"/>
      <c r="F696" s="92"/>
      <c r="G696" s="125" t="str">
        <f t="array" ref="G696">ifs(or($F696="",$F696="Main Primary Artist"),$F696,not(iserror(vlookup($F696,'Reference info'!$J$5:$J$8,1,0))),"Key Artist",not(iserror(vlookup($F696,'Reference info'!$J$38:$J$405,1,0))),"Performer",not(iserror(vlookup($F696,'Reference info'!$J$10:$J$36,1,0))),"Producer &amp; Engineer")</f>
        <v/>
      </c>
    </row>
    <row r="697">
      <c r="B697" s="97"/>
      <c r="C697" s="121" t="str">
        <f t="array" ref="C697">ifs(and(isblank($A697),isblank($B697)),"", not(iserror(vlookup($A697&amp;$B697,'5) Release_Track'!$F:$F&amp;'5) Release_Track'!$G:$G,1,0))),vlookup($A697&amp;$B697,{'5) Release_Track'!$F:$F&amp;'5) Release_Track'!$G:$G,'5) Release_Track'!$H:$H},2,0),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D697" s="121" t="str">
        <f t="array" ref="D697">ifs(and(isblank($A697),isblank($B697)),"", not(iserror(vlookup($A697&amp;$B697,'5) Release_Track'!$F:$F&amp;'5) Release_Track'!$G:$G,1,0))),vlookup($A697&amp;$B697,{'5) Release_Track'!$F:$F&amp;'5) Release_Track'!$G:$G,'5) Release_Track'!$I:$I},2,0),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E697" s="92"/>
      <c r="F697" s="92"/>
      <c r="G697" s="125" t="str">
        <f t="array" ref="G697">ifs(or($F697="",$F697="Main Primary Artist"),$F697,not(iserror(vlookup($F697,'Reference info'!$J$5:$J$8,1,0))),"Key Artist",not(iserror(vlookup($F697,'Reference info'!$J$38:$J$405,1,0))),"Performer",not(iserror(vlookup($F697,'Reference info'!$J$10:$J$36,1,0))),"Producer &amp; Engineer")</f>
        <v/>
      </c>
    </row>
    <row r="698">
      <c r="B698" s="97"/>
      <c r="C698" s="121" t="str">
        <f t="array" ref="C698">ifs(and(isblank($A698),isblank($B698)),"", not(iserror(vlookup($A698&amp;$B698,'5) Release_Track'!$F:$F&amp;'5) Release_Track'!$G:$G,1,0))),vlookup($A698&amp;$B698,{'5) Release_Track'!$F:$F&amp;'5) Release_Track'!$G:$G,'5) Release_Track'!$H:$H},2,0),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D698" s="121" t="str">
        <f t="array" ref="D698">ifs(and(isblank($A698),isblank($B698)),"", not(iserror(vlookup($A698&amp;$B698,'5) Release_Track'!$F:$F&amp;'5) Release_Track'!$G:$G,1,0))),vlookup($A698&amp;$B698,{'5) Release_Track'!$F:$F&amp;'5) Release_Track'!$G:$G,'5) Release_Track'!$I:$I},2,0),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E698" s="92"/>
      <c r="F698" s="92"/>
      <c r="G698" s="125" t="str">
        <f t="array" ref="G698">ifs(or($F698="",$F698="Main Primary Artist"),$F698,not(iserror(vlookup($F698,'Reference info'!$J$5:$J$8,1,0))),"Key Artist",not(iserror(vlookup($F698,'Reference info'!$J$38:$J$405,1,0))),"Performer",not(iserror(vlookup($F698,'Reference info'!$J$10:$J$36,1,0))),"Producer &amp; Engineer")</f>
        <v/>
      </c>
    </row>
    <row r="699">
      <c r="B699" s="97"/>
      <c r="C699" s="121" t="str">
        <f t="array" ref="C699">ifs(and(isblank($A699),isblank($B699)),"", not(iserror(vlookup($A699&amp;$B699,'5) Release_Track'!$F:$F&amp;'5) Release_Track'!$G:$G,1,0))),vlookup($A699&amp;$B699,{'5) Release_Track'!$F:$F&amp;'5) Release_Track'!$G:$G,'5) Release_Track'!$H:$H},2,0),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D699" s="121" t="str">
        <f t="array" ref="D699">ifs(and(isblank($A699),isblank($B699)),"", not(iserror(vlookup($A699&amp;$B699,'5) Release_Track'!$F:$F&amp;'5) Release_Track'!$G:$G,1,0))),vlookup($A699&amp;$B699,{'5) Release_Track'!$F:$F&amp;'5) Release_Track'!$G:$G,'5) Release_Track'!$I:$I},2,0),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E699" s="92"/>
      <c r="F699" s="92"/>
      <c r="G699" s="125" t="str">
        <f t="array" ref="G699">ifs(or($F699="",$F699="Main Primary Artist"),$F699,not(iserror(vlookup($F699,'Reference info'!$J$5:$J$8,1,0))),"Key Artist",not(iserror(vlookup($F699,'Reference info'!$J$38:$J$405,1,0))),"Performer",not(iserror(vlookup($F699,'Reference info'!$J$10:$J$36,1,0))),"Producer &amp; Engineer")</f>
        <v/>
      </c>
    </row>
    <row r="700">
      <c r="B700" s="97"/>
      <c r="C700" s="121" t="str">
        <f t="array" ref="C700">ifs(and(isblank($A700),isblank($B700)),"", not(iserror(vlookup($A700&amp;$B700,'5) Release_Track'!$F:$F&amp;'5) Release_Track'!$G:$G,1,0))),vlookup($A700&amp;$B700,{'5) Release_Track'!$F:$F&amp;'5) Release_Track'!$G:$G,'5) Release_Track'!$H:$H},2,0),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D700" s="121" t="str">
        <f t="array" ref="D700">ifs(and(isblank($A700),isblank($B700)),"", not(iserror(vlookup($A700&amp;$B700,'5) Release_Track'!$F:$F&amp;'5) Release_Track'!$G:$G,1,0))),vlookup($A700&amp;$B700,{'5) Release_Track'!$F:$F&amp;'5) Release_Track'!$G:$G,'5) Release_Track'!$I:$I},2,0),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E700" s="92"/>
      <c r="F700" s="92"/>
      <c r="G700" s="125" t="str">
        <f t="array" ref="G700">ifs(or($F700="",$F700="Main Primary Artist"),$F700,not(iserror(vlookup($F700,'Reference info'!$J$5:$J$8,1,0))),"Key Artist",not(iserror(vlookup($F700,'Reference info'!$J$38:$J$405,1,0))),"Performer",not(iserror(vlookup($F700,'Reference info'!$J$10:$J$36,1,0))),"Producer &amp; Engineer")</f>
        <v/>
      </c>
    </row>
    <row r="701">
      <c r="B701" s="97"/>
      <c r="C701" s="121" t="str">
        <f t="array" ref="C701">ifs(and(isblank($A701),isblank($B701)),"", not(iserror(vlookup($A701&amp;$B701,'5) Release_Track'!$F:$F&amp;'5) Release_Track'!$G:$G,1,0))),vlookup($A701&amp;$B701,{'5) Release_Track'!$F:$F&amp;'5) Release_Track'!$G:$G,'5) Release_Track'!$H:$H},2,0),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D701" s="121" t="str">
        <f t="array" ref="D701">ifs(and(isblank($A701),isblank($B701)),"", not(iserror(vlookup($A701&amp;$B701,'5) Release_Track'!$F:$F&amp;'5) Release_Track'!$G:$G,1,0))),vlookup($A701&amp;$B701,{'5) Release_Track'!$F:$F&amp;'5) Release_Track'!$G:$G,'5) Release_Track'!$I:$I},2,0),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E701" s="92"/>
      <c r="F701" s="92"/>
      <c r="G701" s="125" t="str">
        <f t="array" ref="G701">ifs(or($F701="",$F701="Main Primary Artist"),$F701,not(iserror(vlookup($F701,'Reference info'!$J$5:$J$8,1,0))),"Key Artist",not(iserror(vlookup($F701,'Reference info'!$J$38:$J$405,1,0))),"Performer",not(iserror(vlookup($F701,'Reference info'!$J$10:$J$36,1,0))),"Producer &amp; Engineer")</f>
        <v/>
      </c>
    </row>
    <row r="702">
      <c r="B702" s="97"/>
      <c r="C702" s="121" t="str">
        <f t="array" ref="C702">ifs(and(isblank($A702),isblank($B702)),"", not(iserror(vlookup($A702&amp;$B702,'5) Release_Track'!$F:$F&amp;'5) Release_Track'!$G:$G,1,0))),vlookup($A702&amp;$B702,{'5) Release_Track'!$F:$F&amp;'5) Release_Track'!$G:$G,'5) Release_Track'!$H:$H},2,0),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D702" s="121" t="str">
        <f t="array" ref="D702">ifs(and(isblank($A702),isblank($B702)),"", not(iserror(vlookup($A702&amp;$B702,'5) Release_Track'!$F:$F&amp;'5) Release_Track'!$G:$G,1,0))),vlookup($A702&amp;$B702,{'5) Release_Track'!$F:$F&amp;'5) Release_Track'!$G:$G,'5) Release_Track'!$I:$I},2,0),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E702" s="92"/>
      <c r="F702" s="92"/>
      <c r="G702" s="125" t="str">
        <f t="array" ref="G702">ifs(or($F702="",$F702="Main Primary Artist"),$F702,not(iserror(vlookup($F702,'Reference info'!$J$5:$J$8,1,0))),"Key Artist",not(iserror(vlookup($F702,'Reference info'!$J$38:$J$405,1,0))),"Performer",not(iserror(vlookup($F702,'Reference info'!$J$10:$J$36,1,0))),"Producer &amp; Engineer")</f>
        <v/>
      </c>
    </row>
    <row r="703">
      <c r="B703" s="97"/>
      <c r="C703" s="121" t="str">
        <f t="array" ref="C703">ifs(and(isblank($A703),isblank($B703)),"", not(iserror(vlookup($A703&amp;$B703,'5) Release_Track'!$F:$F&amp;'5) Release_Track'!$G:$G,1,0))),vlookup($A703&amp;$B703,{'5) Release_Track'!$F:$F&amp;'5) Release_Track'!$G:$G,'5) Release_Track'!$H:$H},2,0),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D703" s="121" t="str">
        <f t="array" ref="D703">ifs(and(isblank($A703),isblank($B703)),"", not(iserror(vlookup($A703&amp;$B703,'5) Release_Track'!$F:$F&amp;'5) Release_Track'!$G:$G,1,0))),vlookup($A703&amp;$B703,{'5) Release_Track'!$F:$F&amp;'5) Release_Track'!$G:$G,'5) Release_Track'!$I:$I},2,0),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E703" s="92"/>
      <c r="F703" s="92"/>
      <c r="G703" s="125" t="str">
        <f t="array" ref="G703">ifs(or($F703="",$F703="Main Primary Artist"),$F703,not(iserror(vlookup($F703,'Reference info'!$J$5:$J$8,1,0))),"Key Artist",not(iserror(vlookup($F703,'Reference info'!$J$38:$J$405,1,0))),"Performer",not(iserror(vlookup($F703,'Reference info'!$J$10:$J$36,1,0))),"Producer &amp; Engineer")</f>
        <v/>
      </c>
    </row>
    <row r="704">
      <c r="B704" s="97"/>
      <c r="C704" s="121" t="str">
        <f t="array" ref="C704">ifs(and(isblank($A704),isblank($B704)),"", not(iserror(vlookup($A704&amp;$B704,'5) Release_Track'!$F:$F&amp;'5) Release_Track'!$G:$G,1,0))),vlookup($A704&amp;$B704,{'5) Release_Track'!$F:$F&amp;'5) Release_Track'!$G:$G,'5) Release_Track'!$H:$H},2,0),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D704" s="121" t="str">
        <f t="array" ref="D704">ifs(and(isblank($A704),isblank($B704)),"", not(iserror(vlookup($A704&amp;$B704,'5) Release_Track'!$F:$F&amp;'5) Release_Track'!$G:$G,1,0))),vlookup($A704&amp;$B704,{'5) Release_Track'!$F:$F&amp;'5) Release_Track'!$G:$G,'5) Release_Track'!$I:$I},2,0),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E704" s="92"/>
      <c r="F704" s="92"/>
      <c r="G704" s="125" t="str">
        <f t="array" ref="G704">ifs(or($F704="",$F704="Main Primary Artist"),$F704,not(iserror(vlookup($F704,'Reference info'!$J$5:$J$8,1,0))),"Key Artist",not(iserror(vlookup($F704,'Reference info'!$J$38:$J$405,1,0))),"Performer",not(iserror(vlookup($F704,'Reference info'!$J$10:$J$36,1,0))),"Producer &amp; Engineer")</f>
        <v/>
      </c>
    </row>
    <row r="705">
      <c r="B705" s="97"/>
      <c r="C705" s="121" t="str">
        <f t="array" ref="C705">ifs(and(isblank($A705),isblank($B705)),"", not(iserror(vlookup($A705&amp;$B705,'5) Release_Track'!$F:$F&amp;'5) Release_Track'!$G:$G,1,0))),vlookup($A705&amp;$B705,{'5) Release_Track'!$F:$F&amp;'5) Release_Track'!$G:$G,'5) Release_Track'!$H:$H},2,0),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D705" s="121" t="str">
        <f t="array" ref="D705">ifs(and(isblank($A705),isblank($B705)),"", not(iserror(vlookup($A705&amp;$B705,'5) Release_Track'!$F:$F&amp;'5) Release_Track'!$G:$G,1,0))),vlookup($A705&amp;$B705,{'5) Release_Track'!$F:$F&amp;'5) Release_Track'!$G:$G,'5) Release_Track'!$I:$I},2,0),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E705" s="92"/>
      <c r="F705" s="92"/>
      <c r="G705" s="125" t="str">
        <f t="array" ref="G705">ifs(or($F705="",$F705="Main Primary Artist"),$F705,not(iserror(vlookup($F705,'Reference info'!$J$5:$J$8,1,0))),"Key Artist",not(iserror(vlookup($F705,'Reference info'!$J$38:$J$405,1,0))),"Performer",not(iserror(vlookup($F705,'Reference info'!$J$10:$J$36,1,0))),"Producer &amp; Engineer")</f>
        <v/>
      </c>
    </row>
    <row r="706">
      <c r="B706" s="97"/>
      <c r="C706" s="121" t="str">
        <f t="array" ref="C706">ifs(and(isblank($A706),isblank($B706)),"", not(iserror(vlookup($A706&amp;$B706,'5) Release_Track'!$F:$F&amp;'5) Release_Track'!$G:$G,1,0))),vlookup($A706&amp;$B706,{'5) Release_Track'!$F:$F&amp;'5) Release_Track'!$G:$G,'5) Release_Track'!$H:$H},2,0),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D706" s="121" t="str">
        <f t="array" ref="D706">ifs(and(isblank($A706),isblank($B706)),"", not(iserror(vlookup($A706&amp;$B706,'5) Release_Track'!$F:$F&amp;'5) Release_Track'!$G:$G,1,0))),vlookup($A706&amp;$B706,{'5) Release_Track'!$F:$F&amp;'5) Release_Track'!$G:$G,'5) Release_Track'!$I:$I},2,0),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E706" s="92"/>
      <c r="F706" s="92"/>
      <c r="G706" s="125" t="str">
        <f t="array" ref="G706">ifs(or($F706="",$F706="Main Primary Artist"),$F706,not(iserror(vlookup($F706,'Reference info'!$J$5:$J$8,1,0))),"Key Artist",not(iserror(vlookup($F706,'Reference info'!$J$38:$J$405,1,0))),"Performer",not(iserror(vlookup($F706,'Reference info'!$J$10:$J$36,1,0))),"Producer &amp; Engineer")</f>
        <v/>
      </c>
    </row>
    <row r="707">
      <c r="B707" s="97"/>
      <c r="C707" s="121" t="str">
        <f t="array" ref="C707">ifs(and(isblank($A707),isblank($B707)),"", not(iserror(vlookup($A707&amp;$B707,'5) Release_Track'!$F:$F&amp;'5) Release_Track'!$G:$G,1,0))),vlookup($A707&amp;$B707,{'5) Release_Track'!$F:$F&amp;'5) Release_Track'!$G:$G,'5) Release_Track'!$H:$H},2,0),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D707" s="121" t="str">
        <f t="array" ref="D707">ifs(and(isblank($A707),isblank($B707)),"", not(iserror(vlookup($A707&amp;$B707,'5) Release_Track'!$F:$F&amp;'5) Release_Track'!$G:$G,1,0))),vlookup($A707&amp;$B707,{'5) Release_Track'!$F:$F&amp;'5) Release_Track'!$G:$G,'5) Release_Track'!$I:$I},2,0),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E707" s="92"/>
      <c r="F707" s="92"/>
      <c r="G707" s="125" t="str">
        <f t="array" ref="G707">ifs(or($F707="",$F707="Main Primary Artist"),$F707,not(iserror(vlookup($F707,'Reference info'!$J$5:$J$8,1,0))),"Key Artist",not(iserror(vlookup($F707,'Reference info'!$J$38:$J$405,1,0))),"Performer",not(iserror(vlookup($F707,'Reference info'!$J$10:$J$36,1,0))),"Producer &amp; Engineer")</f>
        <v/>
      </c>
    </row>
    <row r="708">
      <c r="B708" s="97"/>
      <c r="C708" s="121" t="str">
        <f t="array" ref="C708">ifs(and(isblank($A708),isblank($B708)),"", not(iserror(vlookup($A708&amp;$B708,'5) Release_Track'!$F:$F&amp;'5) Release_Track'!$G:$G,1,0))),vlookup($A708&amp;$B708,{'5) Release_Track'!$F:$F&amp;'5) Release_Track'!$G:$G,'5) Release_Track'!$H:$H},2,0),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D708" s="121" t="str">
        <f t="array" ref="D708">ifs(and(isblank($A708),isblank($B708)),"", not(iserror(vlookup($A708&amp;$B708,'5) Release_Track'!$F:$F&amp;'5) Release_Track'!$G:$G,1,0))),vlookup($A708&amp;$B708,{'5) Release_Track'!$F:$F&amp;'5) Release_Track'!$G:$G,'5) Release_Track'!$I:$I},2,0),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E708" s="92"/>
      <c r="F708" s="92"/>
      <c r="G708" s="125" t="str">
        <f t="array" ref="G708">ifs(or($F708="",$F708="Main Primary Artist"),$F708,not(iserror(vlookup($F708,'Reference info'!$J$5:$J$8,1,0))),"Key Artist",not(iserror(vlookup($F708,'Reference info'!$J$38:$J$405,1,0))),"Performer",not(iserror(vlookup($F708,'Reference info'!$J$10:$J$36,1,0))),"Producer &amp; Engineer")</f>
        <v/>
      </c>
    </row>
    <row r="709">
      <c r="B709" s="97"/>
      <c r="C709" s="121" t="str">
        <f t="array" ref="C709">ifs(and(isblank($A709),isblank($B709)),"", not(iserror(vlookup($A709&amp;$B709,'5) Release_Track'!$F:$F&amp;'5) Release_Track'!$G:$G,1,0))),vlookup($A709&amp;$B709,{'5) Release_Track'!$F:$F&amp;'5) Release_Track'!$G:$G,'5) Release_Track'!$H:$H},2,0),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D709" s="121" t="str">
        <f t="array" ref="D709">ifs(and(isblank($A709),isblank($B709)),"", not(iserror(vlookup($A709&amp;$B709,'5) Release_Track'!$F:$F&amp;'5) Release_Track'!$G:$G,1,0))),vlookup($A709&amp;$B709,{'5) Release_Track'!$F:$F&amp;'5) Release_Track'!$G:$G,'5) Release_Track'!$I:$I},2,0),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E709" s="92"/>
      <c r="F709" s="92"/>
      <c r="G709" s="125" t="str">
        <f t="array" ref="G709">ifs(or($F709="",$F709="Main Primary Artist"),$F709,not(iserror(vlookup($F709,'Reference info'!$J$5:$J$8,1,0))),"Key Artist",not(iserror(vlookup($F709,'Reference info'!$J$38:$J$405,1,0))),"Performer",not(iserror(vlookup($F709,'Reference info'!$J$10:$J$36,1,0))),"Producer &amp; Engineer")</f>
        <v/>
      </c>
    </row>
    <row r="710">
      <c r="B710" s="97"/>
      <c r="C710" s="121" t="str">
        <f t="array" ref="C710">ifs(and(isblank($A710),isblank($B710)),"", not(iserror(vlookup($A710&amp;$B710,'5) Release_Track'!$F:$F&amp;'5) Release_Track'!$G:$G,1,0))),vlookup($A710&amp;$B710,{'5) Release_Track'!$F:$F&amp;'5) Release_Track'!$G:$G,'5) Release_Track'!$H:$H},2,0),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D710" s="121" t="str">
        <f t="array" ref="D710">ifs(and(isblank($A710),isblank($B710)),"", not(iserror(vlookup($A710&amp;$B710,'5) Release_Track'!$F:$F&amp;'5) Release_Track'!$G:$G,1,0))),vlookup($A710&amp;$B710,{'5) Release_Track'!$F:$F&amp;'5) Release_Track'!$G:$G,'5) Release_Track'!$I:$I},2,0),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E710" s="92"/>
      <c r="F710" s="92"/>
      <c r="G710" s="125" t="str">
        <f t="array" ref="G710">ifs(or($F710="",$F710="Main Primary Artist"),$F710,not(iserror(vlookup($F710,'Reference info'!$J$5:$J$8,1,0))),"Key Artist",not(iserror(vlookup($F710,'Reference info'!$J$38:$J$405,1,0))),"Performer",not(iserror(vlookup($F710,'Reference info'!$J$10:$J$36,1,0))),"Producer &amp; Engineer")</f>
        <v/>
      </c>
    </row>
    <row r="711">
      <c r="B711" s="97"/>
      <c r="C711" s="121" t="str">
        <f t="array" ref="C711">ifs(and(isblank($A711),isblank($B711)),"", not(iserror(vlookup($A711&amp;$B711,'5) Release_Track'!$F:$F&amp;'5) Release_Track'!$G:$G,1,0))),vlookup($A711&amp;$B711,{'5) Release_Track'!$F:$F&amp;'5) Release_Track'!$G:$G,'5) Release_Track'!$H:$H},2,0),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D711" s="121" t="str">
        <f t="array" ref="D711">ifs(and(isblank($A711),isblank($B711)),"", not(iserror(vlookup($A711&amp;$B711,'5) Release_Track'!$F:$F&amp;'5) Release_Track'!$G:$G,1,0))),vlookup($A711&amp;$B711,{'5) Release_Track'!$F:$F&amp;'5) Release_Track'!$G:$G,'5) Release_Track'!$I:$I},2,0),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E711" s="92"/>
      <c r="F711" s="92"/>
      <c r="G711" s="125" t="str">
        <f t="array" ref="G711">ifs(or($F711="",$F711="Main Primary Artist"),$F711,not(iserror(vlookup($F711,'Reference info'!$J$5:$J$8,1,0))),"Key Artist",not(iserror(vlookup($F711,'Reference info'!$J$38:$J$405,1,0))),"Performer",not(iserror(vlookup($F711,'Reference info'!$J$10:$J$36,1,0))),"Producer &amp; Engineer")</f>
        <v/>
      </c>
    </row>
    <row r="712">
      <c r="B712" s="97"/>
      <c r="C712" s="121" t="str">
        <f t="array" ref="C712">ifs(and(isblank($A712),isblank($B712)),"", not(iserror(vlookup($A712&amp;$B712,'5) Release_Track'!$F:$F&amp;'5) Release_Track'!$G:$G,1,0))),vlookup($A712&amp;$B712,{'5) Release_Track'!$F:$F&amp;'5) Release_Track'!$G:$G,'5) Release_Track'!$H:$H},2,0),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D712" s="121" t="str">
        <f t="array" ref="D712">ifs(and(isblank($A712),isblank($B712)),"", not(iserror(vlookup($A712&amp;$B712,'5) Release_Track'!$F:$F&amp;'5) Release_Track'!$G:$G,1,0))),vlookup($A712&amp;$B712,{'5) Release_Track'!$F:$F&amp;'5) Release_Track'!$G:$G,'5) Release_Track'!$I:$I},2,0),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E712" s="92"/>
      <c r="F712" s="92"/>
      <c r="G712" s="125" t="str">
        <f t="array" ref="G712">ifs(or($F712="",$F712="Main Primary Artist"),$F712,not(iserror(vlookup($F712,'Reference info'!$J$5:$J$8,1,0))),"Key Artist",not(iserror(vlookup($F712,'Reference info'!$J$38:$J$405,1,0))),"Performer",not(iserror(vlookup($F712,'Reference info'!$J$10:$J$36,1,0))),"Producer &amp; Engineer")</f>
        <v/>
      </c>
    </row>
    <row r="713">
      <c r="B713" s="97"/>
      <c r="C713" s="121" t="str">
        <f t="array" ref="C713">ifs(and(isblank($A713),isblank($B713)),"", not(iserror(vlookup($A713&amp;$B713,'5) Release_Track'!$F:$F&amp;'5) Release_Track'!$G:$G,1,0))),vlookup($A713&amp;$B713,{'5) Release_Track'!$F:$F&amp;'5) Release_Track'!$G:$G,'5) Release_Track'!$H:$H},2,0),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D713" s="121" t="str">
        <f t="array" ref="D713">ifs(and(isblank($A713),isblank($B713)),"", not(iserror(vlookup($A713&amp;$B713,'5) Release_Track'!$F:$F&amp;'5) Release_Track'!$G:$G,1,0))),vlookup($A713&amp;$B713,{'5) Release_Track'!$F:$F&amp;'5) Release_Track'!$G:$G,'5) Release_Track'!$I:$I},2,0),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E713" s="92"/>
      <c r="F713" s="92"/>
      <c r="G713" s="125" t="str">
        <f t="array" ref="G713">ifs(or($F713="",$F713="Main Primary Artist"),$F713,not(iserror(vlookup($F713,'Reference info'!$J$5:$J$8,1,0))),"Key Artist",not(iserror(vlookup($F713,'Reference info'!$J$38:$J$405,1,0))),"Performer",not(iserror(vlookup($F713,'Reference info'!$J$10:$J$36,1,0))),"Producer &amp; Engineer")</f>
        <v/>
      </c>
    </row>
    <row r="714">
      <c r="B714" s="97"/>
      <c r="C714" s="121" t="str">
        <f t="array" ref="C714">ifs(and(isblank($A714),isblank($B714)),"", not(iserror(vlookup($A714&amp;$B714,'5) Release_Track'!$F:$F&amp;'5) Release_Track'!$G:$G,1,0))),vlookup($A714&amp;$B714,{'5) Release_Track'!$F:$F&amp;'5) Release_Track'!$G:$G,'5) Release_Track'!$H:$H},2,0),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D714" s="121" t="str">
        <f t="array" ref="D714">ifs(and(isblank($A714),isblank($B714)),"", not(iserror(vlookup($A714&amp;$B714,'5) Release_Track'!$F:$F&amp;'5) Release_Track'!$G:$G,1,0))),vlookup($A714&amp;$B714,{'5) Release_Track'!$F:$F&amp;'5) Release_Track'!$G:$G,'5) Release_Track'!$I:$I},2,0),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E714" s="92"/>
      <c r="F714" s="92"/>
      <c r="G714" s="125" t="str">
        <f t="array" ref="G714">ifs(or($F714="",$F714="Main Primary Artist"),$F714,not(iserror(vlookup($F714,'Reference info'!$J$5:$J$8,1,0))),"Key Artist",not(iserror(vlookup($F714,'Reference info'!$J$38:$J$405,1,0))),"Performer",not(iserror(vlookup($F714,'Reference info'!$J$10:$J$36,1,0))),"Producer &amp; Engineer")</f>
        <v/>
      </c>
    </row>
    <row r="715">
      <c r="B715" s="97"/>
      <c r="C715" s="121" t="str">
        <f t="array" ref="C715">ifs(and(isblank($A715),isblank($B715)),"", not(iserror(vlookup($A715&amp;$B715,'5) Release_Track'!$F:$F&amp;'5) Release_Track'!$G:$G,1,0))),vlookup($A715&amp;$B715,{'5) Release_Track'!$F:$F&amp;'5) Release_Track'!$G:$G,'5) Release_Track'!$H:$H},2,0),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D715" s="121" t="str">
        <f t="array" ref="D715">ifs(and(isblank($A715),isblank($B715)),"", not(iserror(vlookup($A715&amp;$B715,'5) Release_Track'!$F:$F&amp;'5) Release_Track'!$G:$G,1,0))),vlookup($A715&amp;$B715,{'5) Release_Track'!$F:$F&amp;'5) Release_Track'!$G:$G,'5) Release_Track'!$I:$I},2,0),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E715" s="92"/>
      <c r="F715" s="92"/>
      <c r="G715" s="125" t="str">
        <f t="array" ref="G715">ifs(or($F715="",$F715="Main Primary Artist"),$F715,not(iserror(vlookup($F715,'Reference info'!$J$5:$J$8,1,0))),"Key Artist",not(iserror(vlookup($F715,'Reference info'!$J$38:$J$405,1,0))),"Performer",not(iserror(vlookup($F715,'Reference info'!$J$10:$J$36,1,0))),"Producer &amp; Engineer")</f>
        <v/>
      </c>
    </row>
    <row r="716">
      <c r="B716" s="97"/>
      <c r="C716" s="121" t="str">
        <f t="array" ref="C716">ifs(and(isblank($A716),isblank($B716)),"", not(iserror(vlookup($A716&amp;$B716,'5) Release_Track'!$F:$F&amp;'5) Release_Track'!$G:$G,1,0))),vlookup($A716&amp;$B716,{'5) Release_Track'!$F:$F&amp;'5) Release_Track'!$G:$G,'5) Release_Track'!$H:$H},2,0),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D716" s="121" t="str">
        <f t="array" ref="D716">ifs(and(isblank($A716),isblank($B716)),"", not(iserror(vlookup($A716&amp;$B716,'5) Release_Track'!$F:$F&amp;'5) Release_Track'!$G:$G,1,0))),vlookup($A716&amp;$B716,{'5) Release_Track'!$F:$F&amp;'5) Release_Track'!$G:$G,'5) Release_Track'!$I:$I},2,0),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E716" s="92"/>
      <c r="F716" s="92"/>
      <c r="G716" s="125" t="str">
        <f t="array" ref="G716">ifs(or($F716="",$F716="Main Primary Artist"),$F716,not(iserror(vlookup($F716,'Reference info'!$J$5:$J$8,1,0))),"Key Artist",not(iserror(vlookup($F716,'Reference info'!$J$38:$J$405,1,0))),"Performer",not(iserror(vlookup($F716,'Reference info'!$J$10:$J$36,1,0))),"Producer &amp; Engineer")</f>
        <v/>
      </c>
    </row>
    <row r="717">
      <c r="B717" s="97"/>
      <c r="C717" s="121" t="str">
        <f t="array" ref="C717">ifs(and(isblank($A717),isblank($B717)),"", not(iserror(vlookup($A717&amp;$B717,'5) Release_Track'!$F:$F&amp;'5) Release_Track'!$G:$G,1,0))),vlookup($A717&amp;$B717,{'5) Release_Track'!$F:$F&amp;'5) Release_Track'!$G:$G,'5) Release_Track'!$H:$H},2,0),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D717" s="121" t="str">
        <f t="array" ref="D717">ifs(and(isblank($A717),isblank($B717)),"", not(iserror(vlookup($A717&amp;$B717,'5) Release_Track'!$F:$F&amp;'5) Release_Track'!$G:$G,1,0))),vlookup($A717&amp;$B717,{'5) Release_Track'!$F:$F&amp;'5) Release_Track'!$G:$G,'5) Release_Track'!$I:$I},2,0),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E717" s="92"/>
      <c r="F717" s="92"/>
      <c r="G717" s="125" t="str">
        <f t="array" ref="G717">ifs(or($F717="",$F717="Main Primary Artist"),$F717,not(iserror(vlookup($F717,'Reference info'!$J$5:$J$8,1,0))),"Key Artist",not(iserror(vlookup($F717,'Reference info'!$J$38:$J$405,1,0))),"Performer",not(iserror(vlookup($F717,'Reference info'!$J$10:$J$36,1,0))),"Producer &amp; Engineer")</f>
        <v/>
      </c>
    </row>
    <row r="718">
      <c r="B718" s="97"/>
      <c r="C718" s="121" t="str">
        <f t="array" ref="C718">ifs(and(isblank($A718),isblank($B718)),"", not(iserror(vlookup($A718&amp;$B718,'5) Release_Track'!$F:$F&amp;'5) Release_Track'!$G:$G,1,0))),vlookup($A718&amp;$B718,{'5) Release_Track'!$F:$F&amp;'5) Release_Track'!$G:$G,'5) Release_Track'!$H:$H},2,0),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D718" s="121" t="str">
        <f t="array" ref="D718">ifs(and(isblank($A718),isblank($B718)),"", not(iserror(vlookup($A718&amp;$B718,'5) Release_Track'!$F:$F&amp;'5) Release_Track'!$G:$G,1,0))),vlookup($A718&amp;$B718,{'5) Release_Track'!$F:$F&amp;'5) Release_Track'!$G:$G,'5) Release_Track'!$I:$I},2,0),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E718" s="92"/>
      <c r="F718" s="92"/>
      <c r="G718" s="125" t="str">
        <f t="array" ref="G718">ifs(or($F718="",$F718="Main Primary Artist"),$F718,not(iserror(vlookup($F718,'Reference info'!$J$5:$J$8,1,0))),"Key Artist",not(iserror(vlookup($F718,'Reference info'!$J$38:$J$405,1,0))),"Performer",not(iserror(vlookup($F718,'Reference info'!$J$10:$J$36,1,0))),"Producer &amp; Engineer")</f>
        <v/>
      </c>
    </row>
    <row r="719">
      <c r="B719" s="97"/>
      <c r="C719" s="121" t="str">
        <f t="array" ref="C719">ifs(and(isblank($A719),isblank($B719)),"", not(iserror(vlookup($A719&amp;$B719,'5) Release_Track'!$F:$F&amp;'5) Release_Track'!$G:$G,1,0))),vlookup($A719&amp;$B719,{'5) Release_Track'!$F:$F&amp;'5) Release_Track'!$G:$G,'5) Release_Track'!$H:$H},2,0),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D719" s="121" t="str">
        <f t="array" ref="D719">ifs(and(isblank($A719),isblank($B719)),"", not(iserror(vlookup($A719&amp;$B719,'5) Release_Track'!$F:$F&amp;'5) Release_Track'!$G:$G,1,0))),vlookup($A719&amp;$B719,{'5) Release_Track'!$F:$F&amp;'5) Release_Track'!$G:$G,'5) Release_Track'!$I:$I},2,0),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E719" s="92"/>
      <c r="F719" s="92"/>
      <c r="G719" s="125" t="str">
        <f t="array" ref="G719">ifs(or($F719="",$F719="Main Primary Artist"),$F719,not(iserror(vlookup($F719,'Reference info'!$J$5:$J$8,1,0))),"Key Artist",not(iserror(vlookup($F719,'Reference info'!$J$38:$J$405,1,0))),"Performer",not(iserror(vlookup($F719,'Reference info'!$J$10:$J$36,1,0))),"Producer &amp; Engineer")</f>
        <v/>
      </c>
    </row>
    <row r="720">
      <c r="B720" s="97"/>
      <c r="C720" s="121" t="str">
        <f t="array" ref="C720">ifs(and(isblank($A720),isblank($B720)),"", not(iserror(vlookup($A720&amp;$B720,'5) Release_Track'!$F:$F&amp;'5) Release_Track'!$G:$G,1,0))),vlookup($A720&amp;$B720,{'5) Release_Track'!$F:$F&amp;'5) Release_Track'!$G:$G,'5) Release_Track'!$H:$H},2,0),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D720" s="121" t="str">
        <f t="array" ref="D720">ifs(and(isblank($A720),isblank($B720)),"", not(iserror(vlookup($A720&amp;$B720,'5) Release_Track'!$F:$F&amp;'5) Release_Track'!$G:$G,1,0))),vlookup($A720&amp;$B720,{'5) Release_Track'!$F:$F&amp;'5) Release_Track'!$G:$G,'5) Release_Track'!$I:$I},2,0),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E720" s="92"/>
      <c r="F720" s="92"/>
      <c r="G720" s="125" t="str">
        <f t="array" ref="G720">ifs(or($F720="",$F720="Main Primary Artist"),$F720,not(iserror(vlookup($F720,'Reference info'!$J$5:$J$8,1,0))),"Key Artist",not(iserror(vlookup($F720,'Reference info'!$J$38:$J$405,1,0))),"Performer",not(iserror(vlookup($F720,'Reference info'!$J$10:$J$36,1,0))),"Producer &amp; Engineer")</f>
        <v/>
      </c>
    </row>
    <row r="721">
      <c r="B721" s="97"/>
      <c r="C721" s="121" t="str">
        <f t="array" ref="C721">ifs(and(isblank($A721),isblank($B721)),"", not(iserror(vlookup($A721&amp;$B721,'5) Release_Track'!$F:$F&amp;'5) Release_Track'!$G:$G,1,0))),vlookup($A721&amp;$B721,{'5) Release_Track'!$F:$F&amp;'5) Release_Track'!$G:$G,'5) Release_Track'!$H:$H},2,0),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D721" s="121" t="str">
        <f t="array" ref="D721">ifs(and(isblank($A721),isblank($B721)),"", not(iserror(vlookup($A721&amp;$B721,'5) Release_Track'!$F:$F&amp;'5) Release_Track'!$G:$G,1,0))),vlookup($A721&amp;$B721,{'5) Release_Track'!$F:$F&amp;'5) Release_Track'!$G:$G,'5) Release_Track'!$I:$I},2,0),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E721" s="92"/>
      <c r="F721" s="92"/>
      <c r="G721" s="125" t="str">
        <f t="array" ref="G721">ifs(or($F721="",$F721="Main Primary Artist"),$F721,not(iserror(vlookup($F721,'Reference info'!$J$5:$J$8,1,0))),"Key Artist",not(iserror(vlookup($F721,'Reference info'!$J$38:$J$405,1,0))),"Performer",not(iserror(vlookup($F721,'Reference info'!$J$10:$J$36,1,0))),"Producer &amp; Engineer")</f>
        <v/>
      </c>
    </row>
    <row r="722">
      <c r="B722" s="97"/>
      <c r="C722" s="121" t="str">
        <f t="array" ref="C722">ifs(and(isblank($A722),isblank($B722)),"", not(iserror(vlookup($A722&amp;$B722,'5) Release_Track'!$F:$F&amp;'5) Release_Track'!$G:$G,1,0))),vlookup($A722&amp;$B722,{'5) Release_Track'!$F:$F&amp;'5) Release_Track'!$G:$G,'5) Release_Track'!$H:$H},2,0),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D722" s="121" t="str">
        <f t="array" ref="D722">ifs(and(isblank($A722),isblank($B722)),"", not(iserror(vlookup($A722&amp;$B722,'5) Release_Track'!$F:$F&amp;'5) Release_Track'!$G:$G,1,0))),vlookup($A722&amp;$B722,{'5) Release_Track'!$F:$F&amp;'5) Release_Track'!$G:$G,'5) Release_Track'!$I:$I},2,0),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E722" s="92"/>
      <c r="F722" s="92"/>
      <c r="G722" s="125" t="str">
        <f t="array" ref="G722">ifs(or($F722="",$F722="Main Primary Artist"),$F722,not(iserror(vlookup($F722,'Reference info'!$J$5:$J$8,1,0))),"Key Artist",not(iserror(vlookup($F722,'Reference info'!$J$38:$J$405,1,0))),"Performer",not(iserror(vlookup($F722,'Reference info'!$J$10:$J$36,1,0))),"Producer &amp; Engineer")</f>
        <v/>
      </c>
    </row>
    <row r="723">
      <c r="B723" s="97"/>
      <c r="C723" s="121" t="str">
        <f t="array" ref="C723">ifs(and(isblank($A723),isblank($B723)),"", not(iserror(vlookup($A723&amp;$B723,'5) Release_Track'!$F:$F&amp;'5) Release_Track'!$G:$G,1,0))),vlookup($A723&amp;$B723,{'5) Release_Track'!$F:$F&amp;'5) Release_Track'!$G:$G,'5) Release_Track'!$H:$H},2,0),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D723" s="121" t="str">
        <f t="array" ref="D723">ifs(and(isblank($A723),isblank($B723)),"", not(iserror(vlookup($A723&amp;$B723,'5) Release_Track'!$F:$F&amp;'5) Release_Track'!$G:$G,1,0))),vlookup($A723&amp;$B723,{'5) Release_Track'!$F:$F&amp;'5) Release_Track'!$G:$G,'5) Release_Track'!$I:$I},2,0),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E723" s="92"/>
      <c r="F723" s="92"/>
      <c r="G723" s="125" t="str">
        <f t="array" ref="G723">ifs(or($F723="",$F723="Main Primary Artist"),$F723,not(iserror(vlookup($F723,'Reference info'!$J$5:$J$8,1,0))),"Key Artist",not(iserror(vlookup($F723,'Reference info'!$J$38:$J$405,1,0))),"Performer",not(iserror(vlookup($F723,'Reference info'!$J$10:$J$36,1,0))),"Producer &amp; Engineer")</f>
        <v/>
      </c>
    </row>
    <row r="724">
      <c r="B724" s="97"/>
      <c r="C724" s="121" t="str">
        <f t="array" ref="C724">ifs(and(isblank($A724),isblank($B724)),"", not(iserror(vlookup($A724&amp;$B724,'5) Release_Track'!$F:$F&amp;'5) Release_Track'!$G:$G,1,0))),vlookup($A724&amp;$B724,{'5) Release_Track'!$F:$F&amp;'5) Release_Track'!$G:$G,'5) Release_Track'!$H:$H},2,0),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D724" s="121" t="str">
        <f t="array" ref="D724">ifs(and(isblank($A724),isblank($B724)),"", not(iserror(vlookup($A724&amp;$B724,'5) Release_Track'!$F:$F&amp;'5) Release_Track'!$G:$G,1,0))),vlookup($A724&amp;$B724,{'5) Release_Track'!$F:$F&amp;'5) Release_Track'!$G:$G,'5) Release_Track'!$I:$I},2,0),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E724" s="92"/>
      <c r="F724" s="92"/>
      <c r="G724" s="125" t="str">
        <f t="array" ref="G724">ifs(or($F724="",$F724="Main Primary Artist"),$F724,not(iserror(vlookup($F724,'Reference info'!$J$5:$J$8,1,0))),"Key Artist",not(iserror(vlookup($F724,'Reference info'!$J$38:$J$405,1,0))),"Performer",not(iserror(vlookup($F724,'Reference info'!$J$10:$J$36,1,0))),"Producer &amp; Engineer")</f>
        <v/>
      </c>
    </row>
    <row r="725">
      <c r="B725" s="97"/>
      <c r="C725" s="121" t="str">
        <f t="array" ref="C725">ifs(and(isblank($A725),isblank($B725)),"", not(iserror(vlookup($A725&amp;$B725,'5) Release_Track'!$F:$F&amp;'5) Release_Track'!$G:$G,1,0))),vlookup($A725&amp;$B725,{'5) Release_Track'!$F:$F&amp;'5) Release_Track'!$G:$G,'5) Release_Track'!$H:$H},2,0),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D725" s="121" t="str">
        <f t="array" ref="D725">ifs(and(isblank($A725),isblank($B725)),"", not(iserror(vlookup($A725&amp;$B725,'5) Release_Track'!$F:$F&amp;'5) Release_Track'!$G:$G,1,0))),vlookup($A725&amp;$B725,{'5) Release_Track'!$F:$F&amp;'5) Release_Track'!$G:$G,'5) Release_Track'!$I:$I},2,0),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E725" s="92"/>
      <c r="F725" s="92"/>
      <c r="G725" s="125" t="str">
        <f t="array" ref="G725">ifs(or($F725="",$F725="Main Primary Artist"),$F725,not(iserror(vlookup($F725,'Reference info'!$J$5:$J$8,1,0))),"Key Artist",not(iserror(vlookup($F725,'Reference info'!$J$38:$J$405,1,0))),"Performer",not(iserror(vlookup($F725,'Reference info'!$J$10:$J$36,1,0))),"Producer &amp; Engineer")</f>
        <v/>
      </c>
    </row>
    <row r="726">
      <c r="B726" s="97"/>
      <c r="C726" s="121" t="str">
        <f t="array" ref="C726">ifs(and(isblank($A726),isblank($B726)),"", not(iserror(vlookup($A726&amp;$B726,'5) Release_Track'!$F:$F&amp;'5) Release_Track'!$G:$G,1,0))),vlookup($A726&amp;$B726,{'5) Release_Track'!$F:$F&amp;'5) Release_Track'!$G:$G,'5) Release_Track'!$H:$H},2,0),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D726" s="121" t="str">
        <f t="array" ref="D726">ifs(and(isblank($A726),isblank($B726)),"", not(iserror(vlookup($A726&amp;$B726,'5) Release_Track'!$F:$F&amp;'5) Release_Track'!$G:$G,1,0))),vlookup($A726&amp;$B726,{'5) Release_Track'!$F:$F&amp;'5) Release_Track'!$G:$G,'5) Release_Track'!$I:$I},2,0),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E726" s="92"/>
      <c r="F726" s="92"/>
      <c r="G726" s="125" t="str">
        <f t="array" ref="G726">ifs(or($F726="",$F726="Main Primary Artist"),$F726,not(iserror(vlookup($F726,'Reference info'!$J$5:$J$8,1,0))),"Key Artist",not(iserror(vlookup($F726,'Reference info'!$J$38:$J$405,1,0))),"Performer",not(iserror(vlookup($F726,'Reference info'!$J$10:$J$36,1,0))),"Producer &amp; Engineer")</f>
        <v/>
      </c>
    </row>
    <row r="727">
      <c r="B727" s="97"/>
      <c r="C727" s="121" t="str">
        <f t="array" ref="C727">ifs(and(isblank($A727),isblank($B727)),"", not(iserror(vlookup($A727&amp;$B727,'5) Release_Track'!$F:$F&amp;'5) Release_Track'!$G:$G,1,0))),vlookup($A727&amp;$B727,{'5) Release_Track'!$F:$F&amp;'5) Release_Track'!$G:$G,'5) Release_Track'!$H:$H},2,0),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D727" s="121" t="str">
        <f t="array" ref="D727">ifs(and(isblank($A727),isblank($B727)),"", not(iserror(vlookup($A727&amp;$B727,'5) Release_Track'!$F:$F&amp;'5) Release_Track'!$G:$G,1,0))),vlookup($A727&amp;$B727,{'5) Release_Track'!$F:$F&amp;'5) Release_Track'!$G:$G,'5) Release_Track'!$I:$I},2,0),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E727" s="92"/>
      <c r="F727" s="92"/>
      <c r="G727" s="125" t="str">
        <f t="array" ref="G727">ifs(or($F727="",$F727="Main Primary Artist"),$F727,not(iserror(vlookup($F727,'Reference info'!$J$5:$J$8,1,0))),"Key Artist",not(iserror(vlookup($F727,'Reference info'!$J$38:$J$405,1,0))),"Performer",not(iserror(vlookup($F727,'Reference info'!$J$10:$J$36,1,0))),"Producer &amp; Engineer")</f>
        <v/>
      </c>
    </row>
    <row r="728">
      <c r="B728" s="97"/>
      <c r="C728" s="121" t="str">
        <f t="array" ref="C728">ifs(and(isblank($A728),isblank($B728)),"", not(iserror(vlookup($A728&amp;$B728,'5) Release_Track'!$F:$F&amp;'5) Release_Track'!$G:$G,1,0))),vlookup($A728&amp;$B728,{'5) Release_Track'!$F:$F&amp;'5) Release_Track'!$G:$G,'5) Release_Track'!$H:$H},2,0),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D728" s="121" t="str">
        <f t="array" ref="D728">ifs(and(isblank($A728),isblank($B728)),"", not(iserror(vlookup($A728&amp;$B728,'5) Release_Track'!$F:$F&amp;'5) Release_Track'!$G:$G,1,0))),vlookup($A728&amp;$B728,{'5) Release_Track'!$F:$F&amp;'5) Release_Track'!$G:$G,'5) Release_Track'!$I:$I},2,0),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E728" s="92"/>
      <c r="F728" s="92"/>
      <c r="G728" s="125" t="str">
        <f t="array" ref="G728">ifs(or($F728="",$F728="Main Primary Artist"),$F728,not(iserror(vlookup($F728,'Reference info'!$J$5:$J$8,1,0))),"Key Artist",not(iserror(vlookup($F728,'Reference info'!$J$38:$J$405,1,0))),"Performer",not(iserror(vlookup($F728,'Reference info'!$J$10:$J$36,1,0))),"Producer &amp; Engineer")</f>
        <v/>
      </c>
    </row>
    <row r="729">
      <c r="B729" s="97"/>
      <c r="C729" s="121" t="str">
        <f t="array" ref="C729">ifs(and(isblank($A729),isblank($B729)),"", not(iserror(vlookup($A729&amp;$B729,'5) Release_Track'!$F:$F&amp;'5) Release_Track'!$G:$G,1,0))),vlookup($A729&amp;$B729,{'5) Release_Track'!$F:$F&amp;'5) Release_Track'!$G:$G,'5) Release_Track'!$H:$H},2,0),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D729" s="121" t="str">
        <f t="array" ref="D729">ifs(and(isblank($A729),isblank($B729)),"", not(iserror(vlookup($A729&amp;$B729,'5) Release_Track'!$F:$F&amp;'5) Release_Track'!$G:$G,1,0))),vlookup($A729&amp;$B729,{'5) Release_Track'!$F:$F&amp;'5) Release_Track'!$G:$G,'5) Release_Track'!$I:$I},2,0),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E729" s="92"/>
      <c r="F729" s="92"/>
      <c r="G729" s="125" t="str">
        <f t="array" ref="G729">ifs(or($F729="",$F729="Main Primary Artist"),$F729,not(iserror(vlookup($F729,'Reference info'!$J$5:$J$8,1,0))),"Key Artist",not(iserror(vlookup($F729,'Reference info'!$J$38:$J$405,1,0))),"Performer",not(iserror(vlookup($F729,'Reference info'!$J$10:$J$36,1,0))),"Producer &amp; Engineer")</f>
        <v/>
      </c>
    </row>
    <row r="730">
      <c r="B730" s="97"/>
      <c r="C730" s="121" t="str">
        <f t="array" ref="C730">ifs(and(isblank($A730),isblank($B730)),"", not(iserror(vlookup($A730&amp;$B730,'5) Release_Track'!$F:$F&amp;'5) Release_Track'!$G:$G,1,0))),vlookup($A730&amp;$B730,{'5) Release_Track'!$F:$F&amp;'5) Release_Track'!$G:$G,'5) Release_Track'!$H:$H},2,0),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D730" s="121" t="str">
        <f t="array" ref="D730">ifs(and(isblank($A730),isblank($B730)),"", not(iserror(vlookup($A730&amp;$B730,'5) Release_Track'!$F:$F&amp;'5) Release_Track'!$G:$G,1,0))),vlookup($A730&amp;$B730,{'5) Release_Track'!$F:$F&amp;'5) Release_Track'!$G:$G,'5) Release_Track'!$I:$I},2,0),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E730" s="92"/>
      <c r="F730" s="92"/>
      <c r="G730" s="125" t="str">
        <f t="array" ref="G730">ifs(or($F730="",$F730="Main Primary Artist"),$F730,not(iserror(vlookup($F730,'Reference info'!$J$5:$J$8,1,0))),"Key Artist",not(iserror(vlookup($F730,'Reference info'!$J$38:$J$405,1,0))),"Performer",not(iserror(vlookup($F730,'Reference info'!$J$10:$J$36,1,0))),"Producer &amp; Engineer")</f>
        <v/>
      </c>
    </row>
    <row r="731">
      <c r="B731" s="97"/>
      <c r="C731" s="121" t="str">
        <f t="array" ref="C731">ifs(and(isblank($A731),isblank($B731)),"", not(iserror(vlookup($A731&amp;$B731,'5) Release_Track'!$F:$F&amp;'5) Release_Track'!$G:$G,1,0))),vlookup($A731&amp;$B731,{'5) Release_Track'!$F:$F&amp;'5) Release_Track'!$G:$G,'5) Release_Track'!$H:$H},2,0),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D731" s="121" t="str">
        <f t="array" ref="D731">ifs(and(isblank($A731),isblank($B731)),"", not(iserror(vlookup($A731&amp;$B731,'5) Release_Track'!$F:$F&amp;'5) Release_Track'!$G:$G,1,0))),vlookup($A731&amp;$B731,{'5) Release_Track'!$F:$F&amp;'5) Release_Track'!$G:$G,'5) Release_Track'!$I:$I},2,0),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E731" s="92"/>
      <c r="F731" s="92"/>
      <c r="G731" s="125" t="str">
        <f t="array" ref="G731">ifs(or($F731="",$F731="Main Primary Artist"),$F731,not(iserror(vlookup($F731,'Reference info'!$J$5:$J$8,1,0))),"Key Artist",not(iserror(vlookup($F731,'Reference info'!$J$38:$J$405,1,0))),"Performer",not(iserror(vlookup($F731,'Reference info'!$J$10:$J$36,1,0))),"Producer &amp; Engineer")</f>
        <v/>
      </c>
    </row>
    <row r="732">
      <c r="B732" s="97"/>
      <c r="C732" s="121" t="str">
        <f t="array" ref="C732">ifs(and(isblank($A732),isblank($B732)),"", not(iserror(vlookup($A732&amp;$B732,'5) Release_Track'!$F:$F&amp;'5) Release_Track'!$G:$G,1,0))),vlookup($A732&amp;$B732,{'5) Release_Track'!$F:$F&amp;'5) Release_Track'!$G:$G,'5) Release_Track'!$H:$H},2,0),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D732" s="121" t="str">
        <f t="array" ref="D732">ifs(and(isblank($A732),isblank($B732)),"", not(iserror(vlookup($A732&amp;$B732,'5) Release_Track'!$F:$F&amp;'5) Release_Track'!$G:$G,1,0))),vlookup($A732&amp;$B732,{'5) Release_Track'!$F:$F&amp;'5) Release_Track'!$G:$G,'5) Release_Track'!$I:$I},2,0),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E732" s="92"/>
      <c r="F732" s="92"/>
      <c r="G732" s="125" t="str">
        <f t="array" ref="G732">ifs(or($F732="",$F732="Main Primary Artist"),$F732,not(iserror(vlookup($F732,'Reference info'!$J$5:$J$8,1,0))),"Key Artist",not(iserror(vlookup($F732,'Reference info'!$J$38:$J$405,1,0))),"Performer",not(iserror(vlookup($F732,'Reference info'!$J$10:$J$36,1,0))),"Producer &amp; Engineer")</f>
        <v/>
      </c>
    </row>
    <row r="733">
      <c r="B733" s="97"/>
      <c r="C733" s="121" t="str">
        <f t="array" ref="C733">ifs(and(isblank($A733),isblank($B733)),"", not(iserror(vlookup($A733&amp;$B733,'5) Release_Track'!$F:$F&amp;'5) Release_Track'!$G:$G,1,0))),vlookup($A733&amp;$B733,{'5) Release_Track'!$F:$F&amp;'5) Release_Track'!$G:$G,'5) Release_Track'!$H:$H},2,0),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D733" s="121" t="str">
        <f t="array" ref="D733">ifs(and(isblank($A733),isblank($B733)),"", not(iserror(vlookup($A733&amp;$B733,'5) Release_Track'!$F:$F&amp;'5) Release_Track'!$G:$G,1,0))),vlookup($A733&amp;$B733,{'5) Release_Track'!$F:$F&amp;'5) Release_Track'!$G:$G,'5) Release_Track'!$I:$I},2,0),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E733" s="92"/>
      <c r="F733" s="92"/>
      <c r="G733" s="125" t="str">
        <f t="array" ref="G733">ifs(or($F733="",$F733="Main Primary Artist"),$F733,not(iserror(vlookup($F733,'Reference info'!$J$5:$J$8,1,0))),"Key Artist",not(iserror(vlookup($F733,'Reference info'!$J$38:$J$405,1,0))),"Performer",not(iserror(vlookup($F733,'Reference info'!$J$10:$J$36,1,0))),"Producer &amp; Engineer")</f>
        <v/>
      </c>
    </row>
    <row r="734">
      <c r="B734" s="97"/>
      <c r="C734" s="121" t="str">
        <f t="array" ref="C734">ifs(and(isblank($A734),isblank($B734)),"", not(iserror(vlookup($A734&amp;$B734,'5) Release_Track'!$F:$F&amp;'5) Release_Track'!$G:$G,1,0))),vlookup($A734&amp;$B734,{'5) Release_Track'!$F:$F&amp;'5) Release_Track'!$G:$G,'5) Release_Track'!$H:$H},2,0),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D734" s="121" t="str">
        <f t="array" ref="D734">ifs(and(isblank($A734),isblank($B734)),"", not(iserror(vlookup($A734&amp;$B734,'5) Release_Track'!$F:$F&amp;'5) Release_Track'!$G:$G,1,0))),vlookup($A734&amp;$B734,{'5) Release_Track'!$F:$F&amp;'5) Release_Track'!$G:$G,'5) Release_Track'!$I:$I},2,0),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E734" s="92"/>
      <c r="F734" s="92"/>
      <c r="G734" s="125" t="str">
        <f t="array" ref="G734">ifs(or($F734="",$F734="Main Primary Artist"),$F734,not(iserror(vlookup($F734,'Reference info'!$J$5:$J$8,1,0))),"Key Artist",not(iserror(vlookup($F734,'Reference info'!$J$38:$J$405,1,0))),"Performer",not(iserror(vlookup($F734,'Reference info'!$J$10:$J$36,1,0))),"Producer &amp; Engineer")</f>
        <v/>
      </c>
    </row>
    <row r="735">
      <c r="B735" s="97"/>
      <c r="C735" s="121" t="str">
        <f t="array" ref="C735">ifs(and(isblank($A735),isblank($B735)),"", not(iserror(vlookup($A735&amp;$B735,'5) Release_Track'!$F:$F&amp;'5) Release_Track'!$G:$G,1,0))),vlookup($A735&amp;$B735,{'5) Release_Track'!$F:$F&amp;'5) Release_Track'!$G:$G,'5) Release_Track'!$H:$H},2,0),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D735" s="121" t="str">
        <f t="array" ref="D735">ifs(and(isblank($A735),isblank($B735)),"", not(iserror(vlookup($A735&amp;$B735,'5) Release_Track'!$F:$F&amp;'5) Release_Track'!$G:$G,1,0))),vlookup($A735&amp;$B735,{'5) Release_Track'!$F:$F&amp;'5) Release_Track'!$G:$G,'5) Release_Track'!$I:$I},2,0),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E735" s="92"/>
      <c r="F735" s="92"/>
      <c r="G735" s="125" t="str">
        <f t="array" ref="G735">ifs(or($F735="",$F735="Main Primary Artist"),$F735,not(iserror(vlookup($F735,'Reference info'!$J$5:$J$8,1,0))),"Key Artist",not(iserror(vlookup($F735,'Reference info'!$J$38:$J$405,1,0))),"Performer",not(iserror(vlookup($F735,'Reference info'!$J$10:$J$36,1,0))),"Producer &amp; Engineer")</f>
        <v/>
      </c>
    </row>
    <row r="736">
      <c r="B736" s="97"/>
      <c r="C736" s="121" t="str">
        <f t="array" ref="C736">ifs(and(isblank($A736),isblank($B736)),"", not(iserror(vlookup($A736&amp;$B736,'5) Release_Track'!$F:$F&amp;'5) Release_Track'!$G:$G,1,0))),vlookup($A736&amp;$B736,{'5) Release_Track'!$F:$F&amp;'5) Release_Track'!$G:$G,'5) Release_Track'!$H:$H},2,0),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D736" s="121" t="str">
        <f t="array" ref="D736">ifs(and(isblank($A736),isblank($B736)),"", not(iserror(vlookup($A736&amp;$B736,'5) Release_Track'!$F:$F&amp;'5) Release_Track'!$G:$G,1,0))),vlookup($A736&amp;$B736,{'5) Release_Track'!$F:$F&amp;'5) Release_Track'!$G:$G,'5) Release_Track'!$I:$I},2,0),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E736" s="92"/>
      <c r="F736" s="92"/>
      <c r="G736" s="125" t="str">
        <f t="array" ref="G736">ifs(or($F736="",$F736="Main Primary Artist"),$F736,not(iserror(vlookup($F736,'Reference info'!$J$5:$J$8,1,0))),"Key Artist",not(iserror(vlookup($F736,'Reference info'!$J$38:$J$405,1,0))),"Performer",not(iserror(vlookup($F736,'Reference info'!$J$10:$J$36,1,0))),"Producer &amp; Engineer")</f>
        <v/>
      </c>
    </row>
    <row r="737">
      <c r="B737" s="97"/>
      <c r="C737" s="121" t="str">
        <f t="array" ref="C737">ifs(and(isblank($A737),isblank($B737)),"", not(iserror(vlookup($A737&amp;$B737,'5) Release_Track'!$F:$F&amp;'5) Release_Track'!$G:$G,1,0))),vlookup($A737&amp;$B737,{'5) Release_Track'!$F:$F&amp;'5) Release_Track'!$G:$G,'5) Release_Track'!$H:$H},2,0),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D737" s="121" t="str">
        <f t="array" ref="D737">ifs(and(isblank($A737),isblank($B737)),"", not(iserror(vlookup($A737&amp;$B737,'5) Release_Track'!$F:$F&amp;'5) Release_Track'!$G:$G,1,0))),vlookup($A737&amp;$B737,{'5) Release_Track'!$F:$F&amp;'5) Release_Track'!$G:$G,'5) Release_Track'!$I:$I},2,0),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E737" s="92"/>
      <c r="F737" s="92"/>
      <c r="G737" s="125" t="str">
        <f t="array" ref="G737">ifs(or($F737="",$F737="Main Primary Artist"),$F737,not(iserror(vlookup($F737,'Reference info'!$J$5:$J$8,1,0))),"Key Artist",not(iserror(vlookup($F737,'Reference info'!$J$38:$J$405,1,0))),"Performer",not(iserror(vlookup($F737,'Reference info'!$J$10:$J$36,1,0))),"Producer &amp; Engineer")</f>
        <v/>
      </c>
    </row>
    <row r="738">
      <c r="B738" s="97"/>
      <c r="C738" s="121" t="str">
        <f t="array" ref="C738">ifs(and(isblank($A738),isblank($B738)),"", not(iserror(vlookup($A738&amp;$B738,'5) Release_Track'!$F:$F&amp;'5) Release_Track'!$G:$G,1,0))),vlookup($A738&amp;$B738,{'5) Release_Track'!$F:$F&amp;'5) Release_Track'!$G:$G,'5) Release_Track'!$H:$H},2,0),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D738" s="121" t="str">
        <f t="array" ref="D738">ifs(and(isblank($A738),isblank($B738)),"", not(iserror(vlookup($A738&amp;$B738,'5) Release_Track'!$F:$F&amp;'5) Release_Track'!$G:$G,1,0))),vlookup($A738&amp;$B738,{'5) Release_Track'!$F:$F&amp;'5) Release_Track'!$G:$G,'5) Release_Track'!$I:$I},2,0),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E738" s="92"/>
      <c r="F738" s="92"/>
      <c r="G738" s="125" t="str">
        <f t="array" ref="G738">ifs(or($F738="",$F738="Main Primary Artist"),$F738,not(iserror(vlookup($F738,'Reference info'!$J$5:$J$8,1,0))),"Key Artist",not(iserror(vlookup($F738,'Reference info'!$J$38:$J$405,1,0))),"Performer",not(iserror(vlookup($F738,'Reference info'!$J$10:$J$36,1,0))),"Producer &amp; Engineer")</f>
        <v/>
      </c>
    </row>
    <row r="739">
      <c r="B739" s="97"/>
      <c r="C739" s="121" t="str">
        <f t="array" ref="C739">ifs(and(isblank($A739),isblank($B739)),"", not(iserror(vlookup($A739&amp;$B739,'5) Release_Track'!$F:$F&amp;'5) Release_Track'!$G:$G,1,0))),vlookup($A739&amp;$B739,{'5) Release_Track'!$F:$F&amp;'5) Release_Track'!$G:$G,'5) Release_Track'!$H:$H},2,0),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D739" s="121" t="str">
        <f t="array" ref="D739">ifs(and(isblank($A739),isblank($B739)),"", not(iserror(vlookup($A739&amp;$B739,'5) Release_Track'!$F:$F&amp;'5) Release_Track'!$G:$G,1,0))),vlookup($A739&amp;$B739,{'5) Release_Track'!$F:$F&amp;'5) Release_Track'!$G:$G,'5) Release_Track'!$I:$I},2,0),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E739" s="92"/>
      <c r="F739" s="92"/>
      <c r="G739" s="125" t="str">
        <f t="array" ref="G739">ifs(or($F739="",$F739="Main Primary Artist"),$F739,not(iserror(vlookup($F739,'Reference info'!$J$5:$J$8,1,0))),"Key Artist",not(iserror(vlookup($F739,'Reference info'!$J$38:$J$405,1,0))),"Performer",not(iserror(vlookup($F739,'Reference info'!$J$10:$J$36,1,0))),"Producer &amp; Engineer")</f>
        <v/>
      </c>
    </row>
    <row r="740">
      <c r="B740" s="97"/>
      <c r="C740" s="121" t="str">
        <f t="array" ref="C740">ifs(and(isblank($A740),isblank($B740)),"", not(iserror(vlookup($A740&amp;$B740,'5) Release_Track'!$F:$F&amp;'5) Release_Track'!$G:$G,1,0))),vlookup($A740&amp;$B740,{'5) Release_Track'!$F:$F&amp;'5) Release_Track'!$G:$G,'5) Release_Track'!$H:$H},2,0),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D740" s="121" t="str">
        <f t="array" ref="D740">ifs(and(isblank($A740),isblank($B740)),"", not(iserror(vlookup($A740&amp;$B740,'5) Release_Track'!$F:$F&amp;'5) Release_Track'!$G:$G,1,0))),vlookup($A740&amp;$B740,{'5) Release_Track'!$F:$F&amp;'5) Release_Track'!$G:$G,'5) Release_Track'!$I:$I},2,0),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E740" s="92"/>
      <c r="F740" s="92"/>
      <c r="G740" s="125" t="str">
        <f t="array" ref="G740">ifs(or($F740="",$F740="Main Primary Artist"),$F740,not(iserror(vlookup($F740,'Reference info'!$J$5:$J$8,1,0))),"Key Artist",not(iserror(vlookup($F740,'Reference info'!$J$38:$J$405,1,0))),"Performer",not(iserror(vlookup($F740,'Reference info'!$J$10:$J$36,1,0))),"Producer &amp; Engineer")</f>
        <v/>
      </c>
    </row>
    <row r="741">
      <c r="B741" s="97"/>
      <c r="C741" s="121" t="str">
        <f t="array" ref="C741">ifs(and(isblank($A741),isblank($B741)),"", not(iserror(vlookup($A741&amp;$B741,'5) Release_Track'!$F:$F&amp;'5) Release_Track'!$G:$G,1,0))),vlookup($A741&amp;$B741,{'5) Release_Track'!$F:$F&amp;'5) Release_Track'!$G:$G,'5) Release_Track'!$H:$H},2,0),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D741" s="121" t="str">
        <f t="array" ref="D741">ifs(and(isblank($A741),isblank($B741)),"", not(iserror(vlookup($A741&amp;$B741,'5) Release_Track'!$F:$F&amp;'5) Release_Track'!$G:$G,1,0))),vlookup($A741&amp;$B741,{'5) Release_Track'!$F:$F&amp;'5) Release_Track'!$G:$G,'5) Release_Track'!$I:$I},2,0),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E741" s="92"/>
      <c r="F741" s="92"/>
      <c r="G741" s="125" t="str">
        <f t="array" ref="G741">ifs(or($F741="",$F741="Main Primary Artist"),$F741,not(iserror(vlookup($F741,'Reference info'!$J$5:$J$8,1,0))),"Key Artist",not(iserror(vlookup($F741,'Reference info'!$J$38:$J$405,1,0))),"Performer",not(iserror(vlookup($F741,'Reference info'!$J$10:$J$36,1,0))),"Producer &amp; Engineer")</f>
        <v/>
      </c>
    </row>
    <row r="742">
      <c r="B742" s="97"/>
      <c r="C742" s="121" t="str">
        <f t="array" ref="C742">ifs(and(isblank($A742),isblank($B742)),"", not(iserror(vlookup($A742&amp;$B742,'5) Release_Track'!$F:$F&amp;'5) Release_Track'!$G:$G,1,0))),vlookup($A742&amp;$B742,{'5) Release_Track'!$F:$F&amp;'5) Release_Track'!$G:$G,'5) Release_Track'!$H:$H},2,0),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D742" s="121" t="str">
        <f t="array" ref="D742">ifs(and(isblank($A742),isblank($B742)),"", not(iserror(vlookup($A742&amp;$B742,'5) Release_Track'!$F:$F&amp;'5) Release_Track'!$G:$G,1,0))),vlookup($A742&amp;$B742,{'5) Release_Track'!$F:$F&amp;'5) Release_Track'!$G:$G,'5) Release_Track'!$I:$I},2,0),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E742" s="92"/>
      <c r="F742" s="92"/>
      <c r="G742" s="125" t="str">
        <f t="array" ref="G742">ifs(or($F742="",$F742="Main Primary Artist"),$F742,not(iserror(vlookup($F742,'Reference info'!$J$5:$J$8,1,0))),"Key Artist",not(iserror(vlookup($F742,'Reference info'!$J$38:$J$405,1,0))),"Performer",not(iserror(vlookup($F742,'Reference info'!$J$10:$J$36,1,0))),"Producer &amp; Engineer")</f>
        <v/>
      </c>
    </row>
    <row r="743">
      <c r="B743" s="97"/>
      <c r="C743" s="121" t="str">
        <f t="array" ref="C743">ifs(and(isblank($A743),isblank($B743)),"", not(iserror(vlookup($A743&amp;$B743,'5) Release_Track'!$F:$F&amp;'5) Release_Track'!$G:$G,1,0))),vlookup($A743&amp;$B743,{'5) Release_Track'!$F:$F&amp;'5) Release_Track'!$G:$G,'5) Release_Track'!$H:$H},2,0),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D743" s="121" t="str">
        <f t="array" ref="D743">ifs(and(isblank($A743),isblank($B743)),"", not(iserror(vlookup($A743&amp;$B743,'5) Release_Track'!$F:$F&amp;'5) Release_Track'!$G:$G,1,0))),vlookup($A743&amp;$B743,{'5) Release_Track'!$F:$F&amp;'5) Release_Track'!$G:$G,'5) Release_Track'!$I:$I},2,0),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E743" s="92"/>
      <c r="F743" s="92"/>
      <c r="G743" s="125" t="str">
        <f t="array" ref="G743">ifs(or($F743="",$F743="Main Primary Artist"),$F743,not(iserror(vlookup($F743,'Reference info'!$J$5:$J$8,1,0))),"Key Artist",not(iserror(vlookup($F743,'Reference info'!$J$38:$J$405,1,0))),"Performer",not(iserror(vlookup($F743,'Reference info'!$J$10:$J$36,1,0))),"Producer &amp; Engineer")</f>
        <v/>
      </c>
    </row>
    <row r="744">
      <c r="B744" s="97"/>
      <c r="C744" s="121" t="str">
        <f t="array" ref="C744">ifs(and(isblank($A744),isblank($B744)),"", not(iserror(vlookup($A744&amp;$B744,'5) Release_Track'!$F:$F&amp;'5) Release_Track'!$G:$G,1,0))),vlookup($A744&amp;$B744,{'5) Release_Track'!$F:$F&amp;'5) Release_Track'!$G:$G,'5) Release_Track'!$H:$H},2,0),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D744" s="121" t="str">
        <f t="array" ref="D744">ifs(and(isblank($A744),isblank($B744)),"", not(iserror(vlookup($A744&amp;$B744,'5) Release_Track'!$F:$F&amp;'5) Release_Track'!$G:$G,1,0))),vlookup($A744&amp;$B744,{'5) Release_Track'!$F:$F&amp;'5) Release_Track'!$G:$G,'5) Release_Track'!$I:$I},2,0),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E744" s="92"/>
      <c r="F744" s="92"/>
      <c r="G744" s="125" t="str">
        <f t="array" ref="G744">ifs(or($F744="",$F744="Main Primary Artist"),$F744,not(iserror(vlookup($F744,'Reference info'!$J$5:$J$8,1,0))),"Key Artist",not(iserror(vlookup($F744,'Reference info'!$J$38:$J$405,1,0))),"Performer",not(iserror(vlookup($F744,'Reference info'!$J$10:$J$36,1,0))),"Producer &amp; Engineer")</f>
        <v/>
      </c>
    </row>
    <row r="745">
      <c r="B745" s="97"/>
      <c r="C745" s="121" t="str">
        <f t="array" ref="C745">ifs(and(isblank($A745),isblank($B745)),"", not(iserror(vlookup($A745&amp;$B745,'5) Release_Track'!$F:$F&amp;'5) Release_Track'!$G:$G,1,0))),vlookup($A745&amp;$B745,{'5) Release_Track'!$F:$F&amp;'5) Release_Track'!$G:$G,'5) Release_Track'!$H:$H},2,0),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D745" s="121" t="str">
        <f t="array" ref="D745">ifs(and(isblank($A745),isblank($B745)),"", not(iserror(vlookup($A745&amp;$B745,'5) Release_Track'!$F:$F&amp;'5) Release_Track'!$G:$G,1,0))),vlookup($A745&amp;$B745,{'5) Release_Track'!$F:$F&amp;'5) Release_Track'!$G:$G,'5) Release_Track'!$I:$I},2,0),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E745" s="92"/>
      <c r="F745" s="92"/>
      <c r="G745" s="125" t="str">
        <f t="array" ref="G745">ifs(or($F745="",$F745="Main Primary Artist"),$F745,not(iserror(vlookup($F745,'Reference info'!$J$5:$J$8,1,0))),"Key Artist",not(iserror(vlookup($F745,'Reference info'!$J$38:$J$405,1,0))),"Performer",not(iserror(vlookup($F745,'Reference info'!$J$10:$J$36,1,0))),"Producer &amp; Engineer")</f>
        <v/>
      </c>
    </row>
    <row r="746">
      <c r="B746" s="97"/>
      <c r="C746" s="121" t="str">
        <f t="array" ref="C746">ifs(and(isblank($A746),isblank($B746)),"", not(iserror(vlookup($A746&amp;$B746,'5) Release_Track'!$F:$F&amp;'5) Release_Track'!$G:$G,1,0))),vlookup($A746&amp;$B746,{'5) Release_Track'!$F:$F&amp;'5) Release_Track'!$G:$G,'5) Release_Track'!$H:$H},2,0),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D746" s="121" t="str">
        <f t="array" ref="D746">ifs(and(isblank($A746),isblank($B746)),"", not(iserror(vlookup($A746&amp;$B746,'5) Release_Track'!$F:$F&amp;'5) Release_Track'!$G:$G,1,0))),vlookup($A746&amp;$B746,{'5) Release_Track'!$F:$F&amp;'5) Release_Track'!$G:$G,'5) Release_Track'!$I:$I},2,0),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E746" s="92"/>
      <c r="F746" s="92"/>
      <c r="G746" s="125" t="str">
        <f t="array" ref="G746">ifs(or($F746="",$F746="Main Primary Artist"),$F746,not(iserror(vlookup($F746,'Reference info'!$J$5:$J$8,1,0))),"Key Artist",not(iserror(vlookup($F746,'Reference info'!$J$38:$J$405,1,0))),"Performer",not(iserror(vlookup($F746,'Reference info'!$J$10:$J$36,1,0))),"Producer &amp; Engineer")</f>
        <v/>
      </c>
    </row>
    <row r="747">
      <c r="B747" s="97"/>
      <c r="C747" s="121" t="str">
        <f t="array" ref="C747">ifs(and(isblank($A747),isblank($B747)),"", not(iserror(vlookup($A747&amp;$B747,'5) Release_Track'!$F:$F&amp;'5) Release_Track'!$G:$G,1,0))),vlookup($A747&amp;$B747,{'5) Release_Track'!$F:$F&amp;'5) Release_Track'!$G:$G,'5) Release_Track'!$H:$H},2,0),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D747" s="121" t="str">
        <f t="array" ref="D747">ifs(and(isblank($A747),isblank($B747)),"", not(iserror(vlookup($A747&amp;$B747,'5) Release_Track'!$F:$F&amp;'5) Release_Track'!$G:$G,1,0))),vlookup($A747&amp;$B747,{'5) Release_Track'!$F:$F&amp;'5) Release_Track'!$G:$G,'5) Release_Track'!$I:$I},2,0),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E747" s="92"/>
      <c r="F747" s="92"/>
      <c r="G747" s="125" t="str">
        <f t="array" ref="G747">ifs(or($F747="",$F747="Main Primary Artist"),$F747,not(iserror(vlookup($F747,'Reference info'!$J$5:$J$8,1,0))),"Key Artist",not(iserror(vlookup($F747,'Reference info'!$J$38:$J$405,1,0))),"Performer",not(iserror(vlookup($F747,'Reference info'!$J$10:$J$36,1,0))),"Producer &amp; Engineer")</f>
        <v/>
      </c>
    </row>
    <row r="748">
      <c r="B748" s="97"/>
      <c r="C748" s="121" t="str">
        <f t="array" ref="C748">ifs(and(isblank($A748),isblank($B748)),"", not(iserror(vlookup($A748&amp;$B748,'5) Release_Track'!$F:$F&amp;'5) Release_Track'!$G:$G,1,0))),vlookup($A748&amp;$B748,{'5) Release_Track'!$F:$F&amp;'5) Release_Track'!$G:$G,'5) Release_Track'!$H:$H},2,0),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D748" s="121" t="str">
        <f t="array" ref="D748">ifs(and(isblank($A748),isblank($B748)),"", not(iserror(vlookup($A748&amp;$B748,'5) Release_Track'!$F:$F&amp;'5) Release_Track'!$G:$G,1,0))),vlookup($A748&amp;$B748,{'5) Release_Track'!$F:$F&amp;'5) Release_Track'!$G:$G,'5) Release_Track'!$I:$I},2,0),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E748" s="92"/>
      <c r="F748" s="92"/>
      <c r="G748" s="125" t="str">
        <f t="array" ref="G748">ifs(or($F748="",$F748="Main Primary Artist"),$F748,not(iserror(vlookup($F748,'Reference info'!$J$5:$J$8,1,0))),"Key Artist",not(iserror(vlookup($F748,'Reference info'!$J$38:$J$405,1,0))),"Performer",not(iserror(vlookup($F748,'Reference info'!$J$10:$J$36,1,0))),"Producer &amp; Engineer")</f>
        <v/>
      </c>
    </row>
    <row r="749">
      <c r="B749" s="97"/>
      <c r="C749" s="121" t="str">
        <f t="array" ref="C749">ifs(and(isblank($A749),isblank($B749)),"", not(iserror(vlookup($A749&amp;$B749,'5) Release_Track'!$F:$F&amp;'5) Release_Track'!$G:$G,1,0))),vlookup($A749&amp;$B749,{'5) Release_Track'!$F:$F&amp;'5) Release_Track'!$G:$G,'5) Release_Track'!$H:$H},2,0),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D749" s="121" t="str">
        <f t="array" ref="D749">ifs(and(isblank($A749),isblank($B749)),"", not(iserror(vlookup($A749&amp;$B749,'5) Release_Track'!$F:$F&amp;'5) Release_Track'!$G:$G,1,0))),vlookup($A749&amp;$B749,{'5) Release_Track'!$F:$F&amp;'5) Release_Track'!$G:$G,'5) Release_Track'!$I:$I},2,0),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E749" s="92"/>
      <c r="F749" s="92"/>
      <c r="G749" s="125" t="str">
        <f t="array" ref="G749">ifs(or($F749="",$F749="Main Primary Artist"),$F749,not(iserror(vlookup($F749,'Reference info'!$J$5:$J$8,1,0))),"Key Artist",not(iserror(vlookup($F749,'Reference info'!$J$38:$J$405,1,0))),"Performer",not(iserror(vlookup($F749,'Reference info'!$J$10:$J$36,1,0))),"Producer &amp; Engineer")</f>
        <v/>
      </c>
    </row>
    <row r="750">
      <c r="B750" s="97"/>
      <c r="C750" s="121" t="str">
        <f t="array" ref="C750">ifs(and(isblank($A750),isblank($B750)),"", not(iserror(vlookup($A750&amp;$B750,'5) Release_Track'!$F:$F&amp;'5) Release_Track'!$G:$G,1,0))),vlookup($A750&amp;$B750,{'5) Release_Track'!$F:$F&amp;'5) Release_Track'!$G:$G,'5) Release_Track'!$H:$H},2,0),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D750" s="121" t="str">
        <f t="array" ref="D750">ifs(and(isblank($A750),isblank($B750)),"", not(iserror(vlookup($A750&amp;$B750,'5) Release_Track'!$F:$F&amp;'5) Release_Track'!$G:$G,1,0))),vlookup($A750&amp;$B750,{'5) Release_Track'!$F:$F&amp;'5) Release_Track'!$G:$G,'5) Release_Track'!$I:$I},2,0),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E750" s="92"/>
      <c r="F750" s="92"/>
      <c r="G750" s="125" t="str">
        <f t="array" ref="G750">ifs(or($F750="",$F750="Main Primary Artist"),$F750,not(iserror(vlookup($F750,'Reference info'!$J$5:$J$8,1,0))),"Key Artist",not(iserror(vlookup($F750,'Reference info'!$J$38:$J$405,1,0))),"Performer",not(iserror(vlookup($F750,'Reference info'!$J$10:$J$36,1,0))),"Producer &amp; Engineer")</f>
        <v/>
      </c>
    </row>
    <row r="751">
      <c r="B751" s="97"/>
      <c r="C751" s="121" t="str">
        <f t="array" ref="C751">ifs(and(isblank($A751),isblank($B751)),"", not(iserror(vlookup($A751&amp;$B751,'5) Release_Track'!$F:$F&amp;'5) Release_Track'!$G:$G,1,0))),vlookup($A751&amp;$B751,{'5) Release_Track'!$F:$F&amp;'5) Release_Track'!$G:$G,'5) Release_Track'!$H:$H},2,0),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D751" s="121" t="str">
        <f t="array" ref="D751">ifs(and(isblank($A751),isblank($B751)),"", not(iserror(vlookup($A751&amp;$B751,'5) Release_Track'!$F:$F&amp;'5) Release_Track'!$G:$G,1,0))),vlookup($A751&amp;$B751,{'5) Release_Track'!$F:$F&amp;'5) Release_Track'!$G:$G,'5) Release_Track'!$I:$I},2,0),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E751" s="92"/>
      <c r="F751" s="92"/>
      <c r="G751" s="125" t="str">
        <f t="array" ref="G751">ifs(or($F751="",$F751="Main Primary Artist"),$F751,not(iserror(vlookup($F751,'Reference info'!$J$5:$J$8,1,0))),"Key Artist",not(iserror(vlookup($F751,'Reference info'!$J$38:$J$405,1,0))),"Performer",not(iserror(vlookup($F751,'Reference info'!$J$10:$J$36,1,0))),"Producer &amp; Engineer")</f>
        <v/>
      </c>
    </row>
    <row r="752">
      <c r="B752" s="97"/>
      <c r="C752" s="121" t="str">
        <f t="array" ref="C752">ifs(and(isblank($A752),isblank($B752)),"", not(iserror(vlookup($A752&amp;$B752,'5) Release_Track'!$F:$F&amp;'5) Release_Track'!$G:$G,1,0))),vlookup($A752&amp;$B752,{'5) Release_Track'!$F:$F&amp;'5) Release_Track'!$G:$G,'5) Release_Track'!$H:$H},2,0),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D752" s="121" t="str">
        <f t="array" ref="D752">ifs(and(isblank($A752),isblank($B752)),"", not(iserror(vlookup($A752&amp;$B752,'5) Release_Track'!$F:$F&amp;'5) Release_Track'!$G:$G,1,0))),vlookup($A752&amp;$B752,{'5) Release_Track'!$F:$F&amp;'5) Release_Track'!$G:$G,'5) Release_Track'!$I:$I},2,0),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E752" s="92"/>
      <c r="F752" s="92"/>
      <c r="G752" s="125" t="str">
        <f t="array" ref="G752">ifs(or($F752="",$F752="Main Primary Artist"),$F752,not(iserror(vlookup($F752,'Reference info'!$J$5:$J$8,1,0))),"Key Artist",not(iserror(vlookup($F752,'Reference info'!$J$38:$J$405,1,0))),"Performer",not(iserror(vlookup($F752,'Reference info'!$J$10:$J$36,1,0))),"Producer &amp; Engineer")</f>
        <v/>
      </c>
    </row>
    <row r="753">
      <c r="B753" s="97"/>
      <c r="C753" s="121" t="str">
        <f t="array" ref="C753">ifs(and(isblank($A753),isblank($B753)),"", not(iserror(vlookup($A753&amp;$B753,'5) Release_Track'!$F:$F&amp;'5) Release_Track'!$G:$G,1,0))),vlookup($A753&amp;$B753,{'5) Release_Track'!$F:$F&amp;'5) Release_Track'!$G:$G,'5) Release_Track'!$H:$H},2,0),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D753" s="121" t="str">
        <f t="array" ref="D753">ifs(and(isblank($A753),isblank($B753)),"", not(iserror(vlookup($A753&amp;$B753,'5) Release_Track'!$F:$F&amp;'5) Release_Track'!$G:$G,1,0))),vlookup($A753&amp;$B753,{'5) Release_Track'!$F:$F&amp;'5) Release_Track'!$G:$G,'5) Release_Track'!$I:$I},2,0),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E753" s="92"/>
      <c r="F753" s="92"/>
      <c r="G753" s="125" t="str">
        <f t="array" ref="G753">ifs(or($F753="",$F753="Main Primary Artist"),$F753,not(iserror(vlookup($F753,'Reference info'!$J$5:$J$8,1,0))),"Key Artist",not(iserror(vlookup($F753,'Reference info'!$J$38:$J$405,1,0))),"Performer",not(iserror(vlookup($F753,'Reference info'!$J$10:$J$36,1,0))),"Producer &amp; Engineer")</f>
        <v/>
      </c>
    </row>
    <row r="754">
      <c r="B754" s="97"/>
      <c r="C754" s="121" t="str">
        <f t="array" ref="C754">ifs(and(isblank($A754),isblank($B754)),"", not(iserror(vlookup($A754&amp;$B754,'5) Release_Track'!$F:$F&amp;'5) Release_Track'!$G:$G,1,0))),vlookup($A754&amp;$B754,{'5) Release_Track'!$F:$F&amp;'5) Release_Track'!$G:$G,'5) Release_Track'!$H:$H},2,0),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D754" s="121" t="str">
        <f t="array" ref="D754">ifs(and(isblank($A754),isblank($B754)),"", not(iserror(vlookup($A754&amp;$B754,'5) Release_Track'!$F:$F&amp;'5) Release_Track'!$G:$G,1,0))),vlookup($A754&amp;$B754,{'5) Release_Track'!$F:$F&amp;'5) Release_Track'!$G:$G,'5) Release_Track'!$I:$I},2,0),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E754" s="92"/>
      <c r="F754" s="92"/>
      <c r="G754" s="125" t="str">
        <f t="array" ref="G754">ifs(or($F754="",$F754="Main Primary Artist"),$F754,not(iserror(vlookup($F754,'Reference info'!$J$5:$J$8,1,0))),"Key Artist",not(iserror(vlookup($F754,'Reference info'!$J$38:$J$405,1,0))),"Performer",not(iserror(vlookup($F754,'Reference info'!$J$10:$J$36,1,0))),"Producer &amp; Engineer")</f>
        <v/>
      </c>
    </row>
    <row r="755">
      <c r="B755" s="97"/>
      <c r="C755" s="121" t="str">
        <f t="array" ref="C755">ifs(and(isblank($A755),isblank($B755)),"", not(iserror(vlookup($A755&amp;$B755,'5) Release_Track'!$F:$F&amp;'5) Release_Track'!$G:$G,1,0))),vlookup($A755&amp;$B755,{'5) Release_Track'!$F:$F&amp;'5) Release_Track'!$G:$G,'5) Release_Track'!$H:$H},2,0),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D755" s="121" t="str">
        <f t="array" ref="D755">ifs(and(isblank($A755),isblank($B755)),"", not(iserror(vlookup($A755&amp;$B755,'5) Release_Track'!$F:$F&amp;'5) Release_Track'!$G:$G,1,0))),vlookup($A755&amp;$B755,{'5) Release_Track'!$F:$F&amp;'5) Release_Track'!$G:$G,'5) Release_Track'!$I:$I},2,0),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E755" s="92"/>
      <c r="F755" s="92"/>
      <c r="G755" s="125" t="str">
        <f t="array" ref="G755">ifs(or($F755="",$F755="Main Primary Artist"),$F755,not(iserror(vlookup($F755,'Reference info'!$J$5:$J$8,1,0))),"Key Artist",not(iserror(vlookup($F755,'Reference info'!$J$38:$J$405,1,0))),"Performer",not(iserror(vlookup($F755,'Reference info'!$J$10:$J$36,1,0))),"Producer &amp; Engineer")</f>
        <v/>
      </c>
    </row>
    <row r="756">
      <c r="B756" s="97"/>
      <c r="C756" s="121" t="str">
        <f t="array" ref="C756">ifs(and(isblank($A756),isblank($B756)),"", not(iserror(vlookup($A756&amp;$B756,'5) Release_Track'!$F:$F&amp;'5) Release_Track'!$G:$G,1,0))),vlookup($A756&amp;$B756,{'5) Release_Track'!$F:$F&amp;'5) Release_Track'!$G:$G,'5) Release_Track'!$H:$H},2,0),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D756" s="121" t="str">
        <f t="array" ref="D756">ifs(and(isblank($A756),isblank($B756)),"", not(iserror(vlookup($A756&amp;$B756,'5) Release_Track'!$F:$F&amp;'5) Release_Track'!$G:$G,1,0))),vlookup($A756&amp;$B756,{'5) Release_Track'!$F:$F&amp;'5) Release_Track'!$G:$G,'5) Release_Track'!$I:$I},2,0),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E756" s="92"/>
      <c r="F756" s="92"/>
      <c r="G756" s="125" t="str">
        <f t="array" ref="G756">ifs(or($F756="",$F756="Main Primary Artist"),$F756,not(iserror(vlookup($F756,'Reference info'!$J$5:$J$8,1,0))),"Key Artist",not(iserror(vlookup($F756,'Reference info'!$J$38:$J$405,1,0))),"Performer",not(iserror(vlookup($F756,'Reference info'!$J$10:$J$36,1,0))),"Producer &amp; Engineer")</f>
        <v/>
      </c>
    </row>
    <row r="757">
      <c r="B757" s="97"/>
      <c r="C757" s="121" t="str">
        <f t="array" ref="C757">ifs(and(isblank($A757),isblank($B757)),"", not(iserror(vlookup($A757&amp;$B757,'5) Release_Track'!$F:$F&amp;'5) Release_Track'!$G:$G,1,0))),vlookup($A757&amp;$B757,{'5) Release_Track'!$F:$F&amp;'5) Release_Track'!$G:$G,'5) Release_Track'!$H:$H},2,0),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D757" s="121" t="str">
        <f t="array" ref="D757">ifs(and(isblank($A757),isblank($B757)),"", not(iserror(vlookup($A757&amp;$B757,'5) Release_Track'!$F:$F&amp;'5) Release_Track'!$G:$G,1,0))),vlookup($A757&amp;$B757,{'5) Release_Track'!$F:$F&amp;'5) Release_Track'!$G:$G,'5) Release_Track'!$I:$I},2,0),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E757" s="92"/>
      <c r="F757" s="92"/>
      <c r="G757" s="125" t="str">
        <f t="array" ref="G757">ifs(or($F757="",$F757="Main Primary Artist"),$F757,not(iserror(vlookup($F757,'Reference info'!$J$5:$J$8,1,0))),"Key Artist",not(iserror(vlookup($F757,'Reference info'!$J$38:$J$405,1,0))),"Performer",not(iserror(vlookup($F757,'Reference info'!$J$10:$J$36,1,0))),"Producer &amp; Engineer")</f>
        <v/>
      </c>
    </row>
    <row r="758">
      <c r="B758" s="97"/>
      <c r="C758" s="121" t="str">
        <f t="array" ref="C758">ifs(and(isblank($A758),isblank($B758)),"", not(iserror(vlookup($A758&amp;$B758,'5) Release_Track'!$F:$F&amp;'5) Release_Track'!$G:$G,1,0))),vlookup($A758&amp;$B758,{'5) Release_Track'!$F:$F&amp;'5) Release_Track'!$G:$G,'5) Release_Track'!$H:$H},2,0),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D758" s="121" t="str">
        <f t="array" ref="D758">ifs(and(isblank($A758),isblank($B758)),"", not(iserror(vlookup($A758&amp;$B758,'5) Release_Track'!$F:$F&amp;'5) Release_Track'!$G:$G,1,0))),vlookup($A758&amp;$B758,{'5) Release_Track'!$F:$F&amp;'5) Release_Track'!$G:$G,'5) Release_Track'!$I:$I},2,0),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E758" s="92"/>
      <c r="F758" s="92"/>
      <c r="G758" s="125" t="str">
        <f t="array" ref="G758">ifs(or($F758="",$F758="Main Primary Artist"),$F758,not(iserror(vlookup($F758,'Reference info'!$J$5:$J$8,1,0))),"Key Artist",not(iserror(vlookup($F758,'Reference info'!$J$38:$J$405,1,0))),"Performer",not(iserror(vlookup($F758,'Reference info'!$J$10:$J$36,1,0))),"Producer &amp; Engineer")</f>
        <v/>
      </c>
    </row>
    <row r="759">
      <c r="B759" s="97"/>
      <c r="C759" s="121" t="str">
        <f t="array" ref="C759">ifs(and(isblank($A759),isblank($B759)),"", not(iserror(vlookup($A759&amp;$B759,'5) Release_Track'!$F:$F&amp;'5) Release_Track'!$G:$G,1,0))),vlookup($A759&amp;$B759,{'5) Release_Track'!$F:$F&amp;'5) Release_Track'!$G:$G,'5) Release_Track'!$H:$H},2,0),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D759" s="121" t="str">
        <f t="array" ref="D759">ifs(and(isblank($A759),isblank($B759)),"", not(iserror(vlookup($A759&amp;$B759,'5) Release_Track'!$F:$F&amp;'5) Release_Track'!$G:$G,1,0))),vlookup($A759&amp;$B759,{'5) Release_Track'!$F:$F&amp;'5) Release_Track'!$G:$G,'5) Release_Track'!$I:$I},2,0),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E759" s="92"/>
      <c r="F759" s="92"/>
      <c r="G759" s="125" t="str">
        <f t="array" ref="G759">ifs(or($F759="",$F759="Main Primary Artist"),$F759,not(iserror(vlookup($F759,'Reference info'!$J$5:$J$8,1,0))),"Key Artist",not(iserror(vlookup($F759,'Reference info'!$J$38:$J$405,1,0))),"Performer",not(iserror(vlookup($F759,'Reference info'!$J$10:$J$36,1,0))),"Producer &amp; Engineer")</f>
        <v/>
      </c>
    </row>
    <row r="760">
      <c r="B760" s="97"/>
      <c r="C760" s="121" t="str">
        <f t="array" ref="C760">ifs(and(isblank($A760),isblank($B760)),"", not(iserror(vlookup($A760&amp;$B760,'5) Release_Track'!$F:$F&amp;'5) Release_Track'!$G:$G,1,0))),vlookup($A760&amp;$B760,{'5) Release_Track'!$F:$F&amp;'5) Release_Track'!$G:$G,'5) Release_Track'!$H:$H},2,0),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D760" s="121" t="str">
        <f t="array" ref="D760">ifs(and(isblank($A760),isblank($B760)),"", not(iserror(vlookup($A760&amp;$B760,'5) Release_Track'!$F:$F&amp;'5) Release_Track'!$G:$G,1,0))),vlookup($A760&amp;$B760,{'5) Release_Track'!$F:$F&amp;'5) Release_Track'!$G:$G,'5) Release_Track'!$I:$I},2,0),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E760" s="92"/>
      <c r="F760" s="92"/>
      <c r="G760" s="125" t="str">
        <f t="array" ref="G760">ifs(or($F760="",$F760="Main Primary Artist"),$F760,not(iserror(vlookup($F760,'Reference info'!$J$5:$J$8,1,0))),"Key Artist",not(iserror(vlookup($F760,'Reference info'!$J$38:$J$405,1,0))),"Performer",not(iserror(vlookup($F760,'Reference info'!$J$10:$J$36,1,0))),"Producer &amp; Engineer")</f>
        <v/>
      </c>
    </row>
    <row r="761">
      <c r="B761" s="97"/>
      <c r="C761" s="121" t="str">
        <f t="array" ref="C761">ifs(and(isblank($A761),isblank($B761)),"", not(iserror(vlookup($A761&amp;$B761,'5) Release_Track'!$F:$F&amp;'5) Release_Track'!$G:$G,1,0))),vlookup($A761&amp;$B761,{'5) Release_Track'!$F:$F&amp;'5) Release_Track'!$G:$G,'5) Release_Track'!$H:$H},2,0),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D761" s="121" t="str">
        <f t="array" ref="D761">ifs(and(isblank($A761),isblank($B761)),"", not(iserror(vlookup($A761&amp;$B761,'5) Release_Track'!$F:$F&amp;'5) Release_Track'!$G:$G,1,0))),vlookup($A761&amp;$B761,{'5) Release_Track'!$F:$F&amp;'5) Release_Track'!$G:$G,'5) Release_Track'!$I:$I},2,0),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E761" s="92"/>
      <c r="F761" s="92"/>
      <c r="G761" s="125" t="str">
        <f t="array" ref="G761">ifs(or($F761="",$F761="Main Primary Artist"),$F761,not(iserror(vlookup($F761,'Reference info'!$J$5:$J$8,1,0))),"Key Artist",not(iserror(vlookup($F761,'Reference info'!$J$38:$J$405,1,0))),"Performer",not(iserror(vlookup($F761,'Reference info'!$J$10:$J$36,1,0))),"Producer &amp; Engineer")</f>
        <v/>
      </c>
    </row>
    <row r="762">
      <c r="B762" s="97"/>
      <c r="C762" s="121" t="str">
        <f t="array" ref="C762">ifs(and(isblank($A762),isblank($B762)),"", not(iserror(vlookup($A762&amp;$B762,'5) Release_Track'!$F:$F&amp;'5) Release_Track'!$G:$G,1,0))),vlookup($A762&amp;$B762,{'5) Release_Track'!$F:$F&amp;'5) Release_Track'!$G:$G,'5) Release_Track'!$H:$H},2,0),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D762" s="121" t="str">
        <f t="array" ref="D762">ifs(and(isblank($A762),isblank($B762)),"", not(iserror(vlookup($A762&amp;$B762,'5) Release_Track'!$F:$F&amp;'5) Release_Track'!$G:$G,1,0))),vlookup($A762&amp;$B762,{'5) Release_Track'!$F:$F&amp;'5) Release_Track'!$G:$G,'5) Release_Track'!$I:$I},2,0),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E762" s="92"/>
      <c r="F762" s="92"/>
      <c r="G762" s="125" t="str">
        <f t="array" ref="G762">ifs(or($F762="",$F762="Main Primary Artist"),$F762,not(iserror(vlookup($F762,'Reference info'!$J$5:$J$8,1,0))),"Key Artist",not(iserror(vlookup($F762,'Reference info'!$J$38:$J$405,1,0))),"Performer",not(iserror(vlookup($F762,'Reference info'!$J$10:$J$36,1,0))),"Producer &amp; Engineer")</f>
        <v/>
      </c>
    </row>
    <row r="763">
      <c r="B763" s="97"/>
      <c r="C763" s="121" t="str">
        <f t="array" ref="C763">ifs(and(isblank($A763),isblank($B763)),"", not(iserror(vlookup($A763&amp;$B763,'5) Release_Track'!$F:$F&amp;'5) Release_Track'!$G:$G,1,0))),vlookup($A763&amp;$B763,{'5) Release_Track'!$F:$F&amp;'5) Release_Track'!$G:$G,'5) Release_Track'!$H:$H},2,0),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D763" s="121" t="str">
        <f t="array" ref="D763">ifs(and(isblank($A763),isblank($B763)),"", not(iserror(vlookup($A763&amp;$B763,'5) Release_Track'!$F:$F&amp;'5) Release_Track'!$G:$G,1,0))),vlookup($A763&amp;$B763,{'5) Release_Track'!$F:$F&amp;'5) Release_Track'!$G:$G,'5) Release_Track'!$I:$I},2,0),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E763" s="92"/>
      <c r="F763" s="92"/>
      <c r="G763" s="125" t="str">
        <f t="array" ref="G763">ifs(or($F763="",$F763="Main Primary Artist"),$F763,not(iserror(vlookup($F763,'Reference info'!$J$5:$J$8,1,0))),"Key Artist",not(iserror(vlookup($F763,'Reference info'!$J$38:$J$405,1,0))),"Performer",not(iserror(vlookup($F763,'Reference info'!$J$10:$J$36,1,0))),"Producer &amp; Engineer")</f>
        <v/>
      </c>
    </row>
    <row r="764">
      <c r="B764" s="97"/>
      <c r="C764" s="121" t="str">
        <f t="array" ref="C764">ifs(and(isblank($A764),isblank($B764)),"", not(iserror(vlookup($A764&amp;$B764,'5) Release_Track'!$F:$F&amp;'5) Release_Track'!$G:$G,1,0))),vlookup($A764&amp;$B764,{'5) Release_Track'!$F:$F&amp;'5) Release_Track'!$G:$G,'5) Release_Track'!$H:$H},2,0),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D764" s="121" t="str">
        <f t="array" ref="D764">ifs(and(isblank($A764),isblank($B764)),"", not(iserror(vlookup($A764&amp;$B764,'5) Release_Track'!$F:$F&amp;'5) Release_Track'!$G:$G,1,0))),vlookup($A764&amp;$B764,{'5) Release_Track'!$F:$F&amp;'5) Release_Track'!$G:$G,'5) Release_Track'!$I:$I},2,0),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E764" s="92"/>
      <c r="F764" s="92"/>
      <c r="G764" s="125" t="str">
        <f t="array" ref="G764">ifs(or($F764="",$F764="Main Primary Artist"),$F764,not(iserror(vlookup($F764,'Reference info'!$J$5:$J$8,1,0))),"Key Artist",not(iserror(vlookup($F764,'Reference info'!$J$38:$J$405,1,0))),"Performer",not(iserror(vlookup($F764,'Reference info'!$J$10:$J$36,1,0))),"Producer &amp; Engineer")</f>
        <v/>
      </c>
    </row>
    <row r="765">
      <c r="B765" s="97"/>
      <c r="C765" s="121" t="str">
        <f t="array" ref="C765">ifs(and(isblank($A765),isblank($B765)),"", not(iserror(vlookup($A765&amp;$B765,'5) Release_Track'!$F:$F&amp;'5) Release_Track'!$G:$G,1,0))),vlookup($A765&amp;$B765,{'5) Release_Track'!$F:$F&amp;'5) Release_Track'!$G:$G,'5) Release_Track'!$H:$H},2,0),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D765" s="121" t="str">
        <f t="array" ref="D765">ifs(and(isblank($A765),isblank($B765)),"", not(iserror(vlookup($A765&amp;$B765,'5) Release_Track'!$F:$F&amp;'5) Release_Track'!$G:$G,1,0))),vlookup($A765&amp;$B765,{'5) Release_Track'!$F:$F&amp;'5) Release_Track'!$G:$G,'5) Release_Track'!$I:$I},2,0),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E765" s="92"/>
      <c r="F765" s="92"/>
      <c r="G765" s="125" t="str">
        <f t="array" ref="G765">ifs(or($F765="",$F765="Main Primary Artist"),$F765,not(iserror(vlookup($F765,'Reference info'!$J$5:$J$8,1,0))),"Key Artist",not(iserror(vlookup($F765,'Reference info'!$J$38:$J$405,1,0))),"Performer",not(iserror(vlookup($F765,'Reference info'!$J$10:$J$36,1,0))),"Producer &amp; Engineer")</f>
        <v/>
      </c>
    </row>
    <row r="766">
      <c r="B766" s="97"/>
      <c r="C766" s="121" t="str">
        <f t="array" ref="C766">ifs(and(isblank($A766),isblank($B766)),"", not(iserror(vlookup($A766&amp;$B766,'5) Release_Track'!$F:$F&amp;'5) Release_Track'!$G:$G,1,0))),vlookup($A766&amp;$B766,{'5) Release_Track'!$F:$F&amp;'5) Release_Track'!$G:$G,'5) Release_Track'!$H:$H},2,0),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D766" s="121" t="str">
        <f t="array" ref="D766">ifs(and(isblank($A766),isblank($B766)),"", not(iserror(vlookup($A766&amp;$B766,'5) Release_Track'!$F:$F&amp;'5) Release_Track'!$G:$G,1,0))),vlookup($A766&amp;$B766,{'5) Release_Track'!$F:$F&amp;'5) Release_Track'!$G:$G,'5) Release_Track'!$I:$I},2,0),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E766" s="92"/>
      <c r="F766" s="92"/>
      <c r="G766" s="125" t="str">
        <f t="array" ref="G766">ifs(or($F766="",$F766="Main Primary Artist"),$F766,not(iserror(vlookup($F766,'Reference info'!$J$5:$J$8,1,0))),"Key Artist",not(iserror(vlookup($F766,'Reference info'!$J$38:$J$405,1,0))),"Performer",not(iserror(vlookup($F766,'Reference info'!$J$10:$J$36,1,0))),"Producer &amp; Engineer")</f>
        <v/>
      </c>
    </row>
    <row r="767">
      <c r="B767" s="97"/>
      <c r="C767" s="121" t="str">
        <f t="array" ref="C767">ifs(and(isblank($A767),isblank($B767)),"", not(iserror(vlookup($A767&amp;$B767,'5) Release_Track'!$F:$F&amp;'5) Release_Track'!$G:$G,1,0))),vlookup($A767&amp;$B767,{'5) Release_Track'!$F:$F&amp;'5) Release_Track'!$G:$G,'5) Release_Track'!$H:$H},2,0),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D767" s="121" t="str">
        <f t="array" ref="D767">ifs(and(isblank($A767),isblank($B767)),"", not(iserror(vlookup($A767&amp;$B767,'5) Release_Track'!$F:$F&amp;'5) Release_Track'!$G:$G,1,0))),vlookup($A767&amp;$B767,{'5) Release_Track'!$F:$F&amp;'5) Release_Track'!$G:$G,'5) Release_Track'!$I:$I},2,0),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E767" s="92"/>
      <c r="F767" s="92"/>
      <c r="G767" s="125" t="str">
        <f t="array" ref="G767">ifs(or($F767="",$F767="Main Primary Artist"),$F767,not(iserror(vlookup($F767,'Reference info'!$J$5:$J$8,1,0))),"Key Artist",not(iserror(vlookup($F767,'Reference info'!$J$38:$J$405,1,0))),"Performer",not(iserror(vlookup($F767,'Reference info'!$J$10:$J$36,1,0))),"Producer &amp; Engineer")</f>
        <v/>
      </c>
    </row>
    <row r="768">
      <c r="B768" s="97"/>
      <c r="C768" s="121" t="str">
        <f t="array" ref="C768">ifs(and(isblank($A768),isblank($B768)),"", not(iserror(vlookup($A768&amp;$B768,'5) Release_Track'!$F:$F&amp;'5) Release_Track'!$G:$G,1,0))),vlookup($A768&amp;$B768,{'5) Release_Track'!$F:$F&amp;'5) Release_Track'!$G:$G,'5) Release_Track'!$H:$H},2,0),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D768" s="121" t="str">
        <f t="array" ref="D768">ifs(and(isblank($A768),isblank($B768)),"", not(iserror(vlookup($A768&amp;$B768,'5) Release_Track'!$F:$F&amp;'5) Release_Track'!$G:$G,1,0))),vlookup($A768&amp;$B768,{'5) Release_Track'!$F:$F&amp;'5) Release_Track'!$G:$G,'5) Release_Track'!$I:$I},2,0),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E768" s="92"/>
      <c r="F768" s="92"/>
      <c r="G768" s="125" t="str">
        <f t="array" ref="G768">ifs(or($F768="",$F768="Main Primary Artist"),$F768,not(iserror(vlookup($F768,'Reference info'!$J$5:$J$8,1,0))),"Key Artist",not(iserror(vlookup($F768,'Reference info'!$J$38:$J$405,1,0))),"Performer",not(iserror(vlookup($F768,'Reference info'!$J$10:$J$36,1,0))),"Producer &amp; Engineer")</f>
        <v/>
      </c>
    </row>
    <row r="769">
      <c r="B769" s="97"/>
      <c r="C769" s="121" t="str">
        <f t="array" ref="C769">ifs(and(isblank($A769),isblank($B769)),"", not(iserror(vlookup($A769&amp;$B769,'5) Release_Track'!$F:$F&amp;'5) Release_Track'!$G:$G,1,0))),vlookup($A769&amp;$B769,{'5) Release_Track'!$F:$F&amp;'5) Release_Track'!$G:$G,'5) Release_Track'!$H:$H},2,0),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D769" s="121" t="str">
        <f t="array" ref="D769">ifs(and(isblank($A769),isblank($B769)),"", not(iserror(vlookup($A769&amp;$B769,'5) Release_Track'!$F:$F&amp;'5) Release_Track'!$G:$G,1,0))),vlookup($A769&amp;$B769,{'5) Release_Track'!$F:$F&amp;'5) Release_Track'!$G:$G,'5) Release_Track'!$I:$I},2,0),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E769" s="92"/>
      <c r="F769" s="92"/>
      <c r="G769" s="125" t="str">
        <f t="array" ref="G769">ifs(or($F769="",$F769="Main Primary Artist"),$F769,not(iserror(vlookup($F769,'Reference info'!$J$5:$J$8,1,0))),"Key Artist",not(iserror(vlookup($F769,'Reference info'!$J$38:$J$405,1,0))),"Performer",not(iserror(vlookup($F769,'Reference info'!$J$10:$J$36,1,0))),"Producer &amp; Engineer")</f>
        <v/>
      </c>
    </row>
    <row r="770">
      <c r="B770" s="97"/>
      <c r="C770" s="121" t="str">
        <f t="array" ref="C770">ifs(and(isblank($A770),isblank($B770)),"", not(iserror(vlookup($A770&amp;$B770,'5) Release_Track'!$F:$F&amp;'5) Release_Track'!$G:$G,1,0))),vlookup($A770&amp;$B770,{'5) Release_Track'!$F:$F&amp;'5) Release_Track'!$G:$G,'5) Release_Track'!$H:$H},2,0),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D770" s="121" t="str">
        <f t="array" ref="D770">ifs(and(isblank($A770),isblank($B770)),"", not(iserror(vlookup($A770&amp;$B770,'5) Release_Track'!$F:$F&amp;'5) Release_Track'!$G:$G,1,0))),vlookup($A770&amp;$B770,{'5) Release_Track'!$F:$F&amp;'5) Release_Track'!$G:$G,'5) Release_Track'!$I:$I},2,0),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E770" s="92"/>
      <c r="F770" s="92"/>
      <c r="G770" s="125" t="str">
        <f t="array" ref="G770">ifs(or($F770="",$F770="Main Primary Artist"),$F770,not(iserror(vlookup($F770,'Reference info'!$J$5:$J$8,1,0))),"Key Artist",not(iserror(vlookup($F770,'Reference info'!$J$38:$J$405,1,0))),"Performer",not(iserror(vlookup($F770,'Reference info'!$J$10:$J$36,1,0))),"Producer &amp; Engineer")</f>
        <v/>
      </c>
    </row>
    <row r="771">
      <c r="B771" s="97"/>
      <c r="C771" s="121" t="str">
        <f t="array" ref="C771">ifs(and(isblank($A771),isblank($B771)),"", not(iserror(vlookup($A771&amp;$B771,'5) Release_Track'!$F:$F&amp;'5) Release_Track'!$G:$G,1,0))),vlookup($A771&amp;$B771,{'5) Release_Track'!$F:$F&amp;'5) Release_Track'!$G:$G,'5) Release_Track'!$H:$H},2,0),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D771" s="121" t="str">
        <f t="array" ref="D771">ifs(and(isblank($A771),isblank($B771)),"", not(iserror(vlookup($A771&amp;$B771,'5) Release_Track'!$F:$F&amp;'5) Release_Track'!$G:$G,1,0))),vlookup($A771&amp;$B771,{'5) Release_Track'!$F:$F&amp;'5) Release_Track'!$G:$G,'5) Release_Track'!$I:$I},2,0),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E771" s="92"/>
      <c r="F771" s="92"/>
      <c r="G771" s="125" t="str">
        <f t="array" ref="G771">ifs(or($F771="",$F771="Main Primary Artist"),$F771,not(iserror(vlookup($F771,'Reference info'!$J$5:$J$8,1,0))),"Key Artist",not(iserror(vlookup($F771,'Reference info'!$J$38:$J$405,1,0))),"Performer",not(iserror(vlookup($F771,'Reference info'!$J$10:$J$36,1,0))),"Producer &amp; Engineer")</f>
        <v/>
      </c>
    </row>
    <row r="772">
      <c r="B772" s="97"/>
      <c r="C772" s="121" t="str">
        <f t="array" ref="C772">ifs(and(isblank($A772),isblank($B772)),"", not(iserror(vlookup($A772&amp;$B772,'5) Release_Track'!$F:$F&amp;'5) Release_Track'!$G:$G,1,0))),vlookup($A772&amp;$B772,{'5) Release_Track'!$F:$F&amp;'5) Release_Track'!$G:$G,'5) Release_Track'!$H:$H},2,0),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D772" s="121" t="str">
        <f t="array" ref="D772">ifs(and(isblank($A772),isblank($B772)),"", not(iserror(vlookup($A772&amp;$B772,'5) Release_Track'!$F:$F&amp;'5) Release_Track'!$G:$G,1,0))),vlookup($A772&amp;$B772,{'5) Release_Track'!$F:$F&amp;'5) Release_Track'!$G:$G,'5) Release_Track'!$I:$I},2,0),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E772" s="92"/>
      <c r="F772" s="92"/>
      <c r="G772" s="125" t="str">
        <f t="array" ref="G772">ifs(or($F772="",$F772="Main Primary Artist"),$F772,not(iserror(vlookup($F772,'Reference info'!$J$5:$J$8,1,0))),"Key Artist",not(iserror(vlookup($F772,'Reference info'!$J$38:$J$405,1,0))),"Performer",not(iserror(vlookup($F772,'Reference info'!$J$10:$J$36,1,0))),"Producer &amp; Engineer")</f>
        <v/>
      </c>
    </row>
    <row r="773">
      <c r="B773" s="97"/>
      <c r="C773" s="121" t="str">
        <f t="array" ref="C773">ifs(and(isblank($A773),isblank($B773)),"", not(iserror(vlookup($A773&amp;$B773,'5) Release_Track'!$F:$F&amp;'5) Release_Track'!$G:$G,1,0))),vlookup($A773&amp;$B773,{'5) Release_Track'!$F:$F&amp;'5) Release_Track'!$G:$G,'5) Release_Track'!$H:$H},2,0),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D773" s="121" t="str">
        <f t="array" ref="D773">ifs(and(isblank($A773),isblank($B773)),"", not(iserror(vlookup($A773&amp;$B773,'5) Release_Track'!$F:$F&amp;'5) Release_Track'!$G:$G,1,0))),vlookup($A773&amp;$B773,{'5) Release_Track'!$F:$F&amp;'5) Release_Track'!$G:$G,'5) Release_Track'!$I:$I},2,0),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E773" s="92"/>
      <c r="F773" s="92"/>
      <c r="G773" s="125" t="str">
        <f t="array" ref="G773">ifs(or($F773="",$F773="Main Primary Artist"),$F773,not(iserror(vlookup($F773,'Reference info'!$J$5:$J$8,1,0))),"Key Artist",not(iserror(vlookup($F773,'Reference info'!$J$38:$J$405,1,0))),"Performer",not(iserror(vlookup($F773,'Reference info'!$J$10:$J$36,1,0))),"Producer &amp; Engineer")</f>
        <v/>
      </c>
    </row>
    <row r="774">
      <c r="B774" s="97"/>
      <c r="C774" s="121" t="str">
        <f t="array" ref="C774">ifs(and(isblank($A774),isblank($B774)),"", not(iserror(vlookup($A774&amp;$B774,'5) Release_Track'!$F:$F&amp;'5) Release_Track'!$G:$G,1,0))),vlookup($A774&amp;$B774,{'5) Release_Track'!$F:$F&amp;'5) Release_Track'!$G:$G,'5) Release_Track'!$H:$H},2,0),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D774" s="121" t="str">
        <f t="array" ref="D774">ifs(and(isblank($A774),isblank($B774)),"", not(iserror(vlookup($A774&amp;$B774,'5) Release_Track'!$F:$F&amp;'5) Release_Track'!$G:$G,1,0))),vlookup($A774&amp;$B774,{'5) Release_Track'!$F:$F&amp;'5) Release_Track'!$G:$G,'5) Release_Track'!$I:$I},2,0),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E774" s="92"/>
      <c r="F774" s="92"/>
      <c r="G774" s="125" t="str">
        <f t="array" ref="G774">ifs(or($F774="",$F774="Main Primary Artist"),$F774,not(iserror(vlookup($F774,'Reference info'!$J$5:$J$8,1,0))),"Key Artist",not(iserror(vlookup($F774,'Reference info'!$J$38:$J$405,1,0))),"Performer",not(iserror(vlookup($F774,'Reference info'!$J$10:$J$36,1,0))),"Producer &amp; Engineer")</f>
        <v/>
      </c>
    </row>
    <row r="775">
      <c r="B775" s="97"/>
      <c r="C775" s="121" t="str">
        <f t="array" ref="C775">ifs(and(isblank($A775),isblank($B775)),"", not(iserror(vlookup($A775&amp;$B775,'5) Release_Track'!$F:$F&amp;'5) Release_Track'!$G:$G,1,0))),vlookup($A775&amp;$B775,{'5) Release_Track'!$F:$F&amp;'5) Release_Track'!$G:$G,'5) Release_Track'!$H:$H},2,0),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D775" s="121" t="str">
        <f t="array" ref="D775">ifs(and(isblank($A775),isblank($B775)),"", not(iserror(vlookup($A775&amp;$B775,'5) Release_Track'!$F:$F&amp;'5) Release_Track'!$G:$G,1,0))),vlookup($A775&amp;$B775,{'5) Release_Track'!$F:$F&amp;'5) Release_Track'!$G:$G,'5) Release_Track'!$I:$I},2,0),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E775" s="92"/>
      <c r="F775" s="92"/>
      <c r="G775" s="125" t="str">
        <f t="array" ref="G775">ifs(or($F775="",$F775="Main Primary Artist"),$F775,not(iserror(vlookup($F775,'Reference info'!$J$5:$J$8,1,0))),"Key Artist",not(iserror(vlookup($F775,'Reference info'!$J$38:$J$405,1,0))),"Performer",not(iserror(vlookup($F775,'Reference info'!$J$10:$J$36,1,0))),"Producer &amp; Engineer")</f>
        <v/>
      </c>
    </row>
    <row r="776">
      <c r="B776" s="97"/>
      <c r="C776" s="121" t="str">
        <f t="array" ref="C776">ifs(and(isblank($A776),isblank($B776)),"", not(iserror(vlookup($A776&amp;$B776,'5) Release_Track'!$F:$F&amp;'5) Release_Track'!$G:$G,1,0))),vlookup($A776&amp;$B776,{'5) Release_Track'!$F:$F&amp;'5) Release_Track'!$G:$G,'5) Release_Track'!$H:$H},2,0),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D776" s="121" t="str">
        <f t="array" ref="D776">ifs(and(isblank($A776),isblank($B776)),"", not(iserror(vlookup($A776&amp;$B776,'5) Release_Track'!$F:$F&amp;'5) Release_Track'!$G:$G,1,0))),vlookup($A776&amp;$B776,{'5) Release_Track'!$F:$F&amp;'5) Release_Track'!$G:$G,'5) Release_Track'!$I:$I},2,0),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E776" s="92"/>
      <c r="F776" s="92"/>
      <c r="G776" s="125" t="str">
        <f t="array" ref="G776">ifs(or($F776="",$F776="Main Primary Artist"),$F776,not(iserror(vlookup($F776,'Reference info'!$J$5:$J$8,1,0))),"Key Artist",not(iserror(vlookup($F776,'Reference info'!$J$38:$J$405,1,0))),"Performer",not(iserror(vlookup($F776,'Reference info'!$J$10:$J$36,1,0))),"Producer &amp; Engineer")</f>
        <v/>
      </c>
    </row>
    <row r="777">
      <c r="B777" s="97"/>
      <c r="C777" s="121" t="str">
        <f t="array" ref="C777">ifs(and(isblank($A777),isblank($B777)),"", not(iserror(vlookup($A777&amp;$B777,'5) Release_Track'!$F:$F&amp;'5) Release_Track'!$G:$G,1,0))),vlookup($A777&amp;$B777,{'5) Release_Track'!$F:$F&amp;'5) Release_Track'!$G:$G,'5) Release_Track'!$H:$H},2,0),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D777" s="121" t="str">
        <f t="array" ref="D777">ifs(and(isblank($A777),isblank($B777)),"", not(iserror(vlookup($A777&amp;$B777,'5) Release_Track'!$F:$F&amp;'5) Release_Track'!$G:$G,1,0))),vlookup($A777&amp;$B777,{'5) Release_Track'!$F:$F&amp;'5) Release_Track'!$G:$G,'5) Release_Track'!$I:$I},2,0),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E777" s="92"/>
      <c r="F777" s="92"/>
      <c r="G777" s="125" t="str">
        <f t="array" ref="G777">ifs(or($F777="",$F777="Main Primary Artist"),$F777,not(iserror(vlookup($F777,'Reference info'!$J$5:$J$8,1,0))),"Key Artist",not(iserror(vlookup($F777,'Reference info'!$J$38:$J$405,1,0))),"Performer",not(iserror(vlookup($F777,'Reference info'!$J$10:$J$36,1,0))),"Producer &amp; Engineer")</f>
        <v/>
      </c>
    </row>
    <row r="778">
      <c r="B778" s="97"/>
      <c r="C778" s="121" t="str">
        <f t="array" ref="C778">ifs(and(isblank($A778),isblank($B778)),"", not(iserror(vlookup($A778&amp;$B778,'5) Release_Track'!$F:$F&amp;'5) Release_Track'!$G:$G,1,0))),vlookup($A778&amp;$B778,{'5) Release_Track'!$F:$F&amp;'5) Release_Track'!$G:$G,'5) Release_Track'!$H:$H},2,0),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D778" s="121" t="str">
        <f t="array" ref="D778">ifs(and(isblank($A778),isblank($B778)),"", not(iserror(vlookup($A778&amp;$B778,'5) Release_Track'!$F:$F&amp;'5) Release_Track'!$G:$G,1,0))),vlookup($A778&amp;$B778,{'5) Release_Track'!$F:$F&amp;'5) Release_Track'!$G:$G,'5) Release_Track'!$I:$I},2,0),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E778" s="92"/>
      <c r="F778" s="92"/>
      <c r="G778" s="125" t="str">
        <f t="array" ref="G778">ifs(or($F778="",$F778="Main Primary Artist"),$F778,not(iserror(vlookup($F778,'Reference info'!$J$5:$J$8,1,0))),"Key Artist",not(iserror(vlookup($F778,'Reference info'!$J$38:$J$405,1,0))),"Performer",not(iserror(vlookup($F778,'Reference info'!$J$10:$J$36,1,0))),"Producer &amp; Engineer")</f>
        <v/>
      </c>
    </row>
    <row r="779">
      <c r="B779" s="97"/>
      <c r="C779" s="121" t="str">
        <f t="array" ref="C779">ifs(and(isblank($A779),isblank($B779)),"", not(iserror(vlookup($A779&amp;$B779,'5) Release_Track'!$F:$F&amp;'5) Release_Track'!$G:$G,1,0))),vlookup($A779&amp;$B779,{'5) Release_Track'!$F:$F&amp;'5) Release_Track'!$G:$G,'5) Release_Track'!$H:$H},2,0),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D779" s="121" t="str">
        <f t="array" ref="D779">ifs(and(isblank($A779),isblank($B779)),"", not(iserror(vlookup($A779&amp;$B779,'5) Release_Track'!$F:$F&amp;'5) Release_Track'!$G:$G,1,0))),vlookup($A779&amp;$B779,{'5) Release_Track'!$F:$F&amp;'5) Release_Track'!$G:$G,'5) Release_Track'!$I:$I},2,0),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E779" s="92"/>
      <c r="F779" s="92"/>
      <c r="G779" s="125" t="str">
        <f t="array" ref="G779">ifs(or($F779="",$F779="Main Primary Artist"),$F779,not(iserror(vlookup($F779,'Reference info'!$J$5:$J$8,1,0))),"Key Artist",not(iserror(vlookup($F779,'Reference info'!$J$38:$J$405,1,0))),"Performer",not(iserror(vlookup($F779,'Reference info'!$J$10:$J$36,1,0))),"Producer &amp; Engineer")</f>
        <v/>
      </c>
    </row>
    <row r="780">
      <c r="B780" s="97"/>
      <c r="C780" s="121" t="str">
        <f t="array" ref="C780">ifs(and(isblank($A780),isblank($B780)),"", not(iserror(vlookup($A780&amp;$B780,'5) Release_Track'!$F:$F&amp;'5) Release_Track'!$G:$G,1,0))),vlookup($A780&amp;$B780,{'5) Release_Track'!$F:$F&amp;'5) Release_Track'!$G:$G,'5) Release_Track'!$H:$H},2,0),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D780" s="121" t="str">
        <f t="array" ref="D780">ifs(and(isblank($A780),isblank($B780)),"", not(iserror(vlookup($A780&amp;$B780,'5) Release_Track'!$F:$F&amp;'5) Release_Track'!$G:$G,1,0))),vlookup($A780&amp;$B780,{'5) Release_Track'!$F:$F&amp;'5) Release_Track'!$G:$G,'5) Release_Track'!$I:$I},2,0),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E780" s="92"/>
      <c r="F780" s="92"/>
      <c r="G780" s="125" t="str">
        <f t="array" ref="G780">ifs(or($F780="",$F780="Main Primary Artist"),$F780,not(iserror(vlookup($F780,'Reference info'!$J$5:$J$8,1,0))),"Key Artist",not(iserror(vlookup($F780,'Reference info'!$J$38:$J$405,1,0))),"Performer",not(iserror(vlookup($F780,'Reference info'!$J$10:$J$36,1,0))),"Producer &amp; Engineer")</f>
        <v/>
      </c>
    </row>
    <row r="781">
      <c r="B781" s="97"/>
      <c r="C781" s="121" t="str">
        <f t="array" ref="C781">ifs(and(isblank($A781),isblank($B781)),"", not(iserror(vlookup($A781&amp;$B781,'5) Release_Track'!$F:$F&amp;'5) Release_Track'!$G:$G,1,0))),vlookup($A781&amp;$B781,{'5) Release_Track'!$F:$F&amp;'5) Release_Track'!$G:$G,'5) Release_Track'!$H:$H},2,0),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D781" s="121" t="str">
        <f t="array" ref="D781">ifs(and(isblank($A781),isblank($B781)),"", not(iserror(vlookup($A781&amp;$B781,'5) Release_Track'!$F:$F&amp;'5) Release_Track'!$G:$G,1,0))),vlookup($A781&amp;$B781,{'5) Release_Track'!$F:$F&amp;'5) Release_Track'!$G:$G,'5) Release_Track'!$I:$I},2,0),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E781" s="92"/>
      <c r="F781" s="92"/>
      <c r="G781" s="125" t="str">
        <f t="array" ref="G781">ifs(or($F781="",$F781="Main Primary Artist"),$F781,not(iserror(vlookup($F781,'Reference info'!$J$5:$J$8,1,0))),"Key Artist",not(iserror(vlookup($F781,'Reference info'!$J$38:$J$405,1,0))),"Performer",not(iserror(vlookup($F781,'Reference info'!$J$10:$J$36,1,0))),"Producer &amp; Engineer")</f>
        <v/>
      </c>
    </row>
    <row r="782">
      <c r="B782" s="97"/>
      <c r="C782" s="121" t="str">
        <f t="array" ref="C782">ifs(and(isblank($A782),isblank($B782)),"", not(iserror(vlookup($A782&amp;$B782,'5) Release_Track'!$F:$F&amp;'5) Release_Track'!$G:$G,1,0))),vlookup($A782&amp;$B782,{'5) Release_Track'!$F:$F&amp;'5) Release_Track'!$G:$G,'5) Release_Track'!$H:$H},2,0),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D782" s="121" t="str">
        <f t="array" ref="D782">ifs(and(isblank($A782),isblank($B782)),"", not(iserror(vlookup($A782&amp;$B782,'5) Release_Track'!$F:$F&amp;'5) Release_Track'!$G:$G,1,0))),vlookup($A782&amp;$B782,{'5) Release_Track'!$F:$F&amp;'5) Release_Track'!$G:$G,'5) Release_Track'!$I:$I},2,0),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E782" s="92"/>
      <c r="F782" s="92"/>
      <c r="G782" s="125" t="str">
        <f t="array" ref="G782">ifs(or($F782="",$F782="Main Primary Artist"),$F782,not(iserror(vlookup($F782,'Reference info'!$J$5:$J$8,1,0))),"Key Artist",not(iserror(vlookup($F782,'Reference info'!$J$38:$J$405,1,0))),"Performer",not(iserror(vlookup($F782,'Reference info'!$J$10:$J$36,1,0))),"Producer &amp; Engineer")</f>
        <v/>
      </c>
    </row>
    <row r="783">
      <c r="B783" s="97"/>
      <c r="C783" s="121" t="str">
        <f t="array" ref="C783">ifs(and(isblank($A783),isblank($B783)),"", not(iserror(vlookup($A783&amp;$B783,'5) Release_Track'!$F:$F&amp;'5) Release_Track'!$G:$G,1,0))),vlookup($A783&amp;$B783,{'5) Release_Track'!$F:$F&amp;'5) Release_Track'!$G:$G,'5) Release_Track'!$H:$H},2,0),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D783" s="121" t="str">
        <f t="array" ref="D783">ifs(and(isblank($A783),isblank($B783)),"", not(iserror(vlookup($A783&amp;$B783,'5) Release_Track'!$F:$F&amp;'5) Release_Track'!$G:$G,1,0))),vlookup($A783&amp;$B783,{'5) Release_Track'!$F:$F&amp;'5) Release_Track'!$G:$G,'5) Release_Track'!$I:$I},2,0),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E783" s="92"/>
      <c r="F783" s="92"/>
      <c r="G783" s="125" t="str">
        <f t="array" ref="G783">ifs(or($F783="",$F783="Main Primary Artist"),$F783,not(iserror(vlookup($F783,'Reference info'!$J$5:$J$8,1,0))),"Key Artist",not(iserror(vlookup($F783,'Reference info'!$J$38:$J$405,1,0))),"Performer",not(iserror(vlookup($F783,'Reference info'!$J$10:$J$36,1,0))),"Producer &amp; Engineer")</f>
        <v/>
      </c>
    </row>
    <row r="784">
      <c r="B784" s="97"/>
      <c r="C784" s="121" t="str">
        <f t="array" ref="C784">ifs(and(isblank($A784),isblank($B784)),"", not(iserror(vlookup($A784&amp;$B784,'5) Release_Track'!$F:$F&amp;'5) Release_Track'!$G:$G,1,0))),vlookup($A784&amp;$B784,{'5) Release_Track'!$F:$F&amp;'5) Release_Track'!$G:$G,'5) Release_Track'!$H:$H},2,0),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D784" s="121" t="str">
        <f t="array" ref="D784">ifs(and(isblank($A784),isblank($B784)),"", not(iserror(vlookup($A784&amp;$B784,'5) Release_Track'!$F:$F&amp;'5) Release_Track'!$G:$G,1,0))),vlookup($A784&amp;$B784,{'5) Release_Track'!$F:$F&amp;'5) Release_Track'!$G:$G,'5) Release_Track'!$I:$I},2,0),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E784" s="92"/>
      <c r="F784" s="92"/>
      <c r="G784" s="125" t="str">
        <f t="array" ref="G784">ifs(or($F784="",$F784="Main Primary Artist"),$F784,not(iserror(vlookup($F784,'Reference info'!$J$5:$J$8,1,0))),"Key Artist",not(iserror(vlookup($F784,'Reference info'!$J$38:$J$405,1,0))),"Performer",not(iserror(vlookup($F784,'Reference info'!$J$10:$J$36,1,0))),"Producer &amp; Engineer")</f>
        <v/>
      </c>
    </row>
    <row r="785">
      <c r="B785" s="97"/>
      <c r="C785" s="121" t="str">
        <f t="array" ref="C785">ifs(and(isblank($A785),isblank($B785)),"", not(iserror(vlookup($A785&amp;$B785,'5) Release_Track'!$F:$F&amp;'5) Release_Track'!$G:$G,1,0))),vlookup($A785&amp;$B785,{'5) Release_Track'!$F:$F&amp;'5) Release_Track'!$G:$G,'5) Release_Track'!$H:$H},2,0),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D785" s="121" t="str">
        <f t="array" ref="D785">ifs(and(isblank($A785),isblank($B785)),"", not(iserror(vlookup($A785&amp;$B785,'5) Release_Track'!$F:$F&amp;'5) Release_Track'!$G:$G,1,0))),vlookup($A785&amp;$B785,{'5) Release_Track'!$F:$F&amp;'5) Release_Track'!$G:$G,'5) Release_Track'!$I:$I},2,0),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E785" s="92"/>
      <c r="F785" s="92"/>
      <c r="G785" s="125" t="str">
        <f t="array" ref="G785">ifs(or($F785="",$F785="Main Primary Artist"),$F785,not(iserror(vlookup($F785,'Reference info'!$J$5:$J$8,1,0))),"Key Artist",not(iserror(vlookup($F785,'Reference info'!$J$38:$J$405,1,0))),"Performer",not(iserror(vlookup($F785,'Reference info'!$J$10:$J$36,1,0))),"Producer &amp; Engineer")</f>
        <v/>
      </c>
    </row>
    <row r="786">
      <c r="B786" s="97"/>
      <c r="C786" s="121" t="str">
        <f t="array" ref="C786">ifs(and(isblank($A786),isblank($B786)),"", not(iserror(vlookup($A786&amp;$B786,'5) Release_Track'!$F:$F&amp;'5) Release_Track'!$G:$G,1,0))),vlookup($A786&amp;$B786,{'5) Release_Track'!$F:$F&amp;'5) Release_Track'!$G:$G,'5) Release_Track'!$H:$H},2,0),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D786" s="121" t="str">
        <f t="array" ref="D786">ifs(and(isblank($A786),isblank($B786)),"", not(iserror(vlookup($A786&amp;$B786,'5) Release_Track'!$F:$F&amp;'5) Release_Track'!$G:$G,1,0))),vlookup($A786&amp;$B786,{'5) Release_Track'!$F:$F&amp;'5) Release_Track'!$G:$G,'5) Release_Track'!$I:$I},2,0),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E786" s="92"/>
      <c r="F786" s="92"/>
      <c r="G786" s="125" t="str">
        <f t="array" ref="G786">ifs(or($F786="",$F786="Main Primary Artist"),$F786,not(iserror(vlookup($F786,'Reference info'!$J$5:$J$8,1,0))),"Key Artist",not(iserror(vlookup($F786,'Reference info'!$J$38:$J$405,1,0))),"Performer",not(iserror(vlookup($F786,'Reference info'!$J$10:$J$36,1,0))),"Producer &amp; Engineer")</f>
        <v/>
      </c>
    </row>
    <row r="787">
      <c r="B787" s="97"/>
      <c r="C787" s="121" t="str">
        <f t="array" ref="C787">ifs(and(isblank($A787),isblank($B787)),"", not(iserror(vlookup($A787&amp;$B787,'5) Release_Track'!$F:$F&amp;'5) Release_Track'!$G:$G,1,0))),vlookup($A787&amp;$B787,{'5) Release_Track'!$F:$F&amp;'5) Release_Track'!$G:$G,'5) Release_Track'!$H:$H},2,0),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D787" s="121" t="str">
        <f t="array" ref="D787">ifs(and(isblank($A787),isblank($B787)),"", not(iserror(vlookup($A787&amp;$B787,'5) Release_Track'!$F:$F&amp;'5) Release_Track'!$G:$G,1,0))),vlookup($A787&amp;$B787,{'5) Release_Track'!$F:$F&amp;'5) Release_Track'!$G:$G,'5) Release_Track'!$I:$I},2,0),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E787" s="92"/>
      <c r="F787" s="92"/>
      <c r="G787" s="125" t="str">
        <f t="array" ref="G787">ifs(or($F787="",$F787="Main Primary Artist"),$F787,not(iserror(vlookup($F787,'Reference info'!$J$5:$J$8,1,0))),"Key Artist",not(iserror(vlookup($F787,'Reference info'!$J$38:$J$405,1,0))),"Performer",not(iserror(vlookup($F787,'Reference info'!$J$10:$J$36,1,0))),"Producer &amp; Engineer")</f>
        <v/>
      </c>
    </row>
    <row r="788">
      <c r="B788" s="97"/>
      <c r="C788" s="121" t="str">
        <f t="array" ref="C788">ifs(and(isblank($A788),isblank($B788)),"", not(iserror(vlookup($A788&amp;$B788,'5) Release_Track'!$F:$F&amp;'5) Release_Track'!$G:$G,1,0))),vlookup($A788&amp;$B788,{'5) Release_Track'!$F:$F&amp;'5) Release_Track'!$G:$G,'5) Release_Track'!$H:$H},2,0),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D788" s="121" t="str">
        <f t="array" ref="D788">ifs(and(isblank($A788),isblank($B788)),"", not(iserror(vlookup($A788&amp;$B788,'5) Release_Track'!$F:$F&amp;'5) Release_Track'!$G:$G,1,0))),vlookup($A788&amp;$B788,{'5) Release_Track'!$F:$F&amp;'5) Release_Track'!$G:$G,'5) Release_Track'!$I:$I},2,0),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E788" s="92"/>
      <c r="F788" s="92"/>
      <c r="G788" s="125" t="str">
        <f t="array" ref="G788">ifs(or($F788="",$F788="Main Primary Artist"),$F788,not(iserror(vlookup($F788,'Reference info'!$J$5:$J$8,1,0))),"Key Artist",not(iserror(vlookup($F788,'Reference info'!$J$38:$J$405,1,0))),"Performer",not(iserror(vlookup($F788,'Reference info'!$J$10:$J$36,1,0))),"Producer &amp; Engineer")</f>
        <v/>
      </c>
    </row>
    <row r="789">
      <c r="B789" s="97"/>
      <c r="C789" s="121" t="str">
        <f t="array" ref="C789">ifs(and(isblank($A789),isblank($B789)),"", not(iserror(vlookup($A789&amp;$B789,'5) Release_Track'!$F:$F&amp;'5) Release_Track'!$G:$G,1,0))),vlookup($A789&amp;$B789,{'5) Release_Track'!$F:$F&amp;'5) Release_Track'!$G:$G,'5) Release_Track'!$H:$H},2,0),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D789" s="121" t="str">
        <f t="array" ref="D789">ifs(and(isblank($A789),isblank($B789)),"", not(iserror(vlookup($A789&amp;$B789,'5) Release_Track'!$F:$F&amp;'5) Release_Track'!$G:$G,1,0))),vlookup($A789&amp;$B789,{'5) Release_Track'!$F:$F&amp;'5) Release_Track'!$G:$G,'5) Release_Track'!$I:$I},2,0),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E789" s="92"/>
      <c r="F789" s="92"/>
      <c r="G789" s="125" t="str">
        <f t="array" ref="G789">ifs(or($F789="",$F789="Main Primary Artist"),$F789,not(iserror(vlookup($F789,'Reference info'!$J$5:$J$8,1,0))),"Key Artist",not(iserror(vlookup($F789,'Reference info'!$J$38:$J$405,1,0))),"Performer",not(iserror(vlookup($F789,'Reference info'!$J$10:$J$36,1,0))),"Producer &amp; Engineer")</f>
        <v/>
      </c>
    </row>
    <row r="790">
      <c r="B790" s="97"/>
      <c r="C790" s="121" t="str">
        <f t="array" ref="C790">ifs(and(isblank($A790),isblank($B790)),"", not(iserror(vlookup($A790&amp;$B790,'5) Release_Track'!$F:$F&amp;'5) Release_Track'!$G:$G,1,0))),vlookup($A790&amp;$B790,{'5) Release_Track'!$F:$F&amp;'5) Release_Track'!$G:$G,'5) Release_Track'!$H:$H},2,0),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D790" s="121" t="str">
        <f t="array" ref="D790">ifs(and(isblank($A790),isblank($B790)),"", not(iserror(vlookup($A790&amp;$B790,'5) Release_Track'!$F:$F&amp;'5) Release_Track'!$G:$G,1,0))),vlookup($A790&amp;$B790,{'5) Release_Track'!$F:$F&amp;'5) Release_Track'!$G:$G,'5) Release_Track'!$I:$I},2,0),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E790" s="92"/>
      <c r="F790" s="92"/>
      <c r="G790" s="125" t="str">
        <f t="array" ref="G790">ifs(or($F790="",$F790="Main Primary Artist"),$F790,not(iserror(vlookup($F790,'Reference info'!$J$5:$J$8,1,0))),"Key Artist",not(iserror(vlookup($F790,'Reference info'!$J$38:$J$405,1,0))),"Performer",not(iserror(vlookup($F790,'Reference info'!$J$10:$J$36,1,0))),"Producer &amp; Engineer")</f>
        <v/>
      </c>
    </row>
    <row r="791">
      <c r="B791" s="97"/>
      <c r="C791" s="121" t="str">
        <f t="array" ref="C791">ifs(and(isblank($A791),isblank($B791)),"", not(iserror(vlookup($A791&amp;$B791,'5) Release_Track'!$F:$F&amp;'5) Release_Track'!$G:$G,1,0))),vlookup($A791&amp;$B791,{'5) Release_Track'!$F:$F&amp;'5) Release_Track'!$G:$G,'5) Release_Track'!$H:$H},2,0),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D791" s="121" t="str">
        <f t="array" ref="D791">ifs(and(isblank($A791),isblank($B791)),"", not(iserror(vlookup($A791&amp;$B791,'5) Release_Track'!$F:$F&amp;'5) Release_Track'!$G:$G,1,0))),vlookup($A791&amp;$B791,{'5) Release_Track'!$F:$F&amp;'5) Release_Track'!$G:$G,'5) Release_Track'!$I:$I},2,0),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E791" s="92"/>
      <c r="F791" s="92"/>
      <c r="G791" s="125" t="str">
        <f t="array" ref="G791">ifs(or($F791="",$F791="Main Primary Artist"),$F791,not(iserror(vlookup($F791,'Reference info'!$J$5:$J$8,1,0))),"Key Artist",not(iserror(vlookup($F791,'Reference info'!$J$38:$J$405,1,0))),"Performer",not(iserror(vlookup($F791,'Reference info'!$J$10:$J$36,1,0))),"Producer &amp; Engineer")</f>
        <v/>
      </c>
    </row>
    <row r="792">
      <c r="B792" s="97"/>
      <c r="C792" s="121" t="str">
        <f t="array" ref="C792">ifs(and(isblank($A792),isblank($B792)),"", not(iserror(vlookup($A792&amp;$B792,'5) Release_Track'!$F:$F&amp;'5) Release_Track'!$G:$G,1,0))),vlookup($A792&amp;$B792,{'5) Release_Track'!$F:$F&amp;'5) Release_Track'!$G:$G,'5) Release_Track'!$H:$H},2,0),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D792" s="121" t="str">
        <f t="array" ref="D792">ifs(and(isblank($A792),isblank($B792)),"", not(iserror(vlookup($A792&amp;$B792,'5) Release_Track'!$F:$F&amp;'5) Release_Track'!$G:$G,1,0))),vlookup($A792&amp;$B792,{'5) Release_Track'!$F:$F&amp;'5) Release_Track'!$G:$G,'5) Release_Track'!$I:$I},2,0),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E792" s="92"/>
      <c r="F792" s="92"/>
      <c r="G792" s="125" t="str">
        <f t="array" ref="G792">ifs(or($F792="",$F792="Main Primary Artist"),$F792,not(iserror(vlookup($F792,'Reference info'!$J$5:$J$8,1,0))),"Key Artist",not(iserror(vlookup($F792,'Reference info'!$J$38:$J$405,1,0))),"Performer",not(iserror(vlookup($F792,'Reference info'!$J$10:$J$36,1,0))),"Producer &amp; Engineer")</f>
        <v/>
      </c>
    </row>
    <row r="793">
      <c r="B793" s="97"/>
      <c r="C793" s="121" t="str">
        <f t="array" ref="C793">ifs(and(isblank($A793),isblank($B793)),"", not(iserror(vlookup($A793&amp;$B793,'5) Release_Track'!$F:$F&amp;'5) Release_Track'!$G:$G,1,0))),vlookup($A793&amp;$B793,{'5) Release_Track'!$F:$F&amp;'5) Release_Track'!$G:$G,'5) Release_Track'!$H:$H},2,0),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D793" s="121" t="str">
        <f t="array" ref="D793">ifs(and(isblank($A793),isblank($B793)),"", not(iserror(vlookup($A793&amp;$B793,'5) Release_Track'!$F:$F&amp;'5) Release_Track'!$G:$G,1,0))),vlookup($A793&amp;$B793,{'5) Release_Track'!$F:$F&amp;'5) Release_Track'!$G:$G,'5) Release_Track'!$I:$I},2,0),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E793" s="92"/>
      <c r="F793" s="92"/>
      <c r="G793" s="125" t="str">
        <f t="array" ref="G793">ifs(or($F793="",$F793="Main Primary Artist"),$F793,not(iserror(vlookup($F793,'Reference info'!$J$5:$J$8,1,0))),"Key Artist",not(iserror(vlookup($F793,'Reference info'!$J$38:$J$405,1,0))),"Performer",not(iserror(vlookup($F793,'Reference info'!$J$10:$J$36,1,0))),"Producer &amp; Engineer")</f>
        <v/>
      </c>
    </row>
    <row r="794">
      <c r="B794" s="97"/>
      <c r="C794" s="121" t="str">
        <f t="array" ref="C794">ifs(and(isblank($A794),isblank($B794)),"", not(iserror(vlookup($A794&amp;$B794,'5) Release_Track'!$F:$F&amp;'5) Release_Track'!$G:$G,1,0))),vlookup($A794&amp;$B794,{'5) Release_Track'!$F:$F&amp;'5) Release_Track'!$G:$G,'5) Release_Track'!$H:$H},2,0),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D794" s="121" t="str">
        <f t="array" ref="D794">ifs(and(isblank($A794),isblank($B794)),"", not(iserror(vlookup($A794&amp;$B794,'5) Release_Track'!$F:$F&amp;'5) Release_Track'!$G:$G,1,0))),vlookup($A794&amp;$B794,{'5) Release_Track'!$F:$F&amp;'5) Release_Track'!$G:$G,'5) Release_Track'!$I:$I},2,0),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E794" s="92"/>
      <c r="F794" s="92"/>
      <c r="G794" s="125" t="str">
        <f t="array" ref="G794">ifs(or($F794="",$F794="Main Primary Artist"),$F794,not(iserror(vlookup($F794,'Reference info'!$J$5:$J$8,1,0))),"Key Artist",not(iserror(vlookup($F794,'Reference info'!$J$38:$J$405,1,0))),"Performer",not(iserror(vlookup($F794,'Reference info'!$J$10:$J$36,1,0))),"Producer &amp; Engineer")</f>
        <v/>
      </c>
    </row>
    <row r="795">
      <c r="B795" s="97"/>
      <c r="C795" s="121" t="str">
        <f t="array" ref="C795">ifs(and(isblank($A795),isblank($B795)),"", not(iserror(vlookup($A795&amp;$B795,'5) Release_Track'!$F:$F&amp;'5) Release_Track'!$G:$G,1,0))),vlookup($A795&amp;$B795,{'5) Release_Track'!$F:$F&amp;'5) Release_Track'!$G:$G,'5) Release_Track'!$H:$H},2,0),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D795" s="121" t="str">
        <f t="array" ref="D795">ifs(and(isblank($A795),isblank($B795)),"", not(iserror(vlookup($A795&amp;$B795,'5) Release_Track'!$F:$F&amp;'5) Release_Track'!$G:$G,1,0))),vlookup($A795&amp;$B795,{'5) Release_Track'!$F:$F&amp;'5) Release_Track'!$G:$G,'5) Release_Track'!$I:$I},2,0),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E795" s="92"/>
      <c r="F795" s="92"/>
      <c r="G795" s="125" t="str">
        <f t="array" ref="G795">ifs(or($F795="",$F795="Main Primary Artist"),$F795,not(iserror(vlookup($F795,'Reference info'!$J$5:$J$8,1,0))),"Key Artist",not(iserror(vlookup($F795,'Reference info'!$J$38:$J$405,1,0))),"Performer",not(iserror(vlookup($F795,'Reference info'!$J$10:$J$36,1,0))),"Producer &amp; Engineer")</f>
        <v/>
      </c>
    </row>
    <row r="796">
      <c r="B796" s="97"/>
      <c r="C796" s="121" t="str">
        <f t="array" ref="C796">ifs(and(isblank($A796),isblank($B796)),"", not(iserror(vlookup($A796&amp;$B796,'5) Release_Track'!$F:$F&amp;'5) Release_Track'!$G:$G,1,0))),vlookup($A796&amp;$B796,{'5) Release_Track'!$F:$F&amp;'5) Release_Track'!$G:$G,'5) Release_Track'!$H:$H},2,0),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D796" s="121" t="str">
        <f t="array" ref="D796">ifs(and(isblank($A796),isblank($B796)),"", not(iserror(vlookup($A796&amp;$B796,'5) Release_Track'!$F:$F&amp;'5) Release_Track'!$G:$G,1,0))),vlookup($A796&amp;$B796,{'5) Release_Track'!$F:$F&amp;'5) Release_Track'!$G:$G,'5) Release_Track'!$I:$I},2,0),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E796" s="92"/>
      <c r="F796" s="92"/>
      <c r="G796" s="125" t="str">
        <f t="array" ref="G796">ifs(or($F796="",$F796="Main Primary Artist"),$F796,not(iserror(vlookup($F796,'Reference info'!$J$5:$J$8,1,0))),"Key Artist",not(iserror(vlookup($F796,'Reference info'!$J$38:$J$405,1,0))),"Performer",not(iserror(vlookup($F796,'Reference info'!$J$10:$J$36,1,0))),"Producer &amp; Engineer")</f>
        <v/>
      </c>
    </row>
    <row r="797">
      <c r="B797" s="97"/>
      <c r="C797" s="121" t="str">
        <f t="array" ref="C797">ifs(and(isblank($A797),isblank($B797)),"", not(iserror(vlookup($A797&amp;$B797,'5) Release_Track'!$F:$F&amp;'5) Release_Track'!$G:$G,1,0))),vlookup($A797&amp;$B797,{'5) Release_Track'!$F:$F&amp;'5) Release_Track'!$G:$G,'5) Release_Track'!$H:$H},2,0),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D797" s="121" t="str">
        <f t="array" ref="D797">ifs(and(isblank($A797),isblank($B797)),"", not(iserror(vlookup($A797&amp;$B797,'5) Release_Track'!$F:$F&amp;'5) Release_Track'!$G:$G,1,0))),vlookup($A797&amp;$B797,{'5) Release_Track'!$F:$F&amp;'5) Release_Track'!$G:$G,'5) Release_Track'!$I:$I},2,0),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E797" s="92"/>
      <c r="F797" s="92"/>
      <c r="G797" s="125" t="str">
        <f t="array" ref="G797">ifs(or($F797="",$F797="Main Primary Artist"),$F797,not(iserror(vlookup($F797,'Reference info'!$J$5:$J$8,1,0))),"Key Artist",not(iserror(vlookup($F797,'Reference info'!$J$38:$J$405,1,0))),"Performer",not(iserror(vlookup($F797,'Reference info'!$J$10:$J$36,1,0))),"Producer &amp; Engineer")</f>
        <v/>
      </c>
    </row>
    <row r="798">
      <c r="B798" s="97"/>
      <c r="C798" s="121" t="str">
        <f t="array" ref="C798">ifs(and(isblank($A798),isblank($B798)),"", not(iserror(vlookup($A798&amp;$B798,'5) Release_Track'!$F:$F&amp;'5) Release_Track'!$G:$G,1,0))),vlookup($A798&amp;$B798,{'5) Release_Track'!$F:$F&amp;'5) Release_Track'!$G:$G,'5) Release_Track'!$H:$H},2,0),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D798" s="121" t="str">
        <f t="array" ref="D798">ifs(and(isblank($A798),isblank($B798)),"", not(iserror(vlookup($A798&amp;$B798,'5) Release_Track'!$F:$F&amp;'5) Release_Track'!$G:$G,1,0))),vlookup($A798&amp;$B798,{'5) Release_Track'!$F:$F&amp;'5) Release_Track'!$G:$G,'5) Release_Track'!$I:$I},2,0),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E798" s="92"/>
      <c r="F798" s="92"/>
      <c r="G798" s="125" t="str">
        <f t="array" ref="G798">ifs(or($F798="",$F798="Main Primary Artist"),$F798,not(iserror(vlookup($F798,'Reference info'!$J$5:$J$8,1,0))),"Key Artist",not(iserror(vlookup($F798,'Reference info'!$J$38:$J$405,1,0))),"Performer",not(iserror(vlookup($F798,'Reference info'!$J$10:$J$36,1,0))),"Producer &amp; Engineer")</f>
        <v/>
      </c>
    </row>
    <row r="799">
      <c r="B799" s="97"/>
      <c r="C799" s="121" t="str">
        <f t="array" ref="C799">ifs(and(isblank($A799),isblank($B799)),"", not(iserror(vlookup($A799&amp;$B799,'5) Release_Track'!$F:$F&amp;'5) Release_Track'!$G:$G,1,0))),vlookup($A799&amp;$B799,{'5) Release_Track'!$F:$F&amp;'5) Release_Track'!$G:$G,'5) Release_Track'!$H:$H},2,0),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D799" s="121" t="str">
        <f t="array" ref="D799">ifs(and(isblank($A799),isblank($B799)),"", not(iserror(vlookup($A799&amp;$B799,'5) Release_Track'!$F:$F&amp;'5) Release_Track'!$G:$G,1,0))),vlookup($A799&amp;$B799,{'5) Release_Track'!$F:$F&amp;'5) Release_Track'!$G:$G,'5) Release_Track'!$I:$I},2,0),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E799" s="92"/>
      <c r="F799" s="92"/>
      <c r="G799" s="125" t="str">
        <f t="array" ref="G799">ifs(or($F799="",$F799="Main Primary Artist"),$F799,not(iserror(vlookup($F799,'Reference info'!$J$5:$J$8,1,0))),"Key Artist",not(iserror(vlookup($F799,'Reference info'!$J$38:$J$405,1,0))),"Performer",not(iserror(vlookup($F799,'Reference info'!$J$10:$J$36,1,0))),"Producer &amp; Engineer")</f>
        <v/>
      </c>
    </row>
    <row r="800">
      <c r="B800" s="97"/>
      <c r="C800" s="121" t="str">
        <f t="array" ref="C800">ifs(and(isblank($A800),isblank($B800)),"", not(iserror(vlookup($A800&amp;$B800,'5) Release_Track'!$F:$F&amp;'5) Release_Track'!$G:$G,1,0))),vlookup($A800&amp;$B800,{'5) Release_Track'!$F:$F&amp;'5) Release_Track'!$G:$G,'5) Release_Track'!$H:$H},2,0),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D800" s="121" t="str">
        <f t="array" ref="D800">ifs(and(isblank($A800),isblank($B800)),"", not(iserror(vlookup($A800&amp;$B800,'5) Release_Track'!$F:$F&amp;'5) Release_Track'!$G:$G,1,0))),vlookup($A800&amp;$B800,{'5) Release_Track'!$F:$F&amp;'5) Release_Track'!$G:$G,'5) Release_Track'!$I:$I},2,0),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E800" s="92"/>
      <c r="F800" s="92"/>
      <c r="G800" s="125" t="str">
        <f t="array" ref="G800">ifs(or($F800="",$F800="Main Primary Artist"),$F800,not(iserror(vlookup($F800,'Reference info'!$J$5:$J$8,1,0))),"Key Artist",not(iserror(vlookup($F800,'Reference info'!$J$38:$J$405,1,0))),"Performer",not(iserror(vlookup($F800,'Reference info'!$J$10:$J$36,1,0))),"Producer &amp; Engineer")</f>
        <v/>
      </c>
    </row>
    <row r="801">
      <c r="B801" s="97"/>
      <c r="C801" s="121" t="str">
        <f t="array" ref="C801">ifs(and(isblank($A801),isblank($B801)),"", not(iserror(vlookup($A801&amp;$B801,'5) Release_Track'!$F:$F&amp;'5) Release_Track'!$G:$G,1,0))),vlookup($A801&amp;$B801,{'5) Release_Track'!$F:$F&amp;'5) Release_Track'!$G:$G,'5) Release_Track'!$H:$H},2,0),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D801" s="121" t="str">
        <f t="array" ref="D801">ifs(and(isblank($A801),isblank($B801)),"", not(iserror(vlookup($A801&amp;$B801,'5) Release_Track'!$F:$F&amp;'5) Release_Track'!$G:$G,1,0))),vlookup($A801&amp;$B801,{'5) Release_Track'!$F:$F&amp;'5) Release_Track'!$G:$G,'5) Release_Track'!$I:$I},2,0),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E801" s="92"/>
      <c r="F801" s="92"/>
      <c r="G801" s="125" t="str">
        <f t="array" ref="G801">ifs(or($F801="",$F801="Main Primary Artist"),$F801,not(iserror(vlookup($F801,'Reference info'!$J$5:$J$8,1,0))),"Key Artist",not(iserror(vlookup($F801,'Reference info'!$J$38:$J$405,1,0))),"Performer",not(iserror(vlookup($F801,'Reference info'!$J$10:$J$36,1,0))),"Producer &amp; Engineer")</f>
        <v/>
      </c>
    </row>
    <row r="802">
      <c r="B802" s="97"/>
      <c r="C802" s="121" t="str">
        <f t="array" ref="C802">ifs(and(isblank($A802),isblank($B802)),"", not(iserror(vlookup($A802&amp;$B802,'5) Release_Track'!$F:$F&amp;'5) Release_Track'!$G:$G,1,0))),vlookup($A802&amp;$B802,{'5) Release_Track'!$F:$F&amp;'5) Release_Track'!$G:$G,'5) Release_Track'!$H:$H},2,0),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D802" s="121" t="str">
        <f t="array" ref="D802">ifs(and(isblank($A802),isblank($B802)),"", not(iserror(vlookup($A802&amp;$B802,'5) Release_Track'!$F:$F&amp;'5) Release_Track'!$G:$G,1,0))),vlookup($A802&amp;$B802,{'5) Release_Track'!$F:$F&amp;'5) Release_Track'!$G:$G,'5) Release_Track'!$I:$I},2,0),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E802" s="92"/>
      <c r="F802" s="92"/>
      <c r="G802" s="125" t="str">
        <f t="array" ref="G802">ifs(or($F802="",$F802="Main Primary Artist"),$F802,not(iserror(vlookup($F802,'Reference info'!$J$5:$J$8,1,0))),"Key Artist",not(iserror(vlookup($F802,'Reference info'!$J$38:$J$405,1,0))),"Performer",not(iserror(vlookup($F802,'Reference info'!$J$10:$J$36,1,0))),"Producer &amp; Engineer")</f>
        <v/>
      </c>
    </row>
    <row r="803">
      <c r="B803" s="97"/>
      <c r="C803" s="121" t="str">
        <f t="array" ref="C803">ifs(and(isblank($A803),isblank($B803)),"", not(iserror(vlookup($A803&amp;$B803,'5) Release_Track'!$F:$F&amp;'5) Release_Track'!$G:$G,1,0))),vlookup($A803&amp;$B803,{'5) Release_Track'!$F:$F&amp;'5) Release_Track'!$G:$G,'5) Release_Track'!$H:$H},2,0),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D803" s="121" t="str">
        <f t="array" ref="D803">ifs(and(isblank($A803),isblank($B803)),"", not(iserror(vlookup($A803&amp;$B803,'5) Release_Track'!$F:$F&amp;'5) Release_Track'!$G:$G,1,0))),vlookup($A803&amp;$B803,{'5) Release_Track'!$F:$F&amp;'5) Release_Track'!$G:$G,'5) Release_Track'!$I:$I},2,0),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E803" s="92"/>
      <c r="F803" s="92"/>
      <c r="G803" s="125" t="str">
        <f t="array" ref="G803">ifs(or($F803="",$F803="Main Primary Artist"),$F803,not(iserror(vlookup($F803,'Reference info'!$J$5:$J$8,1,0))),"Key Artist",not(iserror(vlookup($F803,'Reference info'!$J$38:$J$405,1,0))),"Performer",not(iserror(vlookup($F803,'Reference info'!$J$10:$J$36,1,0))),"Producer &amp; Engineer")</f>
        <v/>
      </c>
    </row>
    <row r="804">
      <c r="B804" s="97"/>
      <c r="C804" s="121" t="str">
        <f t="array" ref="C804">ifs(and(isblank($A804),isblank($B804)),"", not(iserror(vlookup($A804&amp;$B804,'5) Release_Track'!$F:$F&amp;'5) Release_Track'!$G:$G,1,0))),vlookup($A804&amp;$B804,{'5) Release_Track'!$F:$F&amp;'5) Release_Track'!$G:$G,'5) Release_Track'!$H:$H},2,0),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D804" s="121" t="str">
        <f t="array" ref="D804">ifs(and(isblank($A804),isblank($B804)),"", not(iserror(vlookup($A804&amp;$B804,'5) Release_Track'!$F:$F&amp;'5) Release_Track'!$G:$G,1,0))),vlookup($A804&amp;$B804,{'5) Release_Track'!$F:$F&amp;'5) Release_Track'!$G:$G,'5) Release_Track'!$I:$I},2,0),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E804" s="92"/>
      <c r="F804" s="92"/>
      <c r="G804" s="125" t="str">
        <f t="array" ref="G804">ifs(or($F804="",$F804="Main Primary Artist"),$F804,not(iserror(vlookup($F804,'Reference info'!$J$5:$J$8,1,0))),"Key Artist",not(iserror(vlookup($F804,'Reference info'!$J$38:$J$405,1,0))),"Performer",not(iserror(vlookup($F804,'Reference info'!$J$10:$J$36,1,0))),"Producer &amp; Engineer")</f>
        <v/>
      </c>
    </row>
    <row r="805">
      <c r="B805" s="97"/>
      <c r="C805" s="121" t="str">
        <f t="array" ref="C805">ifs(and(isblank($A805),isblank($B805)),"", not(iserror(vlookup($A805&amp;$B805,'5) Release_Track'!$F:$F&amp;'5) Release_Track'!$G:$G,1,0))),vlookup($A805&amp;$B805,{'5) Release_Track'!$F:$F&amp;'5) Release_Track'!$G:$G,'5) Release_Track'!$H:$H},2,0),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D805" s="121" t="str">
        <f t="array" ref="D805">ifs(and(isblank($A805),isblank($B805)),"", not(iserror(vlookup($A805&amp;$B805,'5) Release_Track'!$F:$F&amp;'5) Release_Track'!$G:$G,1,0))),vlookup($A805&amp;$B805,{'5) Release_Track'!$F:$F&amp;'5) Release_Track'!$G:$G,'5) Release_Track'!$I:$I},2,0),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E805" s="92"/>
      <c r="F805" s="92"/>
      <c r="G805" s="125" t="str">
        <f t="array" ref="G805">ifs(or($F805="",$F805="Main Primary Artist"),$F805,not(iserror(vlookup($F805,'Reference info'!$J$5:$J$8,1,0))),"Key Artist",not(iserror(vlookup($F805,'Reference info'!$J$38:$J$405,1,0))),"Performer",not(iserror(vlookup($F805,'Reference info'!$J$10:$J$36,1,0))),"Producer &amp; Engineer")</f>
        <v/>
      </c>
    </row>
    <row r="806">
      <c r="B806" s="97"/>
      <c r="C806" s="121" t="str">
        <f t="array" ref="C806">ifs(and(isblank($A806),isblank($B806)),"", not(iserror(vlookup($A806&amp;$B806,'5) Release_Track'!$F:$F&amp;'5) Release_Track'!$G:$G,1,0))),vlookup($A806&amp;$B806,{'5) Release_Track'!$F:$F&amp;'5) Release_Track'!$G:$G,'5) Release_Track'!$H:$H},2,0),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D806" s="121" t="str">
        <f t="array" ref="D806">ifs(and(isblank($A806),isblank($B806)),"", not(iserror(vlookup($A806&amp;$B806,'5) Release_Track'!$F:$F&amp;'5) Release_Track'!$G:$G,1,0))),vlookup($A806&amp;$B806,{'5) Release_Track'!$F:$F&amp;'5) Release_Track'!$G:$G,'5) Release_Track'!$I:$I},2,0),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E806" s="92"/>
      <c r="F806" s="92"/>
      <c r="G806" s="125" t="str">
        <f t="array" ref="G806">ifs(or($F806="",$F806="Main Primary Artist"),$F806,not(iserror(vlookup($F806,'Reference info'!$J$5:$J$8,1,0))),"Key Artist",not(iserror(vlookup($F806,'Reference info'!$J$38:$J$405,1,0))),"Performer",not(iserror(vlookup($F806,'Reference info'!$J$10:$J$36,1,0))),"Producer &amp; Engineer")</f>
        <v/>
      </c>
    </row>
    <row r="807">
      <c r="B807" s="97"/>
      <c r="C807" s="121" t="str">
        <f t="array" ref="C807">ifs(and(isblank($A807),isblank($B807)),"", not(iserror(vlookup($A807&amp;$B807,'5) Release_Track'!$F:$F&amp;'5) Release_Track'!$G:$G,1,0))),vlookup($A807&amp;$B807,{'5) Release_Track'!$F:$F&amp;'5) Release_Track'!$G:$G,'5) Release_Track'!$H:$H},2,0),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D807" s="121" t="str">
        <f t="array" ref="D807">ifs(and(isblank($A807),isblank($B807)),"", not(iserror(vlookup($A807&amp;$B807,'5) Release_Track'!$F:$F&amp;'5) Release_Track'!$G:$G,1,0))),vlookup($A807&amp;$B807,{'5) Release_Track'!$F:$F&amp;'5) Release_Track'!$G:$G,'5) Release_Track'!$I:$I},2,0),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E807" s="92"/>
      <c r="F807" s="92"/>
      <c r="G807" s="125" t="str">
        <f t="array" ref="G807">ifs(or($F807="",$F807="Main Primary Artist"),$F807,not(iserror(vlookup($F807,'Reference info'!$J$5:$J$8,1,0))),"Key Artist",not(iserror(vlookup($F807,'Reference info'!$J$38:$J$405,1,0))),"Performer",not(iserror(vlookup($F807,'Reference info'!$J$10:$J$36,1,0))),"Producer &amp; Engineer")</f>
        <v/>
      </c>
    </row>
    <row r="808">
      <c r="B808" s="97"/>
      <c r="C808" s="121" t="str">
        <f t="array" ref="C808">ifs(and(isblank($A808),isblank($B808)),"", not(iserror(vlookup($A808&amp;$B808,'5) Release_Track'!$F:$F&amp;'5) Release_Track'!$G:$G,1,0))),vlookup($A808&amp;$B808,{'5) Release_Track'!$F:$F&amp;'5) Release_Track'!$G:$G,'5) Release_Track'!$H:$H},2,0),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D808" s="121" t="str">
        <f t="array" ref="D808">ifs(and(isblank($A808),isblank($B808)),"", not(iserror(vlookup($A808&amp;$B808,'5) Release_Track'!$F:$F&amp;'5) Release_Track'!$G:$G,1,0))),vlookup($A808&amp;$B808,{'5) Release_Track'!$F:$F&amp;'5) Release_Track'!$G:$G,'5) Release_Track'!$I:$I},2,0),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E808" s="92"/>
      <c r="F808" s="92"/>
      <c r="G808" s="125" t="str">
        <f t="array" ref="G808">ifs(or($F808="",$F808="Main Primary Artist"),$F808,not(iserror(vlookup($F808,'Reference info'!$J$5:$J$8,1,0))),"Key Artist",not(iserror(vlookup($F808,'Reference info'!$J$38:$J$405,1,0))),"Performer",not(iserror(vlookup($F808,'Reference info'!$J$10:$J$36,1,0))),"Producer &amp; Engineer")</f>
        <v/>
      </c>
    </row>
    <row r="809">
      <c r="B809" s="97"/>
      <c r="C809" s="121" t="str">
        <f t="array" ref="C809">ifs(and(isblank($A809),isblank($B809)),"", not(iserror(vlookup($A809&amp;$B809,'5) Release_Track'!$F:$F&amp;'5) Release_Track'!$G:$G,1,0))),vlookup($A809&amp;$B809,{'5) Release_Track'!$F:$F&amp;'5) Release_Track'!$G:$G,'5) Release_Track'!$H:$H},2,0),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D809" s="121" t="str">
        <f t="array" ref="D809">ifs(and(isblank($A809),isblank($B809)),"", not(iserror(vlookup($A809&amp;$B809,'5) Release_Track'!$F:$F&amp;'5) Release_Track'!$G:$G,1,0))),vlookup($A809&amp;$B809,{'5) Release_Track'!$F:$F&amp;'5) Release_Track'!$G:$G,'5) Release_Track'!$I:$I},2,0),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E809" s="92"/>
      <c r="F809" s="92"/>
      <c r="G809" s="125" t="str">
        <f t="array" ref="G809">ifs(or($F809="",$F809="Main Primary Artist"),$F809,not(iserror(vlookup($F809,'Reference info'!$J$5:$J$8,1,0))),"Key Artist",not(iserror(vlookup($F809,'Reference info'!$J$38:$J$405,1,0))),"Performer",not(iserror(vlookup($F809,'Reference info'!$J$10:$J$36,1,0))),"Producer &amp; Engineer")</f>
        <v/>
      </c>
    </row>
    <row r="810">
      <c r="B810" s="97"/>
      <c r="C810" s="121" t="str">
        <f t="array" ref="C810">ifs(and(isblank($A810),isblank($B810)),"", not(iserror(vlookup($A810&amp;$B810,'5) Release_Track'!$F:$F&amp;'5) Release_Track'!$G:$G,1,0))),vlookup($A810&amp;$B810,{'5) Release_Track'!$F:$F&amp;'5) Release_Track'!$G:$G,'5) Release_Track'!$H:$H},2,0),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D810" s="121" t="str">
        <f t="array" ref="D810">ifs(and(isblank($A810),isblank($B810)),"", not(iserror(vlookup($A810&amp;$B810,'5) Release_Track'!$F:$F&amp;'5) Release_Track'!$G:$G,1,0))),vlookup($A810&amp;$B810,{'5) Release_Track'!$F:$F&amp;'5) Release_Track'!$G:$G,'5) Release_Track'!$I:$I},2,0),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E810" s="92"/>
      <c r="F810" s="92"/>
      <c r="G810" s="125" t="str">
        <f t="array" ref="G810">ifs(or($F810="",$F810="Main Primary Artist"),$F810,not(iserror(vlookup($F810,'Reference info'!$J$5:$J$8,1,0))),"Key Artist",not(iserror(vlookup($F810,'Reference info'!$J$38:$J$405,1,0))),"Performer",not(iserror(vlookup($F810,'Reference info'!$J$10:$J$36,1,0))),"Producer &amp; Engineer")</f>
        <v/>
      </c>
    </row>
    <row r="811">
      <c r="B811" s="97"/>
      <c r="C811" s="121" t="str">
        <f t="array" ref="C811">ifs(and(isblank($A811),isblank($B811)),"", not(iserror(vlookup($A811&amp;$B811,'5) Release_Track'!$F:$F&amp;'5) Release_Track'!$G:$G,1,0))),vlookup($A811&amp;$B811,{'5) Release_Track'!$F:$F&amp;'5) Release_Track'!$G:$G,'5) Release_Track'!$H:$H},2,0),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D811" s="121" t="str">
        <f t="array" ref="D811">ifs(and(isblank($A811),isblank($B811)),"", not(iserror(vlookup($A811&amp;$B811,'5) Release_Track'!$F:$F&amp;'5) Release_Track'!$G:$G,1,0))),vlookup($A811&amp;$B811,{'5) Release_Track'!$F:$F&amp;'5) Release_Track'!$G:$G,'5) Release_Track'!$I:$I},2,0),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E811" s="92"/>
      <c r="F811" s="92"/>
      <c r="G811" s="125" t="str">
        <f t="array" ref="G811">ifs(or($F811="",$F811="Main Primary Artist"),$F811,not(iserror(vlookup($F811,'Reference info'!$J$5:$J$8,1,0))),"Key Artist",not(iserror(vlookup($F811,'Reference info'!$J$38:$J$405,1,0))),"Performer",not(iserror(vlookup($F811,'Reference info'!$J$10:$J$36,1,0))),"Producer &amp; Engineer")</f>
        <v/>
      </c>
    </row>
    <row r="812">
      <c r="B812" s="97"/>
      <c r="C812" s="121" t="str">
        <f t="array" ref="C812">ifs(and(isblank($A812),isblank($B812)),"", not(iserror(vlookup($A812&amp;$B812,'5) Release_Track'!$F:$F&amp;'5) Release_Track'!$G:$G,1,0))),vlookup($A812&amp;$B812,{'5) Release_Track'!$F:$F&amp;'5) Release_Track'!$G:$G,'5) Release_Track'!$H:$H},2,0),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D812" s="121" t="str">
        <f t="array" ref="D812">ifs(and(isblank($A812),isblank($B812)),"", not(iserror(vlookup($A812&amp;$B812,'5) Release_Track'!$F:$F&amp;'5) Release_Track'!$G:$G,1,0))),vlookup($A812&amp;$B812,{'5) Release_Track'!$F:$F&amp;'5) Release_Track'!$G:$G,'5) Release_Track'!$I:$I},2,0),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E812" s="92"/>
      <c r="F812" s="92"/>
      <c r="G812" s="125" t="str">
        <f t="array" ref="G812">ifs(or($F812="",$F812="Main Primary Artist"),$F812,not(iserror(vlookup($F812,'Reference info'!$J$5:$J$8,1,0))),"Key Artist",not(iserror(vlookup($F812,'Reference info'!$J$38:$J$405,1,0))),"Performer",not(iserror(vlookup($F812,'Reference info'!$J$10:$J$36,1,0))),"Producer &amp; Engineer")</f>
        <v/>
      </c>
    </row>
    <row r="813">
      <c r="B813" s="97"/>
      <c r="C813" s="121" t="str">
        <f t="array" ref="C813">ifs(and(isblank($A813),isblank($B813)),"", not(iserror(vlookup($A813&amp;$B813,'5) Release_Track'!$F:$F&amp;'5) Release_Track'!$G:$G,1,0))),vlookup($A813&amp;$B813,{'5) Release_Track'!$F:$F&amp;'5) Release_Track'!$G:$G,'5) Release_Track'!$H:$H},2,0),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D813" s="121" t="str">
        <f t="array" ref="D813">ifs(and(isblank($A813),isblank($B813)),"", not(iserror(vlookup($A813&amp;$B813,'5) Release_Track'!$F:$F&amp;'5) Release_Track'!$G:$G,1,0))),vlookup($A813&amp;$B813,{'5) Release_Track'!$F:$F&amp;'5) Release_Track'!$G:$G,'5) Release_Track'!$I:$I},2,0),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E813" s="92"/>
      <c r="F813" s="92"/>
      <c r="G813" s="125" t="str">
        <f t="array" ref="G813">ifs(or($F813="",$F813="Main Primary Artist"),$F813,not(iserror(vlookup($F813,'Reference info'!$J$5:$J$8,1,0))),"Key Artist",not(iserror(vlookup($F813,'Reference info'!$J$38:$J$405,1,0))),"Performer",not(iserror(vlookup($F813,'Reference info'!$J$10:$J$36,1,0))),"Producer &amp; Engineer")</f>
        <v/>
      </c>
    </row>
    <row r="814">
      <c r="B814" s="97"/>
      <c r="C814" s="121" t="str">
        <f t="array" ref="C814">ifs(and(isblank($A814),isblank($B814)),"", not(iserror(vlookup($A814&amp;$B814,'5) Release_Track'!$F:$F&amp;'5) Release_Track'!$G:$G,1,0))),vlookup($A814&amp;$B814,{'5) Release_Track'!$F:$F&amp;'5) Release_Track'!$G:$G,'5) Release_Track'!$H:$H},2,0),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D814" s="121" t="str">
        <f t="array" ref="D814">ifs(and(isblank($A814),isblank($B814)),"", not(iserror(vlookup($A814&amp;$B814,'5) Release_Track'!$F:$F&amp;'5) Release_Track'!$G:$G,1,0))),vlookup($A814&amp;$B814,{'5) Release_Track'!$F:$F&amp;'5) Release_Track'!$G:$G,'5) Release_Track'!$I:$I},2,0),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E814" s="92"/>
      <c r="F814" s="92"/>
      <c r="G814" s="125" t="str">
        <f t="array" ref="G814">ifs(or($F814="",$F814="Main Primary Artist"),$F814,not(iserror(vlookup($F814,'Reference info'!$J$5:$J$8,1,0))),"Key Artist",not(iserror(vlookup($F814,'Reference info'!$J$38:$J$405,1,0))),"Performer",not(iserror(vlookup($F814,'Reference info'!$J$10:$J$36,1,0))),"Producer &amp; Engineer")</f>
        <v/>
      </c>
    </row>
    <row r="815">
      <c r="B815" s="97"/>
      <c r="C815" s="121" t="str">
        <f t="array" ref="C815">ifs(and(isblank($A815),isblank($B815)),"", not(iserror(vlookup($A815&amp;$B815,'5) Release_Track'!$F:$F&amp;'5) Release_Track'!$G:$G,1,0))),vlookup($A815&amp;$B815,{'5) Release_Track'!$F:$F&amp;'5) Release_Track'!$G:$G,'5) Release_Track'!$H:$H},2,0),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D815" s="121" t="str">
        <f t="array" ref="D815">ifs(and(isblank($A815),isblank($B815)),"", not(iserror(vlookup($A815&amp;$B815,'5) Release_Track'!$F:$F&amp;'5) Release_Track'!$G:$G,1,0))),vlookup($A815&amp;$B815,{'5) Release_Track'!$F:$F&amp;'5) Release_Track'!$G:$G,'5) Release_Track'!$I:$I},2,0),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E815" s="92"/>
      <c r="F815" s="92"/>
      <c r="G815" s="125" t="str">
        <f t="array" ref="G815">ifs(or($F815="",$F815="Main Primary Artist"),$F815,not(iserror(vlookup($F815,'Reference info'!$J$5:$J$8,1,0))),"Key Artist",not(iserror(vlookup($F815,'Reference info'!$J$38:$J$405,1,0))),"Performer",not(iserror(vlookup($F815,'Reference info'!$J$10:$J$36,1,0))),"Producer &amp; Engineer")</f>
        <v/>
      </c>
    </row>
    <row r="816">
      <c r="B816" s="97"/>
      <c r="C816" s="121" t="str">
        <f t="array" ref="C816">ifs(and(isblank($A816),isblank($B816)),"", not(iserror(vlookup($A816&amp;$B816,'5) Release_Track'!$F:$F&amp;'5) Release_Track'!$G:$G,1,0))),vlookup($A816&amp;$B816,{'5) Release_Track'!$F:$F&amp;'5) Release_Track'!$G:$G,'5) Release_Track'!$H:$H},2,0),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D816" s="121" t="str">
        <f t="array" ref="D816">ifs(and(isblank($A816),isblank($B816)),"", not(iserror(vlookup($A816&amp;$B816,'5) Release_Track'!$F:$F&amp;'5) Release_Track'!$G:$G,1,0))),vlookup($A816&amp;$B816,{'5) Release_Track'!$F:$F&amp;'5) Release_Track'!$G:$G,'5) Release_Track'!$I:$I},2,0),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E816" s="92"/>
      <c r="F816" s="92"/>
      <c r="G816" s="125" t="str">
        <f t="array" ref="G816">ifs(or($F816="",$F816="Main Primary Artist"),$F816,not(iserror(vlookup($F816,'Reference info'!$J$5:$J$8,1,0))),"Key Artist",not(iserror(vlookup($F816,'Reference info'!$J$38:$J$405,1,0))),"Performer",not(iserror(vlookup($F816,'Reference info'!$J$10:$J$36,1,0))),"Producer &amp; Engineer")</f>
        <v/>
      </c>
    </row>
    <row r="817">
      <c r="B817" s="97"/>
      <c r="C817" s="121" t="str">
        <f t="array" ref="C817">ifs(and(isblank($A817),isblank($B817)),"", not(iserror(vlookup($A817&amp;$B817,'5) Release_Track'!$F:$F&amp;'5) Release_Track'!$G:$G,1,0))),vlookup($A817&amp;$B817,{'5) Release_Track'!$F:$F&amp;'5) Release_Track'!$G:$G,'5) Release_Track'!$H:$H},2,0),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D817" s="121" t="str">
        <f t="array" ref="D817">ifs(and(isblank($A817),isblank($B817)),"", not(iserror(vlookup($A817&amp;$B817,'5) Release_Track'!$F:$F&amp;'5) Release_Track'!$G:$G,1,0))),vlookup($A817&amp;$B817,{'5) Release_Track'!$F:$F&amp;'5) Release_Track'!$G:$G,'5) Release_Track'!$I:$I},2,0),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E817" s="92"/>
      <c r="F817" s="92"/>
      <c r="G817" s="125" t="str">
        <f t="array" ref="G817">ifs(or($F817="",$F817="Main Primary Artist"),$F817,not(iserror(vlookup($F817,'Reference info'!$J$5:$J$8,1,0))),"Key Artist",not(iserror(vlookup($F817,'Reference info'!$J$38:$J$405,1,0))),"Performer",not(iserror(vlookup($F817,'Reference info'!$J$10:$J$36,1,0))),"Producer &amp; Engineer")</f>
        <v/>
      </c>
    </row>
    <row r="818">
      <c r="B818" s="97"/>
      <c r="C818" s="121" t="str">
        <f t="array" ref="C818">ifs(and(isblank($A818),isblank($B818)),"", not(iserror(vlookup($A818&amp;$B818,'5) Release_Track'!$F:$F&amp;'5) Release_Track'!$G:$G,1,0))),vlookup($A818&amp;$B818,{'5) Release_Track'!$F:$F&amp;'5) Release_Track'!$G:$G,'5) Release_Track'!$H:$H},2,0),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D818" s="121" t="str">
        <f t="array" ref="D818">ifs(and(isblank($A818),isblank($B818)),"", not(iserror(vlookup($A818&amp;$B818,'5) Release_Track'!$F:$F&amp;'5) Release_Track'!$G:$G,1,0))),vlookup($A818&amp;$B818,{'5) Release_Track'!$F:$F&amp;'5) Release_Track'!$G:$G,'5) Release_Track'!$I:$I},2,0),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E818" s="92"/>
      <c r="F818" s="92"/>
      <c r="G818" s="125" t="str">
        <f t="array" ref="G818">ifs(or($F818="",$F818="Main Primary Artist"),$F818,not(iserror(vlookup($F818,'Reference info'!$J$5:$J$8,1,0))),"Key Artist",not(iserror(vlookup($F818,'Reference info'!$J$38:$J$405,1,0))),"Performer",not(iserror(vlookup($F818,'Reference info'!$J$10:$J$36,1,0))),"Producer &amp; Engineer")</f>
        <v/>
      </c>
    </row>
    <row r="819">
      <c r="B819" s="97"/>
      <c r="C819" s="121" t="str">
        <f t="array" ref="C819">ifs(and(isblank($A819),isblank($B819)),"", not(iserror(vlookup($A819&amp;$B819,'5) Release_Track'!$F:$F&amp;'5) Release_Track'!$G:$G,1,0))),vlookup($A819&amp;$B819,{'5) Release_Track'!$F:$F&amp;'5) Release_Track'!$G:$G,'5) Release_Track'!$H:$H},2,0),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D819" s="121" t="str">
        <f t="array" ref="D819">ifs(and(isblank($A819),isblank($B819)),"", not(iserror(vlookup($A819&amp;$B819,'5) Release_Track'!$F:$F&amp;'5) Release_Track'!$G:$G,1,0))),vlookup($A819&amp;$B819,{'5) Release_Track'!$F:$F&amp;'5) Release_Track'!$G:$G,'5) Release_Track'!$I:$I},2,0),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E819" s="92"/>
      <c r="F819" s="92"/>
      <c r="G819" s="125" t="str">
        <f t="array" ref="G819">ifs(or($F819="",$F819="Main Primary Artist"),$F819,not(iserror(vlookup($F819,'Reference info'!$J$5:$J$8,1,0))),"Key Artist",not(iserror(vlookup($F819,'Reference info'!$J$38:$J$405,1,0))),"Performer",not(iserror(vlookup($F819,'Reference info'!$J$10:$J$36,1,0))),"Producer &amp; Engineer")</f>
        <v/>
      </c>
    </row>
    <row r="820">
      <c r="B820" s="97"/>
      <c r="C820" s="121" t="str">
        <f t="array" ref="C820">ifs(and(isblank($A820),isblank($B820)),"", not(iserror(vlookup($A820&amp;$B820,'5) Release_Track'!$F:$F&amp;'5) Release_Track'!$G:$G,1,0))),vlookup($A820&amp;$B820,{'5) Release_Track'!$F:$F&amp;'5) Release_Track'!$G:$G,'5) Release_Track'!$H:$H},2,0),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D820" s="121" t="str">
        <f t="array" ref="D820">ifs(and(isblank($A820),isblank($B820)),"", not(iserror(vlookup($A820&amp;$B820,'5) Release_Track'!$F:$F&amp;'5) Release_Track'!$G:$G,1,0))),vlookup($A820&amp;$B820,{'5) Release_Track'!$F:$F&amp;'5) Release_Track'!$G:$G,'5) Release_Track'!$I:$I},2,0),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E820" s="92"/>
      <c r="F820" s="92"/>
      <c r="G820" s="125" t="str">
        <f t="array" ref="G820">ifs(or($F820="",$F820="Main Primary Artist"),$F820,not(iserror(vlookup($F820,'Reference info'!$J$5:$J$8,1,0))),"Key Artist",not(iserror(vlookup($F820,'Reference info'!$J$38:$J$405,1,0))),"Performer",not(iserror(vlookup($F820,'Reference info'!$J$10:$J$36,1,0))),"Producer &amp; Engineer")</f>
        <v/>
      </c>
    </row>
    <row r="821">
      <c r="B821" s="97"/>
      <c r="C821" s="121" t="str">
        <f t="array" ref="C821">ifs(and(isblank($A821),isblank($B821)),"", not(iserror(vlookup($A821&amp;$B821,'5) Release_Track'!$F:$F&amp;'5) Release_Track'!$G:$G,1,0))),vlookup($A821&amp;$B821,{'5) Release_Track'!$F:$F&amp;'5) Release_Track'!$G:$G,'5) Release_Track'!$H:$H},2,0),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D821" s="121" t="str">
        <f t="array" ref="D821">ifs(and(isblank($A821),isblank($B821)),"", not(iserror(vlookup($A821&amp;$B821,'5) Release_Track'!$F:$F&amp;'5) Release_Track'!$G:$G,1,0))),vlookup($A821&amp;$B821,{'5) Release_Track'!$F:$F&amp;'5) Release_Track'!$G:$G,'5) Release_Track'!$I:$I},2,0),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E821" s="92"/>
      <c r="F821" s="92"/>
      <c r="G821" s="125" t="str">
        <f t="array" ref="G821">ifs(or($F821="",$F821="Main Primary Artist"),$F821,not(iserror(vlookup($F821,'Reference info'!$J$5:$J$8,1,0))),"Key Artist",not(iserror(vlookup($F821,'Reference info'!$J$38:$J$405,1,0))),"Performer",not(iserror(vlookup($F821,'Reference info'!$J$10:$J$36,1,0))),"Producer &amp; Engineer")</f>
        <v/>
      </c>
    </row>
    <row r="822">
      <c r="B822" s="97"/>
      <c r="C822" s="121" t="str">
        <f t="array" ref="C822">ifs(and(isblank($A822),isblank($B822)),"", not(iserror(vlookup($A822&amp;$B822,'5) Release_Track'!$F:$F&amp;'5) Release_Track'!$G:$G,1,0))),vlookup($A822&amp;$B822,{'5) Release_Track'!$F:$F&amp;'5) Release_Track'!$G:$G,'5) Release_Track'!$H:$H},2,0),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D822" s="121" t="str">
        <f t="array" ref="D822">ifs(and(isblank($A822),isblank($B822)),"", not(iserror(vlookup($A822&amp;$B822,'5) Release_Track'!$F:$F&amp;'5) Release_Track'!$G:$G,1,0))),vlookup($A822&amp;$B822,{'5) Release_Track'!$F:$F&amp;'5) Release_Track'!$G:$G,'5) Release_Track'!$I:$I},2,0),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E822" s="92"/>
      <c r="F822" s="92"/>
      <c r="G822" s="125" t="str">
        <f t="array" ref="G822">ifs(or($F822="",$F822="Main Primary Artist"),$F822,not(iserror(vlookup($F822,'Reference info'!$J$5:$J$8,1,0))),"Key Artist",not(iserror(vlookup($F822,'Reference info'!$J$38:$J$405,1,0))),"Performer",not(iserror(vlookup($F822,'Reference info'!$J$10:$J$36,1,0))),"Producer &amp; Engineer")</f>
        <v/>
      </c>
    </row>
    <row r="823">
      <c r="B823" s="97"/>
      <c r="C823" s="121" t="str">
        <f t="array" ref="C823">ifs(and(isblank($A823),isblank($B823)),"", not(iserror(vlookup($A823&amp;$B823,'5) Release_Track'!$F:$F&amp;'5) Release_Track'!$G:$G,1,0))),vlookup($A823&amp;$B823,{'5) Release_Track'!$F:$F&amp;'5) Release_Track'!$G:$G,'5) Release_Track'!$H:$H},2,0),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D823" s="121" t="str">
        <f t="array" ref="D823">ifs(and(isblank($A823),isblank($B823)),"", not(iserror(vlookup($A823&amp;$B823,'5) Release_Track'!$F:$F&amp;'5) Release_Track'!$G:$G,1,0))),vlookup($A823&amp;$B823,{'5) Release_Track'!$F:$F&amp;'5) Release_Track'!$G:$G,'5) Release_Track'!$I:$I},2,0),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E823" s="92"/>
      <c r="F823" s="92"/>
      <c r="G823" s="125" t="str">
        <f t="array" ref="G823">ifs(or($F823="",$F823="Main Primary Artist"),$F823,not(iserror(vlookup($F823,'Reference info'!$J$5:$J$8,1,0))),"Key Artist",not(iserror(vlookup($F823,'Reference info'!$J$38:$J$405,1,0))),"Performer",not(iserror(vlookup($F823,'Reference info'!$J$10:$J$36,1,0))),"Producer &amp; Engineer")</f>
        <v/>
      </c>
    </row>
    <row r="824">
      <c r="B824" s="97"/>
      <c r="C824" s="121" t="str">
        <f t="array" ref="C824">ifs(and(isblank($A824),isblank($B824)),"", not(iserror(vlookup($A824&amp;$B824,'5) Release_Track'!$F:$F&amp;'5) Release_Track'!$G:$G,1,0))),vlookup($A824&amp;$B824,{'5) Release_Track'!$F:$F&amp;'5) Release_Track'!$G:$G,'5) Release_Track'!$H:$H},2,0),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D824" s="121" t="str">
        <f t="array" ref="D824">ifs(and(isblank($A824),isblank($B824)),"", not(iserror(vlookup($A824&amp;$B824,'5) Release_Track'!$F:$F&amp;'5) Release_Track'!$G:$G,1,0))),vlookup($A824&amp;$B824,{'5) Release_Track'!$F:$F&amp;'5) Release_Track'!$G:$G,'5) Release_Track'!$I:$I},2,0),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E824" s="92"/>
      <c r="F824" s="92"/>
      <c r="G824" s="125" t="str">
        <f t="array" ref="G824">ifs(or($F824="",$F824="Main Primary Artist"),$F824,not(iserror(vlookup($F824,'Reference info'!$J$5:$J$8,1,0))),"Key Artist",not(iserror(vlookup($F824,'Reference info'!$J$38:$J$405,1,0))),"Performer",not(iserror(vlookup($F824,'Reference info'!$J$10:$J$36,1,0))),"Producer &amp; Engineer")</f>
        <v/>
      </c>
    </row>
    <row r="825">
      <c r="B825" s="97"/>
      <c r="C825" s="121" t="str">
        <f t="array" ref="C825">ifs(and(isblank($A825),isblank($B825)),"", not(iserror(vlookup($A825&amp;$B825,'5) Release_Track'!$F:$F&amp;'5) Release_Track'!$G:$G,1,0))),vlookup($A825&amp;$B825,{'5) Release_Track'!$F:$F&amp;'5) Release_Track'!$G:$G,'5) Release_Track'!$H:$H},2,0),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D825" s="121" t="str">
        <f t="array" ref="D825">ifs(and(isblank($A825),isblank($B825)),"", not(iserror(vlookup($A825&amp;$B825,'5) Release_Track'!$F:$F&amp;'5) Release_Track'!$G:$G,1,0))),vlookup($A825&amp;$B825,{'5) Release_Track'!$F:$F&amp;'5) Release_Track'!$G:$G,'5) Release_Track'!$I:$I},2,0),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E825" s="92"/>
      <c r="F825" s="92"/>
      <c r="G825" s="125" t="str">
        <f t="array" ref="G825">ifs(or($F825="",$F825="Main Primary Artist"),$F825,not(iserror(vlookup($F825,'Reference info'!$J$5:$J$8,1,0))),"Key Artist",not(iserror(vlookup($F825,'Reference info'!$J$38:$J$405,1,0))),"Performer",not(iserror(vlookup($F825,'Reference info'!$J$10:$J$36,1,0))),"Producer &amp; Engineer")</f>
        <v/>
      </c>
    </row>
    <row r="826">
      <c r="B826" s="97"/>
      <c r="C826" s="121" t="str">
        <f t="array" ref="C826">ifs(and(isblank($A826),isblank($B826)),"", not(iserror(vlookup($A826&amp;$B826,'5) Release_Track'!$F:$F&amp;'5) Release_Track'!$G:$G,1,0))),vlookup($A826&amp;$B826,{'5) Release_Track'!$F:$F&amp;'5) Release_Track'!$G:$G,'5) Release_Track'!$H:$H},2,0),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D826" s="121" t="str">
        <f t="array" ref="D826">ifs(and(isblank($A826),isblank($B826)),"", not(iserror(vlookup($A826&amp;$B826,'5) Release_Track'!$F:$F&amp;'5) Release_Track'!$G:$G,1,0))),vlookup($A826&amp;$B826,{'5) Release_Track'!$F:$F&amp;'5) Release_Track'!$G:$G,'5) Release_Track'!$I:$I},2,0),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E826" s="92"/>
      <c r="F826" s="92"/>
      <c r="G826" s="125" t="str">
        <f t="array" ref="G826">ifs(or($F826="",$F826="Main Primary Artist"),$F826,not(iserror(vlookup($F826,'Reference info'!$J$5:$J$8,1,0))),"Key Artist",not(iserror(vlookup($F826,'Reference info'!$J$38:$J$405,1,0))),"Performer",not(iserror(vlookup($F826,'Reference info'!$J$10:$J$36,1,0))),"Producer &amp; Engineer")</f>
        <v/>
      </c>
    </row>
    <row r="827">
      <c r="B827" s="97"/>
      <c r="C827" s="121" t="str">
        <f t="array" ref="C827">ifs(and(isblank($A827),isblank($B827)),"", not(iserror(vlookup($A827&amp;$B827,'5) Release_Track'!$F:$F&amp;'5) Release_Track'!$G:$G,1,0))),vlookup($A827&amp;$B827,{'5) Release_Track'!$F:$F&amp;'5) Release_Track'!$G:$G,'5) Release_Track'!$H:$H},2,0),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D827" s="121" t="str">
        <f t="array" ref="D827">ifs(and(isblank($A827),isblank($B827)),"", not(iserror(vlookup($A827&amp;$B827,'5) Release_Track'!$F:$F&amp;'5) Release_Track'!$G:$G,1,0))),vlookup($A827&amp;$B827,{'5) Release_Track'!$F:$F&amp;'5) Release_Track'!$G:$G,'5) Release_Track'!$I:$I},2,0),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E827" s="92"/>
      <c r="F827" s="92"/>
      <c r="G827" s="125" t="str">
        <f t="array" ref="G827">ifs(or($F827="",$F827="Main Primary Artist"),$F827,not(iserror(vlookup($F827,'Reference info'!$J$5:$J$8,1,0))),"Key Artist",not(iserror(vlookup($F827,'Reference info'!$J$38:$J$405,1,0))),"Performer",not(iserror(vlookup($F827,'Reference info'!$J$10:$J$36,1,0))),"Producer &amp; Engineer")</f>
        <v/>
      </c>
    </row>
    <row r="828">
      <c r="B828" s="97"/>
      <c r="C828" s="121" t="str">
        <f t="array" ref="C828">ifs(and(isblank($A828),isblank($B828)),"", not(iserror(vlookup($A828&amp;$B828,'5) Release_Track'!$F:$F&amp;'5) Release_Track'!$G:$G,1,0))),vlookup($A828&amp;$B828,{'5) Release_Track'!$F:$F&amp;'5) Release_Track'!$G:$G,'5) Release_Track'!$H:$H},2,0),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D828" s="121" t="str">
        <f t="array" ref="D828">ifs(and(isblank($A828),isblank($B828)),"", not(iserror(vlookup($A828&amp;$B828,'5) Release_Track'!$F:$F&amp;'5) Release_Track'!$G:$G,1,0))),vlookup($A828&amp;$B828,{'5) Release_Track'!$F:$F&amp;'5) Release_Track'!$G:$G,'5) Release_Track'!$I:$I},2,0),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E828" s="92"/>
      <c r="F828" s="92"/>
      <c r="G828" s="125" t="str">
        <f t="array" ref="G828">ifs(or($F828="",$F828="Main Primary Artist"),$F828,not(iserror(vlookup($F828,'Reference info'!$J$5:$J$8,1,0))),"Key Artist",not(iserror(vlookup($F828,'Reference info'!$J$38:$J$405,1,0))),"Performer",not(iserror(vlookup($F828,'Reference info'!$J$10:$J$36,1,0))),"Producer &amp; Engineer")</f>
        <v/>
      </c>
    </row>
    <row r="829">
      <c r="B829" s="97"/>
      <c r="C829" s="121" t="str">
        <f t="array" ref="C829">ifs(and(isblank($A829),isblank($B829)),"", not(iserror(vlookup($A829&amp;$B829,'5) Release_Track'!$F:$F&amp;'5) Release_Track'!$G:$G,1,0))),vlookup($A829&amp;$B829,{'5) Release_Track'!$F:$F&amp;'5) Release_Track'!$G:$G,'5) Release_Track'!$H:$H},2,0),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D829" s="121" t="str">
        <f t="array" ref="D829">ifs(and(isblank($A829),isblank($B829)),"", not(iserror(vlookup($A829&amp;$B829,'5) Release_Track'!$F:$F&amp;'5) Release_Track'!$G:$G,1,0))),vlookup($A829&amp;$B829,{'5) Release_Track'!$F:$F&amp;'5) Release_Track'!$G:$G,'5) Release_Track'!$I:$I},2,0),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E829" s="92"/>
      <c r="F829" s="92"/>
      <c r="G829" s="125" t="str">
        <f t="array" ref="G829">ifs(or($F829="",$F829="Main Primary Artist"),$F829,not(iserror(vlookup($F829,'Reference info'!$J$5:$J$8,1,0))),"Key Artist",not(iserror(vlookup($F829,'Reference info'!$J$38:$J$405,1,0))),"Performer",not(iserror(vlookup($F829,'Reference info'!$J$10:$J$36,1,0))),"Producer &amp; Engineer")</f>
        <v/>
      </c>
    </row>
    <row r="830">
      <c r="B830" s="97"/>
      <c r="C830" s="121" t="str">
        <f t="array" ref="C830">ifs(and(isblank($A830),isblank($B830)),"", not(iserror(vlookup($A830&amp;$B830,'5) Release_Track'!$F:$F&amp;'5) Release_Track'!$G:$G,1,0))),vlookup($A830&amp;$B830,{'5) Release_Track'!$F:$F&amp;'5) Release_Track'!$G:$G,'5) Release_Track'!$H:$H},2,0),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D830" s="121" t="str">
        <f t="array" ref="D830">ifs(and(isblank($A830),isblank($B830)),"", not(iserror(vlookup($A830&amp;$B830,'5) Release_Track'!$F:$F&amp;'5) Release_Track'!$G:$G,1,0))),vlookup($A830&amp;$B830,{'5) Release_Track'!$F:$F&amp;'5) Release_Track'!$G:$G,'5) Release_Track'!$I:$I},2,0),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E830" s="92"/>
      <c r="F830" s="92"/>
      <c r="G830" s="125" t="str">
        <f t="array" ref="G830">ifs(or($F830="",$F830="Main Primary Artist"),$F830,not(iserror(vlookup($F830,'Reference info'!$J$5:$J$8,1,0))),"Key Artist",not(iserror(vlookup($F830,'Reference info'!$J$38:$J$405,1,0))),"Performer",not(iserror(vlookup($F830,'Reference info'!$J$10:$J$36,1,0))),"Producer &amp; Engineer")</f>
        <v/>
      </c>
    </row>
    <row r="831">
      <c r="B831" s="97"/>
      <c r="C831" s="121" t="str">
        <f t="array" ref="C831">ifs(and(isblank($A831),isblank($B831)),"", not(iserror(vlookup($A831&amp;$B831,'5) Release_Track'!$F:$F&amp;'5) Release_Track'!$G:$G,1,0))),vlookup($A831&amp;$B831,{'5) Release_Track'!$F:$F&amp;'5) Release_Track'!$G:$G,'5) Release_Track'!$H:$H},2,0),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D831" s="121" t="str">
        <f t="array" ref="D831">ifs(and(isblank($A831),isblank($B831)),"", not(iserror(vlookup($A831&amp;$B831,'5) Release_Track'!$F:$F&amp;'5) Release_Track'!$G:$G,1,0))),vlookup($A831&amp;$B831,{'5) Release_Track'!$F:$F&amp;'5) Release_Track'!$G:$G,'5) Release_Track'!$I:$I},2,0),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E831" s="92"/>
      <c r="F831" s="92"/>
      <c r="G831" s="125" t="str">
        <f t="array" ref="G831">ifs(or($F831="",$F831="Main Primary Artist"),$F831,not(iserror(vlookup($F831,'Reference info'!$J$5:$J$8,1,0))),"Key Artist",not(iserror(vlookup($F831,'Reference info'!$J$38:$J$405,1,0))),"Performer",not(iserror(vlookup($F831,'Reference info'!$J$10:$J$36,1,0))),"Producer &amp; Engineer")</f>
        <v/>
      </c>
    </row>
    <row r="832">
      <c r="B832" s="97"/>
      <c r="C832" s="121" t="str">
        <f t="array" ref="C832">ifs(and(isblank($A832),isblank($B832)),"", not(iserror(vlookup($A832&amp;$B832,'5) Release_Track'!$F:$F&amp;'5) Release_Track'!$G:$G,1,0))),vlookup($A832&amp;$B832,{'5) Release_Track'!$F:$F&amp;'5) Release_Track'!$G:$G,'5) Release_Track'!$H:$H},2,0),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D832" s="121" t="str">
        <f t="array" ref="D832">ifs(and(isblank($A832),isblank($B832)),"", not(iserror(vlookup($A832&amp;$B832,'5) Release_Track'!$F:$F&amp;'5) Release_Track'!$G:$G,1,0))),vlookup($A832&amp;$B832,{'5) Release_Track'!$F:$F&amp;'5) Release_Track'!$G:$G,'5) Release_Track'!$I:$I},2,0),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E832" s="92"/>
      <c r="F832" s="92"/>
      <c r="G832" s="125" t="str">
        <f t="array" ref="G832">ifs(or($F832="",$F832="Main Primary Artist"),$F832,not(iserror(vlookup($F832,'Reference info'!$J$5:$J$8,1,0))),"Key Artist",not(iserror(vlookup($F832,'Reference info'!$J$38:$J$405,1,0))),"Performer",not(iserror(vlookup($F832,'Reference info'!$J$10:$J$36,1,0))),"Producer &amp; Engineer")</f>
        <v/>
      </c>
    </row>
    <row r="833">
      <c r="B833" s="97"/>
      <c r="C833" s="121" t="str">
        <f t="array" ref="C833">ifs(and(isblank($A833),isblank($B833)),"", not(iserror(vlookup($A833&amp;$B833,'5) Release_Track'!$F:$F&amp;'5) Release_Track'!$G:$G,1,0))),vlookup($A833&amp;$B833,{'5) Release_Track'!$F:$F&amp;'5) Release_Track'!$G:$G,'5) Release_Track'!$H:$H},2,0),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D833" s="121" t="str">
        <f t="array" ref="D833">ifs(and(isblank($A833),isblank($B833)),"", not(iserror(vlookup($A833&amp;$B833,'5) Release_Track'!$F:$F&amp;'5) Release_Track'!$G:$G,1,0))),vlookup($A833&amp;$B833,{'5) Release_Track'!$F:$F&amp;'5) Release_Track'!$G:$G,'5) Release_Track'!$I:$I},2,0),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E833" s="92"/>
      <c r="F833" s="92"/>
      <c r="G833" s="125" t="str">
        <f t="array" ref="G833">ifs(or($F833="",$F833="Main Primary Artist"),$F833,not(iserror(vlookup($F833,'Reference info'!$J$5:$J$8,1,0))),"Key Artist",not(iserror(vlookup($F833,'Reference info'!$J$38:$J$405,1,0))),"Performer",not(iserror(vlookup($F833,'Reference info'!$J$10:$J$36,1,0))),"Producer &amp; Engineer")</f>
        <v/>
      </c>
    </row>
    <row r="834">
      <c r="B834" s="97"/>
      <c r="C834" s="121" t="str">
        <f t="array" ref="C834">ifs(and(isblank($A834),isblank($B834)),"", not(iserror(vlookup($A834&amp;$B834,'5) Release_Track'!$F:$F&amp;'5) Release_Track'!$G:$G,1,0))),vlookup($A834&amp;$B834,{'5) Release_Track'!$F:$F&amp;'5) Release_Track'!$G:$G,'5) Release_Track'!$H:$H},2,0),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D834" s="121" t="str">
        <f t="array" ref="D834">ifs(and(isblank($A834),isblank($B834)),"", not(iserror(vlookup($A834&amp;$B834,'5) Release_Track'!$F:$F&amp;'5) Release_Track'!$G:$G,1,0))),vlookup($A834&amp;$B834,{'5) Release_Track'!$F:$F&amp;'5) Release_Track'!$G:$G,'5) Release_Track'!$I:$I},2,0),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E834" s="92"/>
      <c r="F834" s="92"/>
      <c r="G834" s="125" t="str">
        <f t="array" ref="G834">ifs(or($F834="",$F834="Main Primary Artist"),$F834,not(iserror(vlookup($F834,'Reference info'!$J$5:$J$8,1,0))),"Key Artist",not(iserror(vlookup($F834,'Reference info'!$J$38:$J$405,1,0))),"Performer",not(iserror(vlookup($F834,'Reference info'!$J$10:$J$36,1,0))),"Producer &amp; Engineer")</f>
        <v/>
      </c>
    </row>
    <row r="835">
      <c r="B835" s="97"/>
      <c r="C835" s="121" t="str">
        <f t="array" ref="C835">ifs(and(isblank($A835),isblank($B835)),"", not(iserror(vlookup($A835&amp;$B835,'5) Release_Track'!$F:$F&amp;'5) Release_Track'!$G:$G,1,0))),vlookup($A835&amp;$B835,{'5) Release_Track'!$F:$F&amp;'5) Release_Track'!$G:$G,'5) Release_Track'!$H:$H},2,0),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D835" s="121" t="str">
        <f t="array" ref="D835">ifs(and(isblank($A835),isblank($B835)),"", not(iserror(vlookup($A835&amp;$B835,'5) Release_Track'!$F:$F&amp;'5) Release_Track'!$G:$G,1,0))),vlookup($A835&amp;$B835,{'5) Release_Track'!$F:$F&amp;'5) Release_Track'!$G:$G,'5) Release_Track'!$I:$I},2,0),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E835" s="92"/>
      <c r="F835" s="92"/>
      <c r="G835" s="125" t="str">
        <f t="array" ref="G835">ifs(or($F835="",$F835="Main Primary Artist"),$F835,not(iserror(vlookup($F835,'Reference info'!$J$5:$J$8,1,0))),"Key Artist",not(iserror(vlookup($F835,'Reference info'!$J$38:$J$405,1,0))),"Performer",not(iserror(vlookup($F835,'Reference info'!$J$10:$J$36,1,0))),"Producer &amp; Engineer")</f>
        <v/>
      </c>
    </row>
    <row r="836">
      <c r="B836" s="97"/>
      <c r="C836" s="121" t="str">
        <f t="array" ref="C836">ifs(and(isblank($A836),isblank($B836)),"", not(iserror(vlookup($A836&amp;$B836,'5) Release_Track'!$F:$F&amp;'5) Release_Track'!$G:$G,1,0))),vlookup($A836&amp;$B836,{'5) Release_Track'!$F:$F&amp;'5) Release_Track'!$G:$G,'5) Release_Track'!$H:$H},2,0),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D836" s="121" t="str">
        <f t="array" ref="D836">ifs(and(isblank($A836),isblank($B836)),"", not(iserror(vlookup($A836&amp;$B836,'5) Release_Track'!$F:$F&amp;'5) Release_Track'!$G:$G,1,0))),vlookup($A836&amp;$B836,{'5) Release_Track'!$F:$F&amp;'5) Release_Track'!$G:$G,'5) Release_Track'!$I:$I},2,0),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E836" s="92"/>
      <c r="F836" s="92"/>
      <c r="G836" s="125" t="str">
        <f t="array" ref="G836">ifs(or($F836="",$F836="Main Primary Artist"),$F836,not(iserror(vlookup($F836,'Reference info'!$J$5:$J$8,1,0))),"Key Artist",not(iserror(vlookup($F836,'Reference info'!$J$38:$J$405,1,0))),"Performer",not(iserror(vlookup($F836,'Reference info'!$J$10:$J$36,1,0))),"Producer &amp; Engineer")</f>
        <v/>
      </c>
    </row>
    <row r="837">
      <c r="B837" s="97"/>
      <c r="C837" s="121" t="str">
        <f t="array" ref="C837">ifs(and(isblank($A837),isblank($B837)),"", not(iserror(vlookup($A837&amp;$B837,'5) Release_Track'!$F:$F&amp;'5) Release_Track'!$G:$G,1,0))),vlookup($A837&amp;$B837,{'5) Release_Track'!$F:$F&amp;'5) Release_Track'!$G:$G,'5) Release_Track'!$H:$H},2,0),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D837" s="121" t="str">
        <f t="array" ref="D837">ifs(and(isblank($A837),isblank($B837)),"", not(iserror(vlookup($A837&amp;$B837,'5) Release_Track'!$F:$F&amp;'5) Release_Track'!$G:$G,1,0))),vlookup($A837&amp;$B837,{'5) Release_Track'!$F:$F&amp;'5) Release_Track'!$G:$G,'5) Release_Track'!$I:$I},2,0),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E837" s="92"/>
      <c r="F837" s="92"/>
      <c r="G837" s="125" t="str">
        <f t="array" ref="G837">ifs(or($F837="",$F837="Main Primary Artist"),$F837,not(iserror(vlookup($F837,'Reference info'!$J$5:$J$8,1,0))),"Key Artist",not(iserror(vlookup($F837,'Reference info'!$J$38:$J$405,1,0))),"Performer",not(iserror(vlookup($F837,'Reference info'!$J$10:$J$36,1,0))),"Producer &amp; Engineer")</f>
        <v/>
      </c>
    </row>
    <row r="838">
      <c r="B838" s="97"/>
      <c r="C838" s="121" t="str">
        <f t="array" ref="C838">ifs(and(isblank($A838),isblank($B838)),"", not(iserror(vlookup($A838&amp;$B838,'5) Release_Track'!$F:$F&amp;'5) Release_Track'!$G:$G,1,0))),vlookup($A838&amp;$B838,{'5) Release_Track'!$F:$F&amp;'5) Release_Track'!$G:$G,'5) Release_Track'!$H:$H},2,0),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D838" s="121" t="str">
        <f t="array" ref="D838">ifs(and(isblank($A838),isblank($B838)),"", not(iserror(vlookup($A838&amp;$B838,'5) Release_Track'!$F:$F&amp;'5) Release_Track'!$G:$G,1,0))),vlookup($A838&amp;$B838,{'5) Release_Track'!$F:$F&amp;'5) Release_Track'!$G:$G,'5) Release_Track'!$I:$I},2,0),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E838" s="92"/>
      <c r="F838" s="92"/>
      <c r="G838" s="125" t="str">
        <f t="array" ref="G838">ifs(or($F838="",$F838="Main Primary Artist"),$F838,not(iserror(vlookup($F838,'Reference info'!$J$5:$J$8,1,0))),"Key Artist",not(iserror(vlookup($F838,'Reference info'!$J$38:$J$405,1,0))),"Performer",not(iserror(vlookup($F838,'Reference info'!$J$10:$J$36,1,0))),"Producer &amp; Engineer")</f>
        <v/>
      </c>
    </row>
    <row r="839">
      <c r="B839" s="97"/>
      <c r="C839" s="121" t="str">
        <f t="array" ref="C839">ifs(and(isblank($A839),isblank($B839)),"", not(iserror(vlookup($A839&amp;$B839,'5) Release_Track'!$F:$F&amp;'5) Release_Track'!$G:$G,1,0))),vlookup($A839&amp;$B839,{'5) Release_Track'!$F:$F&amp;'5) Release_Track'!$G:$G,'5) Release_Track'!$H:$H},2,0),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D839" s="121" t="str">
        <f t="array" ref="D839">ifs(and(isblank($A839),isblank($B839)),"", not(iserror(vlookup($A839&amp;$B839,'5) Release_Track'!$F:$F&amp;'5) Release_Track'!$G:$G,1,0))),vlookup($A839&amp;$B839,{'5) Release_Track'!$F:$F&amp;'5) Release_Track'!$G:$G,'5) Release_Track'!$I:$I},2,0),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E839" s="92"/>
      <c r="F839" s="92"/>
      <c r="G839" s="125" t="str">
        <f t="array" ref="G839">ifs(or($F839="",$F839="Main Primary Artist"),$F839,not(iserror(vlookup($F839,'Reference info'!$J$5:$J$8,1,0))),"Key Artist",not(iserror(vlookup($F839,'Reference info'!$J$38:$J$405,1,0))),"Performer",not(iserror(vlookup($F839,'Reference info'!$J$10:$J$36,1,0))),"Producer &amp; Engineer")</f>
        <v/>
      </c>
    </row>
    <row r="840">
      <c r="B840" s="97"/>
      <c r="C840" s="121" t="str">
        <f t="array" ref="C840">ifs(and(isblank($A840),isblank($B840)),"", not(iserror(vlookup($A840&amp;$B840,'5) Release_Track'!$F:$F&amp;'5) Release_Track'!$G:$G,1,0))),vlookup($A840&amp;$B840,{'5) Release_Track'!$F:$F&amp;'5) Release_Track'!$G:$G,'5) Release_Track'!$H:$H},2,0),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D840" s="121" t="str">
        <f t="array" ref="D840">ifs(and(isblank($A840),isblank($B840)),"", not(iserror(vlookup($A840&amp;$B840,'5) Release_Track'!$F:$F&amp;'5) Release_Track'!$G:$G,1,0))),vlookup($A840&amp;$B840,{'5) Release_Track'!$F:$F&amp;'5) Release_Track'!$G:$G,'5) Release_Track'!$I:$I},2,0),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E840" s="92"/>
      <c r="F840" s="92"/>
      <c r="G840" s="125" t="str">
        <f t="array" ref="G840">ifs(or($F840="",$F840="Main Primary Artist"),$F840,not(iserror(vlookup($F840,'Reference info'!$J$5:$J$8,1,0))),"Key Artist",not(iserror(vlookup($F840,'Reference info'!$J$38:$J$405,1,0))),"Performer",not(iserror(vlookup($F840,'Reference info'!$J$10:$J$36,1,0))),"Producer &amp; Engineer")</f>
        <v/>
      </c>
    </row>
    <row r="841">
      <c r="B841" s="97"/>
      <c r="C841" s="121" t="str">
        <f t="array" ref="C841">ifs(and(isblank($A841),isblank($B841)),"", not(iserror(vlookup($A841&amp;$B841,'5) Release_Track'!$F:$F&amp;'5) Release_Track'!$G:$G,1,0))),vlookup($A841&amp;$B841,{'5) Release_Track'!$F:$F&amp;'5) Release_Track'!$G:$G,'5) Release_Track'!$H:$H},2,0),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D841" s="121" t="str">
        <f t="array" ref="D841">ifs(and(isblank($A841),isblank($B841)),"", not(iserror(vlookup($A841&amp;$B841,'5) Release_Track'!$F:$F&amp;'5) Release_Track'!$G:$G,1,0))),vlookup($A841&amp;$B841,{'5) Release_Track'!$F:$F&amp;'5) Release_Track'!$G:$G,'5) Release_Track'!$I:$I},2,0),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E841" s="92"/>
      <c r="F841" s="92"/>
      <c r="G841" s="125" t="str">
        <f t="array" ref="G841">ifs(or($F841="",$F841="Main Primary Artist"),$F841,not(iserror(vlookup($F841,'Reference info'!$J$5:$J$8,1,0))),"Key Artist",not(iserror(vlookup($F841,'Reference info'!$J$38:$J$405,1,0))),"Performer",not(iserror(vlookup($F841,'Reference info'!$J$10:$J$36,1,0))),"Producer &amp; Engineer")</f>
        <v/>
      </c>
    </row>
    <row r="842">
      <c r="B842" s="97"/>
      <c r="C842" s="121" t="str">
        <f t="array" ref="C842">ifs(and(isblank($A842),isblank($B842)),"", not(iserror(vlookup($A842&amp;$B842,'5) Release_Track'!$F:$F&amp;'5) Release_Track'!$G:$G,1,0))),vlookup($A842&amp;$B842,{'5) Release_Track'!$F:$F&amp;'5) Release_Track'!$G:$G,'5) Release_Track'!$H:$H},2,0),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D842" s="121" t="str">
        <f t="array" ref="D842">ifs(and(isblank($A842),isblank($B842)),"", not(iserror(vlookup($A842&amp;$B842,'5) Release_Track'!$F:$F&amp;'5) Release_Track'!$G:$G,1,0))),vlookup($A842&amp;$B842,{'5) Release_Track'!$F:$F&amp;'5) Release_Track'!$G:$G,'5) Release_Track'!$I:$I},2,0),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E842" s="92"/>
      <c r="F842" s="92"/>
      <c r="G842" s="125" t="str">
        <f t="array" ref="G842">ifs(or($F842="",$F842="Main Primary Artist"),$F842,not(iserror(vlookup($F842,'Reference info'!$J$5:$J$8,1,0))),"Key Artist",not(iserror(vlookup($F842,'Reference info'!$J$38:$J$405,1,0))),"Performer",not(iserror(vlookup($F842,'Reference info'!$J$10:$J$36,1,0))),"Producer &amp; Engineer")</f>
        <v/>
      </c>
    </row>
    <row r="843">
      <c r="B843" s="97"/>
      <c r="C843" s="121" t="str">
        <f t="array" ref="C843">ifs(and(isblank($A843),isblank($B843)),"", not(iserror(vlookup($A843&amp;$B843,'5) Release_Track'!$F:$F&amp;'5) Release_Track'!$G:$G,1,0))),vlookup($A843&amp;$B843,{'5) Release_Track'!$F:$F&amp;'5) Release_Track'!$G:$G,'5) Release_Track'!$H:$H},2,0),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D843" s="121" t="str">
        <f t="array" ref="D843">ifs(and(isblank($A843),isblank($B843)),"", not(iserror(vlookup($A843&amp;$B843,'5) Release_Track'!$F:$F&amp;'5) Release_Track'!$G:$G,1,0))),vlookup($A843&amp;$B843,{'5) Release_Track'!$F:$F&amp;'5) Release_Track'!$G:$G,'5) Release_Track'!$I:$I},2,0),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E843" s="92"/>
      <c r="F843" s="92"/>
      <c r="G843" s="125" t="str">
        <f t="array" ref="G843">ifs(or($F843="",$F843="Main Primary Artist"),$F843,not(iserror(vlookup($F843,'Reference info'!$J$5:$J$8,1,0))),"Key Artist",not(iserror(vlookup($F843,'Reference info'!$J$38:$J$405,1,0))),"Performer",not(iserror(vlookup($F843,'Reference info'!$J$10:$J$36,1,0))),"Producer &amp; Engineer")</f>
        <v/>
      </c>
    </row>
    <row r="844">
      <c r="B844" s="97"/>
      <c r="C844" s="121" t="str">
        <f t="array" ref="C844">ifs(and(isblank($A844),isblank($B844)),"", not(iserror(vlookup($A844&amp;$B844,'5) Release_Track'!$F:$F&amp;'5) Release_Track'!$G:$G,1,0))),vlookup($A844&amp;$B844,{'5) Release_Track'!$F:$F&amp;'5) Release_Track'!$G:$G,'5) Release_Track'!$H:$H},2,0),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D844" s="121" t="str">
        <f t="array" ref="D844">ifs(and(isblank($A844),isblank($B844)),"", not(iserror(vlookup($A844&amp;$B844,'5) Release_Track'!$F:$F&amp;'5) Release_Track'!$G:$G,1,0))),vlookup($A844&amp;$B844,{'5) Release_Track'!$F:$F&amp;'5) Release_Track'!$G:$G,'5) Release_Track'!$I:$I},2,0),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E844" s="92"/>
      <c r="F844" s="92"/>
      <c r="G844" s="125" t="str">
        <f t="array" ref="G844">ifs(or($F844="",$F844="Main Primary Artist"),$F844,not(iserror(vlookup($F844,'Reference info'!$J$5:$J$8,1,0))),"Key Artist",not(iserror(vlookup($F844,'Reference info'!$J$38:$J$405,1,0))),"Performer",not(iserror(vlookup($F844,'Reference info'!$J$10:$J$36,1,0))),"Producer &amp; Engineer")</f>
        <v/>
      </c>
    </row>
    <row r="845">
      <c r="B845" s="97"/>
      <c r="C845" s="121" t="str">
        <f t="array" ref="C845">ifs(and(isblank($A845),isblank($B845)),"", not(iserror(vlookup($A845&amp;$B845,'5) Release_Track'!$F:$F&amp;'5) Release_Track'!$G:$G,1,0))),vlookup($A845&amp;$B845,{'5) Release_Track'!$F:$F&amp;'5) Release_Track'!$G:$G,'5) Release_Track'!$H:$H},2,0),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D845" s="121" t="str">
        <f t="array" ref="D845">ifs(and(isblank($A845),isblank($B845)),"", not(iserror(vlookup($A845&amp;$B845,'5) Release_Track'!$F:$F&amp;'5) Release_Track'!$G:$G,1,0))),vlookup($A845&amp;$B845,{'5) Release_Track'!$F:$F&amp;'5) Release_Track'!$G:$G,'5) Release_Track'!$I:$I},2,0),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E845" s="92"/>
      <c r="F845" s="92"/>
      <c r="G845" s="125" t="str">
        <f t="array" ref="G845">ifs(or($F845="",$F845="Main Primary Artist"),$F845,not(iserror(vlookup($F845,'Reference info'!$J$5:$J$8,1,0))),"Key Artist",not(iserror(vlookup($F845,'Reference info'!$J$38:$J$405,1,0))),"Performer",not(iserror(vlookup($F845,'Reference info'!$J$10:$J$36,1,0))),"Producer &amp; Engineer")</f>
        <v/>
      </c>
    </row>
    <row r="846">
      <c r="B846" s="97"/>
      <c r="C846" s="121" t="str">
        <f t="array" ref="C846">ifs(and(isblank($A846),isblank($B846)),"", not(iserror(vlookup($A846&amp;$B846,'5) Release_Track'!$F:$F&amp;'5) Release_Track'!$G:$G,1,0))),vlookup($A846&amp;$B846,{'5) Release_Track'!$F:$F&amp;'5) Release_Track'!$G:$G,'5) Release_Track'!$H:$H},2,0),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D846" s="121" t="str">
        <f t="array" ref="D846">ifs(and(isblank($A846),isblank($B846)),"", not(iserror(vlookup($A846&amp;$B846,'5) Release_Track'!$F:$F&amp;'5) Release_Track'!$G:$G,1,0))),vlookup($A846&amp;$B846,{'5) Release_Track'!$F:$F&amp;'5) Release_Track'!$G:$G,'5) Release_Track'!$I:$I},2,0),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E846" s="92"/>
      <c r="F846" s="92"/>
      <c r="G846" s="125" t="str">
        <f t="array" ref="G846">ifs(or($F846="",$F846="Main Primary Artist"),$F846,not(iserror(vlookup($F846,'Reference info'!$J$5:$J$8,1,0))),"Key Artist",not(iserror(vlookup($F846,'Reference info'!$J$38:$J$405,1,0))),"Performer",not(iserror(vlookup($F846,'Reference info'!$J$10:$J$36,1,0))),"Producer &amp; Engineer")</f>
        <v/>
      </c>
    </row>
    <row r="847">
      <c r="B847" s="97"/>
      <c r="C847" s="121" t="str">
        <f t="array" ref="C847">ifs(and(isblank($A847),isblank($B847)),"", not(iserror(vlookup($A847&amp;$B847,'5) Release_Track'!$F:$F&amp;'5) Release_Track'!$G:$G,1,0))),vlookup($A847&amp;$B847,{'5) Release_Track'!$F:$F&amp;'5) Release_Track'!$G:$G,'5) Release_Track'!$H:$H},2,0),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D847" s="121" t="str">
        <f t="array" ref="D847">ifs(and(isblank($A847),isblank($B847)),"", not(iserror(vlookup($A847&amp;$B847,'5) Release_Track'!$F:$F&amp;'5) Release_Track'!$G:$G,1,0))),vlookup($A847&amp;$B847,{'5) Release_Track'!$F:$F&amp;'5) Release_Track'!$G:$G,'5) Release_Track'!$I:$I},2,0),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E847" s="92"/>
      <c r="F847" s="92"/>
      <c r="G847" s="125" t="str">
        <f t="array" ref="G847">ifs(or($F847="",$F847="Main Primary Artist"),$F847,not(iserror(vlookup($F847,'Reference info'!$J$5:$J$8,1,0))),"Key Artist",not(iserror(vlookup($F847,'Reference info'!$J$38:$J$405,1,0))),"Performer",not(iserror(vlookup($F847,'Reference info'!$J$10:$J$36,1,0))),"Producer &amp; Engineer")</f>
        <v/>
      </c>
    </row>
    <row r="848">
      <c r="B848" s="97"/>
      <c r="C848" s="121" t="str">
        <f t="array" ref="C848">ifs(and(isblank($A848),isblank($B848)),"", not(iserror(vlookup($A848&amp;$B848,'5) Release_Track'!$F:$F&amp;'5) Release_Track'!$G:$G,1,0))),vlookup($A848&amp;$B848,{'5) Release_Track'!$F:$F&amp;'5) Release_Track'!$G:$G,'5) Release_Track'!$H:$H},2,0),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D848" s="121" t="str">
        <f t="array" ref="D848">ifs(and(isblank($A848),isblank($B848)),"", not(iserror(vlookup($A848&amp;$B848,'5) Release_Track'!$F:$F&amp;'5) Release_Track'!$G:$G,1,0))),vlookup($A848&amp;$B848,{'5) Release_Track'!$F:$F&amp;'5) Release_Track'!$G:$G,'5) Release_Track'!$I:$I},2,0),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E848" s="92"/>
      <c r="F848" s="92"/>
      <c r="G848" s="125" t="str">
        <f t="array" ref="G848">ifs(or($F848="",$F848="Main Primary Artist"),$F848,not(iserror(vlookup($F848,'Reference info'!$J$5:$J$8,1,0))),"Key Artist",not(iserror(vlookup($F848,'Reference info'!$J$38:$J$405,1,0))),"Performer",not(iserror(vlookup($F848,'Reference info'!$J$10:$J$36,1,0))),"Producer &amp; Engineer")</f>
        <v/>
      </c>
    </row>
    <row r="849">
      <c r="B849" s="97"/>
      <c r="C849" s="121" t="str">
        <f t="array" ref="C849">ifs(and(isblank($A849),isblank($B849)),"", not(iserror(vlookup($A849&amp;$B849,'5) Release_Track'!$F:$F&amp;'5) Release_Track'!$G:$G,1,0))),vlookup($A849&amp;$B849,{'5) Release_Track'!$F:$F&amp;'5) Release_Track'!$G:$G,'5) Release_Track'!$H:$H},2,0),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D849" s="121" t="str">
        <f t="array" ref="D849">ifs(and(isblank($A849),isblank($B849)),"", not(iserror(vlookup($A849&amp;$B849,'5) Release_Track'!$F:$F&amp;'5) Release_Track'!$G:$G,1,0))),vlookup($A849&amp;$B849,{'5) Release_Track'!$F:$F&amp;'5) Release_Track'!$G:$G,'5) Release_Track'!$I:$I},2,0),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E849" s="92"/>
      <c r="F849" s="92"/>
      <c r="G849" s="125" t="str">
        <f t="array" ref="G849">ifs(or($F849="",$F849="Main Primary Artist"),$F849,not(iserror(vlookup($F849,'Reference info'!$J$5:$J$8,1,0))),"Key Artist",not(iserror(vlookup($F849,'Reference info'!$J$38:$J$405,1,0))),"Performer",not(iserror(vlookup($F849,'Reference info'!$J$10:$J$36,1,0))),"Producer &amp; Engineer")</f>
        <v/>
      </c>
    </row>
    <row r="850">
      <c r="B850" s="97"/>
      <c r="C850" s="121" t="str">
        <f t="array" ref="C850">ifs(and(isblank($A850),isblank($B850)),"", not(iserror(vlookup($A850&amp;$B850,'5) Release_Track'!$F:$F&amp;'5) Release_Track'!$G:$G,1,0))),vlookup($A850&amp;$B850,{'5) Release_Track'!$F:$F&amp;'5) Release_Track'!$G:$G,'5) Release_Track'!$H:$H},2,0),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D850" s="121" t="str">
        <f t="array" ref="D850">ifs(and(isblank($A850),isblank($B850)),"", not(iserror(vlookup($A850&amp;$B850,'5) Release_Track'!$F:$F&amp;'5) Release_Track'!$G:$G,1,0))),vlookup($A850&amp;$B850,{'5) Release_Track'!$F:$F&amp;'5) Release_Track'!$G:$G,'5) Release_Track'!$I:$I},2,0),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E850" s="92"/>
      <c r="F850" s="92"/>
      <c r="G850" s="125" t="str">
        <f t="array" ref="G850">ifs(or($F850="",$F850="Main Primary Artist"),$F850,not(iserror(vlookup($F850,'Reference info'!$J$5:$J$8,1,0))),"Key Artist",not(iserror(vlookup($F850,'Reference info'!$J$38:$J$405,1,0))),"Performer",not(iserror(vlookup($F850,'Reference info'!$J$10:$J$36,1,0))),"Producer &amp; Engineer")</f>
        <v/>
      </c>
    </row>
    <row r="851">
      <c r="B851" s="97"/>
      <c r="C851" s="121" t="str">
        <f t="array" ref="C851">ifs(and(isblank($A851),isblank($B851)),"", not(iserror(vlookup($A851&amp;$B851,'5) Release_Track'!$F:$F&amp;'5) Release_Track'!$G:$G,1,0))),vlookup($A851&amp;$B851,{'5) Release_Track'!$F:$F&amp;'5) Release_Track'!$G:$G,'5) Release_Track'!$H:$H},2,0),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D851" s="121" t="str">
        <f t="array" ref="D851">ifs(and(isblank($A851),isblank($B851)),"", not(iserror(vlookup($A851&amp;$B851,'5) Release_Track'!$F:$F&amp;'5) Release_Track'!$G:$G,1,0))),vlookup($A851&amp;$B851,{'5) Release_Track'!$F:$F&amp;'5) Release_Track'!$G:$G,'5) Release_Track'!$I:$I},2,0),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E851" s="92"/>
      <c r="F851" s="92"/>
      <c r="G851" s="125" t="str">
        <f t="array" ref="G851">ifs(or($F851="",$F851="Main Primary Artist"),$F851,not(iserror(vlookup($F851,'Reference info'!$J$5:$J$8,1,0))),"Key Artist",not(iserror(vlookup($F851,'Reference info'!$J$38:$J$405,1,0))),"Performer",not(iserror(vlookup($F851,'Reference info'!$J$10:$J$36,1,0))),"Producer &amp; Engineer")</f>
        <v/>
      </c>
    </row>
    <row r="852">
      <c r="B852" s="97"/>
      <c r="C852" s="121" t="str">
        <f t="array" ref="C852">ifs(and(isblank($A852),isblank($B852)),"", not(iserror(vlookup($A852&amp;$B852,'5) Release_Track'!$F:$F&amp;'5) Release_Track'!$G:$G,1,0))),vlookup($A852&amp;$B852,{'5) Release_Track'!$F:$F&amp;'5) Release_Track'!$G:$G,'5) Release_Track'!$H:$H},2,0),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D852" s="121" t="str">
        <f t="array" ref="D852">ifs(and(isblank($A852),isblank($B852)),"", not(iserror(vlookup($A852&amp;$B852,'5) Release_Track'!$F:$F&amp;'5) Release_Track'!$G:$G,1,0))),vlookup($A852&amp;$B852,{'5) Release_Track'!$F:$F&amp;'5) Release_Track'!$G:$G,'5) Release_Track'!$I:$I},2,0),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E852" s="92"/>
      <c r="F852" s="92"/>
      <c r="G852" s="125" t="str">
        <f t="array" ref="G852">ifs(or($F852="",$F852="Main Primary Artist"),$F852,not(iserror(vlookup($F852,'Reference info'!$J$5:$J$8,1,0))),"Key Artist",not(iserror(vlookup($F852,'Reference info'!$J$38:$J$405,1,0))),"Performer",not(iserror(vlookup($F852,'Reference info'!$J$10:$J$36,1,0))),"Producer &amp; Engineer")</f>
        <v/>
      </c>
    </row>
    <row r="853">
      <c r="B853" s="97"/>
      <c r="C853" s="121" t="str">
        <f t="array" ref="C853">ifs(and(isblank($A853),isblank($B853)),"", not(iserror(vlookup($A853&amp;$B853,'5) Release_Track'!$F:$F&amp;'5) Release_Track'!$G:$G,1,0))),vlookup($A853&amp;$B853,{'5) Release_Track'!$F:$F&amp;'5) Release_Track'!$G:$G,'5) Release_Track'!$H:$H},2,0),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D853" s="121" t="str">
        <f t="array" ref="D853">ifs(and(isblank($A853),isblank($B853)),"", not(iserror(vlookup($A853&amp;$B853,'5) Release_Track'!$F:$F&amp;'5) Release_Track'!$G:$G,1,0))),vlookup($A853&amp;$B853,{'5) Release_Track'!$F:$F&amp;'5) Release_Track'!$G:$G,'5) Release_Track'!$I:$I},2,0),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E853" s="92"/>
      <c r="F853" s="92"/>
      <c r="G853" s="125" t="str">
        <f t="array" ref="G853">ifs(or($F853="",$F853="Main Primary Artist"),$F853,not(iserror(vlookup($F853,'Reference info'!$J$5:$J$8,1,0))),"Key Artist",not(iserror(vlookup($F853,'Reference info'!$J$38:$J$405,1,0))),"Performer",not(iserror(vlookup($F853,'Reference info'!$J$10:$J$36,1,0))),"Producer &amp; Engineer")</f>
        <v/>
      </c>
    </row>
    <row r="854">
      <c r="B854" s="97"/>
      <c r="C854" s="121" t="str">
        <f t="array" ref="C854">ifs(and(isblank($A854),isblank($B854)),"", not(iserror(vlookup($A854&amp;$B854,'5) Release_Track'!$F:$F&amp;'5) Release_Track'!$G:$G,1,0))),vlookup($A854&amp;$B854,{'5) Release_Track'!$F:$F&amp;'5) Release_Track'!$G:$G,'5) Release_Track'!$H:$H},2,0),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D854" s="121" t="str">
        <f t="array" ref="D854">ifs(and(isblank($A854),isblank($B854)),"", not(iserror(vlookup($A854&amp;$B854,'5) Release_Track'!$F:$F&amp;'5) Release_Track'!$G:$G,1,0))),vlookup($A854&amp;$B854,{'5) Release_Track'!$F:$F&amp;'5) Release_Track'!$G:$G,'5) Release_Track'!$I:$I},2,0),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E854" s="92"/>
      <c r="F854" s="92"/>
      <c r="G854" s="125" t="str">
        <f t="array" ref="G854">ifs(or($F854="",$F854="Main Primary Artist"),$F854,not(iserror(vlookup($F854,'Reference info'!$J$5:$J$8,1,0))),"Key Artist",not(iserror(vlookup($F854,'Reference info'!$J$38:$J$405,1,0))),"Performer",not(iserror(vlookup($F854,'Reference info'!$J$10:$J$36,1,0))),"Producer &amp; Engineer")</f>
        <v/>
      </c>
    </row>
    <row r="855">
      <c r="B855" s="97"/>
      <c r="C855" s="121" t="str">
        <f t="array" ref="C855">ifs(and(isblank($A855),isblank($B855)),"", not(iserror(vlookup($A855&amp;$B855,'5) Release_Track'!$F:$F&amp;'5) Release_Track'!$G:$G,1,0))),vlookup($A855&amp;$B855,{'5) Release_Track'!$F:$F&amp;'5) Release_Track'!$G:$G,'5) Release_Track'!$H:$H},2,0),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D855" s="121" t="str">
        <f t="array" ref="D855">ifs(and(isblank($A855),isblank($B855)),"", not(iserror(vlookup($A855&amp;$B855,'5) Release_Track'!$F:$F&amp;'5) Release_Track'!$G:$G,1,0))),vlookup($A855&amp;$B855,{'5) Release_Track'!$F:$F&amp;'5) Release_Track'!$G:$G,'5) Release_Track'!$I:$I},2,0),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E855" s="92"/>
      <c r="F855" s="92"/>
      <c r="G855" s="125" t="str">
        <f t="array" ref="G855">ifs(or($F855="",$F855="Main Primary Artist"),$F855,not(iserror(vlookup($F855,'Reference info'!$J$5:$J$8,1,0))),"Key Artist",not(iserror(vlookup($F855,'Reference info'!$J$38:$J$405,1,0))),"Performer",not(iserror(vlookup($F855,'Reference info'!$J$10:$J$36,1,0))),"Producer &amp; Engineer")</f>
        <v/>
      </c>
    </row>
    <row r="856">
      <c r="B856" s="97"/>
      <c r="C856" s="121" t="str">
        <f t="array" ref="C856">ifs(and(isblank($A856),isblank($B856)),"", not(iserror(vlookup($A856&amp;$B856,'5) Release_Track'!$F:$F&amp;'5) Release_Track'!$G:$G,1,0))),vlookup($A856&amp;$B856,{'5) Release_Track'!$F:$F&amp;'5) Release_Track'!$G:$G,'5) Release_Track'!$H:$H},2,0),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D856" s="121" t="str">
        <f t="array" ref="D856">ifs(and(isblank($A856),isblank($B856)),"", not(iserror(vlookup($A856&amp;$B856,'5) Release_Track'!$F:$F&amp;'5) Release_Track'!$G:$G,1,0))),vlookup($A856&amp;$B856,{'5) Release_Track'!$F:$F&amp;'5) Release_Track'!$G:$G,'5) Release_Track'!$I:$I},2,0),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E856" s="92"/>
      <c r="F856" s="92"/>
      <c r="G856" s="125" t="str">
        <f t="array" ref="G856">ifs(or($F856="",$F856="Main Primary Artist"),$F856,not(iserror(vlookup($F856,'Reference info'!$J$5:$J$8,1,0))),"Key Artist",not(iserror(vlookup($F856,'Reference info'!$J$38:$J$405,1,0))),"Performer",not(iserror(vlookup($F856,'Reference info'!$J$10:$J$36,1,0))),"Producer &amp; Engineer")</f>
        <v/>
      </c>
    </row>
    <row r="857">
      <c r="B857" s="97"/>
      <c r="C857" s="121" t="str">
        <f t="array" ref="C857">ifs(and(isblank($A857),isblank($B857)),"", not(iserror(vlookup($A857&amp;$B857,'5) Release_Track'!$F:$F&amp;'5) Release_Track'!$G:$G,1,0))),vlookup($A857&amp;$B857,{'5) Release_Track'!$F:$F&amp;'5) Release_Track'!$G:$G,'5) Release_Track'!$H:$H},2,0),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D857" s="121" t="str">
        <f t="array" ref="D857">ifs(and(isblank($A857),isblank($B857)),"", not(iserror(vlookup($A857&amp;$B857,'5) Release_Track'!$F:$F&amp;'5) Release_Track'!$G:$G,1,0))),vlookup($A857&amp;$B857,{'5) Release_Track'!$F:$F&amp;'5) Release_Track'!$G:$G,'5) Release_Track'!$I:$I},2,0),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E857" s="92"/>
      <c r="F857" s="92"/>
      <c r="G857" s="125" t="str">
        <f t="array" ref="G857">ifs(or($F857="",$F857="Main Primary Artist"),$F857,not(iserror(vlookup($F857,'Reference info'!$J$5:$J$8,1,0))),"Key Artist",not(iserror(vlookup($F857,'Reference info'!$J$38:$J$405,1,0))),"Performer",not(iserror(vlookup($F857,'Reference info'!$J$10:$J$36,1,0))),"Producer &amp; Engineer")</f>
        <v/>
      </c>
    </row>
    <row r="858">
      <c r="B858" s="97"/>
      <c r="C858" s="121" t="str">
        <f t="array" ref="C858">ifs(and(isblank($A858),isblank($B858)),"", not(iserror(vlookup($A858&amp;$B858,'5) Release_Track'!$F:$F&amp;'5) Release_Track'!$G:$G,1,0))),vlookup($A858&amp;$B858,{'5) Release_Track'!$F:$F&amp;'5) Release_Track'!$G:$G,'5) Release_Track'!$H:$H},2,0),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D858" s="121" t="str">
        <f t="array" ref="D858">ifs(and(isblank($A858),isblank($B858)),"", not(iserror(vlookup($A858&amp;$B858,'5) Release_Track'!$F:$F&amp;'5) Release_Track'!$G:$G,1,0))),vlookup($A858&amp;$B858,{'5) Release_Track'!$F:$F&amp;'5) Release_Track'!$G:$G,'5) Release_Track'!$I:$I},2,0),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E858" s="92"/>
      <c r="F858" s="92"/>
      <c r="G858" s="125" t="str">
        <f t="array" ref="G858">ifs(or($F858="",$F858="Main Primary Artist"),$F858,not(iserror(vlookup($F858,'Reference info'!$J$5:$J$8,1,0))),"Key Artist",not(iserror(vlookup($F858,'Reference info'!$J$38:$J$405,1,0))),"Performer",not(iserror(vlookup($F858,'Reference info'!$J$10:$J$36,1,0))),"Producer &amp; Engineer")</f>
        <v/>
      </c>
    </row>
    <row r="859">
      <c r="B859" s="97"/>
      <c r="C859" s="121" t="str">
        <f t="array" ref="C859">ifs(and(isblank($A859),isblank($B859)),"", not(iserror(vlookup($A859&amp;$B859,'5) Release_Track'!$F:$F&amp;'5) Release_Track'!$G:$G,1,0))),vlookup($A859&amp;$B859,{'5) Release_Track'!$F:$F&amp;'5) Release_Track'!$G:$G,'5) Release_Track'!$H:$H},2,0),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D859" s="121" t="str">
        <f t="array" ref="D859">ifs(and(isblank($A859),isblank($B859)),"", not(iserror(vlookup($A859&amp;$B859,'5) Release_Track'!$F:$F&amp;'5) Release_Track'!$G:$G,1,0))),vlookup($A859&amp;$B859,{'5) Release_Track'!$F:$F&amp;'5) Release_Track'!$G:$G,'5) Release_Track'!$I:$I},2,0),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E859" s="92"/>
      <c r="F859" s="92"/>
      <c r="G859" s="125" t="str">
        <f t="array" ref="G859">ifs(or($F859="",$F859="Main Primary Artist"),$F859,not(iserror(vlookup($F859,'Reference info'!$J$5:$J$8,1,0))),"Key Artist",not(iserror(vlookup($F859,'Reference info'!$J$38:$J$405,1,0))),"Performer",not(iserror(vlookup($F859,'Reference info'!$J$10:$J$36,1,0))),"Producer &amp; Engineer")</f>
        <v/>
      </c>
    </row>
    <row r="860">
      <c r="B860" s="97"/>
      <c r="C860" s="121" t="str">
        <f t="array" ref="C860">ifs(and(isblank($A860),isblank($B860)),"", not(iserror(vlookup($A860&amp;$B860,'5) Release_Track'!$F:$F&amp;'5) Release_Track'!$G:$G,1,0))),vlookup($A860&amp;$B860,{'5) Release_Track'!$F:$F&amp;'5) Release_Track'!$G:$G,'5) Release_Track'!$H:$H},2,0),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D860" s="121" t="str">
        <f t="array" ref="D860">ifs(and(isblank($A860),isblank($B860)),"", not(iserror(vlookup($A860&amp;$B860,'5) Release_Track'!$F:$F&amp;'5) Release_Track'!$G:$G,1,0))),vlookup($A860&amp;$B860,{'5) Release_Track'!$F:$F&amp;'5) Release_Track'!$G:$G,'5) Release_Track'!$I:$I},2,0),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E860" s="92"/>
      <c r="F860" s="92"/>
      <c r="G860" s="125" t="str">
        <f t="array" ref="G860">ifs(or($F860="",$F860="Main Primary Artist"),$F860,not(iserror(vlookup($F860,'Reference info'!$J$5:$J$8,1,0))),"Key Artist",not(iserror(vlookup($F860,'Reference info'!$J$38:$J$405,1,0))),"Performer",not(iserror(vlookup($F860,'Reference info'!$J$10:$J$36,1,0))),"Producer &amp; Engineer")</f>
        <v/>
      </c>
    </row>
    <row r="861">
      <c r="B861" s="97"/>
      <c r="C861" s="121" t="str">
        <f t="array" ref="C861">ifs(and(isblank($A861),isblank($B861)),"", not(iserror(vlookup($A861&amp;$B861,'5) Release_Track'!$F:$F&amp;'5) Release_Track'!$G:$G,1,0))),vlookup($A861&amp;$B861,{'5) Release_Track'!$F:$F&amp;'5) Release_Track'!$G:$G,'5) Release_Track'!$H:$H},2,0),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D861" s="121" t="str">
        <f t="array" ref="D861">ifs(and(isblank($A861),isblank($B861)),"", not(iserror(vlookup($A861&amp;$B861,'5) Release_Track'!$F:$F&amp;'5) Release_Track'!$G:$G,1,0))),vlookup($A861&amp;$B861,{'5) Release_Track'!$F:$F&amp;'5) Release_Track'!$G:$G,'5) Release_Track'!$I:$I},2,0),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E861" s="92"/>
      <c r="F861" s="92"/>
      <c r="G861" s="125" t="str">
        <f t="array" ref="G861">ifs(or($F861="",$F861="Main Primary Artist"),$F861,not(iserror(vlookup($F861,'Reference info'!$J$5:$J$8,1,0))),"Key Artist",not(iserror(vlookup($F861,'Reference info'!$J$38:$J$405,1,0))),"Performer",not(iserror(vlookup($F861,'Reference info'!$J$10:$J$36,1,0))),"Producer &amp; Engineer")</f>
        <v/>
      </c>
    </row>
    <row r="862">
      <c r="B862" s="97"/>
      <c r="C862" s="121" t="str">
        <f t="array" ref="C862">ifs(and(isblank($A862),isblank($B862)),"", not(iserror(vlookup($A862&amp;$B862,'5) Release_Track'!$F:$F&amp;'5) Release_Track'!$G:$G,1,0))),vlookup($A862&amp;$B862,{'5) Release_Track'!$F:$F&amp;'5) Release_Track'!$G:$G,'5) Release_Track'!$H:$H},2,0),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D862" s="121" t="str">
        <f t="array" ref="D862">ifs(and(isblank($A862),isblank($B862)),"", not(iserror(vlookup($A862&amp;$B862,'5) Release_Track'!$F:$F&amp;'5) Release_Track'!$G:$G,1,0))),vlookup($A862&amp;$B862,{'5) Release_Track'!$F:$F&amp;'5) Release_Track'!$G:$G,'5) Release_Track'!$I:$I},2,0),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E862" s="92"/>
      <c r="F862" s="92"/>
      <c r="G862" s="125" t="str">
        <f t="array" ref="G862">ifs(or($F862="",$F862="Main Primary Artist"),$F862,not(iserror(vlookup($F862,'Reference info'!$J$5:$J$8,1,0))),"Key Artist",not(iserror(vlookup($F862,'Reference info'!$J$38:$J$405,1,0))),"Performer",not(iserror(vlookup($F862,'Reference info'!$J$10:$J$36,1,0))),"Producer &amp; Engineer")</f>
        <v/>
      </c>
    </row>
    <row r="863">
      <c r="B863" s="97"/>
      <c r="C863" s="121" t="str">
        <f t="array" ref="C863">ifs(and(isblank($A863),isblank($B863)),"", not(iserror(vlookup($A863&amp;$B863,'5) Release_Track'!$F:$F&amp;'5) Release_Track'!$G:$G,1,0))),vlookup($A863&amp;$B863,{'5) Release_Track'!$F:$F&amp;'5) Release_Track'!$G:$G,'5) Release_Track'!$H:$H},2,0),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D863" s="121" t="str">
        <f t="array" ref="D863">ifs(and(isblank($A863),isblank($B863)),"", not(iserror(vlookup($A863&amp;$B863,'5) Release_Track'!$F:$F&amp;'5) Release_Track'!$G:$G,1,0))),vlookup($A863&amp;$B863,{'5) Release_Track'!$F:$F&amp;'5) Release_Track'!$G:$G,'5) Release_Track'!$I:$I},2,0),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E863" s="92"/>
      <c r="F863" s="92"/>
      <c r="G863" s="125" t="str">
        <f t="array" ref="G863">ifs(or($F863="",$F863="Main Primary Artist"),$F863,not(iserror(vlookup($F863,'Reference info'!$J$5:$J$8,1,0))),"Key Artist",not(iserror(vlookup($F863,'Reference info'!$J$38:$J$405,1,0))),"Performer",not(iserror(vlookup($F863,'Reference info'!$J$10:$J$36,1,0))),"Producer &amp; Engineer")</f>
        <v/>
      </c>
    </row>
    <row r="864">
      <c r="B864" s="97"/>
      <c r="C864" s="121" t="str">
        <f t="array" ref="C864">ifs(and(isblank($A864),isblank($B864)),"", not(iserror(vlookup($A864&amp;$B864,'5) Release_Track'!$F:$F&amp;'5) Release_Track'!$G:$G,1,0))),vlookup($A864&amp;$B864,{'5) Release_Track'!$F:$F&amp;'5) Release_Track'!$G:$G,'5) Release_Track'!$H:$H},2,0),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D864" s="121" t="str">
        <f t="array" ref="D864">ifs(and(isblank($A864),isblank($B864)),"", not(iserror(vlookup($A864&amp;$B864,'5) Release_Track'!$F:$F&amp;'5) Release_Track'!$G:$G,1,0))),vlookup($A864&amp;$B864,{'5) Release_Track'!$F:$F&amp;'5) Release_Track'!$G:$G,'5) Release_Track'!$I:$I},2,0),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E864" s="92"/>
      <c r="F864" s="92"/>
      <c r="G864" s="125" t="str">
        <f t="array" ref="G864">ifs(or($F864="",$F864="Main Primary Artist"),$F864,not(iserror(vlookup($F864,'Reference info'!$J$5:$J$8,1,0))),"Key Artist",not(iserror(vlookup($F864,'Reference info'!$J$38:$J$405,1,0))),"Performer",not(iserror(vlookup($F864,'Reference info'!$J$10:$J$36,1,0))),"Producer &amp; Engineer")</f>
        <v/>
      </c>
    </row>
    <row r="865">
      <c r="B865" s="97"/>
      <c r="C865" s="121" t="str">
        <f t="array" ref="C865">ifs(and(isblank($A865),isblank($B865)),"", not(iserror(vlookup($A865&amp;$B865,'5) Release_Track'!$F:$F&amp;'5) Release_Track'!$G:$G,1,0))),vlookup($A865&amp;$B865,{'5) Release_Track'!$F:$F&amp;'5) Release_Track'!$G:$G,'5) Release_Track'!$H:$H},2,0),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D865" s="121" t="str">
        <f t="array" ref="D865">ifs(and(isblank($A865),isblank($B865)),"", not(iserror(vlookup($A865&amp;$B865,'5) Release_Track'!$F:$F&amp;'5) Release_Track'!$G:$G,1,0))),vlookup($A865&amp;$B865,{'5) Release_Track'!$F:$F&amp;'5) Release_Track'!$G:$G,'5) Release_Track'!$I:$I},2,0),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E865" s="92"/>
      <c r="F865" s="92"/>
      <c r="G865" s="125" t="str">
        <f t="array" ref="G865">ifs(or($F865="",$F865="Main Primary Artist"),$F865,not(iserror(vlookup($F865,'Reference info'!$J$5:$J$8,1,0))),"Key Artist",not(iserror(vlookup($F865,'Reference info'!$J$38:$J$405,1,0))),"Performer",not(iserror(vlookup($F865,'Reference info'!$J$10:$J$36,1,0))),"Producer &amp; Engineer")</f>
        <v/>
      </c>
    </row>
    <row r="866">
      <c r="B866" s="97"/>
      <c r="C866" s="121" t="str">
        <f t="array" ref="C866">ifs(and(isblank($A866),isblank($B866)),"", not(iserror(vlookup($A866&amp;$B866,'5) Release_Track'!$F:$F&amp;'5) Release_Track'!$G:$G,1,0))),vlookup($A866&amp;$B866,{'5) Release_Track'!$F:$F&amp;'5) Release_Track'!$G:$G,'5) Release_Track'!$H:$H},2,0),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D866" s="121" t="str">
        <f t="array" ref="D866">ifs(and(isblank($A866),isblank($B866)),"", not(iserror(vlookup($A866&amp;$B866,'5) Release_Track'!$F:$F&amp;'5) Release_Track'!$G:$G,1,0))),vlookup($A866&amp;$B866,{'5) Release_Track'!$F:$F&amp;'5) Release_Track'!$G:$G,'5) Release_Track'!$I:$I},2,0),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E866" s="92"/>
      <c r="F866" s="92"/>
      <c r="G866" s="125" t="str">
        <f t="array" ref="G866">ifs(or($F866="",$F866="Main Primary Artist"),$F866,not(iserror(vlookup($F866,'Reference info'!$J$5:$J$8,1,0))),"Key Artist",not(iserror(vlookup($F866,'Reference info'!$J$38:$J$405,1,0))),"Performer",not(iserror(vlookup($F866,'Reference info'!$J$10:$J$36,1,0))),"Producer &amp; Engineer")</f>
        <v/>
      </c>
    </row>
    <row r="867">
      <c r="B867" s="97"/>
      <c r="C867" s="121" t="str">
        <f t="array" ref="C867">ifs(and(isblank($A867),isblank($B867)),"", not(iserror(vlookup($A867&amp;$B867,'5) Release_Track'!$F:$F&amp;'5) Release_Track'!$G:$G,1,0))),vlookup($A867&amp;$B867,{'5) Release_Track'!$F:$F&amp;'5) Release_Track'!$G:$G,'5) Release_Track'!$H:$H},2,0),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D867" s="121" t="str">
        <f t="array" ref="D867">ifs(and(isblank($A867),isblank($B867)),"", not(iserror(vlookup($A867&amp;$B867,'5) Release_Track'!$F:$F&amp;'5) Release_Track'!$G:$G,1,0))),vlookup($A867&amp;$B867,{'5) Release_Track'!$F:$F&amp;'5) Release_Track'!$G:$G,'5) Release_Track'!$I:$I},2,0),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E867" s="92"/>
      <c r="F867" s="92"/>
      <c r="G867" s="125" t="str">
        <f t="array" ref="G867">ifs(or($F867="",$F867="Main Primary Artist"),$F867,not(iserror(vlookup($F867,'Reference info'!$J$5:$J$8,1,0))),"Key Artist",not(iserror(vlookup($F867,'Reference info'!$J$38:$J$405,1,0))),"Performer",not(iserror(vlookup($F867,'Reference info'!$J$10:$J$36,1,0))),"Producer &amp; Engineer")</f>
        <v/>
      </c>
    </row>
    <row r="868">
      <c r="B868" s="97"/>
      <c r="C868" s="121" t="str">
        <f t="array" ref="C868">ifs(and(isblank($A868),isblank($B868)),"", not(iserror(vlookup($A868&amp;$B868,'5) Release_Track'!$F:$F&amp;'5) Release_Track'!$G:$G,1,0))),vlookup($A868&amp;$B868,{'5) Release_Track'!$F:$F&amp;'5) Release_Track'!$G:$G,'5) Release_Track'!$H:$H},2,0),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D868" s="121" t="str">
        <f t="array" ref="D868">ifs(and(isblank($A868),isblank($B868)),"", not(iserror(vlookup($A868&amp;$B868,'5) Release_Track'!$F:$F&amp;'5) Release_Track'!$G:$G,1,0))),vlookup($A868&amp;$B868,{'5) Release_Track'!$F:$F&amp;'5) Release_Track'!$G:$G,'5) Release_Track'!$I:$I},2,0),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E868" s="92"/>
      <c r="F868" s="92"/>
      <c r="G868" s="125" t="str">
        <f t="array" ref="G868">ifs(or($F868="",$F868="Main Primary Artist"),$F868,not(iserror(vlookup($F868,'Reference info'!$J$5:$J$8,1,0))),"Key Artist",not(iserror(vlookup($F868,'Reference info'!$J$38:$J$405,1,0))),"Performer",not(iserror(vlookup($F868,'Reference info'!$J$10:$J$36,1,0))),"Producer &amp; Engineer")</f>
        <v/>
      </c>
    </row>
    <row r="869">
      <c r="B869" s="97"/>
      <c r="C869" s="121" t="str">
        <f t="array" ref="C869">ifs(and(isblank($A869),isblank($B869)),"", not(iserror(vlookup($A869&amp;$B869,'5) Release_Track'!$F:$F&amp;'5) Release_Track'!$G:$G,1,0))),vlookup($A869&amp;$B869,{'5) Release_Track'!$F:$F&amp;'5) Release_Track'!$G:$G,'5) Release_Track'!$H:$H},2,0),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D869" s="121" t="str">
        <f t="array" ref="D869">ifs(and(isblank($A869),isblank($B869)),"", not(iserror(vlookup($A869&amp;$B869,'5) Release_Track'!$F:$F&amp;'5) Release_Track'!$G:$G,1,0))),vlookup($A869&amp;$B869,{'5) Release_Track'!$F:$F&amp;'5) Release_Track'!$G:$G,'5) Release_Track'!$I:$I},2,0),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E869" s="92"/>
      <c r="F869" s="92"/>
      <c r="G869" s="125" t="str">
        <f t="array" ref="G869">ifs(or($F869="",$F869="Main Primary Artist"),$F869,not(iserror(vlookup($F869,'Reference info'!$J$5:$J$8,1,0))),"Key Artist",not(iserror(vlookup($F869,'Reference info'!$J$38:$J$405,1,0))),"Performer",not(iserror(vlookup($F869,'Reference info'!$J$10:$J$36,1,0))),"Producer &amp; Engineer")</f>
        <v/>
      </c>
    </row>
    <row r="870">
      <c r="B870" s="97"/>
      <c r="C870" s="121" t="str">
        <f t="array" ref="C870">ifs(and(isblank($A870),isblank($B870)),"", not(iserror(vlookup($A870&amp;$B870,'5) Release_Track'!$F:$F&amp;'5) Release_Track'!$G:$G,1,0))),vlookup($A870&amp;$B870,{'5) Release_Track'!$F:$F&amp;'5) Release_Track'!$G:$G,'5) Release_Track'!$H:$H},2,0),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D870" s="121" t="str">
        <f t="array" ref="D870">ifs(and(isblank($A870),isblank($B870)),"", not(iserror(vlookup($A870&amp;$B870,'5) Release_Track'!$F:$F&amp;'5) Release_Track'!$G:$G,1,0))),vlookup($A870&amp;$B870,{'5) Release_Track'!$F:$F&amp;'5) Release_Track'!$G:$G,'5) Release_Track'!$I:$I},2,0),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E870" s="92"/>
      <c r="F870" s="92"/>
      <c r="G870" s="125" t="str">
        <f t="array" ref="G870">ifs(or($F870="",$F870="Main Primary Artist"),$F870,not(iserror(vlookup($F870,'Reference info'!$J$5:$J$8,1,0))),"Key Artist",not(iserror(vlookup($F870,'Reference info'!$J$38:$J$405,1,0))),"Performer",not(iserror(vlookup($F870,'Reference info'!$J$10:$J$36,1,0))),"Producer &amp; Engineer")</f>
        <v/>
      </c>
    </row>
    <row r="871">
      <c r="B871" s="97"/>
      <c r="C871" s="121" t="str">
        <f t="array" ref="C871">ifs(and(isblank($A871),isblank($B871)),"", not(iserror(vlookup($A871&amp;$B871,'5) Release_Track'!$F:$F&amp;'5) Release_Track'!$G:$G,1,0))),vlookup($A871&amp;$B871,{'5) Release_Track'!$F:$F&amp;'5) Release_Track'!$G:$G,'5) Release_Track'!$H:$H},2,0),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D871" s="121" t="str">
        <f t="array" ref="D871">ifs(and(isblank($A871),isblank($B871)),"", not(iserror(vlookup($A871&amp;$B871,'5) Release_Track'!$F:$F&amp;'5) Release_Track'!$G:$G,1,0))),vlookup($A871&amp;$B871,{'5) Release_Track'!$F:$F&amp;'5) Release_Track'!$G:$G,'5) Release_Track'!$I:$I},2,0),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E871" s="92"/>
      <c r="F871" s="92"/>
      <c r="G871" s="125" t="str">
        <f t="array" ref="G871">ifs(or($F871="",$F871="Main Primary Artist"),$F871,not(iserror(vlookup($F871,'Reference info'!$J$5:$J$8,1,0))),"Key Artist",not(iserror(vlookup($F871,'Reference info'!$J$38:$J$405,1,0))),"Performer",not(iserror(vlookup($F871,'Reference info'!$J$10:$J$36,1,0))),"Producer &amp; Engineer")</f>
        <v/>
      </c>
    </row>
    <row r="872">
      <c r="B872" s="97"/>
      <c r="C872" s="121" t="str">
        <f t="array" ref="C872">ifs(and(isblank($A872),isblank($B872)),"", not(iserror(vlookup($A872&amp;$B872,'5) Release_Track'!$F:$F&amp;'5) Release_Track'!$G:$G,1,0))),vlookup($A872&amp;$B872,{'5) Release_Track'!$F:$F&amp;'5) Release_Track'!$G:$G,'5) Release_Track'!$H:$H},2,0),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D872" s="121" t="str">
        <f t="array" ref="D872">ifs(and(isblank($A872),isblank($B872)),"", not(iserror(vlookup($A872&amp;$B872,'5) Release_Track'!$F:$F&amp;'5) Release_Track'!$G:$G,1,0))),vlookup($A872&amp;$B872,{'5) Release_Track'!$F:$F&amp;'5) Release_Track'!$G:$G,'5) Release_Track'!$I:$I},2,0),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E872" s="92"/>
      <c r="F872" s="92"/>
      <c r="G872" s="125" t="str">
        <f t="array" ref="G872">ifs(or($F872="",$F872="Main Primary Artist"),$F872,not(iserror(vlookup($F872,'Reference info'!$J$5:$J$8,1,0))),"Key Artist",not(iserror(vlookup($F872,'Reference info'!$J$38:$J$405,1,0))),"Performer",not(iserror(vlookup($F872,'Reference info'!$J$10:$J$36,1,0))),"Producer &amp; Engineer")</f>
        <v/>
      </c>
    </row>
    <row r="873">
      <c r="B873" s="97"/>
      <c r="C873" s="121" t="str">
        <f t="array" ref="C873">ifs(and(isblank($A873),isblank($B873)),"", not(iserror(vlookup($A873&amp;$B873,'5) Release_Track'!$F:$F&amp;'5) Release_Track'!$G:$G,1,0))),vlookup($A873&amp;$B873,{'5) Release_Track'!$F:$F&amp;'5) Release_Track'!$G:$G,'5) Release_Track'!$H:$H},2,0),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D873" s="121" t="str">
        <f t="array" ref="D873">ifs(and(isblank($A873),isblank($B873)),"", not(iserror(vlookup($A873&amp;$B873,'5) Release_Track'!$F:$F&amp;'5) Release_Track'!$G:$G,1,0))),vlookup($A873&amp;$B873,{'5) Release_Track'!$F:$F&amp;'5) Release_Track'!$G:$G,'5) Release_Track'!$I:$I},2,0),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E873" s="92"/>
      <c r="F873" s="92"/>
      <c r="G873" s="125" t="str">
        <f t="array" ref="G873">ifs(or($F873="",$F873="Main Primary Artist"),$F873,not(iserror(vlookup($F873,'Reference info'!$J$5:$J$8,1,0))),"Key Artist",not(iserror(vlookup($F873,'Reference info'!$J$38:$J$405,1,0))),"Performer",not(iserror(vlookup($F873,'Reference info'!$J$10:$J$36,1,0))),"Producer &amp; Engineer")</f>
        <v/>
      </c>
    </row>
    <row r="874">
      <c r="B874" s="97"/>
      <c r="C874" s="121" t="str">
        <f t="array" ref="C874">ifs(and(isblank($A874),isblank($B874)),"", not(iserror(vlookup($A874&amp;$B874,'5) Release_Track'!$F:$F&amp;'5) Release_Track'!$G:$G,1,0))),vlookup($A874&amp;$B874,{'5) Release_Track'!$F:$F&amp;'5) Release_Track'!$G:$G,'5) Release_Track'!$H:$H},2,0),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D874" s="121" t="str">
        <f t="array" ref="D874">ifs(and(isblank($A874),isblank($B874)),"", not(iserror(vlookup($A874&amp;$B874,'5) Release_Track'!$F:$F&amp;'5) Release_Track'!$G:$G,1,0))),vlookup($A874&amp;$B874,{'5) Release_Track'!$F:$F&amp;'5) Release_Track'!$G:$G,'5) Release_Track'!$I:$I},2,0),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E874" s="92"/>
      <c r="F874" s="92"/>
      <c r="G874" s="125" t="str">
        <f t="array" ref="G874">ifs(or($F874="",$F874="Main Primary Artist"),$F874,not(iserror(vlookup($F874,'Reference info'!$J$5:$J$8,1,0))),"Key Artist",not(iserror(vlookup($F874,'Reference info'!$J$38:$J$405,1,0))),"Performer",not(iserror(vlookup($F874,'Reference info'!$J$10:$J$36,1,0))),"Producer &amp; Engineer")</f>
        <v/>
      </c>
    </row>
    <row r="875">
      <c r="B875" s="97"/>
      <c r="C875" s="121" t="str">
        <f t="array" ref="C875">ifs(and(isblank($A875),isblank($B875)),"", not(iserror(vlookup($A875&amp;$B875,'5) Release_Track'!$F:$F&amp;'5) Release_Track'!$G:$G,1,0))),vlookup($A875&amp;$B875,{'5) Release_Track'!$F:$F&amp;'5) Release_Track'!$G:$G,'5) Release_Track'!$H:$H},2,0),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D875" s="121" t="str">
        <f t="array" ref="D875">ifs(and(isblank($A875),isblank($B875)),"", not(iserror(vlookup($A875&amp;$B875,'5) Release_Track'!$F:$F&amp;'5) Release_Track'!$G:$G,1,0))),vlookup($A875&amp;$B875,{'5) Release_Track'!$F:$F&amp;'5) Release_Track'!$G:$G,'5) Release_Track'!$I:$I},2,0),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E875" s="92"/>
      <c r="F875" s="92"/>
      <c r="G875" s="125" t="str">
        <f t="array" ref="G875">ifs(or($F875="",$F875="Main Primary Artist"),$F875,not(iserror(vlookup($F875,'Reference info'!$J$5:$J$8,1,0))),"Key Artist",not(iserror(vlookup($F875,'Reference info'!$J$38:$J$405,1,0))),"Performer",not(iserror(vlookup($F875,'Reference info'!$J$10:$J$36,1,0))),"Producer &amp; Engineer")</f>
        <v/>
      </c>
    </row>
    <row r="876">
      <c r="B876" s="97"/>
      <c r="C876" s="121" t="str">
        <f t="array" ref="C876">ifs(and(isblank($A876),isblank($B876)),"", not(iserror(vlookup($A876&amp;$B876,'5) Release_Track'!$F:$F&amp;'5) Release_Track'!$G:$G,1,0))),vlookup($A876&amp;$B876,{'5) Release_Track'!$F:$F&amp;'5) Release_Track'!$G:$G,'5) Release_Track'!$H:$H},2,0),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D876" s="121" t="str">
        <f t="array" ref="D876">ifs(and(isblank($A876),isblank($B876)),"", not(iserror(vlookup($A876&amp;$B876,'5) Release_Track'!$F:$F&amp;'5) Release_Track'!$G:$G,1,0))),vlookup($A876&amp;$B876,{'5) Release_Track'!$F:$F&amp;'5) Release_Track'!$G:$G,'5) Release_Track'!$I:$I},2,0),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E876" s="92"/>
      <c r="F876" s="92"/>
      <c r="G876" s="125" t="str">
        <f t="array" ref="G876">ifs(or($F876="",$F876="Main Primary Artist"),$F876,not(iserror(vlookup($F876,'Reference info'!$J$5:$J$8,1,0))),"Key Artist",not(iserror(vlookup($F876,'Reference info'!$J$38:$J$405,1,0))),"Performer",not(iserror(vlookup($F876,'Reference info'!$J$10:$J$36,1,0))),"Producer &amp; Engineer")</f>
        <v/>
      </c>
    </row>
    <row r="877">
      <c r="B877" s="97"/>
      <c r="C877" s="121" t="str">
        <f t="array" ref="C877">ifs(and(isblank($A877),isblank($B877)),"", not(iserror(vlookup($A877&amp;$B877,'5) Release_Track'!$F:$F&amp;'5) Release_Track'!$G:$G,1,0))),vlookup($A877&amp;$B877,{'5) Release_Track'!$F:$F&amp;'5) Release_Track'!$G:$G,'5) Release_Track'!$H:$H},2,0),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D877" s="121" t="str">
        <f t="array" ref="D877">ifs(and(isblank($A877),isblank($B877)),"", not(iserror(vlookup($A877&amp;$B877,'5) Release_Track'!$F:$F&amp;'5) Release_Track'!$G:$G,1,0))),vlookup($A877&amp;$B877,{'5) Release_Track'!$F:$F&amp;'5) Release_Track'!$G:$G,'5) Release_Track'!$I:$I},2,0),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E877" s="92"/>
      <c r="F877" s="92"/>
      <c r="G877" s="125" t="str">
        <f t="array" ref="G877">ifs(or($F877="",$F877="Main Primary Artist"),$F877,not(iserror(vlookup($F877,'Reference info'!$J$5:$J$8,1,0))),"Key Artist",not(iserror(vlookup($F877,'Reference info'!$J$38:$J$405,1,0))),"Performer",not(iserror(vlookup($F877,'Reference info'!$J$10:$J$36,1,0))),"Producer &amp; Engineer")</f>
        <v/>
      </c>
    </row>
    <row r="878">
      <c r="B878" s="97"/>
      <c r="C878" s="121" t="str">
        <f t="array" ref="C878">ifs(and(isblank($A878),isblank($B878)),"", not(iserror(vlookup($A878&amp;$B878,'5) Release_Track'!$F:$F&amp;'5) Release_Track'!$G:$G,1,0))),vlookup($A878&amp;$B878,{'5) Release_Track'!$F:$F&amp;'5) Release_Track'!$G:$G,'5) Release_Track'!$H:$H},2,0),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D878" s="121" t="str">
        <f t="array" ref="D878">ifs(and(isblank($A878),isblank($B878)),"", not(iserror(vlookup($A878&amp;$B878,'5) Release_Track'!$F:$F&amp;'5) Release_Track'!$G:$G,1,0))),vlookup($A878&amp;$B878,{'5) Release_Track'!$F:$F&amp;'5) Release_Track'!$G:$G,'5) Release_Track'!$I:$I},2,0),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E878" s="92"/>
      <c r="F878" s="92"/>
      <c r="G878" s="125" t="str">
        <f t="array" ref="G878">ifs(or($F878="",$F878="Main Primary Artist"),$F878,not(iserror(vlookup($F878,'Reference info'!$J$5:$J$8,1,0))),"Key Artist",not(iserror(vlookup($F878,'Reference info'!$J$38:$J$405,1,0))),"Performer",not(iserror(vlookup($F878,'Reference info'!$J$10:$J$36,1,0))),"Producer &amp; Engineer")</f>
        <v/>
      </c>
    </row>
    <row r="879">
      <c r="B879" s="97"/>
      <c r="C879" s="121" t="str">
        <f t="array" ref="C879">ifs(and(isblank($A879),isblank($B879)),"", not(iserror(vlookup($A879&amp;$B879,'5) Release_Track'!$F:$F&amp;'5) Release_Track'!$G:$G,1,0))),vlookup($A879&amp;$B879,{'5) Release_Track'!$F:$F&amp;'5) Release_Track'!$G:$G,'5) Release_Track'!$H:$H},2,0),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D879" s="121" t="str">
        <f t="array" ref="D879">ifs(and(isblank($A879),isblank($B879)),"", not(iserror(vlookup($A879&amp;$B879,'5) Release_Track'!$F:$F&amp;'5) Release_Track'!$G:$G,1,0))),vlookup($A879&amp;$B879,{'5) Release_Track'!$F:$F&amp;'5) Release_Track'!$G:$G,'5) Release_Track'!$I:$I},2,0),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E879" s="92"/>
      <c r="F879" s="92"/>
      <c r="G879" s="125" t="str">
        <f t="array" ref="G879">ifs(or($F879="",$F879="Main Primary Artist"),$F879,not(iserror(vlookup($F879,'Reference info'!$J$5:$J$8,1,0))),"Key Artist",not(iserror(vlookup($F879,'Reference info'!$J$38:$J$405,1,0))),"Performer",not(iserror(vlookup($F879,'Reference info'!$J$10:$J$36,1,0))),"Producer &amp; Engineer")</f>
        <v/>
      </c>
    </row>
    <row r="880">
      <c r="B880" s="97"/>
      <c r="C880" s="121" t="str">
        <f t="array" ref="C880">ifs(and(isblank($A880),isblank($B880)),"", not(iserror(vlookup($A880&amp;$B880,'5) Release_Track'!$F:$F&amp;'5) Release_Track'!$G:$G,1,0))),vlookup($A880&amp;$B880,{'5) Release_Track'!$F:$F&amp;'5) Release_Track'!$G:$G,'5) Release_Track'!$H:$H},2,0),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D880" s="121" t="str">
        <f t="array" ref="D880">ifs(and(isblank($A880),isblank($B880)),"", not(iserror(vlookup($A880&amp;$B880,'5) Release_Track'!$F:$F&amp;'5) Release_Track'!$G:$G,1,0))),vlookup($A880&amp;$B880,{'5) Release_Track'!$F:$F&amp;'5) Release_Track'!$G:$G,'5) Release_Track'!$I:$I},2,0),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E880" s="92"/>
      <c r="F880" s="92"/>
      <c r="G880" s="125" t="str">
        <f t="array" ref="G880">ifs(or($F880="",$F880="Main Primary Artist"),$F880,not(iserror(vlookup($F880,'Reference info'!$J$5:$J$8,1,0))),"Key Artist",not(iserror(vlookup($F880,'Reference info'!$J$38:$J$405,1,0))),"Performer",not(iserror(vlookup($F880,'Reference info'!$J$10:$J$36,1,0))),"Producer &amp; Engineer")</f>
        <v/>
      </c>
    </row>
    <row r="881">
      <c r="B881" s="97"/>
      <c r="C881" s="121" t="str">
        <f t="array" ref="C881">ifs(and(isblank($A881),isblank($B881)),"", not(iserror(vlookup($A881&amp;$B881,'5) Release_Track'!$F:$F&amp;'5) Release_Track'!$G:$G,1,0))),vlookup($A881&amp;$B881,{'5) Release_Track'!$F:$F&amp;'5) Release_Track'!$G:$G,'5) Release_Track'!$H:$H},2,0),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D881" s="121" t="str">
        <f t="array" ref="D881">ifs(and(isblank($A881),isblank($B881)),"", not(iserror(vlookup($A881&amp;$B881,'5) Release_Track'!$F:$F&amp;'5) Release_Track'!$G:$G,1,0))),vlookup($A881&amp;$B881,{'5) Release_Track'!$F:$F&amp;'5) Release_Track'!$G:$G,'5) Release_Track'!$I:$I},2,0),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E881" s="92"/>
      <c r="F881" s="92"/>
      <c r="G881" s="125" t="str">
        <f t="array" ref="G881">ifs(or($F881="",$F881="Main Primary Artist"),$F881,not(iserror(vlookup($F881,'Reference info'!$J$5:$J$8,1,0))),"Key Artist",not(iserror(vlookup($F881,'Reference info'!$J$38:$J$405,1,0))),"Performer",not(iserror(vlookup($F881,'Reference info'!$J$10:$J$36,1,0))),"Producer &amp; Engineer")</f>
        <v/>
      </c>
    </row>
    <row r="882">
      <c r="B882" s="97"/>
      <c r="C882" s="121" t="str">
        <f t="array" ref="C882">ifs(and(isblank($A882),isblank($B882)),"", not(iserror(vlookup($A882&amp;$B882,'5) Release_Track'!$F:$F&amp;'5) Release_Track'!$G:$G,1,0))),vlookup($A882&amp;$B882,{'5) Release_Track'!$F:$F&amp;'5) Release_Track'!$G:$G,'5) Release_Track'!$H:$H},2,0),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D882" s="121" t="str">
        <f t="array" ref="D882">ifs(and(isblank($A882),isblank($B882)),"", not(iserror(vlookup($A882&amp;$B882,'5) Release_Track'!$F:$F&amp;'5) Release_Track'!$G:$G,1,0))),vlookup($A882&amp;$B882,{'5) Release_Track'!$F:$F&amp;'5) Release_Track'!$G:$G,'5) Release_Track'!$I:$I},2,0),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E882" s="92"/>
      <c r="F882" s="92"/>
      <c r="G882" s="125" t="str">
        <f t="array" ref="G882">ifs(or($F882="",$F882="Main Primary Artist"),$F882,not(iserror(vlookup($F882,'Reference info'!$J$5:$J$8,1,0))),"Key Artist",not(iserror(vlookup($F882,'Reference info'!$J$38:$J$405,1,0))),"Performer",not(iserror(vlookup($F882,'Reference info'!$J$10:$J$36,1,0))),"Producer &amp; Engineer")</f>
        <v/>
      </c>
    </row>
    <row r="883">
      <c r="B883" s="97"/>
      <c r="C883" s="121" t="str">
        <f t="array" ref="C883">ifs(and(isblank($A883),isblank($B883)),"", not(iserror(vlookup($A883&amp;$B883,'5) Release_Track'!$F:$F&amp;'5) Release_Track'!$G:$G,1,0))),vlookup($A883&amp;$B883,{'5) Release_Track'!$F:$F&amp;'5) Release_Track'!$G:$G,'5) Release_Track'!$H:$H},2,0),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D883" s="121" t="str">
        <f t="array" ref="D883">ifs(and(isblank($A883),isblank($B883)),"", not(iserror(vlookup($A883&amp;$B883,'5) Release_Track'!$F:$F&amp;'5) Release_Track'!$G:$G,1,0))),vlookup($A883&amp;$B883,{'5) Release_Track'!$F:$F&amp;'5) Release_Track'!$G:$G,'5) Release_Track'!$I:$I},2,0),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E883" s="92"/>
      <c r="F883" s="92"/>
      <c r="G883" s="125" t="str">
        <f t="array" ref="G883">ifs(or($F883="",$F883="Main Primary Artist"),$F883,not(iserror(vlookup($F883,'Reference info'!$J$5:$J$8,1,0))),"Key Artist",not(iserror(vlookup($F883,'Reference info'!$J$38:$J$405,1,0))),"Performer",not(iserror(vlookup($F883,'Reference info'!$J$10:$J$36,1,0))),"Producer &amp; Engineer")</f>
        <v/>
      </c>
    </row>
    <row r="884">
      <c r="B884" s="97"/>
      <c r="C884" s="121" t="str">
        <f t="array" ref="C884">ifs(and(isblank($A884),isblank($B884)),"", not(iserror(vlookup($A884&amp;$B884,'5) Release_Track'!$F:$F&amp;'5) Release_Track'!$G:$G,1,0))),vlookup($A884&amp;$B884,{'5) Release_Track'!$F:$F&amp;'5) Release_Track'!$G:$G,'5) Release_Track'!$H:$H},2,0),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D884" s="121" t="str">
        <f t="array" ref="D884">ifs(and(isblank($A884),isblank($B884)),"", not(iserror(vlookup($A884&amp;$B884,'5) Release_Track'!$F:$F&amp;'5) Release_Track'!$G:$G,1,0))),vlookup($A884&amp;$B884,{'5) Release_Track'!$F:$F&amp;'5) Release_Track'!$G:$G,'5) Release_Track'!$I:$I},2,0),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E884" s="92"/>
      <c r="F884" s="92"/>
      <c r="G884" s="125" t="str">
        <f t="array" ref="G884">ifs(or($F884="",$F884="Main Primary Artist"),$F884,not(iserror(vlookup($F884,'Reference info'!$J$5:$J$8,1,0))),"Key Artist",not(iserror(vlookup($F884,'Reference info'!$J$38:$J$405,1,0))),"Performer",not(iserror(vlookup($F884,'Reference info'!$J$10:$J$36,1,0))),"Producer &amp; Engineer")</f>
        <v/>
      </c>
    </row>
    <row r="885">
      <c r="B885" s="97"/>
      <c r="C885" s="121" t="str">
        <f t="array" ref="C885">ifs(and(isblank($A885),isblank($B885)),"", not(iserror(vlookup($A885&amp;$B885,'5) Release_Track'!$F:$F&amp;'5) Release_Track'!$G:$G,1,0))),vlookup($A885&amp;$B885,{'5) Release_Track'!$F:$F&amp;'5) Release_Track'!$G:$G,'5) Release_Track'!$H:$H},2,0),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D885" s="121" t="str">
        <f t="array" ref="D885">ifs(and(isblank($A885),isblank($B885)),"", not(iserror(vlookup($A885&amp;$B885,'5) Release_Track'!$F:$F&amp;'5) Release_Track'!$G:$G,1,0))),vlookup($A885&amp;$B885,{'5) Release_Track'!$F:$F&amp;'5) Release_Track'!$G:$G,'5) Release_Track'!$I:$I},2,0),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E885" s="92"/>
      <c r="F885" s="92"/>
      <c r="G885" s="125" t="str">
        <f t="array" ref="G885">ifs(or($F885="",$F885="Main Primary Artist"),$F885,not(iserror(vlookup($F885,'Reference info'!$J$5:$J$8,1,0))),"Key Artist",not(iserror(vlookup($F885,'Reference info'!$J$38:$J$405,1,0))),"Performer",not(iserror(vlookup($F885,'Reference info'!$J$10:$J$36,1,0))),"Producer &amp; Engineer")</f>
        <v/>
      </c>
    </row>
    <row r="886">
      <c r="B886" s="97"/>
      <c r="C886" s="121" t="str">
        <f t="array" ref="C886">ifs(and(isblank($A886),isblank($B886)),"", not(iserror(vlookup($A886&amp;$B886,'5) Release_Track'!$F:$F&amp;'5) Release_Track'!$G:$G,1,0))),vlookup($A886&amp;$B886,{'5) Release_Track'!$F:$F&amp;'5) Release_Track'!$G:$G,'5) Release_Track'!$H:$H},2,0),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D886" s="121" t="str">
        <f t="array" ref="D886">ifs(and(isblank($A886),isblank($B886)),"", not(iserror(vlookup($A886&amp;$B886,'5) Release_Track'!$F:$F&amp;'5) Release_Track'!$G:$G,1,0))),vlookup($A886&amp;$B886,{'5) Release_Track'!$F:$F&amp;'5) Release_Track'!$G:$G,'5) Release_Track'!$I:$I},2,0),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E886" s="92"/>
      <c r="F886" s="92"/>
      <c r="G886" s="125" t="str">
        <f t="array" ref="G886">ifs(or($F886="",$F886="Main Primary Artist"),$F886,not(iserror(vlookup($F886,'Reference info'!$J$5:$J$8,1,0))),"Key Artist",not(iserror(vlookup($F886,'Reference info'!$J$38:$J$405,1,0))),"Performer",not(iserror(vlookup($F886,'Reference info'!$J$10:$J$36,1,0))),"Producer &amp; Engineer")</f>
        <v/>
      </c>
    </row>
    <row r="887">
      <c r="B887" s="97"/>
      <c r="C887" s="121" t="str">
        <f t="array" ref="C887">ifs(and(isblank($A887),isblank($B887)),"", not(iserror(vlookup($A887&amp;$B887,'5) Release_Track'!$F:$F&amp;'5) Release_Track'!$G:$G,1,0))),vlookup($A887&amp;$B887,{'5) Release_Track'!$F:$F&amp;'5) Release_Track'!$G:$G,'5) Release_Track'!$H:$H},2,0),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D887" s="121" t="str">
        <f t="array" ref="D887">ifs(and(isblank($A887),isblank($B887)),"", not(iserror(vlookup($A887&amp;$B887,'5) Release_Track'!$F:$F&amp;'5) Release_Track'!$G:$G,1,0))),vlookup($A887&amp;$B887,{'5) Release_Track'!$F:$F&amp;'5) Release_Track'!$G:$G,'5) Release_Track'!$I:$I},2,0),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E887" s="92"/>
      <c r="F887" s="92"/>
      <c r="G887" s="125" t="str">
        <f t="array" ref="G887">ifs(or($F887="",$F887="Main Primary Artist"),$F887,not(iserror(vlookup($F887,'Reference info'!$J$5:$J$8,1,0))),"Key Artist",not(iserror(vlookup($F887,'Reference info'!$J$38:$J$405,1,0))),"Performer",not(iserror(vlookup($F887,'Reference info'!$J$10:$J$36,1,0))),"Producer &amp; Engineer")</f>
        <v/>
      </c>
    </row>
    <row r="888">
      <c r="B888" s="97"/>
      <c r="C888" s="121" t="str">
        <f t="array" ref="C888">ifs(and(isblank($A888),isblank($B888)),"", not(iserror(vlookup($A888&amp;$B888,'5) Release_Track'!$F:$F&amp;'5) Release_Track'!$G:$G,1,0))),vlookup($A888&amp;$B888,{'5) Release_Track'!$F:$F&amp;'5) Release_Track'!$G:$G,'5) Release_Track'!$H:$H},2,0),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D888" s="121" t="str">
        <f t="array" ref="D888">ifs(and(isblank($A888),isblank($B888)),"", not(iserror(vlookup($A888&amp;$B888,'5) Release_Track'!$F:$F&amp;'5) Release_Track'!$G:$G,1,0))),vlookup($A888&amp;$B888,{'5) Release_Track'!$F:$F&amp;'5) Release_Track'!$G:$G,'5) Release_Track'!$I:$I},2,0),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E888" s="92"/>
      <c r="F888" s="92"/>
      <c r="G888" s="125" t="str">
        <f t="array" ref="G888">ifs(or($F888="",$F888="Main Primary Artist"),$F888,not(iserror(vlookup($F888,'Reference info'!$J$5:$J$8,1,0))),"Key Artist",not(iserror(vlookup($F888,'Reference info'!$J$38:$J$405,1,0))),"Performer",not(iserror(vlookup($F888,'Reference info'!$J$10:$J$36,1,0))),"Producer &amp; Engineer")</f>
        <v/>
      </c>
    </row>
    <row r="889">
      <c r="B889" s="97"/>
      <c r="C889" s="121" t="str">
        <f t="array" ref="C889">ifs(and(isblank($A889),isblank($B889)),"", not(iserror(vlookup($A889&amp;$B889,'5) Release_Track'!$F:$F&amp;'5) Release_Track'!$G:$G,1,0))),vlookup($A889&amp;$B889,{'5) Release_Track'!$F:$F&amp;'5) Release_Track'!$G:$G,'5) Release_Track'!$H:$H},2,0),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D889" s="121" t="str">
        <f t="array" ref="D889">ifs(and(isblank($A889),isblank($B889)),"", not(iserror(vlookup($A889&amp;$B889,'5) Release_Track'!$F:$F&amp;'5) Release_Track'!$G:$G,1,0))),vlookup($A889&amp;$B889,{'5) Release_Track'!$F:$F&amp;'5) Release_Track'!$G:$G,'5) Release_Track'!$I:$I},2,0),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E889" s="92"/>
      <c r="F889" s="92"/>
      <c r="G889" s="125" t="str">
        <f t="array" ref="G889">ifs(or($F889="",$F889="Main Primary Artist"),$F889,not(iserror(vlookup($F889,'Reference info'!$J$5:$J$8,1,0))),"Key Artist",not(iserror(vlookup($F889,'Reference info'!$J$38:$J$405,1,0))),"Performer",not(iserror(vlookup($F889,'Reference info'!$J$10:$J$36,1,0))),"Producer &amp; Engineer")</f>
        <v/>
      </c>
    </row>
    <row r="890">
      <c r="B890" s="97"/>
      <c r="C890" s="121" t="str">
        <f t="array" ref="C890">ifs(and(isblank($A890),isblank($B890)),"", not(iserror(vlookup($A890&amp;$B890,'5) Release_Track'!$F:$F&amp;'5) Release_Track'!$G:$G,1,0))),vlookup($A890&amp;$B890,{'5) Release_Track'!$F:$F&amp;'5) Release_Track'!$G:$G,'5) Release_Track'!$H:$H},2,0),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D890" s="121" t="str">
        <f t="array" ref="D890">ifs(and(isblank($A890),isblank($B890)),"", not(iserror(vlookup($A890&amp;$B890,'5) Release_Track'!$F:$F&amp;'5) Release_Track'!$G:$G,1,0))),vlookup($A890&amp;$B890,{'5) Release_Track'!$F:$F&amp;'5) Release_Track'!$G:$G,'5) Release_Track'!$I:$I},2,0),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E890" s="92"/>
      <c r="F890" s="92"/>
      <c r="G890" s="125" t="str">
        <f t="array" ref="G890">ifs(or($F890="",$F890="Main Primary Artist"),$F890,not(iserror(vlookup($F890,'Reference info'!$J$5:$J$8,1,0))),"Key Artist",not(iserror(vlookup($F890,'Reference info'!$J$38:$J$405,1,0))),"Performer",not(iserror(vlookup($F890,'Reference info'!$J$10:$J$36,1,0))),"Producer &amp; Engineer")</f>
        <v/>
      </c>
    </row>
    <row r="891">
      <c r="B891" s="97"/>
      <c r="C891" s="121" t="str">
        <f t="array" ref="C891">ifs(and(isblank($A891),isblank($B891)),"", not(iserror(vlookup($A891&amp;$B891,'5) Release_Track'!$F:$F&amp;'5) Release_Track'!$G:$G,1,0))),vlookup($A891&amp;$B891,{'5) Release_Track'!$F:$F&amp;'5) Release_Track'!$G:$G,'5) Release_Track'!$H:$H},2,0),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D891" s="121" t="str">
        <f t="array" ref="D891">ifs(and(isblank($A891),isblank($B891)),"", not(iserror(vlookup($A891&amp;$B891,'5) Release_Track'!$F:$F&amp;'5) Release_Track'!$G:$G,1,0))),vlookup($A891&amp;$B891,{'5) Release_Track'!$F:$F&amp;'5) Release_Track'!$G:$G,'5) Release_Track'!$I:$I},2,0),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E891" s="92"/>
      <c r="F891" s="92"/>
      <c r="G891" s="125" t="str">
        <f t="array" ref="G891">ifs(or($F891="",$F891="Main Primary Artist"),$F891,not(iserror(vlookup($F891,'Reference info'!$J$5:$J$8,1,0))),"Key Artist",not(iserror(vlookup($F891,'Reference info'!$J$38:$J$405,1,0))),"Performer",not(iserror(vlookup($F891,'Reference info'!$J$10:$J$36,1,0))),"Producer &amp; Engineer")</f>
        <v/>
      </c>
    </row>
    <row r="892">
      <c r="B892" s="97"/>
      <c r="C892" s="121" t="str">
        <f t="array" ref="C892">ifs(and(isblank($A892),isblank($B892)),"", not(iserror(vlookup($A892&amp;$B892,'5) Release_Track'!$F:$F&amp;'5) Release_Track'!$G:$G,1,0))),vlookup($A892&amp;$B892,{'5) Release_Track'!$F:$F&amp;'5) Release_Track'!$G:$G,'5) Release_Track'!$H:$H},2,0),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D892" s="121" t="str">
        <f t="array" ref="D892">ifs(and(isblank($A892),isblank($B892)),"", not(iserror(vlookup($A892&amp;$B892,'5) Release_Track'!$F:$F&amp;'5) Release_Track'!$G:$G,1,0))),vlookup($A892&amp;$B892,{'5) Release_Track'!$F:$F&amp;'5) Release_Track'!$G:$G,'5) Release_Track'!$I:$I},2,0),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E892" s="92"/>
      <c r="F892" s="92"/>
      <c r="G892" s="125" t="str">
        <f t="array" ref="G892">ifs(or($F892="",$F892="Main Primary Artist"),$F892,not(iserror(vlookup($F892,'Reference info'!$J$5:$J$8,1,0))),"Key Artist",not(iserror(vlookup($F892,'Reference info'!$J$38:$J$405,1,0))),"Performer",not(iserror(vlookup($F892,'Reference info'!$J$10:$J$36,1,0))),"Producer &amp; Engineer")</f>
        <v/>
      </c>
    </row>
    <row r="893">
      <c r="B893" s="97"/>
      <c r="C893" s="121" t="str">
        <f t="array" ref="C893">ifs(and(isblank($A893),isblank($B893)),"", not(iserror(vlookup($A893&amp;$B893,'5) Release_Track'!$F:$F&amp;'5) Release_Track'!$G:$G,1,0))),vlookup($A893&amp;$B893,{'5) Release_Track'!$F:$F&amp;'5) Release_Track'!$G:$G,'5) Release_Track'!$H:$H},2,0),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D893" s="121" t="str">
        <f t="array" ref="D893">ifs(and(isblank($A893),isblank($B893)),"", not(iserror(vlookup($A893&amp;$B893,'5) Release_Track'!$F:$F&amp;'5) Release_Track'!$G:$G,1,0))),vlookup($A893&amp;$B893,{'5) Release_Track'!$F:$F&amp;'5) Release_Track'!$G:$G,'5) Release_Track'!$I:$I},2,0),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E893" s="92"/>
      <c r="F893" s="92"/>
      <c r="G893" s="125" t="str">
        <f t="array" ref="G893">ifs(or($F893="",$F893="Main Primary Artist"),$F893,not(iserror(vlookup($F893,'Reference info'!$J$5:$J$8,1,0))),"Key Artist",not(iserror(vlookup($F893,'Reference info'!$J$38:$J$405,1,0))),"Performer",not(iserror(vlookup($F893,'Reference info'!$J$10:$J$36,1,0))),"Producer &amp; Engineer")</f>
        <v/>
      </c>
    </row>
    <row r="894">
      <c r="B894" s="97"/>
      <c r="C894" s="121" t="str">
        <f t="array" ref="C894">ifs(and(isblank($A894),isblank($B894)),"", not(iserror(vlookup($A894&amp;$B894,'5) Release_Track'!$F:$F&amp;'5) Release_Track'!$G:$G,1,0))),vlookup($A894&amp;$B894,{'5) Release_Track'!$F:$F&amp;'5) Release_Track'!$G:$G,'5) Release_Track'!$H:$H},2,0),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D894" s="121" t="str">
        <f t="array" ref="D894">ifs(and(isblank($A894),isblank($B894)),"", not(iserror(vlookup($A894&amp;$B894,'5) Release_Track'!$F:$F&amp;'5) Release_Track'!$G:$G,1,0))),vlookup($A894&amp;$B894,{'5) Release_Track'!$F:$F&amp;'5) Release_Track'!$G:$G,'5) Release_Track'!$I:$I},2,0),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E894" s="92"/>
      <c r="F894" s="92"/>
      <c r="G894" s="125" t="str">
        <f t="array" ref="G894">ifs(or($F894="",$F894="Main Primary Artist"),$F894,not(iserror(vlookup($F894,'Reference info'!$J$5:$J$8,1,0))),"Key Artist",not(iserror(vlookup($F894,'Reference info'!$J$38:$J$405,1,0))),"Performer",not(iserror(vlookup($F894,'Reference info'!$J$10:$J$36,1,0))),"Producer &amp; Engineer")</f>
        <v/>
      </c>
    </row>
    <row r="895">
      <c r="B895" s="97"/>
      <c r="C895" s="121" t="str">
        <f t="array" ref="C895">ifs(and(isblank($A895),isblank($B895)),"", not(iserror(vlookup($A895&amp;$B895,'5) Release_Track'!$F:$F&amp;'5) Release_Track'!$G:$G,1,0))),vlookup($A895&amp;$B895,{'5) Release_Track'!$F:$F&amp;'5) Release_Track'!$G:$G,'5) Release_Track'!$H:$H},2,0),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D895" s="121" t="str">
        <f t="array" ref="D895">ifs(and(isblank($A895),isblank($B895)),"", not(iserror(vlookup($A895&amp;$B895,'5) Release_Track'!$F:$F&amp;'5) Release_Track'!$G:$G,1,0))),vlookup($A895&amp;$B895,{'5) Release_Track'!$F:$F&amp;'5) Release_Track'!$G:$G,'5) Release_Track'!$I:$I},2,0),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E895" s="92"/>
      <c r="F895" s="92"/>
      <c r="G895" s="125" t="str">
        <f t="array" ref="G895">ifs(or($F895="",$F895="Main Primary Artist"),$F895,not(iserror(vlookup($F895,'Reference info'!$J$5:$J$8,1,0))),"Key Artist",not(iserror(vlookup($F895,'Reference info'!$J$38:$J$405,1,0))),"Performer",not(iserror(vlookup($F895,'Reference info'!$J$10:$J$36,1,0))),"Producer &amp; Engineer")</f>
        <v/>
      </c>
    </row>
    <row r="896">
      <c r="B896" s="97"/>
      <c r="C896" s="121" t="str">
        <f t="array" ref="C896">ifs(and(isblank($A896),isblank($B896)),"", not(iserror(vlookup($A896&amp;$B896,'5) Release_Track'!$F:$F&amp;'5) Release_Track'!$G:$G,1,0))),vlookup($A896&amp;$B896,{'5) Release_Track'!$F:$F&amp;'5) Release_Track'!$G:$G,'5) Release_Track'!$H:$H},2,0),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D896" s="121" t="str">
        <f t="array" ref="D896">ifs(and(isblank($A896),isblank($B896)),"", not(iserror(vlookup($A896&amp;$B896,'5) Release_Track'!$F:$F&amp;'5) Release_Track'!$G:$G,1,0))),vlookup($A896&amp;$B896,{'5) Release_Track'!$F:$F&amp;'5) Release_Track'!$G:$G,'5) Release_Track'!$I:$I},2,0),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E896" s="92"/>
      <c r="F896" s="92"/>
      <c r="G896" s="125" t="str">
        <f t="array" ref="G896">ifs(or($F896="",$F896="Main Primary Artist"),$F896,not(iserror(vlookup($F896,'Reference info'!$J$5:$J$8,1,0))),"Key Artist",not(iserror(vlookup($F896,'Reference info'!$J$38:$J$405,1,0))),"Performer",not(iserror(vlookup($F896,'Reference info'!$J$10:$J$36,1,0))),"Producer &amp; Engineer")</f>
        <v/>
      </c>
    </row>
    <row r="897">
      <c r="B897" s="97"/>
      <c r="C897" s="121" t="str">
        <f t="array" ref="C897">ifs(and(isblank($A897),isblank($B897)),"", not(iserror(vlookup($A897&amp;$B897,'5) Release_Track'!$F:$F&amp;'5) Release_Track'!$G:$G,1,0))),vlookup($A897&amp;$B897,{'5) Release_Track'!$F:$F&amp;'5) Release_Track'!$G:$G,'5) Release_Track'!$H:$H},2,0),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D897" s="121" t="str">
        <f t="array" ref="D897">ifs(and(isblank($A897),isblank($B897)),"", not(iserror(vlookup($A897&amp;$B897,'5) Release_Track'!$F:$F&amp;'5) Release_Track'!$G:$G,1,0))),vlookup($A897&amp;$B897,{'5) Release_Track'!$F:$F&amp;'5) Release_Track'!$G:$G,'5) Release_Track'!$I:$I},2,0),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E897" s="92"/>
      <c r="F897" s="92"/>
      <c r="G897" s="125" t="str">
        <f t="array" ref="G897">ifs(or($F897="",$F897="Main Primary Artist"),$F897,not(iserror(vlookup($F897,'Reference info'!$J$5:$J$8,1,0))),"Key Artist",not(iserror(vlookup($F897,'Reference info'!$J$38:$J$405,1,0))),"Performer",not(iserror(vlookup($F897,'Reference info'!$J$10:$J$36,1,0))),"Producer &amp; Engineer")</f>
        <v/>
      </c>
    </row>
    <row r="898">
      <c r="B898" s="97"/>
      <c r="C898" s="121" t="str">
        <f t="array" ref="C898">ifs(and(isblank($A898),isblank($B898)),"", not(iserror(vlookup($A898&amp;$B898,'5) Release_Track'!$F:$F&amp;'5) Release_Track'!$G:$G,1,0))),vlookup($A898&amp;$B898,{'5) Release_Track'!$F:$F&amp;'5) Release_Track'!$G:$G,'5) Release_Track'!$H:$H},2,0),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D898" s="121" t="str">
        <f t="array" ref="D898">ifs(and(isblank($A898),isblank($B898)),"", not(iserror(vlookup($A898&amp;$B898,'5) Release_Track'!$F:$F&amp;'5) Release_Track'!$G:$G,1,0))),vlookup($A898&amp;$B898,{'5) Release_Track'!$F:$F&amp;'5) Release_Track'!$G:$G,'5) Release_Track'!$I:$I},2,0),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E898" s="92"/>
      <c r="F898" s="92"/>
      <c r="G898" s="125" t="str">
        <f t="array" ref="G898">ifs(or($F898="",$F898="Main Primary Artist"),$F898,not(iserror(vlookup($F898,'Reference info'!$J$5:$J$8,1,0))),"Key Artist",not(iserror(vlookup($F898,'Reference info'!$J$38:$J$405,1,0))),"Performer",not(iserror(vlookup($F898,'Reference info'!$J$10:$J$36,1,0))),"Producer &amp; Engineer")</f>
        <v/>
      </c>
    </row>
    <row r="899">
      <c r="B899" s="97"/>
      <c r="C899" s="121" t="str">
        <f t="array" ref="C899">ifs(and(isblank($A899),isblank($B899)),"", not(iserror(vlookup($A899&amp;$B899,'5) Release_Track'!$F:$F&amp;'5) Release_Track'!$G:$G,1,0))),vlookup($A899&amp;$B899,{'5) Release_Track'!$F:$F&amp;'5) Release_Track'!$G:$G,'5) Release_Track'!$H:$H},2,0),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D899" s="121" t="str">
        <f t="array" ref="D899">ifs(and(isblank($A899),isblank($B899)),"", not(iserror(vlookup($A899&amp;$B899,'5) Release_Track'!$F:$F&amp;'5) Release_Track'!$G:$G,1,0))),vlookup($A899&amp;$B899,{'5) Release_Track'!$F:$F&amp;'5) Release_Track'!$G:$G,'5) Release_Track'!$I:$I},2,0),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E899" s="92"/>
      <c r="F899" s="92"/>
      <c r="G899" s="125" t="str">
        <f t="array" ref="G899">ifs(or($F899="",$F899="Main Primary Artist"),$F899,not(iserror(vlookup($F899,'Reference info'!$J$5:$J$8,1,0))),"Key Artist",not(iserror(vlookup($F899,'Reference info'!$J$38:$J$405,1,0))),"Performer",not(iserror(vlookup($F899,'Reference info'!$J$10:$J$36,1,0))),"Producer &amp; Engineer")</f>
        <v/>
      </c>
    </row>
    <row r="900">
      <c r="B900" s="97"/>
      <c r="C900" s="121" t="str">
        <f t="array" ref="C900">ifs(and(isblank($A900),isblank($B900)),"", not(iserror(vlookup($A900&amp;$B900,'5) Release_Track'!$F:$F&amp;'5) Release_Track'!$G:$G,1,0))),vlookup($A900&amp;$B900,{'5) Release_Track'!$F:$F&amp;'5) Release_Track'!$G:$G,'5) Release_Track'!$H:$H},2,0),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D900" s="121" t="str">
        <f t="array" ref="D900">ifs(and(isblank($A900),isblank($B900)),"", not(iserror(vlookup($A900&amp;$B900,'5) Release_Track'!$F:$F&amp;'5) Release_Track'!$G:$G,1,0))),vlookup($A900&amp;$B900,{'5) Release_Track'!$F:$F&amp;'5) Release_Track'!$G:$G,'5) Release_Track'!$I:$I},2,0),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E900" s="92"/>
      <c r="F900" s="92"/>
      <c r="G900" s="125" t="str">
        <f t="array" ref="G900">ifs(or($F900="",$F900="Main Primary Artist"),$F900,not(iserror(vlookup($F900,'Reference info'!$J$5:$J$8,1,0))),"Key Artist",not(iserror(vlookup($F900,'Reference info'!$J$38:$J$405,1,0))),"Performer",not(iserror(vlookup($F900,'Reference info'!$J$10:$J$36,1,0))),"Producer &amp; Engineer")</f>
        <v/>
      </c>
    </row>
    <row r="901">
      <c r="B901" s="97"/>
      <c r="C901" s="121" t="str">
        <f t="array" ref="C901">ifs(and(isblank($A901),isblank($B901)),"", not(iserror(vlookup($A901&amp;$B901,'5) Release_Track'!$F:$F&amp;'5) Release_Track'!$G:$G,1,0))),vlookup($A901&amp;$B901,{'5) Release_Track'!$F:$F&amp;'5) Release_Track'!$G:$G,'5) Release_Track'!$H:$H},2,0),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D901" s="121" t="str">
        <f t="array" ref="D901">ifs(and(isblank($A901),isblank($B901)),"", not(iserror(vlookup($A901&amp;$B901,'5) Release_Track'!$F:$F&amp;'5) Release_Track'!$G:$G,1,0))),vlookup($A901&amp;$B901,{'5) Release_Track'!$F:$F&amp;'5) Release_Track'!$G:$G,'5) Release_Track'!$I:$I},2,0),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E901" s="92"/>
      <c r="F901" s="92"/>
      <c r="G901" s="125" t="str">
        <f t="array" ref="G901">ifs(or($F901="",$F901="Main Primary Artist"),$F901,not(iserror(vlookup($F901,'Reference info'!$J$5:$J$8,1,0))),"Key Artist",not(iserror(vlookup($F901,'Reference info'!$J$38:$J$405,1,0))),"Performer",not(iserror(vlookup($F901,'Reference info'!$J$10:$J$36,1,0))),"Producer &amp; Engineer")</f>
        <v/>
      </c>
    </row>
    <row r="902">
      <c r="B902" s="97"/>
      <c r="C902" s="121" t="str">
        <f t="array" ref="C902">ifs(and(isblank($A902),isblank($B902)),"", not(iserror(vlookup($A902&amp;$B902,'5) Release_Track'!$F:$F&amp;'5) Release_Track'!$G:$G,1,0))),vlookup($A902&amp;$B902,{'5) Release_Track'!$F:$F&amp;'5) Release_Track'!$G:$G,'5) Release_Track'!$H:$H},2,0),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D902" s="121" t="str">
        <f t="array" ref="D902">ifs(and(isblank($A902),isblank($B902)),"", not(iserror(vlookup($A902&amp;$B902,'5) Release_Track'!$F:$F&amp;'5) Release_Track'!$G:$G,1,0))),vlookup($A902&amp;$B902,{'5) Release_Track'!$F:$F&amp;'5) Release_Track'!$G:$G,'5) Release_Track'!$I:$I},2,0),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E902" s="92"/>
      <c r="F902" s="92"/>
      <c r="G902" s="125" t="str">
        <f t="array" ref="G902">ifs(or($F902="",$F902="Main Primary Artist"),$F902,not(iserror(vlookup($F902,'Reference info'!$J$5:$J$8,1,0))),"Key Artist",not(iserror(vlookup($F902,'Reference info'!$J$38:$J$405,1,0))),"Performer",not(iserror(vlookup($F902,'Reference info'!$J$10:$J$36,1,0))),"Producer &amp; Engineer")</f>
        <v/>
      </c>
    </row>
    <row r="903">
      <c r="B903" s="97"/>
      <c r="C903" s="121" t="str">
        <f t="array" ref="C903">ifs(and(isblank($A903),isblank($B903)),"", not(iserror(vlookup($A903&amp;$B903,'5) Release_Track'!$F:$F&amp;'5) Release_Track'!$G:$G,1,0))),vlookup($A903&amp;$B903,{'5) Release_Track'!$F:$F&amp;'5) Release_Track'!$G:$G,'5) Release_Track'!$H:$H},2,0),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D903" s="121" t="str">
        <f t="array" ref="D903">ifs(and(isblank($A903),isblank($B903)),"", not(iserror(vlookup($A903&amp;$B903,'5) Release_Track'!$F:$F&amp;'5) Release_Track'!$G:$G,1,0))),vlookup($A903&amp;$B903,{'5) Release_Track'!$F:$F&amp;'5) Release_Track'!$G:$G,'5) Release_Track'!$I:$I},2,0),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E903" s="92"/>
      <c r="F903" s="92"/>
      <c r="G903" s="125" t="str">
        <f t="array" ref="G903">ifs(or($F903="",$F903="Main Primary Artist"),$F903,not(iserror(vlookup($F903,'Reference info'!$J$5:$J$8,1,0))),"Key Artist",not(iserror(vlookup($F903,'Reference info'!$J$38:$J$405,1,0))),"Performer",not(iserror(vlookup($F903,'Reference info'!$J$10:$J$36,1,0))),"Producer &amp; Engineer")</f>
        <v/>
      </c>
    </row>
    <row r="904">
      <c r="B904" s="97"/>
      <c r="C904" s="121" t="str">
        <f t="array" ref="C904">ifs(and(isblank($A904),isblank($B904)),"", not(iserror(vlookup($A904&amp;$B904,'5) Release_Track'!$F:$F&amp;'5) Release_Track'!$G:$G,1,0))),vlookup($A904&amp;$B904,{'5) Release_Track'!$F:$F&amp;'5) Release_Track'!$G:$G,'5) Release_Track'!$H:$H},2,0),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D904" s="121" t="str">
        <f t="array" ref="D904">ifs(and(isblank($A904),isblank($B904)),"", not(iserror(vlookup($A904&amp;$B904,'5) Release_Track'!$F:$F&amp;'5) Release_Track'!$G:$G,1,0))),vlookup($A904&amp;$B904,{'5) Release_Track'!$F:$F&amp;'5) Release_Track'!$G:$G,'5) Release_Track'!$I:$I},2,0),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E904" s="92"/>
      <c r="F904" s="92"/>
      <c r="G904" s="125" t="str">
        <f t="array" ref="G904">ifs(or($F904="",$F904="Main Primary Artist"),$F904,not(iserror(vlookup($F904,'Reference info'!$J$5:$J$8,1,0))),"Key Artist",not(iserror(vlookup($F904,'Reference info'!$J$38:$J$405,1,0))),"Performer",not(iserror(vlookup($F904,'Reference info'!$J$10:$J$36,1,0))),"Producer &amp; Engineer")</f>
        <v/>
      </c>
    </row>
    <row r="905">
      <c r="B905" s="97"/>
      <c r="C905" s="121" t="str">
        <f t="array" ref="C905">ifs(and(isblank($A905),isblank($B905)),"", not(iserror(vlookup($A905&amp;$B905,'5) Release_Track'!$F:$F&amp;'5) Release_Track'!$G:$G,1,0))),vlookup($A905&amp;$B905,{'5) Release_Track'!$F:$F&amp;'5) Release_Track'!$G:$G,'5) Release_Track'!$H:$H},2,0),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D905" s="121" t="str">
        <f t="array" ref="D905">ifs(and(isblank($A905),isblank($B905)),"", not(iserror(vlookup($A905&amp;$B905,'5) Release_Track'!$F:$F&amp;'5) Release_Track'!$G:$G,1,0))),vlookup($A905&amp;$B905,{'5) Release_Track'!$F:$F&amp;'5) Release_Track'!$G:$G,'5) Release_Track'!$I:$I},2,0),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E905" s="92"/>
      <c r="F905" s="92"/>
      <c r="G905" s="125" t="str">
        <f t="array" ref="G905">ifs(or($F905="",$F905="Main Primary Artist"),$F905,not(iserror(vlookup($F905,'Reference info'!$J$5:$J$8,1,0))),"Key Artist",not(iserror(vlookup($F905,'Reference info'!$J$38:$J$405,1,0))),"Performer",not(iserror(vlookup($F905,'Reference info'!$J$10:$J$36,1,0))),"Producer &amp; Engineer")</f>
        <v/>
      </c>
    </row>
    <row r="906">
      <c r="B906" s="97"/>
      <c r="C906" s="121" t="str">
        <f t="array" ref="C906">ifs(and(isblank($A906),isblank($B906)),"", not(iserror(vlookup($A906&amp;$B906,'5) Release_Track'!$F:$F&amp;'5) Release_Track'!$G:$G,1,0))),vlookup($A906&amp;$B906,{'5) Release_Track'!$F:$F&amp;'5) Release_Track'!$G:$G,'5) Release_Track'!$H:$H},2,0),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D906" s="121" t="str">
        <f t="array" ref="D906">ifs(and(isblank($A906),isblank($B906)),"", not(iserror(vlookup($A906&amp;$B906,'5) Release_Track'!$F:$F&amp;'5) Release_Track'!$G:$G,1,0))),vlookup($A906&amp;$B906,{'5) Release_Track'!$F:$F&amp;'5) Release_Track'!$G:$G,'5) Release_Track'!$I:$I},2,0),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E906" s="92"/>
      <c r="F906" s="92"/>
      <c r="G906" s="125" t="str">
        <f t="array" ref="G906">ifs(or($F906="",$F906="Main Primary Artist"),$F906,not(iserror(vlookup($F906,'Reference info'!$J$5:$J$8,1,0))),"Key Artist",not(iserror(vlookup($F906,'Reference info'!$J$38:$J$405,1,0))),"Performer",not(iserror(vlookup($F906,'Reference info'!$J$10:$J$36,1,0))),"Producer &amp; Engineer")</f>
        <v/>
      </c>
    </row>
    <row r="907">
      <c r="B907" s="97"/>
      <c r="C907" s="121" t="str">
        <f t="array" ref="C907">ifs(and(isblank($A907),isblank($B907)),"", not(iserror(vlookup($A907&amp;$B907,'5) Release_Track'!$F:$F&amp;'5) Release_Track'!$G:$G,1,0))),vlookup($A907&amp;$B907,{'5) Release_Track'!$F:$F&amp;'5) Release_Track'!$G:$G,'5) Release_Track'!$H:$H},2,0),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D907" s="121" t="str">
        <f t="array" ref="D907">ifs(and(isblank($A907),isblank($B907)),"", not(iserror(vlookup($A907&amp;$B907,'5) Release_Track'!$F:$F&amp;'5) Release_Track'!$G:$G,1,0))),vlookup($A907&amp;$B907,{'5) Release_Track'!$F:$F&amp;'5) Release_Track'!$G:$G,'5) Release_Track'!$I:$I},2,0),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E907" s="92"/>
      <c r="F907" s="92"/>
      <c r="G907" s="125" t="str">
        <f t="array" ref="G907">ifs(or($F907="",$F907="Main Primary Artist"),$F907,not(iserror(vlookup($F907,'Reference info'!$J$5:$J$8,1,0))),"Key Artist",not(iserror(vlookup($F907,'Reference info'!$J$38:$J$405,1,0))),"Performer",not(iserror(vlookup($F907,'Reference info'!$J$10:$J$36,1,0))),"Producer &amp; Engineer")</f>
        <v/>
      </c>
    </row>
    <row r="908">
      <c r="B908" s="97"/>
      <c r="C908" s="121" t="str">
        <f t="array" ref="C908">ifs(and(isblank($A908),isblank($B908)),"", not(iserror(vlookup($A908&amp;$B908,'5) Release_Track'!$F:$F&amp;'5) Release_Track'!$G:$G,1,0))),vlookup($A908&amp;$B908,{'5) Release_Track'!$F:$F&amp;'5) Release_Track'!$G:$G,'5) Release_Track'!$H:$H},2,0),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D908" s="121" t="str">
        <f t="array" ref="D908">ifs(and(isblank($A908),isblank($B908)),"", not(iserror(vlookup($A908&amp;$B908,'5) Release_Track'!$F:$F&amp;'5) Release_Track'!$G:$G,1,0))),vlookup($A908&amp;$B908,{'5) Release_Track'!$F:$F&amp;'5) Release_Track'!$G:$G,'5) Release_Track'!$I:$I},2,0),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E908" s="92"/>
      <c r="F908" s="92"/>
      <c r="G908" s="125" t="str">
        <f t="array" ref="G908">ifs(or($F908="",$F908="Main Primary Artist"),$F908,not(iserror(vlookup($F908,'Reference info'!$J$5:$J$8,1,0))),"Key Artist",not(iserror(vlookup($F908,'Reference info'!$J$38:$J$405,1,0))),"Performer",not(iserror(vlookup($F908,'Reference info'!$J$10:$J$36,1,0))),"Producer &amp; Engineer")</f>
        <v/>
      </c>
    </row>
    <row r="909">
      <c r="B909" s="97"/>
      <c r="C909" s="121" t="str">
        <f t="array" ref="C909">ifs(and(isblank($A909),isblank($B909)),"", not(iserror(vlookup($A909&amp;$B909,'5) Release_Track'!$F:$F&amp;'5) Release_Track'!$G:$G,1,0))),vlookup($A909&amp;$B909,{'5) Release_Track'!$F:$F&amp;'5) Release_Track'!$G:$G,'5) Release_Track'!$H:$H},2,0),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D909" s="121" t="str">
        <f t="array" ref="D909">ifs(and(isblank($A909),isblank($B909)),"", not(iserror(vlookup($A909&amp;$B909,'5) Release_Track'!$F:$F&amp;'5) Release_Track'!$G:$G,1,0))),vlookup($A909&amp;$B909,{'5) Release_Track'!$F:$F&amp;'5) Release_Track'!$G:$G,'5) Release_Track'!$I:$I},2,0),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E909" s="92"/>
      <c r="F909" s="92"/>
      <c r="G909" s="125" t="str">
        <f t="array" ref="G909">ifs(or($F909="",$F909="Main Primary Artist"),$F909,not(iserror(vlookup($F909,'Reference info'!$J$5:$J$8,1,0))),"Key Artist",not(iserror(vlookup($F909,'Reference info'!$J$38:$J$405,1,0))),"Performer",not(iserror(vlookup($F909,'Reference info'!$J$10:$J$36,1,0))),"Producer &amp; Engineer")</f>
        <v/>
      </c>
    </row>
    <row r="910">
      <c r="B910" s="97"/>
      <c r="C910" s="121" t="str">
        <f t="array" ref="C910">ifs(and(isblank($A910),isblank($B910)),"", not(iserror(vlookup($A910&amp;$B910,'5) Release_Track'!$F:$F&amp;'5) Release_Track'!$G:$G,1,0))),vlookup($A910&amp;$B910,{'5) Release_Track'!$F:$F&amp;'5) Release_Track'!$G:$G,'5) Release_Track'!$H:$H},2,0),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D910" s="121" t="str">
        <f t="array" ref="D910">ifs(and(isblank($A910),isblank($B910)),"", not(iserror(vlookup($A910&amp;$B910,'5) Release_Track'!$F:$F&amp;'5) Release_Track'!$G:$G,1,0))),vlookup($A910&amp;$B910,{'5) Release_Track'!$F:$F&amp;'5) Release_Track'!$G:$G,'5) Release_Track'!$I:$I},2,0),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E910" s="92"/>
      <c r="F910" s="92"/>
      <c r="G910" s="125" t="str">
        <f t="array" ref="G910">ifs(or($F910="",$F910="Main Primary Artist"),$F910,not(iserror(vlookup($F910,'Reference info'!$J$5:$J$8,1,0))),"Key Artist",not(iserror(vlookup($F910,'Reference info'!$J$38:$J$405,1,0))),"Performer",not(iserror(vlookup($F910,'Reference info'!$J$10:$J$36,1,0))),"Producer &amp; Engineer")</f>
        <v/>
      </c>
    </row>
    <row r="911">
      <c r="B911" s="97"/>
      <c r="C911" s="121" t="str">
        <f t="array" ref="C911">ifs(and(isblank($A911),isblank($B911)),"", not(iserror(vlookup($A911&amp;$B911,'5) Release_Track'!$F:$F&amp;'5) Release_Track'!$G:$G,1,0))),vlookup($A911&amp;$B911,{'5) Release_Track'!$F:$F&amp;'5) Release_Track'!$G:$G,'5) Release_Track'!$H:$H},2,0),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D911" s="121" t="str">
        <f t="array" ref="D911">ifs(and(isblank($A911),isblank($B911)),"", not(iserror(vlookup($A911&amp;$B911,'5) Release_Track'!$F:$F&amp;'5) Release_Track'!$G:$G,1,0))),vlookup($A911&amp;$B911,{'5) Release_Track'!$F:$F&amp;'5) Release_Track'!$G:$G,'5) Release_Track'!$I:$I},2,0),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E911" s="92"/>
      <c r="F911" s="92"/>
      <c r="G911" s="125" t="str">
        <f t="array" ref="G911">ifs(or($F911="",$F911="Main Primary Artist"),$F911,not(iserror(vlookup($F911,'Reference info'!$J$5:$J$8,1,0))),"Key Artist",not(iserror(vlookup($F911,'Reference info'!$J$38:$J$405,1,0))),"Performer",not(iserror(vlookup($F911,'Reference info'!$J$10:$J$36,1,0))),"Producer &amp; Engineer")</f>
        <v/>
      </c>
    </row>
    <row r="912">
      <c r="B912" s="97"/>
      <c r="C912" s="121" t="str">
        <f t="array" ref="C912">ifs(and(isblank($A912),isblank($B912)),"", not(iserror(vlookup($A912&amp;$B912,'5) Release_Track'!$F:$F&amp;'5) Release_Track'!$G:$G,1,0))),vlookup($A912&amp;$B912,{'5) Release_Track'!$F:$F&amp;'5) Release_Track'!$G:$G,'5) Release_Track'!$H:$H},2,0),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D912" s="121" t="str">
        <f t="array" ref="D912">ifs(and(isblank($A912),isblank($B912)),"", not(iserror(vlookup($A912&amp;$B912,'5) Release_Track'!$F:$F&amp;'5) Release_Track'!$G:$G,1,0))),vlookup($A912&amp;$B912,{'5) Release_Track'!$F:$F&amp;'5) Release_Track'!$G:$G,'5) Release_Track'!$I:$I},2,0),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E912" s="92"/>
      <c r="F912" s="92"/>
      <c r="G912" s="125" t="str">
        <f t="array" ref="G912">ifs(or($F912="",$F912="Main Primary Artist"),$F912,not(iserror(vlookup($F912,'Reference info'!$J$5:$J$8,1,0))),"Key Artist",not(iserror(vlookup($F912,'Reference info'!$J$38:$J$405,1,0))),"Performer",not(iserror(vlookup($F912,'Reference info'!$J$10:$J$36,1,0))),"Producer &amp; Engineer")</f>
        <v/>
      </c>
    </row>
    <row r="913">
      <c r="B913" s="97"/>
      <c r="C913" s="121" t="str">
        <f t="array" ref="C913">ifs(and(isblank($A913),isblank($B913)),"", not(iserror(vlookup($A913&amp;$B913,'5) Release_Track'!$F:$F&amp;'5) Release_Track'!$G:$G,1,0))),vlookup($A913&amp;$B913,{'5) Release_Track'!$F:$F&amp;'5) Release_Track'!$G:$G,'5) Release_Track'!$H:$H},2,0),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D913" s="121" t="str">
        <f t="array" ref="D913">ifs(and(isblank($A913),isblank($B913)),"", not(iserror(vlookup($A913&amp;$B913,'5) Release_Track'!$F:$F&amp;'5) Release_Track'!$G:$G,1,0))),vlookup($A913&amp;$B913,{'5) Release_Track'!$F:$F&amp;'5) Release_Track'!$G:$G,'5) Release_Track'!$I:$I},2,0),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E913" s="92"/>
      <c r="F913" s="92"/>
      <c r="G913" s="125" t="str">
        <f t="array" ref="G913">ifs(or($F913="",$F913="Main Primary Artist"),$F913,not(iserror(vlookup($F913,'Reference info'!$J$5:$J$8,1,0))),"Key Artist",not(iserror(vlookup($F913,'Reference info'!$J$38:$J$405,1,0))),"Performer",not(iserror(vlookup($F913,'Reference info'!$J$10:$J$36,1,0))),"Producer &amp; Engineer")</f>
        <v/>
      </c>
    </row>
    <row r="914">
      <c r="B914" s="97"/>
      <c r="C914" s="121" t="str">
        <f t="array" ref="C914">ifs(and(isblank($A914),isblank($B914)),"", not(iserror(vlookup($A914&amp;$B914,'5) Release_Track'!$F:$F&amp;'5) Release_Track'!$G:$G,1,0))),vlookup($A914&amp;$B914,{'5) Release_Track'!$F:$F&amp;'5) Release_Track'!$G:$G,'5) Release_Track'!$H:$H},2,0),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D914" s="121" t="str">
        <f t="array" ref="D914">ifs(and(isblank($A914),isblank($B914)),"", not(iserror(vlookup($A914&amp;$B914,'5) Release_Track'!$F:$F&amp;'5) Release_Track'!$G:$G,1,0))),vlookup($A914&amp;$B914,{'5) Release_Track'!$F:$F&amp;'5) Release_Track'!$G:$G,'5) Release_Track'!$I:$I},2,0),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E914" s="92"/>
      <c r="F914" s="92"/>
      <c r="G914" s="125" t="str">
        <f t="array" ref="G914">ifs(or($F914="",$F914="Main Primary Artist"),$F914,not(iserror(vlookup($F914,'Reference info'!$J$5:$J$8,1,0))),"Key Artist",not(iserror(vlookup($F914,'Reference info'!$J$38:$J$405,1,0))),"Performer",not(iserror(vlookup($F914,'Reference info'!$J$10:$J$36,1,0))),"Producer &amp; Engineer")</f>
        <v/>
      </c>
    </row>
    <row r="915">
      <c r="B915" s="97"/>
      <c r="C915" s="121" t="str">
        <f t="array" ref="C915">ifs(and(isblank($A915),isblank($B915)),"", not(iserror(vlookup($A915&amp;$B915,'5) Release_Track'!$F:$F&amp;'5) Release_Track'!$G:$G,1,0))),vlookup($A915&amp;$B915,{'5) Release_Track'!$F:$F&amp;'5) Release_Track'!$G:$G,'5) Release_Track'!$H:$H},2,0),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D915" s="121" t="str">
        <f t="array" ref="D915">ifs(and(isblank($A915),isblank($B915)),"", not(iserror(vlookup($A915&amp;$B915,'5) Release_Track'!$F:$F&amp;'5) Release_Track'!$G:$G,1,0))),vlookup($A915&amp;$B915,{'5) Release_Track'!$F:$F&amp;'5) Release_Track'!$G:$G,'5) Release_Track'!$I:$I},2,0),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E915" s="92"/>
      <c r="F915" s="92"/>
      <c r="G915" s="125" t="str">
        <f t="array" ref="G915">ifs(or($F915="",$F915="Main Primary Artist"),$F915,not(iserror(vlookup($F915,'Reference info'!$J$5:$J$8,1,0))),"Key Artist",not(iserror(vlookup($F915,'Reference info'!$J$38:$J$405,1,0))),"Performer",not(iserror(vlookup($F915,'Reference info'!$J$10:$J$36,1,0))),"Producer &amp; Engineer")</f>
        <v/>
      </c>
    </row>
    <row r="916">
      <c r="B916" s="97"/>
      <c r="C916" s="121" t="str">
        <f t="array" ref="C916">ifs(and(isblank($A916),isblank($B916)),"", not(iserror(vlookup($A916&amp;$B916,'5) Release_Track'!$F:$F&amp;'5) Release_Track'!$G:$G,1,0))),vlookup($A916&amp;$B916,{'5) Release_Track'!$F:$F&amp;'5) Release_Track'!$G:$G,'5) Release_Track'!$H:$H},2,0),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D916" s="121" t="str">
        <f t="array" ref="D916">ifs(and(isblank($A916),isblank($B916)),"", not(iserror(vlookup($A916&amp;$B916,'5) Release_Track'!$F:$F&amp;'5) Release_Track'!$G:$G,1,0))),vlookup($A916&amp;$B916,{'5) Release_Track'!$F:$F&amp;'5) Release_Track'!$G:$G,'5) Release_Track'!$I:$I},2,0),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E916" s="92"/>
      <c r="F916" s="92"/>
      <c r="G916" s="125" t="str">
        <f t="array" ref="G916">ifs(or($F916="",$F916="Main Primary Artist"),$F916,not(iserror(vlookup($F916,'Reference info'!$J$5:$J$8,1,0))),"Key Artist",not(iserror(vlookup($F916,'Reference info'!$J$38:$J$405,1,0))),"Performer",not(iserror(vlookup($F916,'Reference info'!$J$10:$J$36,1,0))),"Producer &amp; Engineer")</f>
        <v/>
      </c>
    </row>
    <row r="917">
      <c r="B917" s="97"/>
      <c r="C917" s="121" t="str">
        <f t="array" ref="C917">ifs(and(isblank($A917),isblank($B917)),"", not(iserror(vlookup($A917&amp;$B917,'5) Release_Track'!$F:$F&amp;'5) Release_Track'!$G:$G,1,0))),vlookup($A917&amp;$B917,{'5) Release_Track'!$F:$F&amp;'5) Release_Track'!$G:$G,'5) Release_Track'!$H:$H},2,0),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D917" s="121" t="str">
        <f t="array" ref="D917">ifs(and(isblank($A917),isblank($B917)),"", not(iserror(vlookup($A917&amp;$B917,'5) Release_Track'!$F:$F&amp;'5) Release_Track'!$G:$G,1,0))),vlookup($A917&amp;$B917,{'5) Release_Track'!$F:$F&amp;'5) Release_Track'!$G:$G,'5) Release_Track'!$I:$I},2,0),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E917" s="92"/>
      <c r="F917" s="92"/>
      <c r="G917" s="125" t="str">
        <f t="array" ref="G917">ifs(or($F917="",$F917="Main Primary Artist"),$F917,not(iserror(vlookup($F917,'Reference info'!$J$5:$J$8,1,0))),"Key Artist",not(iserror(vlookup($F917,'Reference info'!$J$38:$J$405,1,0))),"Performer",not(iserror(vlookup($F917,'Reference info'!$J$10:$J$36,1,0))),"Producer &amp; Engineer")</f>
        <v/>
      </c>
    </row>
    <row r="918">
      <c r="B918" s="97"/>
      <c r="C918" s="121" t="str">
        <f t="array" ref="C918">ifs(and(isblank($A918),isblank($B918)),"", not(iserror(vlookup($A918&amp;$B918,'5) Release_Track'!$F:$F&amp;'5) Release_Track'!$G:$G,1,0))),vlookup($A918&amp;$B918,{'5) Release_Track'!$F:$F&amp;'5) Release_Track'!$G:$G,'5) Release_Track'!$H:$H},2,0),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D918" s="121" t="str">
        <f t="array" ref="D918">ifs(and(isblank($A918),isblank($B918)),"", not(iserror(vlookup($A918&amp;$B918,'5) Release_Track'!$F:$F&amp;'5) Release_Track'!$G:$G,1,0))),vlookup($A918&amp;$B918,{'5) Release_Track'!$F:$F&amp;'5) Release_Track'!$G:$G,'5) Release_Track'!$I:$I},2,0),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E918" s="92"/>
      <c r="F918" s="92"/>
      <c r="G918" s="125" t="str">
        <f t="array" ref="G918">ifs(or($F918="",$F918="Main Primary Artist"),$F918,not(iserror(vlookup($F918,'Reference info'!$J$5:$J$8,1,0))),"Key Artist",not(iserror(vlookup($F918,'Reference info'!$J$38:$J$405,1,0))),"Performer",not(iserror(vlookup($F918,'Reference info'!$J$10:$J$36,1,0))),"Producer &amp; Engineer")</f>
        <v/>
      </c>
    </row>
    <row r="919">
      <c r="B919" s="97"/>
      <c r="C919" s="121" t="str">
        <f t="array" ref="C919">ifs(and(isblank($A919),isblank($B919)),"", not(iserror(vlookup($A919&amp;$B919,'5) Release_Track'!$F:$F&amp;'5) Release_Track'!$G:$G,1,0))),vlookup($A919&amp;$B919,{'5) Release_Track'!$F:$F&amp;'5) Release_Track'!$G:$G,'5) Release_Track'!$H:$H},2,0),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D919" s="121" t="str">
        <f t="array" ref="D919">ifs(and(isblank($A919),isblank($B919)),"", not(iserror(vlookup($A919&amp;$B919,'5) Release_Track'!$F:$F&amp;'5) Release_Track'!$G:$G,1,0))),vlookup($A919&amp;$B919,{'5) Release_Track'!$F:$F&amp;'5) Release_Track'!$G:$G,'5) Release_Track'!$I:$I},2,0),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E919" s="92"/>
      <c r="F919" s="92"/>
      <c r="G919" s="125" t="str">
        <f t="array" ref="G919">ifs(or($F919="",$F919="Main Primary Artist"),$F919,not(iserror(vlookup($F919,'Reference info'!$J$5:$J$8,1,0))),"Key Artist",not(iserror(vlookup($F919,'Reference info'!$J$38:$J$405,1,0))),"Performer",not(iserror(vlookup($F919,'Reference info'!$J$10:$J$36,1,0))),"Producer &amp; Engineer")</f>
        <v/>
      </c>
    </row>
    <row r="920">
      <c r="B920" s="97"/>
      <c r="C920" s="121" t="str">
        <f t="array" ref="C920">ifs(and(isblank($A920),isblank($B920)),"", not(iserror(vlookup($A920&amp;$B920,'5) Release_Track'!$F:$F&amp;'5) Release_Track'!$G:$G,1,0))),vlookup($A920&amp;$B920,{'5) Release_Track'!$F:$F&amp;'5) Release_Track'!$G:$G,'5) Release_Track'!$H:$H},2,0),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D920" s="121" t="str">
        <f t="array" ref="D920">ifs(and(isblank($A920),isblank($B920)),"", not(iserror(vlookup($A920&amp;$B920,'5) Release_Track'!$F:$F&amp;'5) Release_Track'!$G:$G,1,0))),vlookup($A920&amp;$B920,{'5) Release_Track'!$F:$F&amp;'5) Release_Track'!$G:$G,'5) Release_Track'!$I:$I},2,0),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E920" s="92"/>
      <c r="F920" s="92"/>
      <c r="G920" s="125" t="str">
        <f t="array" ref="G920">ifs(or($F920="",$F920="Main Primary Artist"),$F920,not(iserror(vlookup($F920,'Reference info'!$J$5:$J$8,1,0))),"Key Artist",not(iserror(vlookup($F920,'Reference info'!$J$38:$J$405,1,0))),"Performer",not(iserror(vlookup($F920,'Reference info'!$J$10:$J$36,1,0))),"Producer &amp; Engineer")</f>
        <v/>
      </c>
    </row>
    <row r="921">
      <c r="B921" s="97"/>
      <c r="C921" s="121" t="str">
        <f t="array" ref="C921">ifs(and(isblank($A921),isblank($B921)),"", not(iserror(vlookup($A921&amp;$B921,'5) Release_Track'!$F:$F&amp;'5) Release_Track'!$G:$G,1,0))),vlookup($A921&amp;$B921,{'5) Release_Track'!$F:$F&amp;'5) Release_Track'!$G:$G,'5) Release_Track'!$H:$H},2,0),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D921" s="121" t="str">
        <f t="array" ref="D921">ifs(and(isblank($A921),isblank($B921)),"", not(iserror(vlookup($A921&amp;$B921,'5) Release_Track'!$F:$F&amp;'5) Release_Track'!$G:$G,1,0))),vlookup($A921&amp;$B921,{'5) Release_Track'!$F:$F&amp;'5) Release_Track'!$G:$G,'5) Release_Track'!$I:$I},2,0),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E921" s="92"/>
      <c r="F921" s="92"/>
      <c r="G921" s="125" t="str">
        <f t="array" ref="G921">ifs(or($F921="",$F921="Main Primary Artist"),$F921,not(iserror(vlookup($F921,'Reference info'!$J$5:$J$8,1,0))),"Key Artist",not(iserror(vlookup($F921,'Reference info'!$J$38:$J$405,1,0))),"Performer",not(iserror(vlookup($F921,'Reference info'!$J$10:$J$36,1,0))),"Producer &amp; Engineer")</f>
        <v/>
      </c>
    </row>
    <row r="922">
      <c r="B922" s="97"/>
      <c r="C922" s="121" t="str">
        <f t="array" ref="C922">ifs(and(isblank($A922),isblank($B922)),"", not(iserror(vlookup($A922&amp;$B922,'5) Release_Track'!$F:$F&amp;'5) Release_Track'!$G:$G,1,0))),vlookup($A922&amp;$B922,{'5) Release_Track'!$F:$F&amp;'5) Release_Track'!$G:$G,'5) Release_Track'!$H:$H},2,0),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D922" s="121" t="str">
        <f t="array" ref="D922">ifs(and(isblank($A922),isblank($B922)),"", not(iserror(vlookup($A922&amp;$B922,'5) Release_Track'!$F:$F&amp;'5) Release_Track'!$G:$G,1,0))),vlookup($A922&amp;$B922,{'5) Release_Track'!$F:$F&amp;'5) Release_Track'!$G:$G,'5) Release_Track'!$I:$I},2,0),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E922" s="92"/>
      <c r="F922" s="92"/>
      <c r="G922" s="125" t="str">
        <f t="array" ref="G922">ifs(or($F922="",$F922="Main Primary Artist"),$F922,not(iserror(vlookup($F922,'Reference info'!$J$5:$J$8,1,0))),"Key Artist",not(iserror(vlookup($F922,'Reference info'!$J$38:$J$405,1,0))),"Performer",not(iserror(vlookup($F922,'Reference info'!$J$10:$J$36,1,0))),"Producer &amp; Engineer")</f>
        <v/>
      </c>
    </row>
    <row r="923">
      <c r="B923" s="97"/>
      <c r="C923" s="121" t="str">
        <f t="array" ref="C923">ifs(and(isblank($A923),isblank($B923)),"", not(iserror(vlookup($A923&amp;$B923,'5) Release_Track'!$F:$F&amp;'5) Release_Track'!$G:$G,1,0))),vlookup($A923&amp;$B923,{'5) Release_Track'!$F:$F&amp;'5) Release_Track'!$G:$G,'5) Release_Track'!$H:$H},2,0),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D923" s="121" t="str">
        <f t="array" ref="D923">ifs(and(isblank($A923),isblank($B923)),"", not(iserror(vlookup($A923&amp;$B923,'5) Release_Track'!$F:$F&amp;'5) Release_Track'!$G:$G,1,0))),vlookup($A923&amp;$B923,{'5) Release_Track'!$F:$F&amp;'5) Release_Track'!$G:$G,'5) Release_Track'!$I:$I},2,0),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E923" s="92"/>
      <c r="F923" s="92"/>
      <c r="G923" s="125" t="str">
        <f t="array" ref="G923">ifs(or($F923="",$F923="Main Primary Artist"),$F923,not(iserror(vlookup($F923,'Reference info'!$J$5:$J$8,1,0))),"Key Artist",not(iserror(vlookup($F923,'Reference info'!$J$38:$J$405,1,0))),"Performer",not(iserror(vlookup($F923,'Reference info'!$J$10:$J$36,1,0))),"Producer &amp; Engineer")</f>
        <v/>
      </c>
    </row>
    <row r="924">
      <c r="B924" s="97"/>
      <c r="C924" s="121" t="str">
        <f t="array" ref="C924">ifs(and(isblank($A924),isblank($B924)),"", not(iserror(vlookup($A924&amp;$B924,'5) Release_Track'!$F:$F&amp;'5) Release_Track'!$G:$G,1,0))),vlookup($A924&amp;$B924,{'5) Release_Track'!$F:$F&amp;'5) Release_Track'!$G:$G,'5) Release_Track'!$H:$H},2,0),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D924" s="121" t="str">
        <f t="array" ref="D924">ifs(and(isblank($A924),isblank($B924)),"", not(iserror(vlookup($A924&amp;$B924,'5) Release_Track'!$F:$F&amp;'5) Release_Track'!$G:$G,1,0))),vlookup($A924&amp;$B924,{'5) Release_Track'!$F:$F&amp;'5) Release_Track'!$G:$G,'5) Release_Track'!$I:$I},2,0),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E924" s="92"/>
      <c r="F924" s="92"/>
      <c r="G924" s="125" t="str">
        <f t="array" ref="G924">ifs(or($F924="",$F924="Main Primary Artist"),$F924,not(iserror(vlookup($F924,'Reference info'!$J$5:$J$8,1,0))),"Key Artist",not(iserror(vlookup($F924,'Reference info'!$J$38:$J$405,1,0))),"Performer",not(iserror(vlookup($F924,'Reference info'!$J$10:$J$36,1,0))),"Producer &amp; Engineer")</f>
        <v/>
      </c>
    </row>
    <row r="925">
      <c r="B925" s="97"/>
      <c r="C925" s="121" t="str">
        <f t="array" ref="C925">ifs(and(isblank($A925),isblank($B925)),"", not(iserror(vlookup($A925&amp;$B925,'5) Release_Track'!$F:$F&amp;'5) Release_Track'!$G:$G,1,0))),vlookup($A925&amp;$B925,{'5) Release_Track'!$F:$F&amp;'5) Release_Track'!$G:$G,'5) Release_Track'!$H:$H},2,0),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D925" s="121" t="str">
        <f t="array" ref="D925">ifs(and(isblank($A925),isblank($B925)),"", not(iserror(vlookup($A925&amp;$B925,'5) Release_Track'!$F:$F&amp;'5) Release_Track'!$G:$G,1,0))),vlookup($A925&amp;$B925,{'5) Release_Track'!$F:$F&amp;'5) Release_Track'!$G:$G,'5) Release_Track'!$I:$I},2,0),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E925" s="92"/>
      <c r="F925" s="92"/>
      <c r="G925" s="125" t="str">
        <f t="array" ref="G925">ifs(or($F925="",$F925="Main Primary Artist"),$F925,not(iserror(vlookup($F925,'Reference info'!$J$5:$J$8,1,0))),"Key Artist",not(iserror(vlookup($F925,'Reference info'!$J$38:$J$405,1,0))),"Performer",not(iserror(vlookup($F925,'Reference info'!$J$10:$J$36,1,0))),"Producer &amp; Engineer")</f>
        <v/>
      </c>
    </row>
    <row r="926">
      <c r="B926" s="97"/>
      <c r="C926" s="121" t="str">
        <f t="array" ref="C926">ifs(and(isblank($A926),isblank($B926)),"", not(iserror(vlookup($A926&amp;$B926,'5) Release_Track'!$F:$F&amp;'5) Release_Track'!$G:$G,1,0))),vlookup($A926&amp;$B926,{'5) Release_Track'!$F:$F&amp;'5) Release_Track'!$G:$G,'5) Release_Track'!$H:$H},2,0),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D926" s="121" t="str">
        <f t="array" ref="D926">ifs(and(isblank($A926),isblank($B926)),"", not(iserror(vlookup($A926&amp;$B926,'5) Release_Track'!$F:$F&amp;'5) Release_Track'!$G:$G,1,0))),vlookup($A926&amp;$B926,{'5) Release_Track'!$F:$F&amp;'5) Release_Track'!$G:$G,'5) Release_Track'!$I:$I},2,0),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E926" s="92"/>
      <c r="F926" s="92"/>
      <c r="G926" s="125" t="str">
        <f t="array" ref="G926">ifs(or($F926="",$F926="Main Primary Artist"),$F926,not(iserror(vlookup($F926,'Reference info'!$J$5:$J$8,1,0))),"Key Artist",not(iserror(vlookup($F926,'Reference info'!$J$38:$J$405,1,0))),"Performer",not(iserror(vlookup($F926,'Reference info'!$J$10:$J$36,1,0))),"Producer &amp; Engineer")</f>
        <v/>
      </c>
    </row>
    <row r="927">
      <c r="B927" s="97"/>
      <c r="C927" s="121" t="str">
        <f t="array" ref="C927">ifs(and(isblank($A927),isblank($B927)),"", not(iserror(vlookup($A927&amp;$B927,'5) Release_Track'!$F:$F&amp;'5) Release_Track'!$G:$G,1,0))),vlookup($A927&amp;$B927,{'5) Release_Track'!$F:$F&amp;'5) Release_Track'!$G:$G,'5) Release_Track'!$H:$H},2,0),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D927" s="121" t="str">
        <f t="array" ref="D927">ifs(and(isblank($A927),isblank($B927)),"", not(iserror(vlookup($A927&amp;$B927,'5) Release_Track'!$F:$F&amp;'5) Release_Track'!$G:$G,1,0))),vlookup($A927&amp;$B927,{'5) Release_Track'!$F:$F&amp;'5) Release_Track'!$G:$G,'5) Release_Track'!$I:$I},2,0),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E927" s="92"/>
      <c r="F927" s="92"/>
      <c r="G927" s="125" t="str">
        <f t="array" ref="G927">ifs(or($F927="",$F927="Main Primary Artist"),$F927,not(iserror(vlookup($F927,'Reference info'!$J$5:$J$8,1,0))),"Key Artist",not(iserror(vlookup($F927,'Reference info'!$J$38:$J$405,1,0))),"Performer",not(iserror(vlookup($F927,'Reference info'!$J$10:$J$36,1,0))),"Producer &amp; Engineer")</f>
        <v/>
      </c>
    </row>
    <row r="928">
      <c r="B928" s="97"/>
      <c r="C928" s="121" t="str">
        <f t="array" ref="C928">ifs(and(isblank($A928),isblank($B928)),"", not(iserror(vlookup($A928&amp;$B928,'5) Release_Track'!$F:$F&amp;'5) Release_Track'!$G:$G,1,0))),vlookup($A928&amp;$B928,{'5) Release_Track'!$F:$F&amp;'5) Release_Track'!$G:$G,'5) Release_Track'!$H:$H},2,0),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D928" s="121" t="str">
        <f t="array" ref="D928">ifs(and(isblank($A928),isblank($B928)),"", not(iserror(vlookup($A928&amp;$B928,'5) Release_Track'!$F:$F&amp;'5) Release_Track'!$G:$G,1,0))),vlookup($A928&amp;$B928,{'5) Release_Track'!$F:$F&amp;'5) Release_Track'!$G:$G,'5) Release_Track'!$I:$I},2,0),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E928" s="92"/>
      <c r="F928" s="92"/>
      <c r="G928" s="125" t="str">
        <f t="array" ref="G928">ifs(or($F928="",$F928="Main Primary Artist"),$F928,not(iserror(vlookup($F928,'Reference info'!$J$5:$J$8,1,0))),"Key Artist",not(iserror(vlookup($F928,'Reference info'!$J$38:$J$405,1,0))),"Performer",not(iserror(vlookup($F928,'Reference info'!$J$10:$J$36,1,0))),"Producer &amp; Engineer")</f>
        <v/>
      </c>
    </row>
    <row r="929">
      <c r="B929" s="97"/>
      <c r="C929" s="121" t="str">
        <f t="array" ref="C929">ifs(and(isblank($A929),isblank($B929)),"", not(iserror(vlookup($A929&amp;$B929,'5) Release_Track'!$F:$F&amp;'5) Release_Track'!$G:$G,1,0))),vlookup($A929&amp;$B929,{'5) Release_Track'!$F:$F&amp;'5) Release_Track'!$G:$G,'5) Release_Track'!$H:$H},2,0),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D929" s="121" t="str">
        <f t="array" ref="D929">ifs(and(isblank($A929),isblank($B929)),"", not(iserror(vlookup($A929&amp;$B929,'5) Release_Track'!$F:$F&amp;'5) Release_Track'!$G:$G,1,0))),vlookup($A929&amp;$B929,{'5) Release_Track'!$F:$F&amp;'5) Release_Track'!$G:$G,'5) Release_Track'!$I:$I},2,0),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E929" s="92"/>
      <c r="F929" s="92"/>
      <c r="G929" s="125" t="str">
        <f t="array" ref="G929">ifs(or($F929="",$F929="Main Primary Artist"),$F929,not(iserror(vlookup($F929,'Reference info'!$J$5:$J$8,1,0))),"Key Artist",not(iserror(vlookup($F929,'Reference info'!$J$38:$J$405,1,0))),"Performer",not(iserror(vlookup($F929,'Reference info'!$J$10:$J$36,1,0))),"Producer &amp; Engineer")</f>
        <v/>
      </c>
    </row>
    <row r="930">
      <c r="B930" s="97"/>
      <c r="C930" s="121" t="str">
        <f t="array" ref="C930">ifs(and(isblank($A930),isblank($B930)),"", not(iserror(vlookup($A930&amp;$B930,'5) Release_Track'!$F:$F&amp;'5) Release_Track'!$G:$G,1,0))),vlookup($A930&amp;$B930,{'5) Release_Track'!$F:$F&amp;'5) Release_Track'!$G:$G,'5) Release_Track'!$H:$H},2,0),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D930" s="121" t="str">
        <f t="array" ref="D930">ifs(and(isblank($A930),isblank($B930)),"", not(iserror(vlookup($A930&amp;$B930,'5) Release_Track'!$F:$F&amp;'5) Release_Track'!$G:$G,1,0))),vlookup($A930&amp;$B930,{'5) Release_Track'!$F:$F&amp;'5) Release_Track'!$G:$G,'5) Release_Track'!$I:$I},2,0),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E930" s="92"/>
      <c r="F930" s="92"/>
      <c r="G930" s="125" t="str">
        <f t="array" ref="G930">ifs(or($F930="",$F930="Main Primary Artist"),$F930,not(iserror(vlookup($F930,'Reference info'!$J$5:$J$8,1,0))),"Key Artist",not(iserror(vlookup($F930,'Reference info'!$J$38:$J$405,1,0))),"Performer",not(iserror(vlookup($F930,'Reference info'!$J$10:$J$36,1,0))),"Producer &amp; Engineer")</f>
        <v/>
      </c>
    </row>
    <row r="931">
      <c r="B931" s="97"/>
      <c r="C931" s="121" t="str">
        <f t="array" ref="C931">ifs(and(isblank($A931),isblank($B931)),"", not(iserror(vlookup($A931&amp;$B931,'5) Release_Track'!$F:$F&amp;'5) Release_Track'!$G:$G,1,0))),vlookup($A931&amp;$B931,{'5) Release_Track'!$F:$F&amp;'5) Release_Track'!$G:$G,'5) Release_Track'!$H:$H},2,0),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D931" s="121" t="str">
        <f t="array" ref="D931">ifs(and(isblank($A931),isblank($B931)),"", not(iserror(vlookup($A931&amp;$B931,'5) Release_Track'!$F:$F&amp;'5) Release_Track'!$G:$G,1,0))),vlookup($A931&amp;$B931,{'5) Release_Track'!$F:$F&amp;'5) Release_Track'!$G:$G,'5) Release_Track'!$I:$I},2,0),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E931" s="92"/>
      <c r="F931" s="92"/>
      <c r="G931" s="125" t="str">
        <f t="array" ref="G931">ifs(or($F931="",$F931="Main Primary Artist"),$F931,not(iserror(vlookup($F931,'Reference info'!$J$5:$J$8,1,0))),"Key Artist",not(iserror(vlookup($F931,'Reference info'!$J$38:$J$405,1,0))),"Performer",not(iserror(vlookup($F931,'Reference info'!$J$10:$J$36,1,0))),"Producer &amp; Engineer")</f>
        <v/>
      </c>
    </row>
    <row r="932">
      <c r="B932" s="97"/>
      <c r="C932" s="121" t="str">
        <f t="array" ref="C932">ifs(and(isblank($A932),isblank($B932)),"", not(iserror(vlookup($A932&amp;$B932,'5) Release_Track'!$F:$F&amp;'5) Release_Track'!$G:$G,1,0))),vlookup($A932&amp;$B932,{'5) Release_Track'!$F:$F&amp;'5) Release_Track'!$G:$G,'5) Release_Track'!$H:$H},2,0),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D932" s="121" t="str">
        <f t="array" ref="D932">ifs(and(isblank($A932),isblank($B932)),"", not(iserror(vlookup($A932&amp;$B932,'5) Release_Track'!$F:$F&amp;'5) Release_Track'!$G:$G,1,0))),vlookup($A932&amp;$B932,{'5) Release_Track'!$F:$F&amp;'5) Release_Track'!$G:$G,'5) Release_Track'!$I:$I},2,0),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E932" s="92"/>
      <c r="F932" s="92"/>
      <c r="G932" s="125" t="str">
        <f t="array" ref="G932">ifs(or($F932="",$F932="Main Primary Artist"),$F932,not(iserror(vlookup($F932,'Reference info'!$J$5:$J$8,1,0))),"Key Artist",not(iserror(vlookup($F932,'Reference info'!$J$38:$J$405,1,0))),"Performer",not(iserror(vlookup($F932,'Reference info'!$J$10:$J$36,1,0))),"Producer &amp; Engineer")</f>
        <v/>
      </c>
    </row>
    <row r="933">
      <c r="B933" s="97"/>
      <c r="C933" s="121" t="str">
        <f t="array" ref="C933">ifs(and(isblank($A933),isblank($B933)),"", not(iserror(vlookup($A933&amp;$B933,'5) Release_Track'!$F:$F&amp;'5) Release_Track'!$G:$G,1,0))),vlookup($A933&amp;$B933,{'5) Release_Track'!$F:$F&amp;'5) Release_Track'!$G:$G,'5) Release_Track'!$H:$H},2,0),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D933" s="121" t="str">
        <f t="array" ref="D933">ifs(and(isblank($A933),isblank($B933)),"", not(iserror(vlookup($A933&amp;$B933,'5) Release_Track'!$F:$F&amp;'5) Release_Track'!$G:$G,1,0))),vlookup($A933&amp;$B933,{'5) Release_Track'!$F:$F&amp;'5) Release_Track'!$G:$G,'5) Release_Track'!$I:$I},2,0),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E933" s="92"/>
      <c r="F933" s="92"/>
      <c r="G933" s="125" t="str">
        <f t="array" ref="G933">ifs(or($F933="",$F933="Main Primary Artist"),$F933,not(iserror(vlookup($F933,'Reference info'!$J$5:$J$8,1,0))),"Key Artist",not(iserror(vlookup($F933,'Reference info'!$J$38:$J$405,1,0))),"Performer",not(iserror(vlookup($F933,'Reference info'!$J$10:$J$36,1,0))),"Producer &amp; Engineer")</f>
        <v/>
      </c>
    </row>
    <row r="934">
      <c r="B934" s="97"/>
      <c r="C934" s="121" t="str">
        <f t="array" ref="C934">ifs(and(isblank($A934),isblank($B934)),"", not(iserror(vlookup($A934&amp;$B934,'5) Release_Track'!$F:$F&amp;'5) Release_Track'!$G:$G,1,0))),vlookup($A934&amp;$B934,{'5) Release_Track'!$F:$F&amp;'5) Release_Track'!$G:$G,'5) Release_Track'!$H:$H},2,0),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D934" s="121" t="str">
        <f t="array" ref="D934">ifs(and(isblank($A934),isblank($B934)),"", not(iserror(vlookup($A934&amp;$B934,'5) Release_Track'!$F:$F&amp;'5) Release_Track'!$G:$G,1,0))),vlookup($A934&amp;$B934,{'5) Release_Track'!$F:$F&amp;'5) Release_Track'!$G:$G,'5) Release_Track'!$I:$I},2,0),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E934" s="92"/>
      <c r="F934" s="92"/>
      <c r="G934" s="125" t="str">
        <f t="array" ref="G934">ifs(or($F934="",$F934="Main Primary Artist"),$F934,not(iserror(vlookup($F934,'Reference info'!$J$5:$J$8,1,0))),"Key Artist",not(iserror(vlookup($F934,'Reference info'!$J$38:$J$405,1,0))),"Performer",not(iserror(vlookup($F934,'Reference info'!$J$10:$J$36,1,0))),"Producer &amp; Engineer")</f>
        <v/>
      </c>
    </row>
    <row r="935">
      <c r="B935" s="97"/>
      <c r="C935" s="121" t="str">
        <f t="array" ref="C935">ifs(and(isblank($A935),isblank($B935)),"", not(iserror(vlookup($A935&amp;$B935,'5) Release_Track'!$F:$F&amp;'5) Release_Track'!$G:$G,1,0))),vlookup($A935&amp;$B935,{'5) Release_Track'!$F:$F&amp;'5) Release_Track'!$G:$G,'5) Release_Track'!$H:$H},2,0),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D935" s="121" t="str">
        <f t="array" ref="D935">ifs(and(isblank($A935),isblank($B935)),"", not(iserror(vlookup($A935&amp;$B935,'5) Release_Track'!$F:$F&amp;'5) Release_Track'!$G:$G,1,0))),vlookup($A935&amp;$B935,{'5) Release_Track'!$F:$F&amp;'5) Release_Track'!$G:$G,'5) Release_Track'!$I:$I},2,0),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E935" s="92"/>
      <c r="F935" s="92"/>
      <c r="G935" s="125" t="str">
        <f t="array" ref="G935">ifs(or($F935="",$F935="Main Primary Artist"),$F935,not(iserror(vlookup($F935,'Reference info'!$J$5:$J$8,1,0))),"Key Artist",not(iserror(vlookup($F935,'Reference info'!$J$38:$J$405,1,0))),"Performer",not(iserror(vlookup($F935,'Reference info'!$J$10:$J$36,1,0))),"Producer &amp; Engineer")</f>
        <v/>
      </c>
    </row>
    <row r="936">
      <c r="B936" s="97"/>
      <c r="C936" s="121" t="str">
        <f t="array" ref="C936">ifs(and(isblank($A936),isblank($B936)),"", not(iserror(vlookup($A936&amp;$B936,'5) Release_Track'!$F:$F&amp;'5) Release_Track'!$G:$G,1,0))),vlookup($A936&amp;$B936,{'5) Release_Track'!$F:$F&amp;'5) Release_Track'!$G:$G,'5) Release_Track'!$H:$H},2,0),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D936" s="121" t="str">
        <f t="array" ref="D936">ifs(and(isblank($A936),isblank($B936)),"", not(iserror(vlookup($A936&amp;$B936,'5) Release_Track'!$F:$F&amp;'5) Release_Track'!$G:$G,1,0))),vlookup($A936&amp;$B936,{'5) Release_Track'!$F:$F&amp;'5) Release_Track'!$G:$G,'5) Release_Track'!$I:$I},2,0),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E936" s="92"/>
      <c r="F936" s="92"/>
      <c r="G936" s="125" t="str">
        <f t="array" ref="G936">ifs(or($F936="",$F936="Main Primary Artist"),$F936,not(iserror(vlookup($F936,'Reference info'!$J$5:$J$8,1,0))),"Key Artist",not(iserror(vlookup($F936,'Reference info'!$J$38:$J$405,1,0))),"Performer",not(iserror(vlookup($F936,'Reference info'!$J$10:$J$36,1,0))),"Producer &amp; Engineer")</f>
        <v/>
      </c>
    </row>
    <row r="937">
      <c r="B937" s="97"/>
      <c r="C937" s="121" t="str">
        <f t="array" ref="C937">ifs(and(isblank($A937),isblank($B937)),"", not(iserror(vlookup($A937&amp;$B937,'5) Release_Track'!$F:$F&amp;'5) Release_Track'!$G:$G,1,0))),vlookup($A937&amp;$B937,{'5) Release_Track'!$F:$F&amp;'5) Release_Track'!$G:$G,'5) Release_Track'!$H:$H},2,0),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D937" s="121" t="str">
        <f t="array" ref="D937">ifs(and(isblank($A937),isblank($B937)),"", not(iserror(vlookup($A937&amp;$B937,'5) Release_Track'!$F:$F&amp;'5) Release_Track'!$G:$G,1,0))),vlookup($A937&amp;$B937,{'5) Release_Track'!$F:$F&amp;'5) Release_Track'!$G:$G,'5) Release_Track'!$I:$I},2,0),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E937" s="92"/>
      <c r="F937" s="92"/>
      <c r="G937" s="125" t="str">
        <f t="array" ref="G937">ifs(or($F937="",$F937="Main Primary Artist"),$F937,not(iserror(vlookup($F937,'Reference info'!$J$5:$J$8,1,0))),"Key Artist",not(iserror(vlookup($F937,'Reference info'!$J$38:$J$405,1,0))),"Performer",not(iserror(vlookup($F937,'Reference info'!$J$10:$J$36,1,0))),"Producer &amp; Engineer")</f>
        <v/>
      </c>
    </row>
    <row r="938">
      <c r="B938" s="97"/>
      <c r="C938" s="121" t="str">
        <f t="array" ref="C938">ifs(and(isblank($A938),isblank($B938)),"", not(iserror(vlookup($A938&amp;$B938,'5) Release_Track'!$F:$F&amp;'5) Release_Track'!$G:$G,1,0))),vlookup($A938&amp;$B938,{'5) Release_Track'!$F:$F&amp;'5) Release_Track'!$G:$G,'5) Release_Track'!$H:$H},2,0),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D938" s="121" t="str">
        <f t="array" ref="D938">ifs(and(isblank($A938),isblank($B938)),"", not(iserror(vlookup($A938&amp;$B938,'5) Release_Track'!$F:$F&amp;'5) Release_Track'!$G:$G,1,0))),vlookup($A938&amp;$B938,{'5) Release_Track'!$F:$F&amp;'5) Release_Track'!$G:$G,'5) Release_Track'!$I:$I},2,0),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E938" s="92"/>
      <c r="F938" s="92"/>
      <c r="G938" s="125" t="str">
        <f t="array" ref="G938">ifs(or($F938="",$F938="Main Primary Artist"),$F938,not(iserror(vlookup($F938,'Reference info'!$J$5:$J$8,1,0))),"Key Artist",not(iserror(vlookup($F938,'Reference info'!$J$38:$J$405,1,0))),"Performer",not(iserror(vlookup($F938,'Reference info'!$J$10:$J$36,1,0))),"Producer &amp; Engineer")</f>
        <v/>
      </c>
    </row>
    <row r="939">
      <c r="B939" s="97"/>
      <c r="C939" s="121" t="str">
        <f t="array" ref="C939">ifs(and(isblank($A939),isblank($B939)),"", not(iserror(vlookup($A939&amp;$B939,'5) Release_Track'!$F:$F&amp;'5) Release_Track'!$G:$G,1,0))),vlookup($A939&amp;$B939,{'5) Release_Track'!$F:$F&amp;'5) Release_Track'!$G:$G,'5) Release_Track'!$H:$H},2,0),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D939" s="121" t="str">
        <f t="array" ref="D939">ifs(and(isblank($A939),isblank($B939)),"", not(iserror(vlookup($A939&amp;$B939,'5) Release_Track'!$F:$F&amp;'5) Release_Track'!$G:$G,1,0))),vlookup($A939&amp;$B939,{'5) Release_Track'!$F:$F&amp;'5) Release_Track'!$G:$G,'5) Release_Track'!$I:$I},2,0),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E939" s="92"/>
      <c r="F939" s="92"/>
      <c r="G939" s="125" t="str">
        <f t="array" ref="G939">ifs(or($F939="",$F939="Main Primary Artist"),$F939,not(iserror(vlookup($F939,'Reference info'!$J$5:$J$8,1,0))),"Key Artist",not(iserror(vlookup($F939,'Reference info'!$J$38:$J$405,1,0))),"Performer",not(iserror(vlookup($F939,'Reference info'!$J$10:$J$36,1,0))),"Producer &amp; Engineer")</f>
        <v/>
      </c>
    </row>
    <row r="940">
      <c r="B940" s="97"/>
      <c r="C940" s="121" t="str">
        <f t="array" ref="C940">ifs(and(isblank($A940),isblank($B940)),"", not(iserror(vlookup($A940&amp;$B940,'5) Release_Track'!$F:$F&amp;'5) Release_Track'!$G:$G,1,0))),vlookup($A940&amp;$B940,{'5) Release_Track'!$F:$F&amp;'5) Release_Track'!$G:$G,'5) Release_Track'!$H:$H},2,0),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D940" s="121" t="str">
        <f t="array" ref="D940">ifs(and(isblank($A940),isblank($B940)),"", not(iserror(vlookup($A940&amp;$B940,'5) Release_Track'!$F:$F&amp;'5) Release_Track'!$G:$G,1,0))),vlookup($A940&amp;$B940,{'5) Release_Track'!$F:$F&amp;'5) Release_Track'!$G:$G,'5) Release_Track'!$I:$I},2,0),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E940" s="92"/>
      <c r="F940" s="92"/>
      <c r="G940" s="125" t="str">
        <f t="array" ref="G940">ifs(or($F940="",$F940="Main Primary Artist"),$F940,not(iserror(vlookup($F940,'Reference info'!$J$5:$J$8,1,0))),"Key Artist",not(iserror(vlookup($F940,'Reference info'!$J$38:$J$405,1,0))),"Performer",not(iserror(vlookup($F940,'Reference info'!$J$10:$J$36,1,0))),"Producer &amp; Engineer")</f>
        <v/>
      </c>
    </row>
    <row r="941">
      <c r="B941" s="97"/>
      <c r="C941" s="121" t="str">
        <f t="array" ref="C941">ifs(and(isblank($A941),isblank($B941)),"", not(iserror(vlookup($A941&amp;$B941,'5) Release_Track'!$F:$F&amp;'5) Release_Track'!$G:$G,1,0))),vlookup($A941&amp;$B941,{'5) Release_Track'!$F:$F&amp;'5) Release_Track'!$G:$G,'5) Release_Track'!$H:$H},2,0),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D941" s="121" t="str">
        <f t="array" ref="D941">ifs(and(isblank($A941),isblank($B941)),"", not(iserror(vlookup($A941&amp;$B941,'5) Release_Track'!$F:$F&amp;'5) Release_Track'!$G:$G,1,0))),vlookup($A941&amp;$B941,{'5) Release_Track'!$F:$F&amp;'5) Release_Track'!$G:$G,'5) Release_Track'!$I:$I},2,0),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E941" s="92"/>
      <c r="F941" s="92"/>
      <c r="G941" s="125" t="str">
        <f t="array" ref="G941">ifs(or($F941="",$F941="Main Primary Artist"),$F941,not(iserror(vlookup($F941,'Reference info'!$J$5:$J$8,1,0))),"Key Artist",not(iserror(vlookup($F941,'Reference info'!$J$38:$J$405,1,0))),"Performer",not(iserror(vlookup($F941,'Reference info'!$J$10:$J$36,1,0))),"Producer &amp; Engineer")</f>
        <v/>
      </c>
    </row>
    <row r="942">
      <c r="B942" s="97"/>
      <c r="C942" s="121" t="str">
        <f t="array" ref="C942">ifs(and(isblank($A942),isblank($B942)),"", not(iserror(vlookup($A942&amp;$B942,'5) Release_Track'!$F:$F&amp;'5) Release_Track'!$G:$G,1,0))),vlookup($A942&amp;$B942,{'5) Release_Track'!$F:$F&amp;'5) Release_Track'!$G:$G,'5) Release_Track'!$H:$H},2,0),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D942" s="121" t="str">
        <f t="array" ref="D942">ifs(and(isblank($A942),isblank($B942)),"", not(iserror(vlookup($A942&amp;$B942,'5) Release_Track'!$F:$F&amp;'5) Release_Track'!$G:$G,1,0))),vlookup($A942&amp;$B942,{'5) Release_Track'!$F:$F&amp;'5) Release_Track'!$G:$G,'5) Release_Track'!$I:$I},2,0),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E942" s="92"/>
      <c r="F942" s="92"/>
      <c r="G942" s="125" t="str">
        <f t="array" ref="G942">ifs(or($F942="",$F942="Main Primary Artist"),$F942,not(iserror(vlookup($F942,'Reference info'!$J$5:$J$8,1,0))),"Key Artist",not(iserror(vlookup($F942,'Reference info'!$J$38:$J$405,1,0))),"Performer",not(iserror(vlookup($F942,'Reference info'!$J$10:$J$36,1,0))),"Producer &amp; Engineer")</f>
        <v/>
      </c>
    </row>
    <row r="943">
      <c r="B943" s="97"/>
      <c r="C943" s="121" t="str">
        <f t="array" ref="C943">ifs(and(isblank($A943),isblank($B943)),"", not(iserror(vlookup($A943&amp;$B943,'5) Release_Track'!$F:$F&amp;'5) Release_Track'!$G:$G,1,0))),vlookup($A943&amp;$B943,{'5) Release_Track'!$F:$F&amp;'5) Release_Track'!$G:$G,'5) Release_Track'!$H:$H},2,0),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D943" s="121" t="str">
        <f t="array" ref="D943">ifs(and(isblank($A943),isblank($B943)),"", not(iserror(vlookup($A943&amp;$B943,'5) Release_Track'!$F:$F&amp;'5) Release_Track'!$G:$G,1,0))),vlookup($A943&amp;$B943,{'5) Release_Track'!$F:$F&amp;'5) Release_Track'!$G:$G,'5) Release_Track'!$I:$I},2,0),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E943" s="92"/>
      <c r="F943" s="92"/>
      <c r="G943" s="125" t="str">
        <f t="array" ref="G943">ifs(or($F943="",$F943="Main Primary Artist"),$F943,not(iserror(vlookup($F943,'Reference info'!$J$5:$J$8,1,0))),"Key Artist",not(iserror(vlookup($F943,'Reference info'!$J$38:$J$405,1,0))),"Performer",not(iserror(vlookup($F943,'Reference info'!$J$10:$J$36,1,0))),"Producer &amp; Engineer")</f>
        <v/>
      </c>
    </row>
    <row r="944">
      <c r="B944" s="97"/>
      <c r="C944" s="121" t="str">
        <f t="array" ref="C944">ifs(and(isblank($A944),isblank($B944)),"", not(iserror(vlookup($A944&amp;$B944,'5) Release_Track'!$F:$F&amp;'5) Release_Track'!$G:$G,1,0))),vlookup($A944&amp;$B944,{'5) Release_Track'!$F:$F&amp;'5) Release_Track'!$G:$G,'5) Release_Track'!$H:$H},2,0),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D944" s="121" t="str">
        <f t="array" ref="D944">ifs(and(isblank($A944),isblank($B944)),"", not(iserror(vlookup($A944&amp;$B944,'5) Release_Track'!$F:$F&amp;'5) Release_Track'!$G:$G,1,0))),vlookup($A944&amp;$B944,{'5) Release_Track'!$F:$F&amp;'5) Release_Track'!$G:$G,'5) Release_Track'!$I:$I},2,0),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E944" s="92"/>
      <c r="F944" s="92"/>
      <c r="G944" s="125" t="str">
        <f t="array" ref="G944">ifs(or($F944="",$F944="Main Primary Artist"),$F944,not(iserror(vlookup($F944,'Reference info'!$J$5:$J$8,1,0))),"Key Artist",not(iserror(vlookup($F944,'Reference info'!$J$38:$J$405,1,0))),"Performer",not(iserror(vlookup($F944,'Reference info'!$J$10:$J$36,1,0))),"Producer &amp; Engineer")</f>
        <v/>
      </c>
    </row>
    <row r="945">
      <c r="B945" s="97"/>
      <c r="C945" s="121" t="str">
        <f t="array" ref="C945">ifs(and(isblank($A945),isblank($B945)),"", not(iserror(vlookup($A945&amp;$B945,'5) Release_Track'!$F:$F&amp;'5) Release_Track'!$G:$G,1,0))),vlookup($A945&amp;$B945,{'5) Release_Track'!$F:$F&amp;'5) Release_Track'!$G:$G,'5) Release_Track'!$H:$H},2,0),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D945" s="121" t="str">
        <f t="array" ref="D945">ifs(and(isblank($A945),isblank($B945)),"", not(iserror(vlookup($A945&amp;$B945,'5) Release_Track'!$F:$F&amp;'5) Release_Track'!$G:$G,1,0))),vlookup($A945&amp;$B945,{'5) Release_Track'!$F:$F&amp;'5) Release_Track'!$G:$G,'5) Release_Track'!$I:$I},2,0),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E945" s="92"/>
      <c r="F945" s="92"/>
      <c r="G945" s="125" t="str">
        <f t="array" ref="G945">ifs(or($F945="",$F945="Main Primary Artist"),$F945,not(iserror(vlookup($F945,'Reference info'!$J$5:$J$8,1,0))),"Key Artist",not(iserror(vlookup($F945,'Reference info'!$J$38:$J$405,1,0))),"Performer",not(iserror(vlookup($F945,'Reference info'!$J$10:$J$36,1,0))),"Producer &amp; Engineer")</f>
        <v/>
      </c>
    </row>
    <row r="946">
      <c r="B946" s="97"/>
      <c r="C946" s="121" t="str">
        <f t="array" ref="C946">ifs(and(isblank($A946),isblank($B946)),"", not(iserror(vlookup($A946&amp;$B946,'5) Release_Track'!$F:$F&amp;'5) Release_Track'!$G:$G,1,0))),vlookup($A946&amp;$B946,{'5) Release_Track'!$F:$F&amp;'5) Release_Track'!$G:$G,'5) Release_Track'!$H:$H},2,0),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D946" s="121" t="str">
        <f t="array" ref="D946">ifs(and(isblank($A946),isblank($B946)),"", not(iserror(vlookup($A946&amp;$B946,'5) Release_Track'!$F:$F&amp;'5) Release_Track'!$G:$G,1,0))),vlookup($A946&amp;$B946,{'5) Release_Track'!$F:$F&amp;'5) Release_Track'!$G:$G,'5) Release_Track'!$I:$I},2,0),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E946" s="92"/>
      <c r="F946" s="92"/>
      <c r="G946" s="125" t="str">
        <f t="array" ref="G946">ifs(or($F946="",$F946="Main Primary Artist"),$F946,not(iserror(vlookup($F946,'Reference info'!$J$5:$J$8,1,0))),"Key Artist",not(iserror(vlookup($F946,'Reference info'!$J$38:$J$405,1,0))),"Performer",not(iserror(vlookup($F946,'Reference info'!$J$10:$J$36,1,0))),"Producer &amp; Engineer")</f>
        <v/>
      </c>
    </row>
    <row r="947">
      <c r="B947" s="97"/>
      <c r="C947" s="121" t="str">
        <f t="array" ref="C947">ifs(and(isblank($A947),isblank($B947)),"", not(iserror(vlookup($A947&amp;$B947,'5) Release_Track'!$F:$F&amp;'5) Release_Track'!$G:$G,1,0))),vlookup($A947&amp;$B947,{'5) Release_Track'!$F:$F&amp;'5) Release_Track'!$G:$G,'5) Release_Track'!$H:$H},2,0),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D947" s="121" t="str">
        <f t="array" ref="D947">ifs(and(isblank($A947),isblank($B947)),"", not(iserror(vlookup($A947&amp;$B947,'5) Release_Track'!$F:$F&amp;'5) Release_Track'!$G:$G,1,0))),vlookup($A947&amp;$B947,{'5) Release_Track'!$F:$F&amp;'5) Release_Track'!$G:$G,'5) Release_Track'!$I:$I},2,0),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E947" s="92"/>
      <c r="F947" s="92"/>
      <c r="G947" s="125" t="str">
        <f t="array" ref="G947">ifs(or($F947="",$F947="Main Primary Artist"),$F947,not(iserror(vlookup($F947,'Reference info'!$J$5:$J$8,1,0))),"Key Artist",not(iserror(vlookup($F947,'Reference info'!$J$38:$J$405,1,0))),"Performer",not(iserror(vlookup($F947,'Reference info'!$J$10:$J$36,1,0))),"Producer &amp; Engineer")</f>
        <v/>
      </c>
    </row>
    <row r="948">
      <c r="B948" s="97"/>
      <c r="C948" s="121" t="str">
        <f t="array" ref="C948">ifs(and(isblank($A948),isblank($B948)),"", not(iserror(vlookup($A948&amp;$B948,'5) Release_Track'!$F:$F&amp;'5) Release_Track'!$G:$G,1,0))),vlookup($A948&amp;$B948,{'5) Release_Track'!$F:$F&amp;'5) Release_Track'!$G:$G,'5) Release_Track'!$H:$H},2,0),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D948" s="121" t="str">
        <f t="array" ref="D948">ifs(and(isblank($A948),isblank($B948)),"", not(iserror(vlookup($A948&amp;$B948,'5) Release_Track'!$F:$F&amp;'5) Release_Track'!$G:$G,1,0))),vlookup($A948&amp;$B948,{'5) Release_Track'!$F:$F&amp;'5) Release_Track'!$G:$G,'5) Release_Track'!$I:$I},2,0),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E948" s="92"/>
      <c r="F948" s="92"/>
      <c r="G948" s="125" t="str">
        <f t="array" ref="G948">ifs(or($F948="",$F948="Main Primary Artist"),$F948,not(iserror(vlookup($F948,'Reference info'!$J$5:$J$8,1,0))),"Key Artist",not(iserror(vlookup($F948,'Reference info'!$J$38:$J$405,1,0))),"Performer",not(iserror(vlookup($F948,'Reference info'!$J$10:$J$36,1,0))),"Producer &amp; Engineer")</f>
        <v/>
      </c>
    </row>
    <row r="949">
      <c r="B949" s="97"/>
      <c r="C949" s="121" t="str">
        <f t="array" ref="C949">ifs(and(isblank($A949),isblank($B949)),"", not(iserror(vlookup($A949&amp;$B949,'5) Release_Track'!$F:$F&amp;'5) Release_Track'!$G:$G,1,0))),vlookup($A949&amp;$B949,{'5) Release_Track'!$F:$F&amp;'5) Release_Track'!$G:$G,'5) Release_Track'!$H:$H},2,0),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D949" s="121" t="str">
        <f t="array" ref="D949">ifs(and(isblank($A949),isblank($B949)),"", not(iserror(vlookup($A949&amp;$B949,'5) Release_Track'!$F:$F&amp;'5) Release_Track'!$G:$G,1,0))),vlookup($A949&amp;$B949,{'5) Release_Track'!$F:$F&amp;'5) Release_Track'!$G:$G,'5) Release_Track'!$I:$I},2,0),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E949" s="92"/>
      <c r="F949" s="92"/>
      <c r="G949" s="125" t="str">
        <f t="array" ref="G949">ifs(or($F949="",$F949="Main Primary Artist"),$F949,not(iserror(vlookup($F949,'Reference info'!$J$5:$J$8,1,0))),"Key Artist",not(iserror(vlookup($F949,'Reference info'!$J$38:$J$405,1,0))),"Performer",not(iserror(vlookup($F949,'Reference info'!$J$10:$J$36,1,0))),"Producer &amp; Engineer")</f>
        <v/>
      </c>
    </row>
    <row r="950">
      <c r="B950" s="97"/>
      <c r="C950" s="121" t="str">
        <f t="array" ref="C950">ifs(and(isblank($A950),isblank($B950)),"", not(iserror(vlookup($A950&amp;$B950,'5) Release_Track'!$F:$F&amp;'5) Release_Track'!$G:$G,1,0))),vlookup($A950&amp;$B950,{'5) Release_Track'!$F:$F&amp;'5) Release_Track'!$G:$G,'5) Release_Track'!$H:$H},2,0),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D950" s="121" t="str">
        <f t="array" ref="D950">ifs(and(isblank($A950),isblank($B950)),"", not(iserror(vlookup($A950&amp;$B950,'5) Release_Track'!$F:$F&amp;'5) Release_Track'!$G:$G,1,0))),vlookup($A950&amp;$B950,{'5) Release_Track'!$F:$F&amp;'5) Release_Track'!$G:$G,'5) Release_Track'!$I:$I},2,0),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E950" s="92"/>
      <c r="F950" s="92"/>
      <c r="G950" s="125" t="str">
        <f t="array" ref="G950">ifs(or($F950="",$F950="Main Primary Artist"),$F950,not(iserror(vlookup($F950,'Reference info'!$J$5:$J$8,1,0))),"Key Artist",not(iserror(vlookup($F950,'Reference info'!$J$38:$J$405,1,0))),"Performer",not(iserror(vlookup($F950,'Reference info'!$J$10:$J$36,1,0))),"Producer &amp; Engineer")</f>
        <v/>
      </c>
    </row>
    <row r="951">
      <c r="B951" s="97"/>
      <c r="C951" s="121" t="str">
        <f t="array" ref="C951">ifs(and(isblank($A951),isblank($B951)),"", not(iserror(vlookup($A951&amp;$B951,'5) Release_Track'!$F:$F&amp;'5) Release_Track'!$G:$G,1,0))),vlookup($A951&amp;$B951,{'5) Release_Track'!$F:$F&amp;'5) Release_Track'!$G:$G,'5) Release_Track'!$H:$H},2,0),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D951" s="121" t="str">
        <f t="array" ref="D951">ifs(and(isblank($A951),isblank($B951)),"", not(iserror(vlookup($A951&amp;$B951,'5) Release_Track'!$F:$F&amp;'5) Release_Track'!$G:$G,1,0))),vlookup($A951&amp;$B951,{'5) Release_Track'!$F:$F&amp;'5) Release_Track'!$G:$G,'5) Release_Track'!$I:$I},2,0),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E951" s="92"/>
      <c r="F951" s="92"/>
      <c r="G951" s="125" t="str">
        <f t="array" ref="G951">ifs(or($F951="",$F951="Main Primary Artist"),$F951,not(iserror(vlookup($F951,'Reference info'!$J$5:$J$8,1,0))),"Key Artist",not(iserror(vlookup($F951,'Reference info'!$J$38:$J$405,1,0))),"Performer",not(iserror(vlookup($F951,'Reference info'!$J$10:$J$36,1,0))),"Producer &amp; Engineer")</f>
        <v/>
      </c>
    </row>
    <row r="952">
      <c r="B952" s="97"/>
      <c r="C952" s="121" t="str">
        <f t="array" ref="C952">ifs(and(isblank($A952),isblank($B952)),"", not(iserror(vlookup($A952&amp;$B952,'5) Release_Track'!$F:$F&amp;'5) Release_Track'!$G:$G,1,0))),vlookup($A952&amp;$B952,{'5) Release_Track'!$F:$F&amp;'5) Release_Track'!$G:$G,'5) Release_Track'!$H:$H},2,0),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D952" s="121" t="str">
        <f t="array" ref="D952">ifs(and(isblank($A952),isblank($B952)),"", not(iserror(vlookup($A952&amp;$B952,'5) Release_Track'!$F:$F&amp;'5) Release_Track'!$G:$G,1,0))),vlookup($A952&amp;$B952,{'5) Release_Track'!$F:$F&amp;'5) Release_Track'!$G:$G,'5) Release_Track'!$I:$I},2,0),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E952" s="92"/>
      <c r="F952" s="92"/>
      <c r="G952" s="125" t="str">
        <f t="array" ref="G952">ifs(or($F952="",$F952="Main Primary Artist"),$F952,not(iserror(vlookup($F952,'Reference info'!$J$5:$J$8,1,0))),"Key Artist",not(iserror(vlookup($F952,'Reference info'!$J$38:$J$405,1,0))),"Performer",not(iserror(vlookup($F952,'Reference info'!$J$10:$J$36,1,0))),"Producer &amp; Engineer")</f>
        <v/>
      </c>
    </row>
    <row r="953">
      <c r="B953" s="97"/>
      <c r="C953" s="121" t="str">
        <f t="array" ref="C953">ifs(and(isblank($A953),isblank($B953)),"", not(iserror(vlookup($A953&amp;$B953,'5) Release_Track'!$F:$F&amp;'5) Release_Track'!$G:$G,1,0))),vlookup($A953&amp;$B953,{'5) Release_Track'!$F:$F&amp;'5) Release_Track'!$G:$G,'5) Release_Track'!$H:$H},2,0),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D953" s="121" t="str">
        <f t="array" ref="D953">ifs(and(isblank($A953),isblank($B953)),"", not(iserror(vlookup($A953&amp;$B953,'5) Release_Track'!$F:$F&amp;'5) Release_Track'!$G:$G,1,0))),vlookup($A953&amp;$B953,{'5) Release_Track'!$F:$F&amp;'5) Release_Track'!$G:$G,'5) Release_Track'!$I:$I},2,0),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E953" s="92"/>
      <c r="F953" s="92"/>
      <c r="G953" s="125" t="str">
        <f t="array" ref="G953">ifs(or($F953="",$F953="Main Primary Artist"),$F953,not(iserror(vlookup($F953,'Reference info'!$J$5:$J$8,1,0))),"Key Artist",not(iserror(vlookup($F953,'Reference info'!$J$38:$J$405,1,0))),"Performer",not(iserror(vlookup($F953,'Reference info'!$J$10:$J$36,1,0))),"Producer &amp; Engineer")</f>
        <v/>
      </c>
    </row>
    <row r="954">
      <c r="B954" s="97"/>
      <c r="C954" s="121" t="str">
        <f t="array" ref="C954">ifs(and(isblank($A954),isblank($B954)),"", not(iserror(vlookup($A954&amp;$B954,'5) Release_Track'!$F:$F&amp;'5) Release_Track'!$G:$G,1,0))),vlookup($A954&amp;$B954,{'5) Release_Track'!$F:$F&amp;'5) Release_Track'!$G:$G,'5) Release_Track'!$H:$H},2,0),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D954" s="121" t="str">
        <f t="array" ref="D954">ifs(and(isblank($A954),isblank($B954)),"", not(iserror(vlookup($A954&amp;$B954,'5) Release_Track'!$F:$F&amp;'5) Release_Track'!$G:$G,1,0))),vlookup($A954&amp;$B954,{'5) Release_Track'!$F:$F&amp;'5) Release_Track'!$G:$G,'5) Release_Track'!$I:$I},2,0),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E954" s="92"/>
      <c r="F954" s="92"/>
      <c r="G954" s="125" t="str">
        <f t="array" ref="G954">ifs(or($F954="",$F954="Main Primary Artist"),$F954,not(iserror(vlookup($F954,'Reference info'!$J$5:$J$8,1,0))),"Key Artist",not(iserror(vlookup($F954,'Reference info'!$J$38:$J$405,1,0))),"Performer",not(iserror(vlookup($F954,'Reference info'!$J$10:$J$36,1,0))),"Producer &amp; Engineer")</f>
        <v/>
      </c>
    </row>
    <row r="955">
      <c r="B955" s="97"/>
      <c r="C955" s="121" t="str">
        <f t="array" ref="C955">ifs(and(isblank($A955),isblank($B955)),"", not(iserror(vlookup($A955&amp;$B955,'5) Release_Track'!$F:$F&amp;'5) Release_Track'!$G:$G,1,0))),vlookup($A955&amp;$B955,{'5) Release_Track'!$F:$F&amp;'5) Release_Track'!$G:$G,'5) Release_Track'!$H:$H},2,0),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D955" s="121" t="str">
        <f t="array" ref="D955">ifs(and(isblank($A955),isblank($B955)),"", not(iserror(vlookup($A955&amp;$B955,'5) Release_Track'!$F:$F&amp;'5) Release_Track'!$G:$G,1,0))),vlookup($A955&amp;$B955,{'5) Release_Track'!$F:$F&amp;'5) Release_Track'!$G:$G,'5) Release_Track'!$I:$I},2,0),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E955" s="92"/>
      <c r="F955" s="92"/>
      <c r="G955" s="125" t="str">
        <f t="array" ref="G955">ifs(or($F955="",$F955="Main Primary Artist"),$F955,not(iserror(vlookup($F955,'Reference info'!$J$5:$J$8,1,0))),"Key Artist",not(iserror(vlookup($F955,'Reference info'!$J$38:$J$405,1,0))),"Performer",not(iserror(vlookup($F955,'Reference info'!$J$10:$J$36,1,0))),"Producer &amp; Engineer")</f>
        <v/>
      </c>
    </row>
    <row r="956">
      <c r="B956" s="97"/>
      <c r="C956" s="121" t="str">
        <f t="array" ref="C956">ifs(and(isblank($A956),isblank($B956)),"", not(iserror(vlookup($A956&amp;$B956,'5) Release_Track'!$F:$F&amp;'5) Release_Track'!$G:$G,1,0))),vlookup($A956&amp;$B956,{'5) Release_Track'!$F:$F&amp;'5) Release_Track'!$G:$G,'5) Release_Track'!$H:$H},2,0),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D956" s="121" t="str">
        <f t="array" ref="D956">ifs(and(isblank($A956),isblank($B956)),"", not(iserror(vlookup($A956&amp;$B956,'5) Release_Track'!$F:$F&amp;'5) Release_Track'!$G:$G,1,0))),vlookup($A956&amp;$B956,{'5) Release_Track'!$F:$F&amp;'5) Release_Track'!$G:$G,'5) Release_Track'!$I:$I},2,0),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E956" s="92"/>
      <c r="F956" s="92"/>
      <c r="G956" s="125" t="str">
        <f t="array" ref="G956">ifs(or($F956="",$F956="Main Primary Artist"),$F956,not(iserror(vlookup($F956,'Reference info'!$J$5:$J$8,1,0))),"Key Artist",not(iserror(vlookup($F956,'Reference info'!$J$38:$J$405,1,0))),"Performer",not(iserror(vlookup($F956,'Reference info'!$J$10:$J$36,1,0))),"Producer &amp; Engineer")</f>
        <v/>
      </c>
    </row>
    <row r="957">
      <c r="B957" s="97"/>
      <c r="C957" s="121" t="str">
        <f t="array" ref="C957">ifs(and(isblank($A957),isblank($B957)),"", not(iserror(vlookup($A957&amp;$B957,'5) Release_Track'!$F:$F&amp;'5) Release_Track'!$G:$G,1,0))),vlookup($A957&amp;$B957,{'5) Release_Track'!$F:$F&amp;'5) Release_Track'!$G:$G,'5) Release_Track'!$H:$H},2,0),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D957" s="121" t="str">
        <f t="array" ref="D957">ifs(and(isblank($A957),isblank($B957)),"", not(iserror(vlookup($A957&amp;$B957,'5) Release_Track'!$F:$F&amp;'5) Release_Track'!$G:$G,1,0))),vlookup($A957&amp;$B957,{'5) Release_Track'!$F:$F&amp;'5) Release_Track'!$G:$G,'5) Release_Track'!$I:$I},2,0),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E957" s="92"/>
      <c r="F957" s="92"/>
      <c r="G957" s="125" t="str">
        <f t="array" ref="G957">ifs(or($F957="",$F957="Main Primary Artist"),$F957,not(iserror(vlookup($F957,'Reference info'!$J$5:$J$8,1,0))),"Key Artist",not(iserror(vlookup($F957,'Reference info'!$J$38:$J$405,1,0))),"Performer",not(iserror(vlookup($F957,'Reference info'!$J$10:$J$36,1,0))),"Producer &amp; Engineer")</f>
        <v/>
      </c>
    </row>
    <row r="958">
      <c r="B958" s="97"/>
      <c r="C958" s="121" t="str">
        <f t="array" ref="C958">ifs(and(isblank($A958),isblank($B958)),"", not(iserror(vlookup($A958&amp;$B958,'5) Release_Track'!$F:$F&amp;'5) Release_Track'!$G:$G,1,0))),vlookup($A958&amp;$B958,{'5) Release_Track'!$F:$F&amp;'5) Release_Track'!$G:$G,'5) Release_Track'!$H:$H},2,0),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D958" s="121" t="str">
        <f t="array" ref="D958">ifs(and(isblank($A958),isblank($B958)),"", not(iserror(vlookup($A958&amp;$B958,'5) Release_Track'!$F:$F&amp;'5) Release_Track'!$G:$G,1,0))),vlookup($A958&amp;$B958,{'5) Release_Track'!$F:$F&amp;'5) Release_Track'!$G:$G,'5) Release_Track'!$I:$I},2,0),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E958" s="92"/>
      <c r="F958" s="92"/>
      <c r="G958" s="125" t="str">
        <f t="array" ref="G958">ifs(or($F958="",$F958="Main Primary Artist"),$F958,not(iserror(vlookup($F958,'Reference info'!$J$5:$J$8,1,0))),"Key Artist",not(iserror(vlookup($F958,'Reference info'!$J$38:$J$405,1,0))),"Performer",not(iserror(vlookup($F958,'Reference info'!$J$10:$J$36,1,0))),"Producer &amp; Engineer")</f>
        <v/>
      </c>
    </row>
    <row r="959">
      <c r="B959" s="97"/>
      <c r="C959" s="121" t="str">
        <f t="array" ref="C959">ifs(and(isblank($A959),isblank($B959)),"", not(iserror(vlookup($A959&amp;$B959,'5) Release_Track'!$F:$F&amp;'5) Release_Track'!$G:$G,1,0))),vlookup($A959&amp;$B959,{'5) Release_Track'!$F:$F&amp;'5) Release_Track'!$G:$G,'5) Release_Track'!$H:$H},2,0),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D959" s="121" t="str">
        <f t="array" ref="D959">ifs(and(isblank($A959),isblank($B959)),"", not(iserror(vlookup($A959&amp;$B959,'5) Release_Track'!$F:$F&amp;'5) Release_Track'!$G:$G,1,0))),vlookup($A959&amp;$B959,{'5) Release_Track'!$F:$F&amp;'5) Release_Track'!$G:$G,'5) Release_Track'!$I:$I},2,0),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E959" s="92"/>
      <c r="F959" s="92"/>
      <c r="G959" s="125" t="str">
        <f t="array" ref="G959">ifs(or($F959="",$F959="Main Primary Artist"),$F959,not(iserror(vlookup($F959,'Reference info'!$J$5:$J$8,1,0))),"Key Artist",not(iserror(vlookup($F959,'Reference info'!$J$38:$J$405,1,0))),"Performer",not(iserror(vlookup($F959,'Reference info'!$J$10:$J$36,1,0))),"Producer &amp; Engineer")</f>
        <v/>
      </c>
    </row>
    <row r="960">
      <c r="B960" s="97"/>
      <c r="C960" s="121" t="str">
        <f t="array" ref="C960">ifs(and(isblank($A960),isblank($B960)),"", not(iserror(vlookup($A960&amp;$B960,'5) Release_Track'!$F:$F&amp;'5) Release_Track'!$G:$G,1,0))),vlookup($A960&amp;$B960,{'5) Release_Track'!$F:$F&amp;'5) Release_Track'!$G:$G,'5) Release_Track'!$H:$H},2,0),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D960" s="121" t="str">
        <f t="array" ref="D960">ifs(and(isblank($A960),isblank($B960)),"", not(iserror(vlookup($A960&amp;$B960,'5) Release_Track'!$F:$F&amp;'5) Release_Track'!$G:$G,1,0))),vlookup($A960&amp;$B960,{'5) Release_Track'!$F:$F&amp;'5) Release_Track'!$G:$G,'5) Release_Track'!$I:$I},2,0),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E960" s="92"/>
      <c r="F960" s="92"/>
      <c r="G960" s="125" t="str">
        <f t="array" ref="G960">ifs(or($F960="",$F960="Main Primary Artist"),$F960,not(iserror(vlookup($F960,'Reference info'!$J$5:$J$8,1,0))),"Key Artist",not(iserror(vlookup($F960,'Reference info'!$J$38:$J$405,1,0))),"Performer",not(iserror(vlookup($F960,'Reference info'!$J$10:$J$36,1,0))),"Producer &amp; Engineer")</f>
        <v/>
      </c>
    </row>
    <row r="961">
      <c r="B961" s="97"/>
      <c r="C961" s="121" t="str">
        <f t="array" ref="C961">ifs(and(isblank($A961),isblank($B961)),"", not(iserror(vlookup($A961&amp;$B961,'5) Release_Track'!$F:$F&amp;'5) Release_Track'!$G:$G,1,0))),vlookup($A961&amp;$B961,{'5) Release_Track'!$F:$F&amp;'5) Release_Track'!$G:$G,'5) Release_Track'!$H:$H},2,0),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D961" s="121" t="str">
        <f t="array" ref="D961">ifs(and(isblank($A961),isblank($B961)),"", not(iserror(vlookup($A961&amp;$B961,'5) Release_Track'!$F:$F&amp;'5) Release_Track'!$G:$G,1,0))),vlookup($A961&amp;$B961,{'5) Release_Track'!$F:$F&amp;'5) Release_Track'!$G:$G,'5) Release_Track'!$I:$I},2,0),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E961" s="92"/>
      <c r="F961" s="92"/>
      <c r="G961" s="125" t="str">
        <f t="array" ref="G961">ifs(or($F961="",$F961="Main Primary Artist"),$F961,not(iserror(vlookup($F961,'Reference info'!$J$5:$J$8,1,0))),"Key Artist",not(iserror(vlookup($F961,'Reference info'!$J$38:$J$405,1,0))),"Performer",not(iserror(vlookup($F961,'Reference info'!$J$10:$J$36,1,0))),"Producer &amp; Engineer")</f>
        <v/>
      </c>
    </row>
    <row r="962">
      <c r="B962" s="97"/>
      <c r="C962" s="121" t="str">
        <f t="array" ref="C962">ifs(and(isblank($A962),isblank($B962)),"", not(iserror(vlookup($A962&amp;$B962,'5) Release_Track'!$F:$F&amp;'5) Release_Track'!$G:$G,1,0))),vlookup($A962&amp;$B962,{'5) Release_Track'!$F:$F&amp;'5) Release_Track'!$G:$G,'5) Release_Track'!$H:$H},2,0),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D962" s="121" t="str">
        <f t="array" ref="D962">ifs(and(isblank($A962),isblank($B962)),"", not(iserror(vlookup($A962&amp;$B962,'5) Release_Track'!$F:$F&amp;'5) Release_Track'!$G:$G,1,0))),vlookup($A962&amp;$B962,{'5) Release_Track'!$F:$F&amp;'5) Release_Track'!$G:$G,'5) Release_Track'!$I:$I},2,0),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E962" s="92"/>
      <c r="F962" s="92"/>
      <c r="G962" s="125" t="str">
        <f t="array" ref="G962">ifs(or($F962="",$F962="Main Primary Artist"),$F962,not(iserror(vlookup($F962,'Reference info'!$J$5:$J$8,1,0))),"Key Artist",not(iserror(vlookup($F962,'Reference info'!$J$38:$J$405,1,0))),"Performer",not(iserror(vlookup($F962,'Reference info'!$J$10:$J$36,1,0))),"Producer &amp; Engineer")</f>
        <v/>
      </c>
    </row>
    <row r="963">
      <c r="B963" s="97"/>
      <c r="C963" s="121" t="str">
        <f t="array" ref="C963">ifs(and(isblank($A963),isblank($B963)),"", not(iserror(vlookup($A963&amp;$B963,'5) Release_Track'!$F:$F&amp;'5) Release_Track'!$G:$G,1,0))),vlookup($A963&amp;$B963,{'5) Release_Track'!$F:$F&amp;'5) Release_Track'!$G:$G,'5) Release_Track'!$H:$H},2,0),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D963" s="121" t="str">
        <f t="array" ref="D963">ifs(and(isblank($A963),isblank($B963)),"", not(iserror(vlookup($A963&amp;$B963,'5) Release_Track'!$F:$F&amp;'5) Release_Track'!$G:$G,1,0))),vlookup($A963&amp;$B963,{'5) Release_Track'!$F:$F&amp;'5) Release_Track'!$G:$G,'5) Release_Track'!$I:$I},2,0),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E963" s="92"/>
      <c r="F963" s="92"/>
      <c r="G963" s="125" t="str">
        <f t="array" ref="G963">ifs(or($F963="",$F963="Main Primary Artist"),$F963,not(iserror(vlookup($F963,'Reference info'!$J$5:$J$8,1,0))),"Key Artist",not(iserror(vlookup($F963,'Reference info'!$J$38:$J$405,1,0))),"Performer",not(iserror(vlookup($F963,'Reference info'!$J$10:$J$36,1,0))),"Producer &amp; Engineer")</f>
        <v/>
      </c>
    </row>
    <row r="964">
      <c r="B964" s="97"/>
      <c r="C964" s="121" t="str">
        <f t="array" ref="C964">ifs(and(isblank($A964),isblank($B964)),"", not(iserror(vlookup($A964&amp;$B964,'5) Release_Track'!$F:$F&amp;'5) Release_Track'!$G:$G,1,0))),vlookup($A964&amp;$B964,{'5) Release_Track'!$F:$F&amp;'5) Release_Track'!$G:$G,'5) Release_Track'!$H:$H},2,0),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D964" s="121" t="str">
        <f t="array" ref="D964">ifs(and(isblank($A964),isblank($B964)),"", not(iserror(vlookup($A964&amp;$B964,'5) Release_Track'!$F:$F&amp;'5) Release_Track'!$G:$G,1,0))),vlookup($A964&amp;$B964,{'5) Release_Track'!$F:$F&amp;'5) Release_Track'!$G:$G,'5) Release_Track'!$I:$I},2,0),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E964" s="92"/>
      <c r="F964" s="92"/>
      <c r="G964" s="125" t="str">
        <f t="array" ref="G964">ifs(or($F964="",$F964="Main Primary Artist"),$F964,not(iserror(vlookup($F964,'Reference info'!$J$5:$J$8,1,0))),"Key Artist",not(iserror(vlookup($F964,'Reference info'!$J$38:$J$405,1,0))),"Performer",not(iserror(vlookup($F964,'Reference info'!$J$10:$J$36,1,0))),"Producer &amp; Engineer")</f>
        <v/>
      </c>
    </row>
    <row r="965">
      <c r="B965" s="97"/>
      <c r="C965" s="121" t="str">
        <f t="array" ref="C965">ifs(and(isblank($A965),isblank($B965)),"", not(iserror(vlookup($A965&amp;$B965,'5) Release_Track'!$F:$F&amp;'5) Release_Track'!$G:$G,1,0))),vlookup($A965&amp;$B965,{'5) Release_Track'!$F:$F&amp;'5) Release_Track'!$G:$G,'5) Release_Track'!$H:$H},2,0),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D965" s="121" t="str">
        <f t="array" ref="D965">ifs(and(isblank($A965),isblank($B965)),"", not(iserror(vlookup($A965&amp;$B965,'5) Release_Track'!$F:$F&amp;'5) Release_Track'!$G:$G,1,0))),vlookup($A965&amp;$B965,{'5) Release_Track'!$F:$F&amp;'5) Release_Track'!$G:$G,'5) Release_Track'!$I:$I},2,0),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E965" s="92"/>
      <c r="F965" s="92"/>
      <c r="G965" s="125" t="str">
        <f t="array" ref="G965">ifs(or($F965="",$F965="Main Primary Artist"),$F965,not(iserror(vlookup($F965,'Reference info'!$J$5:$J$8,1,0))),"Key Artist",not(iserror(vlookup($F965,'Reference info'!$J$38:$J$405,1,0))),"Performer",not(iserror(vlookup($F965,'Reference info'!$J$10:$J$36,1,0))),"Producer &amp; Engineer")</f>
        <v/>
      </c>
    </row>
    <row r="966">
      <c r="B966" s="97"/>
      <c r="C966" s="121" t="str">
        <f t="array" ref="C966">ifs(and(isblank($A966),isblank($B966)),"", not(iserror(vlookup($A966&amp;$B966,'5) Release_Track'!$F:$F&amp;'5) Release_Track'!$G:$G,1,0))),vlookup($A966&amp;$B966,{'5) Release_Track'!$F:$F&amp;'5) Release_Track'!$G:$G,'5) Release_Track'!$H:$H},2,0),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D966" s="121" t="str">
        <f t="array" ref="D966">ifs(and(isblank($A966),isblank($B966)),"", not(iserror(vlookup($A966&amp;$B966,'5) Release_Track'!$F:$F&amp;'5) Release_Track'!$G:$G,1,0))),vlookup($A966&amp;$B966,{'5) Release_Track'!$F:$F&amp;'5) Release_Track'!$G:$G,'5) Release_Track'!$I:$I},2,0),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E966" s="92"/>
      <c r="F966" s="92"/>
      <c r="G966" s="125" t="str">
        <f t="array" ref="G966">ifs(or($F966="",$F966="Main Primary Artist"),$F966,not(iserror(vlookup($F966,'Reference info'!$J$5:$J$8,1,0))),"Key Artist",not(iserror(vlookup($F966,'Reference info'!$J$38:$J$405,1,0))),"Performer",not(iserror(vlookup($F966,'Reference info'!$J$10:$J$36,1,0))),"Producer &amp; Engineer")</f>
        <v/>
      </c>
    </row>
    <row r="967">
      <c r="B967" s="97"/>
      <c r="C967" s="121" t="str">
        <f t="array" ref="C967">ifs(and(isblank($A967),isblank($B967)),"", not(iserror(vlookup($A967&amp;$B967,'5) Release_Track'!$F:$F&amp;'5) Release_Track'!$G:$G,1,0))),vlookup($A967&amp;$B967,{'5) Release_Track'!$F:$F&amp;'5) Release_Track'!$G:$G,'5) Release_Track'!$H:$H},2,0),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D967" s="121" t="str">
        <f t="array" ref="D967">ifs(and(isblank($A967),isblank($B967)),"", not(iserror(vlookup($A967&amp;$B967,'5) Release_Track'!$F:$F&amp;'5) Release_Track'!$G:$G,1,0))),vlookup($A967&amp;$B967,{'5) Release_Track'!$F:$F&amp;'5) Release_Track'!$G:$G,'5) Release_Track'!$I:$I},2,0),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E967" s="92"/>
      <c r="F967" s="92"/>
      <c r="G967" s="125" t="str">
        <f t="array" ref="G967">ifs(or($F967="",$F967="Main Primary Artist"),$F967,not(iserror(vlookup($F967,'Reference info'!$J$5:$J$8,1,0))),"Key Artist",not(iserror(vlookup($F967,'Reference info'!$J$38:$J$405,1,0))),"Performer",not(iserror(vlookup($F967,'Reference info'!$J$10:$J$36,1,0))),"Producer &amp; Engineer")</f>
        <v/>
      </c>
    </row>
    <row r="968">
      <c r="B968" s="97"/>
      <c r="C968" s="121" t="str">
        <f t="array" ref="C968">ifs(and(isblank($A968),isblank($B968)),"", not(iserror(vlookup($A968&amp;$B968,'5) Release_Track'!$F:$F&amp;'5) Release_Track'!$G:$G,1,0))),vlookup($A968&amp;$B968,{'5) Release_Track'!$F:$F&amp;'5) Release_Track'!$G:$G,'5) Release_Track'!$H:$H},2,0),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D968" s="121" t="str">
        <f t="array" ref="D968">ifs(and(isblank($A968),isblank($B968)),"", not(iserror(vlookup($A968&amp;$B968,'5) Release_Track'!$F:$F&amp;'5) Release_Track'!$G:$G,1,0))),vlookup($A968&amp;$B968,{'5) Release_Track'!$F:$F&amp;'5) Release_Track'!$G:$G,'5) Release_Track'!$I:$I},2,0),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E968" s="92"/>
      <c r="F968" s="92"/>
      <c r="G968" s="125" t="str">
        <f t="array" ref="G968">ifs(or($F968="",$F968="Main Primary Artist"),$F968,not(iserror(vlookup($F968,'Reference info'!$J$5:$J$8,1,0))),"Key Artist",not(iserror(vlookup($F968,'Reference info'!$J$38:$J$405,1,0))),"Performer",not(iserror(vlookup($F968,'Reference info'!$J$10:$J$36,1,0))),"Producer &amp; Engineer")</f>
        <v/>
      </c>
    </row>
    <row r="969">
      <c r="B969" s="97"/>
      <c r="C969" s="121" t="str">
        <f t="array" ref="C969">ifs(and(isblank($A969),isblank($B969)),"", not(iserror(vlookup($A969&amp;$B969,'5) Release_Track'!$F:$F&amp;'5) Release_Track'!$G:$G,1,0))),vlookup($A969&amp;$B969,{'5) Release_Track'!$F:$F&amp;'5) Release_Track'!$G:$G,'5) Release_Track'!$H:$H},2,0),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D969" s="121" t="str">
        <f t="array" ref="D969">ifs(and(isblank($A969),isblank($B969)),"", not(iserror(vlookup($A969&amp;$B969,'5) Release_Track'!$F:$F&amp;'5) Release_Track'!$G:$G,1,0))),vlookup($A969&amp;$B969,{'5) Release_Track'!$F:$F&amp;'5) Release_Track'!$G:$G,'5) Release_Track'!$I:$I},2,0),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E969" s="92"/>
      <c r="F969" s="92"/>
      <c r="G969" s="125" t="str">
        <f t="array" ref="G969">ifs(or($F969="",$F969="Main Primary Artist"),$F969,not(iserror(vlookup($F969,'Reference info'!$J$5:$J$8,1,0))),"Key Artist",not(iserror(vlookup($F969,'Reference info'!$J$38:$J$405,1,0))),"Performer",not(iserror(vlookup($F969,'Reference info'!$J$10:$J$36,1,0))),"Producer &amp; Engineer")</f>
        <v/>
      </c>
    </row>
    <row r="970">
      <c r="B970" s="97"/>
      <c r="C970" s="121" t="str">
        <f t="array" ref="C970">ifs(and(isblank($A970),isblank($B970)),"", not(iserror(vlookup($A970&amp;$B970,'5) Release_Track'!$F:$F&amp;'5) Release_Track'!$G:$G,1,0))),vlookup($A970&amp;$B970,{'5) Release_Track'!$F:$F&amp;'5) Release_Track'!$G:$G,'5) Release_Track'!$H:$H},2,0),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D970" s="121" t="str">
        <f t="array" ref="D970">ifs(and(isblank($A970),isblank($B970)),"", not(iserror(vlookup($A970&amp;$B970,'5) Release_Track'!$F:$F&amp;'5) Release_Track'!$G:$G,1,0))),vlookup($A970&amp;$B970,{'5) Release_Track'!$F:$F&amp;'5) Release_Track'!$G:$G,'5) Release_Track'!$I:$I},2,0),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E970" s="92"/>
      <c r="F970" s="92"/>
      <c r="G970" s="125" t="str">
        <f t="array" ref="G970">ifs(or($F970="",$F970="Main Primary Artist"),$F970,not(iserror(vlookup($F970,'Reference info'!$J$5:$J$8,1,0))),"Key Artist",not(iserror(vlookup($F970,'Reference info'!$J$38:$J$405,1,0))),"Performer",not(iserror(vlookup($F970,'Reference info'!$J$10:$J$36,1,0))),"Producer &amp; Engineer")</f>
        <v/>
      </c>
    </row>
    <row r="971">
      <c r="B971" s="97"/>
      <c r="C971" s="121" t="str">
        <f t="array" ref="C971">ifs(and(isblank($A971),isblank($B971)),"", not(iserror(vlookup($A971&amp;$B971,'5) Release_Track'!$F:$F&amp;'5) Release_Track'!$G:$G,1,0))),vlookup($A971&amp;$B971,{'5) Release_Track'!$F:$F&amp;'5) Release_Track'!$G:$G,'5) Release_Track'!$H:$H},2,0),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D971" s="121" t="str">
        <f t="array" ref="D971">ifs(and(isblank($A971),isblank($B971)),"", not(iserror(vlookup($A971&amp;$B971,'5) Release_Track'!$F:$F&amp;'5) Release_Track'!$G:$G,1,0))),vlookup($A971&amp;$B971,{'5) Release_Track'!$F:$F&amp;'5) Release_Track'!$G:$G,'5) Release_Track'!$I:$I},2,0),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E971" s="92"/>
      <c r="F971" s="92"/>
      <c r="G971" s="125" t="str">
        <f t="array" ref="G971">ifs(or($F971="",$F971="Main Primary Artist"),$F971,not(iserror(vlookup($F971,'Reference info'!$J$5:$J$8,1,0))),"Key Artist",not(iserror(vlookup($F971,'Reference info'!$J$38:$J$405,1,0))),"Performer",not(iserror(vlookup($F971,'Reference info'!$J$10:$J$36,1,0))),"Producer &amp; Engineer")</f>
        <v/>
      </c>
    </row>
    <row r="972">
      <c r="B972" s="97"/>
      <c r="C972" s="121" t="str">
        <f t="array" ref="C972">ifs(and(isblank($A972),isblank($B972)),"", not(iserror(vlookup($A972&amp;$B972,'5) Release_Track'!$F:$F&amp;'5) Release_Track'!$G:$G,1,0))),vlookup($A972&amp;$B972,{'5) Release_Track'!$F:$F&amp;'5) Release_Track'!$G:$G,'5) Release_Track'!$H:$H},2,0),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D972" s="121" t="str">
        <f t="array" ref="D972">ifs(and(isblank($A972),isblank($B972)),"", not(iserror(vlookup($A972&amp;$B972,'5) Release_Track'!$F:$F&amp;'5) Release_Track'!$G:$G,1,0))),vlookup($A972&amp;$B972,{'5) Release_Track'!$F:$F&amp;'5) Release_Track'!$G:$G,'5) Release_Track'!$I:$I},2,0),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E972" s="92"/>
      <c r="F972" s="92"/>
      <c r="G972" s="125" t="str">
        <f t="array" ref="G972">ifs(or($F972="",$F972="Main Primary Artist"),$F972,not(iserror(vlookup($F972,'Reference info'!$J$5:$J$8,1,0))),"Key Artist",not(iserror(vlookup($F972,'Reference info'!$J$38:$J$405,1,0))),"Performer",not(iserror(vlookup($F972,'Reference info'!$J$10:$J$36,1,0))),"Producer &amp; Engineer")</f>
        <v/>
      </c>
    </row>
    <row r="973">
      <c r="B973" s="97"/>
      <c r="C973" s="121" t="str">
        <f t="array" ref="C973">ifs(and(isblank($A973),isblank($B973)),"", not(iserror(vlookup($A973&amp;$B973,'5) Release_Track'!$F:$F&amp;'5) Release_Track'!$G:$G,1,0))),vlookup($A973&amp;$B973,{'5) Release_Track'!$F:$F&amp;'5) Release_Track'!$G:$G,'5) Release_Track'!$H:$H},2,0),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D973" s="121" t="str">
        <f t="array" ref="D973">ifs(and(isblank($A973),isblank($B973)),"", not(iserror(vlookup($A973&amp;$B973,'5) Release_Track'!$F:$F&amp;'5) Release_Track'!$G:$G,1,0))),vlookup($A973&amp;$B973,{'5) Release_Track'!$F:$F&amp;'5) Release_Track'!$G:$G,'5) Release_Track'!$I:$I},2,0),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E973" s="92"/>
      <c r="F973" s="92"/>
      <c r="G973" s="125" t="str">
        <f t="array" ref="G973">ifs(or($F973="",$F973="Main Primary Artist"),$F973,not(iserror(vlookup($F973,'Reference info'!$J$5:$J$8,1,0))),"Key Artist",not(iserror(vlookup($F973,'Reference info'!$J$38:$J$405,1,0))),"Performer",not(iserror(vlookup($F973,'Reference info'!$J$10:$J$36,1,0))),"Producer &amp; Engineer")</f>
        <v/>
      </c>
    </row>
    <row r="974">
      <c r="B974" s="97"/>
      <c r="C974" s="121" t="str">
        <f t="array" ref="C974">ifs(and(isblank($A974),isblank($B974)),"", not(iserror(vlookup($A974&amp;$B974,'5) Release_Track'!$F:$F&amp;'5) Release_Track'!$G:$G,1,0))),vlookup($A974&amp;$B974,{'5) Release_Track'!$F:$F&amp;'5) Release_Track'!$G:$G,'5) Release_Track'!$H:$H},2,0),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D974" s="121" t="str">
        <f t="array" ref="D974">ifs(and(isblank($A974),isblank($B974)),"", not(iserror(vlookup($A974&amp;$B974,'5) Release_Track'!$F:$F&amp;'5) Release_Track'!$G:$G,1,0))),vlookup($A974&amp;$B974,{'5) Release_Track'!$F:$F&amp;'5) Release_Track'!$G:$G,'5) Release_Track'!$I:$I},2,0),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E974" s="92"/>
      <c r="F974" s="92"/>
      <c r="G974" s="125" t="str">
        <f t="array" ref="G974">ifs(or($F974="",$F974="Main Primary Artist"),$F974,not(iserror(vlookup($F974,'Reference info'!$J$5:$J$8,1,0))),"Key Artist",not(iserror(vlookup($F974,'Reference info'!$J$38:$J$405,1,0))),"Performer",not(iserror(vlookup($F974,'Reference info'!$J$10:$J$36,1,0))),"Producer &amp; Engineer")</f>
        <v/>
      </c>
    </row>
    <row r="975">
      <c r="B975" s="97"/>
      <c r="C975" s="121" t="str">
        <f t="array" ref="C975">ifs(and(isblank($A975),isblank($B975)),"", not(iserror(vlookup($A975&amp;$B975,'5) Release_Track'!$F:$F&amp;'5) Release_Track'!$G:$G,1,0))),vlookup($A975&amp;$B975,{'5) Release_Track'!$F:$F&amp;'5) Release_Track'!$G:$G,'5) Release_Track'!$H:$H},2,0),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D975" s="121" t="str">
        <f t="array" ref="D975">ifs(and(isblank($A975),isblank($B975)),"", not(iserror(vlookup($A975&amp;$B975,'5) Release_Track'!$F:$F&amp;'5) Release_Track'!$G:$G,1,0))),vlookup($A975&amp;$B975,{'5) Release_Track'!$F:$F&amp;'5) Release_Track'!$G:$G,'5) Release_Track'!$I:$I},2,0),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E975" s="92"/>
      <c r="F975" s="92"/>
      <c r="G975" s="125" t="str">
        <f t="array" ref="G975">ifs(or($F975="",$F975="Main Primary Artist"),$F975,not(iserror(vlookup($F975,'Reference info'!$J$5:$J$8,1,0))),"Key Artist",not(iserror(vlookup($F975,'Reference info'!$J$38:$J$405,1,0))),"Performer",not(iserror(vlookup($F975,'Reference info'!$J$10:$J$36,1,0))),"Producer &amp; Engineer")</f>
        <v/>
      </c>
    </row>
    <row r="976">
      <c r="B976" s="97"/>
      <c r="C976" s="121" t="str">
        <f t="array" ref="C976">ifs(and(isblank($A976),isblank($B976)),"", not(iserror(vlookup($A976&amp;$B976,'5) Release_Track'!$F:$F&amp;'5) Release_Track'!$G:$G,1,0))),vlookup($A976&amp;$B976,{'5) Release_Track'!$F:$F&amp;'5) Release_Track'!$G:$G,'5) Release_Track'!$H:$H},2,0),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D976" s="121" t="str">
        <f t="array" ref="D976">ifs(and(isblank($A976),isblank($B976)),"", not(iserror(vlookup($A976&amp;$B976,'5) Release_Track'!$F:$F&amp;'5) Release_Track'!$G:$G,1,0))),vlookup($A976&amp;$B976,{'5) Release_Track'!$F:$F&amp;'5) Release_Track'!$G:$G,'5) Release_Track'!$I:$I},2,0),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E976" s="92"/>
      <c r="F976" s="92"/>
      <c r="G976" s="125" t="str">
        <f t="array" ref="G976">ifs(or($F976="",$F976="Main Primary Artist"),$F976,not(iserror(vlookup($F976,'Reference info'!$J$5:$J$8,1,0))),"Key Artist",not(iserror(vlookup($F976,'Reference info'!$J$38:$J$405,1,0))),"Performer",not(iserror(vlookup($F976,'Reference info'!$J$10:$J$36,1,0))),"Producer &amp; Engineer")</f>
        <v/>
      </c>
    </row>
    <row r="977">
      <c r="B977" s="97"/>
      <c r="C977" s="121" t="str">
        <f t="array" ref="C977">ifs(and(isblank($A977),isblank($B977)),"", not(iserror(vlookup($A977&amp;$B977,'5) Release_Track'!$F:$F&amp;'5) Release_Track'!$G:$G,1,0))),vlookup($A977&amp;$B977,{'5) Release_Track'!$F:$F&amp;'5) Release_Track'!$G:$G,'5) Release_Track'!$H:$H},2,0),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D977" s="121" t="str">
        <f t="array" ref="D977">ifs(and(isblank($A977),isblank($B977)),"", not(iserror(vlookup($A977&amp;$B977,'5) Release_Track'!$F:$F&amp;'5) Release_Track'!$G:$G,1,0))),vlookup($A977&amp;$B977,{'5) Release_Track'!$F:$F&amp;'5) Release_Track'!$G:$G,'5) Release_Track'!$I:$I},2,0),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E977" s="92"/>
      <c r="F977" s="92"/>
      <c r="G977" s="125" t="str">
        <f t="array" ref="G977">ifs(or($F977="",$F977="Main Primary Artist"),$F977,not(iserror(vlookup($F977,'Reference info'!$J$5:$J$8,1,0))),"Key Artist",not(iserror(vlookup($F977,'Reference info'!$J$38:$J$405,1,0))),"Performer",not(iserror(vlookup($F977,'Reference info'!$J$10:$J$36,1,0))),"Producer &amp; Engineer")</f>
        <v/>
      </c>
    </row>
    <row r="978">
      <c r="B978" s="97"/>
      <c r="C978" s="121" t="str">
        <f t="array" ref="C978">ifs(and(isblank($A978),isblank($B978)),"", not(iserror(vlookup($A978&amp;$B978,'5) Release_Track'!$F:$F&amp;'5) Release_Track'!$G:$G,1,0))),vlookup($A978&amp;$B978,{'5) Release_Track'!$F:$F&amp;'5) Release_Track'!$G:$G,'5) Release_Track'!$H:$H},2,0),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D978" s="121" t="str">
        <f t="array" ref="D978">ifs(and(isblank($A978),isblank($B978)),"", not(iserror(vlookup($A978&amp;$B978,'5) Release_Track'!$F:$F&amp;'5) Release_Track'!$G:$G,1,0))),vlookup($A978&amp;$B978,{'5) Release_Track'!$F:$F&amp;'5) Release_Track'!$G:$G,'5) Release_Track'!$I:$I},2,0),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E978" s="92"/>
      <c r="F978" s="92"/>
      <c r="G978" s="125" t="str">
        <f t="array" ref="G978">ifs(or($F978="",$F978="Main Primary Artist"),$F978,not(iserror(vlookup($F978,'Reference info'!$J$5:$J$8,1,0))),"Key Artist",not(iserror(vlookup($F978,'Reference info'!$J$38:$J$405,1,0))),"Performer",not(iserror(vlookup($F978,'Reference info'!$J$10:$J$36,1,0))),"Producer &amp; Engineer")</f>
        <v/>
      </c>
    </row>
    <row r="979">
      <c r="B979" s="97"/>
      <c r="C979" s="121" t="str">
        <f t="array" ref="C979">ifs(and(isblank($A979),isblank($B979)),"", not(iserror(vlookup($A979&amp;$B979,'5) Release_Track'!$F:$F&amp;'5) Release_Track'!$G:$G,1,0))),vlookup($A979&amp;$B979,{'5) Release_Track'!$F:$F&amp;'5) Release_Track'!$G:$G,'5) Release_Track'!$H:$H},2,0),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D979" s="121" t="str">
        <f t="array" ref="D979">ifs(and(isblank($A979),isblank($B979)),"", not(iserror(vlookup($A979&amp;$B979,'5) Release_Track'!$F:$F&amp;'5) Release_Track'!$G:$G,1,0))),vlookup($A979&amp;$B979,{'5) Release_Track'!$F:$F&amp;'5) Release_Track'!$G:$G,'5) Release_Track'!$I:$I},2,0),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E979" s="92"/>
      <c r="F979" s="92"/>
      <c r="G979" s="125" t="str">
        <f t="array" ref="G979">ifs(or($F979="",$F979="Main Primary Artist"),$F979,not(iserror(vlookup($F979,'Reference info'!$J$5:$J$8,1,0))),"Key Artist",not(iserror(vlookup($F979,'Reference info'!$J$38:$J$405,1,0))),"Performer",not(iserror(vlookup($F979,'Reference info'!$J$10:$J$36,1,0))),"Producer &amp; Engineer")</f>
        <v/>
      </c>
    </row>
    <row r="980">
      <c r="B980" s="97"/>
      <c r="C980" s="121" t="str">
        <f t="array" ref="C980">ifs(and(isblank($A980),isblank($B980)),"", not(iserror(vlookup($A980&amp;$B980,'5) Release_Track'!$F:$F&amp;'5) Release_Track'!$G:$G,1,0))),vlookup($A980&amp;$B980,{'5) Release_Track'!$F:$F&amp;'5) Release_Track'!$G:$G,'5) Release_Track'!$H:$H},2,0),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D980" s="121" t="str">
        <f t="array" ref="D980">ifs(and(isblank($A980),isblank($B980)),"", not(iserror(vlookup($A980&amp;$B980,'5) Release_Track'!$F:$F&amp;'5) Release_Track'!$G:$G,1,0))),vlookup($A980&amp;$B980,{'5) Release_Track'!$F:$F&amp;'5) Release_Track'!$G:$G,'5) Release_Track'!$I:$I},2,0),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E980" s="92"/>
      <c r="F980" s="92"/>
      <c r="G980" s="125" t="str">
        <f t="array" ref="G980">ifs(or($F980="",$F980="Main Primary Artist"),$F980,not(iserror(vlookup($F980,'Reference info'!$J$5:$J$8,1,0))),"Key Artist",not(iserror(vlookup($F980,'Reference info'!$J$38:$J$405,1,0))),"Performer",not(iserror(vlookup($F980,'Reference info'!$J$10:$J$36,1,0))),"Producer &amp; Engineer")</f>
        <v/>
      </c>
    </row>
    <row r="981">
      <c r="B981" s="97"/>
      <c r="C981" s="121" t="str">
        <f t="array" ref="C981">ifs(and(isblank($A981),isblank($B981)),"", not(iserror(vlookup($A981&amp;$B981,'5) Release_Track'!$F:$F&amp;'5) Release_Track'!$G:$G,1,0))),vlookup($A981&amp;$B981,{'5) Release_Track'!$F:$F&amp;'5) Release_Track'!$G:$G,'5) Release_Track'!$H:$H},2,0),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D981" s="121" t="str">
        <f t="array" ref="D981">ifs(and(isblank($A981),isblank($B981)),"", not(iserror(vlookup($A981&amp;$B981,'5) Release_Track'!$F:$F&amp;'5) Release_Track'!$G:$G,1,0))),vlookup($A981&amp;$B981,{'5) Release_Track'!$F:$F&amp;'5) Release_Track'!$G:$G,'5) Release_Track'!$I:$I},2,0),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E981" s="92"/>
      <c r="F981" s="92"/>
      <c r="G981" s="125" t="str">
        <f t="array" ref="G981">ifs(or($F981="",$F981="Main Primary Artist"),$F981,not(iserror(vlookup($F981,'Reference info'!$J$5:$J$8,1,0))),"Key Artist",not(iserror(vlookup($F981,'Reference info'!$J$38:$J$405,1,0))),"Performer",not(iserror(vlookup($F981,'Reference info'!$J$10:$J$36,1,0))),"Producer &amp; Engineer")</f>
        <v/>
      </c>
    </row>
    <row r="982">
      <c r="B982" s="97"/>
      <c r="C982" s="121" t="str">
        <f t="array" ref="C982">ifs(and(isblank($A982),isblank($B982)),"", not(iserror(vlookup($A982&amp;$B982,'5) Release_Track'!$F:$F&amp;'5) Release_Track'!$G:$G,1,0))),vlookup($A982&amp;$B982,{'5) Release_Track'!$F:$F&amp;'5) Release_Track'!$G:$G,'5) Release_Track'!$H:$H},2,0),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D982" s="121" t="str">
        <f t="array" ref="D982">ifs(and(isblank($A982),isblank($B982)),"", not(iserror(vlookup($A982&amp;$B982,'5) Release_Track'!$F:$F&amp;'5) Release_Track'!$G:$G,1,0))),vlookup($A982&amp;$B982,{'5) Release_Track'!$F:$F&amp;'5) Release_Track'!$G:$G,'5) Release_Track'!$I:$I},2,0),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E982" s="92"/>
      <c r="F982" s="92"/>
      <c r="G982" s="125" t="str">
        <f t="array" ref="G982">ifs(or($F982="",$F982="Main Primary Artist"),$F982,not(iserror(vlookup($F982,'Reference info'!$J$5:$J$8,1,0))),"Key Artist",not(iserror(vlookup($F982,'Reference info'!$J$38:$J$405,1,0))),"Performer",not(iserror(vlookup($F982,'Reference info'!$J$10:$J$36,1,0))),"Producer &amp; Engineer")</f>
        <v/>
      </c>
    </row>
    <row r="983">
      <c r="B983" s="97"/>
      <c r="C983" s="121" t="str">
        <f t="array" ref="C983">ifs(and(isblank($A983),isblank($B983)),"", not(iserror(vlookup($A983&amp;$B983,'5) Release_Track'!$F:$F&amp;'5) Release_Track'!$G:$G,1,0))),vlookup($A983&amp;$B983,{'5) Release_Track'!$F:$F&amp;'5) Release_Track'!$G:$G,'5) Release_Track'!$H:$H},2,0),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D983" s="121" t="str">
        <f t="array" ref="D983">ifs(and(isblank($A983),isblank($B983)),"", not(iserror(vlookup($A983&amp;$B983,'5) Release_Track'!$F:$F&amp;'5) Release_Track'!$G:$G,1,0))),vlookup($A983&amp;$B983,{'5) Release_Track'!$F:$F&amp;'5) Release_Track'!$G:$G,'5) Release_Track'!$I:$I},2,0),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E983" s="92"/>
      <c r="F983" s="92"/>
      <c r="G983" s="125" t="str">
        <f t="array" ref="G983">ifs(or($F983="",$F983="Main Primary Artist"),$F983,not(iserror(vlookup($F983,'Reference info'!$J$5:$J$8,1,0))),"Key Artist",not(iserror(vlookup($F983,'Reference info'!$J$38:$J$405,1,0))),"Performer",not(iserror(vlookup($F983,'Reference info'!$J$10:$J$36,1,0))),"Producer &amp; Engineer")</f>
        <v/>
      </c>
    </row>
    <row r="984">
      <c r="B984" s="97"/>
      <c r="C984" s="121" t="str">
        <f t="array" ref="C984">ifs(and(isblank($A984),isblank($B984)),"", not(iserror(vlookup($A984&amp;$B984,'5) Release_Track'!$F:$F&amp;'5) Release_Track'!$G:$G,1,0))),vlookup($A984&amp;$B984,{'5) Release_Track'!$F:$F&amp;'5) Release_Track'!$G:$G,'5) Release_Track'!$H:$H},2,0),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D984" s="121" t="str">
        <f t="array" ref="D984">ifs(and(isblank($A984),isblank($B984)),"", not(iserror(vlookup($A984&amp;$B984,'5) Release_Track'!$F:$F&amp;'5) Release_Track'!$G:$G,1,0))),vlookup($A984&amp;$B984,{'5) Release_Track'!$F:$F&amp;'5) Release_Track'!$G:$G,'5) Release_Track'!$I:$I},2,0),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E984" s="92"/>
      <c r="F984" s="92"/>
      <c r="G984" s="125" t="str">
        <f t="array" ref="G984">ifs(or($F984="",$F984="Main Primary Artist"),$F984,not(iserror(vlookup($F984,'Reference info'!$J$5:$J$8,1,0))),"Key Artist",not(iserror(vlookup($F984,'Reference info'!$J$38:$J$405,1,0))),"Performer",not(iserror(vlookup($F984,'Reference info'!$J$10:$J$36,1,0))),"Producer &amp; Engineer")</f>
        <v/>
      </c>
    </row>
    <row r="985">
      <c r="B985" s="97"/>
      <c r="C985" s="121" t="str">
        <f t="array" ref="C985">ifs(and(isblank($A985),isblank($B985)),"", not(iserror(vlookup($A985&amp;$B985,'5) Release_Track'!$F:$F&amp;'5) Release_Track'!$G:$G,1,0))),vlookup($A985&amp;$B985,{'5) Release_Track'!$F:$F&amp;'5) Release_Track'!$G:$G,'5) Release_Track'!$H:$H},2,0),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D985" s="121" t="str">
        <f t="array" ref="D985">ifs(and(isblank($A985),isblank($B985)),"", not(iserror(vlookup($A985&amp;$B985,'5) Release_Track'!$F:$F&amp;'5) Release_Track'!$G:$G,1,0))),vlookup($A985&amp;$B985,{'5) Release_Track'!$F:$F&amp;'5) Release_Track'!$G:$G,'5) Release_Track'!$I:$I},2,0),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E985" s="92"/>
      <c r="F985" s="92"/>
      <c r="G985" s="125" t="str">
        <f t="array" ref="G985">ifs(or($F985="",$F985="Main Primary Artist"),$F985,not(iserror(vlookup($F985,'Reference info'!$J$5:$J$8,1,0))),"Key Artist",not(iserror(vlookup($F985,'Reference info'!$J$38:$J$405,1,0))),"Performer",not(iserror(vlookup($F985,'Reference info'!$J$10:$J$36,1,0))),"Producer &amp; Engineer")</f>
        <v/>
      </c>
    </row>
    <row r="986">
      <c r="B986" s="97"/>
      <c r="C986" s="121" t="str">
        <f t="array" ref="C986">ifs(and(isblank($A986),isblank($B986)),"", not(iserror(vlookup($A986&amp;$B986,'5) Release_Track'!$F:$F&amp;'5) Release_Track'!$G:$G,1,0))),vlookup($A986&amp;$B986,{'5) Release_Track'!$F:$F&amp;'5) Release_Track'!$G:$G,'5) Release_Track'!$H:$H},2,0),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D986" s="121" t="str">
        <f t="array" ref="D986">ifs(and(isblank($A986),isblank($B986)),"", not(iserror(vlookup($A986&amp;$B986,'5) Release_Track'!$F:$F&amp;'5) Release_Track'!$G:$G,1,0))),vlookup($A986&amp;$B986,{'5) Release_Track'!$F:$F&amp;'5) Release_Track'!$G:$G,'5) Release_Track'!$I:$I},2,0),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E986" s="92"/>
      <c r="F986" s="92"/>
      <c r="G986" s="125" t="str">
        <f t="array" ref="G986">ifs(or($F986="",$F986="Main Primary Artist"),$F986,not(iserror(vlookup($F986,'Reference info'!$J$5:$J$8,1,0))),"Key Artist",not(iserror(vlookup($F986,'Reference info'!$J$38:$J$405,1,0))),"Performer",not(iserror(vlookup($F986,'Reference info'!$J$10:$J$36,1,0))),"Producer &amp; Engineer")</f>
        <v/>
      </c>
    </row>
    <row r="987">
      <c r="B987" s="97"/>
      <c r="C987" s="121" t="str">
        <f t="array" ref="C987">ifs(and(isblank($A987),isblank($B987)),"", not(iserror(vlookup($A987&amp;$B987,'5) Release_Track'!$F:$F&amp;'5) Release_Track'!$G:$G,1,0))),vlookup($A987&amp;$B987,{'5) Release_Track'!$F:$F&amp;'5) Release_Track'!$G:$G,'5) Release_Track'!$H:$H},2,0),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D987" s="121" t="str">
        <f t="array" ref="D987">ifs(and(isblank($A987),isblank($B987)),"", not(iserror(vlookup($A987&amp;$B987,'5) Release_Track'!$F:$F&amp;'5) Release_Track'!$G:$G,1,0))),vlookup($A987&amp;$B987,{'5) Release_Track'!$F:$F&amp;'5) Release_Track'!$G:$G,'5) Release_Track'!$I:$I},2,0),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E987" s="92"/>
      <c r="F987" s="92"/>
      <c r="G987" s="125" t="str">
        <f t="array" ref="G987">ifs(or($F987="",$F987="Main Primary Artist"),$F987,not(iserror(vlookup($F987,'Reference info'!$J$5:$J$8,1,0))),"Key Artist",not(iserror(vlookup($F987,'Reference info'!$J$38:$J$405,1,0))),"Performer",not(iserror(vlookup($F987,'Reference info'!$J$10:$J$36,1,0))),"Producer &amp; Engineer")</f>
        <v/>
      </c>
    </row>
    <row r="988">
      <c r="B988" s="97"/>
      <c r="C988" s="121" t="str">
        <f t="array" ref="C988">ifs(and(isblank($A988),isblank($B988)),"", not(iserror(vlookup($A988&amp;$B988,'5) Release_Track'!$F:$F&amp;'5) Release_Track'!$G:$G,1,0))),vlookup($A988&amp;$B988,{'5) Release_Track'!$F:$F&amp;'5) Release_Track'!$G:$G,'5) Release_Track'!$H:$H},2,0),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D988" s="121" t="str">
        <f t="array" ref="D988">ifs(and(isblank($A988),isblank($B988)),"", not(iserror(vlookup($A988&amp;$B988,'5) Release_Track'!$F:$F&amp;'5) Release_Track'!$G:$G,1,0))),vlookup($A988&amp;$B988,{'5) Release_Track'!$F:$F&amp;'5) Release_Track'!$G:$G,'5) Release_Track'!$I:$I},2,0),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E988" s="92"/>
      <c r="F988" s="92"/>
      <c r="G988" s="125" t="str">
        <f t="array" ref="G988">ifs(or($F988="",$F988="Main Primary Artist"),$F988,not(iserror(vlookup($F988,'Reference info'!$J$5:$J$8,1,0))),"Key Artist",not(iserror(vlookup($F988,'Reference info'!$J$38:$J$405,1,0))),"Performer",not(iserror(vlookup($F988,'Reference info'!$J$10:$J$36,1,0))),"Producer &amp; Engineer")</f>
        <v/>
      </c>
    </row>
    <row r="989">
      <c r="B989" s="97"/>
      <c r="C989" s="121" t="str">
        <f t="array" ref="C989">ifs(and(isblank($A989),isblank($B989)),"", not(iserror(vlookup($A989&amp;$B989,'5) Release_Track'!$F:$F&amp;'5) Release_Track'!$G:$G,1,0))),vlookup($A989&amp;$B989,{'5) Release_Track'!$F:$F&amp;'5) Release_Track'!$G:$G,'5) Release_Track'!$H:$H},2,0),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D989" s="121" t="str">
        <f t="array" ref="D989">ifs(and(isblank($A989),isblank($B989)),"", not(iserror(vlookup($A989&amp;$B989,'5) Release_Track'!$F:$F&amp;'5) Release_Track'!$G:$G,1,0))),vlookup($A989&amp;$B989,{'5) Release_Track'!$F:$F&amp;'5) Release_Track'!$G:$G,'5) Release_Track'!$I:$I},2,0),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E989" s="92"/>
      <c r="F989" s="92"/>
      <c r="G989" s="125" t="str">
        <f t="array" ref="G989">ifs(or($F989="",$F989="Main Primary Artist"),$F989,not(iserror(vlookup($F989,'Reference info'!$J$5:$J$8,1,0))),"Key Artist",not(iserror(vlookup($F989,'Reference info'!$J$38:$J$405,1,0))),"Performer",not(iserror(vlookup($F989,'Reference info'!$J$10:$J$36,1,0))),"Producer &amp; Engineer")</f>
        <v/>
      </c>
    </row>
    <row r="990">
      <c r="B990" s="97"/>
      <c r="C990" s="121" t="str">
        <f t="array" ref="C990">ifs(and(isblank($A990),isblank($B990)),"", not(iserror(vlookup($A990&amp;$B990,'5) Release_Track'!$F:$F&amp;'5) Release_Track'!$G:$G,1,0))),vlookup($A990&amp;$B990,{'5) Release_Track'!$F:$F&amp;'5) Release_Track'!$G:$G,'5) Release_Track'!$H:$H},2,0),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D990" s="121" t="str">
        <f t="array" ref="D990">ifs(and(isblank($A990),isblank($B990)),"", not(iserror(vlookup($A990&amp;$B990,'5) Release_Track'!$F:$F&amp;'5) Release_Track'!$G:$G,1,0))),vlookup($A990&amp;$B990,{'5) Release_Track'!$F:$F&amp;'5) Release_Track'!$G:$G,'5) Release_Track'!$I:$I},2,0),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E990" s="92"/>
      <c r="F990" s="92"/>
      <c r="G990" s="125" t="str">
        <f t="array" ref="G990">ifs(or($F990="",$F990="Main Primary Artist"),$F990,not(iserror(vlookup($F990,'Reference info'!$J$5:$J$8,1,0))),"Key Artist",not(iserror(vlookup($F990,'Reference info'!$J$38:$J$405,1,0))),"Performer",not(iserror(vlookup($F990,'Reference info'!$J$10:$J$36,1,0))),"Producer &amp; Engineer")</f>
        <v/>
      </c>
    </row>
    <row r="991">
      <c r="B991" s="97"/>
      <c r="C991" s="121" t="str">
        <f t="array" ref="C991">ifs(and(isblank($A991),isblank($B991)),"", not(iserror(vlookup($A991&amp;$B991,'5) Release_Track'!$F:$F&amp;'5) Release_Track'!$G:$G,1,0))),vlookup($A991&amp;$B991,{'5) Release_Track'!$F:$F&amp;'5) Release_Track'!$G:$G,'5) Release_Track'!$H:$H},2,0),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D991" s="121" t="str">
        <f t="array" ref="D991">ifs(and(isblank($A991),isblank($B991)),"", not(iserror(vlookup($A991&amp;$B991,'5) Release_Track'!$F:$F&amp;'5) Release_Track'!$G:$G,1,0))),vlookup($A991&amp;$B991,{'5) Release_Track'!$F:$F&amp;'5) Release_Track'!$G:$G,'5) Release_Track'!$I:$I},2,0),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E991" s="92"/>
      <c r="F991" s="92"/>
      <c r="G991" s="125" t="str">
        <f t="array" ref="G991">ifs(or($F991="",$F991="Main Primary Artist"),$F991,not(iserror(vlookup($F991,'Reference info'!$J$5:$J$8,1,0))),"Key Artist",not(iserror(vlookup($F991,'Reference info'!$J$38:$J$405,1,0))),"Performer",not(iserror(vlookup($F991,'Reference info'!$J$10:$J$36,1,0))),"Producer &amp; Engineer")</f>
        <v/>
      </c>
    </row>
    <row r="992">
      <c r="B992" s="97"/>
      <c r="C992" s="121" t="str">
        <f t="array" ref="C992">ifs(and(isblank($A992),isblank($B992)),"", not(iserror(vlookup($A992&amp;$B992,'5) Release_Track'!$F:$F&amp;'5) Release_Track'!$G:$G,1,0))),vlookup($A992&amp;$B992,{'5) Release_Track'!$F:$F&amp;'5) Release_Track'!$G:$G,'5) Release_Track'!$H:$H},2,0),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D992" s="121" t="str">
        <f t="array" ref="D992">ifs(and(isblank($A992),isblank($B992)),"", not(iserror(vlookup($A992&amp;$B992,'5) Release_Track'!$F:$F&amp;'5) Release_Track'!$G:$G,1,0))),vlookup($A992&amp;$B992,{'5) Release_Track'!$F:$F&amp;'5) Release_Track'!$G:$G,'5) Release_Track'!$I:$I},2,0),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E992" s="92"/>
      <c r="F992" s="92"/>
      <c r="G992" s="125" t="str">
        <f t="array" ref="G992">ifs(or($F992="",$F992="Main Primary Artist"),$F992,not(iserror(vlookup($F992,'Reference info'!$J$5:$J$8,1,0))),"Key Artist",not(iserror(vlookup($F992,'Reference info'!$J$38:$J$405,1,0))),"Performer",not(iserror(vlookup($F992,'Reference info'!$J$10:$J$36,1,0))),"Producer &amp; Engineer")</f>
        <v/>
      </c>
    </row>
    <row r="993">
      <c r="B993" s="97"/>
      <c r="C993" s="121" t="str">
        <f t="array" ref="C993">ifs(and(isblank($A993),isblank($B993)),"", not(iserror(vlookup($A993&amp;$B993,'5) Release_Track'!$F:$F&amp;'5) Release_Track'!$G:$G,1,0))),vlookup($A993&amp;$B993,{'5) Release_Track'!$F:$F&amp;'5) Release_Track'!$G:$G,'5) Release_Track'!$H:$H},2,0),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D993" s="121" t="str">
        <f t="array" ref="D993">ifs(and(isblank($A993),isblank($B993)),"", not(iserror(vlookup($A993&amp;$B993,'5) Release_Track'!$F:$F&amp;'5) Release_Track'!$G:$G,1,0))),vlookup($A993&amp;$B993,{'5) Release_Track'!$F:$F&amp;'5) Release_Track'!$G:$G,'5) Release_Track'!$I:$I},2,0),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E993" s="92"/>
      <c r="F993" s="92"/>
      <c r="G993" s="125" t="str">
        <f t="array" ref="G993">ifs(or($F993="",$F993="Main Primary Artist"),$F993,not(iserror(vlookup($F993,'Reference info'!$J$5:$J$8,1,0))),"Key Artist",not(iserror(vlookup($F993,'Reference info'!$J$38:$J$405,1,0))),"Performer",not(iserror(vlookup($F993,'Reference info'!$J$10:$J$36,1,0))),"Producer &amp; Engineer")</f>
        <v/>
      </c>
    </row>
    <row r="994">
      <c r="B994" s="97"/>
      <c r="C994" s="121" t="str">
        <f t="array" ref="C994">ifs(and(isblank($A994),isblank($B994)),"", not(iserror(vlookup($A994&amp;$B994,'5) Release_Track'!$F:$F&amp;'5) Release_Track'!$G:$G,1,0))),vlookup($A994&amp;$B994,{'5) Release_Track'!$F:$F&amp;'5) Release_Track'!$G:$G,'5) Release_Track'!$H:$H},2,0),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D994" s="121" t="str">
        <f t="array" ref="D994">ifs(and(isblank($A994),isblank($B994)),"", not(iserror(vlookup($A994&amp;$B994,'5) Release_Track'!$F:$F&amp;'5) Release_Track'!$G:$G,1,0))),vlookup($A994&amp;$B994,{'5) Release_Track'!$F:$F&amp;'5) Release_Track'!$G:$G,'5) Release_Track'!$I:$I},2,0),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E994" s="92"/>
      <c r="F994" s="92"/>
      <c r="G994" s="125" t="str">
        <f t="array" ref="G994">ifs(or($F994="",$F994="Main Primary Artist"),$F994,not(iserror(vlookup($F994,'Reference info'!$J$5:$J$8,1,0))),"Key Artist",not(iserror(vlookup($F994,'Reference info'!$J$38:$J$405,1,0))),"Performer",not(iserror(vlookup($F994,'Reference info'!$J$10:$J$36,1,0))),"Producer &amp; Engineer")</f>
        <v/>
      </c>
    </row>
    <row r="995">
      <c r="B995" s="97"/>
      <c r="C995" s="121" t="str">
        <f t="array" ref="C995">ifs(and(isblank($A995),isblank($B995)),"", not(iserror(vlookup($A995&amp;$B995,'5) Release_Track'!$F:$F&amp;'5) Release_Track'!$G:$G,1,0))),vlookup($A995&amp;$B995,{'5) Release_Track'!$F:$F&amp;'5) Release_Track'!$G:$G,'5) Release_Track'!$H:$H},2,0),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D995" s="121" t="str">
        <f t="array" ref="D995">ifs(and(isblank($A995),isblank($B995)),"", not(iserror(vlookup($A995&amp;$B995,'5) Release_Track'!$F:$F&amp;'5) Release_Track'!$G:$G,1,0))),vlookup($A995&amp;$B995,{'5) Release_Track'!$F:$F&amp;'5) Release_Track'!$G:$G,'5) Release_Track'!$I:$I},2,0),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E995" s="92"/>
      <c r="F995" s="92"/>
      <c r="G995" s="125" t="str">
        <f t="array" ref="G995">ifs(or($F995="",$F995="Main Primary Artist"),$F995,not(iserror(vlookup($F995,'Reference info'!$J$5:$J$8,1,0))),"Key Artist",not(iserror(vlookup($F995,'Reference info'!$J$38:$J$405,1,0))),"Performer",not(iserror(vlookup($F995,'Reference info'!$J$10:$J$36,1,0))),"Producer &amp; Engineer")</f>
        <v/>
      </c>
    </row>
    <row r="996">
      <c r="B996" s="97"/>
      <c r="C996" s="121" t="str">
        <f t="array" ref="C996">ifs(and(isblank($A996),isblank($B996)),"", not(iserror(vlookup($A996&amp;$B996,'5) Release_Track'!$F:$F&amp;'5) Release_Track'!$G:$G,1,0))),vlookup($A996&amp;$B996,{'5) Release_Track'!$F:$F&amp;'5) Release_Track'!$G:$G,'5) Release_Track'!$H:$H},2,0),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D996" s="121" t="str">
        <f t="array" ref="D996">ifs(and(isblank($A996),isblank($B996)),"", not(iserror(vlookup($A996&amp;$B996,'5) Release_Track'!$F:$F&amp;'5) Release_Track'!$G:$G,1,0))),vlookup($A996&amp;$B996,{'5) Release_Track'!$F:$F&amp;'5) Release_Track'!$G:$G,'5) Release_Track'!$I:$I},2,0),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E996" s="92"/>
      <c r="F996" s="92"/>
      <c r="G996" s="125" t="str">
        <f t="array" ref="G996">ifs(or($F996="",$F996="Main Primary Artist"),$F996,not(iserror(vlookup($F996,'Reference info'!$J$5:$J$8,1,0))),"Key Artist",not(iserror(vlookup($F996,'Reference info'!$J$38:$J$405,1,0))),"Performer",not(iserror(vlookup($F996,'Reference info'!$J$10:$J$36,1,0))),"Producer &amp; Engineer")</f>
        <v/>
      </c>
    </row>
    <row r="997">
      <c r="B997" s="97"/>
      <c r="C997" s="121" t="str">
        <f t="array" ref="C997">ifs(and(isblank($A997),isblank($B997)),"", not(iserror(vlookup($A997&amp;$B997,'5) Release_Track'!$F:$F&amp;'5) Release_Track'!$G:$G,1,0))),vlookup($A997&amp;$B997,{'5) Release_Track'!$F:$F&amp;'5) Release_Track'!$G:$G,'5) Release_Track'!$H:$H},2,0),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D997" s="121" t="str">
        <f t="array" ref="D997">ifs(and(isblank($A997),isblank($B997)),"", not(iserror(vlookup($A997&amp;$B997,'5) Release_Track'!$F:$F&amp;'5) Release_Track'!$G:$G,1,0))),vlookup($A997&amp;$B997,{'5) Release_Track'!$F:$F&amp;'5) Release_Track'!$G:$G,'5) Release_Track'!$I:$I},2,0),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E997" s="92"/>
      <c r="F997" s="92"/>
      <c r="G997" s="125" t="str">
        <f t="array" ref="G997">ifs(or($F997="",$F997="Main Primary Artist"),$F997,not(iserror(vlookup($F997,'Reference info'!$J$5:$J$8,1,0))),"Key Artist",not(iserror(vlookup($F997,'Reference info'!$J$38:$J$405,1,0))),"Performer",not(iserror(vlookup($F997,'Reference info'!$J$10:$J$36,1,0))),"Producer &amp; Engineer")</f>
        <v/>
      </c>
    </row>
    <row r="998">
      <c r="B998" s="97"/>
      <c r="C998" s="121" t="str">
        <f t="array" ref="C998">ifs(and(isblank($A998),isblank($B998)),"", not(iserror(vlookup($A998&amp;$B998,'5) Release_Track'!$F:$F&amp;'5) Release_Track'!$G:$G,1,0))),vlookup($A998&amp;$B998,{'5) Release_Track'!$F:$F&amp;'5) Release_Track'!$G:$G,'5) Release_Track'!$H:$H},2,0),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D998" s="121" t="str">
        <f t="array" ref="D998">ifs(and(isblank($A998),isblank($B998)),"", not(iserror(vlookup($A998&amp;$B998,'5) Release_Track'!$F:$F&amp;'5) Release_Track'!$G:$G,1,0))),vlookup($A998&amp;$B998,{'5) Release_Track'!$F:$F&amp;'5) Release_Track'!$G:$G,'5) Release_Track'!$I:$I},2,0),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E998" s="92"/>
      <c r="F998" s="92"/>
      <c r="G998" s="125" t="str">
        <f t="array" ref="G998">ifs(or($F998="",$F998="Main Primary Artist"),$F998,not(iserror(vlookup($F998,'Reference info'!$J$5:$J$8,1,0))),"Key Artist",not(iserror(vlookup($F998,'Reference info'!$J$38:$J$405,1,0))),"Performer",not(iserror(vlookup($F998,'Reference info'!$J$10:$J$36,1,0))),"Producer &amp; Engineer")</f>
        <v/>
      </c>
    </row>
    <row r="999">
      <c r="B999" s="97"/>
      <c r="C999" s="121" t="str">
        <f t="array" ref="C999">ifs(and(isblank($A999),isblank($B999)),"", not(iserror(vlookup($A999&amp;$B999,'5) Release_Track'!$F:$F&amp;'5) Release_Track'!$G:$G,1,0))),vlookup($A999&amp;$B999,{'5) Release_Track'!$F:$F&amp;'5) Release_Track'!$G:$G,'5) Release_Track'!$H:$H},2,0),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D999" s="121" t="str">
        <f t="array" ref="D999">ifs(and(isblank($A999),isblank($B999)),"", not(iserror(vlookup($A999&amp;$B999,'5) Release_Track'!$F:$F&amp;'5) Release_Track'!$G:$G,1,0))),vlookup($A999&amp;$B999,{'5) Release_Track'!$F:$F&amp;'5) Release_Track'!$G:$G,'5) Release_Track'!$I:$I},2,0),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E999" s="92"/>
      <c r="F999" s="92"/>
      <c r="G999" s="125" t="str">
        <f t="array" ref="G999">ifs(or($F999="",$F999="Main Primary Artist"),$F999,not(iserror(vlookup($F999,'Reference info'!$J$5:$J$8,1,0))),"Key Artist",not(iserror(vlookup($F999,'Reference info'!$J$38:$J$405,1,0))),"Performer",not(iserror(vlookup($F999,'Reference info'!$J$10:$J$36,1,0))),"Producer &amp; Engineer")</f>
        <v/>
      </c>
    </row>
    <row r="1000">
      <c r="B1000" s="97"/>
      <c r="C1000" s="121" t="str">
        <f t="array" ref="C1000">ifs(and(isblank($A1000),isblank($B1000)),"", not(iserror(vlookup($A1000&amp;$B1000,'5) Release_Track'!$F:$F&amp;'5) Release_Track'!$G:$G,1,0))),vlookup($A1000&amp;$B1000,{'5) Release_Track'!$F:$F&amp;'5) Release_Track'!$G:$G,'5) Release_Track'!$H:$H},2,0),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D1000" s="121" t="str">
        <f t="array" ref="D1000">ifs(and(isblank($A1000),isblank($B1000)),"", not(iserror(vlookup($A1000&amp;$B1000,'5) Release_Track'!$F:$F&amp;'5) Release_Track'!$G:$G,1,0))),vlookup($A1000&amp;$B1000,{'5) Release_Track'!$F:$F&amp;'5) Release_Track'!$G:$G,'5) Release_Track'!$I:$I},2,0),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E1000" s="92"/>
      <c r="F1000" s="92"/>
      <c r="G1000" s="125" t="str">
        <f t="array" ref="G1000">ifs(or($F1000="",$F1000="Main Primary Artist"),$F1000,not(iserror(vlookup($F1000,'Reference info'!$J$5:$J$8,1,0))),"Key Artist",not(iserror(vlookup($F1000,'Reference info'!$J$38:$J$405,1,0))),"Performer",not(iserror(vlookup($F1000,'Reference info'!$J$10:$J$36,1,0))),"Producer &amp; Engineer")</f>
        <v/>
      </c>
    </row>
    <row r="1001">
      <c r="B1001" s="97"/>
      <c r="C1001" s="121" t="str">
        <f t="array" ref="C1001">ifs(and(isblank($A1001),isblank($B1001)),"", not(iserror(vlookup($A1001&amp;$B1001,'5) Release_Track'!$F:$F&amp;'5) Release_Track'!$G:$G,1,0))),vlookup($A1001&amp;$B1001,{'5) Release_Track'!$F:$F&amp;'5) Release_Track'!$G:$G,'5) Release_Track'!$H:$H},2,0),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D1001" s="121" t="str">
        <f t="array" ref="D1001">ifs(and(isblank($A1001),isblank($B1001)),"", not(iserror(vlookup($A1001&amp;$B1001,'5) Release_Track'!$F:$F&amp;'5) Release_Track'!$G:$G,1,0))),vlookup($A1001&amp;$B1001,{'5) Release_Track'!$F:$F&amp;'5) Release_Track'!$G:$G,'5) Release_Track'!$I:$I},2,0),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E1001" s="92"/>
      <c r="F1001" s="92"/>
      <c r="G1001" s="125" t="str">
        <f t="array" ref="G1001">ifs(or($F1001="",$F1001="Main Primary Artist"),$F1001,not(iserror(vlookup($F1001,'Reference info'!$J$5:$J$8,1,0))),"Key Artist",not(iserror(vlookup($F1001,'Reference info'!$J$38:$J$405,1,0))),"Performer",not(iserror(vlookup($F1001,'Reference info'!$J$10:$J$36,1,0))),"Producer &amp; Engineer")</f>
        <v/>
      </c>
    </row>
    <row r="1002">
      <c r="B1002" s="97"/>
      <c r="C1002" s="121" t="str">
        <f t="array" ref="C1002">ifs(and(isblank($A1002),isblank($B1002)),"", not(iserror(vlookup($A1002&amp;$B1002,'5) Release_Track'!$F:$F&amp;'5) Release_Track'!$G:$G,1,0))),vlookup($A1002&amp;$B1002,{'5) Release_Track'!$F:$F&amp;'5) Release_Track'!$G:$G,'5) Release_Track'!$H:$H},2,0),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D1002" s="121" t="str">
        <f t="array" ref="D1002">ifs(and(isblank($A1002),isblank($B1002)),"", not(iserror(vlookup($A1002&amp;$B1002,'5) Release_Track'!$F:$F&amp;'5) Release_Track'!$G:$G,1,0))),vlookup($A1002&amp;$B1002,{'5) Release_Track'!$F:$F&amp;'5) Release_Track'!$G:$G,'5) Release_Track'!$I:$I},2,0),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E1002" s="92"/>
      <c r="F1002" s="92"/>
      <c r="G1002" s="125" t="str">
        <f t="array" ref="G1002">ifs(or($F1002="",$F1002="Main Primary Artist"),$F1002,not(iserror(vlookup($F1002,'Reference info'!$J$5:$J$8,1,0))),"Key Artist",not(iserror(vlookup($F1002,'Reference info'!$J$38:$J$405,1,0))),"Performer",not(iserror(vlookup($F1002,'Reference info'!$J$10:$J$36,1,0))),"Producer &amp; Engineer")</f>
        <v/>
      </c>
    </row>
    <row r="1003">
      <c r="B1003" s="97"/>
      <c r="C1003" s="121" t="str">
        <f t="array" ref="C1003">ifs(and(isblank($A1003),isblank($B1003)),"", not(iserror(vlookup($A1003&amp;$B1003,'5) Release_Track'!$F:$F&amp;'5) Release_Track'!$G:$G,1,0))),vlookup($A1003&amp;$B1003,{'5) Release_Track'!$F:$F&amp;'5) Release_Track'!$G:$G,'5) Release_Track'!$H:$H},2,0),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D1003" s="121" t="str">
        <f t="array" ref="D1003">ifs(and(isblank($A1003),isblank($B1003)),"", not(iserror(vlookup($A1003&amp;$B1003,'5) Release_Track'!$F:$F&amp;'5) Release_Track'!$G:$G,1,0))),vlookup($A1003&amp;$B1003,{'5) Release_Track'!$F:$F&amp;'5) Release_Track'!$G:$G,'5) Release_Track'!$I:$I},2,0),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E1003" s="92"/>
      <c r="F1003" s="92"/>
      <c r="G1003" s="125" t="str">
        <f t="array" ref="G1003">ifs(or($F1003="",$F1003="Main Primary Artist"),$F1003,not(iserror(vlookup($F1003,'Reference info'!$J$5:$J$8,1,0))),"Key Artist",not(iserror(vlookup($F1003,'Reference info'!$J$38:$J$405,1,0))),"Performer",not(iserror(vlookup($F1003,'Reference info'!$J$10:$J$36,1,0))),"Producer &amp; Engineer")</f>
        <v/>
      </c>
    </row>
    <row r="1004">
      <c r="B1004" s="97"/>
      <c r="C1004" s="121" t="str">
        <f t="array" ref="C1004">ifs(and(isblank($A1004),isblank($B1004)),"", not(iserror(vlookup($A1004&amp;$B1004,'5) Release_Track'!$F:$F&amp;'5) Release_Track'!$G:$G,1,0))),vlookup($A1004&amp;$B1004,{'5) Release_Track'!$F:$F&amp;'5) Release_Track'!$G:$G,'5) Release_Track'!$H:$H},2,0), or(and(not(isblank($B1004)),$B1004=$B1003,$A1004&lt;&gt;$A1003),and(not(isblank($A1004)),$A1004=$A1003,$B1004&lt;&gt;$B1003)),"ID LISTS UNALIGNED",and($A1004&lt;&gt;"",countif('5) Release_Track'!$F:$F,$A1004)=0),"NO ISRC MATCH in Release_Track",and($B1004&lt;&gt;"",countif('5) Release_Track'!$G:$G,$B1004)=0),"NO CATALOG ID MATCH in Release_Track",iserror(vlookup($A1004&amp;$B1004,'5) Release_Track'!$F:$F&amp;'5) Release_Track'!$G:$G,1,0)),"NO ISRC-CATALOG ID pair MATCH in Release_Track" )</f>
        <v/>
      </c>
      <c r="D1004" s="121" t="str">
        <f t="array" ref="D1004">ifs(and(isblank($A1004),isblank($B1004)),"", not(iserror(vlookup($A1004&amp;$B1004,'5) Release_Track'!$F:$F&amp;'5) Release_Track'!$G:$G,1,0))),vlookup($A1004&amp;$B1004,{'5) Release_Track'!$F:$F&amp;'5) Release_Track'!$G:$G,'5) Release_Track'!$I:$I},2,0), or(and(not(isblank($B1004)),$B1004=$B1003,$A1004&lt;&gt;$A1003),and(not(isblank($A1004)),$A1004=$A1003,$B1004&lt;&gt;$B1003)),"ID LISTS UNALIGNED",and($A1004&lt;&gt;"",countif('5) Release_Track'!$F:$F,$A1004)=0),"NO ISRC MATCH in Release_Track",and($B1004&lt;&gt;"",countif('5) Release_Track'!$G:$G,$B1004)=0),"NO CATALOG ID MATCH in Release_Track",iserror(vlookup($A1004&amp;$B1004,'5) Release_Track'!$F:$F&amp;'5) Release_Track'!$G:$G,1,0)),"NO ISRC-CATALOG ID pair MATCH in Release_Track" )</f>
        <v/>
      </c>
      <c r="E1004" s="92"/>
      <c r="F1004" s="92"/>
      <c r="G1004" s="125" t="str">
        <f t="array" ref="G1004">ifs(or($F1004="",$F1004="Main Primary Artist"),$F1004,not(iserror(vlookup($F1004,'Reference info'!$J$5:$J$8,1,0))),"Key Artist",not(iserror(vlookup($F1004,'Reference info'!$J$38:$J$405,1,0))),"Performer",not(iserror(vlookup($F1004,'Reference info'!$J$10:$J$36,1,0))),"Producer &amp; Engineer")</f>
        <v/>
      </c>
    </row>
    <row r="1005">
      <c r="B1005" s="97"/>
      <c r="C1005" s="121" t="str">
        <f t="array" ref="C1005">ifs(and(isblank($A1005),isblank($B1005)),"", not(iserror(vlookup($A1005&amp;$B1005,'5) Release_Track'!$F:$F&amp;'5) Release_Track'!$G:$G,1,0))),vlookup($A1005&amp;$B1005,{'5) Release_Track'!$F:$F&amp;'5) Release_Track'!$G:$G,'5) Release_Track'!$H:$H},2,0), or(and(not(isblank($B1005)),$B1005=$B1004,$A1005&lt;&gt;$A1004),and(not(isblank($A1005)),$A1005=$A1004,$B1005&lt;&gt;$B1004)),"ID LISTS UNALIGNED",and($A1005&lt;&gt;"",countif('5) Release_Track'!$F:$F,$A1005)=0),"NO ISRC MATCH in Release_Track",and($B1005&lt;&gt;"",countif('5) Release_Track'!$G:$G,$B1005)=0),"NO CATALOG ID MATCH in Release_Track",iserror(vlookup($A1005&amp;$B1005,'5) Release_Track'!$F:$F&amp;'5) Release_Track'!$G:$G,1,0)),"NO ISRC-CATALOG ID pair MATCH in Release_Track" )</f>
        <v/>
      </c>
      <c r="D1005" s="121" t="str">
        <f t="array" ref="D1005">ifs(and(isblank($A1005),isblank($B1005)),"", not(iserror(vlookup($A1005&amp;$B1005,'5) Release_Track'!$F:$F&amp;'5) Release_Track'!$G:$G,1,0))),vlookup($A1005&amp;$B1005,{'5) Release_Track'!$F:$F&amp;'5) Release_Track'!$G:$G,'5) Release_Track'!$I:$I},2,0), or(and(not(isblank($B1005)),$B1005=$B1004,$A1005&lt;&gt;$A1004),and(not(isblank($A1005)),$A1005=$A1004,$B1005&lt;&gt;$B1004)),"ID LISTS UNALIGNED",and($A1005&lt;&gt;"",countif('5) Release_Track'!$F:$F,$A1005)=0),"NO ISRC MATCH in Release_Track",and($B1005&lt;&gt;"",countif('5) Release_Track'!$G:$G,$B1005)=0),"NO CATALOG ID MATCH in Release_Track",iserror(vlookup($A1005&amp;$B1005,'5) Release_Track'!$F:$F&amp;'5) Release_Track'!$G:$G,1,0)),"NO ISRC-CATALOG ID pair MATCH in Release_Track" )</f>
        <v/>
      </c>
      <c r="E1005" s="92"/>
      <c r="F1005" s="92"/>
      <c r="G1005" s="125" t="str">
        <f t="array" ref="G1005">ifs(or($F1005="",$F1005="Main Primary Artist"),$F1005,not(iserror(vlookup($F1005,'Reference info'!$J$5:$J$8,1,0))),"Key Artist",not(iserror(vlookup($F1005,'Reference info'!$J$38:$J$405,1,0))),"Performer",not(iserror(vlookup($F1005,'Reference info'!$J$10:$J$36,1,0))),"Producer &amp; Engineer")</f>
        <v/>
      </c>
    </row>
  </sheetData>
  <mergeCells count="1">
    <mergeCell ref="C4:D4"/>
  </mergeCells>
  <conditionalFormatting sqref="A1:B1 G1 H3 H4">
    <cfRule type="cellIs" dxfId="3" priority="1" operator="notEqual">
      <formula>0</formula>
    </cfRule>
  </conditionalFormatting>
  <conditionalFormatting sqref="E5:E1005">
    <cfRule type="expression" dxfId="0" priority="2">
      <formula>or(E5="Various Artists", and(or(A5&lt;&gt;"",B5&lt;&gt;""),isblank(E5)),and(E5&lt;&gt;"", iserror(match(E5,indirect("'1) Artists list'!a:a"),0))))</formula>
    </cfRule>
  </conditionalFormatting>
  <conditionalFormatting sqref="F5:F1005">
    <cfRule type="expression" dxfId="0" priority="3">
      <formula>or(and(or(A5&lt;&gt;"",B5&lt;&gt;""),isblank(F5)),and(F5&lt;&gt;"", iserror(match(F5,indirect("'Reference info'!j:j"),0))))</formula>
    </cfRule>
  </conditionalFormatting>
  <conditionalFormatting sqref="F5:F1005">
    <cfRule type="expression" dxfId="3" priority="4">
      <formula>or(and(A5&lt;&gt;"",A5=A6,F5="Main Primary Artist",F5=F6),and(B5&lt;&gt;"",B5=B6,F5="Main Primary Artist",F5=F6),and(A5&lt;&gt;"",A5=A4,F5="Main Primary Artist",F5=F4),and(B5&lt;&gt;"",B5=B4,F5="Main Primary Artist",F5=F4))</formula>
    </cfRule>
  </conditionalFormatting>
  <conditionalFormatting sqref="A5:A1005">
    <cfRule type="expression" dxfId="5" priority="5">
      <formula>and(A5&lt;&gt;"",B5&lt;&gt;"",countif(A:A,A5)&lt;&gt;countif(B:B,B5))</formula>
    </cfRule>
  </conditionalFormatting>
  <conditionalFormatting sqref="B5:B1005">
    <cfRule type="expression" dxfId="5" priority="6">
      <formula>and(A5&lt;&gt;"",B5&lt;&gt;"",countif(A:A,A5)&lt;&gt;countif(B:B,B5))</formula>
    </cfRule>
  </conditionalFormatting>
  <conditionalFormatting sqref="A5:A1005">
    <cfRule type="expression" dxfId="3" priority="7">
      <formula>COUNTIFS($A$5:A1005, A5, $F$5:F1005, "Main Primary Artist") &gt; 1</formula>
    </cfRule>
  </conditionalFormatting>
  <conditionalFormatting sqref="B5:B1005">
    <cfRule type="expression" dxfId="3" priority="8">
      <formula>COUNTIFS($B$5:B1005, B5, $F$5:F1005, "Main Primary Artist") &gt; 1</formula>
    </cfRule>
  </conditionalFormatting>
  <conditionalFormatting sqref="A5:A1005">
    <cfRule type="expression" dxfId="3" priority="9">
      <formula>OR(AND(A5&lt;&gt;"", COUNTIFS($A$5:A1005, A5, $G$5:G1005, "Producer &amp; Engineer") = 0), AND(A5&lt;&gt;"", COUNTIFS($A$5:A1005, A5, $G$5:G1005, "Performer") = 0))</formula>
    </cfRule>
  </conditionalFormatting>
  <conditionalFormatting sqref="B5:B1005">
    <cfRule type="expression" dxfId="3" priority="10">
      <formula>OR(AND(B5&lt;&gt;"", COUNTIFS($B$5:B1005, B5, $G$5:G1005, "Producer &amp; Engineer") = 0), AND(B5&lt;&gt;"", COUNTIFS($B$5:B1005, B5, $G$5:G1005, "Performer") = 0))</formula>
    </cfRule>
  </conditionalFormatting>
  <dataValidations>
    <dataValidation type="list" allowBlank="1" showInputMessage="1" showErrorMessage="1" prompt="select from list, type or drag. Each release MUST have only ONE Artist assigned the 'Primary - Top' role." sqref="F5:F10">
      <formula1>ArtistRole</formula1>
    </dataValidation>
    <dataValidation type="custom" allowBlank="1" showDropDown="1" showInputMessage="1" showErrorMessage="1" prompt="must contain 2 letters, 3 character minimum, 20 character maximum, alphanumeric ONLY (letter or number; no dashes, spaces, punctuation marks, etc.)" sqref="B5:B1005">
      <formula1>and(regexmatch(B5,"^[a-zA-Z0-9]*$"), len(B5)&gt;=3, len(B5)&lt;=20)</formula1>
    </dataValidation>
    <dataValidation type="list" allowBlank="1" showInputMessage="1" showErrorMessage="1" prompt="select from Artists list, start typing or drag" sqref="E11:E1005">
      <formula1>Artist</formula1>
    </dataValidation>
    <dataValidation type="list" allowBlank="1" showInputMessage="1" showErrorMessage="1" prompt="select from Artists list, start typing or drag" sqref="E5:E10">
      <formula1>Artist</formula1>
    </dataValidation>
    <dataValidation type="list" allowBlank="1" showInputMessage="1" showErrorMessage="1" prompt="Click and enter a value from range" sqref="F11:F1005">
      <formula1>ArtistRole</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0.63"/>
    <col customWidth="1" min="2" max="2" width="15.88"/>
    <col customWidth="1" min="3" max="3" width="17.0"/>
    <col customWidth="1" min="7" max="7" width="38.0"/>
    <col customWidth="1" min="8" max="8" width="18.5"/>
  </cols>
  <sheetData>
    <row r="1">
      <c r="A1" s="14" t="s">
        <v>155</v>
      </c>
      <c r="B1" s="18">
        <f>IFERROR(__xludf.DUMMYFUNCTION("COUNTUNIQUE(B5:B1001)"),1.0)</f>
        <v>1</v>
      </c>
      <c r="C1" s="47"/>
      <c r="D1" s="18">
        <f>IFERROR(__xludf.DUMMYFUNCTION("COUNTUNIQUE(D5:D1001)"),1.0)</f>
        <v>1</v>
      </c>
      <c r="E1" s="13">
        <f>IFERROR(__xludf.DUMMYFUNCTION("COUNTUNIQUE(A5:A1001)"),2.0)</f>
        <v>2</v>
      </c>
      <c r="G1" s="14" t="s">
        <v>156</v>
      </c>
      <c r="H1" s="47"/>
      <c r="I1" s="18">
        <f>IFERROR(__xludf.DUMMYFUNCTION("COUNTUNIQUE(I5:I1001)"),1.0)</f>
        <v>1</v>
      </c>
      <c r="J1" s="13">
        <f>IFERROR(__xludf.DUMMYFUNCTION("COUNTUNIQUE(G5:G1001)"),2.0)</f>
        <v>2</v>
      </c>
    </row>
    <row r="2">
      <c r="A2" s="21" t="s">
        <v>27</v>
      </c>
      <c r="B2" s="26"/>
      <c r="C2" s="161" t="s">
        <v>58</v>
      </c>
      <c r="D2" s="70"/>
      <c r="E2" s="16" t="s">
        <v>38</v>
      </c>
      <c r="G2" s="162" t="s">
        <v>29</v>
      </c>
      <c r="H2" s="163"/>
      <c r="I2" s="53" t="s">
        <v>58</v>
      </c>
      <c r="J2" s="16" t="s">
        <v>38</v>
      </c>
    </row>
    <row r="3">
      <c r="A3" s="109" t="s">
        <v>157</v>
      </c>
      <c r="B3" s="33" t="s">
        <v>37</v>
      </c>
      <c r="C3" s="164" t="s">
        <v>158</v>
      </c>
      <c r="D3" s="164" t="s">
        <v>159</v>
      </c>
      <c r="E3" s="51">
        <f>IFERROR(__xludf.DUMMYFUNCTION("counta(A5:A1001)-COUNTUNIQUE(A5:A1001)"),0.0)</f>
        <v>0</v>
      </c>
      <c r="G3" s="129" t="s">
        <v>160</v>
      </c>
      <c r="H3" s="32" t="s">
        <v>161</v>
      </c>
      <c r="I3" s="164" t="s">
        <v>159</v>
      </c>
      <c r="J3" s="51">
        <f>IFERROR(__xludf.DUMMYFUNCTION("counta(G5:G1001)-COUNTUNIQUE(G5:G1001)"),0.0)</f>
        <v>0</v>
      </c>
    </row>
    <row r="4">
      <c r="A4" s="165" t="s">
        <v>162</v>
      </c>
      <c r="B4" s="41"/>
      <c r="C4" s="166" t="s">
        <v>82</v>
      </c>
      <c r="D4" s="26"/>
      <c r="G4" s="77" t="s">
        <v>163</v>
      </c>
      <c r="H4" s="136" t="s">
        <v>82</v>
      </c>
      <c r="I4" s="26"/>
    </row>
    <row r="5">
      <c r="A5" s="8" t="s">
        <v>164</v>
      </c>
      <c r="B5" s="84" t="s">
        <v>48</v>
      </c>
      <c r="C5" s="8" t="s">
        <v>165</v>
      </c>
      <c r="D5" s="84" t="s">
        <v>166</v>
      </c>
      <c r="G5" s="8" t="s">
        <v>167</v>
      </c>
      <c r="H5" s="8" t="s">
        <v>165</v>
      </c>
      <c r="I5" s="84" t="s">
        <v>168</v>
      </c>
      <c r="K5" s="167"/>
      <c r="L5" s="34"/>
    </row>
    <row r="6">
      <c r="A6" s="8" t="s">
        <v>169</v>
      </c>
      <c r="B6" s="34"/>
      <c r="C6" s="92"/>
      <c r="D6" s="34"/>
      <c r="G6" s="8" t="s">
        <v>170</v>
      </c>
      <c r="H6" s="92"/>
      <c r="I6" s="34"/>
    </row>
    <row r="7">
      <c r="B7" s="34"/>
      <c r="C7" s="92"/>
      <c r="D7" s="34"/>
      <c r="H7" s="92"/>
      <c r="I7" s="34"/>
    </row>
    <row r="8">
      <c r="B8" s="34"/>
      <c r="C8" s="92"/>
      <c r="D8" s="34"/>
      <c r="H8" s="92"/>
      <c r="I8" s="34"/>
    </row>
    <row r="9">
      <c r="B9" s="34"/>
      <c r="C9" s="92"/>
      <c r="D9" s="34"/>
      <c r="H9" s="92"/>
      <c r="I9" s="34"/>
    </row>
    <row r="10">
      <c r="B10" s="34"/>
      <c r="C10" s="92"/>
      <c r="D10" s="34"/>
      <c r="H10" s="92"/>
      <c r="I10" s="34"/>
    </row>
    <row r="11">
      <c r="B11" s="34"/>
      <c r="C11" s="92"/>
      <c r="D11" s="34"/>
      <c r="H11" s="92"/>
      <c r="I11" s="34"/>
    </row>
    <row r="12">
      <c r="B12" s="34"/>
      <c r="C12" s="92"/>
      <c r="D12" s="34"/>
      <c r="H12" s="92"/>
      <c r="I12" s="34"/>
    </row>
    <row r="13">
      <c r="B13" s="34"/>
      <c r="C13" s="92"/>
      <c r="D13" s="34"/>
      <c r="H13" s="92"/>
      <c r="I13" s="34"/>
    </row>
    <row r="14">
      <c r="B14" s="34"/>
      <c r="C14" s="92"/>
      <c r="D14" s="34"/>
      <c r="H14" s="92"/>
      <c r="I14" s="34"/>
    </row>
    <row r="15">
      <c r="B15" s="34"/>
      <c r="C15" s="92"/>
      <c r="D15" s="34"/>
      <c r="H15" s="92"/>
      <c r="I15" s="34"/>
    </row>
    <row r="16">
      <c r="B16" s="34"/>
      <c r="C16" s="92"/>
      <c r="D16" s="34"/>
      <c r="H16" s="92"/>
      <c r="I16" s="34"/>
    </row>
    <row r="17">
      <c r="B17" s="34"/>
      <c r="C17" s="92"/>
      <c r="D17" s="34"/>
      <c r="H17" s="92"/>
      <c r="I17" s="34"/>
    </row>
    <row r="18">
      <c r="B18" s="34"/>
      <c r="C18" s="92"/>
      <c r="D18" s="34"/>
      <c r="H18" s="92"/>
      <c r="I18" s="34"/>
    </row>
    <row r="19">
      <c r="B19" s="34"/>
      <c r="C19" s="92"/>
      <c r="D19" s="34"/>
      <c r="H19" s="92"/>
      <c r="I19" s="34"/>
    </row>
    <row r="20">
      <c r="B20" s="34"/>
      <c r="C20" s="92"/>
      <c r="D20" s="34"/>
      <c r="H20" s="92"/>
      <c r="I20" s="34"/>
    </row>
    <row r="21">
      <c r="B21" s="34"/>
      <c r="C21" s="92"/>
      <c r="D21" s="34"/>
      <c r="H21" s="92"/>
      <c r="I21" s="34"/>
    </row>
    <row r="22">
      <c r="B22" s="34"/>
      <c r="C22" s="92"/>
      <c r="D22" s="34"/>
      <c r="H22" s="92"/>
      <c r="I22" s="34"/>
    </row>
    <row r="23">
      <c r="B23" s="34"/>
      <c r="C23" s="92"/>
      <c r="D23" s="34"/>
      <c r="H23" s="92"/>
      <c r="I23" s="34"/>
    </row>
    <row r="24">
      <c r="B24" s="34"/>
      <c r="C24" s="92"/>
      <c r="D24" s="34"/>
      <c r="H24" s="92"/>
      <c r="I24" s="34"/>
    </row>
    <row r="25">
      <c r="B25" s="34"/>
      <c r="C25" s="92"/>
      <c r="D25" s="34"/>
      <c r="H25" s="92"/>
      <c r="I25" s="34"/>
    </row>
    <row r="26">
      <c r="B26" s="34"/>
      <c r="C26" s="92"/>
      <c r="D26" s="34"/>
      <c r="H26" s="92"/>
      <c r="I26" s="34"/>
    </row>
    <row r="27">
      <c r="B27" s="34"/>
      <c r="C27" s="92"/>
      <c r="D27" s="34"/>
      <c r="H27" s="92"/>
      <c r="I27" s="34"/>
    </row>
    <row r="28">
      <c r="B28" s="34"/>
      <c r="C28" s="92"/>
      <c r="D28" s="34"/>
      <c r="H28" s="92"/>
      <c r="I28" s="34"/>
    </row>
    <row r="29">
      <c r="B29" s="34"/>
      <c r="C29" s="92"/>
      <c r="D29" s="34"/>
      <c r="H29" s="92"/>
      <c r="I29" s="34"/>
    </row>
    <row r="30">
      <c r="B30" s="34"/>
      <c r="C30" s="92"/>
      <c r="D30" s="34"/>
      <c r="H30" s="92"/>
      <c r="I30" s="34"/>
    </row>
    <row r="31">
      <c r="B31" s="34"/>
      <c r="C31" s="92"/>
      <c r="D31" s="34"/>
      <c r="H31" s="92"/>
      <c r="I31" s="34"/>
    </row>
    <row r="32">
      <c r="B32" s="34"/>
      <c r="C32" s="92"/>
      <c r="D32" s="34"/>
      <c r="H32" s="92"/>
      <c r="I32" s="34"/>
    </row>
    <row r="33">
      <c r="B33" s="34"/>
      <c r="C33" s="92"/>
      <c r="D33" s="34"/>
      <c r="H33" s="92"/>
      <c r="I33" s="34"/>
    </row>
    <row r="34">
      <c r="B34" s="34"/>
      <c r="C34" s="92"/>
      <c r="D34" s="34"/>
      <c r="H34" s="92"/>
      <c r="I34" s="34"/>
    </row>
    <row r="35">
      <c r="B35" s="34"/>
      <c r="C35" s="92"/>
      <c r="D35" s="34"/>
      <c r="H35" s="92"/>
      <c r="I35" s="34"/>
    </row>
    <row r="36">
      <c r="B36" s="34"/>
      <c r="C36" s="92"/>
      <c r="D36" s="34"/>
      <c r="H36" s="92"/>
      <c r="I36" s="34"/>
    </row>
    <row r="37">
      <c r="B37" s="34"/>
      <c r="C37" s="92"/>
      <c r="D37" s="34"/>
      <c r="H37" s="92"/>
      <c r="I37" s="34"/>
    </row>
    <row r="38">
      <c r="B38" s="34"/>
      <c r="C38" s="92"/>
      <c r="D38" s="34"/>
      <c r="H38" s="92"/>
      <c r="I38" s="34"/>
    </row>
    <row r="39">
      <c r="B39" s="34"/>
      <c r="C39" s="92"/>
      <c r="D39" s="34"/>
      <c r="H39" s="92"/>
      <c r="I39" s="34"/>
    </row>
    <row r="40">
      <c r="B40" s="34"/>
      <c r="C40" s="92"/>
      <c r="D40" s="34"/>
      <c r="H40" s="92"/>
      <c r="I40" s="34"/>
    </row>
    <row r="41">
      <c r="B41" s="34"/>
      <c r="C41" s="92"/>
      <c r="D41" s="34"/>
      <c r="H41" s="92"/>
      <c r="I41" s="34"/>
    </row>
    <row r="42">
      <c r="B42" s="34"/>
      <c r="C42" s="92"/>
      <c r="D42" s="34"/>
      <c r="H42" s="92"/>
      <c r="I42" s="34"/>
    </row>
    <row r="43">
      <c r="B43" s="34"/>
      <c r="C43" s="92"/>
      <c r="D43" s="34"/>
      <c r="H43" s="92"/>
      <c r="I43" s="34"/>
    </row>
    <row r="44">
      <c r="B44" s="34"/>
      <c r="C44" s="92"/>
      <c r="D44" s="34"/>
      <c r="H44" s="92"/>
      <c r="I44" s="34"/>
    </row>
    <row r="45">
      <c r="B45" s="34"/>
      <c r="C45" s="92"/>
      <c r="D45" s="34"/>
      <c r="H45" s="92"/>
      <c r="I45" s="34"/>
    </row>
    <row r="46">
      <c r="B46" s="34"/>
      <c r="C46" s="92"/>
      <c r="D46" s="34"/>
      <c r="H46" s="92"/>
      <c r="I46" s="34"/>
    </row>
    <row r="47">
      <c r="B47" s="34"/>
      <c r="C47" s="92"/>
      <c r="D47" s="34"/>
      <c r="H47" s="92"/>
      <c r="I47" s="34"/>
    </row>
    <row r="48">
      <c r="B48" s="34"/>
      <c r="C48" s="92"/>
      <c r="D48" s="34"/>
      <c r="H48" s="92"/>
      <c r="I48" s="34"/>
    </row>
    <row r="49">
      <c r="B49" s="34"/>
      <c r="C49" s="92"/>
      <c r="D49" s="34"/>
      <c r="H49" s="92"/>
      <c r="I49" s="34"/>
    </row>
    <row r="50">
      <c r="B50" s="34"/>
      <c r="C50" s="92"/>
      <c r="D50" s="34"/>
      <c r="H50" s="92"/>
      <c r="I50" s="34"/>
    </row>
    <row r="51">
      <c r="B51" s="34"/>
      <c r="C51" s="92"/>
      <c r="D51" s="34"/>
      <c r="H51" s="92"/>
      <c r="I51" s="34"/>
    </row>
    <row r="52">
      <c r="B52" s="34"/>
      <c r="C52" s="92"/>
      <c r="D52" s="34"/>
      <c r="H52" s="92"/>
      <c r="I52" s="34"/>
    </row>
    <row r="53">
      <c r="B53" s="34"/>
      <c r="C53" s="92"/>
      <c r="D53" s="34"/>
      <c r="H53" s="92"/>
      <c r="I53" s="34"/>
    </row>
    <row r="54">
      <c r="B54" s="34"/>
      <c r="C54" s="92"/>
      <c r="D54" s="34"/>
      <c r="H54" s="92"/>
      <c r="I54" s="34"/>
    </row>
    <row r="55">
      <c r="B55" s="34"/>
      <c r="C55" s="92"/>
      <c r="D55" s="34"/>
      <c r="H55" s="92"/>
      <c r="I55" s="34"/>
    </row>
    <row r="56">
      <c r="B56" s="34"/>
      <c r="C56" s="92"/>
      <c r="D56" s="34"/>
      <c r="H56" s="92"/>
      <c r="I56" s="34"/>
    </row>
    <row r="57">
      <c r="B57" s="34"/>
      <c r="C57" s="92"/>
      <c r="D57" s="34"/>
      <c r="H57" s="92"/>
      <c r="I57" s="34"/>
    </row>
    <row r="58">
      <c r="B58" s="34"/>
      <c r="C58" s="92"/>
      <c r="D58" s="34"/>
      <c r="H58" s="92"/>
      <c r="I58" s="34"/>
    </row>
    <row r="59">
      <c r="B59" s="34"/>
      <c r="C59" s="92"/>
      <c r="D59" s="34"/>
      <c r="H59" s="92"/>
      <c r="I59" s="34"/>
    </row>
    <row r="60">
      <c r="B60" s="34"/>
      <c r="C60" s="92"/>
      <c r="D60" s="34"/>
      <c r="H60" s="92"/>
      <c r="I60" s="34"/>
    </row>
    <row r="61">
      <c r="B61" s="34"/>
      <c r="C61" s="92"/>
      <c r="D61" s="34"/>
      <c r="H61" s="92"/>
      <c r="I61" s="34"/>
    </row>
    <row r="62">
      <c r="B62" s="34"/>
      <c r="C62" s="92"/>
      <c r="D62" s="34"/>
      <c r="H62" s="92"/>
      <c r="I62" s="34"/>
    </row>
    <row r="63">
      <c r="B63" s="34"/>
      <c r="C63" s="92"/>
      <c r="D63" s="34"/>
      <c r="H63" s="92"/>
      <c r="I63" s="34"/>
    </row>
    <row r="64">
      <c r="B64" s="34"/>
      <c r="C64" s="92"/>
      <c r="D64" s="34"/>
      <c r="H64" s="92"/>
      <c r="I64" s="34"/>
    </row>
    <row r="65">
      <c r="B65" s="34"/>
      <c r="C65" s="92"/>
      <c r="D65" s="34"/>
      <c r="H65" s="92"/>
      <c r="I65" s="34"/>
    </row>
    <row r="66">
      <c r="B66" s="34"/>
      <c r="C66" s="92"/>
      <c r="D66" s="34"/>
      <c r="H66" s="92"/>
      <c r="I66" s="34"/>
    </row>
    <row r="67">
      <c r="B67" s="34"/>
      <c r="C67" s="92"/>
      <c r="D67" s="34"/>
      <c r="H67" s="92"/>
      <c r="I67" s="34"/>
    </row>
    <row r="68">
      <c r="B68" s="34"/>
      <c r="C68" s="92"/>
      <c r="D68" s="34"/>
      <c r="H68" s="92"/>
      <c r="I68" s="34"/>
    </row>
    <row r="69">
      <c r="B69" s="34"/>
      <c r="C69" s="92"/>
      <c r="D69" s="34"/>
      <c r="H69" s="92"/>
      <c r="I69" s="34"/>
    </row>
    <row r="70">
      <c r="B70" s="34"/>
      <c r="C70" s="92"/>
      <c r="D70" s="34"/>
      <c r="H70" s="92"/>
      <c r="I70" s="34"/>
    </row>
    <row r="71">
      <c r="B71" s="34"/>
      <c r="C71" s="92"/>
      <c r="D71" s="34"/>
      <c r="H71" s="92"/>
      <c r="I71" s="34"/>
    </row>
    <row r="72">
      <c r="B72" s="34"/>
      <c r="C72" s="92"/>
      <c r="D72" s="34"/>
      <c r="H72" s="92"/>
      <c r="I72" s="34"/>
    </row>
    <row r="73">
      <c r="B73" s="34"/>
      <c r="C73" s="92"/>
      <c r="D73" s="34"/>
      <c r="H73" s="92"/>
      <c r="I73" s="34"/>
    </row>
    <row r="74">
      <c r="B74" s="34"/>
      <c r="C74" s="92"/>
      <c r="D74" s="34"/>
      <c r="H74" s="92"/>
      <c r="I74" s="34"/>
    </row>
    <row r="75">
      <c r="B75" s="34"/>
      <c r="C75" s="92"/>
      <c r="D75" s="34"/>
      <c r="H75" s="92"/>
      <c r="I75" s="34"/>
    </row>
    <row r="76">
      <c r="B76" s="34"/>
      <c r="C76" s="92"/>
      <c r="D76" s="34"/>
      <c r="H76" s="92"/>
      <c r="I76" s="34"/>
    </row>
    <row r="77">
      <c r="B77" s="34"/>
      <c r="C77" s="92"/>
      <c r="D77" s="34"/>
      <c r="H77" s="92"/>
      <c r="I77" s="34"/>
    </row>
    <row r="78">
      <c r="B78" s="34"/>
      <c r="C78" s="92"/>
      <c r="D78" s="34"/>
      <c r="H78" s="92"/>
      <c r="I78" s="34"/>
    </row>
    <row r="79">
      <c r="B79" s="34"/>
      <c r="C79" s="92"/>
      <c r="D79" s="34"/>
      <c r="H79" s="92"/>
      <c r="I79" s="34"/>
    </row>
    <row r="80">
      <c r="B80" s="34"/>
      <c r="C80" s="92"/>
      <c r="D80" s="34"/>
      <c r="H80" s="92"/>
      <c r="I80" s="34"/>
    </row>
    <row r="81">
      <c r="B81" s="34"/>
      <c r="C81" s="92"/>
      <c r="D81" s="34"/>
      <c r="H81" s="92"/>
      <c r="I81" s="34"/>
    </row>
    <row r="82">
      <c r="B82" s="34"/>
      <c r="C82" s="92"/>
      <c r="D82" s="34"/>
      <c r="H82" s="92"/>
      <c r="I82" s="34"/>
    </row>
    <row r="83">
      <c r="B83" s="34"/>
      <c r="C83" s="92"/>
      <c r="D83" s="34"/>
      <c r="H83" s="92"/>
      <c r="I83" s="34"/>
    </row>
    <row r="84">
      <c r="B84" s="34"/>
      <c r="C84" s="92"/>
      <c r="D84" s="34"/>
      <c r="H84" s="92"/>
      <c r="I84" s="34"/>
    </row>
    <row r="85">
      <c r="B85" s="34"/>
      <c r="C85" s="92"/>
      <c r="D85" s="34"/>
      <c r="H85" s="92"/>
      <c r="I85" s="34"/>
    </row>
    <row r="86">
      <c r="B86" s="34"/>
      <c r="C86" s="92"/>
      <c r="D86" s="34"/>
      <c r="H86" s="92"/>
      <c r="I86" s="34"/>
    </row>
    <row r="87">
      <c r="B87" s="34"/>
      <c r="C87" s="92"/>
      <c r="D87" s="34"/>
      <c r="H87" s="92"/>
      <c r="I87" s="34"/>
    </row>
    <row r="88">
      <c r="B88" s="34"/>
      <c r="C88" s="92"/>
      <c r="D88" s="34"/>
      <c r="H88" s="92"/>
      <c r="I88" s="34"/>
    </row>
    <row r="89">
      <c r="B89" s="34"/>
      <c r="C89" s="92"/>
      <c r="D89" s="34"/>
      <c r="H89" s="92"/>
      <c r="I89" s="34"/>
    </row>
    <row r="90">
      <c r="B90" s="34"/>
      <c r="C90" s="92"/>
      <c r="D90" s="34"/>
      <c r="H90" s="92"/>
      <c r="I90" s="34"/>
    </row>
    <row r="91">
      <c r="B91" s="34"/>
      <c r="C91" s="92"/>
      <c r="D91" s="34"/>
      <c r="H91" s="92"/>
      <c r="I91" s="34"/>
    </row>
    <row r="92">
      <c r="B92" s="34"/>
      <c r="C92" s="92"/>
      <c r="D92" s="34"/>
      <c r="H92" s="92"/>
      <c r="I92" s="34"/>
    </row>
    <row r="93">
      <c r="B93" s="34"/>
      <c r="C93" s="92"/>
      <c r="D93" s="34"/>
      <c r="H93" s="92"/>
      <c r="I93" s="34"/>
    </row>
    <row r="94">
      <c r="B94" s="34"/>
      <c r="C94" s="92"/>
      <c r="D94" s="34"/>
      <c r="H94" s="92"/>
      <c r="I94" s="34"/>
    </row>
    <row r="95">
      <c r="B95" s="34"/>
      <c r="C95" s="92"/>
      <c r="D95" s="34"/>
      <c r="H95" s="92"/>
      <c r="I95" s="34"/>
    </row>
    <row r="96">
      <c r="B96" s="34"/>
      <c r="C96" s="92"/>
      <c r="D96" s="34"/>
      <c r="H96" s="92"/>
      <c r="I96" s="34"/>
    </row>
    <row r="97">
      <c r="B97" s="34"/>
      <c r="C97" s="92"/>
      <c r="D97" s="34"/>
      <c r="H97" s="92"/>
      <c r="I97" s="34"/>
    </row>
    <row r="98">
      <c r="B98" s="34"/>
      <c r="C98" s="92"/>
      <c r="D98" s="34"/>
      <c r="H98" s="92"/>
      <c r="I98" s="34"/>
    </row>
    <row r="99">
      <c r="B99" s="34"/>
      <c r="C99" s="92"/>
      <c r="D99" s="34"/>
      <c r="H99" s="92"/>
      <c r="I99" s="34"/>
    </row>
    <row r="100">
      <c r="B100" s="34"/>
      <c r="C100" s="92"/>
      <c r="D100" s="34"/>
      <c r="H100" s="92"/>
      <c r="I100" s="34"/>
    </row>
    <row r="101">
      <c r="B101" s="34"/>
      <c r="C101" s="92"/>
      <c r="D101" s="34"/>
      <c r="H101" s="92"/>
      <c r="I101" s="34"/>
    </row>
    <row r="102">
      <c r="B102" s="34"/>
      <c r="C102" s="92"/>
      <c r="D102" s="34"/>
      <c r="H102" s="92"/>
      <c r="I102" s="34"/>
    </row>
    <row r="103">
      <c r="B103" s="34"/>
      <c r="C103" s="92"/>
      <c r="D103" s="34"/>
      <c r="H103" s="92"/>
      <c r="I103" s="34"/>
    </row>
    <row r="104">
      <c r="B104" s="34"/>
      <c r="C104" s="92"/>
      <c r="D104" s="34"/>
      <c r="H104" s="92"/>
      <c r="I104" s="34"/>
    </row>
    <row r="105">
      <c r="B105" s="34"/>
      <c r="C105" s="92"/>
      <c r="D105" s="34"/>
      <c r="H105" s="92"/>
      <c r="I105" s="34"/>
    </row>
    <row r="106">
      <c r="B106" s="34"/>
      <c r="C106" s="92"/>
      <c r="D106" s="34"/>
      <c r="H106" s="92"/>
      <c r="I106" s="34"/>
    </row>
    <row r="107">
      <c r="B107" s="34"/>
      <c r="C107" s="92"/>
      <c r="D107" s="34"/>
      <c r="H107" s="92"/>
      <c r="I107" s="34"/>
    </row>
    <row r="108">
      <c r="B108" s="34"/>
      <c r="C108" s="92"/>
      <c r="D108" s="34"/>
      <c r="H108" s="92"/>
      <c r="I108" s="34"/>
    </row>
    <row r="109">
      <c r="B109" s="34"/>
      <c r="C109" s="92"/>
      <c r="D109" s="34"/>
      <c r="H109" s="92"/>
      <c r="I109" s="34"/>
    </row>
    <row r="110">
      <c r="B110" s="34"/>
      <c r="C110" s="92"/>
      <c r="D110" s="34"/>
      <c r="H110" s="92"/>
      <c r="I110" s="34"/>
    </row>
    <row r="111">
      <c r="B111" s="34"/>
      <c r="C111" s="92"/>
      <c r="D111" s="34"/>
      <c r="H111" s="92"/>
      <c r="I111" s="34"/>
    </row>
    <row r="112">
      <c r="B112" s="34"/>
      <c r="C112" s="92"/>
      <c r="D112" s="34"/>
      <c r="H112" s="92"/>
      <c r="I112" s="34"/>
    </row>
    <row r="113">
      <c r="B113" s="34"/>
      <c r="C113" s="92"/>
      <c r="D113" s="34"/>
      <c r="H113" s="92"/>
      <c r="I113" s="34"/>
    </row>
    <row r="114">
      <c r="B114" s="34"/>
      <c r="C114" s="92"/>
      <c r="D114" s="34"/>
      <c r="H114" s="92"/>
      <c r="I114" s="34"/>
    </row>
    <row r="115">
      <c r="B115" s="34"/>
      <c r="C115" s="92"/>
      <c r="D115" s="34"/>
      <c r="H115" s="92"/>
      <c r="I115" s="34"/>
    </row>
    <row r="116">
      <c r="B116" s="34"/>
      <c r="C116" s="92"/>
      <c r="D116" s="34"/>
      <c r="H116" s="92"/>
      <c r="I116" s="34"/>
    </row>
    <row r="117">
      <c r="B117" s="34"/>
      <c r="C117" s="92"/>
      <c r="D117" s="34"/>
      <c r="H117" s="92"/>
      <c r="I117" s="34"/>
    </row>
    <row r="118">
      <c r="B118" s="34"/>
      <c r="C118" s="92"/>
      <c r="D118" s="34"/>
      <c r="H118" s="92"/>
      <c r="I118" s="34"/>
    </row>
    <row r="119">
      <c r="B119" s="34"/>
      <c r="C119" s="92"/>
      <c r="D119" s="34"/>
      <c r="H119" s="92"/>
      <c r="I119" s="34"/>
    </row>
    <row r="120">
      <c r="B120" s="34"/>
      <c r="C120" s="92"/>
      <c r="D120" s="34"/>
      <c r="H120" s="92"/>
      <c r="I120" s="34"/>
    </row>
    <row r="121">
      <c r="B121" s="34"/>
      <c r="C121" s="92"/>
      <c r="D121" s="34"/>
      <c r="H121" s="92"/>
      <c r="I121" s="34"/>
    </row>
    <row r="122">
      <c r="B122" s="34"/>
      <c r="C122" s="92"/>
      <c r="D122" s="34"/>
      <c r="H122" s="92"/>
      <c r="I122" s="34"/>
    </row>
    <row r="123">
      <c r="B123" s="34"/>
      <c r="C123" s="92"/>
      <c r="D123" s="34"/>
      <c r="H123" s="92"/>
      <c r="I123" s="34"/>
    </row>
    <row r="124">
      <c r="B124" s="34"/>
      <c r="C124" s="92"/>
      <c r="D124" s="34"/>
      <c r="H124" s="92"/>
      <c r="I124" s="34"/>
    </row>
    <row r="125">
      <c r="B125" s="34"/>
      <c r="C125" s="92"/>
      <c r="D125" s="34"/>
      <c r="H125" s="92"/>
      <c r="I125" s="34"/>
    </row>
    <row r="126">
      <c r="B126" s="34"/>
      <c r="C126" s="92"/>
      <c r="D126" s="34"/>
      <c r="H126" s="92"/>
      <c r="I126" s="34"/>
    </row>
    <row r="127">
      <c r="B127" s="34"/>
      <c r="C127" s="92"/>
      <c r="D127" s="34"/>
      <c r="H127" s="92"/>
      <c r="I127" s="34"/>
    </row>
    <row r="128">
      <c r="B128" s="34"/>
      <c r="C128" s="92"/>
      <c r="D128" s="34"/>
      <c r="H128" s="92"/>
      <c r="I128" s="34"/>
    </row>
    <row r="129">
      <c r="B129" s="34"/>
      <c r="C129" s="92"/>
      <c r="D129" s="34"/>
      <c r="H129" s="92"/>
      <c r="I129" s="34"/>
    </row>
    <row r="130">
      <c r="B130" s="34"/>
      <c r="C130" s="92"/>
      <c r="D130" s="34"/>
      <c r="H130" s="92"/>
      <c r="I130" s="34"/>
    </row>
    <row r="131">
      <c r="B131" s="34"/>
      <c r="C131" s="92"/>
      <c r="D131" s="34"/>
      <c r="H131" s="92"/>
      <c r="I131" s="34"/>
    </row>
    <row r="132">
      <c r="B132" s="34"/>
      <c r="C132" s="92"/>
      <c r="D132" s="34"/>
      <c r="H132" s="92"/>
      <c r="I132" s="34"/>
    </row>
    <row r="133">
      <c r="B133" s="34"/>
      <c r="C133" s="92"/>
      <c r="D133" s="34"/>
      <c r="H133" s="92"/>
      <c r="I133" s="34"/>
    </row>
    <row r="134">
      <c r="B134" s="34"/>
      <c r="C134" s="92"/>
      <c r="D134" s="34"/>
      <c r="H134" s="92"/>
      <c r="I134" s="34"/>
    </row>
    <row r="135">
      <c r="B135" s="34"/>
      <c r="C135" s="92"/>
      <c r="D135" s="34"/>
      <c r="H135" s="92"/>
      <c r="I135" s="34"/>
    </row>
    <row r="136">
      <c r="B136" s="34"/>
      <c r="C136" s="92"/>
      <c r="D136" s="34"/>
      <c r="H136" s="92"/>
      <c r="I136" s="34"/>
    </row>
    <row r="137">
      <c r="B137" s="34"/>
      <c r="C137" s="92"/>
      <c r="D137" s="34"/>
      <c r="H137" s="92"/>
      <c r="I137" s="34"/>
    </row>
    <row r="138">
      <c r="B138" s="34"/>
      <c r="C138" s="92"/>
      <c r="D138" s="34"/>
      <c r="H138" s="92"/>
      <c r="I138" s="34"/>
    </row>
    <row r="139">
      <c r="B139" s="34"/>
      <c r="C139" s="92"/>
      <c r="D139" s="34"/>
      <c r="H139" s="92"/>
      <c r="I139" s="34"/>
    </row>
    <row r="140">
      <c r="B140" s="34"/>
      <c r="C140" s="92"/>
      <c r="D140" s="34"/>
      <c r="H140" s="92"/>
      <c r="I140" s="34"/>
    </row>
    <row r="141">
      <c r="B141" s="34"/>
      <c r="C141" s="92"/>
      <c r="D141" s="34"/>
      <c r="H141" s="92"/>
      <c r="I141" s="34"/>
    </row>
    <row r="142">
      <c r="B142" s="34"/>
      <c r="C142" s="92"/>
      <c r="D142" s="34"/>
      <c r="H142" s="92"/>
      <c r="I142" s="34"/>
    </row>
    <row r="143">
      <c r="B143" s="34"/>
      <c r="C143" s="92"/>
      <c r="D143" s="34"/>
      <c r="H143" s="92"/>
      <c r="I143" s="34"/>
    </row>
    <row r="144">
      <c r="B144" s="34"/>
      <c r="C144" s="92"/>
      <c r="D144" s="34"/>
      <c r="H144" s="92"/>
      <c r="I144" s="34"/>
    </row>
    <row r="145">
      <c r="B145" s="34"/>
      <c r="C145" s="92"/>
      <c r="D145" s="34"/>
      <c r="H145" s="92"/>
      <c r="I145" s="34"/>
    </row>
    <row r="146">
      <c r="B146" s="34"/>
      <c r="C146" s="92"/>
      <c r="D146" s="34"/>
      <c r="H146" s="92"/>
      <c r="I146" s="34"/>
    </row>
    <row r="147">
      <c r="B147" s="34"/>
      <c r="C147" s="92"/>
      <c r="D147" s="34"/>
      <c r="H147" s="92"/>
      <c r="I147" s="34"/>
    </row>
    <row r="148">
      <c r="B148" s="34"/>
      <c r="C148" s="92"/>
      <c r="D148" s="34"/>
      <c r="H148" s="92"/>
      <c r="I148" s="34"/>
    </row>
    <row r="149">
      <c r="B149" s="34"/>
      <c r="C149" s="92"/>
      <c r="D149" s="34"/>
      <c r="H149" s="92"/>
      <c r="I149" s="34"/>
    </row>
    <row r="150">
      <c r="B150" s="34"/>
      <c r="C150" s="92"/>
      <c r="D150" s="34"/>
      <c r="H150" s="92"/>
      <c r="I150" s="34"/>
    </row>
    <row r="151">
      <c r="B151" s="34"/>
      <c r="C151" s="92"/>
      <c r="D151" s="34"/>
      <c r="H151" s="92"/>
      <c r="I151" s="34"/>
    </row>
    <row r="152">
      <c r="B152" s="34"/>
      <c r="C152" s="92"/>
      <c r="D152" s="34"/>
      <c r="H152" s="92"/>
      <c r="I152" s="34"/>
    </row>
    <row r="153">
      <c r="B153" s="34"/>
      <c r="C153" s="92"/>
      <c r="D153" s="34"/>
      <c r="H153" s="92"/>
      <c r="I153" s="34"/>
    </row>
    <row r="154">
      <c r="B154" s="34"/>
      <c r="C154" s="92"/>
      <c r="D154" s="34"/>
      <c r="H154" s="92"/>
      <c r="I154" s="34"/>
    </row>
    <row r="155">
      <c r="B155" s="34"/>
      <c r="C155" s="92"/>
      <c r="D155" s="34"/>
      <c r="H155" s="92"/>
      <c r="I155" s="34"/>
    </row>
    <row r="156">
      <c r="B156" s="34"/>
      <c r="C156" s="92"/>
      <c r="D156" s="34"/>
      <c r="H156" s="92"/>
      <c r="I156" s="34"/>
    </row>
    <row r="157">
      <c r="B157" s="34"/>
      <c r="C157" s="92"/>
      <c r="D157" s="34"/>
      <c r="H157" s="92"/>
      <c r="I157" s="34"/>
    </row>
    <row r="158">
      <c r="B158" s="34"/>
      <c r="C158" s="92"/>
      <c r="D158" s="34"/>
      <c r="H158" s="92"/>
      <c r="I158" s="34"/>
    </row>
    <row r="159">
      <c r="B159" s="34"/>
      <c r="C159" s="92"/>
      <c r="D159" s="34"/>
      <c r="H159" s="92"/>
      <c r="I159" s="34"/>
    </row>
    <row r="160">
      <c r="B160" s="34"/>
      <c r="C160" s="92"/>
      <c r="D160" s="34"/>
      <c r="H160" s="92"/>
      <c r="I160" s="34"/>
    </row>
    <row r="161">
      <c r="B161" s="34"/>
      <c r="C161" s="92"/>
      <c r="D161" s="34"/>
      <c r="H161" s="92"/>
      <c r="I161" s="34"/>
    </row>
    <row r="162">
      <c r="B162" s="34"/>
      <c r="C162" s="92"/>
      <c r="D162" s="34"/>
      <c r="H162" s="92"/>
      <c r="I162" s="34"/>
    </row>
    <row r="163">
      <c r="B163" s="34"/>
      <c r="C163" s="92"/>
      <c r="D163" s="34"/>
      <c r="H163" s="92"/>
      <c r="I163" s="34"/>
    </row>
    <row r="164">
      <c r="B164" s="34"/>
      <c r="C164" s="92"/>
      <c r="D164" s="34"/>
      <c r="H164" s="92"/>
      <c r="I164" s="34"/>
    </row>
    <row r="165">
      <c r="B165" s="34"/>
      <c r="C165" s="92"/>
      <c r="D165" s="34"/>
      <c r="H165" s="92"/>
      <c r="I165" s="34"/>
    </row>
    <row r="166">
      <c r="B166" s="34"/>
      <c r="C166" s="92"/>
      <c r="D166" s="34"/>
      <c r="H166" s="92"/>
      <c r="I166" s="34"/>
    </row>
    <row r="167">
      <c r="B167" s="34"/>
      <c r="C167" s="92"/>
      <c r="D167" s="34"/>
      <c r="H167" s="92"/>
      <c r="I167" s="34"/>
    </row>
    <row r="168">
      <c r="B168" s="34"/>
      <c r="C168" s="92"/>
      <c r="D168" s="34"/>
      <c r="H168" s="92"/>
      <c r="I168" s="34"/>
    </row>
    <row r="169">
      <c r="B169" s="34"/>
      <c r="C169" s="92"/>
      <c r="D169" s="34"/>
      <c r="H169" s="92"/>
      <c r="I169" s="34"/>
    </row>
    <row r="170">
      <c r="B170" s="34"/>
      <c r="C170" s="92"/>
      <c r="D170" s="34"/>
      <c r="H170" s="92"/>
      <c r="I170" s="34"/>
    </row>
    <row r="171">
      <c r="B171" s="34"/>
      <c r="C171" s="92"/>
      <c r="D171" s="34"/>
      <c r="H171" s="92"/>
      <c r="I171" s="34"/>
    </row>
    <row r="172">
      <c r="B172" s="34"/>
      <c r="C172" s="92"/>
      <c r="D172" s="34"/>
      <c r="H172" s="92"/>
      <c r="I172" s="34"/>
    </row>
    <row r="173">
      <c r="B173" s="34"/>
      <c r="C173" s="92"/>
      <c r="D173" s="34"/>
      <c r="H173" s="92"/>
      <c r="I173" s="34"/>
    </row>
    <row r="174">
      <c r="B174" s="34"/>
      <c r="C174" s="92"/>
      <c r="D174" s="34"/>
      <c r="H174" s="92"/>
      <c r="I174" s="34"/>
    </row>
    <row r="175">
      <c r="B175" s="34"/>
      <c r="C175" s="92"/>
      <c r="D175" s="34"/>
      <c r="H175" s="92"/>
      <c r="I175" s="34"/>
    </row>
    <row r="176">
      <c r="B176" s="34"/>
      <c r="C176" s="92"/>
      <c r="D176" s="34"/>
      <c r="H176" s="92"/>
      <c r="I176" s="34"/>
    </row>
    <row r="177">
      <c r="B177" s="34"/>
      <c r="C177" s="92"/>
      <c r="D177" s="34"/>
      <c r="H177" s="92"/>
      <c r="I177" s="34"/>
    </row>
    <row r="178">
      <c r="B178" s="34"/>
      <c r="C178" s="92"/>
      <c r="D178" s="34"/>
      <c r="H178" s="92"/>
      <c r="I178" s="34"/>
    </row>
    <row r="179">
      <c r="B179" s="34"/>
      <c r="C179" s="92"/>
      <c r="D179" s="34"/>
      <c r="H179" s="92"/>
      <c r="I179" s="34"/>
    </row>
    <row r="180">
      <c r="B180" s="34"/>
      <c r="C180" s="92"/>
      <c r="D180" s="34"/>
      <c r="H180" s="92"/>
      <c r="I180" s="34"/>
    </row>
    <row r="181">
      <c r="B181" s="34"/>
      <c r="C181" s="92"/>
      <c r="D181" s="34"/>
      <c r="H181" s="92"/>
      <c r="I181" s="34"/>
    </row>
    <row r="182">
      <c r="B182" s="34"/>
      <c r="C182" s="92"/>
      <c r="D182" s="34"/>
      <c r="H182" s="92"/>
      <c r="I182" s="34"/>
    </row>
    <row r="183">
      <c r="B183" s="34"/>
      <c r="C183" s="92"/>
      <c r="D183" s="34"/>
      <c r="H183" s="92"/>
      <c r="I183" s="34"/>
    </row>
    <row r="184">
      <c r="B184" s="34"/>
      <c r="C184" s="92"/>
      <c r="D184" s="34"/>
      <c r="H184" s="92"/>
      <c r="I184" s="34"/>
    </row>
    <row r="185">
      <c r="B185" s="34"/>
      <c r="C185" s="92"/>
      <c r="D185" s="34"/>
      <c r="H185" s="92"/>
      <c r="I185" s="34"/>
    </row>
    <row r="186">
      <c r="B186" s="34"/>
      <c r="C186" s="92"/>
      <c r="D186" s="34"/>
      <c r="H186" s="92"/>
      <c r="I186" s="34"/>
    </row>
    <row r="187">
      <c r="B187" s="34"/>
      <c r="C187" s="92"/>
      <c r="D187" s="34"/>
      <c r="H187" s="92"/>
      <c r="I187" s="34"/>
    </row>
    <row r="188">
      <c r="B188" s="34"/>
      <c r="C188" s="92"/>
      <c r="D188" s="34"/>
      <c r="H188" s="92"/>
      <c r="I188" s="34"/>
    </row>
    <row r="189">
      <c r="B189" s="34"/>
      <c r="C189" s="92"/>
      <c r="D189" s="34"/>
      <c r="H189" s="92"/>
      <c r="I189" s="34"/>
    </row>
    <row r="190">
      <c r="B190" s="34"/>
      <c r="C190" s="92"/>
      <c r="D190" s="34"/>
      <c r="H190" s="92"/>
      <c r="I190" s="34"/>
    </row>
    <row r="191">
      <c r="B191" s="34"/>
      <c r="C191" s="92"/>
      <c r="D191" s="34"/>
      <c r="H191" s="92"/>
      <c r="I191" s="34"/>
    </row>
    <row r="192">
      <c r="B192" s="34"/>
      <c r="C192" s="92"/>
      <c r="D192" s="34"/>
      <c r="H192" s="92"/>
      <c r="I192" s="34"/>
    </row>
    <row r="193">
      <c r="B193" s="34"/>
      <c r="C193" s="92"/>
      <c r="D193" s="34"/>
      <c r="H193" s="92"/>
      <c r="I193" s="34"/>
    </row>
    <row r="194">
      <c r="B194" s="34"/>
      <c r="C194" s="92"/>
      <c r="D194" s="34"/>
      <c r="H194" s="92"/>
      <c r="I194" s="34"/>
    </row>
    <row r="195">
      <c r="B195" s="34"/>
      <c r="C195" s="92"/>
      <c r="D195" s="34"/>
      <c r="H195" s="92"/>
      <c r="I195" s="34"/>
    </row>
    <row r="196">
      <c r="B196" s="34"/>
      <c r="C196" s="92"/>
      <c r="D196" s="34"/>
      <c r="H196" s="92"/>
      <c r="I196" s="34"/>
    </row>
    <row r="197">
      <c r="B197" s="34"/>
      <c r="C197" s="92"/>
      <c r="D197" s="34"/>
      <c r="H197" s="92"/>
      <c r="I197" s="34"/>
    </row>
    <row r="198">
      <c r="B198" s="34"/>
      <c r="C198" s="92"/>
      <c r="D198" s="34"/>
      <c r="H198" s="92"/>
      <c r="I198" s="34"/>
    </row>
    <row r="199">
      <c r="B199" s="34"/>
      <c r="C199" s="92"/>
      <c r="D199" s="34"/>
      <c r="H199" s="92"/>
      <c r="I199" s="34"/>
    </row>
    <row r="200">
      <c r="B200" s="34"/>
      <c r="C200" s="92"/>
      <c r="D200" s="34"/>
      <c r="H200" s="92"/>
      <c r="I200" s="34"/>
    </row>
    <row r="201">
      <c r="B201" s="34"/>
      <c r="C201" s="92"/>
      <c r="D201" s="34"/>
      <c r="H201" s="92"/>
      <c r="I201" s="34"/>
    </row>
    <row r="202">
      <c r="B202" s="34"/>
      <c r="C202" s="92"/>
      <c r="D202" s="34"/>
      <c r="H202" s="92"/>
      <c r="I202" s="34"/>
    </row>
    <row r="203">
      <c r="B203" s="34"/>
      <c r="C203" s="92"/>
      <c r="D203" s="34"/>
      <c r="H203" s="92"/>
      <c r="I203" s="34"/>
    </row>
    <row r="204">
      <c r="B204" s="34"/>
      <c r="C204" s="92"/>
      <c r="D204" s="34"/>
      <c r="H204" s="92"/>
      <c r="I204" s="34"/>
    </row>
    <row r="205">
      <c r="B205" s="34"/>
      <c r="C205" s="92"/>
      <c r="D205" s="34"/>
      <c r="H205" s="92"/>
      <c r="I205" s="34"/>
    </row>
    <row r="206">
      <c r="B206" s="34"/>
      <c r="C206" s="92"/>
      <c r="D206" s="34"/>
      <c r="H206" s="92"/>
      <c r="I206" s="34"/>
    </row>
    <row r="207">
      <c r="B207" s="34"/>
      <c r="C207" s="92"/>
      <c r="D207" s="34"/>
      <c r="H207" s="92"/>
      <c r="I207" s="34"/>
    </row>
    <row r="208">
      <c r="B208" s="34"/>
      <c r="C208" s="92"/>
      <c r="D208" s="34"/>
      <c r="H208" s="92"/>
      <c r="I208" s="34"/>
    </row>
    <row r="209">
      <c r="B209" s="34"/>
      <c r="C209" s="92"/>
      <c r="D209" s="34"/>
      <c r="H209" s="92"/>
      <c r="I209" s="34"/>
    </row>
    <row r="210">
      <c r="B210" s="34"/>
      <c r="C210" s="92"/>
      <c r="D210" s="34"/>
      <c r="H210" s="92"/>
      <c r="I210" s="34"/>
    </row>
    <row r="211">
      <c r="B211" s="34"/>
      <c r="C211" s="92"/>
      <c r="D211" s="34"/>
      <c r="H211" s="92"/>
      <c r="I211" s="34"/>
    </row>
    <row r="212">
      <c r="B212" s="34"/>
      <c r="C212" s="92"/>
      <c r="D212" s="34"/>
      <c r="H212" s="92"/>
      <c r="I212" s="34"/>
    </row>
    <row r="213">
      <c r="B213" s="34"/>
      <c r="C213" s="92"/>
      <c r="D213" s="34"/>
      <c r="H213" s="92"/>
      <c r="I213" s="34"/>
    </row>
    <row r="214">
      <c r="B214" s="34"/>
      <c r="C214" s="92"/>
      <c r="D214" s="34"/>
      <c r="H214" s="92"/>
      <c r="I214" s="34"/>
    </row>
    <row r="215">
      <c r="B215" s="34"/>
      <c r="C215" s="92"/>
      <c r="D215" s="34"/>
      <c r="H215" s="92"/>
      <c r="I215" s="34"/>
    </row>
    <row r="216">
      <c r="B216" s="34"/>
      <c r="C216" s="92"/>
      <c r="D216" s="34"/>
      <c r="H216" s="92"/>
      <c r="I216" s="34"/>
    </row>
    <row r="217">
      <c r="B217" s="34"/>
      <c r="C217" s="92"/>
      <c r="D217" s="34"/>
      <c r="H217" s="92"/>
      <c r="I217" s="34"/>
    </row>
    <row r="218">
      <c r="B218" s="34"/>
      <c r="C218" s="92"/>
      <c r="D218" s="34"/>
      <c r="H218" s="92"/>
      <c r="I218" s="34"/>
    </row>
    <row r="219">
      <c r="B219" s="34"/>
      <c r="C219" s="92"/>
      <c r="D219" s="34"/>
      <c r="H219" s="92"/>
      <c r="I219" s="34"/>
    </row>
    <row r="220">
      <c r="B220" s="34"/>
      <c r="C220" s="92"/>
      <c r="D220" s="34"/>
      <c r="H220" s="92"/>
      <c r="I220" s="34"/>
    </row>
    <row r="221">
      <c r="B221" s="34"/>
      <c r="C221" s="92"/>
      <c r="D221" s="34"/>
      <c r="H221" s="92"/>
      <c r="I221" s="34"/>
    </row>
    <row r="222">
      <c r="B222" s="34"/>
      <c r="C222" s="92"/>
      <c r="D222" s="34"/>
      <c r="H222" s="92"/>
      <c r="I222" s="34"/>
    </row>
    <row r="223">
      <c r="B223" s="34"/>
      <c r="C223" s="92"/>
      <c r="D223" s="34"/>
      <c r="H223" s="92"/>
      <c r="I223" s="34"/>
    </row>
    <row r="224">
      <c r="B224" s="34"/>
      <c r="C224" s="92"/>
      <c r="D224" s="34"/>
      <c r="H224" s="92"/>
      <c r="I224" s="34"/>
    </row>
    <row r="225">
      <c r="B225" s="34"/>
      <c r="C225" s="92"/>
      <c r="D225" s="34"/>
      <c r="H225" s="92"/>
      <c r="I225" s="34"/>
    </row>
    <row r="226">
      <c r="B226" s="34"/>
      <c r="C226" s="92"/>
      <c r="D226" s="34"/>
      <c r="H226" s="92"/>
      <c r="I226" s="34"/>
    </row>
    <row r="227">
      <c r="B227" s="34"/>
      <c r="C227" s="92"/>
      <c r="D227" s="34"/>
      <c r="H227" s="92"/>
      <c r="I227" s="34"/>
    </row>
    <row r="228">
      <c r="B228" s="34"/>
      <c r="C228" s="92"/>
      <c r="D228" s="34"/>
      <c r="H228" s="92"/>
      <c r="I228" s="34"/>
    </row>
    <row r="229">
      <c r="B229" s="34"/>
      <c r="C229" s="92"/>
      <c r="D229" s="34"/>
      <c r="H229" s="92"/>
      <c r="I229" s="34"/>
    </row>
    <row r="230">
      <c r="B230" s="34"/>
      <c r="C230" s="92"/>
      <c r="D230" s="34"/>
      <c r="H230" s="92"/>
      <c r="I230" s="34"/>
    </row>
    <row r="231">
      <c r="B231" s="34"/>
      <c r="C231" s="92"/>
      <c r="D231" s="34"/>
      <c r="H231" s="92"/>
      <c r="I231" s="34"/>
    </row>
    <row r="232">
      <c r="B232" s="34"/>
      <c r="C232" s="92"/>
      <c r="D232" s="34"/>
      <c r="H232" s="92"/>
      <c r="I232" s="34"/>
    </row>
    <row r="233">
      <c r="B233" s="34"/>
      <c r="C233" s="92"/>
      <c r="D233" s="34"/>
      <c r="H233" s="92"/>
      <c r="I233" s="34"/>
    </row>
    <row r="234">
      <c r="B234" s="34"/>
      <c r="C234" s="92"/>
      <c r="D234" s="34"/>
      <c r="H234" s="92"/>
      <c r="I234" s="34"/>
    </row>
    <row r="235">
      <c r="B235" s="34"/>
      <c r="C235" s="92"/>
      <c r="D235" s="34"/>
      <c r="H235" s="92"/>
      <c r="I235" s="34"/>
    </row>
    <row r="236">
      <c r="B236" s="34"/>
      <c r="C236" s="92"/>
      <c r="D236" s="34"/>
      <c r="H236" s="92"/>
      <c r="I236" s="34"/>
    </row>
    <row r="237">
      <c r="B237" s="34"/>
      <c r="C237" s="92"/>
      <c r="D237" s="34"/>
      <c r="H237" s="92"/>
      <c r="I237" s="34"/>
    </row>
    <row r="238">
      <c r="B238" s="34"/>
      <c r="C238" s="92"/>
      <c r="D238" s="34"/>
      <c r="H238" s="92"/>
      <c r="I238" s="34"/>
    </row>
    <row r="239">
      <c r="B239" s="34"/>
      <c r="C239" s="92"/>
      <c r="D239" s="34"/>
      <c r="H239" s="92"/>
      <c r="I239" s="34"/>
    </row>
    <row r="240">
      <c r="B240" s="34"/>
      <c r="C240" s="92"/>
      <c r="D240" s="34"/>
      <c r="H240" s="92"/>
      <c r="I240" s="34"/>
    </row>
    <row r="241">
      <c r="B241" s="34"/>
      <c r="C241" s="92"/>
      <c r="D241" s="34"/>
      <c r="H241" s="92"/>
      <c r="I241" s="34"/>
    </row>
    <row r="242">
      <c r="B242" s="34"/>
      <c r="C242" s="92"/>
      <c r="D242" s="34"/>
      <c r="H242" s="92"/>
      <c r="I242" s="34"/>
    </row>
    <row r="243">
      <c r="B243" s="34"/>
      <c r="C243" s="92"/>
      <c r="D243" s="34"/>
      <c r="H243" s="92"/>
      <c r="I243" s="34"/>
    </row>
    <row r="244">
      <c r="B244" s="34"/>
      <c r="C244" s="92"/>
      <c r="D244" s="34"/>
      <c r="H244" s="92"/>
      <c r="I244" s="34"/>
    </row>
    <row r="245">
      <c r="B245" s="34"/>
      <c r="C245" s="92"/>
      <c r="D245" s="34"/>
      <c r="H245" s="92"/>
      <c r="I245" s="34"/>
    </row>
    <row r="246">
      <c r="B246" s="34"/>
      <c r="C246" s="92"/>
      <c r="D246" s="34"/>
      <c r="H246" s="92"/>
      <c r="I246" s="34"/>
    </row>
    <row r="247">
      <c r="B247" s="34"/>
      <c r="C247" s="92"/>
      <c r="D247" s="34"/>
      <c r="H247" s="92"/>
      <c r="I247" s="34"/>
    </row>
    <row r="248">
      <c r="B248" s="34"/>
      <c r="C248" s="92"/>
      <c r="D248" s="34"/>
      <c r="H248" s="92"/>
      <c r="I248" s="34"/>
    </row>
    <row r="249">
      <c r="B249" s="34"/>
      <c r="C249" s="92"/>
      <c r="D249" s="34"/>
      <c r="H249" s="92"/>
      <c r="I249" s="34"/>
    </row>
    <row r="250">
      <c r="B250" s="34"/>
      <c r="C250" s="92"/>
      <c r="D250" s="34"/>
      <c r="H250" s="92"/>
      <c r="I250" s="34"/>
    </row>
    <row r="251">
      <c r="B251" s="34"/>
      <c r="C251" s="92"/>
      <c r="D251" s="34"/>
      <c r="H251" s="92"/>
      <c r="I251" s="34"/>
    </row>
    <row r="252">
      <c r="B252" s="34"/>
      <c r="C252" s="92"/>
      <c r="D252" s="34"/>
      <c r="H252" s="92"/>
      <c r="I252" s="34"/>
    </row>
    <row r="253">
      <c r="B253" s="34"/>
      <c r="C253" s="92"/>
      <c r="D253" s="34"/>
      <c r="H253" s="92"/>
      <c r="I253" s="34"/>
    </row>
    <row r="254">
      <c r="B254" s="34"/>
      <c r="C254" s="92"/>
      <c r="D254" s="34"/>
      <c r="H254" s="92"/>
      <c r="I254" s="34"/>
    </row>
    <row r="255">
      <c r="B255" s="34"/>
      <c r="C255" s="92"/>
      <c r="D255" s="34"/>
      <c r="H255" s="92"/>
      <c r="I255" s="34"/>
    </row>
    <row r="256">
      <c r="B256" s="34"/>
      <c r="C256" s="92"/>
      <c r="D256" s="34"/>
      <c r="H256" s="92"/>
      <c r="I256" s="34"/>
    </row>
    <row r="257">
      <c r="B257" s="34"/>
      <c r="C257" s="92"/>
      <c r="D257" s="34"/>
      <c r="H257" s="92"/>
      <c r="I257" s="34"/>
    </row>
    <row r="258">
      <c r="B258" s="34"/>
      <c r="C258" s="92"/>
      <c r="D258" s="34"/>
      <c r="H258" s="92"/>
      <c r="I258" s="34"/>
    </row>
    <row r="259">
      <c r="B259" s="34"/>
      <c r="C259" s="92"/>
      <c r="D259" s="34"/>
      <c r="H259" s="92"/>
      <c r="I259" s="34"/>
    </row>
    <row r="260">
      <c r="B260" s="34"/>
      <c r="C260" s="92"/>
      <c r="D260" s="34"/>
      <c r="H260" s="92"/>
      <c r="I260" s="34"/>
    </row>
    <row r="261">
      <c r="B261" s="34"/>
      <c r="C261" s="92"/>
      <c r="D261" s="34"/>
      <c r="H261" s="92"/>
      <c r="I261" s="34"/>
    </row>
    <row r="262">
      <c r="B262" s="34"/>
      <c r="C262" s="92"/>
      <c r="D262" s="34"/>
      <c r="H262" s="92"/>
      <c r="I262" s="34"/>
    </row>
    <row r="263">
      <c r="B263" s="34"/>
      <c r="C263" s="92"/>
      <c r="D263" s="34"/>
      <c r="H263" s="92"/>
      <c r="I263" s="34"/>
    </row>
    <row r="264">
      <c r="B264" s="34"/>
      <c r="C264" s="92"/>
      <c r="D264" s="34"/>
      <c r="H264" s="92"/>
      <c r="I264" s="34"/>
    </row>
    <row r="265">
      <c r="B265" s="34"/>
      <c r="C265" s="92"/>
      <c r="D265" s="34"/>
      <c r="H265" s="92"/>
      <c r="I265" s="34"/>
    </row>
    <row r="266">
      <c r="B266" s="34"/>
      <c r="C266" s="92"/>
      <c r="D266" s="34"/>
      <c r="H266" s="92"/>
      <c r="I266" s="34"/>
    </row>
    <row r="267">
      <c r="B267" s="34"/>
      <c r="C267" s="92"/>
      <c r="D267" s="34"/>
      <c r="H267" s="92"/>
      <c r="I267" s="34"/>
    </row>
    <row r="268">
      <c r="B268" s="34"/>
      <c r="C268" s="92"/>
      <c r="D268" s="34"/>
      <c r="H268" s="92"/>
      <c r="I268" s="34"/>
    </row>
    <row r="269">
      <c r="B269" s="34"/>
      <c r="C269" s="92"/>
      <c r="D269" s="34"/>
      <c r="H269" s="92"/>
      <c r="I269" s="34"/>
    </row>
    <row r="270">
      <c r="B270" s="34"/>
      <c r="C270" s="92"/>
      <c r="D270" s="34"/>
      <c r="H270" s="92"/>
      <c r="I270" s="34"/>
    </row>
    <row r="271">
      <c r="B271" s="34"/>
      <c r="C271" s="92"/>
      <c r="D271" s="34"/>
      <c r="H271" s="92"/>
      <c r="I271" s="34"/>
    </row>
    <row r="272">
      <c r="B272" s="34"/>
      <c r="C272" s="92"/>
      <c r="D272" s="34"/>
      <c r="H272" s="92"/>
      <c r="I272" s="34"/>
    </row>
    <row r="273">
      <c r="B273" s="34"/>
      <c r="C273" s="92"/>
      <c r="D273" s="34"/>
      <c r="H273" s="92"/>
      <c r="I273" s="34"/>
    </row>
    <row r="274">
      <c r="B274" s="34"/>
      <c r="C274" s="92"/>
      <c r="D274" s="34"/>
      <c r="H274" s="92"/>
      <c r="I274" s="34"/>
    </row>
    <row r="275">
      <c r="B275" s="34"/>
      <c r="C275" s="92"/>
      <c r="D275" s="34"/>
      <c r="H275" s="92"/>
      <c r="I275" s="34"/>
    </row>
    <row r="276">
      <c r="B276" s="34"/>
      <c r="C276" s="92"/>
      <c r="D276" s="34"/>
      <c r="H276" s="92"/>
      <c r="I276" s="34"/>
    </row>
    <row r="277">
      <c r="B277" s="34"/>
      <c r="C277" s="92"/>
      <c r="D277" s="34"/>
      <c r="H277" s="92"/>
      <c r="I277" s="34"/>
    </row>
    <row r="278">
      <c r="B278" s="34"/>
      <c r="C278" s="92"/>
      <c r="D278" s="34"/>
      <c r="H278" s="92"/>
      <c r="I278" s="34"/>
    </row>
    <row r="279">
      <c r="B279" s="34"/>
      <c r="C279" s="92"/>
      <c r="D279" s="34"/>
      <c r="H279" s="92"/>
      <c r="I279" s="34"/>
    </row>
    <row r="280">
      <c r="B280" s="34"/>
      <c r="C280" s="92"/>
      <c r="D280" s="34"/>
      <c r="H280" s="92"/>
      <c r="I280" s="34"/>
    </row>
    <row r="281">
      <c r="B281" s="34"/>
      <c r="C281" s="92"/>
      <c r="D281" s="34"/>
      <c r="H281" s="92"/>
      <c r="I281" s="34"/>
    </row>
    <row r="282">
      <c r="B282" s="34"/>
      <c r="C282" s="92"/>
      <c r="D282" s="34"/>
      <c r="H282" s="92"/>
      <c r="I282" s="34"/>
    </row>
    <row r="283">
      <c r="B283" s="34"/>
      <c r="C283" s="92"/>
      <c r="D283" s="34"/>
      <c r="H283" s="92"/>
      <c r="I283" s="34"/>
    </row>
    <row r="284">
      <c r="B284" s="34"/>
      <c r="C284" s="92"/>
      <c r="D284" s="34"/>
      <c r="H284" s="92"/>
      <c r="I284" s="34"/>
    </row>
    <row r="285">
      <c r="B285" s="34"/>
      <c r="C285" s="92"/>
      <c r="D285" s="34"/>
      <c r="H285" s="92"/>
      <c r="I285" s="34"/>
    </row>
    <row r="286">
      <c r="B286" s="34"/>
      <c r="C286" s="92"/>
      <c r="D286" s="34"/>
      <c r="H286" s="92"/>
      <c r="I286" s="34"/>
    </row>
    <row r="287">
      <c r="B287" s="34"/>
      <c r="C287" s="92"/>
      <c r="D287" s="34"/>
      <c r="H287" s="92"/>
      <c r="I287" s="34"/>
    </row>
    <row r="288">
      <c r="B288" s="34"/>
      <c r="C288" s="92"/>
      <c r="D288" s="34"/>
      <c r="H288" s="92"/>
      <c r="I288" s="34"/>
    </row>
    <row r="289">
      <c r="B289" s="34"/>
      <c r="C289" s="92"/>
      <c r="D289" s="34"/>
      <c r="H289" s="92"/>
      <c r="I289" s="34"/>
    </row>
    <row r="290">
      <c r="B290" s="34"/>
      <c r="C290" s="92"/>
      <c r="D290" s="34"/>
      <c r="H290" s="92"/>
      <c r="I290" s="34"/>
    </row>
    <row r="291">
      <c r="B291" s="34"/>
      <c r="C291" s="92"/>
      <c r="D291" s="34"/>
      <c r="H291" s="92"/>
      <c r="I291" s="34"/>
    </row>
    <row r="292">
      <c r="B292" s="34"/>
      <c r="C292" s="92"/>
      <c r="D292" s="34"/>
      <c r="H292" s="92"/>
      <c r="I292" s="34"/>
    </row>
    <row r="293">
      <c r="B293" s="34"/>
      <c r="C293" s="92"/>
      <c r="D293" s="34"/>
      <c r="H293" s="92"/>
      <c r="I293" s="34"/>
    </row>
    <row r="294">
      <c r="B294" s="34"/>
      <c r="C294" s="92"/>
      <c r="D294" s="34"/>
      <c r="H294" s="92"/>
      <c r="I294" s="34"/>
    </row>
    <row r="295">
      <c r="B295" s="34"/>
      <c r="C295" s="92"/>
      <c r="D295" s="34"/>
      <c r="H295" s="92"/>
      <c r="I295" s="34"/>
    </row>
    <row r="296">
      <c r="B296" s="34"/>
      <c r="C296" s="92"/>
      <c r="D296" s="34"/>
      <c r="H296" s="92"/>
      <c r="I296" s="34"/>
    </row>
    <row r="297">
      <c r="B297" s="34"/>
      <c r="C297" s="92"/>
      <c r="D297" s="34"/>
      <c r="H297" s="92"/>
      <c r="I297" s="34"/>
    </row>
    <row r="298">
      <c r="B298" s="34"/>
      <c r="C298" s="92"/>
      <c r="D298" s="34"/>
      <c r="H298" s="92"/>
      <c r="I298" s="34"/>
    </row>
    <row r="299">
      <c r="B299" s="34"/>
      <c r="C299" s="92"/>
      <c r="D299" s="34"/>
      <c r="H299" s="92"/>
      <c r="I299" s="34"/>
    </row>
    <row r="300">
      <c r="B300" s="34"/>
      <c r="C300" s="92"/>
      <c r="D300" s="34"/>
      <c r="H300" s="92"/>
      <c r="I300" s="34"/>
    </row>
    <row r="301">
      <c r="B301" s="34"/>
      <c r="C301" s="92"/>
      <c r="D301" s="34"/>
      <c r="H301" s="92"/>
      <c r="I301" s="34"/>
    </row>
    <row r="302">
      <c r="B302" s="34"/>
      <c r="C302" s="92"/>
      <c r="D302" s="34"/>
      <c r="H302" s="92"/>
      <c r="I302" s="34"/>
    </row>
    <row r="303">
      <c r="B303" s="34"/>
      <c r="C303" s="92"/>
      <c r="D303" s="34"/>
      <c r="H303" s="92"/>
      <c r="I303" s="34"/>
    </row>
    <row r="304">
      <c r="B304" s="34"/>
      <c r="C304" s="92"/>
      <c r="D304" s="34"/>
      <c r="H304" s="92"/>
      <c r="I304" s="34"/>
    </row>
    <row r="305">
      <c r="B305" s="34"/>
      <c r="C305" s="92"/>
      <c r="D305" s="34"/>
      <c r="H305" s="92"/>
      <c r="I305" s="34"/>
    </row>
    <row r="306">
      <c r="B306" s="34"/>
      <c r="C306" s="92"/>
      <c r="D306" s="34"/>
      <c r="H306" s="92"/>
      <c r="I306" s="34"/>
    </row>
    <row r="307">
      <c r="B307" s="34"/>
      <c r="C307" s="92"/>
      <c r="D307" s="34"/>
      <c r="H307" s="92"/>
      <c r="I307" s="34"/>
    </row>
    <row r="308">
      <c r="B308" s="34"/>
      <c r="C308" s="92"/>
      <c r="D308" s="34"/>
      <c r="H308" s="92"/>
      <c r="I308" s="34"/>
    </row>
    <row r="309">
      <c r="B309" s="34"/>
      <c r="C309" s="92"/>
      <c r="D309" s="34"/>
      <c r="H309" s="92"/>
      <c r="I309" s="34"/>
    </row>
    <row r="310">
      <c r="B310" s="34"/>
      <c r="C310" s="92"/>
      <c r="D310" s="34"/>
      <c r="H310" s="92"/>
      <c r="I310" s="34"/>
    </row>
    <row r="311">
      <c r="B311" s="34"/>
      <c r="C311" s="92"/>
      <c r="D311" s="34"/>
      <c r="H311" s="92"/>
      <c r="I311" s="34"/>
    </row>
    <row r="312">
      <c r="B312" s="34"/>
      <c r="C312" s="92"/>
      <c r="D312" s="34"/>
      <c r="H312" s="92"/>
      <c r="I312" s="34"/>
    </row>
    <row r="313">
      <c r="B313" s="34"/>
      <c r="C313" s="92"/>
      <c r="D313" s="34"/>
      <c r="H313" s="92"/>
      <c r="I313" s="34"/>
    </row>
    <row r="314">
      <c r="B314" s="34"/>
      <c r="C314" s="92"/>
      <c r="D314" s="34"/>
      <c r="H314" s="92"/>
      <c r="I314" s="34"/>
    </row>
    <row r="315">
      <c r="B315" s="34"/>
      <c r="C315" s="92"/>
      <c r="D315" s="34"/>
      <c r="H315" s="92"/>
      <c r="I315" s="34"/>
    </row>
    <row r="316">
      <c r="B316" s="34"/>
      <c r="C316" s="92"/>
      <c r="D316" s="34"/>
      <c r="H316" s="92"/>
      <c r="I316" s="34"/>
    </row>
    <row r="317">
      <c r="B317" s="34"/>
      <c r="C317" s="92"/>
      <c r="D317" s="34"/>
      <c r="H317" s="92"/>
      <c r="I317" s="34"/>
    </row>
    <row r="318">
      <c r="B318" s="34"/>
      <c r="C318" s="92"/>
      <c r="D318" s="34"/>
      <c r="H318" s="92"/>
      <c r="I318" s="34"/>
    </row>
    <row r="319">
      <c r="B319" s="34"/>
      <c r="C319" s="92"/>
      <c r="D319" s="34"/>
      <c r="H319" s="92"/>
      <c r="I319" s="34"/>
    </row>
    <row r="320">
      <c r="B320" s="34"/>
      <c r="C320" s="92"/>
      <c r="D320" s="34"/>
      <c r="H320" s="92"/>
      <c r="I320" s="34"/>
    </row>
    <row r="321">
      <c r="B321" s="34"/>
      <c r="C321" s="92"/>
      <c r="D321" s="34"/>
      <c r="H321" s="92"/>
      <c r="I321" s="34"/>
    </row>
    <row r="322">
      <c r="B322" s="34"/>
      <c r="C322" s="92"/>
      <c r="D322" s="34"/>
      <c r="H322" s="92"/>
      <c r="I322" s="34"/>
    </row>
    <row r="323">
      <c r="B323" s="34"/>
      <c r="C323" s="92"/>
      <c r="D323" s="34"/>
      <c r="H323" s="92"/>
      <c r="I323" s="34"/>
    </row>
    <row r="324">
      <c r="B324" s="34"/>
      <c r="C324" s="92"/>
      <c r="D324" s="34"/>
      <c r="H324" s="92"/>
      <c r="I324" s="34"/>
    </row>
    <row r="325">
      <c r="B325" s="34"/>
      <c r="C325" s="92"/>
      <c r="D325" s="34"/>
      <c r="H325" s="92"/>
      <c r="I325" s="34"/>
    </row>
    <row r="326">
      <c r="B326" s="34"/>
      <c r="C326" s="92"/>
      <c r="D326" s="34"/>
      <c r="H326" s="92"/>
      <c r="I326" s="34"/>
    </row>
    <row r="327">
      <c r="B327" s="34"/>
      <c r="C327" s="92"/>
      <c r="D327" s="34"/>
      <c r="H327" s="92"/>
      <c r="I327" s="34"/>
    </row>
    <row r="328">
      <c r="B328" s="34"/>
      <c r="C328" s="92"/>
      <c r="D328" s="34"/>
      <c r="H328" s="92"/>
      <c r="I328" s="34"/>
    </row>
    <row r="329">
      <c r="B329" s="34"/>
      <c r="C329" s="92"/>
      <c r="D329" s="34"/>
      <c r="H329" s="92"/>
      <c r="I329" s="34"/>
    </row>
    <row r="330">
      <c r="B330" s="34"/>
      <c r="C330" s="92"/>
      <c r="D330" s="34"/>
      <c r="H330" s="92"/>
      <c r="I330" s="34"/>
    </row>
    <row r="331">
      <c r="B331" s="34"/>
      <c r="C331" s="92"/>
      <c r="D331" s="34"/>
      <c r="H331" s="92"/>
      <c r="I331" s="34"/>
    </row>
    <row r="332">
      <c r="B332" s="34"/>
      <c r="C332" s="92"/>
      <c r="D332" s="34"/>
      <c r="H332" s="92"/>
      <c r="I332" s="34"/>
    </row>
    <row r="333">
      <c r="B333" s="34"/>
      <c r="C333" s="92"/>
      <c r="D333" s="34"/>
      <c r="H333" s="92"/>
      <c r="I333" s="34"/>
    </row>
    <row r="334">
      <c r="B334" s="34"/>
      <c r="C334" s="92"/>
      <c r="D334" s="34"/>
      <c r="H334" s="92"/>
      <c r="I334" s="34"/>
    </row>
    <row r="335">
      <c r="B335" s="34"/>
      <c r="C335" s="92"/>
      <c r="D335" s="34"/>
      <c r="H335" s="92"/>
      <c r="I335" s="34"/>
    </row>
    <row r="336">
      <c r="B336" s="34"/>
      <c r="C336" s="92"/>
      <c r="D336" s="34"/>
      <c r="H336" s="92"/>
      <c r="I336" s="34"/>
    </row>
    <row r="337">
      <c r="B337" s="34"/>
      <c r="C337" s="92"/>
      <c r="D337" s="34"/>
      <c r="H337" s="92"/>
      <c r="I337" s="34"/>
    </row>
    <row r="338">
      <c r="B338" s="34"/>
      <c r="C338" s="92"/>
      <c r="D338" s="34"/>
      <c r="H338" s="92"/>
      <c r="I338" s="34"/>
    </row>
    <row r="339">
      <c r="B339" s="34"/>
      <c r="C339" s="92"/>
      <c r="D339" s="34"/>
      <c r="H339" s="92"/>
      <c r="I339" s="34"/>
    </row>
    <row r="340">
      <c r="B340" s="34"/>
      <c r="C340" s="92"/>
      <c r="D340" s="34"/>
      <c r="H340" s="92"/>
      <c r="I340" s="34"/>
    </row>
    <row r="341">
      <c r="B341" s="34"/>
      <c r="C341" s="92"/>
      <c r="D341" s="34"/>
      <c r="H341" s="92"/>
      <c r="I341" s="34"/>
    </row>
    <row r="342">
      <c r="B342" s="34"/>
      <c r="C342" s="92"/>
      <c r="D342" s="34"/>
      <c r="H342" s="92"/>
      <c r="I342" s="34"/>
    </row>
    <row r="343">
      <c r="B343" s="34"/>
      <c r="C343" s="92"/>
      <c r="D343" s="34"/>
      <c r="H343" s="92"/>
      <c r="I343" s="34"/>
    </row>
    <row r="344">
      <c r="B344" s="34"/>
      <c r="C344" s="92"/>
      <c r="D344" s="34"/>
      <c r="H344" s="92"/>
      <c r="I344" s="34"/>
    </row>
    <row r="345">
      <c r="B345" s="34"/>
      <c r="C345" s="92"/>
      <c r="D345" s="34"/>
      <c r="H345" s="92"/>
      <c r="I345" s="34"/>
    </row>
    <row r="346">
      <c r="B346" s="34"/>
      <c r="C346" s="92"/>
      <c r="D346" s="34"/>
      <c r="H346" s="92"/>
      <c r="I346" s="34"/>
    </row>
    <row r="347">
      <c r="B347" s="34"/>
      <c r="C347" s="92"/>
      <c r="D347" s="34"/>
      <c r="H347" s="92"/>
      <c r="I347" s="34"/>
    </row>
    <row r="348">
      <c r="B348" s="34"/>
      <c r="C348" s="92"/>
      <c r="D348" s="34"/>
      <c r="H348" s="92"/>
      <c r="I348" s="34"/>
    </row>
    <row r="349">
      <c r="B349" s="34"/>
      <c r="C349" s="92"/>
      <c r="D349" s="34"/>
      <c r="H349" s="92"/>
      <c r="I349" s="34"/>
    </row>
    <row r="350">
      <c r="B350" s="34"/>
      <c r="C350" s="92"/>
      <c r="D350" s="34"/>
      <c r="H350" s="92"/>
      <c r="I350" s="34"/>
    </row>
    <row r="351">
      <c r="B351" s="34"/>
      <c r="C351" s="92"/>
      <c r="D351" s="34"/>
      <c r="H351" s="92"/>
      <c r="I351" s="34"/>
    </row>
    <row r="352">
      <c r="B352" s="34"/>
      <c r="C352" s="92"/>
      <c r="D352" s="34"/>
      <c r="H352" s="92"/>
      <c r="I352" s="34"/>
    </row>
    <row r="353">
      <c r="B353" s="34"/>
      <c r="C353" s="92"/>
      <c r="D353" s="34"/>
      <c r="H353" s="92"/>
      <c r="I353" s="34"/>
    </row>
    <row r="354">
      <c r="B354" s="34"/>
      <c r="C354" s="92"/>
      <c r="D354" s="34"/>
      <c r="H354" s="92"/>
      <c r="I354" s="34"/>
    </row>
    <row r="355">
      <c r="B355" s="34"/>
      <c r="C355" s="92"/>
      <c r="D355" s="34"/>
      <c r="H355" s="92"/>
      <c r="I355" s="34"/>
    </row>
    <row r="356">
      <c r="B356" s="34"/>
      <c r="C356" s="92"/>
      <c r="D356" s="34"/>
      <c r="H356" s="92"/>
      <c r="I356" s="34"/>
    </row>
    <row r="357">
      <c r="B357" s="34"/>
      <c r="C357" s="92"/>
      <c r="D357" s="34"/>
      <c r="H357" s="92"/>
      <c r="I357" s="34"/>
    </row>
    <row r="358">
      <c r="B358" s="34"/>
      <c r="C358" s="92"/>
      <c r="D358" s="34"/>
      <c r="H358" s="92"/>
      <c r="I358" s="34"/>
    </row>
    <row r="359">
      <c r="B359" s="34"/>
      <c r="C359" s="92"/>
      <c r="D359" s="34"/>
      <c r="H359" s="92"/>
      <c r="I359" s="34"/>
    </row>
    <row r="360">
      <c r="B360" s="34"/>
      <c r="C360" s="92"/>
      <c r="D360" s="34"/>
      <c r="H360" s="92"/>
      <c r="I360" s="34"/>
    </row>
    <row r="361">
      <c r="B361" s="34"/>
      <c r="C361" s="92"/>
      <c r="D361" s="34"/>
      <c r="H361" s="92"/>
      <c r="I361" s="34"/>
    </row>
    <row r="362">
      <c r="B362" s="34"/>
      <c r="C362" s="92"/>
      <c r="D362" s="34"/>
      <c r="H362" s="92"/>
      <c r="I362" s="34"/>
    </row>
    <row r="363">
      <c r="B363" s="34"/>
      <c r="C363" s="92"/>
      <c r="D363" s="34"/>
      <c r="H363" s="92"/>
      <c r="I363" s="34"/>
    </row>
    <row r="364">
      <c r="B364" s="34"/>
      <c r="C364" s="92"/>
      <c r="D364" s="34"/>
      <c r="H364" s="92"/>
      <c r="I364" s="34"/>
    </row>
    <row r="365">
      <c r="B365" s="34"/>
      <c r="C365" s="92"/>
      <c r="D365" s="34"/>
      <c r="H365" s="92"/>
      <c r="I365" s="34"/>
    </row>
    <row r="366">
      <c r="B366" s="34"/>
      <c r="C366" s="92"/>
      <c r="D366" s="34"/>
      <c r="H366" s="92"/>
      <c r="I366" s="34"/>
    </row>
    <row r="367">
      <c r="B367" s="34"/>
      <c r="C367" s="92"/>
      <c r="D367" s="34"/>
      <c r="H367" s="92"/>
      <c r="I367" s="34"/>
    </row>
    <row r="368">
      <c r="B368" s="34"/>
      <c r="C368" s="92"/>
      <c r="D368" s="34"/>
      <c r="H368" s="92"/>
      <c r="I368" s="34"/>
    </row>
    <row r="369">
      <c r="B369" s="34"/>
      <c r="C369" s="92"/>
      <c r="D369" s="34"/>
      <c r="H369" s="92"/>
      <c r="I369" s="34"/>
    </row>
    <row r="370">
      <c r="B370" s="34"/>
      <c r="C370" s="92"/>
      <c r="D370" s="34"/>
      <c r="H370" s="92"/>
      <c r="I370" s="34"/>
    </row>
    <row r="371">
      <c r="B371" s="34"/>
      <c r="C371" s="92"/>
      <c r="D371" s="34"/>
      <c r="H371" s="92"/>
      <c r="I371" s="34"/>
    </row>
    <row r="372">
      <c r="B372" s="34"/>
      <c r="C372" s="92"/>
      <c r="D372" s="34"/>
      <c r="H372" s="92"/>
      <c r="I372" s="34"/>
    </row>
    <row r="373">
      <c r="B373" s="34"/>
      <c r="C373" s="92"/>
      <c r="D373" s="34"/>
      <c r="H373" s="92"/>
      <c r="I373" s="34"/>
    </row>
    <row r="374">
      <c r="B374" s="34"/>
      <c r="C374" s="92"/>
      <c r="D374" s="34"/>
      <c r="H374" s="92"/>
      <c r="I374" s="34"/>
    </row>
    <row r="375">
      <c r="B375" s="34"/>
      <c r="C375" s="92"/>
      <c r="D375" s="34"/>
      <c r="H375" s="92"/>
      <c r="I375" s="34"/>
    </row>
    <row r="376">
      <c r="B376" s="34"/>
      <c r="C376" s="92"/>
      <c r="D376" s="34"/>
      <c r="H376" s="92"/>
      <c r="I376" s="34"/>
    </row>
    <row r="377">
      <c r="B377" s="34"/>
      <c r="C377" s="92"/>
      <c r="D377" s="34"/>
      <c r="H377" s="92"/>
      <c r="I377" s="34"/>
    </row>
    <row r="378">
      <c r="B378" s="34"/>
      <c r="C378" s="92"/>
      <c r="D378" s="34"/>
      <c r="H378" s="92"/>
      <c r="I378" s="34"/>
    </row>
    <row r="379">
      <c r="B379" s="34"/>
      <c r="C379" s="92"/>
      <c r="D379" s="34"/>
      <c r="H379" s="92"/>
      <c r="I379" s="34"/>
    </row>
    <row r="380">
      <c r="B380" s="34"/>
      <c r="C380" s="92"/>
      <c r="D380" s="34"/>
      <c r="H380" s="92"/>
      <c r="I380" s="34"/>
    </row>
    <row r="381">
      <c r="B381" s="34"/>
      <c r="C381" s="92"/>
      <c r="D381" s="34"/>
      <c r="H381" s="92"/>
      <c r="I381" s="34"/>
    </row>
    <row r="382">
      <c r="B382" s="34"/>
      <c r="C382" s="92"/>
      <c r="D382" s="34"/>
      <c r="H382" s="92"/>
      <c r="I382" s="34"/>
    </row>
    <row r="383">
      <c r="B383" s="34"/>
      <c r="C383" s="92"/>
      <c r="D383" s="34"/>
      <c r="H383" s="92"/>
      <c r="I383" s="34"/>
    </row>
    <row r="384">
      <c r="B384" s="34"/>
      <c r="C384" s="92"/>
      <c r="D384" s="34"/>
      <c r="H384" s="92"/>
      <c r="I384" s="34"/>
    </row>
    <row r="385">
      <c r="B385" s="34"/>
      <c r="C385" s="92"/>
      <c r="D385" s="34"/>
      <c r="H385" s="92"/>
      <c r="I385" s="34"/>
    </row>
    <row r="386">
      <c r="B386" s="34"/>
      <c r="C386" s="92"/>
      <c r="D386" s="34"/>
      <c r="H386" s="92"/>
      <c r="I386" s="34"/>
    </row>
    <row r="387">
      <c r="B387" s="34"/>
      <c r="C387" s="92"/>
      <c r="D387" s="34"/>
      <c r="H387" s="92"/>
      <c r="I387" s="34"/>
    </row>
    <row r="388">
      <c r="B388" s="34"/>
      <c r="C388" s="92"/>
      <c r="D388" s="34"/>
      <c r="H388" s="92"/>
      <c r="I388" s="34"/>
    </row>
    <row r="389">
      <c r="B389" s="34"/>
      <c r="C389" s="92"/>
      <c r="D389" s="34"/>
      <c r="H389" s="92"/>
      <c r="I389" s="34"/>
    </row>
    <row r="390">
      <c r="B390" s="34"/>
      <c r="C390" s="92"/>
      <c r="D390" s="34"/>
      <c r="H390" s="92"/>
      <c r="I390" s="34"/>
    </row>
    <row r="391">
      <c r="B391" s="34"/>
      <c r="C391" s="92"/>
      <c r="D391" s="34"/>
      <c r="H391" s="92"/>
      <c r="I391" s="34"/>
    </row>
    <row r="392">
      <c r="B392" s="34"/>
      <c r="C392" s="92"/>
      <c r="D392" s="34"/>
      <c r="H392" s="92"/>
      <c r="I392" s="34"/>
    </row>
    <row r="393">
      <c r="B393" s="34"/>
      <c r="C393" s="92"/>
      <c r="D393" s="34"/>
      <c r="H393" s="92"/>
      <c r="I393" s="34"/>
    </row>
    <row r="394">
      <c r="B394" s="34"/>
      <c r="C394" s="92"/>
      <c r="D394" s="34"/>
      <c r="H394" s="92"/>
      <c r="I394" s="34"/>
    </row>
    <row r="395">
      <c r="B395" s="34"/>
      <c r="C395" s="92"/>
      <c r="D395" s="34"/>
      <c r="H395" s="92"/>
      <c r="I395" s="34"/>
    </row>
    <row r="396">
      <c r="B396" s="34"/>
      <c r="C396" s="92"/>
      <c r="D396" s="34"/>
      <c r="H396" s="92"/>
      <c r="I396" s="34"/>
    </row>
    <row r="397">
      <c r="B397" s="34"/>
      <c r="C397" s="92"/>
      <c r="D397" s="34"/>
      <c r="H397" s="92"/>
      <c r="I397" s="34"/>
    </row>
    <row r="398">
      <c r="B398" s="34"/>
      <c r="C398" s="92"/>
      <c r="D398" s="34"/>
      <c r="H398" s="92"/>
      <c r="I398" s="34"/>
    </row>
    <row r="399">
      <c r="B399" s="34"/>
      <c r="C399" s="92"/>
      <c r="D399" s="34"/>
      <c r="H399" s="92"/>
      <c r="I399" s="34"/>
    </row>
    <row r="400">
      <c r="B400" s="34"/>
      <c r="C400" s="92"/>
      <c r="D400" s="34"/>
      <c r="H400" s="92"/>
      <c r="I400" s="34"/>
    </row>
    <row r="401">
      <c r="B401" s="34"/>
      <c r="C401" s="92"/>
      <c r="D401" s="34"/>
      <c r="H401" s="92"/>
      <c r="I401" s="34"/>
    </row>
    <row r="402">
      <c r="B402" s="34"/>
      <c r="C402" s="92"/>
      <c r="D402" s="34"/>
      <c r="H402" s="92"/>
      <c r="I402" s="34"/>
    </row>
    <row r="403">
      <c r="B403" s="34"/>
      <c r="C403" s="92"/>
      <c r="D403" s="34"/>
      <c r="H403" s="92"/>
      <c r="I403" s="34"/>
    </row>
    <row r="404">
      <c r="B404" s="34"/>
      <c r="C404" s="92"/>
      <c r="D404" s="34"/>
      <c r="H404" s="92"/>
      <c r="I404" s="34"/>
    </row>
    <row r="405">
      <c r="B405" s="34"/>
      <c r="C405" s="92"/>
      <c r="D405" s="34"/>
      <c r="H405" s="92"/>
      <c r="I405" s="34"/>
    </row>
    <row r="406">
      <c r="B406" s="34"/>
      <c r="C406" s="92"/>
      <c r="D406" s="34"/>
      <c r="H406" s="92"/>
      <c r="I406" s="34"/>
    </row>
    <row r="407">
      <c r="B407" s="34"/>
      <c r="C407" s="92"/>
      <c r="D407" s="34"/>
      <c r="H407" s="92"/>
      <c r="I407" s="34"/>
    </row>
    <row r="408">
      <c r="B408" s="34"/>
      <c r="C408" s="92"/>
      <c r="D408" s="34"/>
      <c r="H408" s="92"/>
      <c r="I408" s="34"/>
    </row>
    <row r="409">
      <c r="B409" s="34"/>
      <c r="C409" s="92"/>
      <c r="D409" s="34"/>
      <c r="H409" s="92"/>
      <c r="I409" s="34"/>
    </row>
    <row r="410">
      <c r="B410" s="34"/>
      <c r="C410" s="92"/>
      <c r="D410" s="34"/>
      <c r="H410" s="92"/>
      <c r="I410" s="34"/>
    </row>
    <row r="411">
      <c r="B411" s="34"/>
      <c r="C411" s="92"/>
      <c r="D411" s="34"/>
      <c r="H411" s="92"/>
      <c r="I411" s="34"/>
    </row>
    <row r="412">
      <c r="B412" s="34"/>
      <c r="C412" s="92"/>
      <c r="D412" s="34"/>
      <c r="H412" s="92"/>
      <c r="I412" s="34"/>
    </row>
    <row r="413">
      <c r="B413" s="34"/>
      <c r="C413" s="92"/>
      <c r="D413" s="34"/>
      <c r="H413" s="92"/>
      <c r="I413" s="34"/>
    </row>
    <row r="414">
      <c r="B414" s="34"/>
      <c r="C414" s="92"/>
      <c r="D414" s="34"/>
      <c r="H414" s="92"/>
      <c r="I414" s="34"/>
    </row>
    <row r="415">
      <c r="B415" s="34"/>
      <c r="C415" s="92"/>
      <c r="D415" s="34"/>
      <c r="H415" s="92"/>
      <c r="I415" s="34"/>
    </row>
    <row r="416">
      <c r="B416" s="34"/>
      <c r="C416" s="92"/>
      <c r="D416" s="34"/>
      <c r="H416" s="92"/>
      <c r="I416" s="34"/>
    </row>
    <row r="417">
      <c r="B417" s="34"/>
      <c r="C417" s="92"/>
      <c r="D417" s="34"/>
      <c r="H417" s="92"/>
      <c r="I417" s="34"/>
    </row>
    <row r="418">
      <c r="B418" s="34"/>
      <c r="C418" s="92"/>
      <c r="D418" s="34"/>
      <c r="H418" s="92"/>
      <c r="I418" s="34"/>
    </row>
    <row r="419">
      <c r="B419" s="34"/>
      <c r="C419" s="92"/>
      <c r="D419" s="34"/>
      <c r="H419" s="92"/>
      <c r="I419" s="34"/>
    </row>
    <row r="420">
      <c r="B420" s="34"/>
      <c r="C420" s="92"/>
      <c r="D420" s="34"/>
      <c r="H420" s="92"/>
      <c r="I420" s="34"/>
    </row>
    <row r="421">
      <c r="B421" s="34"/>
      <c r="C421" s="92"/>
      <c r="D421" s="34"/>
      <c r="H421" s="92"/>
      <c r="I421" s="34"/>
    </row>
    <row r="422">
      <c r="B422" s="34"/>
      <c r="C422" s="92"/>
      <c r="D422" s="34"/>
      <c r="H422" s="92"/>
      <c r="I422" s="34"/>
    </row>
    <row r="423">
      <c r="B423" s="34"/>
      <c r="C423" s="92"/>
      <c r="D423" s="34"/>
      <c r="H423" s="92"/>
      <c r="I423" s="34"/>
    </row>
    <row r="424">
      <c r="B424" s="34"/>
      <c r="C424" s="92"/>
      <c r="D424" s="34"/>
      <c r="H424" s="92"/>
      <c r="I424" s="34"/>
    </row>
    <row r="425">
      <c r="B425" s="34"/>
      <c r="C425" s="92"/>
      <c r="D425" s="34"/>
      <c r="H425" s="92"/>
      <c r="I425" s="34"/>
    </row>
    <row r="426">
      <c r="B426" s="34"/>
      <c r="C426" s="92"/>
      <c r="D426" s="34"/>
      <c r="H426" s="92"/>
      <c r="I426" s="34"/>
    </row>
    <row r="427">
      <c r="B427" s="34"/>
      <c r="C427" s="92"/>
      <c r="D427" s="34"/>
      <c r="H427" s="92"/>
      <c r="I427" s="34"/>
    </row>
    <row r="428">
      <c r="B428" s="34"/>
      <c r="C428" s="92"/>
      <c r="D428" s="34"/>
      <c r="H428" s="92"/>
      <c r="I428" s="34"/>
    </row>
    <row r="429">
      <c r="B429" s="34"/>
      <c r="C429" s="92"/>
      <c r="D429" s="34"/>
      <c r="H429" s="92"/>
      <c r="I429" s="34"/>
    </row>
    <row r="430">
      <c r="B430" s="34"/>
      <c r="C430" s="92"/>
      <c r="D430" s="34"/>
      <c r="H430" s="92"/>
      <c r="I430" s="34"/>
    </row>
    <row r="431">
      <c r="B431" s="34"/>
      <c r="C431" s="92"/>
      <c r="D431" s="34"/>
      <c r="H431" s="92"/>
      <c r="I431" s="34"/>
    </row>
    <row r="432">
      <c r="B432" s="34"/>
      <c r="C432" s="92"/>
      <c r="D432" s="34"/>
      <c r="H432" s="92"/>
      <c r="I432" s="34"/>
    </row>
    <row r="433">
      <c r="B433" s="34"/>
      <c r="C433" s="92"/>
      <c r="D433" s="34"/>
      <c r="H433" s="92"/>
      <c r="I433" s="34"/>
    </row>
    <row r="434">
      <c r="B434" s="34"/>
      <c r="C434" s="92"/>
      <c r="D434" s="34"/>
      <c r="H434" s="92"/>
      <c r="I434" s="34"/>
    </row>
    <row r="435">
      <c r="B435" s="34"/>
      <c r="C435" s="92"/>
      <c r="D435" s="34"/>
      <c r="H435" s="92"/>
      <c r="I435" s="34"/>
    </row>
    <row r="436">
      <c r="B436" s="34"/>
      <c r="C436" s="92"/>
      <c r="D436" s="34"/>
      <c r="H436" s="92"/>
      <c r="I436" s="34"/>
    </row>
    <row r="437">
      <c r="B437" s="34"/>
      <c r="C437" s="92"/>
      <c r="D437" s="34"/>
      <c r="H437" s="92"/>
      <c r="I437" s="34"/>
    </row>
    <row r="438">
      <c r="B438" s="34"/>
      <c r="C438" s="92"/>
      <c r="D438" s="34"/>
      <c r="H438" s="92"/>
      <c r="I438" s="34"/>
    </row>
    <row r="439">
      <c r="B439" s="34"/>
      <c r="C439" s="92"/>
      <c r="D439" s="34"/>
      <c r="H439" s="92"/>
      <c r="I439" s="34"/>
    </row>
    <row r="440">
      <c r="B440" s="34"/>
      <c r="C440" s="92"/>
      <c r="D440" s="34"/>
      <c r="H440" s="92"/>
      <c r="I440" s="34"/>
    </row>
    <row r="441">
      <c r="B441" s="34"/>
      <c r="C441" s="92"/>
      <c r="D441" s="34"/>
      <c r="H441" s="92"/>
      <c r="I441" s="34"/>
    </row>
    <row r="442">
      <c r="B442" s="34"/>
      <c r="C442" s="92"/>
      <c r="D442" s="34"/>
      <c r="H442" s="92"/>
      <c r="I442" s="34"/>
    </row>
    <row r="443">
      <c r="B443" s="34"/>
      <c r="C443" s="92"/>
      <c r="D443" s="34"/>
      <c r="H443" s="92"/>
      <c r="I443" s="34"/>
    </row>
    <row r="444">
      <c r="B444" s="34"/>
      <c r="C444" s="92"/>
      <c r="D444" s="34"/>
      <c r="H444" s="92"/>
      <c r="I444" s="34"/>
    </row>
    <row r="445">
      <c r="B445" s="34"/>
      <c r="C445" s="92"/>
      <c r="D445" s="34"/>
      <c r="H445" s="92"/>
      <c r="I445" s="34"/>
    </row>
    <row r="446">
      <c r="B446" s="34"/>
      <c r="C446" s="92"/>
      <c r="D446" s="34"/>
      <c r="H446" s="92"/>
      <c r="I446" s="34"/>
    </row>
    <row r="447">
      <c r="B447" s="34"/>
      <c r="C447" s="92"/>
      <c r="D447" s="34"/>
      <c r="H447" s="92"/>
      <c r="I447" s="34"/>
    </row>
    <row r="448">
      <c r="B448" s="34"/>
      <c r="C448" s="92"/>
      <c r="D448" s="34"/>
      <c r="H448" s="92"/>
      <c r="I448" s="34"/>
    </row>
    <row r="449">
      <c r="B449" s="34"/>
      <c r="C449" s="92"/>
      <c r="D449" s="34"/>
      <c r="H449" s="92"/>
      <c r="I449" s="34"/>
    </row>
    <row r="450">
      <c r="B450" s="34"/>
      <c r="C450" s="92"/>
      <c r="D450" s="34"/>
      <c r="H450" s="92"/>
      <c r="I450" s="34"/>
    </row>
    <row r="451">
      <c r="B451" s="34"/>
      <c r="C451" s="92"/>
      <c r="D451" s="34"/>
      <c r="H451" s="92"/>
      <c r="I451" s="34"/>
    </row>
    <row r="452">
      <c r="B452" s="34"/>
      <c r="C452" s="92"/>
      <c r="D452" s="34"/>
      <c r="H452" s="92"/>
      <c r="I452" s="34"/>
    </row>
    <row r="453">
      <c r="B453" s="34"/>
      <c r="C453" s="92"/>
      <c r="D453" s="34"/>
      <c r="H453" s="92"/>
      <c r="I453" s="34"/>
    </row>
    <row r="454">
      <c r="B454" s="34"/>
      <c r="C454" s="92"/>
      <c r="D454" s="34"/>
      <c r="H454" s="92"/>
      <c r="I454" s="34"/>
    </row>
    <row r="455">
      <c r="B455" s="34"/>
      <c r="C455" s="92"/>
      <c r="D455" s="34"/>
      <c r="H455" s="92"/>
      <c r="I455" s="34"/>
    </row>
    <row r="456">
      <c r="B456" s="34"/>
      <c r="C456" s="92"/>
      <c r="D456" s="34"/>
      <c r="H456" s="92"/>
      <c r="I456" s="34"/>
    </row>
    <row r="457">
      <c r="B457" s="34"/>
      <c r="C457" s="92"/>
      <c r="D457" s="34"/>
      <c r="H457" s="92"/>
      <c r="I457" s="34"/>
    </row>
    <row r="458">
      <c r="B458" s="34"/>
      <c r="C458" s="92"/>
      <c r="D458" s="34"/>
      <c r="H458" s="92"/>
      <c r="I458" s="34"/>
    </row>
    <row r="459">
      <c r="B459" s="34"/>
      <c r="C459" s="92"/>
      <c r="D459" s="34"/>
      <c r="H459" s="92"/>
      <c r="I459" s="34"/>
    </row>
    <row r="460">
      <c r="B460" s="34"/>
      <c r="C460" s="92"/>
      <c r="D460" s="34"/>
      <c r="H460" s="92"/>
      <c r="I460" s="34"/>
    </row>
    <row r="461">
      <c r="B461" s="34"/>
      <c r="C461" s="92"/>
      <c r="D461" s="34"/>
      <c r="H461" s="92"/>
      <c r="I461" s="34"/>
    </row>
    <row r="462">
      <c r="B462" s="34"/>
      <c r="C462" s="92"/>
      <c r="D462" s="34"/>
      <c r="H462" s="92"/>
      <c r="I462" s="34"/>
    </row>
    <row r="463">
      <c r="B463" s="34"/>
      <c r="C463" s="92"/>
      <c r="D463" s="34"/>
      <c r="H463" s="92"/>
      <c r="I463" s="34"/>
    </row>
    <row r="464">
      <c r="B464" s="34"/>
      <c r="C464" s="92"/>
      <c r="D464" s="34"/>
      <c r="H464" s="92"/>
      <c r="I464" s="34"/>
    </row>
    <row r="465">
      <c r="B465" s="34"/>
      <c r="C465" s="92"/>
      <c r="D465" s="34"/>
      <c r="H465" s="92"/>
      <c r="I465" s="34"/>
    </row>
    <row r="466">
      <c r="B466" s="34"/>
      <c r="C466" s="92"/>
      <c r="D466" s="34"/>
      <c r="H466" s="92"/>
      <c r="I466" s="34"/>
    </row>
    <row r="467">
      <c r="B467" s="34"/>
      <c r="C467" s="92"/>
      <c r="D467" s="34"/>
      <c r="H467" s="92"/>
      <c r="I467" s="34"/>
    </row>
    <row r="468">
      <c r="B468" s="34"/>
      <c r="C468" s="92"/>
      <c r="D468" s="34"/>
      <c r="H468" s="92"/>
      <c r="I468" s="34"/>
    </row>
    <row r="469">
      <c r="B469" s="34"/>
      <c r="C469" s="92"/>
      <c r="D469" s="34"/>
      <c r="H469" s="92"/>
      <c r="I469" s="34"/>
    </row>
    <row r="470">
      <c r="B470" s="34"/>
      <c r="C470" s="92"/>
      <c r="D470" s="34"/>
      <c r="H470" s="92"/>
      <c r="I470" s="34"/>
    </row>
    <row r="471">
      <c r="B471" s="34"/>
      <c r="C471" s="92"/>
      <c r="D471" s="34"/>
      <c r="H471" s="92"/>
      <c r="I471" s="34"/>
    </row>
    <row r="472">
      <c r="B472" s="34"/>
      <c r="C472" s="92"/>
      <c r="D472" s="34"/>
      <c r="H472" s="92"/>
      <c r="I472" s="34"/>
    </row>
    <row r="473">
      <c r="B473" s="34"/>
      <c r="C473" s="92"/>
      <c r="D473" s="34"/>
      <c r="H473" s="92"/>
      <c r="I473" s="34"/>
    </row>
    <row r="474">
      <c r="B474" s="34"/>
      <c r="C474" s="92"/>
      <c r="D474" s="34"/>
      <c r="H474" s="92"/>
      <c r="I474" s="34"/>
    </row>
    <row r="475">
      <c r="B475" s="34"/>
      <c r="C475" s="92"/>
      <c r="D475" s="34"/>
      <c r="H475" s="92"/>
      <c r="I475" s="34"/>
    </row>
    <row r="476">
      <c r="B476" s="34"/>
      <c r="C476" s="92"/>
      <c r="D476" s="34"/>
      <c r="H476" s="92"/>
      <c r="I476" s="34"/>
    </row>
    <row r="477">
      <c r="B477" s="34"/>
      <c r="C477" s="92"/>
      <c r="D477" s="34"/>
      <c r="H477" s="92"/>
      <c r="I477" s="34"/>
    </row>
    <row r="478">
      <c r="B478" s="34"/>
      <c r="C478" s="92"/>
      <c r="D478" s="34"/>
      <c r="H478" s="92"/>
      <c r="I478" s="34"/>
    </row>
    <row r="479">
      <c r="B479" s="34"/>
      <c r="C479" s="92"/>
      <c r="D479" s="34"/>
      <c r="H479" s="92"/>
      <c r="I479" s="34"/>
    </row>
    <row r="480">
      <c r="B480" s="34"/>
      <c r="C480" s="92"/>
      <c r="D480" s="34"/>
      <c r="H480" s="92"/>
      <c r="I480" s="34"/>
    </row>
    <row r="481">
      <c r="B481" s="34"/>
      <c r="C481" s="92"/>
      <c r="D481" s="34"/>
      <c r="H481" s="92"/>
      <c r="I481" s="34"/>
    </row>
    <row r="482">
      <c r="B482" s="34"/>
      <c r="C482" s="92"/>
      <c r="D482" s="34"/>
      <c r="H482" s="92"/>
      <c r="I482" s="34"/>
    </row>
    <row r="483">
      <c r="B483" s="34"/>
      <c r="C483" s="92"/>
      <c r="D483" s="34"/>
      <c r="H483" s="92"/>
      <c r="I483" s="34"/>
    </row>
    <row r="484">
      <c r="B484" s="34"/>
      <c r="C484" s="92"/>
      <c r="D484" s="34"/>
      <c r="H484" s="92"/>
      <c r="I484" s="34"/>
    </row>
    <row r="485">
      <c r="B485" s="34"/>
      <c r="C485" s="92"/>
      <c r="D485" s="34"/>
      <c r="H485" s="92"/>
      <c r="I485" s="34"/>
    </row>
    <row r="486">
      <c r="B486" s="34"/>
      <c r="C486" s="92"/>
      <c r="D486" s="34"/>
      <c r="H486" s="92"/>
      <c r="I486" s="34"/>
    </row>
    <row r="487">
      <c r="B487" s="34"/>
      <c r="C487" s="92"/>
      <c r="D487" s="34"/>
      <c r="H487" s="92"/>
      <c r="I487" s="34"/>
    </row>
    <row r="488">
      <c r="B488" s="34"/>
      <c r="C488" s="92"/>
      <c r="D488" s="34"/>
      <c r="H488" s="92"/>
      <c r="I488" s="34"/>
    </row>
    <row r="489">
      <c r="B489" s="34"/>
      <c r="C489" s="92"/>
      <c r="D489" s="34"/>
      <c r="H489" s="92"/>
      <c r="I489" s="34"/>
    </row>
    <row r="490">
      <c r="B490" s="34"/>
      <c r="C490" s="92"/>
      <c r="D490" s="34"/>
      <c r="H490" s="92"/>
      <c r="I490" s="34"/>
    </row>
    <row r="491">
      <c r="B491" s="34"/>
      <c r="C491" s="92"/>
      <c r="D491" s="34"/>
      <c r="H491" s="92"/>
      <c r="I491" s="34"/>
    </row>
    <row r="492">
      <c r="B492" s="34"/>
      <c r="C492" s="92"/>
      <c r="D492" s="34"/>
      <c r="H492" s="92"/>
      <c r="I492" s="34"/>
    </row>
    <row r="493">
      <c r="B493" s="34"/>
      <c r="C493" s="92"/>
      <c r="D493" s="34"/>
      <c r="H493" s="92"/>
      <c r="I493" s="34"/>
    </row>
    <row r="494">
      <c r="B494" s="34"/>
      <c r="C494" s="92"/>
      <c r="D494" s="34"/>
      <c r="H494" s="92"/>
      <c r="I494" s="34"/>
    </row>
    <row r="495">
      <c r="B495" s="34"/>
      <c r="C495" s="92"/>
      <c r="D495" s="34"/>
      <c r="H495" s="92"/>
      <c r="I495" s="34"/>
    </row>
    <row r="496">
      <c r="B496" s="34"/>
      <c r="C496" s="92"/>
      <c r="D496" s="34"/>
      <c r="H496" s="92"/>
      <c r="I496" s="34"/>
    </row>
    <row r="497">
      <c r="B497" s="34"/>
      <c r="C497" s="92"/>
      <c r="D497" s="34"/>
      <c r="H497" s="92"/>
      <c r="I497" s="34"/>
    </row>
    <row r="498">
      <c r="B498" s="34"/>
      <c r="C498" s="92"/>
      <c r="D498" s="34"/>
      <c r="H498" s="92"/>
      <c r="I498" s="34"/>
    </row>
    <row r="499">
      <c r="B499" s="34"/>
      <c r="C499" s="92"/>
      <c r="D499" s="34"/>
      <c r="H499" s="92"/>
      <c r="I499" s="34"/>
    </row>
    <row r="500">
      <c r="B500" s="34"/>
      <c r="C500" s="92"/>
      <c r="D500" s="34"/>
      <c r="H500" s="92"/>
      <c r="I500" s="34"/>
    </row>
    <row r="501">
      <c r="B501" s="34"/>
      <c r="C501" s="92"/>
      <c r="D501" s="34"/>
      <c r="H501" s="92"/>
      <c r="I501" s="34"/>
    </row>
    <row r="502">
      <c r="B502" s="34"/>
      <c r="C502" s="92"/>
      <c r="D502" s="34"/>
      <c r="H502" s="92"/>
      <c r="I502" s="34"/>
    </row>
    <row r="503">
      <c r="B503" s="34"/>
      <c r="C503" s="92"/>
      <c r="D503" s="34"/>
      <c r="H503" s="92"/>
      <c r="I503" s="34"/>
    </row>
    <row r="504">
      <c r="B504" s="34"/>
      <c r="C504" s="92"/>
      <c r="D504" s="34"/>
      <c r="H504" s="92"/>
      <c r="I504" s="34"/>
    </row>
    <row r="505">
      <c r="B505" s="34"/>
      <c r="C505" s="92"/>
      <c r="D505" s="34"/>
      <c r="H505" s="92"/>
      <c r="I505" s="34"/>
    </row>
    <row r="506">
      <c r="B506" s="34"/>
      <c r="C506" s="92"/>
      <c r="D506" s="34"/>
      <c r="H506" s="92"/>
      <c r="I506" s="34"/>
    </row>
    <row r="507">
      <c r="B507" s="34"/>
      <c r="C507" s="92"/>
      <c r="D507" s="34"/>
      <c r="H507" s="92"/>
      <c r="I507" s="34"/>
    </row>
    <row r="508">
      <c r="B508" s="34"/>
      <c r="C508" s="92"/>
      <c r="D508" s="34"/>
      <c r="H508" s="92"/>
      <c r="I508" s="34"/>
    </row>
    <row r="509">
      <c r="B509" s="34"/>
      <c r="C509" s="92"/>
      <c r="D509" s="34"/>
      <c r="H509" s="92"/>
      <c r="I509" s="34"/>
    </row>
    <row r="510">
      <c r="B510" s="34"/>
      <c r="C510" s="92"/>
      <c r="D510" s="34"/>
      <c r="H510" s="92"/>
      <c r="I510" s="34"/>
    </row>
    <row r="511">
      <c r="B511" s="34"/>
      <c r="C511" s="92"/>
      <c r="D511" s="34"/>
      <c r="H511" s="92"/>
      <c r="I511" s="34"/>
    </row>
    <row r="512">
      <c r="B512" s="34"/>
      <c r="C512" s="92"/>
      <c r="D512" s="34"/>
      <c r="H512" s="92"/>
      <c r="I512" s="34"/>
    </row>
    <row r="513">
      <c r="B513" s="34"/>
      <c r="C513" s="92"/>
      <c r="D513" s="34"/>
      <c r="H513" s="92"/>
      <c r="I513" s="34"/>
    </row>
    <row r="514">
      <c r="B514" s="34"/>
      <c r="C514" s="92"/>
      <c r="D514" s="34"/>
      <c r="H514" s="92"/>
      <c r="I514" s="34"/>
    </row>
    <row r="515">
      <c r="B515" s="34"/>
      <c r="C515" s="92"/>
      <c r="D515" s="34"/>
      <c r="H515" s="92"/>
      <c r="I515" s="34"/>
    </row>
    <row r="516">
      <c r="B516" s="34"/>
      <c r="C516" s="92"/>
      <c r="D516" s="34"/>
      <c r="H516" s="92"/>
      <c r="I516" s="34"/>
    </row>
    <row r="517">
      <c r="B517" s="34"/>
      <c r="C517" s="92"/>
      <c r="D517" s="34"/>
      <c r="H517" s="92"/>
      <c r="I517" s="34"/>
    </row>
    <row r="518">
      <c r="B518" s="34"/>
      <c r="C518" s="92"/>
      <c r="D518" s="34"/>
      <c r="H518" s="92"/>
      <c r="I518" s="34"/>
    </row>
    <row r="519">
      <c r="B519" s="34"/>
      <c r="C519" s="92"/>
      <c r="D519" s="34"/>
      <c r="H519" s="92"/>
      <c r="I519" s="34"/>
    </row>
    <row r="520">
      <c r="B520" s="34"/>
      <c r="C520" s="92"/>
      <c r="D520" s="34"/>
      <c r="H520" s="92"/>
      <c r="I520" s="34"/>
    </row>
    <row r="521">
      <c r="B521" s="34"/>
      <c r="C521" s="92"/>
      <c r="D521" s="34"/>
      <c r="H521" s="92"/>
      <c r="I521" s="34"/>
    </row>
    <row r="522">
      <c r="B522" s="34"/>
      <c r="C522" s="92"/>
      <c r="D522" s="34"/>
      <c r="H522" s="92"/>
      <c r="I522" s="34"/>
    </row>
    <row r="523">
      <c r="B523" s="34"/>
      <c r="C523" s="92"/>
      <c r="D523" s="34"/>
      <c r="H523" s="92"/>
      <c r="I523" s="34"/>
    </row>
    <row r="524">
      <c r="B524" s="34"/>
      <c r="C524" s="92"/>
      <c r="D524" s="34"/>
      <c r="H524" s="92"/>
      <c r="I524" s="34"/>
    </row>
    <row r="525">
      <c r="B525" s="34"/>
      <c r="C525" s="92"/>
      <c r="D525" s="34"/>
      <c r="H525" s="92"/>
      <c r="I525" s="34"/>
    </row>
    <row r="526">
      <c r="B526" s="34"/>
      <c r="C526" s="92"/>
      <c r="D526" s="34"/>
      <c r="H526" s="92"/>
      <c r="I526" s="34"/>
    </row>
    <row r="527">
      <c r="B527" s="34"/>
      <c r="C527" s="92"/>
      <c r="D527" s="34"/>
      <c r="H527" s="92"/>
      <c r="I527" s="34"/>
    </row>
    <row r="528">
      <c r="B528" s="34"/>
      <c r="C528" s="92"/>
      <c r="D528" s="34"/>
      <c r="H528" s="92"/>
      <c r="I528" s="34"/>
    </row>
    <row r="529">
      <c r="B529" s="34"/>
      <c r="C529" s="92"/>
      <c r="D529" s="34"/>
      <c r="H529" s="92"/>
      <c r="I529" s="34"/>
    </row>
    <row r="530">
      <c r="B530" s="34"/>
      <c r="C530" s="92"/>
      <c r="D530" s="34"/>
      <c r="H530" s="92"/>
      <c r="I530" s="34"/>
    </row>
    <row r="531">
      <c r="B531" s="34"/>
      <c r="C531" s="92"/>
      <c r="D531" s="34"/>
      <c r="H531" s="92"/>
      <c r="I531" s="34"/>
    </row>
    <row r="532">
      <c r="B532" s="34"/>
      <c r="C532" s="92"/>
      <c r="D532" s="34"/>
      <c r="H532" s="92"/>
      <c r="I532" s="34"/>
    </row>
    <row r="533">
      <c r="B533" s="34"/>
      <c r="C533" s="92"/>
      <c r="D533" s="34"/>
      <c r="H533" s="92"/>
      <c r="I533" s="34"/>
    </row>
    <row r="534">
      <c r="B534" s="34"/>
      <c r="C534" s="92"/>
      <c r="D534" s="34"/>
      <c r="H534" s="92"/>
      <c r="I534" s="34"/>
    </row>
    <row r="535">
      <c r="B535" s="34"/>
      <c r="C535" s="92"/>
      <c r="D535" s="34"/>
      <c r="H535" s="92"/>
      <c r="I535" s="34"/>
    </row>
    <row r="536">
      <c r="B536" s="34"/>
      <c r="C536" s="92"/>
      <c r="D536" s="34"/>
      <c r="H536" s="92"/>
      <c r="I536" s="34"/>
    </row>
    <row r="537">
      <c r="B537" s="34"/>
      <c r="C537" s="92"/>
      <c r="D537" s="34"/>
      <c r="H537" s="92"/>
      <c r="I537" s="34"/>
    </row>
    <row r="538">
      <c r="B538" s="34"/>
      <c r="C538" s="92"/>
      <c r="D538" s="34"/>
      <c r="H538" s="92"/>
      <c r="I538" s="34"/>
    </row>
    <row r="539">
      <c r="B539" s="34"/>
      <c r="C539" s="92"/>
      <c r="D539" s="34"/>
      <c r="H539" s="92"/>
      <c r="I539" s="34"/>
    </row>
    <row r="540">
      <c r="B540" s="34"/>
      <c r="C540" s="92"/>
      <c r="D540" s="34"/>
      <c r="H540" s="92"/>
      <c r="I540" s="34"/>
    </row>
    <row r="541">
      <c r="B541" s="34"/>
      <c r="C541" s="92"/>
      <c r="D541" s="34"/>
      <c r="H541" s="92"/>
      <c r="I541" s="34"/>
    </row>
    <row r="542">
      <c r="B542" s="34"/>
      <c r="C542" s="92"/>
      <c r="D542" s="34"/>
      <c r="H542" s="92"/>
      <c r="I542" s="34"/>
    </row>
    <row r="543">
      <c r="B543" s="34"/>
      <c r="C543" s="92"/>
      <c r="D543" s="34"/>
      <c r="H543" s="92"/>
      <c r="I543" s="34"/>
    </row>
    <row r="544">
      <c r="B544" s="34"/>
      <c r="C544" s="92"/>
      <c r="D544" s="34"/>
      <c r="H544" s="92"/>
      <c r="I544" s="34"/>
    </row>
    <row r="545">
      <c r="B545" s="34"/>
      <c r="C545" s="92"/>
      <c r="D545" s="34"/>
      <c r="H545" s="92"/>
      <c r="I545" s="34"/>
    </row>
    <row r="546">
      <c r="B546" s="34"/>
      <c r="C546" s="92"/>
      <c r="D546" s="34"/>
      <c r="H546" s="92"/>
      <c r="I546" s="34"/>
    </row>
    <row r="547">
      <c r="B547" s="34"/>
      <c r="C547" s="92"/>
      <c r="D547" s="34"/>
      <c r="H547" s="92"/>
      <c r="I547" s="34"/>
    </row>
    <row r="548">
      <c r="B548" s="34"/>
      <c r="C548" s="92"/>
      <c r="D548" s="34"/>
      <c r="H548" s="92"/>
      <c r="I548" s="34"/>
    </row>
    <row r="549">
      <c r="B549" s="34"/>
      <c r="C549" s="92"/>
      <c r="D549" s="34"/>
      <c r="H549" s="92"/>
      <c r="I549" s="34"/>
    </row>
    <row r="550">
      <c r="B550" s="34"/>
      <c r="C550" s="92"/>
      <c r="D550" s="34"/>
      <c r="H550" s="92"/>
      <c r="I550" s="34"/>
    </row>
    <row r="551">
      <c r="B551" s="34"/>
      <c r="C551" s="92"/>
      <c r="D551" s="34"/>
      <c r="H551" s="92"/>
      <c r="I551" s="34"/>
    </row>
    <row r="552">
      <c r="B552" s="34"/>
      <c r="C552" s="92"/>
      <c r="D552" s="34"/>
      <c r="H552" s="92"/>
      <c r="I552" s="34"/>
    </row>
    <row r="553">
      <c r="B553" s="34"/>
      <c r="C553" s="92"/>
      <c r="D553" s="34"/>
      <c r="H553" s="92"/>
      <c r="I553" s="34"/>
    </row>
    <row r="554">
      <c r="B554" s="34"/>
      <c r="C554" s="92"/>
      <c r="D554" s="34"/>
      <c r="H554" s="92"/>
      <c r="I554" s="34"/>
    </row>
    <row r="555">
      <c r="B555" s="34"/>
      <c r="C555" s="92"/>
      <c r="D555" s="34"/>
      <c r="H555" s="92"/>
      <c r="I555" s="34"/>
    </row>
    <row r="556">
      <c r="B556" s="34"/>
      <c r="C556" s="92"/>
      <c r="D556" s="34"/>
      <c r="H556" s="92"/>
      <c r="I556" s="34"/>
    </row>
    <row r="557">
      <c r="B557" s="34"/>
      <c r="C557" s="92"/>
      <c r="D557" s="34"/>
      <c r="H557" s="92"/>
      <c r="I557" s="34"/>
    </row>
    <row r="558">
      <c r="B558" s="34"/>
      <c r="C558" s="92"/>
      <c r="D558" s="34"/>
      <c r="H558" s="92"/>
      <c r="I558" s="34"/>
    </row>
    <row r="559">
      <c r="B559" s="34"/>
      <c r="C559" s="92"/>
      <c r="D559" s="34"/>
      <c r="H559" s="92"/>
      <c r="I559" s="34"/>
    </row>
    <row r="560">
      <c r="B560" s="34"/>
      <c r="C560" s="92"/>
      <c r="D560" s="34"/>
      <c r="H560" s="92"/>
      <c r="I560" s="34"/>
    </row>
    <row r="561">
      <c r="B561" s="34"/>
      <c r="C561" s="92"/>
      <c r="D561" s="34"/>
      <c r="H561" s="92"/>
      <c r="I561" s="34"/>
    </row>
    <row r="562">
      <c r="B562" s="34"/>
      <c r="C562" s="92"/>
      <c r="D562" s="34"/>
      <c r="H562" s="92"/>
      <c r="I562" s="34"/>
    </row>
    <row r="563">
      <c r="B563" s="34"/>
      <c r="C563" s="92"/>
      <c r="D563" s="34"/>
      <c r="H563" s="92"/>
      <c r="I563" s="34"/>
    </row>
    <row r="564">
      <c r="B564" s="34"/>
      <c r="C564" s="92"/>
      <c r="D564" s="34"/>
      <c r="H564" s="92"/>
      <c r="I564" s="34"/>
    </row>
    <row r="565">
      <c r="B565" s="34"/>
      <c r="C565" s="92"/>
      <c r="D565" s="34"/>
      <c r="H565" s="92"/>
      <c r="I565" s="34"/>
    </row>
    <row r="566">
      <c r="B566" s="34"/>
      <c r="C566" s="92"/>
      <c r="D566" s="34"/>
      <c r="H566" s="92"/>
      <c r="I566" s="34"/>
    </row>
    <row r="567">
      <c r="B567" s="34"/>
      <c r="C567" s="92"/>
      <c r="D567" s="34"/>
      <c r="H567" s="92"/>
      <c r="I567" s="34"/>
    </row>
    <row r="568">
      <c r="B568" s="34"/>
      <c r="C568" s="92"/>
      <c r="D568" s="34"/>
      <c r="H568" s="92"/>
      <c r="I568" s="34"/>
    </row>
    <row r="569">
      <c r="B569" s="34"/>
      <c r="C569" s="92"/>
      <c r="D569" s="34"/>
      <c r="H569" s="92"/>
      <c r="I569" s="34"/>
    </row>
    <row r="570">
      <c r="B570" s="34"/>
      <c r="C570" s="92"/>
      <c r="D570" s="34"/>
      <c r="H570" s="92"/>
      <c r="I570" s="34"/>
    </row>
    <row r="571">
      <c r="B571" s="34"/>
      <c r="C571" s="92"/>
      <c r="D571" s="34"/>
      <c r="H571" s="92"/>
      <c r="I571" s="34"/>
    </row>
    <row r="572">
      <c r="B572" s="34"/>
      <c r="C572" s="92"/>
      <c r="D572" s="34"/>
      <c r="H572" s="92"/>
      <c r="I572" s="34"/>
    </row>
    <row r="573">
      <c r="B573" s="34"/>
      <c r="C573" s="92"/>
      <c r="D573" s="34"/>
      <c r="H573" s="92"/>
      <c r="I573" s="34"/>
    </row>
    <row r="574">
      <c r="B574" s="34"/>
      <c r="C574" s="92"/>
      <c r="D574" s="34"/>
      <c r="H574" s="92"/>
      <c r="I574" s="34"/>
    </row>
    <row r="575">
      <c r="B575" s="34"/>
      <c r="C575" s="92"/>
      <c r="D575" s="34"/>
      <c r="H575" s="92"/>
      <c r="I575" s="34"/>
    </row>
    <row r="576">
      <c r="B576" s="34"/>
      <c r="C576" s="92"/>
      <c r="D576" s="34"/>
      <c r="H576" s="92"/>
      <c r="I576" s="34"/>
    </row>
    <row r="577">
      <c r="B577" s="34"/>
      <c r="C577" s="92"/>
      <c r="D577" s="34"/>
      <c r="H577" s="92"/>
      <c r="I577" s="34"/>
    </row>
    <row r="578">
      <c r="B578" s="34"/>
      <c r="C578" s="92"/>
      <c r="D578" s="34"/>
      <c r="H578" s="92"/>
      <c r="I578" s="34"/>
    </row>
    <row r="579">
      <c r="B579" s="34"/>
      <c r="C579" s="92"/>
      <c r="D579" s="34"/>
      <c r="H579" s="92"/>
      <c r="I579" s="34"/>
    </row>
    <row r="580">
      <c r="B580" s="34"/>
      <c r="C580" s="92"/>
      <c r="D580" s="34"/>
      <c r="H580" s="92"/>
      <c r="I580" s="34"/>
    </row>
    <row r="581">
      <c r="B581" s="34"/>
      <c r="C581" s="92"/>
      <c r="D581" s="34"/>
      <c r="H581" s="92"/>
      <c r="I581" s="34"/>
    </row>
    <row r="582">
      <c r="B582" s="34"/>
      <c r="C582" s="92"/>
      <c r="D582" s="34"/>
      <c r="H582" s="92"/>
      <c r="I582" s="34"/>
    </row>
    <row r="583">
      <c r="B583" s="34"/>
      <c r="C583" s="92"/>
      <c r="D583" s="34"/>
      <c r="H583" s="92"/>
      <c r="I583" s="34"/>
    </row>
    <row r="584">
      <c r="B584" s="34"/>
      <c r="C584" s="92"/>
      <c r="D584" s="34"/>
      <c r="H584" s="92"/>
      <c r="I584" s="34"/>
    </row>
    <row r="585">
      <c r="B585" s="34"/>
      <c r="C585" s="92"/>
      <c r="D585" s="34"/>
      <c r="H585" s="92"/>
      <c r="I585" s="34"/>
    </row>
    <row r="586">
      <c r="B586" s="34"/>
      <c r="C586" s="92"/>
      <c r="D586" s="34"/>
      <c r="H586" s="92"/>
      <c r="I586" s="34"/>
    </row>
    <row r="587">
      <c r="B587" s="34"/>
      <c r="C587" s="92"/>
      <c r="D587" s="34"/>
      <c r="H587" s="92"/>
      <c r="I587" s="34"/>
    </row>
    <row r="588">
      <c r="B588" s="34"/>
      <c r="C588" s="92"/>
      <c r="D588" s="34"/>
      <c r="H588" s="92"/>
      <c r="I588" s="34"/>
    </row>
    <row r="589">
      <c r="B589" s="34"/>
      <c r="C589" s="92"/>
      <c r="D589" s="34"/>
      <c r="H589" s="92"/>
      <c r="I589" s="34"/>
    </row>
    <row r="590">
      <c r="B590" s="34"/>
      <c r="C590" s="92"/>
      <c r="D590" s="34"/>
      <c r="H590" s="92"/>
      <c r="I590" s="34"/>
    </row>
    <row r="591">
      <c r="B591" s="34"/>
      <c r="C591" s="92"/>
      <c r="D591" s="34"/>
      <c r="H591" s="92"/>
      <c r="I591" s="34"/>
    </row>
    <row r="592">
      <c r="B592" s="34"/>
      <c r="C592" s="92"/>
      <c r="D592" s="34"/>
      <c r="H592" s="92"/>
      <c r="I592" s="34"/>
    </row>
    <row r="593">
      <c r="B593" s="34"/>
      <c r="C593" s="92"/>
      <c r="D593" s="34"/>
      <c r="H593" s="92"/>
      <c r="I593" s="34"/>
    </row>
    <row r="594">
      <c r="B594" s="34"/>
      <c r="C594" s="92"/>
      <c r="D594" s="34"/>
      <c r="H594" s="92"/>
      <c r="I594" s="34"/>
    </row>
    <row r="595">
      <c r="B595" s="34"/>
      <c r="C595" s="92"/>
      <c r="D595" s="34"/>
      <c r="H595" s="92"/>
      <c r="I595" s="34"/>
    </row>
    <row r="596">
      <c r="B596" s="34"/>
      <c r="C596" s="92"/>
      <c r="D596" s="34"/>
      <c r="H596" s="92"/>
      <c r="I596" s="34"/>
    </row>
    <row r="597">
      <c r="B597" s="34"/>
      <c r="C597" s="92"/>
      <c r="D597" s="34"/>
      <c r="H597" s="92"/>
      <c r="I597" s="34"/>
    </row>
    <row r="598">
      <c r="B598" s="34"/>
      <c r="C598" s="92"/>
      <c r="D598" s="34"/>
      <c r="H598" s="92"/>
      <c r="I598" s="34"/>
    </row>
    <row r="599">
      <c r="B599" s="34"/>
      <c r="C599" s="92"/>
      <c r="D599" s="34"/>
      <c r="H599" s="92"/>
      <c r="I599" s="34"/>
    </row>
    <row r="600">
      <c r="B600" s="34"/>
      <c r="C600" s="92"/>
      <c r="D600" s="34"/>
      <c r="H600" s="92"/>
      <c r="I600" s="34"/>
    </row>
    <row r="601">
      <c r="B601" s="34"/>
      <c r="C601" s="92"/>
      <c r="D601" s="34"/>
      <c r="H601" s="92"/>
      <c r="I601" s="34"/>
    </row>
    <row r="602">
      <c r="B602" s="34"/>
      <c r="C602" s="92"/>
      <c r="D602" s="34"/>
      <c r="H602" s="92"/>
      <c r="I602" s="34"/>
    </row>
    <row r="603">
      <c r="B603" s="34"/>
      <c r="C603" s="92"/>
      <c r="D603" s="34"/>
      <c r="H603" s="92"/>
      <c r="I603" s="34"/>
    </row>
    <row r="604">
      <c r="B604" s="34"/>
      <c r="C604" s="92"/>
      <c r="D604" s="34"/>
      <c r="H604" s="92"/>
      <c r="I604" s="34"/>
    </row>
    <row r="605">
      <c r="B605" s="34"/>
      <c r="C605" s="92"/>
      <c r="D605" s="34"/>
      <c r="H605" s="92"/>
      <c r="I605" s="34"/>
    </row>
    <row r="606">
      <c r="B606" s="34"/>
      <c r="C606" s="92"/>
      <c r="D606" s="34"/>
      <c r="H606" s="92"/>
      <c r="I606" s="34"/>
    </row>
    <row r="607">
      <c r="B607" s="34"/>
      <c r="C607" s="92"/>
      <c r="D607" s="34"/>
      <c r="H607" s="92"/>
      <c r="I607" s="34"/>
    </row>
    <row r="608">
      <c r="B608" s="34"/>
      <c r="C608" s="92"/>
      <c r="D608" s="34"/>
      <c r="H608" s="92"/>
      <c r="I608" s="34"/>
    </row>
    <row r="609">
      <c r="B609" s="34"/>
      <c r="C609" s="92"/>
      <c r="D609" s="34"/>
      <c r="H609" s="92"/>
      <c r="I609" s="34"/>
    </row>
    <row r="610">
      <c r="B610" s="34"/>
      <c r="C610" s="92"/>
      <c r="D610" s="34"/>
      <c r="H610" s="92"/>
      <c r="I610" s="34"/>
    </row>
    <row r="611">
      <c r="B611" s="34"/>
      <c r="C611" s="92"/>
      <c r="D611" s="34"/>
      <c r="H611" s="92"/>
      <c r="I611" s="34"/>
    </row>
    <row r="612">
      <c r="B612" s="34"/>
      <c r="C612" s="92"/>
      <c r="D612" s="34"/>
      <c r="H612" s="92"/>
      <c r="I612" s="34"/>
    </row>
    <row r="613">
      <c r="B613" s="34"/>
      <c r="C613" s="92"/>
      <c r="D613" s="34"/>
      <c r="H613" s="92"/>
      <c r="I613" s="34"/>
    </row>
    <row r="614">
      <c r="B614" s="34"/>
      <c r="C614" s="92"/>
      <c r="D614" s="34"/>
      <c r="H614" s="92"/>
      <c r="I614" s="34"/>
    </row>
    <row r="615">
      <c r="B615" s="34"/>
      <c r="C615" s="92"/>
      <c r="D615" s="34"/>
      <c r="H615" s="92"/>
      <c r="I615" s="34"/>
    </row>
    <row r="616">
      <c r="B616" s="34"/>
      <c r="C616" s="92"/>
      <c r="D616" s="34"/>
      <c r="H616" s="92"/>
      <c r="I616" s="34"/>
    </row>
    <row r="617">
      <c r="B617" s="34"/>
      <c r="C617" s="92"/>
      <c r="D617" s="34"/>
      <c r="H617" s="92"/>
      <c r="I617" s="34"/>
    </row>
    <row r="618">
      <c r="B618" s="34"/>
      <c r="C618" s="92"/>
      <c r="D618" s="34"/>
      <c r="H618" s="92"/>
      <c r="I618" s="34"/>
    </row>
    <row r="619">
      <c r="B619" s="34"/>
      <c r="C619" s="92"/>
      <c r="D619" s="34"/>
      <c r="H619" s="92"/>
      <c r="I619" s="34"/>
    </row>
    <row r="620">
      <c r="B620" s="34"/>
      <c r="C620" s="92"/>
      <c r="D620" s="34"/>
      <c r="H620" s="92"/>
      <c r="I620" s="34"/>
    </row>
    <row r="621">
      <c r="B621" s="34"/>
      <c r="C621" s="92"/>
      <c r="D621" s="34"/>
      <c r="H621" s="92"/>
      <c r="I621" s="34"/>
    </row>
    <row r="622">
      <c r="B622" s="34"/>
      <c r="C622" s="92"/>
      <c r="D622" s="34"/>
      <c r="H622" s="92"/>
      <c r="I622" s="34"/>
    </row>
    <row r="623">
      <c r="B623" s="34"/>
      <c r="C623" s="92"/>
      <c r="D623" s="34"/>
      <c r="H623" s="92"/>
      <c r="I623" s="34"/>
    </row>
    <row r="624">
      <c r="B624" s="34"/>
      <c r="C624" s="92"/>
      <c r="D624" s="34"/>
      <c r="H624" s="92"/>
      <c r="I624" s="34"/>
    </row>
    <row r="625">
      <c r="B625" s="34"/>
      <c r="C625" s="92"/>
      <c r="D625" s="34"/>
      <c r="H625" s="92"/>
      <c r="I625" s="34"/>
    </row>
    <row r="626">
      <c r="B626" s="34"/>
      <c r="C626" s="92"/>
      <c r="D626" s="34"/>
      <c r="H626" s="92"/>
      <c r="I626" s="34"/>
    </row>
    <row r="627">
      <c r="B627" s="34"/>
      <c r="C627" s="92"/>
      <c r="D627" s="34"/>
      <c r="H627" s="92"/>
      <c r="I627" s="34"/>
    </row>
    <row r="628">
      <c r="B628" s="34"/>
      <c r="C628" s="92"/>
      <c r="D628" s="34"/>
      <c r="H628" s="92"/>
      <c r="I628" s="34"/>
    </row>
    <row r="629">
      <c r="B629" s="34"/>
      <c r="C629" s="92"/>
      <c r="D629" s="34"/>
      <c r="H629" s="92"/>
      <c r="I629" s="34"/>
    </row>
    <row r="630">
      <c r="B630" s="34"/>
      <c r="C630" s="92"/>
      <c r="D630" s="34"/>
      <c r="H630" s="92"/>
      <c r="I630" s="34"/>
    </row>
    <row r="631">
      <c r="B631" s="34"/>
      <c r="C631" s="92"/>
      <c r="D631" s="34"/>
      <c r="H631" s="92"/>
      <c r="I631" s="34"/>
    </row>
    <row r="632">
      <c r="B632" s="34"/>
      <c r="C632" s="92"/>
      <c r="D632" s="34"/>
      <c r="H632" s="92"/>
      <c r="I632" s="34"/>
    </row>
    <row r="633">
      <c r="B633" s="34"/>
      <c r="C633" s="92"/>
      <c r="D633" s="34"/>
      <c r="H633" s="92"/>
      <c r="I633" s="34"/>
    </row>
    <row r="634">
      <c r="B634" s="34"/>
      <c r="C634" s="92"/>
      <c r="D634" s="34"/>
      <c r="H634" s="92"/>
      <c r="I634" s="34"/>
    </row>
    <row r="635">
      <c r="B635" s="34"/>
      <c r="C635" s="92"/>
      <c r="D635" s="34"/>
      <c r="H635" s="92"/>
      <c r="I635" s="34"/>
    </row>
    <row r="636">
      <c r="B636" s="34"/>
      <c r="C636" s="92"/>
      <c r="D636" s="34"/>
      <c r="H636" s="92"/>
      <c r="I636" s="34"/>
    </row>
    <row r="637">
      <c r="B637" s="34"/>
      <c r="C637" s="92"/>
      <c r="D637" s="34"/>
      <c r="H637" s="92"/>
      <c r="I637" s="34"/>
    </row>
    <row r="638">
      <c r="B638" s="34"/>
      <c r="C638" s="92"/>
      <c r="D638" s="34"/>
      <c r="H638" s="92"/>
      <c r="I638" s="34"/>
    </row>
    <row r="639">
      <c r="B639" s="34"/>
      <c r="C639" s="92"/>
      <c r="D639" s="34"/>
      <c r="H639" s="92"/>
      <c r="I639" s="34"/>
    </row>
    <row r="640">
      <c r="B640" s="34"/>
      <c r="C640" s="92"/>
      <c r="D640" s="34"/>
      <c r="H640" s="92"/>
      <c r="I640" s="34"/>
    </row>
    <row r="641">
      <c r="B641" s="34"/>
      <c r="C641" s="92"/>
      <c r="D641" s="34"/>
      <c r="H641" s="92"/>
      <c r="I641" s="34"/>
    </row>
    <row r="642">
      <c r="B642" s="34"/>
      <c r="C642" s="92"/>
      <c r="D642" s="34"/>
      <c r="H642" s="92"/>
      <c r="I642" s="34"/>
    </row>
    <row r="643">
      <c r="B643" s="34"/>
      <c r="C643" s="92"/>
      <c r="D643" s="34"/>
      <c r="H643" s="92"/>
      <c r="I643" s="34"/>
    </row>
    <row r="644">
      <c r="B644" s="34"/>
      <c r="C644" s="92"/>
      <c r="D644" s="34"/>
      <c r="H644" s="92"/>
      <c r="I644" s="34"/>
    </row>
    <row r="645">
      <c r="B645" s="34"/>
      <c r="C645" s="92"/>
      <c r="D645" s="34"/>
      <c r="H645" s="92"/>
      <c r="I645" s="34"/>
    </row>
    <row r="646">
      <c r="B646" s="34"/>
      <c r="C646" s="92"/>
      <c r="D646" s="34"/>
      <c r="H646" s="92"/>
      <c r="I646" s="34"/>
    </row>
    <row r="647">
      <c r="B647" s="34"/>
      <c r="C647" s="92"/>
      <c r="D647" s="34"/>
      <c r="H647" s="92"/>
      <c r="I647" s="34"/>
    </row>
    <row r="648">
      <c r="B648" s="34"/>
      <c r="C648" s="92"/>
      <c r="D648" s="34"/>
      <c r="H648" s="92"/>
      <c r="I648" s="34"/>
    </row>
    <row r="649">
      <c r="B649" s="34"/>
      <c r="C649" s="92"/>
      <c r="D649" s="34"/>
      <c r="H649" s="92"/>
      <c r="I649" s="34"/>
    </row>
    <row r="650">
      <c r="B650" s="34"/>
      <c r="C650" s="92"/>
      <c r="D650" s="34"/>
      <c r="H650" s="92"/>
      <c r="I650" s="34"/>
    </row>
    <row r="651">
      <c r="B651" s="34"/>
      <c r="C651" s="92"/>
      <c r="D651" s="34"/>
      <c r="H651" s="92"/>
      <c r="I651" s="34"/>
    </row>
    <row r="652">
      <c r="B652" s="34"/>
      <c r="C652" s="92"/>
      <c r="D652" s="34"/>
      <c r="H652" s="92"/>
      <c r="I652" s="34"/>
    </row>
    <row r="653">
      <c r="B653" s="34"/>
      <c r="C653" s="92"/>
      <c r="D653" s="34"/>
      <c r="H653" s="92"/>
      <c r="I653" s="34"/>
    </row>
    <row r="654">
      <c r="B654" s="34"/>
      <c r="C654" s="92"/>
      <c r="D654" s="34"/>
      <c r="H654" s="92"/>
      <c r="I654" s="34"/>
    </row>
    <row r="655">
      <c r="B655" s="34"/>
      <c r="C655" s="92"/>
      <c r="D655" s="34"/>
      <c r="H655" s="92"/>
      <c r="I655" s="34"/>
    </row>
    <row r="656">
      <c r="B656" s="34"/>
      <c r="C656" s="92"/>
      <c r="D656" s="34"/>
      <c r="H656" s="92"/>
      <c r="I656" s="34"/>
    </row>
    <row r="657">
      <c r="B657" s="34"/>
      <c r="C657" s="92"/>
      <c r="D657" s="34"/>
      <c r="H657" s="92"/>
      <c r="I657" s="34"/>
    </row>
    <row r="658">
      <c r="B658" s="34"/>
      <c r="C658" s="92"/>
      <c r="D658" s="34"/>
      <c r="H658" s="92"/>
      <c r="I658" s="34"/>
    </row>
    <row r="659">
      <c r="B659" s="34"/>
      <c r="C659" s="92"/>
      <c r="D659" s="34"/>
      <c r="H659" s="92"/>
      <c r="I659" s="34"/>
    </row>
    <row r="660">
      <c r="B660" s="34"/>
      <c r="C660" s="92"/>
      <c r="D660" s="34"/>
      <c r="H660" s="92"/>
      <c r="I660" s="34"/>
    </row>
    <row r="661">
      <c r="B661" s="34"/>
      <c r="C661" s="92"/>
      <c r="D661" s="34"/>
      <c r="H661" s="92"/>
      <c r="I661" s="34"/>
    </row>
    <row r="662">
      <c r="B662" s="34"/>
      <c r="C662" s="92"/>
      <c r="D662" s="34"/>
      <c r="H662" s="92"/>
      <c r="I662" s="34"/>
    </row>
    <row r="663">
      <c r="B663" s="34"/>
      <c r="C663" s="92"/>
      <c r="D663" s="34"/>
      <c r="H663" s="92"/>
      <c r="I663" s="34"/>
    </row>
    <row r="664">
      <c r="B664" s="34"/>
      <c r="C664" s="92"/>
      <c r="D664" s="34"/>
      <c r="H664" s="92"/>
      <c r="I664" s="34"/>
    </row>
    <row r="665">
      <c r="B665" s="34"/>
      <c r="C665" s="92"/>
      <c r="D665" s="34"/>
      <c r="H665" s="92"/>
      <c r="I665" s="34"/>
    </row>
    <row r="666">
      <c r="B666" s="34"/>
      <c r="C666" s="92"/>
      <c r="D666" s="34"/>
      <c r="H666" s="92"/>
      <c r="I666" s="34"/>
    </row>
    <row r="667">
      <c r="B667" s="34"/>
      <c r="C667" s="92"/>
      <c r="D667" s="34"/>
      <c r="H667" s="92"/>
      <c r="I667" s="34"/>
    </row>
    <row r="668">
      <c r="B668" s="34"/>
      <c r="C668" s="92"/>
      <c r="D668" s="34"/>
      <c r="H668" s="92"/>
      <c r="I668" s="34"/>
    </row>
    <row r="669">
      <c r="B669" s="34"/>
      <c r="C669" s="92"/>
      <c r="D669" s="34"/>
      <c r="H669" s="92"/>
      <c r="I669" s="34"/>
    </row>
    <row r="670">
      <c r="B670" s="34"/>
      <c r="C670" s="92"/>
      <c r="D670" s="34"/>
      <c r="H670" s="92"/>
      <c r="I670" s="34"/>
    </row>
    <row r="671">
      <c r="B671" s="34"/>
      <c r="C671" s="92"/>
      <c r="D671" s="34"/>
      <c r="H671" s="92"/>
      <c r="I671" s="34"/>
    </row>
    <row r="672">
      <c r="B672" s="34"/>
      <c r="C672" s="92"/>
      <c r="D672" s="34"/>
      <c r="H672" s="92"/>
      <c r="I672" s="34"/>
    </row>
    <row r="673">
      <c r="B673" s="34"/>
      <c r="C673" s="92"/>
      <c r="D673" s="34"/>
      <c r="H673" s="92"/>
      <c r="I673" s="34"/>
    </row>
    <row r="674">
      <c r="B674" s="34"/>
      <c r="C674" s="92"/>
      <c r="D674" s="34"/>
      <c r="H674" s="92"/>
      <c r="I674" s="34"/>
    </row>
    <row r="675">
      <c r="B675" s="34"/>
      <c r="C675" s="92"/>
      <c r="D675" s="34"/>
      <c r="H675" s="92"/>
      <c r="I675" s="34"/>
    </row>
    <row r="676">
      <c r="B676" s="34"/>
      <c r="C676" s="92"/>
      <c r="D676" s="34"/>
      <c r="H676" s="92"/>
      <c r="I676" s="34"/>
    </row>
    <row r="677">
      <c r="B677" s="34"/>
      <c r="C677" s="92"/>
      <c r="D677" s="34"/>
      <c r="H677" s="92"/>
      <c r="I677" s="34"/>
    </row>
    <row r="678">
      <c r="B678" s="34"/>
      <c r="C678" s="92"/>
      <c r="D678" s="34"/>
      <c r="H678" s="92"/>
      <c r="I678" s="34"/>
    </row>
    <row r="679">
      <c r="B679" s="34"/>
      <c r="C679" s="92"/>
      <c r="D679" s="34"/>
      <c r="H679" s="92"/>
      <c r="I679" s="34"/>
    </row>
    <row r="680">
      <c r="B680" s="34"/>
      <c r="C680" s="92"/>
      <c r="D680" s="34"/>
      <c r="H680" s="92"/>
      <c r="I680" s="34"/>
    </row>
    <row r="681">
      <c r="B681" s="34"/>
      <c r="C681" s="92"/>
      <c r="D681" s="34"/>
      <c r="H681" s="92"/>
      <c r="I681" s="34"/>
    </row>
    <row r="682">
      <c r="B682" s="34"/>
      <c r="C682" s="92"/>
      <c r="D682" s="34"/>
      <c r="H682" s="92"/>
      <c r="I682" s="34"/>
    </row>
    <row r="683">
      <c r="B683" s="34"/>
      <c r="C683" s="92"/>
      <c r="D683" s="34"/>
      <c r="H683" s="92"/>
      <c r="I683" s="34"/>
    </row>
    <row r="684">
      <c r="B684" s="34"/>
      <c r="C684" s="92"/>
      <c r="D684" s="34"/>
      <c r="H684" s="92"/>
      <c r="I684" s="34"/>
    </row>
    <row r="685">
      <c r="B685" s="34"/>
      <c r="C685" s="92"/>
      <c r="D685" s="34"/>
      <c r="H685" s="92"/>
      <c r="I685" s="34"/>
    </row>
    <row r="686">
      <c r="B686" s="34"/>
      <c r="C686" s="92"/>
      <c r="D686" s="34"/>
      <c r="H686" s="92"/>
      <c r="I686" s="34"/>
    </row>
    <row r="687">
      <c r="B687" s="34"/>
      <c r="C687" s="92"/>
      <c r="D687" s="34"/>
      <c r="H687" s="92"/>
      <c r="I687" s="34"/>
    </row>
    <row r="688">
      <c r="B688" s="34"/>
      <c r="C688" s="92"/>
      <c r="D688" s="34"/>
      <c r="H688" s="92"/>
      <c r="I688" s="34"/>
    </row>
    <row r="689">
      <c r="B689" s="34"/>
      <c r="C689" s="92"/>
      <c r="D689" s="34"/>
      <c r="H689" s="92"/>
      <c r="I689" s="34"/>
    </row>
    <row r="690">
      <c r="B690" s="34"/>
      <c r="C690" s="92"/>
      <c r="D690" s="34"/>
      <c r="H690" s="92"/>
      <c r="I690" s="34"/>
    </row>
    <row r="691">
      <c r="B691" s="34"/>
      <c r="C691" s="92"/>
      <c r="D691" s="34"/>
      <c r="H691" s="92"/>
      <c r="I691" s="34"/>
    </row>
    <row r="692">
      <c r="B692" s="34"/>
      <c r="C692" s="92"/>
      <c r="D692" s="34"/>
      <c r="H692" s="92"/>
      <c r="I692" s="34"/>
    </row>
    <row r="693">
      <c r="B693" s="34"/>
      <c r="C693" s="92"/>
      <c r="D693" s="34"/>
      <c r="H693" s="92"/>
      <c r="I693" s="34"/>
    </row>
    <row r="694">
      <c r="B694" s="34"/>
      <c r="C694" s="92"/>
      <c r="D694" s="34"/>
      <c r="H694" s="92"/>
      <c r="I694" s="34"/>
    </row>
    <row r="695">
      <c r="B695" s="34"/>
      <c r="C695" s="92"/>
      <c r="D695" s="34"/>
      <c r="H695" s="92"/>
      <c r="I695" s="34"/>
    </row>
    <row r="696">
      <c r="B696" s="34"/>
      <c r="C696" s="92"/>
      <c r="D696" s="34"/>
      <c r="H696" s="92"/>
      <c r="I696" s="34"/>
    </row>
    <row r="697">
      <c r="B697" s="34"/>
      <c r="C697" s="92"/>
      <c r="D697" s="34"/>
      <c r="H697" s="92"/>
      <c r="I697" s="34"/>
    </row>
    <row r="698">
      <c r="B698" s="34"/>
      <c r="C698" s="92"/>
      <c r="D698" s="34"/>
      <c r="H698" s="92"/>
      <c r="I698" s="34"/>
    </row>
    <row r="699">
      <c r="B699" s="34"/>
      <c r="C699" s="92"/>
      <c r="D699" s="34"/>
      <c r="H699" s="92"/>
      <c r="I699" s="34"/>
    </row>
    <row r="700">
      <c r="B700" s="34"/>
      <c r="C700" s="92"/>
      <c r="D700" s="34"/>
      <c r="H700" s="92"/>
      <c r="I700" s="34"/>
    </row>
    <row r="701">
      <c r="B701" s="34"/>
      <c r="C701" s="92"/>
      <c r="D701" s="34"/>
      <c r="H701" s="92"/>
      <c r="I701" s="34"/>
    </row>
    <row r="702">
      <c r="B702" s="34"/>
      <c r="C702" s="92"/>
      <c r="D702" s="34"/>
      <c r="H702" s="92"/>
      <c r="I702" s="34"/>
    </row>
    <row r="703">
      <c r="B703" s="34"/>
      <c r="C703" s="92"/>
      <c r="D703" s="34"/>
      <c r="H703" s="92"/>
      <c r="I703" s="34"/>
    </row>
    <row r="704">
      <c r="B704" s="34"/>
      <c r="C704" s="92"/>
      <c r="D704" s="34"/>
      <c r="H704" s="92"/>
      <c r="I704" s="34"/>
    </row>
    <row r="705">
      <c r="B705" s="34"/>
      <c r="C705" s="92"/>
      <c r="D705" s="34"/>
      <c r="H705" s="92"/>
      <c r="I705" s="34"/>
    </row>
    <row r="706">
      <c r="B706" s="34"/>
      <c r="C706" s="92"/>
      <c r="D706" s="34"/>
      <c r="H706" s="92"/>
      <c r="I706" s="34"/>
    </row>
    <row r="707">
      <c r="B707" s="34"/>
      <c r="C707" s="92"/>
      <c r="D707" s="34"/>
      <c r="H707" s="92"/>
      <c r="I707" s="34"/>
    </row>
    <row r="708">
      <c r="B708" s="34"/>
      <c r="C708" s="92"/>
      <c r="D708" s="34"/>
      <c r="H708" s="92"/>
      <c r="I708" s="34"/>
    </row>
    <row r="709">
      <c r="B709" s="34"/>
      <c r="C709" s="92"/>
      <c r="D709" s="34"/>
      <c r="H709" s="92"/>
      <c r="I709" s="34"/>
    </row>
    <row r="710">
      <c r="B710" s="34"/>
      <c r="C710" s="92"/>
      <c r="D710" s="34"/>
      <c r="H710" s="92"/>
      <c r="I710" s="34"/>
    </row>
    <row r="711">
      <c r="B711" s="34"/>
      <c r="C711" s="92"/>
      <c r="D711" s="34"/>
      <c r="H711" s="92"/>
      <c r="I711" s="34"/>
    </row>
    <row r="712">
      <c r="B712" s="34"/>
      <c r="C712" s="92"/>
      <c r="D712" s="34"/>
      <c r="H712" s="92"/>
      <c r="I712" s="34"/>
    </row>
    <row r="713">
      <c r="B713" s="34"/>
      <c r="C713" s="92"/>
      <c r="D713" s="34"/>
      <c r="H713" s="92"/>
      <c r="I713" s="34"/>
    </row>
    <row r="714">
      <c r="B714" s="34"/>
      <c r="C714" s="92"/>
      <c r="D714" s="34"/>
      <c r="H714" s="92"/>
      <c r="I714" s="34"/>
    </row>
    <row r="715">
      <c r="B715" s="34"/>
      <c r="C715" s="92"/>
      <c r="D715" s="34"/>
      <c r="H715" s="92"/>
      <c r="I715" s="34"/>
    </row>
    <row r="716">
      <c r="B716" s="34"/>
      <c r="C716" s="92"/>
      <c r="D716" s="34"/>
      <c r="H716" s="92"/>
      <c r="I716" s="34"/>
    </row>
    <row r="717">
      <c r="B717" s="34"/>
      <c r="C717" s="92"/>
      <c r="D717" s="34"/>
      <c r="H717" s="92"/>
      <c r="I717" s="34"/>
    </row>
    <row r="718">
      <c r="B718" s="34"/>
      <c r="C718" s="92"/>
      <c r="D718" s="34"/>
      <c r="H718" s="92"/>
      <c r="I718" s="34"/>
    </row>
    <row r="719">
      <c r="B719" s="34"/>
      <c r="C719" s="92"/>
      <c r="D719" s="34"/>
      <c r="H719" s="92"/>
      <c r="I719" s="34"/>
    </row>
    <row r="720">
      <c r="B720" s="34"/>
      <c r="C720" s="92"/>
      <c r="D720" s="34"/>
      <c r="H720" s="92"/>
      <c r="I720" s="34"/>
    </row>
    <row r="721">
      <c r="B721" s="34"/>
      <c r="C721" s="92"/>
      <c r="D721" s="34"/>
      <c r="H721" s="92"/>
      <c r="I721" s="34"/>
    </row>
    <row r="722">
      <c r="B722" s="34"/>
      <c r="C722" s="92"/>
      <c r="D722" s="34"/>
      <c r="H722" s="92"/>
      <c r="I722" s="34"/>
    </row>
    <row r="723">
      <c r="B723" s="34"/>
      <c r="C723" s="92"/>
      <c r="D723" s="34"/>
      <c r="H723" s="92"/>
      <c r="I723" s="34"/>
    </row>
    <row r="724">
      <c r="B724" s="34"/>
      <c r="C724" s="92"/>
      <c r="D724" s="34"/>
      <c r="H724" s="92"/>
      <c r="I724" s="34"/>
    </row>
    <row r="725">
      <c r="B725" s="34"/>
      <c r="C725" s="92"/>
      <c r="D725" s="34"/>
      <c r="H725" s="92"/>
      <c r="I725" s="34"/>
    </row>
    <row r="726">
      <c r="B726" s="34"/>
      <c r="C726" s="92"/>
      <c r="D726" s="34"/>
      <c r="H726" s="92"/>
      <c r="I726" s="34"/>
    </row>
    <row r="727">
      <c r="B727" s="34"/>
      <c r="C727" s="92"/>
      <c r="D727" s="34"/>
      <c r="H727" s="92"/>
      <c r="I727" s="34"/>
    </row>
    <row r="728">
      <c r="B728" s="34"/>
      <c r="C728" s="92"/>
      <c r="D728" s="34"/>
      <c r="H728" s="92"/>
      <c r="I728" s="34"/>
    </row>
    <row r="729">
      <c r="B729" s="34"/>
      <c r="C729" s="92"/>
      <c r="D729" s="34"/>
      <c r="H729" s="92"/>
      <c r="I729" s="34"/>
    </row>
    <row r="730">
      <c r="B730" s="34"/>
      <c r="C730" s="92"/>
      <c r="D730" s="34"/>
      <c r="H730" s="92"/>
      <c r="I730" s="34"/>
    </row>
    <row r="731">
      <c r="B731" s="34"/>
      <c r="C731" s="92"/>
      <c r="D731" s="34"/>
      <c r="H731" s="92"/>
      <c r="I731" s="34"/>
    </row>
    <row r="732">
      <c r="B732" s="34"/>
      <c r="C732" s="92"/>
      <c r="D732" s="34"/>
      <c r="H732" s="92"/>
      <c r="I732" s="34"/>
    </row>
    <row r="733">
      <c r="B733" s="34"/>
      <c r="C733" s="92"/>
      <c r="D733" s="34"/>
      <c r="H733" s="92"/>
      <c r="I733" s="34"/>
    </row>
    <row r="734">
      <c r="B734" s="34"/>
      <c r="C734" s="92"/>
      <c r="D734" s="34"/>
      <c r="H734" s="92"/>
      <c r="I734" s="34"/>
    </row>
    <row r="735">
      <c r="B735" s="34"/>
      <c r="C735" s="92"/>
      <c r="D735" s="34"/>
      <c r="H735" s="92"/>
      <c r="I735" s="34"/>
    </row>
    <row r="736">
      <c r="B736" s="34"/>
      <c r="C736" s="92"/>
      <c r="D736" s="34"/>
      <c r="H736" s="92"/>
      <c r="I736" s="34"/>
    </row>
    <row r="737">
      <c r="B737" s="34"/>
      <c r="C737" s="92"/>
      <c r="D737" s="34"/>
      <c r="H737" s="92"/>
      <c r="I737" s="34"/>
    </row>
    <row r="738">
      <c r="B738" s="34"/>
      <c r="C738" s="92"/>
      <c r="D738" s="34"/>
      <c r="H738" s="92"/>
      <c r="I738" s="34"/>
    </row>
    <row r="739">
      <c r="B739" s="34"/>
      <c r="C739" s="92"/>
      <c r="D739" s="34"/>
      <c r="H739" s="92"/>
      <c r="I739" s="34"/>
    </row>
    <row r="740">
      <c r="B740" s="34"/>
      <c r="C740" s="92"/>
      <c r="D740" s="34"/>
      <c r="H740" s="92"/>
      <c r="I740" s="34"/>
    </row>
    <row r="741">
      <c r="B741" s="34"/>
      <c r="C741" s="92"/>
      <c r="D741" s="34"/>
      <c r="H741" s="92"/>
      <c r="I741" s="34"/>
    </row>
    <row r="742">
      <c r="B742" s="34"/>
      <c r="C742" s="92"/>
      <c r="D742" s="34"/>
      <c r="H742" s="92"/>
      <c r="I742" s="34"/>
    </row>
    <row r="743">
      <c r="B743" s="34"/>
      <c r="C743" s="92"/>
      <c r="D743" s="34"/>
      <c r="H743" s="92"/>
      <c r="I743" s="34"/>
    </row>
    <row r="744">
      <c r="B744" s="34"/>
      <c r="C744" s="92"/>
      <c r="D744" s="34"/>
      <c r="H744" s="92"/>
      <c r="I744" s="34"/>
    </row>
    <row r="745">
      <c r="B745" s="34"/>
      <c r="C745" s="92"/>
      <c r="D745" s="34"/>
      <c r="H745" s="92"/>
      <c r="I745" s="34"/>
    </row>
    <row r="746">
      <c r="B746" s="34"/>
      <c r="C746" s="92"/>
      <c r="D746" s="34"/>
      <c r="H746" s="92"/>
      <c r="I746" s="34"/>
    </row>
    <row r="747">
      <c r="B747" s="34"/>
      <c r="C747" s="92"/>
      <c r="D747" s="34"/>
      <c r="H747" s="92"/>
      <c r="I747" s="34"/>
    </row>
    <row r="748">
      <c r="B748" s="34"/>
      <c r="C748" s="92"/>
      <c r="D748" s="34"/>
      <c r="H748" s="92"/>
      <c r="I748" s="34"/>
    </row>
    <row r="749">
      <c r="B749" s="34"/>
      <c r="C749" s="92"/>
      <c r="D749" s="34"/>
      <c r="H749" s="92"/>
      <c r="I749" s="34"/>
    </row>
    <row r="750">
      <c r="B750" s="34"/>
      <c r="C750" s="92"/>
      <c r="D750" s="34"/>
      <c r="H750" s="92"/>
      <c r="I750" s="34"/>
    </row>
    <row r="751">
      <c r="B751" s="34"/>
      <c r="C751" s="92"/>
      <c r="D751" s="34"/>
      <c r="H751" s="92"/>
      <c r="I751" s="34"/>
    </row>
    <row r="752">
      <c r="B752" s="34"/>
      <c r="C752" s="92"/>
      <c r="D752" s="34"/>
      <c r="H752" s="92"/>
      <c r="I752" s="34"/>
    </row>
    <row r="753">
      <c r="B753" s="34"/>
      <c r="C753" s="92"/>
      <c r="D753" s="34"/>
      <c r="H753" s="92"/>
      <c r="I753" s="34"/>
    </row>
    <row r="754">
      <c r="B754" s="34"/>
      <c r="C754" s="92"/>
      <c r="D754" s="34"/>
      <c r="H754" s="92"/>
      <c r="I754" s="34"/>
    </row>
    <row r="755">
      <c r="B755" s="34"/>
      <c r="C755" s="92"/>
      <c r="D755" s="34"/>
      <c r="H755" s="92"/>
      <c r="I755" s="34"/>
    </row>
    <row r="756">
      <c r="B756" s="34"/>
      <c r="C756" s="92"/>
      <c r="D756" s="34"/>
      <c r="H756" s="92"/>
      <c r="I756" s="34"/>
    </row>
    <row r="757">
      <c r="B757" s="34"/>
      <c r="C757" s="92"/>
      <c r="D757" s="34"/>
      <c r="H757" s="92"/>
      <c r="I757" s="34"/>
    </row>
    <row r="758">
      <c r="B758" s="34"/>
      <c r="C758" s="92"/>
      <c r="D758" s="34"/>
      <c r="H758" s="92"/>
      <c r="I758" s="34"/>
    </row>
    <row r="759">
      <c r="B759" s="34"/>
      <c r="C759" s="92"/>
      <c r="D759" s="34"/>
      <c r="H759" s="92"/>
      <c r="I759" s="34"/>
    </row>
    <row r="760">
      <c r="B760" s="34"/>
      <c r="C760" s="92"/>
      <c r="D760" s="34"/>
      <c r="H760" s="92"/>
      <c r="I760" s="34"/>
    </row>
    <row r="761">
      <c r="B761" s="34"/>
      <c r="C761" s="92"/>
      <c r="D761" s="34"/>
      <c r="H761" s="92"/>
      <c r="I761" s="34"/>
    </row>
    <row r="762">
      <c r="B762" s="34"/>
      <c r="C762" s="92"/>
      <c r="D762" s="34"/>
      <c r="H762" s="92"/>
      <c r="I762" s="34"/>
    </row>
    <row r="763">
      <c r="B763" s="34"/>
      <c r="C763" s="92"/>
      <c r="D763" s="34"/>
      <c r="H763" s="92"/>
      <c r="I763" s="34"/>
    </row>
    <row r="764">
      <c r="B764" s="34"/>
      <c r="C764" s="92"/>
      <c r="D764" s="34"/>
      <c r="H764" s="92"/>
      <c r="I764" s="34"/>
    </row>
    <row r="765">
      <c r="B765" s="34"/>
      <c r="C765" s="92"/>
      <c r="D765" s="34"/>
      <c r="H765" s="92"/>
      <c r="I765" s="34"/>
    </row>
    <row r="766">
      <c r="B766" s="34"/>
      <c r="C766" s="92"/>
      <c r="D766" s="34"/>
      <c r="H766" s="92"/>
      <c r="I766" s="34"/>
    </row>
    <row r="767">
      <c r="B767" s="34"/>
      <c r="C767" s="92"/>
      <c r="D767" s="34"/>
      <c r="H767" s="92"/>
      <c r="I767" s="34"/>
    </row>
    <row r="768">
      <c r="B768" s="34"/>
      <c r="C768" s="92"/>
      <c r="D768" s="34"/>
      <c r="H768" s="92"/>
      <c r="I768" s="34"/>
    </row>
    <row r="769">
      <c r="B769" s="34"/>
      <c r="C769" s="92"/>
      <c r="D769" s="34"/>
      <c r="H769" s="92"/>
      <c r="I769" s="34"/>
    </row>
    <row r="770">
      <c r="B770" s="34"/>
      <c r="C770" s="92"/>
      <c r="D770" s="34"/>
      <c r="H770" s="92"/>
      <c r="I770" s="34"/>
    </row>
    <row r="771">
      <c r="B771" s="34"/>
      <c r="C771" s="92"/>
      <c r="D771" s="34"/>
      <c r="H771" s="92"/>
      <c r="I771" s="34"/>
    </row>
    <row r="772">
      <c r="B772" s="34"/>
      <c r="C772" s="92"/>
      <c r="D772" s="34"/>
      <c r="H772" s="92"/>
      <c r="I772" s="34"/>
    </row>
    <row r="773">
      <c r="B773" s="34"/>
      <c r="C773" s="92"/>
      <c r="D773" s="34"/>
      <c r="H773" s="92"/>
      <c r="I773" s="34"/>
    </row>
    <row r="774">
      <c r="B774" s="34"/>
      <c r="C774" s="92"/>
      <c r="D774" s="34"/>
      <c r="H774" s="92"/>
      <c r="I774" s="34"/>
    </row>
    <row r="775">
      <c r="B775" s="34"/>
      <c r="C775" s="92"/>
      <c r="D775" s="34"/>
      <c r="H775" s="92"/>
      <c r="I775" s="34"/>
    </row>
    <row r="776">
      <c r="B776" s="34"/>
      <c r="C776" s="92"/>
      <c r="D776" s="34"/>
      <c r="H776" s="92"/>
      <c r="I776" s="34"/>
    </row>
    <row r="777">
      <c r="B777" s="34"/>
      <c r="C777" s="92"/>
      <c r="D777" s="34"/>
      <c r="H777" s="92"/>
      <c r="I777" s="34"/>
    </row>
    <row r="778">
      <c r="B778" s="34"/>
      <c r="C778" s="92"/>
      <c r="D778" s="34"/>
      <c r="H778" s="92"/>
      <c r="I778" s="34"/>
    </row>
    <row r="779">
      <c r="B779" s="34"/>
      <c r="C779" s="92"/>
      <c r="D779" s="34"/>
      <c r="H779" s="92"/>
      <c r="I779" s="34"/>
    </row>
    <row r="780">
      <c r="B780" s="34"/>
      <c r="C780" s="92"/>
      <c r="D780" s="34"/>
      <c r="H780" s="92"/>
      <c r="I780" s="34"/>
    </row>
    <row r="781">
      <c r="B781" s="34"/>
      <c r="C781" s="92"/>
      <c r="D781" s="34"/>
      <c r="H781" s="92"/>
      <c r="I781" s="34"/>
    </row>
    <row r="782">
      <c r="B782" s="34"/>
      <c r="C782" s="92"/>
      <c r="D782" s="34"/>
      <c r="H782" s="92"/>
      <c r="I782" s="34"/>
    </row>
    <row r="783">
      <c r="B783" s="34"/>
      <c r="C783" s="92"/>
      <c r="D783" s="34"/>
      <c r="H783" s="92"/>
      <c r="I783" s="34"/>
    </row>
    <row r="784">
      <c r="B784" s="34"/>
      <c r="C784" s="92"/>
      <c r="D784" s="34"/>
      <c r="H784" s="92"/>
      <c r="I784" s="34"/>
    </row>
    <row r="785">
      <c r="B785" s="34"/>
      <c r="C785" s="92"/>
      <c r="D785" s="34"/>
      <c r="H785" s="92"/>
      <c r="I785" s="34"/>
    </row>
    <row r="786">
      <c r="B786" s="34"/>
      <c r="C786" s="92"/>
      <c r="D786" s="34"/>
      <c r="H786" s="92"/>
      <c r="I786" s="34"/>
    </row>
    <row r="787">
      <c r="B787" s="34"/>
      <c r="C787" s="92"/>
      <c r="D787" s="34"/>
      <c r="H787" s="92"/>
      <c r="I787" s="34"/>
    </row>
    <row r="788">
      <c r="B788" s="34"/>
      <c r="C788" s="92"/>
      <c r="D788" s="34"/>
      <c r="H788" s="92"/>
      <c r="I788" s="34"/>
    </row>
    <row r="789">
      <c r="B789" s="34"/>
      <c r="C789" s="92"/>
      <c r="D789" s="34"/>
      <c r="H789" s="92"/>
      <c r="I789" s="34"/>
    </row>
    <row r="790">
      <c r="B790" s="34"/>
      <c r="C790" s="92"/>
      <c r="D790" s="34"/>
      <c r="H790" s="92"/>
      <c r="I790" s="34"/>
    </row>
    <row r="791">
      <c r="B791" s="34"/>
      <c r="C791" s="92"/>
      <c r="D791" s="34"/>
      <c r="H791" s="92"/>
      <c r="I791" s="34"/>
    </row>
    <row r="792">
      <c r="B792" s="34"/>
      <c r="C792" s="92"/>
      <c r="D792" s="34"/>
      <c r="H792" s="92"/>
      <c r="I792" s="34"/>
    </row>
    <row r="793">
      <c r="B793" s="34"/>
      <c r="C793" s="92"/>
      <c r="D793" s="34"/>
      <c r="H793" s="92"/>
      <c r="I793" s="34"/>
    </row>
    <row r="794">
      <c r="B794" s="34"/>
      <c r="C794" s="92"/>
      <c r="D794" s="34"/>
      <c r="H794" s="92"/>
      <c r="I794" s="34"/>
    </row>
    <row r="795">
      <c r="B795" s="34"/>
      <c r="C795" s="92"/>
      <c r="D795" s="34"/>
      <c r="H795" s="92"/>
      <c r="I795" s="34"/>
    </row>
    <row r="796">
      <c r="B796" s="34"/>
      <c r="C796" s="92"/>
      <c r="D796" s="34"/>
      <c r="H796" s="92"/>
      <c r="I796" s="34"/>
    </row>
    <row r="797">
      <c r="B797" s="34"/>
      <c r="C797" s="92"/>
      <c r="D797" s="34"/>
      <c r="H797" s="92"/>
      <c r="I797" s="34"/>
    </row>
    <row r="798">
      <c r="B798" s="34"/>
      <c r="C798" s="92"/>
      <c r="D798" s="34"/>
      <c r="H798" s="92"/>
      <c r="I798" s="34"/>
    </row>
    <row r="799">
      <c r="B799" s="34"/>
      <c r="C799" s="92"/>
      <c r="D799" s="34"/>
      <c r="H799" s="92"/>
      <c r="I799" s="34"/>
    </row>
    <row r="800">
      <c r="B800" s="34"/>
      <c r="C800" s="92"/>
      <c r="D800" s="34"/>
      <c r="H800" s="92"/>
      <c r="I800" s="34"/>
    </row>
    <row r="801">
      <c r="B801" s="34"/>
      <c r="C801" s="92"/>
      <c r="D801" s="34"/>
      <c r="H801" s="92"/>
      <c r="I801" s="34"/>
    </row>
    <row r="802">
      <c r="B802" s="34"/>
      <c r="C802" s="92"/>
      <c r="D802" s="34"/>
      <c r="H802" s="92"/>
      <c r="I802" s="34"/>
    </row>
    <row r="803">
      <c r="B803" s="34"/>
      <c r="C803" s="92"/>
      <c r="D803" s="34"/>
      <c r="H803" s="92"/>
      <c r="I803" s="34"/>
    </row>
    <row r="804">
      <c r="B804" s="34"/>
      <c r="C804" s="92"/>
      <c r="D804" s="34"/>
      <c r="H804" s="92"/>
      <c r="I804" s="34"/>
    </row>
    <row r="805">
      <c r="B805" s="34"/>
      <c r="C805" s="92"/>
      <c r="D805" s="34"/>
      <c r="H805" s="92"/>
      <c r="I805" s="34"/>
    </row>
    <row r="806">
      <c r="B806" s="34"/>
      <c r="C806" s="92"/>
      <c r="D806" s="34"/>
      <c r="H806" s="92"/>
      <c r="I806" s="34"/>
    </row>
    <row r="807">
      <c r="B807" s="34"/>
      <c r="C807" s="92"/>
      <c r="D807" s="34"/>
      <c r="H807" s="92"/>
      <c r="I807" s="34"/>
    </row>
    <row r="808">
      <c r="B808" s="34"/>
      <c r="C808" s="92"/>
      <c r="D808" s="34"/>
      <c r="H808" s="92"/>
      <c r="I808" s="34"/>
    </row>
    <row r="809">
      <c r="B809" s="34"/>
      <c r="C809" s="92"/>
      <c r="D809" s="34"/>
      <c r="H809" s="92"/>
      <c r="I809" s="34"/>
    </row>
    <row r="810">
      <c r="B810" s="34"/>
      <c r="C810" s="92"/>
      <c r="D810" s="34"/>
      <c r="H810" s="92"/>
      <c r="I810" s="34"/>
    </row>
    <row r="811">
      <c r="B811" s="34"/>
      <c r="C811" s="92"/>
      <c r="D811" s="34"/>
      <c r="H811" s="92"/>
      <c r="I811" s="34"/>
    </row>
    <row r="812">
      <c r="B812" s="34"/>
      <c r="C812" s="92"/>
      <c r="D812" s="34"/>
      <c r="H812" s="92"/>
      <c r="I812" s="34"/>
    </row>
    <row r="813">
      <c r="B813" s="34"/>
      <c r="C813" s="92"/>
      <c r="D813" s="34"/>
      <c r="H813" s="92"/>
      <c r="I813" s="34"/>
    </row>
    <row r="814">
      <c r="B814" s="34"/>
      <c r="C814" s="92"/>
      <c r="D814" s="34"/>
      <c r="H814" s="92"/>
      <c r="I814" s="34"/>
    </row>
    <row r="815">
      <c r="B815" s="34"/>
      <c r="C815" s="92"/>
      <c r="D815" s="34"/>
      <c r="H815" s="92"/>
      <c r="I815" s="34"/>
    </row>
    <row r="816">
      <c r="B816" s="34"/>
      <c r="C816" s="92"/>
      <c r="D816" s="34"/>
      <c r="H816" s="92"/>
      <c r="I816" s="34"/>
    </row>
    <row r="817">
      <c r="B817" s="34"/>
      <c r="C817" s="92"/>
      <c r="D817" s="34"/>
      <c r="H817" s="92"/>
      <c r="I817" s="34"/>
    </row>
    <row r="818">
      <c r="B818" s="34"/>
      <c r="C818" s="92"/>
      <c r="D818" s="34"/>
      <c r="H818" s="92"/>
      <c r="I818" s="34"/>
    </row>
    <row r="819">
      <c r="B819" s="34"/>
      <c r="C819" s="92"/>
      <c r="D819" s="34"/>
      <c r="H819" s="92"/>
      <c r="I819" s="34"/>
    </row>
    <row r="820">
      <c r="B820" s="34"/>
      <c r="C820" s="92"/>
      <c r="D820" s="34"/>
      <c r="H820" s="92"/>
      <c r="I820" s="34"/>
    </row>
    <row r="821">
      <c r="B821" s="34"/>
      <c r="C821" s="92"/>
      <c r="D821" s="34"/>
      <c r="H821" s="92"/>
      <c r="I821" s="34"/>
    </row>
    <row r="822">
      <c r="B822" s="34"/>
      <c r="C822" s="92"/>
      <c r="D822" s="34"/>
      <c r="H822" s="92"/>
      <c r="I822" s="34"/>
    </row>
    <row r="823">
      <c r="B823" s="34"/>
      <c r="C823" s="92"/>
      <c r="D823" s="34"/>
      <c r="H823" s="92"/>
      <c r="I823" s="34"/>
    </row>
    <row r="824">
      <c r="B824" s="34"/>
      <c r="C824" s="92"/>
      <c r="D824" s="34"/>
      <c r="H824" s="92"/>
      <c r="I824" s="34"/>
    </row>
    <row r="825">
      <c r="B825" s="34"/>
      <c r="C825" s="92"/>
      <c r="D825" s="34"/>
      <c r="H825" s="92"/>
      <c r="I825" s="34"/>
    </row>
    <row r="826">
      <c r="B826" s="34"/>
      <c r="C826" s="92"/>
      <c r="D826" s="34"/>
      <c r="H826" s="92"/>
      <c r="I826" s="34"/>
    </row>
    <row r="827">
      <c r="B827" s="34"/>
      <c r="C827" s="92"/>
      <c r="D827" s="34"/>
      <c r="H827" s="92"/>
      <c r="I827" s="34"/>
    </row>
    <row r="828">
      <c r="B828" s="34"/>
      <c r="C828" s="92"/>
      <c r="D828" s="34"/>
      <c r="H828" s="92"/>
      <c r="I828" s="34"/>
    </row>
    <row r="829">
      <c r="B829" s="34"/>
      <c r="C829" s="92"/>
      <c r="D829" s="34"/>
      <c r="H829" s="92"/>
      <c r="I829" s="34"/>
    </row>
    <row r="830">
      <c r="B830" s="34"/>
      <c r="C830" s="92"/>
      <c r="D830" s="34"/>
      <c r="H830" s="92"/>
      <c r="I830" s="34"/>
    </row>
    <row r="831">
      <c r="B831" s="34"/>
      <c r="C831" s="92"/>
      <c r="D831" s="34"/>
      <c r="H831" s="92"/>
      <c r="I831" s="34"/>
    </row>
    <row r="832">
      <c r="B832" s="34"/>
      <c r="C832" s="92"/>
      <c r="D832" s="34"/>
      <c r="H832" s="92"/>
      <c r="I832" s="34"/>
    </row>
    <row r="833">
      <c r="B833" s="34"/>
      <c r="C833" s="92"/>
      <c r="D833" s="34"/>
      <c r="H833" s="92"/>
      <c r="I833" s="34"/>
    </row>
    <row r="834">
      <c r="B834" s="34"/>
      <c r="C834" s="92"/>
      <c r="D834" s="34"/>
      <c r="H834" s="92"/>
      <c r="I834" s="34"/>
    </row>
    <row r="835">
      <c r="B835" s="34"/>
      <c r="C835" s="92"/>
      <c r="D835" s="34"/>
      <c r="H835" s="92"/>
      <c r="I835" s="34"/>
    </row>
    <row r="836">
      <c r="B836" s="34"/>
      <c r="C836" s="92"/>
      <c r="D836" s="34"/>
      <c r="H836" s="92"/>
      <c r="I836" s="34"/>
    </row>
    <row r="837">
      <c r="B837" s="34"/>
      <c r="C837" s="92"/>
      <c r="D837" s="34"/>
      <c r="H837" s="92"/>
      <c r="I837" s="34"/>
    </row>
    <row r="838">
      <c r="B838" s="34"/>
      <c r="C838" s="92"/>
      <c r="D838" s="34"/>
      <c r="H838" s="92"/>
      <c r="I838" s="34"/>
    </row>
    <row r="839">
      <c r="B839" s="34"/>
      <c r="C839" s="92"/>
      <c r="D839" s="34"/>
      <c r="H839" s="92"/>
      <c r="I839" s="34"/>
    </row>
    <row r="840">
      <c r="B840" s="34"/>
      <c r="C840" s="92"/>
      <c r="D840" s="34"/>
      <c r="H840" s="92"/>
      <c r="I840" s="34"/>
    </row>
    <row r="841">
      <c r="B841" s="34"/>
      <c r="C841" s="92"/>
      <c r="D841" s="34"/>
      <c r="H841" s="92"/>
      <c r="I841" s="34"/>
    </row>
    <row r="842">
      <c r="B842" s="34"/>
      <c r="C842" s="92"/>
      <c r="D842" s="34"/>
      <c r="H842" s="92"/>
      <c r="I842" s="34"/>
    </row>
    <row r="843">
      <c r="B843" s="34"/>
      <c r="C843" s="92"/>
      <c r="D843" s="34"/>
      <c r="H843" s="92"/>
      <c r="I843" s="34"/>
    </row>
    <row r="844">
      <c r="B844" s="34"/>
      <c r="C844" s="92"/>
      <c r="D844" s="34"/>
      <c r="H844" s="92"/>
      <c r="I844" s="34"/>
    </row>
    <row r="845">
      <c r="B845" s="34"/>
      <c r="C845" s="92"/>
      <c r="D845" s="34"/>
      <c r="H845" s="92"/>
      <c r="I845" s="34"/>
    </row>
    <row r="846">
      <c r="B846" s="34"/>
      <c r="C846" s="92"/>
      <c r="D846" s="34"/>
      <c r="H846" s="92"/>
      <c r="I846" s="34"/>
    </row>
    <row r="847">
      <c r="B847" s="34"/>
      <c r="C847" s="92"/>
      <c r="D847" s="34"/>
      <c r="H847" s="92"/>
      <c r="I847" s="34"/>
    </row>
    <row r="848">
      <c r="B848" s="34"/>
      <c r="C848" s="92"/>
      <c r="D848" s="34"/>
      <c r="H848" s="92"/>
      <c r="I848" s="34"/>
    </row>
    <row r="849">
      <c r="B849" s="34"/>
      <c r="C849" s="92"/>
      <c r="D849" s="34"/>
      <c r="H849" s="92"/>
      <c r="I849" s="34"/>
    </row>
    <row r="850">
      <c r="B850" s="34"/>
      <c r="C850" s="92"/>
      <c r="D850" s="34"/>
      <c r="H850" s="92"/>
      <c r="I850" s="34"/>
    </row>
    <row r="851">
      <c r="B851" s="34"/>
      <c r="C851" s="92"/>
      <c r="D851" s="34"/>
      <c r="H851" s="92"/>
      <c r="I851" s="34"/>
    </row>
    <row r="852">
      <c r="B852" s="34"/>
      <c r="C852" s="92"/>
      <c r="D852" s="34"/>
      <c r="H852" s="92"/>
      <c r="I852" s="34"/>
    </row>
    <row r="853">
      <c r="B853" s="34"/>
      <c r="C853" s="92"/>
      <c r="D853" s="34"/>
      <c r="H853" s="92"/>
      <c r="I853" s="34"/>
    </row>
    <row r="854">
      <c r="B854" s="34"/>
      <c r="C854" s="92"/>
      <c r="D854" s="34"/>
      <c r="H854" s="92"/>
      <c r="I854" s="34"/>
    </row>
    <row r="855">
      <c r="B855" s="34"/>
      <c r="C855" s="92"/>
      <c r="D855" s="34"/>
      <c r="H855" s="92"/>
      <c r="I855" s="34"/>
    </row>
    <row r="856">
      <c r="B856" s="34"/>
      <c r="C856" s="92"/>
      <c r="D856" s="34"/>
      <c r="H856" s="92"/>
      <c r="I856" s="34"/>
    </row>
    <row r="857">
      <c r="B857" s="34"/>
      <c r="C857" s="92"/>
      <c r="D857" s="34"/>
      <c r="H857" s="92"/>
      <c r="I857" s="34"/>
    </row>
    <row r="858">
      <c r="B858" s="34"/>
      <c r="C858" s="92"/>
      <c r="D858" s="34"/>
      <c r="H858" s="92"/>
      <c r="I858" s="34"/>
    </row>
    <row r="859">
      <c r="B859" s="34"/>
      <c r="C859" s="92"/>
      <c r="D859" s="34"/>
      <c r="H859" s="92"/>
      <c r="I859" s="34"/>
    </row>
    <row r="860">
      <c r="B860" s="34"/>
      <c r="C860" s="92"/>
      <c r="D860" s="34"/>
      <c r="H860" s="92"/>
      <c r="I860" s="34"/>
    </row>
    <row r="861">
      <c r="B861" s="34"/>
      <c r="C861" s="92"/>
      <c r="D861" s="34"/>
      <c r="H861" s="92"/>
      <c r="I861" s="34"/>
    </row>
    <row r="862">
      <c r="B862" s="34"/>
      <c r="C862" s="92"/>
      <c r="D862" s="34"/>
      <c r="H862" s="92"/>
      <c r="I862" s="34"/>
    </row>
    <row r="863">
      <c r="B863" s="34"/>
      <c r="C863" s="92"/>
      <c r="D863" s="34"/>
      <c r="H863" s="92"/>
      <c r="I863" s="34"/>
    </row>
    <row r="864">
      <c r="B864" s="34"/>
      <c r="C864" s="92"/>
      <c r="D864" s="34"/>
      <c r="H864" s="92"/>
      <c r="I864" s="34"/>
    </row>
    <row r="865">
      <c r="B865" s="34"/>
      <c r="C865" s="92"/>
      <c r="D865" s="34"/>
      <c r="H865" s="92"/>
      <c r="I865" s="34"/>
    </row>
    <row r="866">
      <c r="B866" s="34"/>
      <c r="C866" s="92"/>
      <c r="D866" s="34"/>
      <c r="H866" s="92"/>
      <c r="I866" s="34"/>
    </row>
    <row r="867">
      <c r="B867" s="34"/>
      <c r="C867" s="92"/>
      <c r="D867" s="34"/>
      <c r="H867" s="92"/>
      <c r="I867" s="34"/>
    </row>
    <row r="868">
      <c r="B868" s="34"/>
      <c r="C868" s="92"/>
      <c r="D868" s="34"/>
      <c r="H868" s="92"/>
      <c r="I868" s="34"/>
    </row>
    <row r="869">
      <c r="B869" s="34"/>
      <c r="C869" s="92"/>
      <c r="D869" s="34"/>
      <c r="H869" s="92"/>
      <c r="I869" s="34"/>
    </row>
    <row r="870">
      <c r="B870" s="34"/>
      <c r="C870" s="92"/>
      <c r="D870" s="34"/>
      <c r="H870" s="92"/>
      <c r="I870" s="34"/>
    </row>
    <row r="871">
      <c r="B871" s="34"/>
      <c r="C871" s="92"/>
      <c r="D871" s="34"/>
      <c r="H871" s="92"/>
      <c r="I871" s="34"/>
    </row>
    <row r="872">
      <c r="B872" s="34"/>
      <c r="C872" s="92"/>
      <c r="D872" s="34"/>
      <c r="H872" s="92"/>
      <c r="I872" s="34"/>
    </row>
    <row r="873">
      <c r="B873" s="34"/>
      <c r="C873" s="92"/>
      <c r="D873" s="34"/>
      <c r="H873" s="92"/>
      <c r="I873" s="34"/>
    </row>
    <row r="874">
      <c r="B874" s="34"/>
      <c r="C874" s="92"/>
      <c r="D874" s="34"/>
      <c r="H874" s="92"/>
      <c r="I874" s="34"/>
    </row>
    <row r="875">
      <c r="B875" s="34"/>
      <c r="C875" s="92"/>
      <c r="D875" s="34"/>
      <c r="H875" s="92"/>
      <c r="I875" s="34"/>
    </row>
    <row r="876">
      <c r="B876" s="34"/>
      <c r="C876" s="92"/>
      <c r="D876" s="34"/>
      <c r="H876" s="92"/>
      <c r="I876" s="34"/>
    </row>
    <row r="877">
      <c r="B877" s="34"/>
      <c r="C877" s="92"/>
      <c r="D877" s="34"/>
      <c r="H877" s="92"/>
      <c r="I877" s="34"/>
    </row>
    <row r="878">
      <c r="B878" s="34"/>
      <c r="C878" s="92"/>
      <c r="D878" s="34"/>
      <c r="H878" s="92"/>
      <c r="I878" s="34"/>
    </row>
    <row r="879">
      <c r="B879" s="34"/>
      <c r="C879" s="92"/>
      <c r="D879" s="34"/>
      <c r="H879" s="92"/>
      <c r="I879" s="34"/>
    </row>
    <row r="880">
      <c r="B880" s="34"/>
      <c r="C880" s="92"/>
      <c r="D880" s="34"/>
      <c r="H880" s="92"/>
      <c r="I880" s="34"/>
    </row>
    <row r="881">
      <c r="B881" s="34"/>
      <c r="C881" s="92"/>
      <c r="D881" s="34"/>
      <c r="H881" s="92"/>
      <c r="I881" s="34"/>
    </row>
    <row r="882">
      <c r="B882" s="34"/>
      <c r="C882" s="92"/>
      <c r="D882" s="34"/>
      <c r="H882" s="92"/>
      <c r="I882" s="34"/>
    </row>
    <row r="883">
      <c r="B883" s="34"/>
      <c r="C883" s="92"/>
      <c r="D883" s="34"/>
      <c r="H883" s="92"/>
      <c r="I883" s="34"/>
    </row>
    <row r="884">
      <c r="B884" s="34"/>
      <c r="C884" s="92"/>
      <c r="D884" s="34"/>
      <c r="H884" s="92"/>
      <c r="I884" s="34"/>
    </row>
    <row r="885">
      <c r="B885" s="34"/>
      <c r="C885" s="92"/>
      <c r="D885" s="34"/>
      <c r="H885" s="92"/>
      <c r="I885" s="34"/>
    </row>
    <row r="886">
      <c r="B886" s="34"/>
      <c r="C886" s="92"/>
      <c r="D886" s="34"/>
      <c r="H886" s="92"/>
      <c r="I886" s="34"/>
    </row>
    <row r="887">
      <c r="B887" s="34"/>
      <c r="C887" s="92"/>
      <c r="D887" s="34"/>
      <c r="H887" s="92"/>
      <c r="I887" s="34"/>
    </row>
    <row r="888">
      <c r="B888" s="34"/>
      <c r="C888" s="92"/>
      <c r="D888" s="34"/>
      <c r="H888" s="92"/>
      <c r="I888" s="34"/>
    </row>
    <row r="889">
      <c r="B889" s="34"/>
      <c r="C889" s="92"/>
      <c r="D889" s="34"/>
      <c r="H889" s="92"/>
      <c r="I889" s="34"/>
    </row>
    <row r="890">
      <c r="B890" s="34"/>
      <c r="C890" s="92"/>
      <c r="D890" s="34"/>
      <c r="H890" s="92"/>
      <c r="I890" s="34"/>
    </row>
    <row r="891">
      <c r="B891" s="34"/>
      <c r="C891" s="92"/>
      <c r="D891" s="34"/>
      <c r="H891" s="92"/>
      <c r="I891" s="34"/>
    </row>
    <row r="892">
      <c r="B892" s="34"/>
      <c r="C892" s="92"/>
      <c r="D892" s="34"/>
      <c r="H892" s="92"/>
      <c r="I892" s="34"/>
    </row>
    <row r="893">
      <c r="B893" s="34"/>
      <c r="C893" s="92"/>
      <c r="D893" s="34"/>
      <c r="H893" s="92"/>
      <c r="I893" s="34"/>
    </row>
    <row r="894">
      <c r="B894" s="34"/>
      <c r="C894" s="92"/>
      <c r="D894" s="34"/>
      <c r="H894" s="92"/>
      <c r="I894" s="34"/>
    </row>
    <row r="895">
      <c r="B895" s="34"/>
      <c r="C895" s="92"/>
      <c r="D895" s="34"/>
      <c r="H895" s="92"/>
      <c r="I895" s="34"/>
    </row>
    <row r="896">
      <c r="B896" s="34"/>
      <c r="C896" s="92"/>
      <c r="D896" s="34"/>
      <c r="H896" s="92"/>
      <c r="I896" s="34"/>
    </row>
    <row r="897">
      <c r="B897" s="34"/>
      <c r="C897" s="92"/>
      <c r="D897" s="34"/>
      <c r="H897" s="92"/>
      <c r="I897" s="34"/>
    </row>
    <row r="898">
      <c r="B898" s="34"/>
      <c r="C898" s="92"/>
      <c r="D898" s="34"/>
      <c r="H898" s="92"/>
      <c r="I898" s="34"/>
    </row>
    <row r="899">
      <c r="B899" s="34"/>
      <c r="C899" s="92"/>
      <c r="D899" s="34"/>
      <c r="H899" s="92"/>
      <c r="I899" s="34"/>
    </row>
    <row r="900">
      <c r="B900" s="34"/>
      <c r="C900" s="92"/>
      <c r="D900" s="34"/>
      <c r="H900" s="92"/>
      <c r="I900" s="34"/>
    </row>
    <row r="901">
      <c r="B901" s="34"/>
      <c r="C901" s="92"/>
      <c r="D901" s="34"/>
      <c r="H901" s="92"/>
      <c r="I901" s="34"/>
    </row>
    <row r="902">
      <c r="B902" s="34"/>
      <c r="C902" s="92"/>
      <c r="D902" s="34"/>
      <c r="H902" s="92"/>
      <c r="I902" s="34"/>
    </row>
    <row r="903">
      <c r="B903" s="34"/>
      <c r="C903" s="92"/>
      <c r="D903" s="34"/>
      <c r="H903" s="92"/>
      <c r="I903" s="34"/>
    </row>
    <row r="904">
      <c r="B904" s="34"/>
      <c r="C904" s="92"/>
      <c r="D904" s="34"/>
      <c r="H904" s="92"/>
      <c r="I904" s="34"/>
    </row>
    <row r="905">
      <c r="B905" s="34"/>
      <c r="C905" s="92"/>
      <c r="D905" s="34"/>
      <c r="H905" s="92"/>
      <c r="I905" s="34"/>
    </row>
    <row r="906">
      <c r="B906" s="34"/>
      <c r="C906" s="92"/>
      <c r="D906" s="34"/>
      <c r="H906" s="92"/>
      <c r="I906" s="34"/>
    </row>
    <row r="907">
      <c r="B907" s="34"/>
      <c r="C907" s="92"/>
      <c r="D907" s="34"/>
      <c r="H907" s="92"/>
      <c r="I907" s="34"/>
    </row>
    <row r="908">
      <c r="B908" s="34"/>
      <c r="C908" s="92"/>
      <c r="D908" s="34"/>
      <c r="H908" s="92"/>
      <c r="I908" s="34"/>
    </row>
    <row r="909">
      <c r="B909" s="34"/>
      <c r="C909" s="92"/>
      <c r="D909" s="34"/>
      <c r="H909" s="92"/>
      <c r="I909" s="34"/>
    </row>
    <row r="910">
      <c r="B910" s="34"/>
      <c r="C910" s="92"/>
      <c r="D910" s="34"/>
      <c r="H910" s="92"/>
      <c r="I910" s="34"/>
    </row>
    <row r="911">
      <c r="B911" s="34"/>
      <c r="C911" s="92"/>
      <c r="D911" s="34"/>
      <c r="H911" s="92"/>
      <c r="I911" s="34"/>
    </row>
    <row r="912">
      <c r="B912" s="34"/>
      <c r="C912" s="92"/>
      <c r="D912" s="34"/>
      <c r="H912" s="92"/>
      <c r="I912" s="34"/>
    </row>
    <row r="913">
      <c r="B913" s="34"/>
      <c r="C913" s="92"/>
      <c r="D913" s="34"/>
      <c r="H913" s="92"/>
      <c r="I913" s="34"/>
    </row>
    <row r="914">
      <c r="B914" s="34"/>
      <c r="C914" s="92"/>
      <c r="D914" s="34"/>
      <c r="H914" s="92"/>
      <c r="I914" s="34"/>
    </row>
    <row r="915">
      <c r="B915" s="34"/>
      <c r="C915" s="92"/>
      <c r="D915" s="34"/>
      <c r="H915" s="92"/>
      <c r="I915" s="34"/>
    </row>
    <row r="916">
      <c r="B916" s="34"/>
      <c r="C916" s="92"/>
      <c r="D916" s="34"/>
      <c r="H916" s="92"/>
      <c r="I916" s="34"/>
    </row>
    <row r="917">
      <c r="B917" s="34"/>
      <c r="C917" s="92"/>
      <c r="D917" s="34"/>
      <c r="H917" s="92"/>
      <c r="I917" s="34"/>
    </row>
    <row r="918">
      <c r="B918" s="34"/>
      <c r="C918" s="92"/>
      <c r="D918" s="34"/>
      <c r="H918" s="92"/>
      <c r="I918" s="34"/>
    </row>
    <row r="919">
      <c r="B919" s="34"/>
      <c r="C919" s="92"/>
      <c r="D919" s="34"/>
      <c r="H919" s="92"/>
      <c r="I919" s="34"/>
    </row>
    <row r="920">
      <c r="B920" s="34"/>
      <c r="C920" s="92"/>
      <c r="D920" s="34"/>
      <c r="H920" s="92"/>
      <c r="I920" s="34"/>
    </row>
    <row r="921">
      <c r="B921" s="34"/>
      <c r="C921" s="92"/>
      <c r="D921" s="34"/>
      <c r="H921" s="92"/>
      <c r="I921" s="34"/>
    </row>
    <row r="922">
      <c r="B922" s="34"/>
      <c r="C922" s="92"/>
      <c r="D922" s="34"/>
      <c r="H922" s="92"/>
      <c r="I922" s="34"/>
    </row>
    <row r="923">
      <c r="B923" s="34"/>
      <c r="C923" s="92"/>
      <c r="D923" s="34"/>
      <c r="H923" s="92"/>
      <c r="I923" s="34"/>
    </row>
    <row r="924">
      <c r="B924" s="34"/>
      <c r="C924" s="92"/>
      <c r="D924" s="34"/>
      <c r="H924" s="92"/>
      <c r="I924" s="34"/>
    </row>
    <row r="925">
      <c r="B925" s="34"/>
      <c r="C925" s="92"/>
      <c r="D925" s="34"/>
      <c r="H925" s="92"/>
      <c r="I925" s="34"/>
    </row>
    <row r="926">
      <c r="B926" s="34"/>
      <c r="C926" s="92"/>
      <c r="D926" s="34"/>
      <c r="H926" s="92"/>
      <c r="I926" s="34"/>
    </row>
    <row r="927">
      <c r="B927" s="34"/>
      <c r="C927" s="92"/>
      <c r="D927" s="34"/>
      <c r="H927" s="92"/>
      <c r="I927" s="34"/>
    </row>
    <row r="928">
      <c r="B928" s="34"/>
      <c r="C928" s="92"/>
      <c r="D928" s="34"/>
      <c r="H928" s="92"/>
      <c r="I928" s="34"/>
    </row>
    <row r="929">
      <c r="B929" s="34"/>
      <c r="C929" s="92"/>
      <c r="D929" s="34"/>
      <c r="H929" s="92"/>
      <c r="I929" s="34"/>
    </row>
    <row r="930">
      <c r="B930" s="34"/>
      <c r="C930" s="92"/>
      <c r="D930" s="34"/>
      <c r="H930" s="92"/>
      <c r="I930" s="34"/>
    </row>
    <row r="931">
      <c r="B931" s="34"/>
      <c r="C931" s="92"/>
      <c r="D931" s="34"/>
      <c r="H931" s="92"/>
      <c r="I931" s="34"/>
    </row>
    <row r="932">
      <c r="B932" s="34"/>
      <c r="C932" s="92"/>
      <c r="D932" s="34"/>
      <c r="H932" s="92"/>
      <c r="I932" s="34"/>
    </row>
    <row r="933">
      <c r="B933" s="34"/>
      <c r="C933" s="92"/>
      <c r="D933" s="34"/>
      <c r="H933" s="92"/>
      <c r="I933" s="34"/>
    </row>
    <row r="934">
      <c r="B934" s="34"/>
      <c r="C934" s="92"/>
      <c r="D934" s="34"/>
      <c r="H934" s="92"/>
      <c r="I934" s="34"/>
    </row>
    <row r="935">
      <c r="B935" s="34"/>
      <c r="C935" s="92"/>
      <c r="D935" s="34"/>
      <c r="H935" s="92"/>
      <c r="I935" s="34"/>
    </row>
    <row r="936">
      <c r="B936" s="34"/>
      <c r="C936" s="92"/>
      <c r="D936" s="34"/>
      <c r="H936" s="92"/>
      <c r="I936" s="34"/>
    </row>
    <row r="937">
      <c r="B937" s="34"/>
      <c r="C937" s="92"/>
      <c r="D937" s="34"/>
      <c r="H937" s="92"/>
      <c r="I937" s="34"/>
    </row>
    <row r="938">
      <c r="B938" s="34"/>
      <c r="C938" s="92"/>
      <c r="D938" s="34"/>
      <c r="H938" s="92"/>
      <c r="I938" s="34"/>
    </row>
    <row r="939">
      <c r="B939" s="34"/>
      <c r="C939" s="92"/>
      <c r="D939" s="34"/>
      <c r="H939" s="92"/>
      <c r="I939" s="34"/>
    </row>
    <row r="940">
      <c r="B940" s="34"/>
      <c r="C940" s="92"/>
      <c r="D940" s="34"/>
      <c r="H940" s="92"/>
      <c r="I940" s="34"/>
    </row>
    <row r="941">
      <c r="B941" s="34"/>
      <c r="C941" s="92"/>
      <c r="D941" s="34"/>
      <c r="H941" s="92"/>
      <c r="I941" s="34"/>
    </row>
    <row r="942">
      <c r="B942" s="34"/>
      <c r="C942" s="92"/>
      <c r="D942" s="34"/>
      <c r="H942" s="92"/>
      <c r="I942" s="34"/>
    </row>
    <row r="943">
      <c r="B943" s="34"/>
      <c r="C943" s="92"/>
      <c r="D943" s="34"/>
      <c r="H943" s="92"/>
      <c r="I943" s="34"/>
    </row>
    <row r="944">
      <c r="B944" s="34"/>
      <c r="C944" s="92"/>
      <c r="D944" s="34"/>
      <c r="H944" s="92"/>
      <c r="I944" s="34"/>
    </row>
    <row r="945">
      <c r="B945" s="34"/>
      <c r="C945" s="92"/>
      <c r="D945" s="34"/>
      <c r="H945" s="92"/>
      <c r="I945" s="34"/>
    </row>
    <row r="946">
      <c r="B946" s="34"/>
      <c r="C946" s="92"/>
      <c r="D946" s="34"/>
      <c r="H946" s="92"/>
      <c r="I946" s="34"/>
    </row>
    <row r="947">
      <c r="B947" s="34"/>
      <c r="C947" s="92"/>
      <c r="D947" s="34"/>
      <c r="H947" s="92"/>
      <c r="I947" s="34"/>
    </row>
    <row r="948">
      <c r="B948" s="34"/>
      <c r="C948" s="92"/>
      <c r="D948" s="34"/>
      <c r="H948" s="92"/>
      <c r="I948" s="34"/>
    </row>
    <row r="949">
      <c r="B949" s="34"/>
      <c r="C949" s="92"/>
      <c r="D949" s="34"/>
      <c r="H949" s="92"/>
      <c r="I949" s="34"/>
    </row>
    <row r="950">
      <c r="B950" s="34"/>
      <c r="C950" s="92"/>
      <c r="D950" s="34"/>
      <c r="H950" s="92"/>
      <c r="I950" s="34"/>
    </row>
    <row r="951">
      <c r="B951" s="34"/>
      <c r="C951" s="92"/>
      <c r="D951" s="34"/>
      <c r="H951" s="92"/>
      <c r="I951" s="34"/>
    </row>
    <row r="952">
      <c r="B952" s="34"/>
      <c r="C952" s="92"/>
      <c r="D952" s="34"/>
      <c r="H952" s="92"/>
      <c r="I952" s="34"/>
    </row>
    <row r="953">
      <c r="B953" s="34"/>
      <c r="C953" s="92"/>
      <c r="D953" s="34"/>
      <c r="H953" s="92"/>
      <c r="I953" s="34"/>
    </row>
    <row r="954">
      <c r="B954" s="34"/>
      <c r="C954" s="92"/>
      <c r="D954" s="34"/>
      <c r="H954" s="92"/>
      <c r="I954" s="34"/>
    </row>
    <row r="955">
      <c r="B955" s="34"/>
      <c r="C955" s="92"/>
      <c r="D955" s="34"/>
      <c r="H955" s="92"/>
      <c r="I955" s="34"/>
    </row>
    <row r="956">
      <c r="B956" s="34"/>
      <c r="C956" s="92"/>
      <c r="D956" s="34"/>
      <c r="H956" s="92"/>
      <c r="I956" s="34"/>
    </row>
    <row r="957">
      <c r="B957" s="34"/>
      <c r="C957" s="92"/>
      <c r="D957" s="34"/>
      <c r="H957" s="92"/>
      <c r="I957" s="34"/>
    </row>
    <row r="958">
      <c r="B958" s="34"/>
      <c r="C958" s="92"/>
      <c r="D958" s="34"/>
      <c r="H958" s="92"/>
      <c r="I958" s="34"/>
    </row>
    <row r="959">
      <c r="B959" s="34"/>
      <c r="C959" s="92"/>
      <c r="D959" s="34"/>
      <c r="H959" s="92"/>
      <c r="I959" s="34"/>
    </row>
    <row r="960">
      <c r="B960" s="34"/>
      <c r="C960" s="92"/>
      <c r="D960" s="34"/>
      <c r="H960" s="92"/>
      <c r="I960" s="34"/>
    </row>
    <row r="961">
      <c r="B961" s="34"/>
      <c r="C961" s="92"/>
      <c r="D961" s="34"/>
      <c r="H961" s="92"/>
      <c r="I961" s="34"/>
    </row>
    <row r="962">
      <c r="B962" s="34"/>
      <c r="C962" s="92"/>
      <c r="D962" s="34"/>
      <c r="H962" s="92"/>
      <c r="I962" s="34"/>
    </row>
    <row r="963">
      <c r="B963" s="34"/>
      <c r="C963" s="92"/>
      <c r="D963" s="34"/>
      <c r="H963" s="92"/>
      <c r="I963" s="34"/>
    </row>
    <row r="964">
      <c r="B964" s="34"/>
      <c r="C964" s="92"/>
      <c r="D964" s="34"/>
      <c r="H964" s="92"/>
      <c r="I964" s="34"/>
    </row>
    <row r="965">
      <c r="B965" s="34"/>
      <c r="C965" s="92"/>
      <c r="D965" s="34"/>
      <c r="H965" s="92"/>
      <c r="I965" s="34"/>
    </row>
    <row r="966">
      <c r="B966" s="34"/>
      <c r="C966" s="92"/>
      <c r="D966" s="34"/>
      <c r="H966" s="92"/>
      <c r="I966" s="34"/>
    </row>
    <row r="967">
      <c r="B967" s="34"/>
      <c r="C967" s="92"/>
      <c r="D967" s="34"/>
      <c r="H967" s="92"/>
      <c r="I967" s="34"/>
    </row>
    <row r="968">
      <c r="B968" s="34"/>
      <c r="C968" s="92"/>
      <c r="D968" s="34"/>
      <c r="H968" s="92"/>
      <c r="I968" s="34"/>
    </row>
    <row r="969">
      <c r="B969" s="34"/>
      <c r="C969" s="92"/>
      <c r="D969" s="34"/>
      <c r="H969" s="92"/>
      <c r="I969" s="34"/>
    </row>
    <row r="970">
      <c r="B970" s="34"/>
      <c r="C970" s="92"/>
      <c r="D970" s="34"/>
      <c r="H970" s="92"/>
      <c r="I970" s="34"/>
    </row>
    <row r="971">
      <c r="B971" s="34"/>
      <c r="C971" s="92"/>
      <c r="D971" s="34"/>
      <c r="H971" s="92"/>
      <c r="I971" s="34"/>
    </row>
    <row r="972">
      <c r="B972" s="34"/>
      <c r="C972" s="92"/>
      <c r="D972" s="34"/>
      <c r="H972" s="92"/>
      <c r="I972" s="34"/>
    </row>
    <row r="973">
      <c r="B973" s="34"/>
      <c r="C973" s="92"/>
      <c r="D973" s="34"/>
      <c r="H973" s="92"/>
      <c r="I973" s="34"/>
    </row>
    <row r="974">
      <c r="B974" s="34"/>
      <c r="C974" s="92"/>
      <c r="D974" s="34"/>
      <c r="H974" s="92"/>
      <c r="I974" s="34"/>
    </row>
    <row r="975">
      <c r="B975" s="34"/>
      <c r="C975" s="92"/>
      <c r="D975" s="34"/>
      <c r="H975" s="92"/>
      <c r="I975" s="34"/>
    </row>
    <row r="976">
      <c r="B976" s="34"/>
      <c r="C976" s="92"/>
      <c r="D976" s="34"/>
      <c r="H976" s="92"/>
      <c r="I976" s="34"/>
    </row>
    <row r="977">
      <c r="B977" s="34"/>
      <c r="C977" s="92"/>
      <c r="D977" s="34"/>
      <c r="H977" s="92"/>
      <c r="I977" s="34"/>
    </row>
    <row r="978">
      <c r="B978" s="34"/>
      <c r="C978" s="92"/>
      <c r="D978" s="34"/>
      <c r="H978" s="92"/>
      <c r="I978" s="34"/>
    </row>
    <row r="979">
      <c r="B979" s="34"/>
      <c r="C979" s="92"/>
      <c r="D979" s="34"/>
      <c r="H979" s="92"/>
      <c r="I979" s="34"/>
    </row>
    <row r="980">
      <c r="B980" s="34"/>
      <c r="C980" s="92"/>
      <c r="D980" s="34"/>
      <c r="H980" s="92"/>
      <c r="I980" s="34"/>
    </row>
    <row r="981">
      <c r="B981" s="34"/>
      <c r="C981" s="92"/>
      <c r="D981" s="34"/>
      <c r="H981" s="92"/>
      <c r="I981" s="34"/>
    </row>
    <row r="982">
      <c r="B982" s="34"/>
      <c r="C982" s="92"/>
      <c r="D982" s="34"/>
      <c r="H982" s="92"/>
      <c r="I982" s="34"/>
    </row>
    <row r="983">
      <c r="B983" s="34"/>
      <c r="C983" s="92"/>
      <c r="D983" s="34"/>
      <c r="H983" s="92"/>
      <c r="I983" s="34"/>
    </row>
    <row r="984">
      <c r="B984" s="34"/>
      <c r="C984" s="92"/>
      <c r="D984" s="34"/>
      <c r="H984" s="92"/>
      <c r="I984" s="34"/>
    </row>
    <row r="985">
      <c r="B985" s="34"/>
      <c r="C985" s="92"/>
      <c r="D985" s="34"/>
      <c r="H985" s="92"/>
      <c r="I985" s="34"/>
    </row>
    <row r="986">
      <c r="B986" s="34"/>
      <c r="C986" s="92"/>
      <c r="D986" s="34"/>
      <c r="H986" s="92"/>
      <c r="I986" s="34"/>
    </row>
    <row r="987">
      <c r="B987" s="34"/>
      <c r="C987" s="92"/>
      <c r="D987" s="34"/>
      <c r="H987" s="92"/>
      <c r="I987" s="34"/>
    </row>
    <row r="988">
      <c r="B988" s="34"/>
      <c r="C988" s="92"/>
      <c r="D988" s="34"/>
      <c r="H988" s="92"/>
      <c r="I988" s="34"/>
    </row>
    <row r="989">
      <c r="B989" s="34"/>
      <c r="C989" s="92"/>
      <c r="D989" s="34"/>
      <c r="H989" s="92"/>
      <c r="I989" s="34"/>
    </row>
    <row r="990">
      <c r="B990" s="34"/>
      <c r="C990" s="92"/>
      <c r="D990" s="34"/>
      <c r="H990" s="92"/>
      <c r="I990" s="34"/>
    </row>
    <row r="991">
      <c r="B991" s="34"/>
      <c r="C991" s="92"/>
      <c r="D991" s="34"/>
      <c r="H991" s="92"/>
      <c r="I991" s="34"/>
    </row>
    <row r="992">
      <c r="B992" s="34"/>
      <c r="C992" s="92"/>
      <c r="D992" s="34"/>
      <c r="H992" s="92"/>
      <c r="I992" s="34"/>
    </row>
    <row r="993">
      <c r="B993" s="34"/>
      <c r="C993" s="92"/>
      <c r="D993" s="34"/>
      <c r="H993" s="92"/>
      <c r="I993" s="34"/>
    </row>
    <row r="994">
      <c r="B994" s="34"/>
      <c r="C994" s="92"/>
      <c r="D994" s="34"/>
      <c r="H994" s="92"/>
      <c r="I994" s="34"/>
    </row>
    <row r="995">
      <c r="B995" s="34"/>
      <c r="C995" s="92"/>
      <c r="D995" s="34"/>
      <c r="H995" s="92"/>
      <c r="I995" s="34"/>
    </row>
    <row r="996">
      <c r="B996" s="34"/>
      <c r="C996" s="92"/>
      <c r="D996" s="34"/>
      <c r="H996" s="92"/>
      <c r="I996" s="34"/>
    </row>
    <row r="997">
      <c r="B997" s="34"/>
      <c r="C997" s="92"/>
      <c r="D997" s="34"/>
      <c r="H997" s="92"/>
      <c r="I997" s="34"/>
    </row>
    <row r="998">
      <c r="B998" s="34"/>
      <c r="C998" s="92"/>
      <c r="D998" s="34"/>
      <c r="H998" s="92"/>
      <c r="I998" s="34"/>
    </row>
    <row r="999">
      <c r="B999" s="34"/>
      <c r="C999" s="92"/>
      <c r="D999" s="34"/>
      <c r="H999" s="92"/>
      <c r="I999" s="34"/>
    </row>
    <row r="1000">
      <c r="B1000" s="34"/>
      <c r="C1000" s="92"/>
      <c r="D1000" s="34"/>
      <c r="H1000" s="92"/>
      <c r="I1000" s="34"/>
    </row>
    <row r="1001">
      <c r="B1001" s="34"/>
      <c r="C1001" s="92"/>
      <c r="D1001" s="34"/>
      <c r="H1001" s="92"/>
      <c r="I1001" s="34"/>
    </row>
  </sheetData>
  <conditionalFormatting sqref="E3 J3">
    <cfRule type="cellIs" dxfId="1" priority="1" operator="equal">
      <formula>0</formula>
    </cfRule>
  </conditionalFormatting>
  <conditionalFormatting sqref="E3 J3">
    <cfRule type="cellIs" dxfId="2" priority="2" operator="notEqual">
      <formula>0</formula>
    </cfRule>
  </conditionalFormatting>
  <conditionalFormatting sqref="A5:A1001">
    <cfRule type="expression" dxfId="3" priority="3">
      <formula>countif(E:E,A5)&gt;0</formula>
    </cfRule>
  </conditionalFormatting>
  <conditionalFormatting sqref="G5:G1001">
    <cfRule type="expression" dxfId="3" priority="4">
      <formula>countif(J:J,G5)&gt;0</formula>
    </cfRule>
  </conditionalFormatting>
  <dataValidations>
    <dataValidation type="list" allowBlank="1" showErrorMessage="1" sqref="C5:C1001 H5:H1001">
      <formula1>Country</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6.0"/>
    <col customWidth="1" min="3" max="3" width="28.75"/>
    <col customWidth="1" min="4" max="5" width="14.5"/>
    <col customWidth="1" min="6" max="6" width="26.63"/>
    <col customWidth="1" min="7" max="7" width="17.0"/>
    <col customWidth="1" min="8" max="9" width="8.13"/>
    <col customWidth="1" min="10" max="10" width="29.5"/>
    <col customWidth="1" min="11" max="11" width="16.0"/>
    <col customWidth="1" min="12" max="12" width="9.75"/>
    <col customWidth="1" min="13" max="13" width="17.0"/>
    <col customWidth="1" min="14" max="14" width="9.75"/>
    <col customWidth="1" min="15" max="15" width="8.0"/>
    <col customWidth="1" min="16" max="16" width="9.5"/>
    <col customWidth="1" min="17" max="17" width="9.0"/>
    <col customWidth="1" min="18" max="18" width="12.5"/>
    <col customWidth="1" min="19" max="19" width="4.38"/>
    <col customWidth="1" min="20" max="20" width="8.38"/>
    <col customWidth="1" min="21" max="21" width="6.75"/>
    <col customWidth="1" min="25" max="25" width="11.0"/>
  </cols>
  <sheetData>
    <row r="1">
      <c r="A1" s="13">
        <f>IFERROR(__xludf.DUMMYFUNCTION("COUNTUNIQUE(A5:A1005)-'5) Release_Track'!F1"),0.0)</f>
        <v>0</v>
      </c>
      <c r="B1" s="13">
        <f>IFERROR(__xludf.DUMMYFUNCTION("COUNTUNIQUE(B5:B1005)-'5) Release_Track'!G1"),0.0)</f>
        <v>0</v>
      </c>
      <c r="C1" s="168" t="s">
        <v>99</v>
      </c>
      <c r="D1" s="111"/>
      <c r="E1" s="111"/>
      <c r="F1" s="13">
        <f>IFERROR(__xludf.DUMMYFUNCTION("COUNTUNIQUE(F5:F1005)"),2.0)</f>
        <v>2</v>
      </c>
      <c r="G1" s="21" t="s">
        <v>27</v>
      </c>
      <c r="H1" s="169">
        <f>IFERROR(__xludf.DUMMYFUNCTION("sum(H5:H1005)-arrayformula(COUNTUNIQUE(A5:A1005&amp;B5:B1005))"),0.0)</f>
        <v>0</v>
      </c>
      <c r="I1" s="111"/>
      <c r="J1" s="13">
        <f>countif(J5:J1005,"Published (managed by a publisher)")</f>
        <v>2</v>
      </c>
      <c r="K1" s="13">
        <f>COUNTA(K5:K1005)</f>
        <v>2</v>
      </c>
      <c r="L1" s="13">
        <f>IFERROR(__xludf.DUMMYFUNCTION("COUNTUNIQUE(K5:K1005)"),2.0)</f>
        <v>2</v>
      </c>
      <c r="N1" s="156"/>
    </row>
    <row r="2">
      <c r="A2" s="170" t="s">
        <v>171</v>
      </c>
      <c r="B2" s="106"/>
      <c r="C2" s="157"/>
      <c r="D2" s="157"/>
      <c r="E2" s="157"/>
      <c r="F2" s="157"/>
      <c r="G2" s="157"/>
      <c r="H2" s="106"/>
      <c r="I2" s="157"/>
      <c r="J2" s="157"/>
      <c r="K2" s="157"/>
      <c r="L2" s="101" t="s">
        <v>29</v>
      </c>
      <c r="M2" s="171"/>
    </row>
    <row r="3">
      <c r="A3" s="129" t="s">
        <v>117</v>
      </c>
      <c r="B3" s="68" t="s">
        <v>118</v>
      </c>
      <c r="C3" s="110" t="s">
        <v>119</v>
      </c>
      <c r="D3" s="110" t="s">
        <v>120</v>
      </c>
      <c r="E3" s="110" t="s">
        <v>172</v>
      </c>
      <c r="F3" s="109" t="s">
        <v>173</v>
      </c>
      <c r="G3" s="109" t="s">
        <v>174</v>
      </c>
      <c r="H3" s="172" t="s">
        <v>175</v>
      </c>
      <c r="I3" s="158" t="s">
        <v>176</v>
      </c>
      <c r="J3" s="109" t="s">
        <v>177</v>
      </c>
      <c r="K3" s="65" t="s">
        <v>178</v>
      </c>
    </row>
    <row r="4">
      <c r="A4" s="77" t="s">
        <v>146</v>
      </c>
      <c r="B4" s="159" t="s">
        <v>146</v>
      </c>
      <c r="C4" s="173" t="s">
        <v>147</v>
      </c>
      <c r="F4" s="112" t="s">
        <v>179</v>
      </c>
      <c r="G4" s="35" t="s">
        <v>82</v>
      </c>
      <c r="H4" s="174" t="s">
        <v>180</v>
      </c>
      <c r="I4" s="111" t="s">
        <v>181</v>
      </c>
      <c r="J4" s="35" t="s">
        <v>82</v>
      </c>
      <c r="K4" s="175" t="s">
        <v>182</v>
      </c>
      <c r="N4" s="141"/>
    </row>
    <row r="5">
      <c r="A5" s="47" t="s">
        <v>137</v>
      </c>
      <c r="B5" s="115"/>
      <c r="C5" s="137" t="str">
        <f t="array" ref="C5">ifs(and(isblank($A5),isblank($B5)),"", not(iserror(vlookup($A5&amp;$B5,'5) Release_Track'!$F:$F&amp;'5) Release_Track'!$G:$G,1,0))),vlookup($A5&amp;$B5,{'5) Release_Track'!$F:$F&amp;'5) Release_Track'!$G:$G,'5) Release_Track'!$H:$H},2,0),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Receba</v>
      </c>
      <c r="D5" s="137" t="str">
        <f t="array" ref="D5">ifs(and(isblank($A5),isblank($B5)),"", not(iserror(vlookup($A5&amp;$B5,'5) Release_Track'!$F:$F&amp;'5) Release_Track'!$G:$G,1,0))),vlookup($A5&amp;$B5,{'5) Release_Track'!$F:$F&amp;'5) Release_Track'!$G:$G,'5) Release_Track'!$I:$I},2,0),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Extended</v>
      </c>
      <c r="E5" s="116" t="str">
        <f t="array" ref="E5">ifs(and(isblank($A5),isblank($B5)),"", not(iserror(vlookup($A5&amp;$B5,'5) Release_Track'!$F:$F&amp;'5) Release_Track'!$G:$G,1,0))),vlookup($A5&amp;$B5,{'5) Release_Track'!$F:$F&amp;'5) Release_Track'!$G:$G,'5) Release_Track'!$J:$J},2,0), or(and(not(isblank($B5)),$B5=$B4,$A5&lt;&gt;$A4),and(not(isblank($A5)),$A5=$A4,$B5&lt;&gt;$B4)),"ID LISTS UNALIGNED",and($A5&lt;&gt;"",countif('5) Release_Track'!$F:$F,$A5)=0),"NO ISRC MATCH in Release_Track",and($B5&lt;&gt;"",countif('5) Release_Track'!$G:$G,$B5)=0),"NO CATALOG ID MATCH in Release_Track",iserror(vlookup($A5&amp;$B5,'5) Release_Track'!$F:$F&amp;'5) Release_Track'!$G:$G,1,0)),"NO ISRC-CATALOG ID pair MATCH in Release_Track" )</f>
        <v>Portuguese</v>
      </c>
      <c r="F5" s="176" t="s">
        <v>164</v>
      </c>
      <c r="G5" s="118" t="s">
        <v>183</v>
      </c>
      <c r="H5" s="177">
        <v>0.6</v>
      </c>
      <c r="I5" s="178">
        <f t="shared" ref="I5:I8" si="1">if(isblank(H5),"",if(not(iserror(find("MATCH in ",E5))),E5,if(and(not(isblank($B5)),$B5=$B4,$A5&lt;&gt;$A4),"ID LISTS UNALIGNED",if(not(isblank($A5)),if($A5=$A4,H5+I4,H5),if($B5=$B4,H5+I4,H5)))))</f>
        <v>0.6</v>
      </c>
      <c r="J5" s="34" t="s">
        <v>184</v>
      </c>
      <c r="K5" s="47"/>
      <c r="N5" s="141"/>
    </row>
    <row r="6">
      <c r="A6" s="47" t="s">
        <v>137</v>
      </c>
      <c r="B6" s="115"/>
      <c r="C6" s="137" t="str">
        <f t="array" ref="C6">ifs(and(isblank($A6),isblank($B6)),"", not(iserror(vlookup($A6&amp;$B6,'5) Release_Track'!$F:$F&amp;'5) Release_Track'!$G:$G,1,0))),vlookup($A6&amp;$B6,{'5) Release_Track'!$F:$F&amp;'5) Release_Track'!$G:$G,'5) Release_Track'!$H:$H},2,0), or(and(not(isblank($B6)),$B6=#REF!,$A6&lt;&gt;#REF!),and(not(isblank($A6)),$A6=#REF!,$B6&lt;&gt;#REF!)),"ID LISTS UNALIGNED",and($A6&lt;&gt;"",countif('5) Release_Track'!$F:$F,$A6)=0),"NO ISRC MATCH in Release_Track",and($B6&lt;&gt;"",countif('5) Release_Track'!$G:$G,$B6)=0),"NO CATALOG ID MATCH in Release_Track",iserror(vlookup($A6&amp;$B6,'5) Release_Track'!$F:$F&amp;'5) Release_Track'!$G:$G,1,0)),"NO ISRC-CATALOG ID pair MATCH in Release_Track" )</f>
        <v>Receba</v>
      </c>
      <c r="D6" s="137" t="str">
        <f t="array" ref="D6">ifs(and(isblank($A6),isblank($B6)),"", not(iserror(vlookup($A6&amp;$B6,'5) Release_Track'!$F:$F&amp;'5) Release_Track'!$G:$G,1,0))),vlookup($A6&amp;$B6,{'5) Release_Track'!$F:$F&amp;'5) Release_Track'!$G:$G,'5) Release_Track'!$I:$I},2,0), or(and(not(isblank($B6)),$B6=#REF!,$A6&lt;&gt;#REF!),and(not(isblank($A6)),$A6=#REF!,$B6&lt;&gt;#REF!)),"ID LISTS UNALIGNED",and($A6&lt;&gt;"",countif('5) Release_Track'!$F:$F,$A6)=0),"NO ISRC MATCH in Release_Track",and($B6&lt;&gt;"",countif('5) Release_Track'!$G:$G,$B6)=0),"NO CATALOG ID MATCH in Release_Track",iserror(vlookup($A6&amp;$B6,'5) Release_Track'!$F:$F&amp;'5) Release_Track'!$G:$G,1,0)),"NO ISRC-CATALOG ID pair MATCH in Release_Track" )</f>
        <v>Extended</v>
      </c>
      <c r="E6" s="116" t="str">
        <f t="array" ref="E6">ifs(and(isblank($A6),isblank($B6)),"", not(iserror(vlookup($A6&amp;$B6,'5) Release_Track'!$F:$F&amp;'5) Release_Track'!$G:$G,1,0))),vlookup($A6&amp;$B6,{'5) Release_Track'!$F:$F&amp;'5) Release_Track'!$G:$G,'5) Release_Track'!$J:$J},2,0),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Portuguese</v>
      </c>
      <c r="F6" s="179" t="s">
        <v>169</v>
      </c>
      <c r="G6" s="118" t="s">
        <v>183</v>
      </c>
      <c r="H6" s="177">
        <v>0.4</v>
      </c>
      <c r="I6" s="180">
        <f t="shared" si="1"/>
        <v>1</v>
      </c>
      <c r="J6" s="47" t="s">
        <v>184</v>
      </c>
      <c r="K6" s="47"/>
      <c r="M6" s="181"/>
    </row>
    <row r="7">
      <c r="A7" s="47" t="s">
        <v>143</v>
      </c>
      <c r="B7" s="115"/>
      <c r="C7" s="137" t="str">
        <f t="array" ref="C7">ifs(and(isblank($A7),isblank($B7)),"", not(iserror(vlookup($A7&amp;$B7,'5) Release_Track'!$F:$F&amp;'5) Release_Track'!$G:$G,1,0))),vlookup($A7&amp;$B7,{'5) Release_Track'!$F:$F&amp;'5) Release_Track'!$G:$G,'5) Release_Track'!$H:$H},2,0), or(and(not(isblank($B7)),$B7=$B5,$A7&lt;&gt;$A5),and(not(isblank($A7)),$A7=$A5,$B7&lt;&gt;$B5)),"ID LISTS UNALIGNED",and($A7&lt;&gt;"",countif('5) Release_Track'!$F:$F,$A7)=0),"NO ISRC MATCH in Release_Track",and($B7&lt;&gt;"",countif('5) Release_Track'!$G:$G,$B7)=0),"NO CATALOG ID MATCH in Release_Track",iserror(vlookup($A7&amp;$B7,'5) Release_Track'!$F:$F&amp;'5) Release_Track'!$G:$G,1,0)),"NO ISRC-CATALOG ID pair MATCH in Release_Track" )</f>
        <v>A Cláusula do Contrato</v>
      </c>
      <c r="D7" s="116" t="str">
        <f t="array" ref="D7">ifs(and(isblank($A7),isblank($B7)),"", not(iserror(vlookup($A7&amp;$B7,'5) Release_Track'!$F:$F&amp;'5) Release_Track'!$G:$G,1,0))),vlookup($A7&amp;$B7,{'5) Release_Track'!$F:$F&amp;'5) Release_Track'!$G:$G,'5) Release_Track'!$I:$I},2,0), or(and(not(isblank($B7)),$B7=$B5,$A7&lt;&gt;$A5),and(not(isblank($A7)),$A7=$A5,$B7&lt;&gt;$B5)),"ID LISTS UNALIGNED",and($A7&lt;&gt;"",countif('5) Release_Track'!$F:$F,$A7)=0),"NO ISRC MATCH in Release_Track",and($B7&lt;&gt;"",countif('5) Release_Track'!$G:$G,$B7)=0),"NO CATALOG ID MATCH in Release_Track",iserror(vlookup($A7&amp;$B7,'5) Release_Track'!$F:$F&amp;'5) Release_Track'!$G:$G,1,0)),"NO ISRC-CATALOG ID pair MATCH in Release_Track" )</f>
        <v/>
      </c>
      <c r="E7" s="116" t="str">
        <f t="array" ref="E7">ifs(and(isblank($A7),isblank($B7)),"", not(iserror(vlookup($A7&amp;$B7,'5) Release_Track'!$F:$F&amp;'5) Release_Track'!$G:$G,1,0))),vlookup($A7&amp;$B7,{'5) Release_Track'!$F:$F&amp;'5) Release_Track'!$G:$G,'5) Release_Track'!$J:$J},2,0),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Portuguese</v>
      </c>
      <c r="F7" s="179" t="s">
        <v>169</v>
      </c>
      <c r="G7" s="118" t="s">
        <v>183</v>
      </c>
      <c r="H7" s="177">
        <v>0.5</v>
      </c>
      <c r="I7" s="182">
        <f t="shared" si="1"/>
        <v>0.5</v>
      </c>
      <c r="J7" s="47" t="s">
        <v>185</v>
      </c>
      <c r="K7" s="47" t="s">
        <v>167</v>
      </c>
      <c r="L7" s="28"/>
      <c r="M7" s="183"/>
      <c r="N7" s="28"/>
      <c r="O7" s="28"/>
      <c r="P7" s="28"/>
      <c r="Q7" s="28"/>
      <c r="R7" s="28"/>
      <c r="S7" s="28"/>
      <c r="T7" s="28"/>
      <c r="U7" s="28"/>
      <c r="V7" s="28"/>
      <c r="W7" s="28"/>
      <c r="X7" s="28"/>
      <c r="Y7" s="28"/>
      <c r="Z7" s="28"/>
      <c r="AA7" s="28"/>
    </row>
    <row r="8">
      <c r="A8" s="47" t="s">
        <v>143</v>
      </c>
      <c r="B8" s="115"/>
      <c r="C8" s="137" t="str">
        <f t="array" ref="C8">ifs(and(isblank($A8),isblank($B8)),"", not(iserror(vlookup($A8&amp;$B8,'5) Release_Track'!$F:$F&amp;'5) Release_Track'!$G:$G,1,0))),vlookup($A8&amp;$B8,{'5) Release_Track'!$F:$F&amp;'5) Release_Track'!$G:$G,'5) Release_Track'!$H:$H},2,0), or(and(not(isblank($B8)),$B8=$B6,$A8&lt;&gt;$A6),and(not(isblank($A8)),$A8=$A6,$B8&lt;&gt;$B6)),"ID LISTS UNALIGNED",and($A8&lt;&gt;"",countif('5) Release_Track'!$F:$F,$A8)=0),"NO ISRC MATCH in Release_Track",and($B8&lt;&gt;"",countif('5) Release_Track'!$G:$G,$B8)=0),"NO CATALOG ID MATCH in Release_Track",iserror(vlookup($A8&amp;$B8,'5) Release_Track'!$F:$F&amp;'5) Release_Track'!$G:$G,1,0)),"NO ISRC-CATALOG ID pair MATCH in Release_Track" )</f>
        <v>A Cláusula do Contrato</v>
      </c>
      <c r="D8" s="116" t="str">
        <f t="array" ref="D8">ifs(and(isblank($A8),isblank($B8)),"", not(iserror(vlookup($A8&amp;$B8,'5) Release_Track'!$F:$F&amp;'5) Release_Track'!$G:$G,1,0))),vlookup($A8&amp;$B8,{'5) Release_Track'!$F:$F&amp;'5) Release_Track'!$G:$G,'5) Release_Track'!$I:$I},2,0), or(and(not(isblank($B8)),$B8=$B6,$A8&lt;&gt;$A6),and(not(isblank($A8)),$A8=$A6,$B8&lt;&gt;$B6)),"ID LISTS UNALIGNED",and($A8&lt;&gt;"",countif('5) Release_Track'!$F:$F,$A8)=0),"NO ISRC MATCH in Release_Track",and($B8&lt;&gt;"",countif('5) Release_Track'!$G:$G,$B8)=0),"NO CATALOG ID MATCH in Release_Track",iserror(vlookup($A8&amp;$B8,'5) Release_Track'!$F:$F&amp;'5) Release_Track'!$G:$G,1,0)),"NO ISRC-CATALOG ID pair MATCH in Release_Track" )</f>
        <v/>
      </c>
      <c r="E8" s="116" t="str">
        <f t="array" ref="E8">ifs(and(isblank($A8),isblank($B8)),"", not(iserror(vlookup($A8&amp;$B8,'5) Release_Track'!$F:$F&amp;'5) Release_Track'!$G:$G,1,0))),vlookup($A8&amp;$B8,{'5) Release_Track'!$F:$F&amp;'5) Release_Track'!$G:$G,'5) Release_Track'!$J:$J},2,0),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Portuguese</v>
      </c>
      <c r="F8" s="176" t="s">
        <v>164</v>
      </c>
      <c r="G8" s="118" t="s">
        <v>183</v>
      </c>
      <c r="H8" s="177">
        <v>0.5</v>
      </c>
      <c r="I8" s="180">
        <f t="shared" si="1"/>
        <v>1</v>
      </c>
      <c r="J8" s="47" t="s">
        <v>185</v>
      </c>
      <c r="K8" s="47" t="s">
        <v>170</v>
      </c>
      <c r="L8" s="28"/>
      <c r="M8" s="181"/>
      <c r="N8" s="28"/>
      <c r="O8" s="28"/>
      <c r="P8" s="28"/>
      <c r="Q8" s="28"/>
      <c r="R8" s="28"/>
      <c r="S8" s="28"/>
      <c r="T8" s="28"/>
      <c r="U8" s="28"/>
      <c r="V8" s="28"/>
      <c r="W8" s="28"/>
      <c r="X8" s="28"/>
      <c r="Y8" s="28"/>
      <c r="Z8" s="28"/>
      <c r="AA8" s="28"/>
    </row>
    <row r="9">
      <c r="A9" s="28"/>
      <c r="B9" s="120"/>
      <c r="C9" s="121" t="str">
        <f t="array" ref="C9">ifs(and(isblank($A9),isblank($B9)),"", not(iserror(vlookup($A9&amp;$B9,'5) Release_Track'!$F:$F&amp;'5) Release_Track'!$G:$G,1,0))),vlookup($A9&amp;$B9,{'5) Release_Track'!$F:$F&amp;'5) Release_Track'!$G:$G,'5) Release_Track'!$H:$H},2,0),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
      </c>
      <c r="D9" s="121" t="str">
        <f t="array" ref="D9">ifs(and(isblank($A9),isblank($B9)),"", not(iserror(vlookup($A9&amp;$B9,'5) Release_Track'!$F:$F&amp;'5) Release_Track'!$G:$G,1,0))),vlookup($A9&amp;$B9,{'5) Release_Track'!$F:$F&amp;'5) Release_Track'!$G:$G,'5) Release_Track'!$I:$I},2,0),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
      </c>
      <c r="E9" s="116" t="str">
        <f t="array" ref="E9">ifs(and(isblank($A9),isblank($B9)),"", not(iserror(vlookup($A9&amp;$B9,'5) Release_Track'!$F:$F&amp;'5) Release_Track'!$G:$G,1,0))),vlookup($A9&amp;$B9,{'5) Release_Track'!$F:$F&amp;'5) Release_Track'!$G:$G,'5) Release_Track'!$J:$J},2,0),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
      </c>
      <c r="F9" s="88"/>
      <c r="G9" s="88"/>
      <c r="H9" s="184"/>
      <c r="I9" s="121" t="str">
        <f t="shared" ref="I9:I1005" si="2">if(isblank(H9),"",if(not(iserror(find("MATCH in ",D9))),D9,if(and(not(isblank($B9)),$B9=$B8,$A9&lt;&gt;$A8),"ID LISTS UNALIGNED",if(not(isblank($A9)),if($A9=$A8,H9+I8,H9),if($B9=$B8,H9+I8,H9)))))</f>
        <v/>
      </c>
      <c r="J9" s="92"/>
      <c r="K9" s="28"/>
      <c r="L9" s="28"/>
      <c r="M9" s="183"/>
      <c r="N9" s="28"/>
      <c r="O9" s="28"/>
      <c r="P9" s="28"/>
      <c r="Q9" s="28"/>
      <c r="R9" s="28"/>
      <c r="S9" s="28"/>
      <c r="T9" s="28"/>
      <c r="U9" s="28"/>
      <c r="V9" s="28"/>
      <c r="W9" s="28"/>
      <c r="X9" s="28"/>
      <c r="Y9" s="28"/>
      <c r="Z9" s="28"/>
      <c r="AA9" s="28"/>
    </row>
    <row r="10">
      <c r="A10" s="28"/>
      <c r="B10" s="120"/>
      <c r="C10" s="121" t="str">
        <f t="array" ref="C10">ifs(and(isblank($A10),isblank($B10)),"", not(iserror(vlookup($A10&amp;$B10,'5) Release_Track'!$F:$F&amp;'5) Release_Track'!$G:$G,1,0))),vlookup($A10&amp;$B10,{'5) Release_Track'!$F:$F&amp;'5) Release_Track'!$G:$G,'5) Release_Track'!$H:$H},2,0),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D10" s="121" t="str">
        <f t="array" ref="D10">ifs(and(isblank($A10),isblank($B10)),"", not(iserror(vlookup($A10&amp;$B10,'5) Release_Track'!$F:$F&amp;'5) Release_Track'!$G:$G,1,0))),vlookup($A10&amp;$B10,{'5) Release_Track'!$F:$F&amp;'5) Release_Track'!$G:$G,'5) Release_Track'!$I:$I},2,0),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E10" s="116" t="str">
        <f t="array" ref="E10">ifs(and(isblank($A10),isblank($B10)),"", not(iserror(vlookup($A10&amp;$B10,'5) Release_Track'!$F:$F&amp;'5) Release_Track'!$G:$G,1,0))),vlookup($A10&amp;$B10,{'5) Release_Track'!$F:$F&amp;'5) Release_Track'!$G:$G,'5) Release_Track'!$J:$J},2,0),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F10" s="88"/>
      <c r="G10" s="88"/>
      <c r="H10" s="184"/>
      <c r="I10" s="121" t="str">
        <f t="shared" si="2"/>
        <v/>
      </c>
      <c r="J10" s="28"/>
      <c r="K10" s="28"/>
      <c r="L10" s="28"/>
      <c r="M10" s="183"/>
      <c r="N10" s="28"/>
      <c r="O10" s="28"/>
      <c r="P10" s="28"/>
      <c r="Q10" s="28"/>
      <c r="R10" s="28"/>
      <c r="S10" s="28"/>
      <c r="T10" s="28"/>
      <c r="U10" s="28"/>
      <c r="V10" s="28"/>
      <c r="W10" s="28"/>
      <c r="X10" s="28"/>
      <c r="Y10" s="28"/>
      <c r="Z10" s="28"/>
      <c r="AA10" s="28"/>
    </row>
    <row r="11">
      <c r="A11" s="28"/>
      <c r="B11" s="120"/>
      <c r="C11" s="121" t="str">
        <f t="array" ref="C11">ifs(and(isblank($A11),isblank($B11)),"", not(iserror(vlookup($A11&amp;$B11,'5) Release_Track'!$F:$F&amp;'5) Release_Track'!$G:$G,1,0))),vlookup($A11&amp;$B11,{'5) Release_Track'!$F:$F&amp;'5) Release_Track'!$G:$G,'5) Release_Track'!$H:$H},2,0),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D11" s="121" t="str">
        <f t="array" ref="D11">ifs(and(isblank($A11),isblank($B11)),"", not(iserror(vlookup($A11&amp;$B11,'5) Release_Track'!$F:$F&amp;'5) Release_Track'!$G:$G,1,0))),vlookup($A11&amp;$B11,{'5) Release_Track'!$F:$F&amp;'5) Release_Track'!$G:$G,'5) Release_Track'!$I:$I},2,0),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E11" s="116" t="str">
        <f t="array" ref="E11">ifs(and(isblank($A11),isblank($B11)),"", not(iserror(vlookup($A11&amp;$B11,'5) Release_Track'!$F:$F&amp;'5) Release_Track'!$G:$G,1,0))),vlookup($A11&amp;$B11,{'5) Release_Track'!$F:$F&amp;'5) Release_Track'!$G:$G,'5) Release_Track'!$J:$J},2,0),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F11" s="88"/>
      <c r="G11" s="88"/>
      <c r="H11" s="184"/>
      <c r="I11" s="121" t="str">
        <f t="shared" si="2"/>
        <v/>
      </c>
      <c r="J11" s="28"/>
      <c r="K11" s="28"/>
      <c r="L11" s="28" t="s">
        <v>150</v>
      </c>
      <c r="N11" s="28"/>
      <c r="O11" s="28"/>
      <c r="P11" s="28"/>
      <c r="Q11" s="28"/>
      <c r="R11" s="28"/>
      <c r="S11" s="28"/>
      <c r="T11" s="28"/>
      <c r="U11" s="28"/>
      <c r="V11" s="28"/>
      <c r="W11" s="28"/>
      <c r="X11" s="28"/>
      <c r="Y11" s="28"/>
      <c r="Z11" s="28"/>
      <c r="AA11" s="28"/>
    </row>
    <row r="12">
      <c r="A12" s="28"/>
      <c r="B12" s="120"/>
      <c r="C12" s="121" t="str">
        <f t="array" ref="C12">ifs(and(isblank($A12),isblank($B12)),"", not(iserror(vlookup($A12&amp;$B12,'5) Release_Track'!$F:$F&amp;'5) Release_Track'!$G:$G,1,0))),vlookup($A12&amp;$B12,{'5) Release_Track'!$F:$F&amp;'5) Release_Track'!$G:$G,'5) Release_Track'!$H:$H},2,0),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D12" s="121" t="str">
        <f t="array" ref="D12">ifs(and(isblank($A12),isblank($B12)),"", not(iserror(vlookup($A12&amp;$B12,'5) Release_Track'!$F:$F&amp;'5) Release_Track'!$G:$G,1,0))),vlookup($A12&amp;$B12,{'5) Release_Track'!$F:$F&amp;'5) Release_Track'!$G:$G,'5) Release_Track'!$I:$I},2,0),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E12" s="116" t="str">
        <f t="array" ref="E12">ifs(and(isblank($A12),isblank($B12)),"", not(iserror(vlookup($A12&amp;$B12,'5) Release_Track'!$F:$F&amp;'5) Release_Track'!$G:$G,1,0))),vlookup($A12&amp;$B12,{'5) Release_Track'!$F:$F&amp;'5) Release_Track'!$G:$G,'5) Release_Track'!$J:$J},2,0),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F12" s="88"/>
      <c r="G12" s="88"/>
      <c r="H12" s="184"/>
      <c r="I12" s="121" t="str">
        <f t="shared" si="2"/>
        <v/>
      </c>
      <c r="J12" s="28"/>
      <c r="K12" s="28"/>
      <c r="L12" s="28"/>
      <c r="N12" s="28"/>
      <c r="O12" s="28"/>
      <c r="P12" s="28"/>
      <c r="Q12" s="28"/>
      <c r="R12" s="28"/>
      <c r="S12" s="28"/>
      <c r="T12" s="28"/>
      <c r="U12" s="28"/>
      <c r="V12" s="28"/>
      <c r="W12" s="28"/>
      <c r="X12" s="28"/>
      <c r="Y12" s="28"/>
      <c r="Z12" s="28"/>
      <c r="AA12" s="28"/>
    </row>
    <row r="13">
      <c r="A13" s="28"/>
      <c r="B13" s="120"/>
      <c r="C13" s="121" t="str">
        <f t="array" ref="C13">ifs(and(isblank($A13),isblank($B13)),"", not(iserror(vlookup($A13&amp;$B13,'5) Release_Track'!$F:$F&amp;'5) Release_Track'!$G:$G,1,0))),vlookup($A13&amp;$B13,{'5) Release_Track'!$F:$F&amp;'5) Release_Track'!$G:$G,'5) Release_Track'!$H:$H},2,0),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D13" s="121" t="str">
        <f t="array" ref="D13">ifs(and(isblank($A13),isblank($B13)),"", not(iserror(vlookup($A13&amp;$B13,'5) Release_Track'!$F:$F&amp;'5) Release_Track'!$G:$G,1,0))),vlookup($A13&amp;$B13,{'5) Release_Track'!$F:$F&amp;'5) Release_Track'!$G:$G,'5) Release_Track'!$I:$I},2,0),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E13" s="116" t="str">
        <f t="array" ref="E13">ifs(and(isblank($A13),isblank($B13)),"", not(iserror(vlookup($A13&amp;$B13,'5) Release_Track'!$F:$F&amp;'5) Release_Track'!$G:$G,1,0))),vlookup($A13&amp;$B13,{'5) Release_Track'!$F:$F&amp;'5) Release_Track'!$G:$G,'5) Release_Track'!$J:$J},2,0),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F13" s="88"/>
      <c r="G13" s="88"/>
      <c r="H13" s="184"/>
      <c r="I13" s="121" t="str">
        <f t="shared" si="2"/>
        <v/>
      </c>
      <c r="J13" s="28"/>
      <c r="K13" s="28"/>
      <c r="L13" s="28"/>
      <c r="M13" s="28"/>
      <c r="N13" s="28"/>
      <c r="O13" s="28"/>
      <c r="P13" s="28"/>
      <c r="Q13" s="28"/>
      <c r="R13" s="28"/>
      <c r="S13" s="28"/>
      <c r="T13" s="28"/>
      <c r="U13" s="28"/>
      <c r="V13" s="28"/>
      <c r="W13" s="28"/>
      <c r="X13" s="28"/>
      <c r="Y13" s="28"/>
      <c r="Z13" s="28"/>
      <c r="AA13" s="28"/>
    </row>
    <row r="14">
      <c r="A14" s="28"/>
      <c r="B14" s="120"/>
      <c r="C14" s="121" t="str">
        <f t="array" ref="C14">ifs(and(isblank($A14),isblank($B14)),"", not(iserror(vlookup($A14&amp;$B14,'5) Release_Track'!$F:$F&amp;'5) Release_Track'!$G:$G,1,0))),vlookup($A14&amp;$B14,{'5) Release_Track'!$F:$F&amp;'5) Release_Track'!$G:$G,'5) Release_Track'!$H:$H},2,0),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D14" s="121" t="str">
        <f t="array" ref="D14">ifs(and(isblank($A14),isblank($B14)),"", not(iserror(vlookup($A14&amp;$B14,'5) Release_Track'!$F:$F&amp;'5) Release_Track'!$G:$G,1,0))),vlookup($A14&amp;$B14,{'5) Release_Track'!$F:$F&amp;'5) Release_Track'!$G:$G,'5) Release_Track'!$I:$I},2,0),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E14" s="116" t="str">
        <f t="array" ref="E14">ifs(and(isblank($A14),isblank($B14)),"", not(iserror(vlookup($A14&amp;$B14,'5) Release_Track'!$F:$F&amp;'5) Release_Track'!$G:$G,1,0))),vlookup($A14&amp;$B14,{'5) Release_Track'!$F:$F&amp;'5) Release_Track'!$G:$G,'5) Release_Track'!$J:$J},2,0),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F14" s="88"/>
      <c r="G14" s="88"/>
      <c r="H14" s="184"/>
      <c r="I14" s="121" t="str">
        <f t="shared" si="2"/>
        <v/>
      </c>
      <c r="J14" s="28"/>
      <c r="K14" s="28"/>
      <c r="L14" s="28"/>
      <c r="M14" s="28"/>
      <c r="N14" s="28"/>
      <c r="O14" s="28"/>
      <c r="P14" s="28"/>
      <c r="Q14" s="28"/>
      <c r="R14" s="28"/>
      <c r="S14" s="28"/>
      <c r="T14" s="28"/>
      <c r="U14" s="28"/>
      <c r="V14" s="28"/>
      <c r="W14" s="28"/>
      <c r="X14" s="28"/>
      <c r="Y14" s="28"/>
      <c r="Z14" s="28"/>
      <c r="AA14" s="28"/>
    </row>
    <row r="15">
      <c r="A15" s="28"/>
      <c r="B15" s="120"/>
      <c r="C15" s="121" t="str">
        <f t="array" ref="C15">ifs(and(isblank($A15),isblank($B15)),"", not(iserror(vlookup($A15&amp;$B15,'5) Release_Track'!$F:$F&amp;'5) Release_Track'!$G:$G,1,0))),vlookup($A15&amp;$B15,{'5) Release_Track'!$F:$F&amp;'5) Release_Track'!$G:$G,'5) Release_Track'!$H:$H},2,0),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D15" s="121" t="str">
        <f t="array" ref="D15">ifs(and(isblank($A15),isblank($B15)),"", not(iserror(vlookup($A15&amp;$B15,'5) Release_Track'!$F:$F&amp;'5) Release_Track'!$G:$G,1,0))),vlookup($A15&amp;$B15,{'5) Release_Track'!$F:$F&amp;'5) Release_Track'!$G:$G,'5) Release_Track'!$I:$I},2,0),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E15" s="116" t="str">
        <f t="array" ref="E15">ifs(and(isblank($A15),isblank($B15)),"", not(iserror(vlookup($A15&amp;$B15,'5) Release_Track'!$F:$F&amp;'5) Release_Track'!$G:$G,1,0))),vlookup($A15&amp;$B15,{'5) Release_Track'!$F:$F&amp;'5) Release_Track'!$G:$G,'5) Release_Track'!$J:$J},2,0),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F15" s="88"/>
      <c r="G15" s="28"/>
      <c r="H15" s="184"/>
      <c r="I15" s="121" t="str">
        <f t="shared" si="2"/>
        <v/>
      </c>
      <c r="J15" s="28"/>
      <c r="K15" s="28"/>
      <c r="L15" s="28"/>
      <c r="M15" s="28"/>
      <c r="N15" s="28"/>
      <c r="O15" s="28"/>
      <c r="P15" s="28"/>
      <c r="Q15" s="28"/>
      <c r="R15" s="28"/>
      <c r="S15" s="28"/>
      <c r="T15" s="28"/>
      <c r="U15" s="28"/>
      <c r="V15" s="28"/>
      <c r="W15" s="28"/>
      <c r="X15" s="28"/>
      <c r="Y15" s="28"/>
      <c r="Z15" s="28"/>
      <c r="AA15" s="28"/>
    </row>
    <row r="16">
      <c r="A16" s="28"/>
      <c r="B16" s="120"/>
      <c r="C16" s="121" t="str">
        <f t="array" ref="C16">ifs(and(isblank($A16),isblank($B16)),"", not(iserror(vlookup($A16&amp;$B16,'5) Release_Track'!$F:$F&amp;'5) Release_Track'!$G:$G,1,0))),vlookup($A16&amp;$B16,{'5) Release_Track'!$F:$F&amp;'5) Release_Track'!$G:$G,'5) Release_Track'!$H:$H},2,0),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D16" s="121" t="str">
        <f t="array" ref="D16">ifs(and(isblank($A16),isblank($B16)),"", not(iserror(vlookup($A16&amp;$B16,'5) Release_Track'!$F:$F&amp;'5) Release_Track'!$G:$G,1,0))),vlookup($A16&amp;$B16,{'5) Release_Track'!$F:$F&amp;'5) Release_Track'!$G:$G,'5) Release_Track'!$I:$I},2,0),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E16" s="116" t="str">
        <f t="array" ref="E16">ifs(and(isblank($A16),isblank($B16)),"", not(iserror(vlookup($A16&amp;$B16,'5) Release_Track'!$F:$F&amp;'5) Release_Track'!$G:$G,1,0))),vlookup($A16&amp;$B16,{'5) Release_Track'!$F:$F&amp;'5) Release_Track'!$G:$G,'5) Release_Track'!$J:$J},2,0),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F16" s="88"/>
      <c r="G16" s="28"/>
      <c r="H16" s="184"/>
      <c r="I16" s="121" t="str">
        <f t="shared" si="2"/>
        <v/>
      </c>
      <c r="J16" s="28"/>
      <c r="K16" s="28"/>
      <c r="L16" s="28"/>
      <c r="M16" s="28"/>
      <c r="N16" s="28"/>
      <c r="O16" s="28"/>
      <c r="P16" s="28"/>
      <c r="Q16" s="28"/>
      <c r="R16" s="28"/>
      <c r="S16" s="28"/>
      <c r="T16" s="28"/>
      <c r="U16" s="43"/>
      <c r="V16" s="28"/>
      <c r="W16" s="28"/>
      <c r="X16" s="28"/>
      <c r="Y16" s="28"/>
      <c r="Z16" s="28"/>
      <c r="AA16" s="28"/>
    </row>
    <row r="17">
      <c r="B17" s="97"/>
      <c r="C17" s="121" t="str">
        <f t="array" ref="C17">ifs(and(isblank($A17),isblank($B17)),"", not(iserror(vlookup($A17&amp;$B17,'5) Release_Track'!$F:$F&amp;'5) Release_Track'!$G:$G,1,0))),vlookup($A17&amp;$B17,{'5) Release_Track'!$F:$F&amp;'5) Release_Track'!$G:$G,'5) Release_Track'!$H:$H},2,0),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D17" s="121" t="str">
        <f t="array" ref="D17">ifs(and(isblank($A17),isblank($B17)),"", not(iserror(vlookup($A17&amp;$B17,'5) Release_Track'!$F:$F&amp;'5) Release_Track'!$G:$G,1,0))),vlookup($A17&amp;$B17,{'5) Release_Track'!$F:$F&amp;'5) Release_Track'!$G:$G,'5) Release_Track'!$I:$I},2,0),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E17" s="116" t="str">
        <f t="array" ref="E17">ifs(and(isblank($A17),isblank($B17)),"", not(iserror(vlookup($A17&amp;$B17,'5) Release_Track'!$F:$F&amp;'5) Release_Track'!$G:$G,1,0))),vlookup($A17&amp;$B17,{'5) Release_Track'!$F:$F&amp;'5) Release_Track'!$G:$G,'5) Release_Track'!$J:$J},2,0),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F17" s="88"/>
      <c r="G17" s="92"/>
      <c r="H17" s="185"/>
      <c r="I17" s="121" t="str">
        <f t="shared" si="2"/>
        <v/>
      </c>
      <c r="J17" s="92"/>
      <c r="K17" s="92"/>
    </row>
    <row r="18">
      <c r="B18" s="97"/>
      <c r="C18" s="121" t="str">
        <f t="array" ref="C18">ifs(and(isblank($A18),isblank($B18)),"", not(iserror(vlookup($A18&amp;$B18,'5) Release_Track'!$F:$F&amp;'5) Release_Track'!$G:$G,1,0))),vlookup($A18&amp;$B18,{'5) Release_Track'!$F:$F&amp;'5) Release_Track'!$G:$G,'5) Release_Track'!$H:$H},2,0),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D18" s="121" t="str">
        <f t="array" ref="D18">ifs(and(isblank($A18),isblank($B18)),"", not(iserror(vlookup($A18&amp;$B18,'5) Release_Track'!$F:$F&amp;'5) Release_Track'!$G:$G,1,0))),vlookup($A18&amp;$B18,{'5) Release_Track'!$F:$F&amp;'5) Release_Track'!$G:$G,'5) Release_Track'!$I:$I},2,0),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E18" s="116" t="str">
        <f t="array" ref="E18">ifs(and(isblank($A18),isblank($B18)),"", not(iserror(vlookup($A18&amp;$B18,'5) Release_Track'!$F:$F&amp;'5) Release_Track'!$G:$G,1,0))),vlookup($A18&amp;$B18,{'5) Release_Track'!$F:$F&amp;'5) Release_Track'!$G:$G,'5) Release_Track'!$J:$J},2,0),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F18" s="88"/>
      <c r="G18" s="92"/>
      <c r="H18" s="185"/>
      <c r="I18" s="121" t="str">
        <f t="shared" si="2"/>
        <v/>
      </c>
      <c r="J18" s="92"/>
      <c r="K18" s="92"/>
    </row>
    <row r="19">
      <c r="B19" s="97"/>
      <c r="C19" s="121" t="str">
        <f t="array" ref="C19">ifs(and(isblank($A19),isblank($B19)),"", not(iserror(vlookup($A19&amp;$B19,'5) Release_Track'!$F:$F&amp;'5) Release_Track'!$G:$G,1,0))),vlookup($A19&amp;$B19,{'5) Release_Track'!$F:$F&amp;'5) Release_Track'!$G:$G,'5) Release_Track'!$H:$H},2,0),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D19" s="121" t="str">
        <f t="array" ref="D19">ifs(and(isblank($A19),isblank($B19)),"", not(iserror(vlookup($A19&amp;$B19,'5) Release_Track'!$F:$F&amp;'5) Release_Track'!$G:$G,1,0))),vlookup($A19&amp;$B19,{'5) Release_Track'!$F:$F&amp;'5) Release_Track'!$G:$G,'5) Release_Track'!$I:$I},2,0),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E19" s="116" t="str">
        <f t="array" ref="E19">ifs(and(isblank($A19),isblank($B19)),"", not(iserror(vlookup($A19&amp;$B19,'5) Release_Track'!$F:$F&amp;'5) Release_Track'!$G:$G,1,0))),vlookup($A19&amp;$B19,{'5) Release_Track'!$F:$F&amp;'5) Release_Track'!$G:$G,'5) Release_Track'!$J:$J},2,0),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F19" s="88"/>
      <c r="G19" s="92"/>
      <c r="H19" s="185"/>
      <c r="I19" s="121" t="str">
        <f t="shared" si="2"/>
        <v/>
      </c>
      <c r="J19" s="92"/>
      <c r="K19" s="92"/>
    </row>
    <row r="20">
      <c r="B20" s="97"/>
      <c r="C20" s="121" t="str">
        <f t="array" ref="C20">ifs(and(isblank($A20),isblank($B20)),"", not(iserror(vlookup($A20&amp;$B20,'5) Release_Track'!$F:$F&amp;'5) Release_Track'!$G:$G,1,0))),vlookup($A20&amp;$B20,{'5) Release_Track'!$F:$F&amp;'5) Release_Track'!$G:$G,'5) Release_Track'!$H:$H},2,0),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D20" s="121" t="str">
        <f t="array" ref="D20">ifs(and(isblank($A20),isblank($B20)),"", not(iserror(vlookup($A20&amp;$B20,'5) Release_Track'!$F:$F&amp;'5) Release_Track'!$G:$G,1,0))),vlookup($A20&amp;$B20,{'5) Release_Track'!$F:$F&amp;'5) Release_Track'!$G:$G,'5) Release_Track'!$I:$I},2,0),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E20" s="116" t="str">
        <f t="array" ref="E20">ifs(and(isblank($A20),isblank($B20)),"", not(iserror(vlookup($A20&amp;$B20,'5) Release_Track'!$F:$F&amp;'5) Release_Track'!$G:$G,1,0))),vlookup($A20&amp;$B20,{'5) Release_Track'!$F:$F&amp;'5) Release_Track'!$G:$G,'5) Release_Track'!$J:$J},2,0),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F20" s="88"/>
      <c r="G20" s="92"/>
      <c r="H20" s="185"/>
      <c r="I20" s="121" t="str">
        <f t="shared" si="2"/>
        <v/>
      </c>
      <c r="J20" s="92"/>
      <c r="K20" s="92"/>
    </row>
    <row r="21">
      <c r="B21" s="97"/>
      <c r="C21" s="121" t="str">
        <f t="array" ref="C21">ifs(and(isblank($A21),isblank($B21)),"", not(iserror(vlookup($A21&amp;$B21,'5) Release_Track'!$F:$F&amp;'5) Release_Track'!$G:$G,1,0))),vlookup($A21&amp;$B21,{'5) Release_Track'!$F:$F&amp;'5) Release_Track'!$G:$G,'5) Release_Track'!$H:$H},2,0),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D21" s="121" t="str">
        <f t="array" ref="D21">ifs(and(isblank($A21),isblank($B21)),"", not(iserror(vlookup($A21&amp;$B21,'5) Release_Track'!$F:$F&amp;'5) Release_Track'!$G:$G,1,0))),vlookup($A21&amp;$B21,{'5) Release_Track'!$F:$F&amp;'5) Release_Track'!$G:$G,'5) Release_Track'!$I:$I},2,0),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E21" s="116" t="str">
        <f t="array" ref="E21">ifs(and(isblank($A21),isblank($B21)),"", not(iserror(vlookup($A21&amp;$B21,'5) Release_Track'!$F:$F&amp;'5) Release_Track'!$G:$G,1,0))),vlookup($A21&amp;$B21,{'5) Release_Track'!$F:$F&amp;'5) Release_Track'!$G:$G,'5) Release_Track'!$J:$J},2,0),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F21" s="88"/>
      <c r="G21" s="92"/>
      <c r="H21" s="185"/>
      <c r="I21" s="121" t="str">
        <f t="shared" si="2"/>
        <v/>
      </c>
      <c r="J21" s="92"/>
      <c r="K21" s="92"/>
    </row>
    <row r="22">
      <c r="B22" s="97"/>
      <c r="C22" s="121" t="str">
        <f t="array" ref="C22">ifs(and(isblank($A22),isblank($B22)),"", not(iserror(vlookup($A22&amp;$B22,'5) Release_Track'!$F:$F&amp;'5) Release_Track'!$G:$G,1,0))),vlookup($A22&amp;$B22,{'5) Release_Track'!$F:$F&amp;'5) Release_Track'!$G:$G,'5) Release_Track'!$H:$H},2,0),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D22" s="121" t="str">
        <f t="array" ref="D22">ifs(and(isblank($A22),isblank($B22)),"", not(iserror(vlookup($A22&amp;$B22,'5) Release_Track'!$F:$F&amp;'5) Release_Track'!$G:$G,1,0))),vlookup($A22&amp;$B22,{'5) Release_Track'!$F:$F&amp;'5) Release_Track'!$G:$G,'5) Release_Track'!$I:$I},2,0),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E22" s="116" t="str">
        <f t="array" ref="E22">ifs(and(isblank($A22),isblank($B22)),"", not(iserror(vlookup($A22&amp;$B22,'5) Release_Track'!$F:$F&amp;'5) Release_Track'!$G:$G,1,0))),vlookup($A22&amp;$B22,{'5) Release_Track'!$F:$F&amp;'5) Release_Track'!$G:$G,'5) Release_Track'!$J:$J},2,0),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F22" s="88"/>
      <c r="G22" s="92"/>
      <c r="H22" s="185"/>
      <c r="I22" s="121" t="str">
        <f t="shared" si="2"/>
        <v/>
      </c>
      <c r="J22" s="92"/>
      <c r="K22" s="92"/>
    </row>
    <row r="23">
      <c r="B23" s="97"/>
      <c r="C23" s="121" t="str">
        <f t="array" ref="C23">ifs(and(isblank($A23),isblank($B23)),"", not(iserror(vlookup($A23&amp;$B23,'5) Release_Track'!$F:$F&amp;'5) Release_Track'!$G:$G,1,0))),vlookup($A23&amp;$B23,{'5) Release_Track'!$F:$F&amp;'5) Release_Track'!$G:$G,'5) Release_Track'!$H:$H},2,0),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D23" s="121" t="str">
        <f t="array" ref="D23">ifs(and(isblank($A23),isblank($B23)),"", not(iserror(vlookup($A23&amp;$B23,'5) Release_Track'!$F:$F&amp;'5) Release_Track'!$G:$G,1,0))),vlookup($A23&amp;$B23,{'5) Release_Track'!$F:$F&amp;'5) Release_Track'!$G:$G,'5) Release_Track'!$I:$I},2,0),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E23" s="116" t="str">
        <f t="array" ref="E23">ifs(and(isblank($A23),isblank($B23)),"", not(iserror(vlookup($A23&amp;$B23,'5) Release_Track'!$F:$F&amp;'5) Release_Track'!$G:$G,1,0))),vlookup($A23&amp;$B23,{'5) Release_Track'!$F:$F&amp;'5) Release_Track'!$G:$G,'5) Release_Track'!$J:$J},2,0),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F23" s="88"/>
      <c r="G23" s="92"/>
      <c r="H23" s="185"/>
      <c r="I23" s="121" t="str">
        <f t="shared" si="2"/>
        <v/>
      </c>
      <c r="J23" s="92"/>
      <c r="K23" s="92"/>
    </row>
    <row r="24">
      <c r="B24" s="97"/>
      <c r="C24" s="121" t="str">
        <f t="array" ref="C24">ifs(and(isblank($A24),isblank($B24)),"", not(iserror(vlookup($A24&amp;$B24,'5) Release_Track'!$F:$F&amp;'5) Release_Track'!$G:$G,1,0))),vlookup($A24&amp;$B24,{'5) Release_Track'!$F:$F&amp;'5) Release_Track'!$G:$G,'5) Release_Track'!$H:$H},2,0),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D24" s="121" t="str">
        <f t="array" ref="D24">ifs(and(isblank($A24),isblank($B24)),"", not(iserror(vlookup($A24&amp;$B24,'5) Release_Track'!$F:$F&amp;'5) Release_Track'!$G:$G,1,0))),vlookup($A24&amp;$B24,{'5) Release_Track'!$F:$F&amp;'5) Release_Track'!$G:$G,'5) Release_Track'!$I:$I},2,0),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E24" s="116" t="str">
        <f t="array" ref="E24">ifs(and(isblank($A24),isblank($B24)),"", not(iserror(vlookup($A24&amp;$B24,'5) Release_Track'!$F:$F&amp;'5) Release_Track'!$G:$G,1,0))),vlookup($A24&amp;$B24,{'5) Release_Track'!$F:$F&amp;'5) Release_Track'!$G:$G,'5) Release_Track'!$J:$J},2,0),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F24" s="88"/>
      <c r="G24" s="92"/>
      <c r="H24" s="185"/>
      <c r="I24" s="121" t="str">
        <f t="shared" si="2"/>
        <v/>
      </c>
      <c r="J24" s="92"/>
      <c r="K24" s="92"/>
    </row>
    <row r="25">
      <c r="B25" s="97"/>
      <c r="C25" s="121" t="str">
        <f t="array" ref="C25">ifs(and(isblank($A25),isblank($B25)),"", not(iserror(vlookup($A25&amp;$B25,'5) Release_Track'!$F:$F&amp;'5) Release_Track'!$G:$G,1,0))),vlookup($A25&amp;$B25,{'5) Release_Track'!$F:$F&amp;'5) Release_Track'!$G:$G,'5) Release_Track'!$H:$H},2,0),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D25" s="121" t="str">
        <f t="array" ref="D25">ifs(and(isblank($A25),isblank($B25)),"", not(iserror(vlookup($A25&amp;$B25,'5) Release_Track'!$F:$F&amp;'5) Release_Track'!$G:$G,1,0))),vlookup($A25&amp;$B25,{'5) Release_Track'!$F:$F&amp;'5) Release_Track'!$G:$G,'5) Release_Track'!$I:$I},2,0),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E25" s="116" t="str">
        <f t="array" ref="E25">ifs(and(isblank($A25),isblank($B25)),"", not(iserror(vlookup($A25&amp;$B25,'5) Release_Track'!$F:$F&amp;'5) Release_Track'!$G:$G,1,0))),vlookup($A25&amp;$B25,{'5) Release_Track'!$F:$F&amp;'5) Release_Track'!$G:$G,'5) Release_Track'!$J:$J},2,0),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F25" s="88"/>
      <c r="G25" s="92"/>
      <c r="H25" s="185"/>
      <c r="I25" s="121" t="str">
        <f t="shared" si="2"/>
        <v/>
      </c>
      <c r="J25" s="92"/>
      <c r="K25" s="92"/>
    </row>
    <row r="26">
      <c r="B26" s="97"/>
      <c r="C26" s="121" t="str">
        <f t="array" ref="C26">ifs(and(isblank($A26),isblank($B26)),"", not(iserror(vlookup($A26&amp;$B26,'5) Release_Track'!$F:$F&amp;'5) Release_Track'!$G:$G,1,0))),vlookup($A26&amp;$B26,{'5) Release_Track'!$F:$F&amp;'5) Release_Track'!$G:$G,'5) Release_Track'!$H:$H},2,0),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D26" s="121" t="str">
        <f t="array" ref="D26">ifs(and(isblank($A26),isblank($B26)),"", not(iserror(vlookup($A26&amp;$B26,'5) Release_Track'!$F:$F&amp;'5) Release_Track'!$G:$G,1,0))),vlookup($A26&amp;$B26,{'5) Release_Track'!$F:$F&amp;'5) Release_Track'!$G:$G,'5) Release_Track'!$I:$I},2,0),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E26" s="116" t="str">
        <f t="array" ref="E26">ifs(and(isblank($A26),isblank($B26)),"", not(iserror(vlookup($A26&amp;$B26,'5) Release_Track'!$F:$F&amp;'5) Release_Track'!$G:$G,1,0))),vlookup($A26&amp;$B26,{'5) Release_Track'!$F:$F&amp;'5) Release_Track'!$G:$G,'5) Release_Track'!$J:$J},2,0),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F26" s="88"/>
      <c r="G26" s="92"/>
      <c r="H26" s="185"/>
      <c r="I26" s="121" t="str">
        <f t="shared" si="2"/>
        <v/>
      </c>
      <c r="J26" s="92"/>
      <c r="K26" s="92"/>
    </row>
    <row r="27">
      <c r="B27" s="97"/>
      <c r="C27" s="121" t="str">
        <f t="array" ref="C27">ifs(and(isblank($A27),isblank($B27)),"", not(iserror(vlookup($A27&amp;$B27,'5) Release_Track'!$F:$F&amp;'5) Release_Track'!$G:$G,1,0))),vlookup($A27&amp;$B27,{'5) Release_Track'!$F:$F&amp;'5) Release_Track'!$G:$G,'5) Release_Track'!$H:$H},2,0),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D27" s="121" t="str">
        <f t="array" ref="D27">ifs(and(isblank($A27),isblank($B27)),"", not(iserror(vlookup($A27&amp;$B27,'5) Release_Track'!$F:$F&amp;'5) Release_Track'!$G:$G,1,0))),vlookup($A27&amp;$B27,{'5) Release_Track'!$F:$F&amp;'5) Release_Track'!$G:$G,'5) Release_Track'!$I:$I},2,0),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E27" s="116" t="str">
        <f t="array" ref="E27">ifs(and(isblank($A27),isblank($B27)),"", not(iserror(vlookup($A27&amp;$B27,'5) Release_Track'!$F:$F&amp;'5) Release_Track'!$G:$G,1,0))),vlookup($A27&amp;$B27,{'5) Release_Track'!$F:$F&amp;'5) Release_Track'!$G:$G,'5) Release_Track'!$J:$J},2,0),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F27" s="88"/>
      <c r="G27" s="92"/>
      <c r="H27" s="185"/>
      <c r="I27" s="121" t="str">
        <f t="shared" si="2"/>
        <v/>
      </c>
      <c r="J27" s="92"/>
      <c r="K27" s="92"/>
    </row>
    <row r="28">
      <c r="B28" s="97"/>
      <c r="C28" s="121" t="str">
        <f t="array" ref="C28">ifs(and(isblank($A28),isblank($B28)),"", not(iserror(vlookup($A28&amp;$B28,'5) Release_Track'!$F:$F&amp;'5) Release_Track'!$G:$G,1,0))),vlookup($A28&amp;$B28,{'5) Release_Track'!$F:$F&amp;'5) Release_Track'!$G:$G,'5) Release_Track'!$H:$H},2,0),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D28" s="121" t="str">
        <f t="array" ref="D28">ifs(and(isblank($A28),isblank($B28)),"", not(iserror(vlookup($A28&amp;$B28,'5) Release_Track'!$F:$F&amp;'5) Release_Track'!$G:$G,1,0))),vlookup($A28&amp;$B28,{'5) Release_Track'!$F:$F&amp;'5) Release_Track'!$G:$G,'5) Release_Track'!$I:$I},2,0),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E28" s="116" t="str">
        <f t="array" ref="E28">ifs(and(isblank($A28),isblank($B28)),"", not(iserror(vlookup($A28&amp;$B28,'5) Release_Track'!$F:$F&amp;'5) Release_Track'!$G:$G,1,0))),vlookup($A28&amp;$B28,{'5) Release_Track'!$F:$F&amp;'5) Release_Track'!$G:$G,'5) Release_Track'!$J:$J},2,0),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F28" s="88"/>
      <c r="G28" s="92"/>
      <c r="H28" s="185"/>
      <c r="I28" s="121" t="str">
        <f t="shared" si="2"/>
        <v/>
      </c>
      <c r="J28" s="92"/>
      <c r="K28" s="92"/>
    </row>
    <row r="29">
      <c r="B29" s="97"/>
      <c r="C29" s="121" t="str">
        <f t="array" ref="C29">ifs(and(isblank($A29),isblank($B29)),"", not(iserror(vlookup($A29&amp;$B29,'5) Release_Track'!$F:$F&amp;'5) Release_Track'!$G:$G,1,0))),vlookup($A29&amp;$B29,{'5) Release_Track'!$F:$F&amp;'5) Release_Track'!$G:$G,'5) Release_Track'!$H:$H},2,0),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D29" s="121" t="str">
        <f t="array" ref="D29">ifs(and(isblank($A29),isblank($B29)),"", not(iserror(vlookup($A29&amp;$B29,'5) Release_Track'!$F:$F&amp;'5) Release_Track'!$G:$G,1,0))),vlookup($A29&amp;$B29,{'5) Release_Track'!$F:$F&amp;'5) Release_Track'!$G:$G,'5) Release_Track'!$I:$I},2,0),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E29" s="116" t="str">
        <f t="array" ref="E29">ifs(and(isblank($A29),isblank($B29)),"", not(iserror(vlookup($A29&amp;$B29,'5) Release_Track'!$F:$F&amp;'5) Release_Track'!$G:$G,1,0))),vlookup($A29&amp;$B29,{'5) Release_Track'!$F:$F&amp;'5) Release_Track'!$G:$G,'5) Release_Track'!$J:$J},2,0),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F29" s="88"/>
      <c r="G29" s="92"/>
      <c r="H29" s="185"/>
      <c r="I29" s="121" t="str">
        <f t="shared" si="2"/>
        <v/>
      </c>
      <c r="J29" s="92"/>
      <c r="K29" s="92"/>
    </row>
    <row r="30">
      <c r="B30" s="97"/>
      <c r="C30" s="121" t="str">
        <f t="array" ref="C30">ifs(and(isblank($A30),isblank($B30)),"", not(iserror(vlookup($A30&amp;$B30,'5) Release_Track'!$F:$F&amp;'5) Release_Track'!$G:$G,1,0))),vlookup($A30&amp;$B30,{'5) Release_Track'!$F:$F&amp;'5) Release_Track'!$G:$G,'5) Release_Track'!$H:$H},2,0),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D30" s="121" t="str">
        <f t="array" ref="D30">ifs(and(isblank($A30),isblank($B30)),"", not(iserror(vlookup($A30&amp;$B30,'5) Release_Track'!$F:$F&amp;'5) Release_Track'!$G:$G,1,0))),vlookup($A30&amp;$B30,{'5) Release_Track'!$F:$F&amp;'5) Release_Track'!$G:$G,'5) Release_Track'!$I:$I},2,0),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E30" s="116" t="str">
        <f t="array" ref="E30">ifs(and(isblank($A30),isblank($B30)),"", not(iserror(vlookup($A30&amp;$B30,'5) Release_Track'!$F:$F&amp;'5) Release_Track'!$G:$G,1,0))),vlookup($A30&amp;$B30,{'5) Release_Track'!$F:$F&amp;'5) Release_Track'!$G:$G,'5) Release_Track'!$J:$J},2,0),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F30" s="88"/>
      <c r="G30" s="92"/>
      <c r="H30" s="185"/>
      <c r="I30" s="121" t="str">
        <f t="shared" si="2"/>
        <v/>
      </c>
      <c r="J30" s="92"/>
      <c r="K30" s="92"/>
    </row>
    <row r="31">
      <c r="B31" s="97"/>
      <c r="C31" s="121" t="str">
        <f t="array" ref="C31">ifs(and(isblank($A31),isblank($B31)),"", not(iserror(vlookup($A31&amp;$B31,'5) Release_Track'!$F:$F&amp;'5) Release_Track'!$G:$G,1,0))),vlookup($A31&amp;$B31,{'5) Release_Track'!$F:$F&amp;'5) Release_Track'!$G:$G,'5) Release_Track'!$H:$H},2,0),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D31" s="121" t="str">
        <f t="array" ref="D31">ifs(and(isblank($A31),isblank($B31)),"", not(iserror(vlookup($A31&amp;$B31,'5) Release_Track'!$F:$F&amp;'5) Release_Track'!$G:$G,1,0))),vlookup($A31&amp;$B31,{'5) Release_Track'!$F:$F&amp;'5) Release_Track'!$G:$G,'5) Release_Track'!$I:$I},2,0),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E31" s="116" t="str">
        <f t="array" ref="E31">ifs(and(isblank($A31),isblank($B31)),"", not(iserror(vlookup($A31&amp;$B31,'5) Release_Track'!$F:$F&amp;'5) Release_Track'!$G:$G,1,0))),vlookup($A31&amp;$B31,{'5) Release_Track'!$F:$F&amp;'5) Release_Track'!$G:$G,'5) Release_Track'!$J:$J},2,0),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F31" s="88"/>
      <c r="G31" s="92"/>
      <c r="H31" s="185"/>
      <c r="I31" s="121" t="str">
        <f t="shared" si="2"/>
        <v/>
      </c>
      <c r="J31" s="92"/>
      <c r="K31" s="92"/>
    </row>
    <row r="32">
      <c r="B32" s="97"/>
      <c r="C32" s="121" t="str">
        <f t="array" ref="C32">ifs(and(isblank($A32),isblank($B32)),"", not(iserror(vlookup($A32&amp;$B32,'5) Release_Track'!$F:$F&amp;'5) Release_Track'!$G:$G,1,0))),vlookup($A32&amp;$B32,{'5) Release_Track'!$F:$F&amp;'5) Release_Track'!$G:$G,'5) Release_Track'!$H:$H},2,0),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D32" s="121" t="str">
        <f t="array" ref="D32">ifs(and(isblank($A32),isblank($B32)),"", not(iserror(vlookup($A32&amp;$B32,'5) Release_Track'!$F:$F&amp;'5) Release_Track'!$G:$G,1,0))),vlookup($A32&amp;$B32,{'5) Release_Track'!$F:$F&amp;'5) Release_Track'!$G:$G,'5) Release_Track'!$I:$I},2,0),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E32" s="116" t="str">
        <f t="array" ref="E32">ifs(and(isblank($A32),isblank($B32)),"", not(iserror(vlookup($A32&amp;$B32,'5) Release_Track'!$F:$F&amp;'5) Release_Track'!$G:$G,1,0))),vlookup($A32&amp;$B32,{'5) Release_Track'!$F:$F&amp;'5) Release_Track'!$G:$G,'5) Release_Track'!$J:$J},2,0),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F32" s="88"/>
      <c r="G32" s="92"/>
      <c r="H32" s="185"/>
      <c r="I32" s="121" t="str">
        <f t="shared" si="2"/>
        <v/>
      </c>
      <c r="J32" s="92"/>
      <c r="K32" s="92"/>
    </row>
    <row r="33">
      <c r="B33" s="46"/>
      <c r="C33" s="121" t="str">
        <f t="array" ref="C33">ifs(and(isblank($A33),isblank($B33)),"", not(iserror(vlookup($A33&amp;$B33,'5) Release_Track'!$F:$F&amp;'5) Release_Track'!$G:$G,1,0))),vlookup($A33&amp;$B33,{'5) Release_Track'!$F:$F&amp;'5) Release_Track'!$G:$G,'5) Release_Track'!$H:$H},2,0),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D33" s="121" t="str">
        <f t="array" ref="D33">ifs(and(isblank($A33),isblank($B33)),"", not(iserror(vlookup($A33&amp;$B33,'5) Release_Track'!$F:$F&amp;'5) Release_Track'!$G:$G,1,0))),vlookup($A33&amp;$B33,{'5) Release_Track'!$F:$F&amp;'5) Release_Track'!$G:$G,'5) Release_Track'!$I:$I},2,0),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E33" s="116" t="str">
        <f t="array" ref="E33">ifs(and(isblank($A33),isblank($B33)),"", not(iserror(vlookup($A33&amp;$B33,'5) Release_Track'!$F:$F&amp;'5) Release_Track'!$G:$G,1,0))),vlookup($A33&amp;$B33,{'5) Release_Track'!$F:$F&amp;'5) Release_Track'!$G:$G,'5) Release_Track'!$J:$J},2,0),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F33" s="88"/>
      <c r="G33" s="92"/>
      <c r="H33" s="185"/>
      <c r="I33" s="121" t="str">
        <f t="shared" si="2"/>
        <v/>
      </c>
      <c r="J33" s="92"/>
      <c r="K33" s="92"/>
    </row>
    <row r="34">
      <c r="B34" s="97"/>
      <c r="C34" s="121" t="str">
        <f t="array" ref="C34">ifs(and(isblank($A34),isblank($B34)),"", not(iserror(vlookup($A34&amp;$B34,'5) Release_Track'!$F:$F&amp;'5) Release_Track'!$G:$G,1,0))),vlookup($A34&amp;$B34,{'5) Release_Track'!$F:$F&amp;'5) Release_Track'!$G:$G,'5) Release_Track'!$H:$H},2,0),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D34" s="121" t="str">
        <f t="array" ref="D34">ifs(and(isblank($A34),isblank($B34)),"", not(iserror(vlookup($A34&amp;$B34,'5) Release_Track'!$F:$F&amp;'5) Release_Track'!$G:$G,1,0))),vlookup($A34&amp;$B34,{'5) Release_Track'!$F:$F&amp;'5) Release_Track'!$G:$G,'5) Release_Track'!$I:$I},2,0),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E34" s="116" t="str">
        <f t="array" ref="E34">ifs(and(isblank($A34),isblank($B34)),"", not(iserror(vlookup($A34&amp;$B34,'5) Release_Track'!$F:$F&amp;'5) Release_Track'!$G:$G,1,0))),vlookup($A34&amp;$B34,{'5) Release_Track'!$F:$F&amp;'5) Release_Track'!$G:$G,'5) Release_Track'!$J:$J},2,0),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F34" s="88"/>
      <c r="G34" s="92"/>
      <c r="H34" s="185"/>
      <c r="I34" s="121" t="str">
        <f t="shared" si="2"/>
        <v/>
      </c>
      <c r="J34" s="92"/>
      <c r="K34" s="92"/>
    </row>
    <row r="35">
      <c r="B35" s="97"/>
      <c r="C35" s="121" t="str">
        <f t="array" ref="C35">ifs(and(isblank($A35),isblank($B35)),"", not(iserror(vlookup($A35&amp;$B35,'5) Release_Track'!$F:$F&amp;'5) Release_Track'!$G:$G,1,0))),vlookup($A35&amp;$B35,{'5) Release_Track'!$F:$F&amp;'5) Release_Track'!$G:$G,'5) Release_Track'!$H:$H},2,0),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D35" s="121" t="str">
        <f t="array" ref="D35">ifs(and(isblank($A35),isblank($B35)),"", not(iserror(vlookup($A35&amp;$B35,'5) Release_Track'!$F:$F&amp;'5) Release_Track'!$G:$G,1,0))),vlookup($A35&amp;$B35,{'5) Release_Track'!$F:$F&amp;'5) Release_Track'!$G:$G,'5) Release_Track'!$I:$I},2,0),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E35" s="116" t="str">
        <f t="array" ref="E35">ifs(and(isblank($A35),isblank($B35)),"", not(iserror(vlookup($A35&amp;$B35,'5) Release_Track'!$F:$F&amp;'5) Release_Track'!$G:$G,1,0))),vlookup($A35&amp;$B35,{'5) Release_Track'!$F:$F&amp;'5) Release_Track'!$G:$G,'5) Release_Track'!$J:$J},2,0),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F35" s="88"/>
      <c r="G35" s="92"/>
      <c r="H35" s="185"/>
      <c r="I35" s="121" t="str">
        <f t="shared" si="2"/>
        <v/>
      </c>
      <c r="J35" s="92"/>
      <c r="K35" s="92"/>
    </row>
    <row r="36">
      <c r="B36" s="97"/>
      <c r="C36" s="121" t="str">
        <f t="array" ref="C36">ifs(and(isblank($A36),isblank($B36)),"", not(iserror(vlookup($A36&amp;$B36,'5) Release_Track'!$F:$F&amp;'5) Release_Track'!$G:$G,1,0))),vlookup($A36&amp;$B36,{'5) Release_Track'!$F:$F&amp;'5) Release_Track'!$G:$G,'5) Release_Track'!$H:$H},2,0),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D36" s="121" t="str">
        <f t="array" ref="D36">ifs(and(isblank($A36),isblank($B36)),"", not(iserror(vlookup($A36&amp;$B36,'5) Release_Track'!$F:$F&amp;'5) Release_Track'!$G:$G,1,0))),vlookup($A36&amp;$B36,{'5) Release_Track'!$F:$F&amp;'5) Release_Track'!$G:$G,'5) Release_Track'!$I:$I},2,0),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E36" s="116" t="str">
        <f t="array" ref="E36">ifs(and(isblank($A36),isblank($B36)),"", not(iserror(vlookup($A36&amp;$B36,'5) Release_Track'!$F:$F&amp;'5) Release_Track'!$G:$G,1,0))),vlookup($A36&amp;$B36,{'5) Release_Track'!$F:$F&amp;'5) Release_Track'!$G:$G,'5) Release_Track'!$J:$J},2,0),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F36" s="88"/>
      <c r="G36" s="92"/>
      <c r="H36" s="185"/>
      <c r="I36" s="121" t="str">
        <f t="shared" si="2"/>
        <v/>
      </c>
      <c r="J36" s="92"/>
      <c r="K36" s="92"/>
    </row>
    <row r="37">
      <c r="B37" s="97"/>
      <c r="C37" s="121" t="str">
        <f t="array" ref="C37">ifs(and(isblank($A37),isblank($B37)),"", not(iserror(vlookup($A37&amp;$B37,'5) Release_Track'!$F:$F&amp;'5) Release_Track'!$G:$G,1,0))),vlookup($A37&amp;$B37,{'5) Release_Track'!$F:$F&amp;'5) Release_Track'!$G:$G,'5) Release_Track'!$H:$H},2,0),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D37" s="121" t="str">
        <f t="array" ref="D37">ifs(and(isblank($A37),isblank($B37)),"", not(iserror(vlookup($A37&amp;$B37,'5) Release_Track'!$F:$F&amp;'5) Release_Track'!$G:$G,1,0))),vlookup($A37&amp;$B37,{'5) Release_Track'!$F:$F&amp;'5) Release_Track'!$G:$G,'5) Release_Track'!$I:$I},2,0),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E37" s="116" t="str">
        <f t="array" ref="E37">ifs(and(isblank($A37),isblank($B37)),"", not(iserror(vlookup($A37&amp;$B37,'5) Release_Track'!$F:$F&amp;'5) Release_Track'!$G:$G,1,0))),vlookup($A37&amp;$B37,{'5) Release_Track'!$F:$F&amp;'5) Release_Track'!$G:$G,'5) Release_Track'!$J:$J},2,0),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F37" s="88"/>
      <c r="G37" s="92"/>
      <c r="H37" s="185"/>
      <c r="I37" s="121" t="str">
        <f t="shared" si="2"/>
        <v/>
      </c>
      <c r="J37" s="92"/>
      <c r="K37" s="92"/>
    </row>
    <row r="38">
      <c r="B38" s="97"/>
      <c r="C38" s="121" t="str">
        <f t="array" ref="C38">ifs(and(isblank($A38),isblank($B38)),"", not(iserror(vlookup($A38&amp;$B38,'5) Release_Track'!$F:$F&amp;'5) Release_Track'!$G:$G,1,0))),vlookup($A38&amp;$B38,{'5) Release_Track'!$F:$F&amp;'5) Release_Track'!$G:$G,'5) Release_Track'!$H:$H},2,0),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D38" s="121" t="str">
        <f t="array" ref="D38">ifs(and(isblank($A38),isblank($B38)),"", not(iserror(vlookup($A38&amp;$B38,'5) Release_Track'!$F:$F&amp;'5) Release_Track'!$G:$G,1,0))),vlookup($A38&amp;$B38,{'5) Release_Track'!$F:$F&amp;'5) Release_Track'!$G:$G,'5) Release_Track'!$I:$I},2,0),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E38" s="116" t="str">
        <f t="array" ref="E38">ifs(and(isblank($A38),isblank($B38)),"", not(iserror(vlookup($A38&amp;$B38,'5) Release_Track'!$F:$F&amp;'5) Release_Track'!$G:$G,1,0))),vlookup($A38&amp;$B38,{'5) Release_Track'!$F:$F&amp;'5) Release_Track'!$G:$G,'5) Release_Track'!$J:$J},2,0),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F38" s="88"/>
      <c r="G38" s="92"/>
      <c r="H38" s="185"/>
      <c r="I38" s="121" t="str">
        <f t="shared" si="2"/>
        <v/>
      </c>
      <c r="J38" s="92"/>
      <c r="K38" s="92"/>
    </row>
    <row r="39">
      <c r="B39" s="97"/>
      <c r="C39" s="121" t="str">
        <f t="array" ref="C39">ifs(and(isblank($A39),isblank($B39)),"", not(iserror(vlookup($A39&amp;$B39,'5) Release_Track'!$F:$F&amp;'5) Release_Track'!$G:$G,1,0))),vlookup($A39&amp;$B39,{'5) Release_Track'!$F:$F&amp;'5) Release_Track'!$G:$G,'5) Release_Track'!$H:$H},2,0),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D39" s="121" t="str">
        <f t="array" ref="D39">ifs(and(isblank($A39),isblank($B39)),"", not(iserror(vlookup($A39&amp;$B39,'5) Release_Track'!$F:$F&amp;'5) Release_Track'!$G:$G,1,0))),vlookup($A39&amp;$B39,{'5) Release_Track'!$F:$F&amp;'5) Release_Track'!$G:$G,'5) Release_Track'!$I:$I},2,0),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E39" s="116" t="str">
        <f t="array" ref="E39">ifs(and(isblank($A39),isblank($B39)),"", not(iserror(vlookup($A39&amp;$B39,'5) Release_Track'!$F:$F&amp;'5) Release_Track'!$G:$G,1,0))),vlookup($A39&amp;$B39,{'5) Release_Track'!$F:$F&amp;'5) Release_Track'!$G:$G,'5) Release_Track'!$J:$J},2,0),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F39" s="88"/>
      <c r="G39" s="92"/>
      <c r="H39" s="185"/>
      <c r="I39" s="121" t="str">
        <f t="shared" si="2"/>
        <v/>
      </c>
      <c r="J39" s="92"/>
      <c r="K39" s="92"/>
    </row>
    <row r="40">
      <c r="B40" s="97"/>
      <c r="C40" s="121" t="str">
        <f t="array" ref="C40">ifs(and(isblank($A40),isblank($B40)),"", not(iserror(vlookup($A40&amp;$B40,'5) Release_Track'!$F:$F&amp;'5) Release_Track'!$G:$G,1,0))),vlookup($A40&amp;$B40,{'5) Release_Track'!$F:$F&amp;'5) Release_Track'!$G:$G,'5) Release_Track'!$H:$H},2,0),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D40" s="121" t="str">
        <f t="array" ref="D40">ifs(and(isblank($A40),isblank($B40)),"", not(iserror(vlookup($A40&amp;$B40,'5) Release_Track'!$F:$F&amp;'5) Release_Track'!$G:$G,1,0))),vlookup($A40&amp;$B40,{'5) Release_Track'!$F:$F&amp;'5) Release_Track'!$G:$G,'5) Release_Track'!$I:$I},2,0),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E40" s="116" t="str">
        <f t="array" ref="E40">ifs(and(isblank($A40),isblank($B40)),"", not(iserror(vlookup($A40&amp;$B40,'5) Release_Track'!$F:$F&amp;'5) Release_Track'!$G:$G,1,0))),vlookup($A40&amp;$B40,{'5) Release_Track'!$F:$F&amp;'5) Release_Track'!$G:$G,'5) Release_Track'!$J:$J},2,0),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F40" s="88"/>
      <c r="G40" s="92"/>
      <c r="H40" s="185"/>
      <c r="I40" s="121" t="str">
        <f t="shared" si="2"/>
        <v/>
      </c>
      <c r="J40" s="92"/>
      <c r="K40" s="92"/>
    </row>
    <row r="41">
      <c r="B41" s="97"/>
      <c r="C41" s="121" t="str">
        <f t="array" ref="C41">ifs(and(isblank($A41),isblank($B41)),"", not(iserror(vlookup($A41&amp;$B41,'5) Release_Track'!$F:$F&amp;'5) Release_Track'!$G:$G,1,0))),vlookup($A41&amp;$B41,{'5) Release_Track'!$F:$F&amp;'5) Release_Track'!$G:$G,'5) Release_Track'!$H:$H},2,0),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D41" s="121" t="str">
        <f t="array" ref="D41">ifs(and(isblank($A41),isblank($B41)),"", not(iserror(vlookup($A41&amp;$B41,'5) Release_Track'!$F:$F&amp;'5) Release_Track'!$G:$G,1,0))),vlookup($A41&amp;$B41,{'5) Release_Track'!$F:$F&amp;'5) Release_Track'!$G:$G,'5) Release_Track'!$I:$I},2,0),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E41" s="116" t="str">
        <f t="array" ref="E41">ifs(and(isblank($A41),isblank($B41)),"", not(iserror(vlookup($A41&amp;$B41,'5) Release_Track'!$F:$F&amp;'5) Release_Track'!$G:$G,1,0))),vlookup($A41&amp;$B41,{'5) Release_Track'!$F:$F&amp;'5) Release_Track'!$G:$G,'5) Release_Track'!$J:$J},2,0),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F41" s="88"/>
      <c r="G41" s="92"/>
      <c r="H41" s="185"/>
      <c r="I41" s="121" t="str">
        <f t="shared" si="2"/>
        <v/>
      </c>
      <c r="J41" s="92"/>
      <c r="K41" s="92"/>
    </row>
    <row r="42">
      <c r="B42" s="97"/>
      <c r="C42" s="121" t="str">
        <f t="array" ref="C42">ifs(and(isblank($A42),isblank($B42)),"", not(iserror(vlookup($A42&amp;$B42,'5) Release_Track'!$F:$F&amp;'5) Release_Track'!$G:$G,1,0))),vlookup($A42&amp;$B42,{'5) Release_Track'!$F:$F&amp;'5) Release_Track'!$G:$G,'5) Release_Track'!$H:$H},2,0),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D42" s="121" t="str">
        <f t="array" ref="D42">ifs(and(isblank($A42),isblank($B42)),"", not(iserror(vlookup($A42&amp;$B42,'5) Release_Track'!$F:$F&amp;'5) Release_Track'!$G:$G,1,0))),vlookup($A42&amp;$B42,{'5) Release_Track'!$F:$F&amp;'5) Release_Track'!$G:$G,'5) Release_Track'!$I:$I},2,0),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E42" s="116" t="str">
        <f t="array" ref="E42">ifs(and(isblank($A42),isblank($B42)),"", not(iserror(vlookup($A42&amp;$B42,'5) Release_Track'!$F:$F&amp;'5) Release_Track'!$G:$G,1,0))),vlookup($A42&amp;$B42,{'5) Release_Track'!$F:$F&amp;'5) Release_Track'!$G:$G,'5) Release_Track'!$J:$J},2,0),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F42" s="88"/>
      <c r="G42" s="92"/>
      <c r="H42" s="185"/>
      <c r="I42" s="121" t="str">
        <f t="shared" si="2"/>
        <v/>
      </c>
      <c r="J42" s="92"/>
      <c r="K42" s="92"/>
    </row>
    <row r="43">
      <c r="B43" s="97"/>
      <c r="C43" s="121" t="str">
        <f t="array" ref="C43">ifs(and(isblank($A43),isblank($B43)),"", not(iserror(vlookup($A43&amp;$B43,'5) Release_Track'!$F:$F&amp;'5) Release_Track'!$G:$G,1,0))),vlookup($A43&amp;$B43,{'5) Release_Track'!$F:$F&amp;'5) Release_Track'!$G:$G,'5) Release_Track'!$H:$H},2,0),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D43" s="121" t="str">
        <f t="array" ref="D43">ifs(and(isblank($A43),isblank($B43)),"", not(iserror(vlookup($A43&amp;$B43,'5) Release_Track'!$F:$F&amp;'5) Release_Track'!$G:$G,1,0))),vlookup($A43&amp;$B43,{'5) Release_Track'!$F:$F&amp;'5) Release_Track'!$G:$G,'5) Release_Track'!$I:$I},2,0),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E43" s="116" t="str">
        <f t="array" ref="E43">ifs(and(isblank($A43),isblank($B43)),"", not(iserror(vlookup($A43&amp;$B43,'5) Release_Track'!$F:$F&amp;'5) Release_Track'!$G:$G,1,0))),vlookup($A43&amp;$B43,{'5) Release_Track'!$F:$F&amp;'5) Release_Track'!$G:$G,'5) Release_Track'!$J:$J},2,0),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F43" s="88"/>
      <c r="G43" s="92"/>
      <c r="H43" s="185"/>
      <c r="I43" s="121" t="str">
        <f t="shared" si="2"/>
        <v/>
      </c>
      <c r="J43" s="92"/>
      <c r="K43" s="92"/>
    </row>
    <row r="44">
      <c r="B44" s="97"/>
      <c r="C44" s="121" t="str">
        <f t="array" ref="C44">ifs(and(isblank($A44),isblank($B44)),"", not(iserror(vlookup($A44&amp;$B44,'5) Release_Track'!$F:$F&amp;'5) Release_Track'!$G:$G,1,0))),vlookup($A44&amp;$B44,{'5) Release_Track'!$F:$F&amp;'5) Release_Track'!$G:$G,'5) Release_Track'!$H:$H},2,0),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D44" s="121" t="str">
        <f t="array" ref="D44">ifs(and(isblank($A44),isblank($B44)),"", not(iserror(vlookup($A44&amp;$B44,'5) Release_Track'!$F:$F&amp;'5) Release_Track'!$G:$G,1,0))),vlookup($A44&amp;$B44,{'5) Release_Track'!$F:$F&amp;'5) Release_Track'!$G:$G,'5) Release_Track'!$I:$I},2,0),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E44" s="116" t="str">
        <f t="array" ref="E44">ifs(and(isblank($A44),isblank($B44)),"", not(iserror(vlookup($A44&amp;$B44,'5) Release_Track'!$F:$F&amp;'5) Release_Track'!$G:$G,1,0))),vlookup($A44&amp;$B44,{'5) Release_Track'!$F:$F&amp;'5) Release_Track'!$G:$G,'5) Release_Track'!$J:$J},2,0),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F44" s="88"/>
      <c r="G44" s="92"/>
      <c r="H44" s="185"/>
      <c r="I44" s="121" t="str">
        <f t="shared" si="2"/>
        <v/>
      </c>
      <c r="J44" s="92"/>
      <c r="K44" s="92"/>
    </row>
    <row r="45">
      <c r="B45" s="97"/>
      <c r="C45" s="121" t="str">
        <f t="array" ref="C45">ifs(and(isblank($A45),isblank($B45)),"", not(iserror(vlookup($A45&amp;$B45,'5) Release_Track'!$F:$F&amp;'5) Release_Track'!$G:$G,1,0))),vlookup($A45&amp;$B45,{'5) Release_Track'!$F:$F&amp;'5) Release_Track'!$G:$G,'5) Release_Track'!$H:$H},2,0),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D45" s="121" t="str">
        <f t="array" ref="D45">ifs(and(isblank($A45),isblank($B45)),"", not(iserror(vlookup($A45&amp;$B45,'5) Release_Track'!$F:$F&amp;'5) Release_Track'!$G:$G,1,0))),vlookup($A45&amp;$B45,{'5) Release_Track'!$F:$F&amp;'5) Release_Track'!$G:$G,'5) Release_Track'!$I:$I},2,0),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E45" s="116" t="str">
        <f t="array" ref="E45">ifs(and(isblank($A45),isblank($B45)),"", not(iserror(vlookup($A45&amp;$B45,'5) Release_Track'!$F:$F&amp;'5) Release_Track'!$G:$G,1,0))),vlookup($A45&amp;$B45,{'5) Release_Track'!$F:$F&amp;'5) Release_Track'!$G:$G,'5) Release_Track'!$J:$J},2,0),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F45" s="88"/>
      <c r="G45" s="92"/>
      <c r="H45" s="185"/>
      <c r="I45" s="121" t="str">
        <f t="shared" si="2"/>
        <v/>
      </c>
      <c r="J45" s="92"/>
      <c r="K45" s="92"/>
    </row>
    <row r="46">
      <c r="B46" s="97"/>
      <c r="C46" s="121" t="str">
        <f t="array" ref="C46">ifs(and(isblank($A46),isblank($B46)),"", not(iserror(vlookup($A46&amp;$B46,'5) Release_Track'!$F:$F&amp;'5) Release_Track'!$G:$G,1,0))),vlookup($A46&amp;$B46,{'5) Release_Track'!$F:$F&amp;'5) Release_Track'!$G:$G,'5) Release_Track'!$H:$H},2,0),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D46" s="121" t="str">
        <f t="array" ref="D46">ifs(and(isblank($A46),isblank($B46)),"", not(iserror(vlookup($A46&amp;$B46,'5) Release_Track'!$F:$F&amp;'5) Release_Track'!$G:$G,1,0))),vlookup($A46&amp;$B46,{'5) Release_Track'!$F:$F&amp;'5) Release_Track'!$G:$G,'5) Release_Track'!$I:$I},2,0),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E46" s="116" t="str">
        <f t="array" ref="E46">ifs(and(isblank($A46),isblank($B46)),"", not(iserror(vlookup($A46&amp;$B46,'5) Release_Track'!$F:$F&amp;'5) Release_Track'!$G:$G,1,0))),vlookup($A46&amp;$B46,{'5) Release_Track'!$F:$F&amp;'5) Release_Track'!$G:$G,'5) Release_Track'!$J:$J},2,0),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F46" s="88"/>
      <c r="G46" s="92"/>
      <c r="H46" s="185"/>
      <c r="I46" s="121" t="str">
        <f t="shared" si="2"/>
        <v/>
      </c>
      <c r="J46" s="92"/>
      <c r="K46" s="92"/>
    </row>
    <row r="47">
      <c r="B47" s="97"/>
      <c r="C47" s="121" t="str">
        <f t="array" ref="C47">ifs(and(isblank($A47),isblank($B47)),"", not(iserror(vlookup($A47&amp;$B47,'5) Release_Track'!$F:$F&amp;'5) Release_Track'!$G:$G,1,0))),vlookup($A47&amp;$B47,{'5) Release_Track'!$F:$F&amp;'5) Release_Track'!$G:$G,'5) Release_Track'!$H:$H},2,0),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D47" s="121" t="str">
        <f t="array" ref="D47">ifs(and(isblank($A47),isblank($B47)),"", not(iserror(vlookup($A47&amp;$B47,'5) Release_Track'!$F:$F&amp;'5) Release_Track'!$G:$G,1,0))),vlookup($A47&amp;$B47,{'5) Release_Track'!$F:$F&amp;'5) Release_Track'!$G:$G,'5) Release_Track'!$I:$I},2,0),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E47" s="116" t="str">
        <f t="array" ref="E47">ifs(and(isblank($A47),isblank($B47)),"", not(iserror(vlookup($A47&amp;$B47,'5) Release_Track'!$F:$F&amp;'5) Release_Track'!$G:$G,1,0))),vlookup($A47&amp;$B47,{'5) Release_Track'!$F:$F&amp;'5) Release_Track'!$G:$G,'5) Release_Track'!$J:$J},2,0),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F47" s="88"/>
      <c r="G47" s="92"/>
      <c r="H47" s="185"/>
      <c r="I47" s="121" t="str">
        <f t="shared" si="2"/>
        <v/>
      </c>
      <c r="J47" s="92"/>
      <c r="K47" s="92"/>
    </row>
    <row r="48">
      <c r="B48" s="97"/>
      <c r="C48" s="121" t="str">
        <f t="array" ref="C48">ifs(and(isblank($A48),isblank($B48)),"", not(iserror(vlookup($A48&amp;$B48,'5) Release_Track'!$F:$F&amp;'5) Release_Track'!$G:$G,1,0))),vlookup($A48&amp;$B48,{'5) Release_Track'!$F:$F&amp;'5) Release_Track'!$G:$G,'5) Release_Track'!$H:$H},2,0),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D48" s="121" t="str">
        <f t="array" ref="D48">ifs(and(isblank($A48),isblank($B48)),"", not(iserror(vlookup($A48&amp;$B48,'5) Release_Track'!$F:$F&amp;'5) Release_Track'!$G:$G,1,0))),vlookup($A48&amp;$B48,{'5) Release_Track'!$F:$F&amp;'5) Release_Track'!$G:$G,'5) Release_Track'!$I:$I},2,0),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E48" s="116" t="str">
        <f t="array" ref="E48">ifs(and(isblank($A48),isblank($B48)),"", not(iserror(vlookup($A48&amp;$B48,'5) Release_Track'!$F:$F&amp;'5) Release_Track'!$G:$G,1,0))),vlookup($A48&amp;$B48,{'5) Release_Track'!$F:$F&amp;'5) Release_Track'!$G:$G,'5) Release_Track'!$J:$J},2,0),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F48" s="88"/>
      <c r="G48" s="92"/>
      <c r="H48" s="185"/>
      <c r="I48" s="121" t="str">
        <f t="shared" si="2"/>
        <v/>
      </c>
      <c r="J48" s="92"/>
      <c r="K48" s="92"/>
    </row>
    <row r="49">
      <c r="B49" s="97"/>
      <c r="C49" s="121" t="str">
        <f t="array" ref="C49">ifs(and(isblank($A49),isblank($B49)),"", not(iserror(vlookup($A49&amp;$B49,'5) Release_Track'!$F:$F&amp;'5) Release_Track'!$G:$G,1,0))),vlookup($A49&amp;$B49,{'5) Release_Track'!$F:$F&amp;'5) Release_Track'!$G:$G,'5) Release_Track'!$H:$H},2,0),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D49" s="121" t="str">
        <f t="array" ref="D49">ifs(and(isblank($A49),isblank($B49)),"", not(iserror(vlookup($A49&amp;$B49,'5) Release_Track'!$F:$F&amp;'5) Release_Track'!$G:$G,1,0))),vlookup($A49&amp;$B49,{'5) Release_Track'!$F:$F&amp;'5) Release_Track'!$G:$G,'5) Release_Track'!$I:$I},2,0),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E49" s="116" t="str">
        <f t="array" ref="E49">ifs(and(isblank($A49),isblank($B49)),"", not(iserror(vlookup($A49&amp;$B49,'5) Release_Track'!$F:$F&amp;'5) Release_Track'!$G:$G,1,0))),vlookup($A49&amp;$B49,{'5) Release_Track'!$F:$F&amp;'5) Release_Track'!$G:$G,'5) Release_Track'!$J:$J},2,0),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F49" s="88"/>
      <c r="G49" s="92"/>
      <c r="H49" s="185"/>
      <c r="I49" s="121" t="str">
        <f t="shared" si="2"/>
        <v/>
      </c>
      <c r="J49" s="92"/>
      <c r="K49" s="92"/>
    </row>
    <row r="50">
      <c r="B50" s="97"/>
      <c r="C50" s="121" t="str">
        <f t="array" ref="C50">ifs(and(isblank($A50),isblank($B50)),"", not(iserror(vlookup($A50&amp;$B50,'5) Release_Track'!$F:$F&amp;'5) Release_Track'!$G:$G,1,0))),vlookup($A50&amp;$B50,{'5) Release_Track'!$F:$F&amp;'5) Release_Track'!$G:$G,'5) Release_Track'!$H:$H},2,0),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D50" s="121" t="str">
        <f t="array" ref="D50">ifs(and(isblank($A50),isblank($B50)),"", not(iserror(vlookup($A50&amp;$B50,'5) Release_Track'!$F:$F&amp;'5) Release_Track'!$G:$G,1,0))),vlookup($A50&amp;$B50,{'5) Release_Track'!$F:$F&amp;'5) Release_Track'!$G:$G,'5) Release_Track'!$I:$I},2,0),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E50" s="116" t="str">
        <f t="array" ref="E50">ifs(and(isblank($A50),isblank($B50)),"", not(iserror(vlookup($A50&amp;$B50,'5) Release_Track'!$F:$F&amp;'5) Release_Track'!$G:$G,1,0))),vlookup($A50&amp;$B50,{'5) Release_Track'!$F:$F&amp;'5) Release_Track'!$G:$G,'5) Release_Track'!$J:$J},2,0),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F50" s="88"/>
      <c r="G50" s="92"/>
      <c r="H50" s="185"/>
      <c r="I50" s="121" t="str">
        <f t="shared" si="2"/>
        <v/>
      </c>
      <c r="J50" s="92"/>
      <c r="K50" s="92"/>
    </row>
    <row r="51">
      <c r="B51" s="97"/>
      <c r="C51" s="121" t="str">
        <f t="array" ref="C51">ifs(and(isblank($A51),isblank($B51)),"", not(iserror(vlookup($A51&amp;$B51,'5) Release_Track'!$F:$F&amp;'5) Release_Track'!$G:$G,1,0))),vlookup($A51&amp;$B51,{'5) Release_Track'!$F:$F&amp;'5) Release_Track'!$G:$G,'5) Release_Track'!$H:$H},2,0),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D51" s="121" t="str">
        <f t="array" ref="D51">ifs(and(isblank($A51),isblank($B51)),"", not(iserror(vlookup($A51&amp;$B51,'5) Release_Track'!$F:$F&amp;'5) Release_Track'!$G:$G,1,0))),vlookup($A51&amp;$B51,{'5) Release_Track'!$F:$F&amp;'5) Release_Track'!$G:$G,'5) Release_Track'!$I:$I},2,0),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E51" s="116" t="str">
        <f t="array" ref="E51">ifs(and(isblank($A51),isblank($B51)),"", not(iserror(vlookup($A51&amp;$B51,'5) Release_Track'!$F:$F&amp;'5) Release_Track'!$G:$G,1,0))),vlookup($A51&amp;$B51,{'5) Release_Track'!$F:$F&amp;'5) Release_Track'!$G:$G,'5) Release_Track'!$J:$J},2,0),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F51" s="88"/>
      <c r="G51" s="92"/>
      <c r="H51" s="185"/>
      <c r="I51" s="121" t="str">
        <f t="shared" si="2"/>
        <v/>
      </c>
      <c r="J51" s="92"/>
      <c r="K51" s="92"/>
    </row>
    <row r="52">
      <c r="B52" s="97"/>
      <c r="C52" s="121" t="str">
        <f t="array" ref="C52">ifs(and(isblank($A52),isblank($B52)),"", not(iserror(vlookup($A52&amp;$B52,'5) Release_Track'!$F:$F&amp;'5) Release_Track'!$G:$G,1,0))),vlookup($A52&amp;$B52,{'5) Release_Track'!$F:$F&amp;'5) Release_Track'!$G:$G,'5) Release_Track'!$H:$H},2,0),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D52" s="121" t="str">
        <f t="array" ref="D52">ifs(and(isblank($A52),isblank($B52)),"", not(iserror(vlookup($A52&amp;$B52,'5) Release_Track'!$F:$F&amp;'5) Release_Track'!$G:$G,1,0))),vlookup($A52&amp;$B52,{'5) Release_Track'!$F:$F&amp;'5) Release_Track'!$G:$G,'5) Release_Track'!$I:$I},2,0),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E52" s="116" t="str">
        <f t="array" ref="E52">ifs(and(isblank($A52),isblank($B52)),"", not(iserror(vlookup($A52&amp;$B52,'5) Release_Track'!$F:$F&amp;'5) Release_Track'!$G:$G,1,0))),vlookup($A52&amp;$B52,{'5) Release_Track'!$F:$F&amp;'5) Release_Track'!$G:$G,'5) Release_Track'!$J:$J},2,0),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F52" s="88"/>
      <c r="G52" s="92"/>
      <c r="H52" s="185"/>
      <c r="I52" s="121" t="str">
        <f t="shared" si="2"/>
        <v/>
      </c>
      <c r="J52" s="92"/>
      <c r="K52" s="92"/>
    </row>
    <row r="53">
      <c r="B53" s="97"/>
      <c r="C53" s="121" t="str">
        <f t="array" ref="C53">ifs(and(isblank($A53),isblank($B53)),"", not(iserror(vlookup($A53&amp;$B53,'5) Release_Track'!$F:$F&amp;'5) Release_Track'!$G:$G,1,0))),vlookup($A53&amp;$B53,{'5) Release_Track'!$F:$F&amp;'5) Release_Track'!$G:$G,'5) Release_Track'!$H:$H},2,0),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D53" s="121" t="str">
        <f t="array" ref="D53">ifs(and(isblank($A53),isblank($B53)),"", not(iserror(vlookup($A53&amp;$B53,'5) Release_Track'!$F:$F&amp;'5) Release_Track'!$G:$G,1,0))),vlookup($A53&amp;$B53,{'5) Release_Track'!$F:$F&amp;'5) Release_Track'!$G:$G,'5) Release_Track'!$I:$I},2,0),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E53" s="116" t="str">
        <f t="array" ref="E53">ifs(and(isblank($A53),isblank($B53)),"", not(iserror(vlookup($A53&amp;$B53,'5) Release_Track'!$F:$F&amp;'5) Release_Track'!$G:$G,1,0))),vlookup($A53&amp;$B53,{'5) Release_Track'!$F:$F&amp;'5) Release_Track'!$G:$G,'5) Release_Track'!$J:$J},2,0),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F53" s="88"/>
      <c r="G53" s="92"/>
      <c r="H53" s="185"/>
      <c r="I53" s="121" t="str">
        <f t="shared" si="2"/>
        <v/>
      </c>
      <c r="J53" s="92"/>
      <c r="K53" s="92"/>
    </row>
    <row r="54">
      <c r="B54" s="97"/>
      <c r="C54" s="121" t="str">
        <f t="array" ref="C54">ifs(and(isblank($A54),isblank($B54)),"", not(iserror(vlookup($A54&amp;$B54,'5) Release_Track'!$F:$F&amp;'5) Release_Track'!$G:$G,1,0))),vlookup($A54&amp;$B54,{'5) Release_Track'!$F:$F&amp;'5) Release_Track'!$G:$G,'5) Release_Track'!$H:$H},2,0),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D54" s="121" t="str">
        <f t="array" ref="D54">ifs(and(isblank($A54),isblank($B54)),"", not(iserror(vlookup($A54&amp;$B54,'5) Release_Track'!$F:$F&amp;'5) Release_Track'!$G:$G,1,0))),vlookup($A54&amp;$B54,{'5) Release_Track'!$F:$F&amp;'5) Release_Track'!$G:$G,'5) Release_Track'!$I:$I},2,0),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E54" s="116" t="str">
        <f t="array" ref="E54">ifs(and(isblank($A54),isblank($B54)),"", not(iserror(vlookup($A54&amp;$B54,'5) Release_Track'!$F:$F&amp;'5) Release_Track'!$G:$G,1,0))),vlookup($A54&amp;$B54,{'5) Release_Track'!$F:$F&amp;'5) Release_Track'!$G:$G,'5) Release_Track'!$J:$J},2,0),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F54" s="88"/>
      <c r="G54" s="92"/>
      <c r="H54" s="185"/>
      <c r="I54" s="121" t="str">
        <f t="shared" si="2"/>
        <v/>
      </c>
      <c r="J54" s="92"/>
      <c r="K54" s="92"/>
    </row>
    <row r="55">
      <c r="B55" s="97"/>
      <c r="C55" s="121" t="str">
        <f t="array" ref="C55">ifs(and(isblank($A55),isblank($B55)),"", not(iserror(vlookup($A55&amp;$B55,'5) Release_Track'!$F:$F&amp;'5) Release_Track'!$G:$G,1,0))),vlookup($A55&amp;$B55,{'5) Release_Track'!$F:$F&amp;'5) Release_Track'!$G:$G,'5) Release_Track'!$H:$H},2,0),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D55" s="121" t="str">
        <f t="array" ref="D55">ifs(and(isblank($A55),isblank($B55)),"", not(iserror(vlookup($A55&amp;$B55,'5) Release_Track'!$F:$F&amp;'5) Release_Track'!$G:$G,1,0))),vlookup($A55&amp;$B55,{'5) Release_Track'!$F:$F&amp;'5) Release_Track'!$G:$G,'5) Release_Track'!$I:$I},2,0),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E55" s="116" t="str">
        <f t="array" ref="E55">ifs(and(isblank($A55),isblank($B55)),"", not(iserror(vlookup($A55&amp;$B55,'5) Release_Track'!$F:$F&amp;'5) Release_Track'!$G:$G,1,0))),vlookup($A55&amp;$B55,{'5) Release_Track'!$F:$F&amp;'5) Release_Track'!$G:$G,'5) Release_Track'!$J:$J},2,0),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F55" s="88"/>
      <c r="G55" s="92"/>
      <c r="H55" s="185"/>
      <c r="I55" s="121" t="str">
        <f t="shared" si="2"/>
        <v/>
      </c>
      <c r="J55" s="92"/>
      <c r="K55" s="92"/>
    </row>
    <row r="56">
      <c r="B56" s="97"/>
      <c r="C56" s="121" t="str">
        <f t="array" ref="C56">ifs(and(isblank($A56),isblank($B56)),"", not(iserror(vlookup($A56&amp;$B56,'5) Release_Track'!$F:$F&amp;'5) Release_Track'!$G:$G,1,0))),vlookup($A56&amp;$B56,{'5) Release_Track'!$F:$F&amp;'5) Release_Track'!$G:$G,'5) Release_Track'!$H:$H},2,0),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D56" s="121" t="str">
        <f t="array" ref="D56">ifs(and(isblank($A56),isblank($B56)),"", not(iserror(vlookup($A56&amp;$B56,'5) Release_Track'!$F:$F&amp;'5) Release_Track'!$G:$G,1,0))),vlookup($A56&amp;$B56,{'5) Release_Track'!$F:$F&amp;'5) Release_Track'!$G:$G,'5) Release_Track'!$I:$I},2,0),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E56" s="116" t="str">
        <f t="array" ref="E56">ifs(and(isblank($A56),isblank($B56)),"", not(iserror(vlookup($A56&amp;$B56,'5) Release_Track'!$F:$F&amp;'5) Release_Track'!$G:$G,1,0))),vlookup($A56&amp;$B56,{'5) Release_Track'!$F:$F&amp;'5) Release_Track'!$G:$G,'5) Release_Track'!$J:$J},2,0),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F56" s="88"/>
      <c r="G56" s="92"/>
      <c r="H56" s="185"/>
      <c r="I56" s="121" t="str">
        <f t="shared" si="2"/>
        <v/>
      </c>
      <c r="J56" s="92"/>
      <c r="K56" s="92"/>
    </row>
    <row r="57">
      <c r="B57" s="97"/>
      <c r="C57" s="121" t="str">
        <f t="array" ref="C57">ifs(and(isblank($A57),isblank($B57)),"", not(iserror(vlookup($A57&amp;$B57,'5) Release_Track'!$F:$F&amp;'5) Release_Track'!$G:$G,1,0))),vlookup($A57&amp;$B57,{'5) Release_Track'!$F:$F&amp;'5) Release_Track'!$G:$G,'5) Release_Track'!$H:$H},2,0),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D57" s="121" t="str">
        <f t="array" ref="D57">ifs(and(isblank($A57),isblank($B57)),"", not(iserror(vlookup($A57&amp;$B57,'5) Release_Track'!$F:$F&amp;'5) Release_Track'!$G:$G,1,0))),vlookup($A57&amp;$B57,{'5) Release_Track'!$F:$F&amp;'5) Release_Track'!$G:$G,'5) Release_Track'!$I:$I},2,0),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E57" s="116" t="str">
        <f t="array" ref="E57">ifs(and(isblank($A57),isblank($B57)),"", not(iserror(vlookup($A57&amp;$B57,'5) Release_Track'!$F:$F&amp;'5) Release_Track'!$G:$G,1,0))),vlookup($A57&amp;$B57,{'5) Release_Track'!$F:$F&amp;'5) Release_Track'!$G:$G,'5) Release_Track'!$J:$J},2,0),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F57" s="88"/>
      <c r="G57" s="92"/>
      <c r="H57" s="185"/>
      <c r="I57" s="121" t="str">
        <f t="shared" si="2"/>
        <v/>
      </c>
      <c r="J57" s="92"/>
      <c r="K57" s="92"/>
    </row>
    <row r="58">
      <c r="B58" s="97"/>
      <c r="C58" s="121" t="str">
        <f t="array" ref="C58">ifs(and(isblank($A58),isblank($B58)),"", not(iserror(vlookup($A58&amp;$B58,'5) Release_Track'!$F:$F&amp;'5) Release_Track'!$G:$G,1,0))),vlookup($A58&amp;$B58,{'5) Release_Track'!$F:$F&amp;'5) Release_Track'!$G:$G,'5) Release_Track'!$H:$H},2,0),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D58" s="121" t="str">
        <f t="array" ref="D58">ifs(and(isblank($A58),isblank($B58)),"", not(iserror(vlookup($A58&amp;$B58,'5) Release_Track'!$F:$F&amp;'5) Release_Track'!$G:$G,1,0))),vlookup($A58&amp;$B58,{'5) Release_Track'!$F:$F&amp;'5) Release_Track'!$G:$G,'5) Release_Track'!$I:$I},2,0),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E58" s="116" t="str">
        <f t="array" ref="E58">ifs(and(isblank($A58),isblank($B58)),"", not(iserror(vlookup($A58&amp;$B58,'5) Release_Track'!$F:$F&amp;'5) Release_Track'!$G:$G,1,0))),vlookup($A58&amp;$B58,{'5) Release_Track'!$F:$F&amp;'5) Release_Track'!$G:$G,'5) Release_Track'!$J:$J},2,0),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F58" s="88"/>
      <c r="G58" s="92"/>
      <c r="H58" s="185"/>
      <c r="I58" s="121" t="str">
        <f t="shared" si="2"/>
        <v/>
      </c>
      <c r="J58" s="92"/>
      <c r="K58" s="92"/>
    </row>
    <row r="59">
      <c r="B59" s="97"/>
      <c r="C59" s="121" t="str">
        <f t="array" ref="C59">ifs(and(isblank($A59),isblank($B59)),"", not(iserror(vlookup($A59&amp;$B59,'5) Release_Track'!$F:$F&amp;'5) Release_Track'!$G:$G,1,0))),vlookup($A59&amp;$B59,{'5) Release_Track'!$F:$F&amp;'5) Release_Track'!$G:$G,'5) Release_Track'!$H:$H},2,0),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D59" s="121" t="str">
        <f t="array" ref="D59">ifs(and(isblank($A59),isblank($B59)),"", not(iserror(vlookup($A59&amp;$B59,'5) Release_Track'!$F:$F&amp;'5) Release_Track'!$G:$G,1,0))),vlookup($A59&amp;$B59,{'5) Release_Track'!$F:$F&amp;'5) Release_Track'!$G:$G,'5) Release_Track'!$I:$I},2,0),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E59" s="116" t="str">
        <f t="array" ref="E59">ifs(and(isblank($A59),isblank($B59)),"", not(iserror(vlookup($A59&amp;$B59,'5) Release_Track'!$F:$F&amp;'5) Release_Track'!$G:$G,1,0))),vlookup($A59&amp;$B59,{'5) Release_Track'!$F:$F&amp;'5) Release_Track'!$G:$G,'5) Release_Track'!$J:$J},2,0),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F59" s="88"/>
      <c r="G59" s="92"/>
      <c r="H59" s="185"/>
      <c r="I59" s="121" t="str">
        <f t="shared" si="2"/>
        <v/>
      </c>
      <c r="J59" s="92"/>
      <c r="K59" s="92"/>
    </row>
    <row r="60">
      <c r="B60" s="97"/>
      <c r="C60" s="121" t="str">
        <f t="array" ref="C60">ifs(and(isblank($A60),isblank($B60)),"", not(iserror(vlookup($A60&amp;$B60,'5) Release_Track'!$F:$F&amp;'5) Release_Track'!$G:$G,1,0))),vlookup($A60&amp;$B60,{'5) Release_Track'!$F:$F&amp;'5) Release_Track'!$G:$G,'5) Release_Track'!$H:$H},2,0),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D60" s="121" t="str">
        <f t="array" ref="D60">ifs(and(isblank($A60),isblank($B60)),"", not(iserror(vlookup($A60&amp;$B60,'5) Release_Track'!$F:$F&amp;'5) Release_Track'!$G:$G,1,0))),vlookup($A60&amp;$B60,{'5) Release_Track'!$F:$F&amp;'5) Release_Track'!$G:$G,'5) Release_Track'!$I:$I},2,0),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E60" s="116" t="str">
        <f t="array" ref="E60">ifs(and(isblank($A60),isblank($B60)),"", not(iserror(vlookup($A60&amp;$B60,'5) Release_Track'!$F:$F&amp;'5) Release_Track'!$G:$G,1,0))),vlookup($A60&amp;$B60,{'5) Release_Track'!$F:$F&amp;'5) Release_Track'!$G:$G,'5) Release_Track'!$J:$J},2,0),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F60" s="88"/>
      <c r="G60" s="92"/>
      <c r="H60" s="185"/>
      <c r="I60" s="121" t="str">
        <f t="shared" si="2"/>
        <v/>
      </c>
      <c r="J60" s="92"/>
      <c r="K60" s="92"/>
    </row>
    <row r="61">
      <c r="B61" s="97"/>
      <c r="C61" s="121" t="str">
        <f t="array" ref="C61">ifs(and(isblank($A61),isblank($B61)),"", not(iserror(vlookup($A61&amp;$B61,'5) Release_Track'!$F:$F&amp;'5) Release_Track'!$G:$G,1,0))),vlookup($A61&amp;$B61,{'5) Release_Track'!$F:$F&amp;'5) Release_Track'!$G:$G,'5) Release_Track'!$H:$H},2,0),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D61" s="121" t="str">
        <f t="array" ref="D61">ifs(and(isblank($A61),isblank($B61)),"", not(iserror(vlookup($A61&amp;$B61,'5) Release_Track'!$F:$F&amp;'5) Release_Track'!$G:$G,1,0))),vlookup($A61&amp;$B61,{'5) Release_Track'!$F:$F&amp;'5) Release_Track'!$G:$G,'5) Release_Track'!$I:$I},2,0),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E61" s="116" t="str">
        <f t="array" ref="E61">ifs(and(isblank($A61),isblank($B61)),"", not(iserror(vlookup($A61&amp;$B61,'5) Release_Track'!$F:$F&amp;'5) Release_Track'!$G:$G,1,0))),vlookup($A61&amp;$B61,{'5) Release_Track'!$F:$F&amp;'5) Release_Track'!$G:$G,'5) Release_Track'!$J:$J},2,0),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F61" s="88"/>
      <c r="G61" s="92"/>
      <c r="H61" s="185"/>
      <c r="I61" s="121" t="str">
        <f t="shared" si="2"/>
        <v/>
      </c>
      <c r="J61" s="92"/>
      <c r="K61" s="92"/>
    </row>
    <row r="62">
      <c r="B62" s="97"/>
      <c r="C62" s="121" t="str">
        <f t="array" ref="C62">ifs(and(isblank($A62),isblank($B62)),"", not(iserror(vlookup($A62&amp;$B62,'5) Release_Track'!$F:$F&amp;'5) Release_Track'!$G:$G,1,0))),vlookup($A62&amp;$B62,{'5) Release_Track'!$F:$F&amp;'5) Release_Track'!$G:$G,'5) Release_Track'!$H:$H},2,0),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D62" s="121" t="str">
        <f t="array" ref="D62">ifs(and(isblank($A62),isblank($B62)),"", not(iserror(vlookup($A62&amp;$B62,'5) Release_Track'!$F:$F&amp;'5) Release_Track'!$G:$G,1,0))),vlookup($A62&amp;$B62,{'5) Release_Track'!$F:$F&amp;'5) Release_Track'!$G:$G,'5) Release_Track'!$I:$I},2,0),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E62" s="116" t="str">
        <f t="array" ref="E62">ifs(and(isblank($A62),isblank($B62)),"", not(iserror(vlookup($A62&amp;$B62,'5) Release_Track'!$F:$F&amp;'5) Release_Track'!$G:$G,1,0))),vlookup($A62&amp;$B62,{'5) Release_Track'!$F:$F&amp;'5) Release_Track'!$G:$G,'5) Release_Track'!$J:$J},2,0),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F62" s="88"/>
      <c r="G62" s="92"/>
      <c r="H62" s="185"/>
      <c r="I62" s="121" t="str">
        <f t="shared" si="2"/>
        <v/>
      </c>
      <c r="J62" s="92"/>
      <c r="K62" s="92"/>
    </row>
    <row r="63">
      <c r="B63" s="97"/>
      <c r="C63" s="121" t="str">
        <f t="array" ref="C63">ifs(and(isblank($A63),isblank($B63)),"", not(iserror(vlookup($A63&amp;$B63,'5) Release_Track'!$F:$F&amp;'5) Release_Track'!$G:$G,1,0))),vlookup($A63&amp;$B63,{'5) Release_Track'!$F:$F&amp;'5) Release_Track'!$G:$G,'5) Release_Track'!$H:$H},2,0),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D63" s="121" t="str">
        <f t="array" ref="D63">ifs(and(isblank($A63),isblank($B63)),"", not(iserror(vlookup($A63&amp;$B63,'5) Release_Track'!$F:$F&amp;'5) Release_Track'!$G:$G,1,0))),vlookup($A63&amp;$B63,{'5) Release_Track'!$F:$F&amp;'5) Release_Track'!$G:$G,'5) Release_Track'!$I:$I},2,0),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E63" s="116" t="str">
        <f t="array" ref="E63">ifs(and(isblank($A63),isblank($B63)),"", not(iserror(vlookup($A63&amp;$B63,'5) Release_Track'!$F:$F&amp;'5) Release_Track'!$G:$G,1,0))),vlookup($A63&amp;$B63,{'5) Release_Track'!$F:$F&amp;'5) Release_Track'!$G:$G,'5) Release_Track'!$J:$J},2,0),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F63" s="88"/>
      <c r="G63" s="92"/>
      <c r="H63" s="185"/>
      <c r="I63" s="121" t="str">
        <f t="shared" si="2"/>
        <v/>
      </c>
      <c r="J63" s="92"/>
      <c r="K63" s="92"/>
    </row>
    <row r="64">
      <c r="B64" s="97"/>
      <c r="C64" s="121" t="str">
        <f t="array" ref="C64">ifs(and(isblank($A64),isblank($B64)),"", not(iserror(vlookup($A64&amp;$B64,'5) Release_Track'!$F:$F&amp;'5) Release_Track'!$G:$G,1,0))),vlookup($A64&amp;$B64,{'5) Release_Track'!$F:$F&amp;'5) Release_Track'!$G:$G,'5) Release_Track'!$H:$H},2,0),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D64" s="121" t="str">
        <f t="array" ref="D64">ifs(and(isblank($A64),isblank($B64)),"", not(iserror(vlookup($A64&amp;$B64,'5) Release_Track'!$F:$F&amp;'5) Release_Track'!$G:$G,1,0))),vlookup($A64&amp;$B64,{'5) Release_Track'!$F:$F&amp;'5) Release_Track'!$G:$G,'5) Release_Track'!$I:$I},2,0),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E64" s="116" t="str">
        <f t="array" ref="E64">ifs(and(isblank($A64),isblank($B64)),"", not(iserror(vlookup($A64&amp;$B64,'5) Release_Track'!$F:$F&amp;'5) Release_Track'!$G:$G,1,0))),vlookup($A64&amp;$B64,{'5) Release_Track'!$F:$F&amp;'5) Release_Track'!$G:$G,'5) Release_Track'!$J:$J},2,0),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F64" s="88"/>
      <c r="G64" s="92"/>
      <c r="H64" s="185"/>
      <c r="I64" s="121" t="str">
        <f t="shared" si="2"/>
        <v/>
      </c>
      <c r="J64" s="92"/>
      <c r="K64" s="92"/>
    </row>
    <row r="65">
      <c r="B65" s="97"/>
      <c r="C65" s="121" t="str">
        <f t="array" ref="C65">ifs(and(isblank($A65),isblank($B65)),"", not(iserror(vlookup($A65&amp;$B65,'5) Release_Track'!$F:$F&amp;'5) Release_Track'!$G:$G,1,0))),vlookup($A65&amp;$B65,{'5) Release_Track'!$F:$F&amp;'5) Release_Track'!$G:$G,'5) Release_Track'!$H:$H},2,0),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D65" s="121" t="str">
        <f t="array" ref="D65">ifs(and(isblank($A65),isblank($B65)),"", not(iserror(vlookup($A65&amp;$B65,'5) Release_Track'!$F:$F&amp;'5) Release_Track'!$G:$G,1,0))),vlookup($A65&amp;$B65,{'5) Release_Track'!$F:$F&amp;'5) Release_Track'!$G:$G,'5) Release_Track'!$I:$I},2,0),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E65" s="116" t="str">
        <f t="array" ref="E65">ifs(and(isblank($A65),isblank($B65)),"", not(iserror(vlookup($A65&amp;$B65,'5) Release_Track'!$F:$F&amp;'5) Release_Track'!$G:$G,1,0))),vlookup($A65&amp;$B65,{'5) Release_Track'!$F:$F&amp;'5) Release_Track'!$G:$G,'5) Release_Track'!$J:$J},2,0),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F65" s="88"/>
      <c r="G65" s="92"/>
      <c r="H65" s="185"/>
      <c r="I65" s="121" t="str">
        <f t="shared" si="2"/>
        <v/>
      </c>
      <c r="J65" s="92"/>
      <c r="K65" s="92"/>
    </row>
    <row r="66">
      <c r="B66" s="97"/>
      <c r="C66" s="121" t="str">
        <f t="array" ref="C66">ifs(and(isblank($A66),isblank($B66)),"", not(iserror(vlookup($A66&amp;$B66,'5) Release_Track'!$F:$F&amp;'5) Release_Track'!$G:$G,1,0))),vlookup($A66&amp;$B66,{'5) Release_Track'!$F:$F&amp;'5) Release_Track'!$G:$G,'5) Release_Track'!$H:$H},2,0),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D66" s="121" t="str">
        <f t="array" ref="D66">ifs(and(isblank($A66),isblank($B66)),"", not(iserror(vlookup($A66&amp;$B66,'5) Release_Track'!$F:$F&amp;'5) Release_Track'!$G:$G,1,0))),vlookup($A66&amp;$B66,{'5) Release_Track'!$F:$F&amp;'5) Release_Track'!$G:$G,'5) Release_Track'!$I:$I},2,0),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E66" s="116" t="str">
        <f t="array" ref="E66">ifs(and(isblank($A66),isblank($B66)),"", not(iserror(vlookup($A66&amp;$B66,'5) Release_Track'!$F:$F&amp;'5) Release_Track'!$G:$G,1,0))),vlookup($A66&amp;$B66,{'5) Release_Track'!$F:$F&amp;'5) Release_Track'!$G:$G,'5) Release_Track'!$J:$J},2,0),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F66" s="88"/>
      <c r="G66" s="92"/>
      <c r="H66" s="185"/>
      <c r="I66" s="121" t="str">
        <f t="shared" si="2"/>
        <v/>
      </c>
      <c r="J66" s="92"/>
      <c r="K66" s="92"/>
    </row>
    <row r="67">
      <c r="B67" s="97"/>
      <c r="C67" s="121" t="str">
        <f t="array" ref="C67">ifs(and(isblank($A67),isblank($B67)),"", not(iserror(vlookup($A67&amp;$B67,'5) Release_Track'!$F:$F&amp;'5) Release_Track'!$G:$G,1,0))),vlookup($A67&amp;$B67,{'5) Release_Track'!$F:$F&amp;'5) Release_Track'!$G:$G,'5) Release_Track'!$H:$H},2,0),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D67" s="121" t="str">
        <f t="array" ref="D67">ifs(and(isblank($A67),isblank($B67)),"", not(iserror(vlookup($A67&amp;$B67,'5) Release_Track'!$F:$F&amp;'5) Release_Track'!$G:$G,1,0))),vlookup($A67&amp;$B67,{'5) Release_Track'!$F:$F&amp;'5) Release_Track'!$G:$G,'5) Release_Track'!$I:$I},2,0),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E67" s="116" t="str">
        <f t="array" ref="E67">ifs(and(isblank($A67),isblank($B67)),"", not(iserror(vlookup($A67&amp;$B67,'5) Release_Track'!$F:$F&amp;'5) Release_Track'!$G:$G,1,0))),vlookup($A67&amp;$B67,{'5) Release_Track'!$F:$F&amp;'5) Release_Track'!$G:$G,'5) Release_Track'!$J:$J},2,0),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F67" s="88"/>
      <c r="G67" s="92"/>
      <c r="H67" s="185"/>
      <c r="I67" s="121" t="str">
        <f t="shared" si="2"/>
        <v/>
      </c>
      <c r="J67" s="92"/>
      <c r="K67" s="92"/>
    </row>
    <row r="68">
      <c r="B68" s="97"/>
      <c r="C68" s="121" t="str">
        <f t="array" ref="C68">ifs(and(isblank($A68),isblank($B68)),"", not(iserror(vlookup($A68&amp;$B68,'5) Release_Track'!$F:$F&amp;'5) Release_Track'!$G:$G,1,0))),vlookup($A68&amp;$B68,{'5) Release_Track'!$F:$F&amp;'5) Release_Track'!$G:$G,'5) Release_Track'!$H:$H},2,0),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D68" s="121" t="str">
        <f t="array" ref="D68">ifs(and(isblank($A68),isblank($B68)),"", not(iserror(vlookup($A68&amp;$B68,'5) Release_Track'!$F:$F&amp;'5) Release_Track'!$G:$G,1,0))),vlookup($A68&amp;$B68,{'5) Release_Track'!$F:$F&amp;'5) Release_Track'!$G:$G,'5) Release_Track'!$I:$I},2,0),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E68" s="116" t="str">
        <f t="array" ref="E68">ifs(and(isblank($A68),isblank($B68)),"", not(iserror(vlookup($A68&amp;$B68,'5) Release_Track'!$F:$F&amp;'5) Release_Track'!$G:$G,1,0))),vlookup($A68&amp;$B68,{'5) Release_Track'!$F:$F&amp;'5) Release_Track'!$G:$G,'5) Release_Track'!$J:$J},2,0),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F68" s="88"/>
      <c r="G68" s="92"/>
      <c r="H68" s="185"/>
      <c r="I68" s="121" t="str">
        <f t="shared" si="2"/>
        <v/>
      </c>
      <c r="J68" s="92"/>
      <c r="K68" s="92"/>
    </row>
    <row r="69">
      <c r="B69" s="97"/>
      <c r="C69" s="121" t="str">
        <f t="array" ref="C69">ifs(and(isblank($A69),isblank($B69)),"", not(iserror(vlookup($A69&amp;$B69,'5) Release_Track'!$F:$F&amp;'5) Release_Track'!$G:$G,1,0))),vlookup($A69&amp;$B69,{'5) Release_Track'!$F:$F&amp;'5) Release_Track'!$G:$G,'5) Release_Track'!$H:$H},2,0),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D69" s="121" t="str">
        <f t="array" ref="D69">ifs(and(isblank($A69),isblank($B69)),"", not(iserror(vlookup($A69&amp;$B69,'5) Release_Track'!$F:$F&amp;'5) Release_Track'!$G:$G,1,0))),vlookup($A69&amp;$B69,{'5) Release_Track'!$F:$F&amp;'5) Release_Track'!$G:$G,'5) Release_Track'!$I:$I},2,0),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E69" s="116" t="str">
        <f t="array" ref="E69">ifs(and(isblank($A69),isblank($B69)),"", not(iserror(vlookup($A69&amp;$B69,'5) Release_Track'!$F:$F&amp;'5) Release_Track'!$G:$G,1,0))),vlookup($A69&amp;$B69,{'5) Release_Track'!$F:$F&amp;'5) Release_Track'!$G:$G,'5) Release_Track'!$J:$J},2,0),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F69" s="88"/>
      <c r="G69" s="92"/>
      <c r="H69" s="185"/>
      <c r="I69" s="121" t="str">
        <f t="shared" si="2"/>
        <v/>
      </c>
      <c r="J69" s="92"/>
      <c r="K69" s="92"/>
    </row>
    <row r="70">
      <c r="B70" s="97"/>
      <c r="C70" s="121" t="str">
        <f t="array" ref="C70">ifs(and(isblank($A70),isblank($B70)),"", not(iserror(vlookup($A70&amp;$B70,'5) Release_Track'!$F:$F&amp;'5) Release_Track'!$G:$G,1,0))),vlookup($A70&amp;$B70,{'5) Release_Track'!$F:$F&amp;'5) Release_Track'!$G:$G,'5) Release_Track'!$H:$H},2,0),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D70" s="121" t="str">
        <f t="array" ref="D70">ifs(and(isblank($A70),isblank($B70)),"", not(iserror(vlookup($A70&amp;$B70,'5) Release_Track'!$F:$F&amp;'5) Release_Track'!$G:$G,1,0))),vlookup($A70&amp;$B70,{'5) Release_Track'!$F:$F&amp;'5) Release_Track'!$G:$G,'5) Release_Track'!$I:$I},2,0),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E70" s="116" t="str">
        <f t="array" ref="E70">ifs(and(isblank($A70),isblank($B70)),"", not(iserror(vlookup($A70&amp;$B70,'5) Release_Track'!$F:$F&amp;'5) Release_Track'!$G:$G,1,0))),vlookup($A70&amp;$B70,{'5) Release_Track'!$F:$F&amp;'5) Release_Track'!$G:$G,'5) Release_Track'!$J:$J},2,0),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F70" s="88"/>
      <c r="G70" s="92"/>
      <c r="H70" s="185"/>
      <c r="I70" s="121" t="str">
        <f t="shared" si="2"/>
        <v/>
      </c>
      <c r="J70" s="92"/>
      <c r="K70" s="92"/>
    </row>
    <row r="71">
      <c r="B71" s="97"/>
      <c r="C71" s="121" t="str">
        <f t="array" ref="C71">ifs(and(isblank($A71),isblank($B71)),"", not(iserror(vlookup($A71&amp;$B71,'5) Release_Track'!$F:$F&amp;'5) Release_Track'!$G:$G,1,0))),vlookup($A71&amp;$B71,{'5) Release_Track'!$F:$F&amp;'5) Release_Track'!$G:$G,'5) Release_Track'!$H:$H},2,0),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D71" s="121" t="str">
        <f t="array" ref="D71">ifs(and(isblank($A71),isblank($B71)),"", not(iserror(vlookup($A71&amp;$B71,'5) Release_Track'!$F:$F&amp;'5) Release_Track'!$G:$G,1,0))),vlookup($A71&amp;$B71,{'5) Release_Track'!$F:$F&amp;'5) Release_Track'!$G:$G,'5) Release_Track'!$I:$I},2,0),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E71" s="116" t="str">
        <f t="array" ref="E71">ifs(and(isblank($A71),isblank($B71)),"", not(iserror(vlookup($A71&amp;$B71,'5) Release_Track'!$F:$F&amp;'5) Release_Track'!$G:$G,1,0))),vlookup($A71&amp;$B71,{'5) Release_Track'!$F:$F&amp;'5) Release_Track'!$G:$G,'5) Release_Track'!$J:$J},2,0),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F71" s="88"/>
      <c r="G71" s="92"/>
      <c r="H71" s="185"/>
      <c r="I71" s="121" t="str">
        <f t="shared" si="2"/>
        <v/>
      </c>
      <c r="J71" s="92"/>
      <c r="K71" s="92"/>
    </row>
    <row r="72">
      <c r="B72" s="97"/>
      <c r="C72" s="121" t="str">
        <f t="array" ref="C72">ifs(and(isblank($A72),isblank($B72)),"", not(iserror(vlookup($A72&amp;$B72,'5) Release_Track'!$F:$F&amp;'5) Release_Track'!$G:$G,1,0))),vlookup($A72&amp;$B72,{'5) Release_Track'!$F:$F&amp;'5) Release_Track'!$G:$G,'5) Release_Track'!$H:$H},2,0),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D72" s="121" t="str">
        <f t="array" ref="D72">ifs(and(isblank($A72),isblank($B72)),"", not(iserror(vlookup($A72&amp;$B72,'5) Release_Track'!$F:$F&amp;'5) Release_Track'!$G:$G,1,0))),vlookup($A72&amp;$B72,{'5) Release_Track'!$F:$F&amp;'5) Release_Track'!$G:$G,'5) Release_Track'!$I:$I},2,0),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E72" s="116" t="str">
        <f t="array" ref="E72">ifs(and(isblank($A72),isblank($B72)),"", not(iserror(vlookup($A72&amp;$B72,'5) Release_Track'!$F:$F&amp;'5) Release_Track'!$G:$G,1,0))),vlookup($A72&amp;$B72,{'5) Release_Track'!$F:$F&amp;'5) Release_Track'!$G:$G,'5) Release_Track'!$J:$J},2,0),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F72" s="88"/>
      <c r="G72" s="92"/>
      <c r="H72" s="185"/>
      <c r="I72" s="121" t="str">
        <f t="shared" si="2"/>
        <v/>
      </c>
      <c r="J72" s="92"/>
      <c r="K72" s="92"/>
    </row>
    <row r="73">
      <c r="B73" s="97"/>
      <c r="C73" s="121" t="str">
        <f t="array" ref="C73">ifs(and(isblank($A73),isblank($B73)),"", not(iserror(vlookup($A73&amp;$B73,'5) Release_Track'!$F:$F&amp;'5) Release_Track'!$G:$G,1,0))),vlookup($A73&amp;$B73,{'5) Release_Track'!$F:$F&amp;'5) Release_Track'!$G:$G,'5) Release_Track'!$H:$H},2,0),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D73" s="121" t="str">
        <f t="array" ref="D73">ifs(and(isblank($A73),isblank($B73)),"", not(iserror(vlookup($A73&amp;$B73,'5) Release_Track'!$F:$F&amp;'5) Release_Track'!$G:$G,1,0))),vlookup($A73&amp;$B73,{'5) Release_Track'!$F:$F&amp;'5) Release_Track'!$G:$G,'5) Release_Track'!$I:$I},2,0),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E73" s="116" t="str">
        <f t="array" ref="E73">ifs(and(isblank($A73),isblank($B73)),"", not(iserror(vlookup($A73&amp;$B73,'5) Release_Track'!$F:$F&amp;'5) Release_Track'!$G:$G,1,0))),vlookup($A73&amp;$B73,{'5) Release_Track'!$F:$F&amp;'5) Release_Track'!$G:$G,'5) Release_Track'!$J:$J},2,0),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F73" s="88"/>
      <c r="G73" s="92"/>
      <c r="H73" s="185"/>
      <c r="I73" s="121" t="str">
        <f t="shared" si="2"/>
        <v/>
      </c>
      <c r="J73" s="92"/>
      <c r="K73" s="92"/>
    </row>
    <row r="74">
      <c r="B74" s="97"/>
      <c r="C74" s="121" t="str">
        <f t="array" ref="C74">ifs(and(isblank($A74),isblank($B74)),"", not(iserror(vlookup($A74&amp;$B74,'5) Release_Track'!$F:$F&amp;'5) Release_Track'!$G:$G,1,0))),vlookup($A74&amp;$B74,{'5) Release_Track'!$F:$F&amp;'5) Release_Track'!$G:$G,'5) Release_Track'!$H:$H},2,0),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D74" s="121" t="str">
        <f t="array" ref="D74">ifs(and(isblank($A74),isblank($B74)),"", not(iserror(vlookup($A74&amp;$B74,'5) Release_Track'!$F:$F&amp;'5) Release_Track'!$G:$G,1,0))),vlookup($A74&amp;$B74,{'5) Release_Track'!$F:$F&amp;'5) Release_Track'!$G:$G,'5) Release_Track'!$I:$I},2,0),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E74" s="116" t="str">
        <f t="array" ref="E74">ifs(and(isblank($A74),isblank($B74)),"", not(iserror(vlookup($A74&amp;$B74,'5) Release_Track'!$F:$F&amp;'5) Release_Track'!$G:$G,1,0))),vlookup($A74&amp;$B74,{'5) Release_Track'!$F:$F&amp;'5) Release_Track'!$G:$G,'5) Release_Track'!$J:$J},2,0),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F74" s="88"/>
      <c r="G74" s="92"/>
      <c r="H74" s="185"/>
      <c r="I74" s="121" t="str">
        <f t="shared" si="2"/>
        <v/>
      </c>
      <c r="J74" s="92"/>
      <c r="K74" s="92"/>
    </row>
    <row r="75">
      <c r="B75" s="97"/>
      <c r="C75" s="121" t="str">
        <f t="array" ref="C75">ifs(and(isblank($A75),isblank($B75)),"", not(iserror(vlookup($A75&amp;$B75,'5) Release_Track'!$F:$F&amp;'5) Release_Track'!$G:$G,1,0))),vlookup($A75&amp;$B75,{'5) Release_Track'!$F:$F&amp;'5) Release_Track'!$G:$G,'5) Release_Track'!$H:$H},2,0),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D75" s="121" t="str">
        <f t="array" ref="D75">ifs(and(isblank($A75),isblank($B75)),"", not(iserror(vlookup($A75&amp;$B75,'5) Release_Track'!$F:$F&amp;'5) Release_Track'!$G:$G,1,0))),vlookup($A75&amp;$B75,{'5) Release_Track'!$F:$F&amp;'5) Release_Track'!$G:$G,'5) Release_Track'!$I:$I},2,0),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E75" s="116" t="str">
        <f t="array" ref="E75">ifs(and(isblank($A75),isblank($B75)),"", not(iserror(vlookup($A75&amp;$B75,'5) Release_Track'!$F:$F&amp;'5) Release_Track'!$G:$G,1,0))),vlookup($A75&amp;$B75,{'5) Release_Track'!$F:$F&amp;'5) Release_Track'!$G:$G,'5) Release_Track'!$J:$J},2,0),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F75" s="88"/>
      <c r="G75" s="92"/>
      <c r="H75" s="185"/>
      <c r="I75" s="121" t="str">
        <f t="shared" si="2"/>
        <v/>
      </c>
      <c r="J75" s="92"/>
      <c r="K75" s="92"/>
    </row>
    <row r="76">
      <c r="B76" s="97"/>
      <c r="C76" s="121" t="str">
        <f t="array" ref="C76">ifs(and(isblank($A76),isblank($B76)),"", not(iserror(vlookup($A76&amp;$B76,'5) Release_Track'!$F:$F&amp;'5) Release_Track'!$G:$G,1,0))),vlookup($A76&amp;$B76,{'5) Release_Track'!$F:$F&amp;'5) Release_Track'!$G:$G,'5) Release_Track'!$H:$H},2,0),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D76" s="121" t="str">
        <f t="array" ref="D76">ifs(and(isblank($A76),isblank($B76)),"", not(iserror(vlookup($A76&amp;$B76,'5) Release_Track'!$F:$F&amp;'5) Release_Track'!$G:$G,1,0))),vlookup($A76&amp;$B76,{'5) Release_Track'!$F:$F&amp;'5) Release_Track'!$G:$G,'5) Release_Track'!$I:$I},2,0),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E76" s="116" t="str">
        <f t="array" ref="E76">ifs(and(isblank($A76),isblank($B76)),"", not(iserror(vlookup($A76&amp;$B76,'5) Release_Track'!$F:$F&amp;'5) Release_Track'!$G:$G,1,0))),vlookup($A76&amp;$B76,{'5) Release_Track'!$F:$F&amp;'5) Release_Track'!$G:$G,'5) Release_Track'!$J:$J},2,0),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F76" s="88"/>
      <c r="G76" s="92"/>
      <c r="H76" s="185"/>
      <c r="I76" s="121" t="str">
        <f t="shared" si="2"/>
        <v/>
      </c>
      <c r="J76" s="92"/>
      <c r="K76" s="92"/>
    </row>
    <row r="77">
      <c r="B77" s="97"/>
      <c r="C77" s="121" t="str">
        <f t="array" ref="C77">ifs(and(isblank($A77),isblank($B77)),"", not(iserror(vlookup($A77&amp;$B77,'5) Release_Track'!$F:$F&amp;'5) Release_Track'!$G:$G,1,0))),vlookup($A77&amp;$B77,{'5) Release_Track'!$F:$F&amp;'5) Release_Track'!$G:$G,'5) Release_Track'!$H:$H},2,0),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D77" s="121" t="str">
        <f t="array" ref="D77">ifs(and(isblank($A77),isblank($B77)),"", not(iserror(vlookup($A77&amp;$B77,'5) Release_Track'!$F:$F&amp;'5) Release_Track'!$G:$G,1,0))),vlookup($A77&amp;$B77,{'5) Release_Track'!$F:$F&amp;'5) Release_Track'!$G:$G,'5) Release_Track'!$I:$I},2,0),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E77" s="116" t="str">
        <f t="array" ref="E77">ifs(and(isblank($A77),isblank($B77)),"", not(iserror(vlookup($A77&amp;$B77,'5) Release_Track'!$F:$F&amp;'5) Release_Track'!$G:$G,1,0))),vlookup($A77&amp;$B77,{'5) Release_Track'!$F:$F&amp;'5) Release_Track'!$G:$G,'5) Release_Track'!$J:$J},2,0),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F77" s="88"/>
      <c r="G77" s="92"/>
      <c r="H77" s="185"/>
      <c r="I77" s="121" t="str">
        <f t="shared" si="2"/>
        <v/>
      </c>
      <c r="J77" s="92"/>
      <c r="K77" s="92"/>
    </row>
    <row r="78">
      <c r="B78" s="97"/>
      <c r="C78" s="121" t="str">
        <f t="array" ref="C78">ifs(and(isblank($A78),isblank($B78)),"", not(iserror(vlookup($A78&amp;$B78,'5) Release_Track'!$F:$F&amp;'5) Release_Track'!$G:$G,1,0))),vlookup($A78&amp;$B78,{'5) Release_Track'!$F:$F&amp;'5) Release_Track'!$G:$G,'5) Release_Track'!$H:$H},2,0),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D78" s="121" t="str">
        <f t="array" ref="D78">ifs(and(isblank($A78),isblank($B78)),"", not(iserror(vlookup($A78&amp;$B78,'5) Release_Track'!$F:$F&amp;'5) Release_Track'!$G:$G,1,0))),vlookup($A78&amp;$B78,{'5) Release_Track'!$F:$F&amp;'5) Release_Track'!$G:$G,'5) Release_Track'!$I:$I},2,0),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E78" s="116" t="str">
        <f t="array" ref="E78">ifs(and(isblank($A78),isblank($B78)),"", not(iserror(vlookup($A78&amp;$B78,'5) Release_Track'!$F:$F&amp;'5) Release_Track'!$G:$G,1,0))),vlookup($A78&amp;$B78,{'5) Release_Track'!$F:$F&amp;'5) Release_Track'!$G:$G,'5) Release_Track'!$J:$J},2,0),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F78" s="88"/>
      <c r="G78" s="92"/>
      <c r="H78" s="185"/>
      <c r="I78" s="121" t="str">
        <f t="shared" si="2"/>
        <v/>
      </c>
      <c r="J78" s="92"/>
      <c r="K78" s="92"/>
    </row>
    <row r="79">
      <c r="B79" s="97"/>
      <c r="C79" s="121" t="str">
        <f t="array" ref="C79">ifs(and(isblank($A79),isblank($B79)),"", not(iserror(vlookup($A79&amp;$B79,'5) Release_Track'!$F:$F&amp;'5) Release_Track'!$G:$G,1,0))),vlookup($A79&amp;$B79,{'5) Release_Track'!$F:$F&amp;'5) Release_Track'!$G:$G,'5) Release_Track'!$H:$H},2,0),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D79" s="121" t="str">
        <f t="array" ref="D79">ifs(and(isblank($A79),isblank($B79)),"", not(iserror(vlookup($A79&amp;$B79,'5) Release_Track'!$F:$F&amp;'5) Release_Track'!$G:$G,1,0))),vlookup($A79&amp;$B79,{'5) Release_Track'!$F:$F&amp;'5) Release_Track'!$G:$G,'5) Release_Track'!$I:$I},2,0),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E79" s="116" t="str">
        <f t="array" ref="E79">ifs(and(isblank($A79),isblank($B79)),"", not(iserror(vlookup($A79&amp;$B79,'5) Release_Track'!$F:$F&amp;'5) Release_Track'!$G:$G,1,0))),vlookup($A79&amp;$B79,{'5) Release_Track'!$F:$F&amp;'5) Release_Track'!$G:$G,'5) Release_Track'!$J:$J},2,0),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F79" s="88"/>
      <c r="G79" s="92"/>
      <c r="H79" s="185"/>
      <c r="I79" s="121" t="str">
        <f t="shared" si="2"/>
        <v/>
      </c>
      <c r="J79" s="92"/>
      <c r="K79" s="92"/>
    </row>
    <row r="80">
      <c r="B80" s="97"/>
      <c r="C80" s="121" t="str">
        <f t="array" ref="C80">ifs(and(isblank($A80),isblank($B80)),"", not(iserror(vlookup($A80&amp;$B80,'5) Release_Track'!$F:$F&amp;'5) Release_Track'!$G:$G,1,0))),vlookup($A80&amp;$B80,{'5) Release_Track'!$F:$F&amp;'5) Release_Track'!$G:$G,'5) Release_Track'!$H:$H},2,0),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D80" s="121" t="str">
        <f t="array" ref="D80">ifs(and(isblank($A80),isblank($B80)),"", not(iserror(vlookup($A80&amp;$B80,'5) Release_Track'!$F:$F&amp;'5) Release_Track'!$G:$G,1,0))),vlookup($A80&amp;$B80,{'5) Release_Track'!$F:$F&amp;'5) Release_Track'!$G:$G,'5) Release_Track'!$I:$I},2,0),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E80" s="116" t="str">
        <f t="array" ref="E80">ifs(and(isblank($A80),isblank($B80)),"", not(iserror(vlookup($A80&amp;$B80,'5) Release_Track'!$F:$F&amp;'5) Release_Track'!$G:$G,1,0))),vlookup($A80&amp;$B80,{'5) Release_Track'!$F:$F&amp;'5) Release_Track'!$G:$G,'5) Release_Track'!$J:$J},2,0),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F80" s="88"/>
      <c r="G80" s="92"/>
      <c r="H80" s="185"/>
      <c r="I80" s="121" t="str">
        <f t="shared" si="2"/>
        <v/>
      </c>
      <c r="J80" s="92"/>
      <c r="K80" s="92"/>
    </row>
    <row r="81">
      <c r="B81" s="97"/>
      <c r="C81" s="121" t="str">
        <f t="array" ref="C81">ifs(and(isblank($A81),isblank($B81)),"", not(iserror(vlookup($A81&amp;$B81,'5) Release_Track'!$F:$F&amp;'5) Release_Track'!$G:$G,1,0))),vlookup($A81&amp;$B81,{'5) Release_Track'!$F:$F&amp;'5) Release_Track'!$G:$G,'5) Release_Track'!$H:$H},2,0),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D81" s="121" t="str">
        <f t="array" ref="D81">ifs(and(isblank($A81),isblank($B81)),"", not(iserror(vlookup($A81&amp;$B81,'5) Release_Track'!$F:$F&amp;'5) Release_Track'!$G:$G,1,0))),vlookup($A81&amp;$B81,{'5) Release_Track'!$F:$F&amp;'5) Release_Track'!$G:$G,'5) Release_Track'!$I:$I},2,0),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E81" s="116" t="str">
        <f t="array" ref="E81">ifs(and(isblank($A81),isblank($B81)),"", not(iserror(vlookup($A81&amp;$B81,'5) Release_Track'!$F:$F&amp;'5) Release_Track'!$G:$G,1,0))),vlookup($A81&amp;$B81,{'5) Release_Track'!$F:$F&amp;'5) Release_Track'!$G:$G,'5) Release_Track'!$J:$J},2,0),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F81" s="88"/>
      <c r="G81" s="92"/>
      <c r="H81" s="185"/>
      <c r="I81" s="121" t="str">
        <f t="shared" si="2"/>
        <v/>
      </c>
      <c r="J81" s="92"/>
      <c r="K81" s="92"/>
    </row>
    <row r="82">
      <c r="B82" s="97"/>
      <c r="C82" s="121" t="str">
        <f t="array" ref="C82">ifs(and(isblank($A82),isblank($B82)),"", not(iserror(vlookup($A82&amp;$B82,'5) Release_Track'!$F:$F&amp;'5) Release_Track'!$G:$G,1,0))),vlookup($A82&amp;$B82,{'5) Release_Track'!$F:$F&amp;'5) Release_Track'!$G:$G,'5) Release_Track'!$H:$H},2,0),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D82" s="121" t="str">
        <f t="array" ref="D82">ifs(and(isblank($A82),isblank($B82)),"", not(iserror(vlookup($A82&amp;$B82,'5) Release_Track'!$F:$F&amp;'5) Release_Track'!$G:$G,1,0))),vlookup($A82&amp;$B82,{'5) Release_Track'!$F:$F&amp;'5) Release_Track'!$G:$G,'5) Release_Track'!$I:$I},2,0),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E82" s="116" t="str">
        <f t="array" ref="E82">ifs(and(isblank($A82),isblank($B82)),"", not(iserror(vlookup($A82&amp;$B82,'5) Release_Track'!$F:$F&amp;'5) Release_Track'!$G:$G,1,0))),vlookup($A82&amp;$B82,{'5) Release_Track'!$F:$F&amp;'5) Release_Track'!$G:$G,'5) Release_Track'!$J:$J},2,0),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F82" s="88"/>
      <c r="G82" s="92"/>
      <c r="H82" s="185"/>
      <c r="I82" s="121" t="str">
        <f t="shared" si="2"/>
        <v/>
      </c>
      <c r="J82" s="92"/>
      <c r="K82" s="92"/>
    </row>
    <row r="83">
      <c r="B83" s="97"/>
      <c r="C83" s="121" t="str">
        <f t="array" ref="C83">ifs(and(isblank($A83),isblank($B83)),"", not(iserror(vlookup($A83&amp;$B83,'5) Release_Track'!$F:$F&amp;'5) Release_Track'!$G:$G,1,0))),vlookup($A83&amp;$B83,{'5) Release_Track'!$F:$F&amp;'5) Release_Track'!$G:$G,'5) Release_Track'!$H:$H},2,0),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D83" s="121" t="str">
        <f t="array" ref="D83">ifs(and(isblank($A83),isblank($B83)),"", not(iserror(vlookup($A83&amp;$B83,'5) Release_Track'!$F:$F&amp;'5) Release_Track'!$G:$G,1,0))),vlookup($A83&amp;$B83,{'5) Release_Track'!$F:$F&amp;'5) Release_Track'!$G:$G,'5) Release_Track'!$I:$I},2,0),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E83" s="116" t="str">
        <f t="array" ref="E83">ifs(and(isblank($A83),isblank($B83)),"", not(iserror(vlookup($A83&amp;$B83,'5) Release_Track'!$F:$F&amp;'5) Release_Track'!$G:$G,1,0))),vlookup($A83&amp;$B83,{'5) Release_Track'!$F:$F&amp;'5) Release_Track'!$G:$G,'5) Release_Track'!$J:$J},2,0),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F83" s="88"/>
      <c r="G83" s="92"/>
      <c r="H83" s="185"/>
      <c r="I83" s="121" t="str">
        <f t="shared" si="2"/>
        <v/>
      </c>
      <c r="J83" s="92"/>
      <c r="K83" s="92"/>
    </row>
    <row r="84">
      <c r="B84" s="97"/>
      <c r="C84" s="121" t="str">
        <f t="array" ref="C84">ifs(and(isblank($A84),isblank($B84)),"", not(iserror(vlookup($A84&amp;$B84,'5) Release_Track'!$F:$F&amp;'5) Release_Track'!$G:$G,1,0))),vlookup($A84&amp;$B84,{'5) Release_Track'!$F:$F&amp;'5) Release_Track'!$G:$G,'5) Release_Track'!$H:$H},2,0),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D84" s="121" t="str">
        <f t="array" ref="D84">ifs(and(isblank($A84),isblank($B84)),"", not(iserror(vlookup($A84&amp;$B84,'5) Release_Track'!$F:$F&amp;'5) Release_Track'!$G:$G,1,0))),vlookup($A84&amp;$B84,{'5) Release_Track'!$F:$F&amp;'5) Release_Track'!$G:$G,'5) Release_Track'!$I:$I},2,0),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E84" s="116" t="str">
        <f t="array" ref="E84">ifs(and(isblank($A84),isblank($B84)),"", not(iserror(vlookup($A84&amp;$B84,'5) Release_Track'!$F:$F&amp;'5) Release_Track'!$G:$G,1,0))),vlookup($A84&amp;$B84,{'5) Release_Track'!$F:$F&amp;'5) Release_Track'!$G:$G,'5) Release_Track'!$J:$J},2,0),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F84" s="88"/>
      <c r="G84" s="92"/>
      <c r="H84" s="185"/>
      <c r="I84" s="121" t="str">
        <f t="shared" si="2"/>
        <v/>
      </c>
      <c r="J84" s="92"/>
      <c r="K84" s="92"/>
    </row>
    <row r="85">
      <c r="B85" s="97"/>
      <c r="C85" s="121" t="str">
        <f t="array" ref="C85">ifs(and(isblank($A85),isblank($B85)),"", not(iserror(vlookup($A85&amp;$B85,'5) Release_Track'!$F:$F&amp;'5) Release_Track'!$G:$G,1,0))),vlookup($A85&amp;$B85,{'5) Release_Track'!$F:$F&amp;'5) Release_Track'!$G:$G,'5) Release_Track'!$H:$H},2,0),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D85" s="121" t="str">
        <f t="array" ref="D85">ifs(and(isblank($A85),isblank($B85)),"", not(iserror(vlookup($A85&amp;$B85,'5) Release_Track'!$F:$F&amp;'5) Release_Track'!$G:$G,1,0))),vlookup($A85&amp;$B85,{'5) Release_Track'!$F:$F&amp;'5) Release_Track'!$G:$G,'5) Release_Track'!$I:$I},2,0),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E85" s="116" t="str">
        <f t="array" ref="E85">ifs(and(isblank($A85),isblank($B85)),"", not(iserror(vlookup($A85&amp;$B85,'5) Release_Track'!$F:$F&amp;'5) Release_Track'!$G:$G,1,0))),vlookup($A85&amp;$B85,{'5) Release_Track'!$F:$F&amp;'5) Release_Track'!$G:$G,'5) Release_Track'!$J:$J},2,0),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F85" s="88"/>
      <c r="G85" s="92"/>
      <c r="H85" s="185"/>
      <c r="I85" s="121" t="str">
        <f t="shared" si="2"/>
        <v/>
      </c>
      <c r="J85" s="92"/>
      <c r="K85" s="92"/>
    </row>
    <row r="86">
      <c r="B86" s="97"/>
      <c r="C86" s="121" t="str">
        <f t="array" ref="C86">ifs(and(isblank($A86),isblank($B86)),"", not(iserror(vlookup($A86&amp;$B86,'5) Release_Track'!$F:$F&amp;'5) Release_Track'!$G:$G,1,0))),vlookup($A86&amp;$B86,{'5) Release_Track'!$F:$F&amp;'5) Release_Track'!$G:$G,'5) Release_Track'!$H:$H},2,0),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D86" s="121" t="str">
        <f t="array" ref="D86">ifs(and(isblank($A86),isblank($B86)),"", not(iserror(vlookup($A86&amp;$B86,'5) Release_Track'!$F:$F&amp;'5) Release_Track'!$G:$G,1,0))),vlookup($A86&amp;$B86,{'5) Release_Track'!$F:$F&amp;'5) Release_Track'!$G:$G,'5) Release_Track'!$I:$I},2,0),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E86" s="116" t="str">
        <f t="array" ref="E86">ifs(and(isblank($A86),isblank($B86)),"", not(iserror(vlookup($A86&amp;$B86,'5) Release_Track'!$F:$F&amp;'5) Release_Track'!$G:$G,1,0))),vlookup($A86&amp;$B86,{'5) Release_Track'!$F:$F&amp;'5) Release_Track'!$G:$G,'5) Release_Track'!$J:$J},2,0),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F86" s="88"/>
      <c r="G86" s="92"/>
      <c r="H86" s="185"/>
      <c r="I86" s="121" t="str">
        <f t="shared" si="2"/>
        <v/>
      </c>
      <c r="J86" s="92"/>
      <c r="K86" s="92"/>
    </row>
    <row r="87">
      <c r="B87" s="97"/>
      <c r="C87" s="121" t="str">
        <f t="array" ref="C87">ifs(and(isblank($A87),isblank($B87)),"", not(iserror(vlookup($A87&amp;$B87,'5) Release_Track'!$F:$F&amp;'5) Release_Track'!$G:$G,1,0))),vlookup($A87&amp;$B87,{'5) Release_Track'!$F:$F&amp;'5) Release_Track'!$G:$G,'5) Release_Track'!$H:$H},2,0),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D87" s="121" t="str">
        <f t="array" ref="D87">ifs(and(isblank($A87),isblank($B87)),"", not(iserror(vlookup($A87&amp;$B87,'5) Release_Track'!$F:$F&amp;'5) Release_Track'!$G:$G,1,0))),vlookup($A87&amp;$B87,{'5) Release_Track'!$F:$F&amp;'5) Release_Track'!$G:$G,'5) Release_Track'!$I:$I},2,0),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E87" s="116" t="str">
        <f t="array" ref="E87">ifs(and(isblank($A87),isblank($B87)),"", not(iserror(vlookup($A87&amp;$B87,'5) Release_Track'!$F:$F&amp;'5) Release_Track'!$G:$G,1,0))),vlookup($A87&amp;$B87,{'5) Release_Track'!$F:$F&amp;'5) Release_Track'!$G:$G,'5) Release_Track'!$J:$J},2,0),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F87" s="88"/>
      <c r="G87" s="92"/>
      <c r="H87" s="185"/>
      <c r="I87" s="121" t="str">
        <f t="shared" si="2"/>
        <v/>
      </c>
      <c r="J87" s="92"/>
      <c r="K87" s="92"/>
    </row>
    <row r="88">
      <c r="B88" s="97"/>
      <c r="C88" s="121" t="str">
        <f t="array" ref="C88">ifs(and(isblank($A88),isblank($B88)),"", not(iserror(vlookup($A88&amp;$B88,'5) Release_Track'!$F:$F&amp;'5) Release_Track'!$G:$G,1,0))),vlookup($A88&amp;$B88,{'5) Release_Track'!$F:$F&amp;'5) Release_Track'!$G:$G,'5) Release_Track'!$H:$H},2,0),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D88" s="121" t="str">
        <f t="array" ref="D88">ifs(and(isblank($A88),isblank($B88)),"", not(iserror(vlookup($A88&amp;$B88,'5) Release_Track'!$F:$F&amp;'5) Release_Track'!$G:$G,1,0))),vlookup($A88&amp;$B88,{'5) Release_Track'!$F:$F&amp;'5) Release_Track'!$G:$G,'5) Release_Track'!$I:$I},2,0),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E88" s="116" t="str">
        <f t="array" ref="E88">ifs(and(isblank($A88),isblank($B88)),"", not(iserror(vlookup($A88&amp;$B88,'5) Release_Track'!$F:$F&amp;'5) Release_Track'!$G:$G,1,0))),vlookup($A88&amp;$B88,{'5) Release_Track'!$F:$F&amp;'5) Release_Track'!$G:$G,'5) Release_Track'!$J:$J},2,0),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F88" s="88"/>
      <c r="G88" s="92"/>
      <c r="H88" s="185"/>
      <c r="I88" s="121" t="str">
        <f t="shared" si="2"/>
        <v/>
      </c>
      <c r="J88" s="92"/>
      <c r="K88" s="92"/>
    </row>
    <row r="89">
      <c r="B89" s="97"/>
      <c r="C89" s="121" t="str">
        <f t="array" ref="C89">ifs(and(isblank($A89),isblank($B89)),"", not(iserror(vlookup($A89&amp;$B89,'5) Release_Track'!$F:$F&amp;'5) Release_Track'!$G:$G,1,0))),vlookup($A89&amp;$B89,{'5) Release_Track'!$F:$F&amp;'5) Release_Track'!$G:$G,'5) Release_Track'!$H:$H},2,0),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D89" s="121" t="str">
        <f t="array" ref="D89">ifs(and(isblank($A89),isblank($B89)),"", not(iserror(vlookup($A89&amp;$B89,'5) Release_Track'!$F:$F&amp;'5) Release_Track'!$G:$G,1,0))),vlookup($A89&amp;$B89,{'5) Release_Track'!$F:$F&amp;'5) Release_Track'!$G:$G,'5) Release_Track'!$I:$I},2,0),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E89" s="116" t="str">
        <f t="array" ref="E89">ifs(and(isblank($A89),isblank($B89)),"", not(iserror(vlookup($A89&amp;$B89,'5) Release_Track'!$F:$F&amp;'5) Release_Track'!$G:$G,1,0))),vlookup($A89&amp;$B89,{'5) Release_Track'!$F:$F&amp;'5) Release_Track'!$G:$G,'5) Release_Track'!$J:$J},2,0),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F89" s="88"/>
      <c r="G89" s="92"/>
      <c r="H89" s="185"/>
      <c r="I89" s="121" t="str">
        <f t="shared" si="2"/>
        <v/>
      </c>
      <c r="J89" s="92"/>
      <c r="K89" s="92"/>
    </row>
    <row r="90">
      <c r="B90" s="97"/>
      <c r="C90" s="121" t="str">
        <f t="array" ref="C90">ifs(and(isblank($A90),isblank($B90)),"", not(iserror(vlookup($A90&amp;$B90,'5) Release_Track'!$F:$F&amp;'5) Release_Track'!$G:$G,1,0))),vlookup($A90&amp;$B90,{'5) Release_Track'!$F:$F&amp;'5) Release_Track'!$G:$G,'5) Release_Track'!$H:$H},2,0),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D90" s="121" t="str">
        <f t="array" ref="D90">ifs(and(isblank($A90),isblank($B90)),"", not(iserror(vlookup($A90&amp;$B90,'5) Release_Track'!$F:$F&amp;'5) Release_Track'!$G:$G,1,0))),vlookup($A90&amp;$B90,{'5) Release_Track'!$F:$F&amp;'5) Release_Track'!$G:$G,'5) Release_Track'!$I:$I},2,0),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E90" s="116" t="str">
        <f t="array" ref="E90">ifs(and(isblank($A90),isblank($B90)),"", not(iserror(vlookup($A90&amp;$B90,'5) Release_Track'!$F:$F&amp;'5) Release_Track'!$G:$G,1,0))),vlookup($A90&amp;$B90,{'5) Release_Track'!$F:$F&amp;'5) Release_Track'!$G:$G,'5) Release_Track'!$J:$J},2,0),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F90" s="88"/>
      <c r="G90" s="92"/>
      <c r="H90" s="185"/>
      <c r="I90" s="121" t="str">
        <f t="shared" si="2"/>
        <v/>
      </c>
      <c r="J90" s="92"/>
      <c r="K90" s="92"/>
    </row>
    <row r="91">
      <c r="B91" s="97"/>
      <c r="C91" s="121" t="str">
        <f t="array" ref="C91">ifs(and(isblank($A91),isblank($B91)),"", not(iserror(vlookup($A91&amp;$B91,'5) Release_Track'!$F:$F&amp;'5) Release_Track'!$G:$G,1,0))),vlookup($A91&amp;$B91,{'5) Release_Track'!$F:$F&amp;'5) Release_Track'!$G:$G,'5) Release_Track'!$H:$H},2,0),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D91" s="121" t="str">
        <f t="array" ref="D91">ifs(and(isblank($A91),isblank($B91)),"", not(iserror(vlookup($A91&amp;$B91,'5) Release_Track'!$F:$F&amp;'5) Release_Track'!$G:$G,1,0))),vlookup($A91&amp;$B91,{'5) Release_Track'!$F:$F&amp;'5) Release_Track'!$G:$G,'5) Release_Track'!$I:$I},2,0),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E91" s="116" t="str">
        <f t="array" ref="E91">ifs(and(isblank($A91),isblank($B91)),"", not(iserror(vlookup($A91&amp;$B91,'5) Release_Track'!$F:$F&amp;'5) Release_Track'!$G:$G,1,0))),vlookup($A91&amp;$B91,{'5) Release_Track'!$F:$F&amp;'5) Release_Track'!$G:$G,'5) Release_Track'!$J:$J},2,0),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F91" s="88"/>
      <c r="G91" s="92"/>
      <c r="H91" s="185"/>
      <c r="I91" s="121" t="str">
        <f t="shared" si="2"/>
        <v/>
      </c>
      <c r="J91" s="92"/>
      <c r="K91" s="92"/>
    </row>
    <row r="92">
      <c r="B92" s="97"/>
      <c r="C92" s="121" t="str">
        <f t="array" ref="C92">ifs(and(isblank($A92),isblank($B92)),"", not(iserror(vlookup($A92&amp;$B92,'5) Release_Track'!$F:$F&amp;'5) Release_Track'!$G:$G,1,0))),vlookup($A92&amp;$B92,{'5) Release_Track'!$F:$F&amp;'5) Release_Track'!$G:$G,'5) Release_Track'!$H:$H},2,0),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D92" s="121" t="str">
        <f t="array" ref="D92">ifs(and(isblank($A92),isblank($B92)),"", not(iserror(vlookup($A92&amp;$B92,'5) Release_Track'!$F:$F&amp;'5) Release_Track'!$G:$G,1,0))),vlookup($A92&amp;$B92,{'5) Release_Track'!$F:$F&amp;'5) Release_Track'!$G:$G,'5) Release_Track'!$I:$I},2,0),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E92" s="116" t="str">
        <f t="array" ref="E92">ifs(and(isblank($A92),isblank($B92)),"", not(iserror(vlookup($A92&amp;$B92,'5) Release_Track'!$F:$F&amp;'5) Release_Track'!$G:$G,1,0))),vlookup($A92&amp;$B92,{'5) Release_Track'!$F:$F&amp;'5) Release_Track'!$G:$G,'5) Release_Track'!$J:$J},2,0),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F92" s="88"/>
      <c r="G92" s="92"/>
      <c r="H92" s="185"/>
      <c r="I92" s="121" t="str">
        <f t="shared" si="2"/>
        <v/>
      </c>
      <c r="J92" s="92"/>
      <c r="K92" s="92"/>
    </row>
    <row r="93">
      <c r="B93" s="97"/>
      <c r="C93" s="121" t="str">
        <f t="array" ref="C93">ifs(and(isblank($A93),isblank($B93)),"", not(iserror(vlookup($A93&amp;$B93,'5) Release_Track'!$F:$F&amp;'5) Release_Track'!$G:$G,1,0))),vlookup($A93&amp;$B93,{'5) Release_Track'!$F:$F&amp;'5) Release_Track'!$G:$G,'5) Release_Track'!$H:$H},2,0),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D93" s="121" t="str">
        <f t="array" ref="D93">ifs(and(isblank($A93),isblank($B93)),"", not(iserror(vlookup($A93&amp;$B93,'5) Release_Track'!$F:$F&amp;'5) Release_Track'!$G:$G,1,0))),vlookup($A93&amp;$B93,{'5) Release_Track'!$F:$F&amp;'5) Release_Track'!$G:$G,'5) Release_Track'!$I:$I},2,0),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E93" s="116" t="str">
        <f t="array" ref="E93">ifs(and(isblank($A93),isblank($B93)),"", not(iserror(vlookup($A93&amp;$B93,'5) Release_Track'!$F:$F&amp;'5) Release_Track'!$G:$G,1,0))),vlookup($A93&amp;$B93,{'5) Release_Track'!$F:$F&amp;'5) Release_Track'!$G:$G,'5) Release_Track'!$J:$J},2,0),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F93" s="88"/>
      <c r="G93" s="92"/>
      <c r="H93" s="185"/>
      <c r="I93" s="121" t="str">
        <f t="shared" si="2"/>
        <v/>
      </c>
      <c r="J93" s="92"/>
      <c r="K93" s="92"/>
    </row>
    <row r="94">
      <c r="B94" s="97"/>
      <c r="C94" s="121" t="str">
        <f t="array" ref="C94">ifs(and(isblank($A94),isblank($B94)),"", not(iserror(vlookup($A94&amp;$B94,'5) Release_Track'!$F:$F&amp;'5) Release_Track'!$G:$G,1,0))),vlookup($A94&amp;$B94,{'5) Release_Track'!$F:$F&amp;'5) Release_Track'!$G:$G,'5) Release_Track'!$H:$H},2,0),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D94" s="121" t="str">
        <f t="array" ref="D94">ifs(and(isblank($A94),isblank($B94)),"", not(iserror(vlookup($A94&amp;$B94,'5) Release_Track'!$F:$F&amp;'5) Release_Track'!$G:$G,1,0))),vlookup($A94&amp;$B94,{'5) Release_Track'!$F:$F&amp;'5) Release_Track'!$G:$G,'5) Release_Track'!$I:$I},2,0),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E94" s="116" t="str">
        <f t="array" ref="E94">ifs(and(isblank($A94),isblank($B94)),"", not(iserror(vlookup($A94&amp;$B94,'5) Release_Track'!$F:$F&amp;'5) Release_Track'!$G:$G,1,0))),vlookup($A94&amp;$B94,{'5) Release_Track'!$F:$F&amp;'5) Release_Track'!$G:$G,'5) Release_Track'!$J:$J},2,0),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F94" s="88"/>
      <c r="G94" s="92"/>
      <c r="H94" s="185"/>
      <c r="I94" s="121" t="str">
        <f t="shared" si="2"/>
        <v/>
      </c>
      <c r="J94" s="92"/>
      <c r="K94" s="92"/>
    </row>
    <row r="95">
      <c r="B95" s="97"/>
      <c r="C95" s="121" t="str">
        <f t="array" ref="C95">ifs(and(isblank($A95),isblank($B95)),"", not(iserror(vlookup($A95&amp;$B95,'5) Release_Track'!$F:$F&amp;'5) Release_Track'!$G:$G,1,0))),vlookup($A95&amp;$B95,{'5) Release_Track'!$F:$F&amp;'5) Release_Track'!$G:$G,'5) Release_Track'!$H:$H},2,0),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D95" s="121" t="str">
        <f t="array" ref="D95">ifs(and(isblank($A95),isblank($B95)),"", not(iserror(vlookup($A95&amp;$B95,'5) Release_Track'!$F:$F&amp;'5) Release_Track'!$G:$G,1,0))),vlookup($A95&amp;$B95,{'5) Release_Track'!$F:$F&amp;'5) Release_Track'!$G:$G,'5) Release_Track'!$I:$I},2,0),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E95" s="116" t="str">
        <f t="array" ref="E95">ifs(and(isblank($A95),isblank($B95)),"", not(iserror(vlookup($A95&amp;$B95,'5) Release_Track'!$F:$F&amp;'5) Release_Track'!$G:$G,1,0))),vlookup($A95&amp;$B95,{'5) Release_Track'!$F:$F&amp;'5) Release_Track'!$G:$G,'5) Release_Track'!$J:$J},2,0),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F95" s="88"/>
      <c r="G95" s="92"/>
      <c r="H95" s="185"/>
      <c r="I95" s="121" t="str">
        <f t="shared" si="2"/>
        <v/>
      </c>
      <c r="J95" s="92"/>
      <c r="K95" s="92"/>
    </row>
    <row r="96">
      <c r="B96" s="97"/>
      <c r="C96" s="121" t="str">
        <f t="array" ref="C96">ifs(and(isblank($A96),isblank($B96)),"", not(iserror(vlookup($A96&amp;$B96,'5) Release_Track'!$F:$F&amp;'5) Release_Track'!$G:$G,1,0))),vlookup($A96&amp;$B96,{'5) Release_Track'!$F:$F&amp;'5) Release_Track'!$G:$G,'5) Release_Track'!$H:$H},2,0),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D96" s="121" t="str">
        <f t="array" ref="D96">ifs(and(isblank($A96),isblank($B96)),"", not(iserror(vlookup($A96&amp;$B96,'5) Release_Track'!$F:$F&amp;'5) Release_Track'!$G:$G,1,0))),vlookup($A96&amp;$B96,{'5) Release_Track'!$F:$F&amp;'5) Release_Track'!$G:$G,'5) Release_Track'!$I:$I},2,0),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E96" s="116" t="str">
        <f t="array" ref="E96">ifs(and(isblank($A96),isblank($B96)),"", not(iserror(vlookup($A96&amp;$B96,'5) Release_Track'!$F:$F&amp;'5) Release_Track'!$G:$G,1,0))),vlookup($A96&amp;$B96,{'5) Release_Track'!$F:$F&amp;'5) Release_Track'!$G:$G,'5) Release_Track'!$J:$J},2,0),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F96" s="88"/>
      <c r="G96" s="92"/>
      <c r="H96" s="185"/>
      <c r="I96" s="121" t="str">
        <f t="shared" si="2"/>
        <v/>
      </c>
      <c r="J96" s="92"/>
      <c r="K96" s="92"/>
    </row>
    <row r="97">
      <c r="B97" s="97"/>
      <c r="C97" s="121" t="str">
        <f t="array" ref="C97">ifs(and(isblank($A97),isblank($B97)),"", not(iserror(vlookup($A97&amp;$B97,'5) Release_Track'!$F:$F&amp;'5) Release_Track'!$G:$G,1,0))),vlookup($A97&amp;$B97,{'5) Release_Track'!$F:$F&amp;'5) Release_Track'!$G:$G,'5) Release_Track'!$H:$H},2,0),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D97" s="121" t="str">
        <f t="array" ref="D97">ifs(and(isblank($A97),isblank($B97)),"", not(iserror(vlookup($A97&amp;$B97,'5) Release_Track'!$F:$F&amp;'5) Release_Track'!$G:$G,1,0))),vlookup($A97&amp;$B97,{'5) Release_Track'!$F:$F&amp;'5) Release_Track'!$G:$G,'5) Release_Track'!$I:$I},2,0),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E97" s="116" t="str">
        <f t="array" ref="E97">ifs(and(isblank($A97),isblank($B97)),"", not(iserror(vlookup($A97&amp;$B97,'5) Release_Track'!$F:$F&amp;'5) Release_Track'!$G:$G,1,0))),vlookup($A97&amp;$B97,{'5) Release_Track'!$F:$F&amp;'5) Release_Track'!$G:$G,'5) Release_Track'!$J:$J},2,0),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F97" s="88"/>
      <c r="G97" s="92"/>
      <c r="H97" s="185"/>
      <c r="I97" s="121" t="str">
        <f t="shared" si="2"/>
        <v/>
      </c>
      <c r="J97" s="92"/>
      <c r="K97" s="92"/>
    </row>
    <row r="98">
      <c r="B98" s="97"/>
      <c r="C98" s="121" t="str">
        <f t="array" ref="C98">ifs(and(isblank($A98),isblank($B98)),"", not(iserror(vlookup($A98&amp;$B98,'5) Release_Track'!$F:$F&amp;'5) Release_Track'!$G:$G,1,0))),vlookup($A98&amp;$B98,{'5) Release_Track'!$F:$F&amp;'5) Release_Track'!$G:$G,'5) Release_Track'!$H:$H},2,0),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D98" s="121" t="str">
        <f t="array" ref="D98">ifs(and(isblank($A98),isblank($B98)),"", not(iserror(vlookup($A98&amp;$B98,'5) Release_Track'!$F:$F&amp;'5) Release_Track'!$G:$G,1,0))),vlookup($A98&amp;$B98,{'5) Release_Track'!$F:$F&amp;'5) Release_Track'!$G:$G,'5) Release_Track'!$I:$I},2,0),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E98" s="116" t="str">
        <f t="array" ref="E98">ifs(and(isblank($A98),isblank($B98)),"", not(iserror(vlookup($A98&amp;$B98,'5) Release_Track'!$F:$F&amp;'5) Release_Track'!$G:$G,1,0))),vlookup($A98&amp;$B98,{'5) Release_Track'!$F:$F&amp;'5) Release_Track'!$G:$G,'5) Release_Track'!$J:$J},2,0),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F98" s="88"/>
      <c r="G98" s="92"/>
      <c r="H98" s="185"/>
      <c r="I98" s="121" t="str">
        <f t="shared" si="2"/>
        <v/>
      </c>
      <c r="J98" s="92"/>
      <c r="K98" s="92"/>
    </row>
    <row r="99">
      <c r="B99" s="97"/>
      <c r="C99" s="121" t="str">
        <f t="array" ref="C99">ifs(and(isblank($A99),isblank($B99)),"", not(iserror(vlookup($A99&amp;$B99,'5) Release_Track'!$F:$F&amp;'5) Release_Track'!$G:$G,1,0))),vlookup($A99&amp;$B99,{'5) Release_Track'!$F:$F&amp;'5) Release_Track'!$G:$G,'5) Release_Track'!$H:$H},2,0),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D99" s="121" t="str">
        <f t="array" ref="D99">ifs(and(isblank($A99),isblank($B99)),"", not(iserror(vlookup($A99&amp;$B99,'5) Release_Track'!$F:$F&amp;'5) Release_Track'!$G:$G,1,0))),vlookup($A99&amp;$B99,{'5) Release_Track'!$F:$F&amp;'5) Release_Track'!$G:$G,'5) Release_Track'!$I:$I},2,0),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E99" s="116" t="str">
        <f t="array" ref="E99">ifs(and(isblank($A99),isblank($B99)),"", not(iserror(vlookup($A99&amp;$B99,'5) Release_Track'!$F:$F&amp;'5) Release_Track'!$G:$G,1,0))),vlookup($A99&amp;$B99,{'5) Release_Track'!$F:$F&amp;'5) Release_Track'!$G:$G,'5) Release_Track'!$J:$J},2,0),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F99" s="88"/>
      <c r="G99" s="92"/>
      <c r="H99" s="185"/>
      <c r="I99" s="121" t="str">
        <f t="shared" si="2"/>
        <v/>
      </c>
      <c r="J99" s="92"/>
      <c r="K99" s="92"/>
    </row>
    <row r="100">
      <c r="B100" s="97"/>
      <c r="C100" s="121" t="str">
        <f t="array" ref="C100">ifs(and(isblank($A100),isblank($B100)),"", not(iserror(vlookup($A100&amp;$B100,'5) Release_Track'!$F:$F&amp;'5) Release_Track'!$G:$G,1,0))),vlookup($A100&amp;$B100,{'5) Release_Track'!$F:$F&amp;'5) Release_Track'!$G:$G,'5) Release_Track'!$H:$H},2,0),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D100" s="121" t="str">
        <f t="array" ref="D100">ifs(and(isblank($A100),isblank($B100)),"", not(iserror(vlookup($A100&amp;$B100,'5) Release_Track'!$F:$F&amp;'5) Release_Track'!$G:$G,1,0))),vlookup($A100&amp;$B100,{'5) Release_Track'!$F:$F&amp;'5) Release_Track'!$G:$G,'5) Release_Track'!$I:$I},2,0),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E100" s="116" t="str">
        <f t="array" ref="E100">ifs(and(isblank($A100),isblank($B100)),"", not(iserror(vlookup($A100&amp;$B100,'5) Release_Track'!$F:$F&amp;'5) Release_Track'!$G:$G,1,0))),vlookup($A100&amp;$B100,{'5) Release_Track'!$F:$F&amp;'5) Release_Track'!$G:$G,'5) Release_Track'!$J:$J},2,0),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F100" s="88"/>
      <c r="G100" s="92"/>
      <c r="H100" s="185"/>
      <c r="I100" s="121" t="str">
        <f t="shared" si="2"/>
        <v/>
      </c>
      <c r="J100" s="92"/>
      <c r="K100" s="92"/>
    </row>
    <row r="101">
      <c r="B101" s="97"/>
      <c r="C101" s="121" t="str">
        <f t="array" ref="C101">ifs(and(isblank($A101),isblank($B101)),"", not(iserror(vlookup($A101&amp;$B101,'5) Release_Track'!$F:$F&amp;'5) Release_Track'!$G:$G,1,0))),vlookup($A101&amp;$B101,{'5) Release_Track'!$F:$F&amp;'5) Release_Track'!$G:$G,'5) Release_Track'!$H:$H},2,0),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D101" s="121" t="str">
        <f t="array" ref="D101">ifs(and(isblank($A101),isblank($B101)),"", not(iserror(vlookup($A101&amp;$B101,'5) Release_Track'!$F:$F&amp;'5) Release_Track'!$G:$G,1,0))),vlookup($A101&amp;$B101,{'5) Release_Track'!$F:$F&amp;'5) Release_Track'!$G:$G,'5) Release_Track'!$I:$I},2,0),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E101" s="116" t="str">
        <f t="array" ref="E101">ifs(and(isblank($A101),isblank($B101)),"", not(iserror(vlookup($A101&amp;$B101,'5) Release_Track'!$F:$F&amp;'5) Release_Track'!$G:$G,1,0))),vlookup($A101&amp;$B101,{'5) Release_Track'!$F:$F&amp;'5) Release_Track'!$G:$G,'5) Release_Track'!$J:$J},2,0),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F101" s="88"/>
      <c r="G101" s="92"/>
      <c r="H101" s="185"/>
      <c r="I101" s="121" t="str">
        <f t="shared" si="2"/>
        <v/>
      </c>
      <c r="J101" s="92"/>
      <c r="K101" s="92"/>
    </row>
    <row r="102">
      <c r="B102" s="97"/>
      <c r="C102" s="121" t="str">
        <f t="array" ref="C102">ifs(and(isblank($A102),isblank($B102)),"", not(iserror(vlookup($A102&amp;$B102,'5) Release_Track'!$F:$F&amp;'5) Release_Track'!$G:$G,1,0))),vlookup($A102&amp;$B102,{'5) Release_Track'!$F:$F&amp;'5) Release_Track'!$G:$G,'5) Release_Track'!$H:$H},2,0),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D102" s="121" t="str">
        <f t="array" ref="D102">ifs(and(isblank($A102),isblank($B102)),"", not(iserror(vlookup($A102&amp;$B102,'5) Release_Track'!$F:$F&amp;'5) Release_Track'!$G:$G,1,0))),vlookup($A102&amp;$B102,{'5) Release_Track'!$F:$F&amp;'5) Release_Track'!$G:$G,'5) Release_Track'!$I:$I},2,0),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E102" s="116" t="str">
        <f t="array" ref="E102">ifs(and(isblank($A102),isblank($B102)),"", not(iserror(vlookup($A102&amp;$B102,'5) Release_Track'!$F:$F&amp;'5) Release_Track'!$G:$G,1,0))),vlookup($A102&amp;$B102,{'5) Release_Track'!$F:$F&amp;'5) Release_Track'!$G:$G,'5) Release_Track'!$J:$J},2,0),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F102" s="88"/>
      <c r="G102" s="92"/>
      <c r="H102" s="185"/>
      <c r="I102" s="121" t="str">
        <f t="shared" si="2"/>
        <v/>
      </c>
      <c r="J102" s="92"/>
      <c r="K102" s="92"/>
    </row>
    <row r="103">
      <c r="B103" s="97"/>
      <c r="C103" s="121" t="str">
        <f t="array" ref="C103">ifs(and(isblank($A103),isblank($B103)),"", not(iserror(vlookup($A103&amp;$B103,'5) Release_Track'!$F:$F&amp;'5) Release_Track'!$G:$G,1,0))),vlookup($A103&amp;$B103,{'5) Release_Track'!$F:$F&amp;'5) Release_Track'!$G:$G,'5) Release_Track'!$H:$H},2,0),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D103" s="121" t="str">
        <f t="array" ref="D103">ifs(and(isblank($A103),isblank($B103)),"", not(iserror(vlookup($A103&amp;$B103,'5) Release_Track'!$F:$F&amp;'5) Release_Track'!$G:$G,1,0))),vlookup($A103&amp;$B103,{'5) Release_Track'!$F:$F&amp;'5) Release_Track'!$G:$G,'5) Release_Track'!$I:$I},2,0),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E103" s="116" t="str">
        <f t="array" ref="E103">ifs(and(isblank($A103),isblank($B103)),"", not(iserror(vlookup($A103&amp;$B103,'5) Release_Track'!$F:$F&amp;'5) Release_Track'!$G:$G,1,0))),vlookup($A103&amp;$B103,{'5) Release_Track'!$F:$F&amp;'5) Release_Track'!$G:$G,'5) Release_Track'!$J:$J},2,0),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F103" s="88"/>
      <c r="G103" s="92"/>
      <c r="H103" s="185"/>
      <c r="I103" s="121" t="str">
        <f t="shared" si="2"/>
        <v/>
      </c>
      <c r="J103" s="92"/>
      <c r="K103" s="92"/>
    </row>
    <row r="104">
      <c r="B104" s="97"/>
      <c r="C104" s="121" t="str">
        <f t="array" ref="C104">ifs(and(isblank($A104),isblank($B104)),"", not(iserror(vlookup($A104&amp;$B104,'5) Release_Track'!$F:$F&amp;'5) Release_Track'!$G:$G,1,0))),vlookup($A104&amp;$B104,{'5) Release_Track'!$F:$F&amp;'5) Release_Track'!$G:$G,'5) Release_Track'!$H:$H},2,0),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D104" s="121" t="str">
        <f t="array" ref="D104">ifs(and(isblank($A104),isblank($B104)),"", not(iserror(vlookup($A104&amp;$B104,'5) Release_Track'!$F:$F&amp;'5) Release_Track'!$G:$G,1,0))),vlookup($A104&amp;$B104,{'5) Release_Track'!$F:$F&amp;'5) Release_Track'!$G:$G,'5) Release_Track'!$I:$I},2,0),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E104" s="116" t="str">
        <f t="array" ref="E104">ifs(and(isblank($A104),isblank($B104)),"", not(iserror(vlookup($A104&amp;$B104,'5) Release_Track'!$F:$F&amp;'5) Release_Track'!$G:$G,1,0))),vlookup($A104&amp;$B104,{'5) Release_Track'!$F:$F&amp;'5) Release_Track'!$G:$G,'5) Release_Track'!$J:$J},2,0),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F104" s="88"/>
      <c r="G104" s="92"/>
      <c r="H104" s="185"/>
      <c r="I104" s="121" t="str">
        <f t="shared" si="2"/>
        <v/>
      </c>
      <c r="J104" s="92"/>
      <c r="K104" s="92"/>
    </row>
    <row r="105">
      <c r="B105" s="97"/>
      <c r="C105" s="121" t="str">
        <f t="array" ref="C105">ifs(and(isblank($A105),isblank($B105)),"", not(iserror(vlookup($A105&amp;$B105,'5) Release_Track'!$F:$F&amp;'5) Release_Track'!$G:$G,1,0))),vlookup($A105&amp;$B105,{'5) Release_Track'!$F:$F&amp;'5) Release_Track'!$G:$G,'5) Release_Track'!$H:$H},2,0),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D105" s="121" t="str">
        <f t="array" ref="D105">ifs(and(isblank($A105),isblank($B105)),"", not(iserror(vlookup($A105&amp;$B105,'5) Release_Track'!$F:$F&amp;'5) Release_Track'!$G:$G,1,0))),vlookup($A105&amp;$B105,{'5) Release_Track'!$F:$F&amp;'5) Release_Track'!$G:$G,'5) Release_Track'!$I:$I},2,0),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E105" s="116" t="str">
        <f t="array" ref="E105">ifs(and(isblank($A105),isblank($B105)),"", not(iserror(vlookup($A105&amp;$B105,'5) Release_Track'!$F:$F&amp;'5) Release_Track'!$G:$G,1,0))),vlookup($A105&amp;$B105,{'5) Release_Track'!$F:$F&amp;'5) Release_Track'!$G:$G,'5) Release_Track'!$J:$J},2,0),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F105" s="88"/>
      <c r="G105" s="92"/>
      <c r="H105" s="185"/>
      <c r="I105" s="121" t="str">
        <f t="shared" si="2"/>
        <v/>
      </c>
      <c r="J105" s="92"/>
      <c r="K105" s="92"/>
    </row>
    <row r="106">
      <c r="B106" s="97"/>
      <c r="C106" s="121" t="str">
        <f t="array" ref="C106">ifs(and(isblank($A106),isblank($B106)),"", not(iserror(vlookup($A106&amp;$B106,'5) Release_Track'!$F:$F&amp;'5) Release_Track'!$G:$G,1,0))),vlookup($A106&amp;$B106,{'5) Release_Track'!$F:$F&amp;'5) Release_Track'!$G:$G,'5) Release_Track'!$H:$H},2,0),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D106" s="121" t="str">
        <f t="array" ref="D106">ifs(and(isblank($A106),isblank($B106)),"", not(iserror(vlookup($A106&amp;$B106,'5) Release_Track'!$F:$F&amp;'5) Release_Track'!$G:$G,1,0))),vlookup($A106&amp;$B106,{'5) Release_Track'!$F:$F&amp;'5) Release_Track'!$G:$G,'5) Release_Track'!$I:$I},2,0),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E106" s="116" t="str">
        <f t="array" ref="E106">ifs(and(isblank($A106),isblank($B106)),"", not(iserror(vlookup($A106&amp;$B106,'5) Release_Track'!$F:$F&amp;'5) Release_Track'!$G:$G,1,0))),vlookup($A106&amp;$B106,{'5) Release_Track'!$F:$F&amp;'5) Release_Track'!$G:$G,'5) Release_Track'!$J:$J},2,0),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F106" s="88"/>
      <c r="G106" s="92"/>
      <c r="H106" s="185"/>
      <c r="I106" s="121" t="str">
        <f t="shared" si="2"/>
        <v/>
      </c>
      <c r="J106" s="92"/>
      <c r="K106" s="92"/>
    </row>
    <row r="107">
      <c r="B107" s="97"/>
      <c r="C107" s="121" t="str">
        <f t="array" ref="C107">ifs(and(isblank($A107),isblank($B107)),"", not(iserror(vlookup($A107&amp;$B107,'5) Release_Track'!$F:$F&amp;'5) Release_Track'!$G:$G,1,0))),vlookup($A107&amp;$B107,{'5) Release_Track'!$F:$F&amp;'5) Release_Track'!$G:$G,'5) Release_Track'!$H:$H},2,0),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D107" s="121" t="str">
        <f t="array" ref="D107">ifs(and(isblank($A107),isblank($B107)),"", not(iserror(vlookup($A107&amp;$B107,'5) Release_Track'!$F:$F&amp;'5) Release_Track'!$G:$G,1,0))),vlookup($A107&amp;$B107,{'5) Release_Track'!$F:$F&amp;'5) Release_Track'!$G:$G,'5) Release_Track'!$I:$I},2,0),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E107" s="116" t="str">
        <f t="array" ref="E107">ifs(and(isblank($A107),isblank($B107)),"", not(iserror(vlookup($A107&amp;$B107,'5) Release_Track'!$F:$F&amp;'5) Release_Track'!$G:$G,1,0))),vlookup($A107&amp;$B107,{'5) Release_Track'!$F:$F&amp;'5) Release_Track'!$G:$G,'5) Release_Track'!$J:$J},2,0),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F107" s="88"/>
      <c r="G107" s="92"/>
      <c r="H107" s="185"/>
      <c r="I107" s="121" t="str">
        <f t="shared" si="2"/>
        <v/>
      </c>
      <c r="J107" s="92"/>
      <c r="K107" s="92"/>
    </row>
    <row r="108">
      <c r="B108" s="97"/>
      <c r="C108" s="121" t="str">
        <f t="array" ref="C108">ifs(and(isblank($A108),isblank($B108)),"", not(iserror(vlookup($A108&amp;$B108,'5) Release_Track'!$F:$F&amp;'5) Release_Track'!$G:$G,1,0))),vlookup($A108&amp;$B108,{'5) Release_Track'!$F:$F&amp;'5) Release_Track'!$G:$G,'5) Release_Track'!$H:$H},2,0),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D108" s="121" t="str">
        <f t="array" ref="D108">ifs(and(isblank($A108),isblank($B108)),"", not(iserror(vlookup($A108&amp;$B108,'5) Release_Track'!$F:$F&amp;'5) Release_Track'!$G:$G,1,0))),vlookup($A108&amp;$B108,{'5) Release_Track'!$F:$F&amp;'5) Release_Track'!$G:$G,'5) Release_Track'!$I:$I},2,0),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E108" s="116" t="str">
        <f t="array" ref="E108">ifs(and(isblank($A108),isblank($B108)),"", not(iserror(vlookup($A108&amp;$B108,'5) Release_Track'!$F:$F&amp;'5) Release_Track'!$G:$G,1,0))),vlookup($A108&amp;$B108,{'5) Release_Track'!$F:$F&amp;'5) Release_Track'!$G:$G,'5) Release_Track'!$J:$J},2,0),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F108" s="88"/>
      <c r="G108" s="92"/>
      <c r="H108" s="185"/>
      <c r="I108" s="121" t="str">
        <f t="shared" si="2"/>
        <v/>
      </c>
      <c r="J108" s="92"/>
      <c r="K108" s="92"/>
    </row>
    <row r="109">
      <c r="B109" s="97"/>
      <c r="C109" s="121" t="str">
        <f t="array" ref="C109">ifs(and(isblank($A109),isblank($B109)),"", not(iserror(vlookup($A109&amp;$B109,'5) Release_Track'!$F:$F&amp;'5) Release_Track'!$G:$G,1,0))),vlookup($A109&amp;$B109,{'5) Release_Track'!$F:$F&amp;'5) Release_Track'!$G:$G,'5) Release_Track'!$H:$H},2,0),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D109" s="121" t="str">
        <f t="array" ref="D109">ifs(and(isblank($A109),isblank($B109)),"", not(iserror(vlookup($A109&amp;$B109,'5) Release_Track'!$F:$F&amp;'5) Release_Track'!$G:$G,1,0))),vlookup($A109&amp;$B109,{'5) Release_Track'!$F:$F&amp;'5) Release_Track'!$G:$G,'5) Release_Track'!$I:$I},2,0),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E109" s="116" t="str">
        <f t="array" ref="E109">ifs(and(isblank($A109),isblank($B109)),"", not(iserror(vlookup($A109&amp;$B109,'5) Release_Track'!$F:$F&amp;'5) Release_Track'!$G:$G,1,0))),vlookup($A109&amp;$B109,{'5) Release_Track'!$F:$F&amp;'5) Release_Track'!$G:$G,'5) Release_Track'!$J:$J},2,0),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F109" s="88"/>
      <c r="G109" s="92"/>
      <c r="H109" s="185"/>
      <c r="I109" s="121" t="str">
        <f t="shared" si="2"/>
        <v/>
      </c>
      <c r="J109" s="92"/>
      <c r="K109" s="92"/>
    </row>
    <row r="110">
      <c r="B110" s="97"/>
      <c r="C110" s="121" t="str">
        <f t="array" ref="C110">ifs(and(isblank($A110),isblank($B110)),"", not(iserror(vlookup($A110&amp;$B110,'5) Release_Track'!$F:$F&amp;'5) Release_Track'!$G:$G,1,0))),vlookup($A110&amp;$B110,{'5) Release_Track'!$F:$F&amp;'5) Release_Track'!$G:$G,'5) Release_Track'!$H:$H},2,0),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D110" s="121" t="str">
        <f t="array" ref="D110">ifs(and(isblank($A110),isblank($B110)),"", not(iserror(vlookup($A110&amp;$B110,'5) Release_Track'!$F:$F&amp;'5) Release_Track'!$G:$G,1,0))),vlookup($A110&amp;$B110,{'5) Release_Track'!$F:$F&amp;'5) Release_Track'!$G:$G,'5) Release_Track'!$I:$I},2,0),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E110" s="116" t="str">
        <f t="array" ref="E110">ifs(and(isblank($A110),isblank($B110)),"", not(iserror(vlookup($A110&amp;$B110,'5) Release_Track'!$F:$F&amp;'5) Release_Track'!$G:$G,1,0))),vlookup($A110&amp;$B110,{'5) Release_Track'!$F:$F&amp;'5) Release_Track'!$G:$G,'5) Release_Track'!$J:$J},2,0),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F110" s="88"/>
      <c r="G110" s="92"/>
      <c r="H110" s="185"/>
      <c r="I110" s="121" t="str">
        <f t="shared" si="2"/>
        <v/>
      </c>
      <c r="J110" s="92"/>
      <c r="K110" s="92"/>
    </row>
    <row r="111">
      <c r="B111" s="97"/>
      <c r="C111" s="121" t="str">
        <f t="array" ref="C111">ifs(and(isblank($A111),isblank($B111)),"", not(iserror(vlookup($A111&amp;$B111,'5) Release_Track'!$F:$F&amp;'5) Release_Track'!$G:$G,1,0))),vlookup($A111&amp;$B111,{'5) Release_Track'!$F:$F&amp;'5) Release_Track'!$G:$G,'5) Release_Track'!$H:$H},2,0),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D111" s="121" t="str">
        <f t="array" ref="D111">ifs(and(isblank($A111),isblank($B111)),"", not(iserror(vlookup($A111&amp;$B111,'5) Release_Track'!$F:$F&amp;'5) Release_Track'!$G:$G,1,0))),vlookup($A111&amp;$B111,{'5) Release_Track'!$F:$F&amp;'5) Release_Track'!$G:$G,'5) Release_Track'!$I:$I},2,0),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E111" s="116" t="str">
        <f t="array" ref="E111">ifs(and(isblank($A111),isblank($B111)),"", not(iserror(vlookup($A111&amp;$B111,'5) Release_Track'!$F:$F&amp;'5) Release_Track'!$G:$G,1,0))),vlookup($A111&amp;$B111,{'5) Release_Track'!$F:$F&amp;'5) Release_Track'!$G:$G,'5) Release_Track'!$J:$J},2,0),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F111" s="88"/>
      <c r="G111" s="92"/>
      <c r="H111" s="185"/>
      <c r="I111" s="121" t="str">
        <f t="shared" si="2"/>
        <v/>
      </c>
      <c r="J111" s="92"/>
      <c r="K111" s="92"/>
    </row>
    <row r="112">
      <c r="B112" s="97"/>
      <c r="C112" s="121" t="str">
        <f t="array" ref="C112">ifs(and(isblank($A112),isblank($B112)),"", not(iserror(vlookup($A112&amp;$B112,'5) Release_Track'!$F:$F&amp;'5) Release_Track'!$G:$G,1,0))),vlookup($A112&amp;$B112,{'5) Release_Track'!$F:$F&amp;'5) Release_Track'!$G:$G,'5) Release_Track'!$H:$H},2,0),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D112" s="121" t="str">
        <f t="array" ref="D112">ifs(and(isblank($A112),isblank($B112)),"", not(iserror(vlookup($A112&amp;$B112,'5) Release_Track'!$F:$F&amp;'5) Release_Track'!$G:$G,1,0))),vlookup($A112&amp;$B112,{'5) Release_Track'!$F:$F&amp;'5) Release_Track'!$G:$G,'5) Release_Track'!$I:$I},2,0),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E112" s="116" t="str">
        <f t="array" ref="E112">ifs(and(isblank($A112),isblank($B112)),"", not(iserror(vlookup($A112&amp;$B112,'5) Release_Track'!$F:$F&amp;'5) Release_Track'!$G:$G,1,0))),vlookup($A112&amp;$B112,{'5) Release_Track'!$F:$F&amp;'5) Release_Track'!$G:$G,'5) Release_Track'!$J:$J},2,0),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F112" s="88"/>
      <c r="G112" s="92"/>
      <c r="H112" s="185"/>
      <c r="I112" s="121" t="str">
        <f t="shared" si="2"/>
        <v/>
      </c>
      <c r="J112" s="92"/>
      <c r="K112" s="92"/>
    </row>
    <row r="113">
      <c r="B113" s="97"/>
      <c r="C113" s="121" t="str">
        <f t="array" ref="C113">ifs(and(isblank($A113),isblank($B113)),"", not(iserror(vlookup($A113&amp;$B113,'5) Release_Track'!$F:$F&amp;'5) Release_Track'!$G:$G,1,0))),vlookup($A113&amp;$B113,{'5) Release_Track'!$F:$F&amp;'5) Release_Track'!$G:$G,'5) Release_Track'!$H:$H},2,0),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D113" s="121" t="str">
        <f t="array" ref="D113">ifs(and(isblank($A113),isblank($B113)),"", not(iserror(vlookup($A113&amp;$B113,'5) Release_Track'!$F:$F&amp;'5) Release_Track'!$G:$G,1,0))),vlookup($A113&amp;$B113,{'5) Release_Track'!$F:$F&amp;'5) Release_Track'!$G:$G,'5) Release_Track'!$I:$I},2,0),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E113" s="116" t="str">
        <f t="array" ref="E113">ifs(and(isblank($A113),isblank($B113)),"", not(iserror(vlookup($A113&amp;$B113,'5) Release_Track'!$F:$F&amp;'5) Release_Track'!$G:$G,1,0))),vlookup($A113&amp;$B113,{'5) Release_Track'!$F:$F&amp;'5) Release_Track'!$G:$G,'5) Release_Track'!$J:$J},2,0),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F113" s="88"/>
      <c r="G113" s="92"/>
      <c r="H113" s="185"/>
      <c r="I113" s="121" t="str">
        <f t="shared" si="2"/>
        <v/>
      </c>
      <c r="J113" s="92"/>
      <c r="K113" s="92"/>
    </row>
    <row r="114">
      <c r="B114" s="97"/>
      <c r="C114" s="121" t="str">
        <f t="array" ref="C114">ifs(and(isblank($A114),isblank($B114)),"", not(iserror(vlookup($A114&amp;$B114,'5) Release_Track'!$F:$F&amp;'5) Release_Track'!$G:$G,1,0))),vlookup($A114&amp;$B114,{'5) Release_Track'!$F:$F&amp;'5) Release_Track'!$G:$G,'5) Release_Track'!$H:$H},2,0),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D114" s="121" t="str">
        <f t="array" ref="D114">ifs(and(isblank($A114),isblank($B114)),"", not(iserror(vlookup($A114&amp;$B114,'5) Release_Track'!$F:$F&amp;'5) Release_Track'!$G:$G,1,0))),vlookup($A114&amp;$B114,{'5) Release_Track'!$F:$F&amp;'5) Release_Track'!$G:$G,'5) Release_Track'!$I:$I},2,0),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E114" s="116" t="str">
        <f t="array" ref="E114">ifs(and(isblank($A114),isblank($B114)),"", not(iserror(vlookup($A114&amp;$B114,'5) Release_Track'!$F:$F&amp;'5) Release_Track'!$G:$G,1,0))),vlookup($A114&amp;$B114,{'5) Release_Track'!$F:$F&amp;'5) Release_Track'!$G:$G,'5) Release_Track'!$J:$J},2,0),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F114" s="88"/>
      <c r="G114" s="92"/>
      <c r="H114" s="185"/>
      <c r="I114" s="121" t="str">
        <f t="shared" si="2"/>
        <v/>
      </c>
      <c r="J114" s="92"/>
      <c r="K114" s="92"/>
    </row>
    <row r="115">
      <c r="B115" s="97"/>
      <c r="C115" s="121" t="str">
        <f t="array" ref="C115">ifs(and(isblank($A115),isblank($B115)),"", not(iserror(vlookup($A115&amp;$B115,'5) Release_Track'!$F:$F&amp;'5) Release_Track'!$G:$G,1,0))),vlookup($A115&amp;$B115,{'5) Release_Track'!$F:$F&amp;'5) Release_Track'!$G:$G,'5) Release_Track'!$H:$H},2,0),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D115" s="121" t="str">
        <f t="array" ref="D115">ifs(and(isblank($A115),isblank($B115)),"", not(iserror(vlookup($A115&amp;$B115,'5) Release_Track'!$F:$F&amp;'5) Release_Track'!$G:$G,1,0))),vlookup($A115&amp;$B115,{'5) Release_Track'!$F:$F&amp;'5) Release_Track'!$G:$G,'5) Release_Track'!$I:$I},2,0),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E115" s="116" t="str">
        <f t="array" ref="E115">ifs(and(isblank($A115),isblank($B115)),"", not(iserror(vlookup($A115&amp;$B115,'5) Release_Track'!$F:$F&amp;'5) Release_Track'!$G:$G,1,0))),vlookup($A115&amp;$B115,{'5) Release_Track'!$F:$F&amp;'5) Release_Track'!$G:$G,'5) Release_Track'!$J:$J},2,0),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F115" s="88"/>
      <c r="G115" s="92"/>
      <c r="H115" s="185"/>
      <c r="I115" s="121" t="str">
        <f t="shared" si="2"/>
        <v/>
      </c>
      <c r="J115" s="92"/>
      <c r="K115" s="92"/>
    </row>
    <row r="116">
      <c r="B116" s="97"/>
      <c r="C116" s="121" t="str">
        <f t="array" ref="C116">ifs(and(isblank($A116),isblank($B116)),"", not(iserror(vlookup($A116&amp;$B116,'5) Release_Track'!$F:$F&amp;'5) Release_Track'!$G:$G,1,0))),vlookup($A116&amp;$B116,{'5) Release_Track'!$F:$F&amp;'5) Release_Track'!$G:$G,'5) Release_Track'!$H:$H},2,0),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D116" s="121" t="str">
        <f t="array" ref="D116">ifs(and(isblank($A116),isblank($B116)),"", not(iserror(vlookup($A116&amp;$B116,'5) Release_Track'!$F:$F&amp;'5) Release_Track'!$G:$G,1,0))),vlookup($A116&amp;$B116,{'5) Release_Track'!$F:$F&amp;'5) Release_Track'!$G:$G,'5) Release_Track'!$I:$I},2,0),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E116" s="116" t="str">
        <f t="array" ref="E116">ifs(and(isblank($A116),isblank($B116)),"", not(iserror(vlookup($A116&amp;$B116,'5) Release_Track'!$F:$F&amp;'5) Release_Track'!$G:$G,1,0))),vlookup($A116&amp;$B116,{'5) Release_Track'!$F:$F&amp;'5) Release_Track'!$G:$G,'5) Release_Track'!$J:$J},2,0),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F116" s="88"/>
      <c r="G116" s="92"/>
      <c r="H116" s="185"/>
      <c r="I116" s="121" t="str">
        <f t="shared" si="2"/>
        <v/>
      </c>
      <c r="J116" s="92"/>
      <c r="K116" s="92"/>
    </row>
    <row r="117">
      <c r="B117" s="97"/>
      <c r="C117" s="121" t="str">
        <f t="array" ref="C117">ifs(and(isblank($A117),isblank($B117)),"", not(iserror(vlookup($A117&amp;$B117,'5) Release_Track'!$F:$F&amp;'5) Release_Track'!$G:$G,1,0))),vlookup($A117&amp;$B117,{'5) Release_Track'!$F:$F&amp;'5) Release_Track'!$G:$G,'5) Release_Track'!$H:$H},2,0),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D117" s="121" t="str">
        <f t="array" ref="D117">ifs(and(isblank($A117),isblank($B117)),"", not(iserror(vlookup($A117&amp;$B117,'5) Release_Track'!$F:$F&amp;'5) Release_Track'!$G:$G,1,0))),vlookup($A117&amp;$B117,{'5) Release_Track'!$F:$F&amp;'5) Release_Track'!$G:$G,'5) Release_Track'!$I:$I},2,0),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E117" s="116" t="str">
        <f t="array" ref="E117">ifs(and(isblank($A117),isblank($B117)),"", not(iserror(vlookup($A117&amp;$B117,'5) Release_Track'!$F:$F&amp;'5) Release_Track'!$G:$G,1,0))),vlookup($A117&amp;$B117,{'5) Release_Track'!$F:$F&amp;'5) Release_Track'!$G:$G,'5) Release_Track'!$J:$J},2,0),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F117" s="88"/>
      <c r="G117" s="92"/>
      <c r="H117" s="185"/>
      <c r="I117" s="121" t="str">
        <f t="shared" si="2"/>
        <v/>
      </c>
      <c r="J117" s="92"/>
      <c r="K117" s="92"/>
    </row>
    <row r="118">
      <c r="B118" s="97"/>
      <c r="C118" s="121" t="str">
        <f t="array" ref="C118">ifs(and(isblank($A118),isblank($B118)),"", not(iserror(vlookup($A118&amp;$B118,'5) Release_Track'!$F:$F&amp;'5) Release_Track'!$G:$G,1,0))),vlookup($A118&amp;$B118,{'5) Release_Track'!$F:$F&amp;'5) Release_Track'!$G:$G,'5) Release_Track'!$H:$H},2,0),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D118" s="121" t="str">
        <f t="array" ref="D118">ifs(and(isblank($A118),isblank($B118)),"", not(iserror(vlookup($A118&amp;$B118,'5) Release_Track'!$F:$F&amp;'5) Release_Track'!$G:$G,1,0))),vlookup($A118&amp;$B118,{'5) Release_Track'!$F:$F&amp;'5) Release_Track'!$G:$G,'5) Release_Track'!$I:$I},2,0),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E118" s="116" t="str">
        <f t="array" ref="E118">ifs(and(isblank($A118),isblank($B118)),"", not(iserror(vlookup($A118&amp;$B118,'5) Release_Track'!$F:$F&amp;'5) Release_Track'!$G:$G,1,0))),vlookup($A118&amp;$B118,{'5) Release_Track'!$F:$F&amp;'5) Release_Track'!$G:$G,'5) Release_Track'!$J:$J},2,0),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F118" s="88"/>
      <c r="G118" s="92"/>
      <c r="H118" s="185"/>
      <c r="I118" s="121" t="str">
        <f t="shared" si="2"/>
        <v/>
      </c>
      <c r="J118" s="92"/>
      <c r="K118" s="92"/>
    </row>
    <row r="119">
      <c r="B119" s="97"/>
      <c r="C119" s="121" t="str">
        <f t="array" ref="C119">ifs(and(isblank($A119),isblank($B119)),"", not(iserror(vlookup($A119&amp;$B119,'5) Release_Track'!$F:$F&amp;'5) Release_Track'!$G:$G,1,0))),vlookup($A119&amp;$B119,{'5) Release_Track'!$F:$F&amp;'5) Release_Track'!$G:$G,'5) Release_Track'!$H:$H},2,0),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D119" s="121" t="str">
        <f t="array" ref="D119">ifs(and(isblank($A119),isblank($B119)),"", not(iserror(vlookup($A119&amp;$B119,'5) Release_Track'!$F:$F&amp;'5) Release_Track'!$G:$G,1,0))),vlookup($A119&amp;$B119,{'5) Release_Track'!$F:$F&amp;'5) Release_Track'!$G:$G,'5) Release_Track'!$I:$I},2,0),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E119" s="116" t="str">
        <f t="array" ref="E119">ifs(and(isblank($A119),isblank($B119)),"", not(iserror(vlookup($A119&amp;$B119,'5) Release_Track'!$F:$F&amp;'5) Release_Track'!$G:$G,1,0))),vlookup($A119&amp;$B119,{'5) Release_Track'!$F:$F&amp;'5) Release_Track'!$G:$G,'5) Release_Track'!$J:$J},2,0),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F119" s="88"/>
      <c r="G119" s="92"/>
      <c r="H119" s="185"/>
      <c r="I119" s="121" t="str">
        <f t="shared" si="2"/>
        <v/>
      </c>
      <c r="J119" s="92"/>
      <c r="K119" s="92"/>
    </row>
    <row r="120">
      <c r="B120" s="97"/>
      <c r="C120" s="121" t="str">
        <f t="array" ref="C120">ifs(and(isblank($A120),isblank($B120)),"", not(iserror(vlookup($A120&amp;$B120,'5) Release_Track'!$F:$F&amp;'5) Release_Track'!$G:$G,1,0))),vlookup($A120&amp;$B120,{'5) Release_Track'!$F:$F&amp;'5) Release_Track'!$G:$G,'5) Release_Track'!$H:$H},2,0),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D120" s="121" t="str">
        <f t="array" ref="D120">ifs(and(isblank($A120),isblank($B120)),"", not(iserror(vlookup($A120&amp;$B120,'5) Release_Track'!$F:$F&amp;'5) Release_Track'!$G:$G,1,0))),vlookup($A120&amp;$B120,{'5) Release_Track'!$F:$F&amp;'5) Release_Track'!$G:$G,'5) Release_Track'!$I:$I},2,0),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E120" s="116" t="str">
        <f t="array" ref="E120">ifs(and(isblank($A120),isblank($B120)),"", not(iserror(vlookup($A120&amp;$B120,'5) Release_Track'!$F:$F&amp;'5) Release_Track'!$G:$G,1,0))),vlookup($A120&amp;$B120,{'5) Release_Track'!$F:$F&amp;'5) Release_Track'!$G:$G,'5) Release_Track'!$J:$J},2,0),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F120" s="88"/>
      <c r="G120" s="92"/>
      <c r="H120" s="185"/>
      <c r="I120" s="121" t="str">
        <f t="shared" si="2"/>
        <v/>
      </c>
      <c r="J120" s="92"/>
      <c r="K120" s="92"/>
    </row>
    <row r="121">
      <c r="B121" s="97"/>
      <c r="C121" s="121" t="str">
        <f t="array" ref="C121">ifs(and(isblank($A121),isblank($B121)),"", not(iserror(vlookup($A121&amp;$B121,'5) Release_Track'!$F:$F&amp;'5) Release_Track'!$G:$G,1,0))),vlookup($A121&amp;$B121,{'5) Release_Track'!$F:$F&amp;'5) Release_Track'!$G:$G,'5) Release_Track'!$H:$H},2,0),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D121" s="121" t="str">
        <f t="array" ref="D121">ifs(and(isblank($A121),isblank($B121)),"", not(iserror(vlookup($A121&amp;$B121,'5) Release_Track'!$F:$F&amp;'5) Release_Track'!$G:$G,1,0))),vlookup($A121&amp;$B121,{'5) Release_Track'!$F:$F&amp;'5) Release_Track'!$G:$G,'5) Release_Track'!$I:$I},2,0),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E121" s="116" t="str">
        <f t="array" ref="E121">ifs(and(isblank($A121),isblank($B121)),"", not(iserror(vlookup($A121&amp;$B121,'5) Release_Track'!$F:$F&amp;'5) Release_Track'!$G:$G,1,0))),vlookup($A121&amp;$B121,{'5) Release_Track'!$F:$F&amp;'5) Release_Track'!$G:$G,'5) Release_Track'!$J:$J},2,0),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F121" s="88"/>
      <c r="G121" s="92"/>
      <c r="H121" s="185"/>
      <c r="I121" s="121" t="str">
        <f t="shared" si="2"/>
        <v/>
      </c>
      <c r="J121" s="92"/>
      <c r="K121" s="92"/>
    </row>
    <row r="122">
      <c r="B122" s="97"/>
      <c r="C122" s="121" t="str">
        <f t="array" ref="C122">ifs(and(isblank($A122),isblank($B122)),"", not(iserror(vlookup($A122&amp;$B122,'5) Release_Track'!$F:$F&amp;'5) Release_Track'!$G:$G,1,0))),vlookup($A122&amp;$B122,{'5) Release_Track'!$F:$F&amp;'5) Release_Track'!$G:$G,'5) Release_Track'!$H:$H},2,0),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D122" s="121" t="str">
        <f t="array" ref="D122">ifs(and(isblank($A122),isblank($B122)),"", not(iserror(vlookup($A122&amp;$B122,'5) Release_Track'!$F:$F&amp;'5) Release_Track'!$G:$G,1,0))),vlookup($A122&amp;$B122,{'5) Release_Track'!$F:$F&amp;'5) Release_Track'!$G:$G,'5) Release_Track'!$I:$I},2,0),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E122" s="116" t="str">
        <f t="array" ref="E122">ifs(and(isblank($A122),isblank($B122)),"", not(iserror(vlookup($A122&amp;$B122,'5) Release_Track'!$F:$F&amp;'5) Release_Track'!$G:$G,1,0))),vlookup($A122&amp;$B122,{'5) Release_Track'!$F:$F&amp;'5) Release_Track'!$G:$G,'5) Release_Track'!$J:$J},2,0),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F122" s="88"/>
      <c r="G122" s="92"/>
      <c r="H122" s="185"/>
      <c r="I122" s="121" t="str">
        <f t="shared" si="2"/>
        <v/>
      </c>
      <c r="J122" s="92"/>
      <c r="K122" s="92"/>
    </row>
    <row r="123">
      <c r="B123" s="97"/>
      <c r="C123" s="121" t="str">
        <f t="array" ref="C123">ifs(and(isblank($A123),isblank($B123)),"", not(iserror(vlookup($A123&amp;$B123,'5) Release_Track'!$F:$F&amp;'5) Release_Track'!$G:$G,1,0))),vlookup($A123&amp;$B123,{'5) Release_Track'!$F:$F&amp;'5) Release_Track'!$G:$G,'5) Release_Track'!$H:$H},2,0),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D123" s="121" t="str">
        <f t="array" ref="D123">ifs(and(isblank($A123),isblank($B123)),"", not(iserror(vlookup($A123&amp;$B123,'5) Release_Track'!$F:$F&amp;'5) Release_Track'!$G:$G,1,0))),vlookup($A123&amp;$B123,{'5) Release_Track'!$F:$F&amp;'5) Release_Track'!$G:$G,'5) Release_Track'!$I:$I},2,0),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E123" s="116" t="str">
        <f t="array" ref="E123">ifs(and(isblank($A123),isblank($B123)),"", not(iserror(vlookup($A123&amp;$B123,'5) Release_Track'!$F:$F&amp;'5) Release_Track'!$G:$G,1,0))),vlookup($A123&amp;$B123,{'5) Release_Track'!$F:$F&amp;'5) Release_Track'!$G:$G,'5) Release_Track'!$J:$J},2,0),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F123" s="88"/>
      <c r="G123" s="92"/>
      <c r="H123" s="185"/>
      <c r="I123" s="121" t="str">
        <f t="shared" si="2"/>
        <v/>
      </c>
      <c r="J123" s="92"/>
      <c r="K123" s="92"/>
    </row>
    <row r="124">
      <c r="B124" s="97"/>
      <c r="C124" s="121" t="str">
        <f t="array" ref="C124">ifs(and(isblank($A124),isblank($B124)),"", not(iserror(vlookup($A124&amp;$B124,'5) Release_Track'!$F:$F&amp;'5) Release_Track'!$G:$G,1,0))),vlookup($A124&amp;$B124,{'5) Release_Track'!$F:$F&amp;'5) Release_Track'!$G:$G,'5) Release_Track'!$H:$H},2,0),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D124" s="121" t="str">
        <f t="array" ref="D124">ifs(and(isblank($A124),isblank($B124)),"", not(iserror(vlookup($A124&amp;$B124,'5) Release_Track'!$F:$F&amp;'5) Release_Track'!$G:$G,1,0))),vlookup($A124&amp;$B124,{'5) Release_Track'!$F:$F&amp;'5) Release_Track'!$G:$G,'5) Release_Track'!$I:$I},2,0),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E124" s="116" t="str">
        <f t="array" ref="E124">ifs(and(isblank($A124),isblank($B124)),"", not(iserror(vlookup($A124&amp;$B124,'5) Release_Track'!$F:$F&amp;'5) Release_Track'!$G:$G,1,0))),vlookup($A124&amp;$B124,{'5) Release_Track'!$F:$F&amp;'5) Release_Track'!$G:$G,'5) Release_Track'!$J:$J},2,0),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F124" s="88"/>
      <c r="G124" s="92"/>
      <c r="H124" s="185"/>
      <c r="I124" s="121" t="str">
        <f t="shared" si="2"/>
        <v/>
      </c>
      <c r="J124" s="92"/>
      <c r="K124" s="92"/>
    </row>
    <row r="125">
      <c r="B125" s="97"/>
      <c r="C125" s="121" t="str">
        <f t="array" ref="C125">ifs(and(isblank($A125),isblank($B125)),"", not(iserror(vlookup($A125&amp;$B125,'5) Release_Track'!$F:$F&amp;'5) Release_Track'!$G:$G,1,0))),vlookup($A125&amp;$B125,{'5) Release_Track'!$F:$F&amp;'5) Release_Track'!$G:$G,'5) Release_Track'!$H:$H},2,0),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D125" s="121" t="str">
        <f t="array" ref="D125">ifs(and(isblank($A125),isblank($B125)),"", not(iserror(vlookup($A125&amp;$B125,'5) Release_Track'!$F:$F&amp;'5) Release_Track'!$G:$G,1,0))),vlookup($A125&amp;$B125,{'5) Release_Track'!$F:$F&amp;'5) Release_Track'!$G:$G,'5) Release_Track'!$I:$I},2,0),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E125" s="116" t="str">
        <f t="array" ref="E125">ifs(and(isblank($A125),isblank($B125)),"", not(iserror(vlookup($A125&amp;$B125,'5) Release_Track'!$F:$F&amp;'5) Release_Track'!$G:$G,1,0))),vlookup($A125&amp;$B125,{'5) Release_Track'!$F:$F&amp;'5) Release_Track'!$G:$G,'5) Release_Track'!$J:$J},2,0),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F125" s="88"/>
      <c r="G125" s="92"/>
      <c r="H125" s="185"/>
      <c r="I125" s="121" t="str">
        <f t="shared" si="2"/>
        <v/>
      </c>
      <c r="J125" s="92"/>
      <c r="K125" s="92"/>
    </row>
    <row r="126">
      <c r="B126" s="97"/>
      <c r="C126" s="121" t="str">
        <f t="array" ref="C126">ifs(and(isblank($A126),isblank($B126)),"", not(iserror(vlookup($A126&amp;$B126,'5) Release_Track'!$F:$F&amp;'5) Release_Track'!$G:$G,1,0))),vlookup($A126&amp;$B126,{'5) Release_Track'!$F:$F&amp;'5) Release_Track'!$G:$G,'5) Release_Track'!$H:$H},2,0),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D126" s="121" t="str">
        <f t="array" ref="D126">ifs(and(isblank($A126),isblank($B126)),"", not(iserror(vlookup($A126&amp;$B126,'5) Release_Track'!$F:$F&amp;'5) Release_Track'!$G:$G,1,0))),vlookup($A126&amp;$B126,{'5) Release_Track'!$F:$F&amp;'5) Release_Track'!$G:$G,'5) Release_Track'!$I:$I},2,0),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E126" s="116" t="str">
        <f t="array" ref="E126">ifs(and(isblank($A126),isblank($B126)),"", not(iserror(vlookup($A126&amp;$B126,'5) Release_Track'!$F:$F&amp;'5) Release_Track'!$G:$G,1,0))),vlookup($A126&amp;$B126,{'5) Release_Track'!$F:$F&amp;'5) Release_Track'!$G:$G,'5) Release_Track'!$J:$J},2,0),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F126" s="88"/>
      <c r="G126" s="92"/>
      <c r="H126" s="185"/>
      <c r="I126" s="121" t="str">
        <f t="shared" si="2"/>
        <v/>
      </c>
      <c r="J126" s="92"/>
      <c r="K126" s="92"/>
    </row>
    <row r="127">
      <c r="B127" s="97"/>
      <c r="C127" s="121" t="str">
        <f t="array" ref="C127">ifs(and(isblank($A127),isblank($B127)),"", not(iserror(vlookup($A127&amp;$B127,'5) Release_Track'!$F:$F&amp;'5) Release_Track'!$G:$G,1,0))),vlookup($A127&amp;$B127,{'5) Release_Track'!$F:$F&amp;'5) Release_Track'!$G:$G,'5) Release_Track'!$H:$H},2,0),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D127" s="121" t="str">
        <f t="array" ref="D127">ifs(and(isblank($A127),isblank($B127)),"", not(iserror(vlookup($A127&amp;$B127,'5) Release_Track'!$F:$F&amp;'5) Release_Track'!$G:$G,1,0))),vlookup($A127&amp;$B127,{'5) Release_Track'!$F:$F&amp;'5) Release_Track'!$G:$G,'5) Release_Track'!$I:$I},2,0),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E127" s="116" t="str">
        <f t="array" ref="E127">ifs(and(isblank($A127),isblank($B127)),"", not(iserror(vlookup($A127&amp;$B127,'5) Release_Track'!$F:$F&amp;'5) Release_Track'!$G:$G,1,0))),vlookup($A127&amp;$B127,{'5) Release_Track'!$F:$F&amp;'5) Release_Track'!$G:$G,'5) Release_Track'!$J:$J},2,0),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F127" s="88"/>
      <c r="G127" s="92"/>
      <c r="H127" s="185"/>
      <c r="I127" s="121" t="str">
        <f t="shared" si="2"/>
        <v/>
      </c>
      <c r="J127" s="92"/>
      <c r="K127" s="92"/>
    </row>
    <row r="128">
      <c r="B128" s="97"/>
      <c r="C128" s="121" t="str">
        <f t="array" ref="C128">ifs(and(isblank($A128),isblank($B128)),"", not(iserror(vlookup($A128&amp;$B128,'5) Release_Track'!$F:$F&amp;'5) Release_Track'!$G:$G,1,0))),vlookup($A128&amp;$B128,{'5) Release_Track'!$F:$F&amp;'5) Release_Track'!$G:$G,'5) Release_Track'!$H:$H},2,0),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D128" s="121" t="str">
        <f t="array" ref="D128">ifs(and(isblank($A128),isblank($B128)),"", not(iserror(vlookup($A128&amp;$B128,'5) Release_Track'!$F:$F&amp;'5) Release_Track'!$G:$G,1,0))),vlookup($A128&amp;$B128,{'5) Release_Track'!$F:$F&amp;'5) Release_Track'!$G:$G,'5) Release_Track'!$I:$I},2,0),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E128" s="116" t="str">
        <f t="array" ref="E128">ifs(and(isblank($A128),isblank($B128)),"", not(iserror(vlookup($A128&amp;$B128,'5) Release_Track'!$F:$F&amp;'5) Release_Track'!$G:$G,1,0))),vlookup($A128&amp;$B128,{'5) Release_Track'!$F:$F&amp;'5) Release_Track'!$G:$G,'5) Release_Track'!$J:$J},2,0),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F128" s="88"/>
      <c r="G128" s="92"/>
      <c r="H128" s="185"/>
      <c r="I128" s="121" t="str">
        <f t="shared" si="2"/>
        <v/>
      </c>
      <c r="J128" s="92"/>
      <c r="K128" s="92"/>
    </row>
    <row r="129">
      <c r="B129" s="97"/>
      <c r="C129" s="121" t="str">
        <f t="array" ref="C129">ifs(and(isblank($A129),isblank($B129)),"", not(iserror(vlookup($A129&amp;$B129,'5) Release_Track'!$F:$F&amp;'5) Release_Track'!$G:$G,1,0))),vlookup($A129&amp;$B129,{'5) Release_Track'!$F:$F&amp;'5) Release_Track'!$G:$G,'5) Release_Track'!$H:$H},2,0),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D129" s="121" t="str">
        <f t="array" ref="D129">ifs(and(isblank($A129),isblank($B129)),"", not(iserror(vlookup($A129&amp;$B129,'5) Release_Track'!$F:$F&amp;'5) Release_Track'!$G:$G,1,0))),vlookup($A129&amp;$B129,{'5) Release_Track'!$F:$F&amp;'5) Release_Track'!$G:$G,'5) Release_Track'!$I:$I},2,0),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E129" s="116" t="str">
        <f t="array" ref="E129">ifs(and(isblank($A129),isblank($B129)),"", not(iserror(vlookup($A129&amp;$B129,'5) Release_Track'!$F:$F&amp;'5) Release_Track'!$G:$G,1,0))),vlookup($A129&amp;$B129,{'5) Release_Track'!$F:$F&amp;'5) Release_Track'!$G:$G,'5) Release_Track'!$J:$J},2,0),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F129" s="88"/>
      <c r="G129" s="92"/>
      <c r="H129" s="185"/>
      <c r="I129" s="121" t="str">
        <f t="shared" si="2"/>
        <v/>
      </c>
      <c r="J129" s="92"/>
      <c r="K129" s="92"/>
    </row>
    <row r="130">
      <c r="B130" s="97"/>
      <c r="C130" s="121" t="str">
        <f t="array" ref="C130">ifs(and(isblank($A130),isblank($B130)),"", not(iserror(vlookup($A130&amp;$B130,'5) Release_Track'!$F:$F&amp;'5) Release_Track'!$G:$G,1,0))),vlookup($A130&amp;$B130,{'5) Release_Track'!$F:$F&amp;'5) Release_Track'!$G:$G,'5) Release_Track'!$H:$H},2,0),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D130" s="121" t="str">
        <f t="array" ref="D130">ifs(and(isblank($A130),isblank($B130)),"", not(iserror(vlookup($A130&amp;$B130,'5) Release_Track'!$F:$F&amp;'5) Release_Track'!$G:$G,1,0))),vlookup($A130&amp;$B130,{'5) Release_Track'!$F:$F&amp;'5) Release_Track'!$G:$G,'5) Release_Track'!$I:$I},2,0),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E130" s="116" t="str">
        <f t="array" ref="E130">ifs(and(isblank($A130),isblank($B130)),"", not(iserror(vlookup($A130&amp;$B130,'5) Release_Track'!$F:$F&amp;'5) Release_Track'!$G:$G,1,0))),vlookup($A130&amp;$B130,{'5) Release_Track'!$F:$F&amp;'5) Release_Track'!$G:$G,'5) Release_Track'!$J:$J},2,0),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F130" s="88"/>
      <c r="G130" s="92"/>
      <c r="H130" s="185"/>
      <c r="I130" s="121" t="str">
        <f t="shared" si="2"/>
        <v/>
      </c>
      <c r="J130" s="92"/>
      <c r="K130" s="92"/>
    </row>
    <row r="131">
      <c r="B131" s="97"/>
      <c r="C131" s="121" t="str">
        <f t="array" ref="C131">ifs(and(isblank($A131),isblank($B131)),"", not(iserror(vlookup($A131&amp;$B131,'5) Release_Track'!$F:$F&amp;'5) Release_Track'!$G:$G,1,0))),vlookup($A131&amp;$B131,{'5) Release_Track'!$F:$F&amp;'5) Release_Track'!$G:$G,'5) Release_Track'!$H:$H},2,0),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D131" s="121" t="str">
        <f t="array" ref="D131">ifs(and(isblank($A131),isblank($B131)),"", not(iserror(vlookup($A131&amp;$B131,'5) Release_Track'!$F:$F&amp;'5) Release_Track'!$G:$G,1,0))),vlookup($A131&amp;$B131,{'5) Release_Track'!$F:$F&amp;'5) Release_Track'!$G:$G,'5) Release_Track'!$I:$I},2,0),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E131" s="116" t="str">
        <f t="array" ref="E131">ifs(and(isblank($A131),isblank($B131)),"", not(iserror(vlookup($A131&amp;$B131,'5) Release_Track'!$F:$F&amp;'5) Release_Track'!$G:$G,1,0))),vlookup($A131&amp;$B131,{'5) Release_Track'!$F:$F&amp;'5) Release_Track'!$G:$G,'5) Release_Track'!$J:$J},2,0),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F131" s="88"/>
      <c r="G131" s="92"/>
      <c r="H131" s="185"/>
      <c r="I131" s="121" t="str">
        <f t="shared" si="2"/>
        <v/>
      </c>
      <c r="J131" s="92"/>
      <c r="K131" s="92"/>
    </row>
    <row r="132">
      <c r="B132" s="97"/>
      <c r="C132" s="121" t="str">
        <f t="array" ref="C132">ifs(and(isblank($A132),isblank($B132)),"", not(iserror(vlookup($A132&amp;$B132,'5) Release_Track'!$F:$F&amp;'5) Release_Track'!$G:$G,1,0))),vlookup($A132&amp;$B132,{'5) Release_Track'!$F:$F&amp;'5) Release_Track'!$G:$G,'5) Release_Track'!$H:$H},2,0),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D132" s="121" t="str">
        <f t="array" ref="D132">ifs(and(isblank($A132),isblank($B132)),"", not(iserror(vlookup($A132&amp;$B132,'5) Release_Track'!$F:$F&amp;'5) Release_Track'!$G:$G,1,0))),vlookup($A132&amp;$B132,{'5) Release_Track'!$F:$F&amp;'5) Release_Track'!$G:$G,'5) Release_Track'!$I:$I},2,0),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E132" s="116" t="str">
        <f t="array" ref="E132">ifs(and(isblank($A132),isblank($B132)),"", not(iserror(vlookup($A132&amp;$B132,'5) Release_Track'!$F:$F&amp;'5) Release_Track'!$G:$G,1,0))),vlookup($A132&amp;$B132,{'5) Release_Track'!$F:$F&amp;'5) Release_Track'!$G:$G,'5) Release_Track'!$J:$J},2,0),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F132" s="88"/>
      <c r="G132" s="92"/>
      <c r="H132" s="185"/>
      <c r="I132" s="121" t="str">
        <f t="shared" si="2"/>
        <v/>
      </c>
      <c r="J132" s="92"/>
      <c r="K132" s="92"/>
    </row>
    <row r="133">
      <c r="B133" s="97"/>
      <c r="C133" s="121" t="str">
        <f t="array" ref="C133">ifs(and(isblank($A133),isblank($B133)),"", not(iserror(vlookup($A133&amp;$B133,'5) Release_Track'!$F:$F&amp;'5) Release_Track'!$G:$G,1,0))),vlookup($A133&amp;$B133,{'5) Release_Track'!$F:$F&amp;'5) Release_Track'!$G:$G,'5) Release_Track'!$H:$H},2,0),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D133" s="121" t="str">
        <f t="array" ref="D133">ifs(and(isblank($A133),isblank($B133)),"", not(iserror(vlookup($A133&amp;$B133,'5) Release_Track'!$F:$F&amp;'5) Release_Track'!$G:$G,1,0))),vlookup($A133&amp;$B133,{'5) Release_Track'!$F:$F&amp;'5) Release_Track'!$G:$G,'5) Release_Track'!$I:$I},2,0),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E133" s="116" t="str">
        <f t="array" ref="E133">ifs(and(isblank($A133),isblank($B133)),"", not(iserror(vlookup($A133&amp;$B133,'5) Release_Track'!$F:$F&amp;'5) Release_Track'!$G:$G,1,0))),vlookup($A133&amp;$B133,{'5) Release_Track'!$F:$F&amp;'5) Release_Track'!$G:$G,'5) Release_Track'!$J:$J},2,0),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F133" s="88"/>
      <c r="G133" s="92"/>
      <c r="H133" s="185"/>
      <c r="I133" s="121" t="str">
        <f t="shared" si="2"/>
        <v/>
      </c>
      <c r="J133" s="92"/>
      <c r="K133" s="92"/>
    </row>
    <row r="134">
      <c r="B134" s="97"/>
      <c r="C134" s="121" t="str">
        <f t="array" ref="C134">ifs(and(isblank($A134),isblank($B134)),"", not(iserror(vlookup($A134&amp;$B134,'5) Release_Track'!$F:$F&amp;'5) Release_Track'!$G:$G,1,0))),vlookup($A134&amp;$B134,{'5) Release_Track'!$F:$F&amp;'5) Release_Track'!$G:$G,'5) Release_Track'!$H:$H},2,0),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D134" s="121" t="str">
        <f t="array" ref="D134">ifs(and(isblank($A134),isblank($B134)),"", not(iserror(vlookup($A134&amp;$B134,'5) Release_Track'!$F:$F&amp;'5) Release_Track'!$G:$G,1,0))),vlookup($A134&amp;$B134,{'5) Release_Track'!$F:$F&amp;'5) Release_Track'!$G:$G,'5) Release_Track'!$I:$I},2,0),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E134" s="116" t="str">
        <f t="array" ref="E134">ifs(and(isblank($A134),isblank($B134)),"", not(iserror(vlookup($A134&amp;$B134,'5) Release_Track'!$F:$F&amp;'5) Release_Track'!$G:$G,1,0))),vlookup($A134&amp;$B134,{'5) Release_Track'!$F:$F&amp;'5) Release_Track'!$G:$G,'5) Release_Track'!$J:$J},2,0),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F134" s="88"/>
      <c r="G134" s="92"/>
      <c r="H134" s="185"/>
      <c r="I134" s="121" t="str">
        <f t="shared" si="2"/>
        <v/>
      </c>
      <c r="J134" s="92"/>
      <c r="K134" s="92"/>
    </row>
    <row r="135">
      <c r="B135" s="97"/>
      <c r="C135" s="121" t="str">
        <f t="array" ref="C135">ifs(and(isblank($A135),isblank($B135)),"", not(iserror(vlookup($A135&amp;$B135,'5) Release_Track'!$F:$F&amp;'5) Release_Track'!$G:$G,1,0))),vlookup($A135&amp;$B135,{'5) Release_Track'!$F:$F&amp;'5) Release_Track'!$G:$G,'5) Release_Track'!$H:$H},2,0),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D135" s="121" t="str">
        <f t="array" ref="D135">ifs(and(isblank($A135),isblank($B135)),"", not(iserror(vlookup($A135&amp;$B135,'5) Release_Track'!$F:$F&amp;'5) Release_Track'!$G:$G,1,0))),vlookup($A135&amp;$B135,{'5) Release_Track'!$F:$F&amp;'5) Release_Track'!$G:$G,'5) Release_Track'!$I:$I},2,0),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E135" s="116" t="str">
        <f t="array" ref="E135">ifs(and(isblank($A135),isblank($B135)),"", not(iserror(vlookup($A135&amp;$B135,'5) Release_Track'!$F:$F&amp;'5) Release_Track'!$G:$G,1,0))),vlookup($A135&amp;$B135,{'5) Release_Track'!$F:$F&amp;'5) Release_Track'!$G:$G,'5) Release_Track'!$J:$J},2,0),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F135" s="88"/>
      <c r="G135" s="92"/>
      <c r="H135" s="185"/>
      <c r="I135" s="121" t="str">
        <f t="shared" si="2"/>
        <v/>
      </c>
      <c r="J135" s="92"/>
      <c r="K135" s="92"/>
    </row>
    <row r="136">
      <c r="B136" s="97"/>
      <c r="C136" s="121" t="str">
        <f t="array" ref="C136">ifs(and(isblank($A136),isblank($B136)),"", not(iserror(vlookup($A136&amp;$B136,'5) Release_Track'!$F:$F&amp;'5) Release_Track'!$G:$G,1,0))),vlookup($A136&amp;$B136,{'5) Release_Track'!$F:$F&amp;'5) Release_Track'!$G:$G,'5) Release_Track'!$H:$H},2,0),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D136" s="121" t="str">
        <f t="array" ref="D136">ifs(and(isblank($A136),isblank($B136)),"", not(iserror(vlookup($A136&amp;$B136,'5) Release_Track'!$F:$F&amp;'5) Release_Track'!$G:$G,1,0))),vlookup($A136&amp;$B136,{'5) Release_Track'!$F:$F&amp;'5) Release_Track'!$G:$G,'5) Release_Track'!$I:$I},2,0),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E136" s="116" t="str">
        <f t="array" ref="E136">ifs(and(isblank($A136),isblank($B136)),"", not(iserror(vlookup($A136&amp;$B136,'5) Release_Track'!$F:$F&amp;'5) Release_Track'!$G:$G,1,0))),vlookup($A136&amp;$B136,{'5) Release_Track'!$F:$F&amp;'5) Release_Track'!$G:$G,'5) Release_Track'!$J:$J},2,0),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F136" s="88"/>
      <c r="G136" s="92"/>
      <c r="H136" s="185"/>
      <c r="I136" s="121" t="str">
        <f t="shared" si="2"/>
        <v/>
      </c>
      <c r="J136" s="92"/>
      <c r="K136" s="92"/>
    </row>
    <row r="137">
      <c r="B137" s="97"/>
      <c r="C137" s="121" t="str">
        <f t="array" ref="C137">ifs(and(isblank($A137),isblank($B137)),"", not(iserror(vlookup($A137&amp;$B137,'5) Release_Track'!$F:$F&amp;'5) Release_Track'!$G:$G,1,0))),vlookup($A137&amp;$B137,{'5) Release_Track'!$F:$F&amp;'5) Release_Track'!$G:$G,'5) Release_Track'!$H:$H},2,0),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D137" s="121" t="str">
        <f t="array" ref="D137">ifs(and(isblank($A137),isblank($B137)),"", not(iserror(vlookup($A137&amp;$B137,'5) Release_Track'!$F:$F&amp;'5) Release_Track'!$G:$G,1,0))),vlookup($A137&amp;$B137,{'5) Release_Track'!$F:$F&amp;'5) Release_Track'!$G:$G,'5) Release_Track'!$I:$I},2,0),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E137" s="116" t="str">
        <f t="array" ref="E137">ifs(and(isblank($A137),isblank($B137)),"", not(iserror(vlookup($A137&amp;$B137,'5) Release_Track'!$F:$F&amp;'5) Release_Track'!$G:$G,1,0))),vlookup($A137&amp;$B137,{'5) Release_Track'!$F:$F&amp;'5) Release_Track'!$G:$G,'5) Release_Track'!$J:$J},2,0),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F137" s="88"/>
      <c r="G137" s="92"/>
      <c r="H137" s="185"/>
      <c r="I137" s="121" t="str">
        <f t="shared" si="2"/>
        <v/>
      </c>
      <c r="J137" s="92"/>
      <c r="K137" s="92"/>
    </row>
    <row r="138">
      <c r="B138" s="97"/>
      <c r="C138" s="121" t="str">
        <f t="array" ref="C138">ifs(and(isblank($A138),isblank($B138)),"", not(iserror(vlookup($A138&amp;$B138,'5) Release_Track'!$F:$F&amp;'5) Release_Track'!$G:$G,1,0))),vlookup($A138&amp;$B138,{'5) Release_Track'!$F:$F&amp;'5) Release_Track'!$G:$G,'5) Release_Track'!$H:$H},2,0),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D138" s="121" t="str">
        <f t="array" ref="D138">ifs(and(isblank($A138),isblank($B138)),"", not(iserror(vlookup($A138&amp;$B138,'5) Release_Track'!$F:$F&amp;'5) Release_Track'!$G:$G,1,0))),vlookup($A138&amp;$B138,{'5) Release_Track'!$F:$F&amp;'5) Release_Track'!$G:$G,'5) Release_Track'!$I:$I},2,0),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E138" s="116" t="str">
        <f t="array" ref="E138">ifs(and(isblank($A138),isblank($B138)),"", not(iserror(vlookup($A138&amp;$B138,'5) Release_Track'!$F:$F&amp;'5) Release_Track'!$G:$G,1,0))),vlookup($A138&amp;$B138,{'5) Release_Track'!$F:$F&amp;'5) Release_Track'!$G:$G,'5) Release_Track'!$J:$J},2,0),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F138" s="88"/>
      <c r="G138" s="92"/>
      <c r="H138" s="185"/>
      <c r="I138" s="121" t="str">
        <f t="shared" si="2"/>
        <v/>
      </c>
      <c r="J138" s="92"/>
      <c r="K138" s="92"/>
    </row>
    <row r="139">
      <c r="B139" s="97"/>
      <c r="C139" s="121" t="str">
        <f t="array" ref="C139">ifs(and(isblank($A139),isblank($B139)),"", not(iserror(vlookup($A139&amp;$B139,'5) Release_Track'!$F:$F&amp;'5) Release_Track'!$G:$G,1,0))),vlookup($A139&amp;$B139,{'5) Release_Track'!$F:$F&amp;'5) Release_Track'!$G:$G,'5) Release_Track'!$H:$H},2,0),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D139" s="121" t="str">
        <f t="array" ref="D139">ifs(and(isblank($A139),isblank($B139)),"", not(iserror(vlookup($A139&amp;$B139,'5) Release_Track'!$F:$F&amp;'5) Release_Track'!$G:$G,1,0))),vlookup($A139&amp;$B139,{'5) Release_Track'!$F:$F&amp;'5) Release_Track'!$G:$G,'5) Release_Track'!$I:$I},2,0),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E139" s="116" t="str">
        <f t="array" ref="E139">ifs(and(isblank($A139),isblank($B139)),"", not(iserror(vlookup($A139&amp;$B139,'5) Release_Track'!$F:$F&amp;'5) Release_Track'!$G:$G,1,0))),vlookup($A139&amp;$B139,{'5) Release_Track'!$F:$F&amp;'5) Release_Track'!$G:$G,'5) Release_Track'!$J:$J},2,0),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F139" s="88"/>
      <c r="G139" s="92"/>
      <c r="H139" s="185"/>
      <c r="I139" s="121" t="str">
        <f t="shared" si="2"/>
        <v/>
      </c>
      <c r="J139" s="92"/>
      <c r="K139" s="92"/>
    </row>
    <row r="140">
      <c r="B140" s="97"/>
      <c r="C140" s="121" t="str">
        <f t="array" ref="C140">ifs(and(isblank($A140),isblank($B140)),"", not(iserror(vlookup($A140&amp;$B140,'5) Release_Track'!$F:$F&amp;'5) Release_Track'!$G:$G,1,0))),vlookup($A140&amp;$B140,{'5) Release_Track'!$F:$F&amp;'5) Release_Track'!$G:$G,'5) Release_Track'!$H:$H},2,0),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D140" s="121" t="str">
        <f t="array" ref="D140">ifs(and(isblank($A140),isblank($B140)),"", not(iserror(vlookup($A140&amp;$B140,'5) Release_Track'!$F:$F&amp;'5) Release_Track'!$G:$G,1,0))),vlookup($A140&amp;$B140,{'5) Release_Track'!$F:$F&amp;'5) Release_Track'!$G:$G,'5) Release_Track'!$I:$I},2,0),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E140" s="116" t="str">
        <f t="array" ref="E140">ifs(and(isblank($A140),isblank($B140)),"", not(iserror(vlookup($A140&amp;$B140,'5) Release_Track'!$F:$F&amp;'5) Release_Track'!$G:$G,1,0))),vlookup($A140&amp;$B140,{'5) Release_Track'!$F:$F&amp;'5) Release_Track'!$G:$G,'5) Release_Track'!$J:$J},2,0),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F140" s="88"/>
      <c r="G140" s="92"/>
      <c r="H140" s="185"/>
      <c r="I140" s="121" t="str">
        <f t="shared" si="2"/>
        <v/>
      </c>
      <c r="J140" s="92"/>
      <c r="K140" s="92"/>
    </row>
    <row r="141">
      <c r="B141" s="97"/>
      <c r="C141" s="121" t="str">
        <f t="array" ref="C141">ifs(and(isblank($A141),isblank($B141)),"", not(iserror(vlookup($A141&amp;$B141,'5) Release_Track'!$F:$F&amp;'5) Release_Track'!$G:$G,1,0))),vlookup($A141&amp;$B141,{'5) Release_Track'!$F:$F&amp;'5) Release_Track'!$G:$G,'5) Release_Track'!$H:$H},2,0),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D141" s="121" t="str">
        <f t="array" ref="D141">ifs(and(isblank($A141),isblank($B141)),"", not(iserror(vlookup($A141&amp;$B141,'5) Release_Track'!$F:$F&amp;'5) Release_Track'!$G:$G,1,0))),vlookup($A141&amp;$B141,{'5) Release_Track'!$F:$F&amp;'5) Release_Track'!$G:$G,'5) Release_Track'!$I:$I},2,0),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E141" s="116" t="str">
        <f t="array" ref="E141">ifs(and(isblank($A141),isblank($B141)),"", not(iserror(vlookup($A141&amp;$B141,'5) Release_Track'!$F:$F&amp;'5) Release_Track'!$G:$G,1,0))),vlookup($A141&amp;$B141,{'5) Release_Track'!$F:$F&amp;'5) Release_Track'!$G:$G,'5) Release_Track'!$J:$J},2,0),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F141" s="88"/>
      <c r="G141" s="92"/>
      <c r="H141" s="185"/>
      <c r="I141" s="121" t="str">
        <f t="shared" si="2"/>
        <v/>
      </c>
      <c r="J141" s="92"/>
      <c r="K141" s="92"/>
    </row>
    <row r="142">
      <c r="B142" s="97"/>
      <c r="C142" s="121" t="str">
        <f t="array" ref="C142">ifs(and(isblank($A142),isblank($B142)),"", not(iserror(vlookup($A142&amp;$B142,'5) Release_Track'!$F:$F&amp;'5) Release_Track'!$G:$G,1,0))),vlookup($A142&amp;$B142,{'5) Release_Track'!$F:$F&amp;'5) Release_Track'!$G:$G,'5) Release_Track'!$H:$H},2,0),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D142" s="121" t="str">
        <f t="array" ref="D142">ifs(and(isblank($A142),isblank($B142)),"", not(iserror(vlookup($A142&amp;$B142,'5) Release_Track'!$F:$F&amp;'5) Release_Track'!$G:$G,1,0))),vlookup($A142&amp;$B142,{'5) Release_Track'!$F:$F&amp;'5) Release_Track'!$G:$G,'5) Release_Track'!$I:$I},2,0),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E142" s="116" t="str">
        <f t="array" ref="E142">ifs(and(isblank($A142),isblank($B142)),"", not(iserror(vlookup($A142&amp;$B142,'5) Release_Track'!$F:$F&amp;'5) Release_Track'!$G:$G,1,0))),vlookup($A142&amp;$B142,{'5) Release_Track'!$F:$F&amp;'5) Release_Track'!$G:$G,'5) Release_Track'!$J:$J},2,0),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F142" s="88"/>
      <c r="G142" s="92"/>
      <c r="H142" s="185"/>
      <c r="I142" s="121" t="str">
        <f t="shared" si="2"/>
        <v/>
      </c>
      <c r="J142" s="92"/>
      <c r="K142" s="92"/>
    </row>
    <row r="143">
      <c r="B143" s="97"/>
      <c r="C143" s="121" t="str">
        <f t="array" ref="C143">ifs(and(isblank($A143),isblank($B143)),"", not(iserror(vlookup($A143&amp;$B143,'5) Release_Track'!$F:$F&amp;'5) Release_Track'!$G:$G,1,0))),vlookup($A143&amp;$B143,{'5) Release_Track'!$F:$F&amp;'5) Release_Track'!$G:$G,'5) Release_Track'!$H:$H},2,0),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D143" s="121" t="str">
        <f t="array" ref="D143">ifs(and(isblank($A143),isblank($B143)),"", not(iserror(vlookup($A143&amp;$B143,'5) Release_Track'!$F:$F&amp;'5) Release_Track'!$G:$G,1,0))),vlookup($A143&amp;$B143,{'5) Release_Track'!$F:$F&amp;'5) Release_Track'!$G:$G,'5) Release_Track'!$I:$I},2,0),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E143" s="116" t="str">
        <f t="array" ref="E143">ifs(and(isblank($A143),isblank($B143)),"", not(iserror(vlookup($A143&amp;$B143,'5) Release_Track'!$F:$F&amp;'5) Release_Track'!$G:$G,1,0))),vlookup($A143&amp;$B143,{'5) Release_Track'!$F:$F&amp;'5) Release_Track'!$G:$G,'5) Release_Track'!$J:$J},2,0),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F143" s="88"/>
      <c r="G143" s="92"/>
      <c r="H143" s="185"/>
      <c r="I143" s="121" t="str">
        <f t="shared" si="2"/>
        <v/>
      </c>
      <c r="J143" s="92"/>
      <c r="K143" s="92"/>
    </row>
    <row r="144">
      <c r="B144" s="97"/>
      <c r="C144" s="121" t="str">
        <f t="array" ref="C144">ifs(and(isblank($A144),isblank($B144)),"", not(iserror(vlookup($A144&amp;$B144,'5) Release_Track'!$F:$F&amp;'5) Release_Track'!$G:$G,1,0))),vlookup($A144&amp;$B144,{'5) Release_Track'!$F:$F&amp;'5) Release_Track'!$G:$G,'5) Release_Track'!$H:$H},2,0),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D144" s="121" t="str">
        <f t="array" ref="D144">ifs(and(isblank($A144),isblank($B144)),"", not(iserror(vlookup($A144&amp;$B144,'5) Release_Track'!$F:$F&amp;'5) Release_Track'!$G:$G,1,0))),vlookup($A144&amp;$B144,{'5) Release_Track'!$F:$F&amp;'5) Release_Track'!$G:$G,'5) Release_Track'!$I:$I},2,0),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E144" s="116" t="str">
        <f t="array" ref="E144">ifs(and(isblank($A144),isblank($B144)),"", not(iserror(vlookup($A144&amp;$B144,'5) Release_Track'!$F:$F&amp;'5) Release_Track'!$G:$G,1,0))),vlookup($A144&amp;$B144,{'5) Release_Track'!$F:$F&amp;'5) Release_Track'!$G:$G,'5) Release_Track'!$J:$J},2,0),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F144" s="88"/>
      <c r="G144" s="92"/>
      <c r="H144" s="185"/>
      <c r="I144" s="121" t="str">
        <f t="shared" si="2"/>
        <v/>
      </c>
      <c r="J144" s="92"/>
      <c r="K144" s="92"/>
    </row>
    <row r="145">
      <c r="B145" s="97"/>
      <c r="C145" s="121" t="str">
        <f t="array" ref="C145">ifs(and(isblank($A145),isblank($B145)),"", not(iserror(vlookup($A145&amp;$B145,'5) Release_Track'!$F:$F&amp;'5) Release_Track'!$G:$G,1,0))),vlookup($A145&amp;$B145,{'5) Release_Track'!$F:$F&amp;'5) Release_Track'!$G:$G,'5) Release_Track'!$H:$H},2,0),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D145" s="121" t="str">
        <f t="array" ref="D145">ifs(and(isblank($A145),isblank($B145)),"", not(iserror(vlookup($A145&amp;$B145,'5) Release_Track'!$F:$F&amp;'5) Release_Track'!$G:$G,1,0))),vlookup($A145&amp;$B145,{'5) Release_Track'!$F:$F&amp;'5) Release_Track'!$G:$G,'5) Release_Track'!$I:$I},2,0),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E145" s="116" t="str">
        <f t="array" ref="E145">ifs(and(isblank($A145),isblank($B145)),"", not(iserror(vlookup($A145&amp;$B145,'5) Release_Track'!$F:$F&amp;'5) Release_Track'!$G:$G,1,0))),vlookup($A145&amp;$B145,{'5) Release_Track'!$F:$F&amp;'5) Release_Track'!$G:$G,'5) Release_Track'!$J:$J},2,0),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F145" s="88"/>
      <c r="G145" s="92"/>
      <c r="H145" s="185"/>
      <c r="I145" s="121" t="str">
        <f t="shared" si="2"/>
        <v/>
      </c>
      <c r="J145" s="92"/>
      <c r="K145" s="92"/>
    </row>
    <row r="146">
      <c r="B146" s="97"/>
      <c r="C146" s="121" t="str">
        <f t="array" ref="C146">ifs(and(isblank($A146),isblank($B146)),"", not(iserror(vlookup($A146&amp;$B146,'5) Release_Track'!$F:$F&amp;'5) Release_Track'!$G:$G,1,0))),vlookup($A146&amp;$B146,{'5) Release_Track'!$F:$F&amp;'5) Release_Track'!$G:$G,'5) Release_Track'!$H:$H},2,0),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D146" s="121" t="str">
        <f t="array" ref="D146">ifs(and(isblank($A146),isblank($B146)),"", not(iserror(vlookup($A146&amp;$B146,'5) Release_Track'!$F:$F&amp;'5) Release_Track'!$G:$G,1,0))),vlookup($A146&amp;$B146,{'5) Release_Track'!$F:$F&amp;'5) Release_Track'!$G:$G,'5) Release_Track'!$I:$I},2,0),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E146" s="116" t="str">
        <f t="array" ref="E146">ifs(and(isblank($A146),isblank($B146)),"", not(iserror(vlookup($A146&amp;$B146,'5) Release_Track'!$F:$F&amp;'5) Release_Track'!$G:$G,1,0))),vlookup($A146&amp;$B146,{'5) Release_Track'!$F:$F&amp;'5) Release_Track'!$G:$G,'5) Release_Track'!$J:$J},2,0),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F146" s="88"/>
      <c r="G146" s="92"/>
      <c r="H146" s="185"/>
      <c r="I146" s="121" t="str">
        <f t="shared" si="2"/>
        <v/>
      </c>
      <c r="J146" s="92"/>
      <c r="K146" s="92"/>
    </row>
    <row r="147">
      <c r="B147" s="97"/>
      <c r="C147" s="121" t="str">
        <f t="array" ref="C147">ifs(and(isblank($A147),isblank($B147)),"", not(iserror(vlookup($A147&amp;$B147,'5) Release_Track'!$F:$F&amp;'5) Release_Track'!$G:$G,1,0))),vlookup($A147&amp;$B147,{'5) Release_Track'!$F:$F&amp;'5) Release_Track'!$G:$G,'5) Release_Track'!$H:$H},2,0),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D147" s="121" t="str">
        <f t="array" ref="D147">ifs(and(isblank($A147),isblank($B147)),"", not(iserror(vlookup($A147&amp;$B147,'5) Release_Track'!$F:$F&amp;'5) Release_Track'!$G:$G,1,0))),vlookup($A147&amp;$B147,{'5) Release_Track'!$F:$F&amp;'5) Release_Track'!$G:$G,'5) Release_Track'!$I:$I},2,0),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E147" s="116" t="str">
        <f t="array" ref="E147">ifs(and(isblank($A147),isblank($B147)),"", not(iserror(vlookup($A147&amp;$B147,'5) Release_Track'!$F:$F&amp;'5) Release_Track'!$G:$G,1,0))),vlookup($A147&amp;$B147,{'5) Release_Track'!$F:$F&amp;'5) Release_Track'!$G:$G,'5) Release_Track'!$J:$J},2,0),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F147" s="88"/>
      <c r="G147" s="92"/>
      <c r="H147" s="185"/>
      <c r="I147" s="121" t="str">
        <f t="shared" si="2"/>
        <v/>
      </c>
      <c r="J147" s="92"/>
      <c r="K147" s="92"/>
    </row>
    <row r="148">
      <c r="B148" s="97"/>
      <c r="C148" s="121" t="str">
        <f t="array" ref="C148">ifs(and(isblank($A148),isblank($B148)),"", not(iserror(vlookup($A148&amp;$B148,'5) Release_Track'!$F:$F&amp;'5) Release_Track'!$G:$G,1,0))),vlookup($A148&amp;$B148,{'5) Release_Track'!$F:$F&amp;'5) Release_Track'!$G:$G,'5) Release_Track'!$H:$H},2,0),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D148" s="121" t="str">
        <f t="array" ref="D148">ifs(and(isblank($A148),isblank($B148)),"", not(iserror(vlookup($A148&amp;$B148,'5) Release_Track'!$F:$F&amp;'5) Release_Track'!$G:$G,1,0))),vlookup($A148&amp;$B148,{'5) Release_Track'!$F:$F&amp;'5) Release_Track'!$G:$G,'5) Release_Track'!$I:$I},2,0),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E148" s="116" t="str">
        <f t="array" ref="E148">ifs(and(isblank($A148),isblank($B148)),"", not(iserror(vlookup($A148&amp;$B148,'5) Release_Track'!$F:$F&amp;'5) Release_Track'!$G:$G,1,0))),vlookup($A148&amp;$B148,{'5) Release_Track'!$F:$F&amp;'5) Release_Track'!$G:$G,'5) Release_Track'!$J:$J},2,0),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F148" s="88"/>
      <c r="G148" s="92"/>
      <c r="H148" s="185"/>
      <c r="I148" s="121" t="str">
        <f t="shared" si="2"/>
        <v/>
      </c>
      <c r="J148" s="92"/>
      <c r="K148" s="92"/>
    </row>
    <row r="149">
      <c r="B149" s="97"/>
      <c r="C149" s="121" t="str">
        <f t="array" ref="C149">ifs(and(isblank($A149),isblank($B149)),"", not(iserror(vlookup($A149&amp;$B149,'5) Release_Track'!$F:$F&amp;'5) Release_Track'!$G:$G,1,0))),vlookup($A149&amp;$B149,{'5) Release_Track'!$F:$F&amp;'5) Release_Track'!$G:$G,'5) Release_Track'!$H:$H},2,0),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D149" s="121" t="str">
        <f t="array" ref="D149">ifs(and(isblank($A149),isblank($B149)),"", not(iserror(vlookup($A149&amp;$B149,'5) Release_Track'!$F:$F&amp;'5) Release_Track'!$G:$G,1,0))),vlookup($A149&amp;$B149,{'5) Release_Track'!$F:$F&amp;'5) Release_Track'!$G:$G,'5) Release_Track'!$I:$I},2,0),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E149" s="116" t="str">
        <f t="array" ref="E149">ifs(and(isblank($A149),isblank($B149)),"", not(iserror(vlookup($A149&amp;$B149,'5) Release_Track'!$F:$F&amp;'5) Release_Track'!$G:$G,1,0))),vlookup($A149&amp;$B149,{'5) Release_Track'!$F:$F&amp;'5) Release_Track'!$G:$G,'5) Release_Track'!$J:$J},2,0),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F149" s="88"/>
      <c r="G149" s="92"/>
      <c r="H149" s="185"/>
      <c r="I149" s="121" t="str">
        <f t="shared" si="2"/>
        <v/>
      </c>
      <c r="J149" s="92"/>
      <c r="K149" s="92"/>
    </row>
    <row r="150">
      <c r="B150" s="97"/>
      <c r="C150" s="121" t="str">
        <f t="array" ref="C150">ifs(and(isblank($A150),isblank($B150)),"", not(iserror(vlookup($A150&amp;$B150,'5) Release_Track'!$F:$F&amp;'5) Release_Track'!$G:$G,1,0))),vlookup($A150&amp;$B150,{'5) Release_Track'!$F:$F&amp;'5) Release_Track'!$G:$G,'5) Release_Track'!$H:$H},2,0),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D150" s="121" t="str">
        <f t="array" ref="D150">ifs(and(isblank($A150),isblank($B150)),"", not(iserror(vlookup($A150&amp;$B150,'5) Release_Track'!$F:$F&amp;'5) Release_Track'!$G:$G,1,0))),vlookup($A150&amp;$B150,{'5) Release_Track'!$F:$F&amp;'5) Release_Track'!$G:$G,'5) Release_Track'!$I:$I},2,0),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E150" s="116" t="str">
        <f t="array" ref="E150">ifs(and(isblank($A150),isblank($B150)),"", not(iserror(vlookup($A150&amp;$B150,'5) Release_Track'!$F:$F&amp;'5) Release_Track'!$G:$G,1,0))),vlookup($A150&amp;$B150,{'5) Release_Track'!$F:$F&amp;'5) Release_Track'!$G:$G,'5) Release_Track'!$J:$J},2,0),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F150" s="88"/>
      <c r="G150" s="92"/>
      <c r="H150" s="185"/>
      <c r="I150" s="121" t="str">
        <f t="shared" si="2"/>
        <v/>
      </c>
      <c r="J150" s="92"/>
      <c r="K150" s="92"/>
    </row>
    <row r="151">
      <c r="B151" s="97"/>
      <c r="C151" s="121" t="str">
        <f t="array" ref="C151">ifs(and(isblank($A151),isblank($B151)),"", not(iserror(vlookup($A151&amp;$B151,'5) Release_Track'!$F:$F&amp;'5) Release_Track'!$G:$G,1,0))),vlookup($A151&amp;$B151,{'5) Release_Track'!$F:$F&amp;'5) Release_Track'!$G:$G,'5) Release_Track'!$H:$H},2,0),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D151" s="121" t="str">
        <f t="array" ref="D151">ifs(and(isblank($A151),isblank($B151)),"", not(iserror(vlookup($A151&amp;$B151,'5) Release_Track'!$F:$F&amp;'5) Release_Track'!$G:$G,1,0))),vlookup($A151&amp;$B151,{'5) Release_Track'!$F:$F&amp;'5) Release_Track'!$G:$G,'5) Release_Track'!$I:$I},2,0),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E151" s="116" t="str">
        <f t="array" ref="E151">ifs(and(isblank($A151),isblank($B151)),"", not(iserror(vlookup($A151&amp;$B151,'5) Release_Track'!$F:$F&amp;'5) Release_Track'!$G:$G,1,0))),vlookup($A151&amp;$B151,{'5) Release_Track'!$F:$F&amp;'5) Release_Track'!$G:$G,'5) Release_Track'!$J:$J},2,0),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F151" s="88"/>
      <c r="G151" s="92"/>
      <c r="H151" s="185"/>
      <c r="I151" s="121" t="str">
        <f t="shared" si="2"/>
        <v/>
      </c>
      <c r="J151" s="92"/>
      <c r="K151" s="92"/>
    </row>
    <row r="152">
      <c r="B152" s="97"/>
      <c r="C152" s="121" t="str">
        <f t="array" ref="C152">ifs(and(isblank($A152),isblank($B152)),"", not(iserror(vlookup($A152&amp;$B152,'5) Release_Track'!$F:$F&amp;'5) Release_Track'!$G:$G,1,0))),vlookup($A152&amp;$B152,{'5) Release_Track'!$F:$F&amp;'5) Release_Track'!$G:$G,'5) Release_Track'!$H:$H},2,0),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D152" s="121" t="str">
        <f t="array" ref="D152">ifs(and(isblank($A152),isblank($B152)),"", not(iserror(vlookup($A152&amp;$B152,'5) Release_Track'!$F:$F&amp;'5) Release_Track'!$G:$G,1,0))),vlookup($A152&amp;$B152,{'5) Release_Track'!$F:$F&amp;'5) Release_Track'!$G:$G,'5) Release_Track'!$I:$I},2,0),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E152" s="116" t="str">
        <f t="array" ref="E152">ifs(and(isblank($A152),isblank($B152)),"", not(iserror(vlookup($A152&amp;$B152,'5) Release_Track'!$F:$F&amp;'5) Release_Track'!$G:$G,1,0))),vlookup($A152&amp;$B152,{'5) Release_Track'!$F:$F&amp;'5) Release_Track'!$G:$G,'5) Release_Track'!$J:$J},2,0),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F152" s="88"/>
      <c r="G152" s="92"/>
      <c r="H152" s="185"/>
      <c r="I152" s="121" t="str">
        <f t="shared" si="2"/>
        <v/>
      </c>
      <c r="J152" s="92"/>
      <c r="K152" s="92"/>
    </row>
    <row r="153">
      <c r="B153" s="97"/>
      <c r="C153" s="121" t="str">
        <f t="array" ref="C153">ifs(and(isblank($A153),isblank($B153)),"", not(iserror(vlookup($A153&amp;$B153,'5) Release_Track'!$F:$F&amp;'5) Release_Track'!$G:$G,1,0))),vlookup($A153&amp;$B153,{'5) Release_Track'!$F:$F&amp;'5) Release_Track'!$G:$G,'5) Release_Track'!$H:$H},2,0),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D153" s="121" t="str">
        <f t="array" ref="D153">ifs(and(isblank($A153),isblank($B153)),"", not(iserror(vlookup($A153&amp;$B153,'5) Release_Track'!$F:$F&amp;'5) Release_Track'!$G:$G,1,0))),vlookup($A153&amp;$B153,{'5) Release_Track'!$F:$F&amp;'5) Release_Track'!$G:$G,'5) Release_Track'!$I:$I},2,0),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E153" s="116" t="str">
        <f t="array" ref="E153">ifs(and(isblank($A153),isblank($B153)),"", not(iserror(vlookup($A153&amp;$B153,'5) Release_Track'!$F:$F&amp;'5) Release_Track'!$G:$G,1,0))),vlookup($A153&amp;$B153,{'5) Release_Track'!$F:$F&amp;'5) Release_Track'!$G:$G,'5) Release_Track'!$J:$J},2,0),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F153" s="88"/>
      <c r="G153" s="92"/>
      <c r="H153" s="185"/>
      <c r="I153" s="121" t="str">
        <f t="shared" si="2"/>
        <v/>
      </c>
      <c r="J153" s="92"/>
      <c r="K153" s="92"/>
    </row>
    <row r="154">
      <c r="B154" s="97"/>
      <c r="C154" s="121" t="str">
        <f t="array" ref="C154">ifs(and(isblank($A154),isblank($B154)),"", not(iserror(vlookup($A154&amp;$B154,'5) Release_Track'!$F:$F&amp;'5) Release_Track'!$G:$G,1,0))),vlookup($A154&amp;$B154,{'5) Release_Track'!$F:$F&amp;'5) Release_Track'!$G:$G,'5) Release_Track'!$H:$H},2,0),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D154" s="121" t="str">
        <f t="array" ref="D154">ifs(and(isblank($A154),isblank($B154)),"", not(iserror(vlookup($A154&amp;$B154,'5) Release_Track'!$F:$F&amp;'5) Release_Track'!$G:$G,1,0))),vlookup($A154&amp;$B154,{'5) Release_Track'!$F:$F&amp;'5) Release_Track'!$G:$G,'5) Release_Track'!$I:$I},2,0),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E154" s="116" t="str">
        <f t="array" ref="E154">ifs(and(isblank($A154),isblank($B154)),"", not(iserror(vlookup($A154&amp;$B154,'5) Release_Track'!$F:$F&amp;'5) Release_Track'!$G:$G,1,0))),vlookup($A154&amp;$B154,{'5) Release_Track'!$F:$F&amp;'5) Release_Track'!$G:$G,'5) Release_Track'!$J:$J},2,0),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F154" s="88"/>
      <c r="G154" s="92"/>
      <c r="H154" s="185"/>
      <c r="I154" s="121" t="str">
        <f t="shared" si="2"/>
        <v/>
      </c>
      <c r="J154" s="92"/>
      <c r="K154" s="92"/>
    </row>
    <row r="155">
      <c r="B155" s="97"/>
      <c r="C155" s="121" t="str">
        <f t="array" ref="C155">ifs(and(isblank($A155),isblank($B155)),"", not(iserror(vlookup($A155&amp;$B155,'5) Release_Track'!$F:$F&amp;'5) Release_Track'!$G:$G,1,0))),vlookup($A155&amp;$B155,{'5) Release_Track'!$F:$F&amp;'5) Release_Track'!$G:$G,'5) Release_Track'!$H:$H},2,0),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D155" s="121" t="str">
        <f t="array" ref="D155">ifs(and(isblank($A155),isblank($B155)),"", not(iserror(vlookup($A155&amp;$B155,'5) Release_Track'!$F:$F&amp;'5) Release_Track'!$G:$G,1,0))),vlookup($A155&amp;$B155,{'5) Release_Track'!$F:$F&amp;'5) Release_Track'!$G:$G,'5) Release_Track'!$I:$I},2,0),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E155" s="116" t="str">
        <f t="array" ref="E155">ifs(and(isblank($A155),isblank($B155)),"", not(iserror(vlookup($A155&amp;$B155,'5) Release_Track'!$F:$F&amp;'5) Release_Track'!$G:$G,1,0))),vlookup($A155&amp;$B155,{'5) Release_Track'!$F:$F&amp;'5) Release_Track'!$G:$G,'5) Release_Track'!$J:$J},2,0),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F155" s="88"/>
      <c r="G155" s="92"/>
      <c r="H155" s="185"/>
      <c r="I155" s="121" t="str">
        <f t="shared" si="2"/>
        <v/>
      </c>
      <c r="J155" s="92"/>
      <c r="K155" s="92"/>
    </row>
    <row r="156">
      <c r="B156" s="97"/>
      <c r="C156" s="121" t="str">
        <f t="array" ref="C156">ifs(and(isblank($A156),isblank($B156)),"", not(iserror(vlookup($A156&amp;$B156,'5) Release_Track'!$F:$F&amp;'5) Release_Track'!$G:$G,1,0))),vlookup($A156&amp;$B156,{'5) Release_Track'!$F:$F&amp;'5) Release_Track'!$G:$G,'5) Release_Track'!$H:$H},2,0),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D156" s="121" t="str">
        <f t="array" ref="D156">ifs(and(isblank($A156),isblank($B156)),"", not(iserror(vlookup($A156&amp;$B156,'5) Release_Track'!$F:$F&amp;'5) Release_Track'!$G:$G,1,0))),vlookup($A156&amp;$B156,{'5) Release_Track'!$F:$F&amp;'5) Release_Track'!$G:$G,'5) Release_Track'!$I:$I},2,0),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E156" s="116" t="str">
        <f t="array" ref="E156">ifs(and(isblank($A156),isblank($B156)),"", not(iserror(vlookup($A156&amp;$B156,'5) Release_Track'!$F:$F&amp;'5) Release_Track'!$G:$G,1,0))),vlookup($A156&amp;$B156,{'5) Release_Track'!$F:$F&amp;'5) Release_Track'!$G:$G,'5) Release_Track'!$J:$J},2,0),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F156" s="88"/>
      <c r="G156" s="92"/>
      <c r="H156" s="185"/>
      <c r="I156" s="121" t="str">
        <f t="shared" si="2"/>
        <v/>
      </c>
      <c r="J156" s="92"/>
      <c r="K156" s="92"/>
    </row>
    <row r="157">
      <c r="B157" s="97"/>
      <c r="C157" s="121" t="str">
        <f t="array" ref="C157">ifs(and(isblank($A157),isblank($B157)),"", not(iserror(vlookup($A157&amp;$B157,'5) Release_Track'!$F:$F&amp;'5) Release_Track'!$G:$G,1,0))),vlookup($A157&amp;$B157,{'5) Release_Track'!$F:$F&amp;'5) Release_Track'!$G:$G,'5) Release_Track'!$H:$H},2,0),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D157" s="121" t="str">
        <f t="array" ref="D157">ifs(and(isblank($A157),isblank($B157)),"", not(iserror(vlookup($A157&amp;$B157,'5) Release_Track'!$F:$F&amp;'5) Release_Track'!$G:$G,1,0))),vlookup($A157&amp;$B157,{'5) Release_Track'!$F:$F&amp;'5) Release_Track'!$G:$G,'5) Release_Track'!$I:$I},2,0),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E157" s="116" t="str">
        <f t="array" ref="E157">ifs(and(isblank($A157),isblank($B157)),"", not(iserror(vlookup($A157&amp;$B157,'5) Release_Track'!$F:$F&amp;'5) Release_Track'!$G:$G,1,0))),vlookup($A157&amp;$B157,{'5) Release_Track'!$F:$F&amp;'5) Release_Track'!$G:$G,'5) Release_Track'!$J:$J},2,0),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F157" s="88"/>
      <c r="G157" s="92"/>
      <c r="H157" s="185"/>
      <c r="I157" s="121" t="str">
        <f t="shared" si="2"/>
        <v/>
      </c>
      <c r="J157" s="92"/>
      <c r="K157" s="92"/>
    </row>
    <row r="158">
      <c r="B158" s="97"/>
      <c r="C158" s="121" t="str">
        <f t="array" ref="C158">ifs(and(isblank($A158),isblank($B158)),"", not(iserror(vlookup($A158&amp;$B158,'5) Release_Track'!$F:$F&amp;'5) Release_Track'!$G:$G,1,0))),vlookup($A158&amp;$B158,{'5) Release_Track'!$F:$F&amp;'5) Release_Track'!$G:$G,'5) Release_Track'!$H:$H},2,0),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D158" s="121" t="str">
        <f t="array" ref="D158">ifs(and(isblank($A158),isblank($B158)),"", not(iserror(vlookup($A158&amp;$B158,'5) Release_Track'!$F:$F&amp;'5) Release_Track'!$G:$G,1,0))),vlookup($A158&amp;$B158,{'5) Release_Track'!$F:$F&amp;'5) Release_Track'!$G:$G,'5) Release_Track'!$I:$I},2,0),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E158" s="116" t="str">
        <f t="array" ref="E158">ifs(and(isblank($A158),isblank($B158)),"", not(iserror(vlookup($A158&amp;$B158,'5) Release_Track'!$F:$F&amp;'5) Release_Track'!$G:$G,1,0))),vlookup($A158&amp;$B158,{'5) Release_Track'!$F:$F&amp;'5) Release_Track'!$G:$G,'5) Release_Track'!$J:$J},2,0),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F158" s="88"/>
      <c r="G158" s="92"/>
      <c r="H158" s="185"/>
      <c r="I158" s="121" t="str">
        <f t="shared" si="2"/>
        <v/>
      </c>
      <c r="J158" s="92"/>
      <c r="K158" s="92"/>
    </row>
    <row r="159">
      <c r="B159" s="97"/>
      <c r="C159" s="121" t="str">
        <f t="array" ref="C159">ifs(and(isblank($A159),isblank($B159)),"", not(iserror(vlookup($A159&amp;$B159,'5) Release_Track'!$F:$F&amp;'5) Release_Track'!$G:$G,1,0))),vlookup($A159&amp;$B159,{'5) Release_Track'!$F:$F&amp;'5) Release_Track'!$G:$G,'5) Release_Track'!$H:$H},2,0),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D159" s="121" t="str">
        <f t="array" ref="D159">ifs(and(isblank($A159),isblank($B159)),"", not(iserror(vlookup($A159&amp;$B159,'5) Release_Track'!$F:$F&amp;'5) Release_Track'!$G:$G,1,0))),vlookup($A159&amp;$B159,{'5) Release_Track'!$F:$F&amp;'5) Release_Track'!$G:$G,'5) Release_Track'!$I:$I},2,0),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E159" s="116" t="str">
        <f t="array" ref="E159">ifs(and(isblank($A159),isblank($B159)),"", not(iserror(vlookup($A159&amp;$B159,'5) Release_Track'!$F:$F&amp;'5) Release_Track'!$G:$G,1,0))),vlookup($A159&amp;$B159,{'5) Release_Track'!$F:$F&amp;'5) Release_Track'!$G:$G,'5) Release_Track'!$J:$J},2,0),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F159" s="88"/>
      <c r="G159" s="92"/>
      <c r="H159" s="185"/>
      <c r="I159" s="121" t="str">
        <f t="shared" si="2"/>
        <v/>
      </c>
      <c r="J159" s="92"/>
      <c r="K159" s="92"/>
    </row>
    <row r="160">
      <c r="B160" s="97"/>
      <c r="C160" s="121" t="str">
        <f t="array" ref="C160">ifs(and(isblank($A160),isblank($B160)),"", not(iserror(vlookup($A160&amp;$B160,'5) Release_Track'!$F:$F&amp;'5) Release_Track'!$G:$G,1,0))),vlookup($A160&amp;$B160,{'5) Release_Track'!$F:$F&amp;'5) Release_Track'!$G:$G,'5) Release_Track'!$H:$H},2,0),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D160" s="121" t="str">
        <f t="array" ref="D160">ifs(and(isblank($A160),isblank($B160)),"", not(iserror(vlookup($A160&amp;$B160,'5) Release_Track'!$F:$F&amp;'5) Release_Track'!$G:$G,1,0))),vlookup($A160&amp;$B160,{'5) Release_Track'!$F:$F&amp;'5) Release_Track'!$G:$G,'5) Release_Track'!$I:$I},2,0),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E160" s="116" t="str">
        <f t="array" ref="E160">ifs(and(isblank($A160),isblank($B160)),"", not(iserror(vlookup($A160&amp;$B160,'5) Release_Track'!$F:$F&amp;'5) Release_Track'!$G:$G,1,0))),vlookup($A160&amp;$B160,{'5) Release_Track'!$F:$F&amp;'5) Release_Track'!$G:$G,'5) Release_Track'!$J:$J},2,0),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F160" s="88"/>
      <c r="G160" s="92"/>
      <c r="H160" s="185"/>
      <c r="I160" s="121" t="str">
        <f t="shared" si="2"/>
        <v/>
      </c>
      <c r="J160" s="92"/>
      <c r="K160" s="92"/>
    </row>
    <row r="161">
      <c r="B161" s="97"/>
      <c r="C161" s="121" t="str">
        <f t="array" ref="C161">ifs(and(isblank($A161),isblank($B161)),"", not(iserror(vlookup($A161&amp;$B161,'5) Release_Track'!$F:$F&amp;'5) Release_Track'!$G:$G,1,0))),vlookup($A161&amp;$B161,{'5) Release_Track'!$F:$F&amp;'5) Release_Track'!$G:$G,'5) Release_Track'!$H:$H},2,0),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D161" s="121" t="str">
        <f t="array" ref="D161">ifs(and(isblank($A161),isblank($B161)),"", not(iserror(vlookup($A161&amp;$B161,'5) Release_Track'!$F:$F&amp;'5) Release_Track'!$G:$G,1,0))),vlookup($A161&amp;$B161,{'5) Release_Track'!$F:$F&amp;'5) Release_Track'!$G:$G,'5) Release_Track'!$I:$I},2,0),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E161" s="116" t="str">
        <f t="array" ref="E161">ifs(and(isblank($A161),isblank($B161)),"", not(iserror(vlookup($A161&amp;$B161,'5) Release_Track'!$F:$F&amp;'5) Release_Track'!$G:$G,1,0))),vlookup($A161&amp;$B161,{'5) Release_Track'!$F:$F&amp;'5) Release_Track'!$G:$G,'5) Release_Track'!$J:$J},2,0),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F161" s="88"/>
      <c r="G161" s="92"/>
      <c r="H161" s="185"/>
      <c r="I161" s="121" t="str">
        <f t="shared" si="2"/>
        <v/>
      </c>
      <c r="J161" s="92"/>
      <c r="K161" s="92"/>
    </row>
    <row r="162">
      <c r="B162" s="97"/>
      <c r="C162" s="121" t="str">
        <f t="array" ref="C162">ifs(and(isblank($A162),isblank($B162)),"", not(iserror(vlookup($A162&amp;$B162,'5) Release_Track'!$F:$F&amp;'5) Release_Track'!$G:$G,1,0))),vlookup($A162&amp;$B162,{'5) Release_Track'!$F:$F&amp;'5) Release_Track'!$G:$G,'5) Release_Track'!$H:$H},2,0),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D162" s="121" t="str">
        <f t="array" ref="D162">ifs(and(isblank($A162),isblank($B162)),"", not(iserror(vlookup($A162&amp;$B162,'5) Release_Track'!$F:$F&amp;'5) Release_Track'!$G:$G,1,0))),vlookup($A162&amp;$B162,{'5) Release_Track'!$F:$F&amp;'5) Release_Track'!$G:$G,'5) Release_Track'!$I:$I},2,0),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E162" s="116" t="str">
        <f t="array" ref="E162">ifs(and(isblank($A162),isblank($B162)),"", not(iserror(vlookup($A162&amp;$B162,'5) Release_Track'!$F:$F&amp;'5) Release_Track'!$G:$G,1,0))),vlookup($A162&amp;$B162,{'5) Release_Track'!$F:$F&amp;'5) Release_Track'!$G:$G,'5) Release_Track'!$J:$J},2,0),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F162" s="88"/>
      <c r="G162" s="92"/>
      <c r="H162" s="185"/>
      <c r="I162" s="121" t="str">
        <f t="shared" si="2"/>
        <v/>
      </c>
      <c r="J162" s="92"/>
      <c r="K162" s="92"/>
    </row>
    <row r="163">
      <c r="B163" s="97"/>
      <c r="C163" s="121" t="str">
        <f t="array" ref="C163">ifs(and(isblank($A163),isblank($B163)),"", not(iserror(vlookup($A163&amp;$B163,'5) Release_Track'!$F:$F&amp;'5) Release_Track'!$G:$G,1,0))),vlookup($A163&amp;$B163,{'5) Release_Track'!$F:$F&amp;'5) Release_Track'!$G:$G,'5) Release_Track'!$H:$H},2,0),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D163" s="121" t="str">
        <f t="array" ref="D163">ifs(and(isblank($A163),isblank($B163)),"", not(iserror(vlookup($A163&amp;$B163,'5) Release_Track'!$F:$F&amp;'5) Release_Track'!$G:$G,1,0))),vlookup($A163&amp;$B163,{'5) Release_Track'!$F:$F&amp;'5) Release_Track'!$G:$G,'5) Release_Track'!$I:$I},2,0),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E163" s="116" t="str">
        <f t="array" ref="E163">ifs(and(isblank($A163),isblank($B163)),"", not(iserror(vlookup($A163&amp;$B163,'5) Release_Track'!$F:$F&amp;'5) Release_Track'!$G:$G,1,0))),vlookup($A163&amp;$B163,{'5) Release_Track'!$F:$F&amp;'5) Release_Track'!$G:$G,'5) Release_Track'!$J:$J},2,0),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F163" s="88"/>
      <c r="G163" s="92"/>
      <c r="H163" s="185"/>
      <c r="I163" s="121" t="str">
        <f t="shared" si="2"/>
        <v/>
      </c>
      <c r="J163" s="92"/>
      <c r="K163" s="92"/>
    </row>
    <row r="164">
      <c r="B164" s="97"/>
      <c r="C164" s="121" t="str">
        <f t="array" ref="C164">ifs(and(isblank($A164),isblank($B164)),"", not(iserror(vlookup($A164&amp;$B164,'5) Release_Track'!$F:$F&amp;'5) Release_Track'!$G:$G,1,0))),vlookup($A164&amp;$B164,{'5) Release_Track'!$F:$F&amp;'5) Release_Track'!$G:$G,'5) Release_Track'!$H:$H},2,0),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D164" s="121" t="str">
        <f t="array" ref="D164">ifs(and(isblank($A164),isblank($B164)),"", not(iserror(vlookup($A164&amp;$B164,'5) Release_Track'!$F:$F&amp;'5) Release_Track'!$G:$G,1,0))),vlookup($A164&amp;$B164,{'5) Release_Track'!$F:$F&amp;'5) Release_Track'!$G:$G,'5) Release_Track'!$I:$I},2,0),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E164" s="116" t="str">
        <f t="array" ref="E164">ifs(and(isblank($A164),isblank($B164)),"", not(iserror(vlookup($A164&amp;$B164,'5) Release_Track'!$F:$F&amp;'5) Release_Track'!$G:$G,1,0))),vlookup($A164&amp;$B164,{'5) Release_Track'!$F:$F&amp;'5) Release_Track'!$G:$G,'5) Release_Track'!$J:$J},2,0),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F164" s="88"/>
      <c r="G164" s="92"/>
      <c r="H164" s="185"/>
      <c r="I164" s="121" t="str">
        <f t="shared" si="2"/>
        <v/>
      </c>
      <c r="J164" s="92"/>
      <c r="K164" s="92"/>
    </row>
    <row r="165">
      <c r="B165" s="97"/>
      <c r="C165" s="121" t="str">
        <f t="array" ref="C165">ifs(and(isblank($A165),isblank($B165)),"", not(iserror(vlookup($A165&amp;$B165,'5) Release_Track'!$F:$F&amp;'5) Release_Track'!$G:$G,1,0))),vlookup($A165&amp;$B165,{'5) Release_Track'!$F:$F&amp;'5) Release_Track'!$G:$G,'5) Release_Track'!$H:$H},2,0),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D165" s="121" t="str">
        <f t="array" ref="D165">ifs(and(isblank($A165),isblank($B165)),"", not(iserror(vlookup($A165&amp;$B165,'5) Release_Track'!$F:$F&amp;'5) Release_Track'!$G:$G,1,0))),vlookup($A165&amp;$B165,{'5) Release_Track'!$F:$F&amp;'5) Release_Track'!$G:$G,'5) Release_Track'!$I:$I},2,0),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E165" s="116" t="str">
        <f t="array" ref="E165">ifs(and(isblank($A165),isblank($B165)),"", not(iserror(vlookup($A165&amp;$B165,'5) Release_Track'!$F:$F&amp;'5) Release_Track'!$G:$G,1,0))),vlookup($A165&amp;$B165,{'5) Release_Track'!$F:$F&amp;'5) Release_Track'!$G:$G,'5) Release_Track'!$J:$J},2,0),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F165" s="88"/>
      <c r="G165" s="92"/>
      <c r="H165" s="185"/>
      <c r="I165" s="121" t="str">
        <f t="shared" si="2"/>
        <v/>
      </c>
      <c r="J165" s="92"/>
      <c r="K165" s="92"/>
    </row>
    <row r="166">
      <c r="B166" s="97"/>
      <c r="C166" s="121" t="str">
        <f t="array" ref="C166">ifs(and(isblank($A166),isblank($B166)),"", not(iserror(vlookup($A166&amp;$B166,'5) Release_Track'!$F:$F&amp;'5) Release_Track'!$G:$G,1,0))),vlookup($A166&amp;$B166,{'5) Release_Track'!$F:$F&amp;'5) Release_Track'!$G:$G,'5) Release_Track'!$H:$H},2,0),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D166" s="121" t="str">
        <f t="array" ref="D166">ifs(and(isblank($A166),isblank($B166)),"", not(iserror(vlookup($A166&amp;$B166,'5) Release_Track'!$F:$F&amp;'5) Release_Track'!$G:$G,1,0))),vlookup($A166&amp;$B166,{'5) Release_Track'!$F:$F&amp;'5) Release_Track'!$G:$G,'5) Release_Track'!$I:$I},2,0),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E166" s="116" t="str">
        <f t="array" ref="E166">ifs(and(isblank($A166),isblank($B166)),"", not(iserror(vlookup($A166&amp;$B166,'5) Release_Track'!$F:$F&amp;'5) Release_Track'!$G:$G,1,0))),vlookup($A166&amp;$B166,{'5) Release_Track'!$F:$F&amp;'5) Release_Track'!$G:$G,'5) Release_Track'!$J:$J},2,0),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F166" s="88"/>
      <c r="G166" s="92"/>
      <c r="H166" s="185"/>
      <c r="I166" s="121" t="str">
        <f t="shared" si="2"/>
        <v/>
      </c>
      <c r="J166" s="92"/>
      <c r="K166" s="92"/>
    </row>
    <row r="167">
      <c r="B167" s="97"/>
      <c r="C167" s="121" t="str">
        <f t="array" ref="C167">ifs(and(isblank($A167),isblank($B167)),"", not(iserror(vlookup($A167&amp;$B167,'5) Release_Track'!$F:$F&amp;'5) Release_Track'!$G:$G,1,0))),vlookup($A167&amp;$B167,{'5) Release_Track'!$F:$F&amp;'5) Release_Track'!$G:$G,'5) Release_Track'!$H:$H},2,0),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D167" s="121" t="str">
        <f t="array" ref="D167">ifs(and(isblank($A167),isblank($B167)),"", not(iserror(vlookup($A167&amp;$B167,'5) Release_Track'!$F:$F&amp;'5) Release_Track'!$G:$G,1,0))),vlookup($A167&amp;$B167,{'5) Release_Track'!$F:$F&amp;'5) Release_Track'!$G:$G,'5) Release_Track'!$I:$I},2,0),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E167" s="116" t="str">
        <f t="array" ref="E167">ifs(and(isblank($A167),isblank($B167)),"", not(iserror(vlookup($A167&amp;$B167,'5) Release_Track'!$F:$F&amp;'5) Release_Track'!$G:$G,1,0))),vlookup($A167&amp;$B167,{'5) Release_Track'!$F:$F&amp;'5) Release_Track'!$G:$G,'5) Release_Track'!$J:$J},2,0),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F167" s="88"/>
      <c r="G167" s="92"/>
      <c r="H167" s="185"/>
      <c r="I167" s="121" t="str">
        <f t="shared" si="2"/>
        <v/>
      </c>
      <c r="J167" s="92"/>
      <c r="K167" s="92"/>
    </row>
    <row r="168">
      <c r="B168" s="97"/>
      <c r="C168" s="121" t="str">
        <f t="array" ref="C168">ifs(and(isblank($A168),isblank($B168)),"", not(iserror(vlookup($A168&amp;$B168,'5) Release_Track'!$F:$F&amp;'5) Release_Track'!$G:$G,1,0))),vlookup($A168&amp;$B168,{'5) Release_Track'!$F:$F&amp;'5) Release_Track'!$G:$G,'5) Release_Track'!$H:$H},2,0),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D168" s="121" t="str">
        <f t="array" ref="D168">ifs(and(isblank($A168),isblank($B168)),"", not(iserror(vlookup($A168&amp;$B168,'5) Release_Track'!$F:$F&amp;'5) Release_Track'!$G:$G,1,0))),vlookup($A168&amp;$B168,{'5) Release_Track'!$F:$F&amp;'5) Release_Track'!$G:$G,'5) Release_Track'!$I:$I},2,0),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E168" s="116" t="str">
        <f t="array" ref="E168">ifs(and(isblank($A168),isblank($B168)),"", not(iserror(vlookup($A168&amp;$B168,'5) Release_Track'!$F:$F&amp;'5) Release_Track'!$G:$G,1,0))),vlookup($A168&amp;$B168,{'5) Release_Track'!$F:$F&amp;'5) Release_Track'!$G:$G,'5) Release_Track'!$J:$J},2,0),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F168" s="88"/>
      <c r="G168" s="92"/>
      <c r="H168" s="185"/>
      <c r="I168" s="121" t="str">
        <f t="shared" si="2"/>
        <v/>
      </c>
      <c r="J168" s="92"/>
      <c r="K168" s="92"/>
    </row>
    <row r="169">
      <c r="B169" s="97"/>
      <c r="C169" s="121" t="str">
        <f t="array" ref="C169">ifs(and(isblank($A169),isblank($B169)),"", not(iserror(vlookup($A169&amp;$B169,'5) Release_Track'!$F:$F&amp;'5) Release_Track'!$G:$G,1,0))),vlookup($A169&amp;$B169,{'5) Release_Track'!$F:$F&amp;'5) Release_Track'!$G:$G,'5) Release_Track'!$H:$H},2,0),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D169" s="121" t="str">
        <f t="array" ref="D169">ifs(and(isblank($A169),isblank($B169)),"", not(iserror(vlookup($A169&amp;$B169,'5) Release_Track'!$F:$F&amp;'5) Release_Track'!$G:$G,1,0))),vlookup($A169&amp;$B169,{'5) Release_Track'!$F:$F&amp;'5) Release_Track'!$G:$G,'5) Release_Track'!$I:$I},2,0),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E169" s="116" t="str">
        <f t="array" ref="E169">ifs(and(isblank($A169),isblank($B169)),"", not(iserror(vlookup($A169&amp;$B169,'5) Release_Track'!$F:$F&amp;'5) Release_Track'!$G:$G,1,0))),vlookup($A169&amp;$B169,{'5) Release_Track'!$F:$F&amp;'5) Release_Track'!$G:$G,'5) Release_Track'!$J:$J},2,0),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F169" s="88"/>
      <c r="G169" s="92"/>
      <c r="H169" s="185"/>
      <c r="I169" s="121" t="str">
        <f t="shared" si="2"/>
        <v/>
      </c>
      <c r="J169" s="92"/>
      <c r="K169" s="92"/>
    </row>
    <row r="170">
      <c r="B170" s="97"/>
      <c r="C170" s="121" t="str">
        <f t="array" ref="C170">ifs(and(isblank($A170),isblank($B170)),"", not(iserror(vlookup($A170&amp;$B170,'5) Release_Track'!$F:$F&amp;'5) Release_Track'!$G:$G,1,0))),vlookup($A170&amp;$B170,{'5) Release_Track'!$F:$F&amp;'5) Release_Track'!$G:$G,'5) Release_Track'!$H:$H},2,0),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D170" s="121" t="str">
        <f t="array" ref="D170">ifs(and(isblank($A170),isblank($B170)),"", not(iserror(vlookup($A170&amp;$B170,'5) Release_Track'!$F:$F&amp;'5) Release_Track'!$G:$G,1,0))),vlookup($A170&amp;$B170,{'5) Release_Track'!$F:$F&amp;'5) Release_Track'!$G:$G,'5) Release_Track'!$I:$I},2,0),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E170" s="116" t="str">
        <f t="array" ref="E170">ifs(and(isblank($A170),isblank($B170)),"", not(iserror(vlookup($A170&amp;$B170,'5) Release_Track'!$F:$F&amp;'5) Release_Track'!$G:$G,1,0))),vlookup($A170&amp;$B170,{'5) Release_Track'!$F:$F&amp;'5) Release_Track'!$G:$G,'5) Release_Track'!$J:$J},2,0),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F170" s="88"/>
      <c r="G170" s="92"/>
      <c r="H170" s="185"/>
      <c r="I170" s="121" t="str">
        <f t="shared" si="2"/>
        <v/>
      </c>
      <c r="J170" s="92"/>
      <c r="K170" s="92"/>
    </row>
    <row r="171">
      <c r="B171" s="97"/>
      <c r="C171" s="121" t="str">
        <f t="array" ref="C171">ifs(and(isblank($A171),isblank($B171)),"", not(iserror(vlookup($A171&amp;$B171,'5) Release_Track'!$F:$F&amp;'5) Release_Track'!$G:$G,1,0))),vlookup($A171&amp;$B171,{'5) Release_Track'!$F:$F&amp;'5) Release_Track'!$G:$G,'5) Release_Track'!$H:$H},2,0),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D171" s="121" t="str">
        <f t="array" ref="D171">ifs(and(isblank($A171),isblank($B171)),"", not(iserror(vlookup($A171&amp;$B171,'5) Release_Track'!$F:$F&amp;'5) Release_Track'!$G:$G,1,0))),vlookup($A171&amp;$B171,{'5) Release_Track'!$F:$F&amp;'5) Release_Track'!$G:$G,'5) Release_Track'!$I:$I},2,0),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E171" s="116" t="str">
        <f t="array" ref="E171">ifs(and(isblank($A171),isblank($B171)),"", not(iserror(vlookup($A171&amp;$B171,'5) Release_Track'!$F:$F&amp;'5) Release_Track'!$G:$G,1,0))),vlookup($A171&amp;$B171,{'5) Release_Track'!$F:$F&amp;'5) Release_Track'!$G:$G,'5) Release_Track'!$J:$J},2,0),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F171" s="88"/>
      <c r="G171" s="92"/>
      <c r="H171" s="185"/>
      <c r="I171" s="121" t="str">
        <f t="shared" si="2"/>
        <v/>
      </c>
      <c r="J171" s="92"/>
      <c r="K171" s="92"/>
    </row>
    <row r="172">
      <c r="B172" s="97"/>
      <c r="C172" s="121" t="str">
        <f t="array" ref="C172">ifs(and(isblank($A172),isblank($B172)),"", not(iserror(vlookup($A172&amp;$B172,'5) Release_Track'!$F:$F&amp;'5) Release_Track'!$G:$G,1,0))),vlookup($A172&amp;$B172,{'5) Release_Track'!$F:$F&amp;'5) Release_Track'!$G:$G,'5) Release_Track'!$H:$H},2,0),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D172" s="121" t="str">
        <f t="array" ref="D172">ifs(and(isblank($A172),isblank($B172)),"", not(iserror(vlookup($A172&amp;$B172,'5) Release_Track'!$F:$F&amp;'5) Release_Track'!$G:$G,1,0))),vlookup($A172&amp;$B172,{'5) Release_Track'!$F:$F&amp;'5) Release_Track'!$G:$G,'5) Release_Track'!$I:$I},2,0),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E172" s="116" t="str">
        <f t="array" ref="E172">ifs(and(isblank($A172),isblank($B172)),"", not(iserror(vlookup($A172&amp;$B172,'5) Release_Track'!$F:$F&amp;'5) Release_Track'!$G:$G,1,0))),vlookup($A172&amp;$B172,{'5) Release_Track'!$F:$F&amp;'5) Release_Track'!$G:$G,'5) Release_Track'!$J:$J},2,0),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F172" s="88"/>
      <c r="G172" s="92"/>
      <c r="H172" s="185"/>
      <c r="I172" s="121" t="str">
        <f t="shared" si="2"/>
        <v/>
      </c>
      <c r="J172" s="92"/>
      <c r="K172" s="92"/>
    </row>
    <row r="173">
      <c r="B173" s="97"/>
      <c r="C173" s="121" t="str">
        <f t="array" ref="C173">ifs(and(isblank($A173),isblank($B173)),"", not(iserror(vlookup($A173&amp;$B173,'5) Release_Track'!$F:$F&amp;'5) Release_Track'!$G:$G,1,0))),vlookup($A173&amp;$B173,{'5) Release_Track'!$F:$F&amp;'5) Release_Track'!$G:$G,'5) Release_Track'!$H:$H},2,0),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D173" s="121" t="str">
        <f t="array" ref="D173">ifs(and(isblank($A173),isblank($B173)),"", not(iserror(vlookup($A173&amp;$B173,'5) Release_Track'!$F:$F&amp;'5) Release_Track'!$G:$G,1,0))),vlookup($A173&amp;$B173,{'5) Release_Track'!$F:$F&amp;'5) Release_Track'!$G:$G,'5) Release_Track'!$I:$I},2,0),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E173" s="116" t="str">
        <f t="array" ref="E173">ifs(and(isblank($A173),isblank($B173)),"", not(iserror(vlookup($A173&amp;$B173,'5) Release_Track'!$F:$F&amp;'5) Release_Track'!$G:$G,1,0))),vlookup($A173&amp;$B173,{'5) Release_Track'!$F:$F&amp;'5) Release_Track'!$G:$G,'5) Release_Track'!$J:$J},2,0),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F173" s="88"/>
      <c r="G173" s="92"/>
      <c r="H173" s="185"/>
      <c r="I173" s="121" t="str">
        <f t="shared" si="2"/>
        <v/>
      </c>
      <c r="J173" s="92"/>
      <c r="K173" s="92"/>
    </row>
    <row r="174">
      <c r="B174" s="97"/>
      <c r="C174" s="121" t="str">
        <f t="array" ref="C174">ifs(and(isblank($A174),isblank($B174)),"", not(iserror(vlookup($A174&amp;$B174,'5) Release_Track'!$F:$F&amp;'5) Release_Track'!$G:$G,1,0))),vlookup($A174&amp;$B174,{'5) Release_Track'!$F:$F&amp;'5) Release_Track'!$G:$G,'5) Release_Track'!$H:$H},2,0),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D174" s="121" t="str">
        <f t="array" ref="D174">ifs(and(isblank($A174),isblank($B174)),"", not(iserror(vlookup($A174&amp;$B174,'5) Release_Track'!$F:$F&amp;'5) Release_Track'!$G:$G,1,0))),vlookup($A174&amp;$B174,{'5) Release_Track'!$F:$F&amp;'5) Release_Track'!$G:$G,'5) Release_Track'!$I:$I},2,0),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E174" s="116" t="str">
        <f t="array" ref="E174">ifs(and(isblank($A174),isblank($B174)),"", not(iserror(vlookup($A174&amp;$B174,'5) Release_Track'!$F:$F&amp;'5) Release_Track'!$G:$G,1,0))),vlookup($A174&amp;$B174,{'5) Release_Track'!$F:$F&amp;'5) Release_Track'!$G:$G,'5) Release_Track'!$J:$J},2,0),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F174" s="88"/>
      <c r="G174" s="92"/>
      <c r="H174" s="185"/>
      <c r="I174" s="121" t="str">
        <f t="shared" si="2"/>
        <v/>
      </c>
      <c r="J174" s="92"/>
      <c r="K174" s="92"/>
    </row>
    <row r="175">
      <c r="B175" s="97"/>
      <c r="C175" s="121" t="str">
        <f t="array" ref="C175">ifs(and(isblank($A175),isblank($B175)),"", not(iserror(vlookup($A175&amp;$B175,'5) Release_Track'!$F:$F&amp;'5) Release_Track'!$G:$G,1,0))),vlookup($A175&amp;$B175,{'5) Release_Track'!$F:$F&amp;'5) Release_Track'!$G:$G,'5) Release_Track'!$H:$H},2,0),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D175" s="121" t="str">
        <f t="array" ref="D175">ifs(and(isblank($A175),isblank($B175)),"", not(iserror(vlookup($A175&amp;$B175,'5) Release_Track'!$F:$F&amp;'5) Release_Track'!$G:$G,1,0))),vlookup($A175&amp;$B175,{'5) Release_Track'!$F:$F&amp;'5) Release_Track'!$G:$G,'5) Release_Track'!$I:$I},2,0),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E175" s="116" t="str">
        <f t="array" ref="E175">ifs(and(isblank($A175),isblank($B175)),"", not(iserror(vlookup($A175&amp;$B175,'5) Release_Track'!$F:$F&amp;'5) Release_Track'!$G:$G,1,0))),vlookup($A175&amp;$B175,{'5) Release_Track'!$F:$F&amp;'5) Release_Track'!$G:$G,'5) Release_Track'!$J:$J},2,0),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F175" s="88"/>
      <c r="G175" s="92"/>
      <c r="H175" s="185"/>
      <c r="I175" s="121" t="str">
        <f t="shared" si="2"/>
        <v/>
      </c>
      <c r="J175" s="92"/>
      <c r="K175" s="92"/>
    </row>
    <row r="176">
      <c r="B176" s="97"/>
      <c r="C176" s="121" t="str">
        <f t="array" ref="C176">ifs(and(isblank($A176),isblank($B176)),"", not(iserror(vlookup($A176&amp;$B176,'5) Release_Track'!$F:$F&amp;'5) Release_Track'!$G:$G,1,0))),vlookup($A176&amp;$B176,{'5) Release_Track'!$F:$F&amp;'5) Release_Track'!$G:$G,'5) Release_Track'!$H:$H},2,0),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D176" s="121" t="str">
        <f t="array" ref="D176">ifs(and(isblank($A176),isblank($B176)),"", not(iserror(vlookup($A176&amp;$B176,'5) Release_Track'!$F:$F&amp;'5) Release_Track'!$G:$G,1,0))),vlookup($A176&amp;$B176,{'5) Release_Track'!$F:$F&amp;'5) Release_Track'!$G:$G,'5) Release_Track'!$I:$I},2,0),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E176" s="116" t="str">
        <f t="array" ref="E176">ifs(and(isblank($A176),isblank($B176)),"", not(iserror(vlookup($A176&amp;$B176,'5) Release_Track'!$F:$F&amp;'5) Release_Track'!$G:$G,1,0))),vlookup($A176&amp;$B176,{'5) Release_Track'!$F:$F&amp;'5) Release_Track'!$G:$G,'5) Release_Track'!$J:$J},2,0),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F176" s="88"/>
      <c r="G176" s="92"/>
      <c r="H176" s="185"/>
      <c r="I176" s="121" t="str">
        <f t="shared" si="2"/>
        <v/>
      </c>
      <c r="J176" s="92"/>
      <c r="K176" s="92"/>
    </row>
    <row r="177">
      <c r="B177" s="97"/>
      <c r="C177" s="121" t="str">
        <f t="array" ref="C177">ifs(and(isblank($A177),isblank($B177)),"", not(iserror(vlookup($A177&amp;$B177,'5) Release_Track'!$F:$F&amp;'5) Release_Track'!$G:$G,1,0))),vlookup($A177&amp;$B177,{'5) Release_Track'!$F:$F&amp;'5) Release_Track'!$G:$G,'5) Release_Track'!$H:$H},2,0),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D177" s="121" t="str">
        <f t="array" ref="D177">ifs(and(isblank($A177),isblank($B177)),"", not(iserror(vlookup($A177&amp;$B177,'5) Release_Track'!$F:$F&amp;'5) Release_Track'!$G:$G,1,0))),vlookup($A177&amp;$B177,{'5) Release_Track'!$F:$F&amp;'5) Release_Track'!$G:$G,'5) Release_Track'!$I:$I},2,0),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E177" s="116" t="str">
        <f t="array" ref="E177">ifs(and(isblank($A177),isblank($B177)),"", not(iserror(vlookup($A177&amp;$B177,'5) Release_Track'!$F:$F&amp;'5) Release_Track'!$G:$G,1,0))),vlookup($A177&amp;$B177,{'5) Release_Track'!$F:$F&amp;'5) Release_Track'!$G:$G,'5) Release_Track'!$J:$J},2,0),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F177" s="88"/>
      <c r="G177" s="92"/>
      <c r="H177" s="185"/>
      <c r="I177" s="121" t="str">
        <f t="shared" si="2"/>
        <v/>
      </c>
      <c r="J177" s="92"/>
      <c r="K177" s="92"/>
    </row>
    <row r="178">
      <c r="B178" s="97"/>
      <c r="C178" s="121" t="str">
        <f t="array" ref="C178">ifs(and(isblank($A178),isblank($B178)),"", not(iserror(vlookup($A178&amp;$B178,'5) Release_Track'!$F:$F&amp;'5) Release_Track'!$G:$G,1,0))),vlookup($A178&amp;$B178,{'5) Release_Track'!$F:$F&amp;'5) Release_Track'!$G:$G,'5) Release_Track'!$H:$H},2,0),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D178" s="121" t="str">
        <f t="array" ref="D178">ifs(and(isblank($A178),isblank($B178)),"", not(iserror(vlookup($A178&amp;$B178,'5) Release_Track'!$F:$F&amp;'5) Release_Track'!$G:$G,1,0))),vlookup($A178&amp;$B178,{'5) Release_Track'!$F:$F&amp;'5) Release_Track'!$G:$G,'5) Release_Track'!$I:$I},2,0),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E178" s="116" t="str">
        <f t="array" ref="E178">ifs(and(isblank($A178),isblank($B178)),"", not(iserror(vlookup($A178&amp;$B178,'5) Release_Track'!$F:$F&amp;'5) Release_Track'!$G:$G,1,0))),vlookup($A178&amp;$B178,{'5) Release_Track'!$F:$F&amp;'5) Release_Track'!$G:$G,'5) Release_Track'!$J:$J},2,0),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F178" s="88"/>
      <c r="G178" s="92"/>
      <c r="H178" s="185"/>
      <c r="I178" s="121" t="str">
        <f t="shared" si="2"/>
        <v/>
      </c>
      <c r="J178" s="92"/>
      <c r="K178" s="92"/>
    </row>
    <row r="179">
      <c r="B179" s="97"/>
      <c r="C179" s="121" t="str">
        <f t="array" ref="C179">ifs(and(isblank($A179),isblank($B179)),"", not(iserror(vlookup($A179&amp;$B179,'5) Release_Track'!$F:$F&amp;'5) Release_Track'!$G:$G,1,0))),vlookup($A179&amp;$B179,{'5) Release_Track'!$F:$F&amp;'5) Release_Track'!$G:$G,'5) Release_Track'!$H:$H},2,0),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D179" s="121" t="str">
        <f t="array" ref="D179">ifs(and(isblank($A179),isblank($B179)),"", not(iserror(vlookup($A179&amp;$B179,'5) Release_Track'!$F:$F&amp;'5) Release_Track'!$G:$G,1,0))),vlookup($A179&amp;$B179,{'5) Release_Track'!$F:$F&amp;'5) Release_Track'!$G:$G,'5) Release_Track'!$I:$I},2,0),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E179" s="116" t="str">
        <f t="array" ref="E179">ifs(and(isblank($A179),isblank($B179)),"", not(iserror(vlookup($A179&amp;$B179,'5) Release_Track'!$F:$F&amp;'5) Release_Track'!$G:$G,1,0))),vlookup($A179&amp;$B179,{'5) Release_Track'!$F:$F&amp;'5) Release_Track'!$G:$G,'5) Release_Track'!$J:$J},2,0),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F179" s="88"/>
      <c r="G179" s="92"/>
      <c r="H179" s="185"/>
      <c r="I179" s="121" t="str">
        <f t="shared" si="2"/>
        <v/>
      </c>
      <c r="J179" s="92"/>
      <c r="K179" s="92"/>
    </row>
    <row r="180">
      <c r="B180" s="97"/>
      <c r="C180" s="121" t="str">
        <f t="array" ref="C180">ifs(and(isblank($A180),isblank($B180)),"", not(iserror(vlookup($A180&amp;$B180,'5) Release_Track'!$F:$F&amp;'5) Release_Track'!$G:$G,1,0))),vlookup($A180&amp;$B180,{'5) Release_Track'!$F:$F&amp;'5) Release_Track'!$G:$G,'5) Release_Track'!$H:$H},2,0),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D180" s="121" t="str">
        <f t="array" ref="D180">ifs(and(isblank($A180),isblank($B180)),"", not(iserror(vlookup($A180&amp;$B180,'5) Release_Track'!$F:$F&amp;'5) Release_Track'!$G:$G,1,0))),vlookup($A180&amp;$B180,{'5) Release_Track'!$F:$F&amp;'5) Release_Track'!$G:$G,'5) Release_Track'!$I:$I},2,0),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E180" s="116" t="str">
        <f t="array" ref="E180">ifs(and(isblank($A180),isblank($B180)),"", not(iserror(vlookup($A180&amp;$B180,'5) Release_Track'!$F:$F&amp;'5) Release_Track'!$G:$G,1,0))),vlookup($A180&amp;$B180,{'5) Release_Track'!$F:$F&amp;'5) Release_Track'!$G:$G,'5) Release_Track'!$J:$J},2,0),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F180" s="88"/>
      <c r="G180" s="92"/>
      <c r="H180" s="185"/>
      <c r="I180" s="121" t="str">
        <f t="shared" si="2"/>
        <v/>
      </c>
      <c r="J180" s="92"/>
      <c r="K180" s="92"/>
    </row>
    <row r="181">
      <c r="B181" s="97"/>
      <c r="C181" s="121" t="str">
        <f t="array" ref="C181">ifs(and(isblank($A181),isblank($B181)),"", not(iserror(vlookup($A181&amp;$B181,'5) Release_Track'!$F:$F&amp;'5) Release_Track'!$G:$G,1,0))),vlookup($A181&amp;$B181,{'5) Release_Track'!$F:$F&amp;'5) Release_Track'!$G:$G,'5) Release_Track'!$H:$H},2,0),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D181" s="121" t="str">
        <f t="array" ref="D181">ifs(and(isblank($A181),isblank($B181)),"", not(iserror(vlookup($A181&amp;$B181,'5) Release_Track'!$F:$F&amp;'5) Release_Track'!$G:$G,1,0))),vlookup($A181&amp;$B181,{'5) Release_Track'!$F:$F&amp;'5) Release_Track'!$G:$G,'5) Release_Track'!$I:$I},2,0),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E181" s="116" t="str">
        <f t="array" ref="E181">ifs(and(isblank($A181),isblank($B181)),"", not(iserror(vlookup($A181&amp;$B181,'5) Release_Track'!$F:$F&amp;'5) Release_Track'!$G:$G,1,0))),vlookup($A181&amp;$B181,{'5) Release_Track'!$F:$F&amp;'5) Release_Track'!$G:$G,'5) Release_Track'!$J:$J},2,0),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F181" s="88"/>
      <c r="G181" s="92"/>
      <c r="H181" s="185"/>
      <c r="I181" s="121" t="str">
        <f t="shared" si="2"/>
        <v/>
      </c>
      <c r="J181" s="92"/>
      <c r="K181" s="92"/>
    </row>
    <row r="182">
      <c r="B182" s="97"/>
      <c r="C182" s="121" t="str">
        <f t="array" ref="C182">ifs(and(isblank($A182),isblank($B182)),"", not(iserror(vlookup($A182&amp;$B182,'5) Release_Track'!$F:$F&amp;'5) Release_Track'!$G:$G,1,0))),vlookup($A182&amp;$B182,{'5) Release_Track'!$F:$F&amp;'5) Release_Track'!$G:$G,'5) Release_Track'!$H:$H},2,0),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D182" s="121" t="str">
        <f t="array" ref="D182">ifs(and(isblank($A182),isblank($B182)),"", not(iserror(vlookup($A182&amp;$B182,'5) Release_Track'!$F:$F&amp;'5) Release_Track'!$G:$G,1,0))),vlookup($A182&amp;$B182,{'5) Release_Track'!$F:$F&amp;'5) Release_Track'!$G:$G,'5) Release_Track'!$I:$I},2,0),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E182" s="116" t="str">
        <f t="array" ref="E182">ifs(and(isblank($A182),isblank($B182)),"", not(iserror(vlookup($A182&amp;$B182,'5) Release_Track'!$F:$F&amp;'5) Release_Track'!$G:$G,1,0))),vlookup($A182&amp;$B182,{'5) Release_Track'!$F:$F&amp;'5) Release_Track'!$G:$G,'5) Release_Track'!$J:$J},2,0),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F182" s="88"/>
      <c r="G182" s="92"/>
      <c r="H182" s="185"/>
      <c r="I182" s="121" t="str">
        <f t="shared" si="2"/>
        <v/>
      </c>
      <c r="J182" s="92"/>
      <c r="K182" s="92"/>
    </row>
    <row r="183">
      <c r="B183" s="97"/>
      <c r="C183" s="121" t="str">
        <f t="array" ref="C183">ifs(and(isblank($A183),isblank($B183)),"", not(iserror(vlookup($A183&amp;$B183,'5) Release_Track'!$F:$F&amp;'5) Release_Track'!$G:$G,1,0))),vlookup($A183&amp;$B183,{'5) Release_Track'!$F:$F&amp;'5) Release_Track'!$G:$G,'5) Release_Track'!$H:$H},2,0),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D183" s="121" t="str">
        <f t="array" ref="D183">ifs(and(isblank($A183),isblank($B183)),"", not(iserror(vlookup($A183&amp;$B183,'5) Release_Track'!$F:$F&amp;'5) Release_Track'!$G:$G,1,0))),vlookup($A183&amp;$B183,{'5) Release_Track'!$F:$F&amp;'5) Release_Track'!$G:$G,'5) Release_Track'!$I:$I},2,0),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E183" s="116" t="str">
        <f t="array" ref="E183">ifs(and(isblank($A183),isblank($B183)),"", not(iserror(vlookup($A183&amp;$B183,'5) Release_Track'!$F:$F&amp;'5) Release_Track'!$G:$G,1,0))),vlookup($A183&amp;$B183,{'5) Release_Track'!$F:$F&amp;'5) Release_Track'!$G:$G,'5) Release_Track'!$J:$J},2,0),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F183" s="88"/>
      <c r="G183" s="92"/>
      <c r="H183" s="185"/>
      <c r="I183" s="121" t="str">
        <f t="shared" si="2"/>
        <v/>
      </c>
      <c r="J183" s="92"/>
      <c r="K183" s="92"/>
    </row>
    <row r="184">
      <c r="B184" s="97"/>
      <c r="C184" s="121" t="str">
        <f t="array" ref="C184">ifs(and(isblank($A184),isblank($B184)),"", not(iserror(vlookup($A184&amp;$B184,'5) Release_Track'!$F:$F&amp;'5) Release_Track'!$G:$G,1,0))),vlookup($A184&amp;$B184,{'5) Release_Track'!$F:$F&amp;'5) Release_Track'!$G:$G,'5) Release_Track'!$H:$H},2,0),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D184" s="121" t="str">
        <f t="array" ref="D184">ifs(and(isblank($A184),isblank($B184)),"", not(iserror(vlookup($A184&amp;$B184,'5) Release_Track'!$F:$F&amp;'5) Release_Track'!$G:$G,1,0))),vlookup($A184&amp;$B184,{'5) Release_Track'!$F:$F&amp;'5) Release_Track'!$G:$G,'5) Release_Track'!$I:$I},2,0),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E184" s="116" t="str">
        <f t="array" ref="E184">ifs(and(isblank($A184),isblank($B184)),"", not(iserror(vlookup($A184&amp;$B184,'5) Release_Track'!$F:$F&amp;'5) Release_Track'!$G:$G,1,0))),vlookup($A184&amp;$B184,{'5) Release_Track'!$F:$F&amp;'5) Release_Track'!$G:$G,'5) Release_Track'!$J:$J},2,0),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F184" s="88"/>
      <c r="G184" s="92"/>
      <c r="H184" s="185"/>
      <c r="I184" s="121" t="str">
        <f t="shared" si="2"/>
        <v/>
      </c>
      <c r="J184" s="92"/>
      <c r="K184" s="92"/>
    </row>
    <row r="185">
      <c r="B185" s="97"/>
      <c r="C185" s="121" t="str">
        <f t="array" ref="C185">ifs(and(isblank($A185),isblank($B185)),"", not(iserror(vlookup($A185&amp;$B185,'5) Release_Track'!$F:$F&amp;'5) Release_Track'!$G:$G,1,0))),vlookup($A185&amp;$B185,{'5) Release_Track'!$F:$F&amp;'5) Release_Track'!$G:$G,'5) Release_Track'!$H:$H},2,0),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D185" s="121" t="str">
        <f t="array" ref="D185">ifs(and(isblank($A185),isblank($B185)),"", not(iserror(vlookup($A185&amp;$B185,'5) Release_Track'!$F:$F&amp;'5) Release_Track'!$G:$G,1,0))),vlookup($A185&amp;$B185,{'5) Release_Track'!$F:$F&amp;'5) Release_Track'!$G:$G,'5) Release_Track'!$I:$I},2,0),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E185" s="116" t="str">
        <f t="array" ref="E185">ifs(and(isblank($A185),isblank($B185)),"", not(iserror(vlookup($A185&amp;$B185,'5) Release_Track'!$F:$F&amp;'5) Release_Track'!$G:$G,1,0))),vlookup($A185&amp;$B185,{'5) Release_Track'!$F:$F&amp;'5) Release_Track'!$G:$G,'5) Release_Track'!$J:$J},2,0),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F185" s="88"/>
      <c r="G185" s="92"/>
      <c r="H185" s="185"/>
      <c r="I185" s="121" t="str">
        <f t="shared" si="2"/>
        <v/>
      </c>
      <c r="J185" s="92"/>
      <c r="K185" s="92"/>
    </row>
    <row r="186">
      <c r="B186" s="97"/>
      <c r="C186" s="121" t="str">
        <f t="array" ref="C186">ifs(and(isblank($A186),isblank($B186)),"", not(iserror(vlookup($A186&amp;$B186,'5) Release_Track'!$F:$F&amp;'5) Release_Track'!$G:$G,1,0))),vlookup($A186&amp;$B186,{'5) Release_Track'!$F:$F&amp;'5) Release_Track'!$G:$G,'5) Release_Track'!$H:$H},2,0),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D186" s="121" t="str">
        <f t="array" ref="D186">ifs(and(isblank($A186),isblank($B186)),"", not(iserror(vlookup($A186&amp;$B186,'5) Release_Track'!$F:$F&amp;'5) Release_Track'!$G:$G,1,0))),vlookup($A186&amp;$B186,{'5) Release_Track'!$F:$F&amp;'5) Release_Track'!$G:$G,'5) Release_Track'!$I:$I},2,0),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E186" s="116" t="str">
        <f t="array" ref="E186">ifs(and(isblank($A186),isblank($B186)),"", not(iserror(vlookup($A186&amp;$B186,'5) Release_Track'!$F:$F&amp;'5) Release_Track'!$G:$G,1,0))),vlookup($A186&amp;$B186,{'5) Release_Track'!$F:$F&amp;'5) Release_Track'!$G:$G,'5) Release_Track'!$J:$J},2,0),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F186" s="88"/>
      <c r="G186" s="92"/>
      <c r="H186" s="185"/>
      <c r="I186" s="121" t="str">
        <f t="shared" si="2"/>
        <v/>
      </c>
      <c r="J186" s="92"/>
      <c r="K186" s="92"/>
    </row>
    <row r="187">
      <c r="B187" s="97"/>
      <c r="C187" s="121" t="str">
        <f t="array" ref="C187">ifs(and(isblank($A187),isblank($B187)),"", not(iserror(vlookup($A187&amp;$B187,'5) Release_Track'!$F:$F&amp;'5) Release_Track'!$G:$G,1,0))),vlookup($A187&amp;$B187,{'5) Release_Track'!$F:$F&amp;'5) Release_Track'!$G:$G,'5) Release_Track'!$H:$H},2,0),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D187" s="121" t="str">
        <f t="array" ref="D187">ifs(and(isblank($A187),isblank($B187)),"", not(iserror(vlookup($A187&amp;$B187,'5) Release_Track'!$F:$F&amp;'5) Release_Track'!$G:$G,1,0))),vlookup($A187&amp;$B187,{'5) Release_Track'!$F:$F&amp;'5) Release_Track'!$G:$G,'5) Release_Track'!$I:$I},2,0),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E187" s="116" t="str">
        <f t="array" ref="E187">ifs(and(isblank($A187),isblank($B187)),"", not(iserror(vlookup($A187&amp;$B187,'5) Release_Track'!$F:$F&amp;'5) Release_Track'!$G:$G,1,0))),vlookup($A187&amp;$B187,{'5) Release_Track'!$F:$F&amp;'5) Release_Track'!$G:$G,'5) Release_Track'!$J:$J},2,0),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F187" s="88"/>
      <c r="G187" s="92"/>
      <c r="H187" s="185"/>
      <c r="I187" s="121" t="str">
        <f t="shared" si="2"/>
        <v/>
      </c>
      <c r="J187" s="92"/>
      <c r="K187" s="92"/>
    </row>
    <row r="188">
      <c r="B188" s="97"/>
      <c r="C188" s="121" t="str">
        <f t="array" ref="C188">ifs(and(isblank($A188),isblank($B188)),"", not(iserror(vlookup($A188&amp;$B188,'5) Release_Track'!$F:$F&amp;'5) Release_Track'!$G:$G,1,0))),vlookup($A188&amp;$B188,{'5) Release_Track'!$F:$F&amp;'5) Release_Track'!$G:$G,'5) Release_Track'!$H:$H},2,0),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D188" s="121" t="str">
        <f t="array" ref="D188">ifs(and(isblank($A188),isblank($B188)),"", not(iserror(vlookup($A188&amp;$B188,'5) Release_Track'!$F:$F&amp;'5) Release_Track'!$G:$G,1,0))),vlookup($A188&amp;$B188,{'5) Release_Track'!$F:$F&amp;'5) Release_Track'!$G:$G,'5) Release_Track'!$I:$I},2,0),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E188" s="116" t="str">
        <f t="array" ref="E188">ifs(and(isblank($A188),isblank($B188)),"", not(iserror(vlookup($A188&amp;$B188,'5) Release_Track'!$F:$F&amp;'5) Release_Track'!$G:$G,1,0))),vlookup($A188&amp;$B188,{'5) Release_Track'!$F:$F&amp;'5) Release_Track'!$G:$G,'5) Release_Track'!$J:$J},2,0),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F188" s="88"/>
      <c r="G188" s="92"/>
      <c r="H188" s="185"/>
      <c r="I188" s="121" t="str">
        <f t="shared" si="2"/>
        <v/>
      </c>
      <c r="J188" s="92"/>
      <c r="K188" s="92"/>
    </row>
    <row r="189">
      <c r="B189" s="97"/>
      <c r="C189" s="121" t="str">
        <f t="array" ref="C189">ifs(and(isblank($A189),isblank($B189)),"", not(iserror(vlookup($A189&amp;$B189,'5) Release_Track'!$F:$F&amp;'5) Release_Track'!$G:$G,1,0))),vlookup($A189&amp;$B189,{'5) Release_Track'!$F:$F&amp;'5) Release_Track'!$G:$G,'5) Release_Track'!$H:$H},2,0),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D189" s="121" t="str">
        <f t="array" ref="D189">ifs(and(isblank($A189),isblank($B189)),"", not(iserror(vlookup($A189&amp;$B189,'5) Release_Track'!$F:$F&amp;'5) Release_Track'!$G:$G,1,0))),vlookup($A189&amp;$B189,{'5) Release_Track'!$F:$F&amp;'5) Release_Track'!$G:$G,'5) Release_Track'!$I:$I},2,0),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E189" s="116" t="str">
        <f t="array" ref="E189">ifs(and(isblank($A189),isblank($B189)),"", not(iserror(vlookup($A189&amp;$B189,'5) Release_Track'!$F:$F&amp;'5) Release_Track'!$G:$G,1,0))),vlookup($A189&amp;$B189,{'5) Release_Track'!$F:$F&amp;'5) Release_Track'!$G:$G,'5) Release_Track'!$J:$J},2,0),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F189" s="88"/>
      <c r="G189" s="92"/>
      <c r="H189" s="185"/>
      <c r="I189" s="121" t="str">
        <f t="shared" si="2"/>
        <v/>
      </c>
      <c r="J189" s="92"/>
      <c r="K189" s="92"/>
    </row>
    <row r="190">
      <c r="B190" s="97"/>
      <c r="C190" s="121" t="str">
        <f t="array" ref="C190">ifs(and(isblank($A190),isblank($B190)),"", not(iserror(vlookup($A190&amp;$B190,'5) Release_Track'!$F:$F&amp;'5) Release_Track'!$G:$G,1,0))),vlookup($A190&amp;$B190,{'5) Release_Track'!$F:$F&amp;'5) Release_Track'!$G:$G,'5) Release_Track'!$H:$H},2,0),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D190" s="121" t="str">
        <f t="array" ref="D190">ifs(and(isblank($A190),isblank($B190)),"", not(iserror(vlookup($A190&amp;$B190,'5) Release_Track'!$F:$F&amp;'5) Release_Track'!$G:$G,1,0))),vlookup($A190&amp;$B190,{'5) Release_Track'!$F:$F&amp;'5) Release_Track'!$G:$G,'5) Release_Track'!$I:$I},2,0),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E190" s="116" t="str">
        <f t="array" ref="E190">ifs(and(isblank($A190),isblank($B190)),"", not(iserror(vlookup($A190&amp;$B190,'5) Release_Track'!$F:$F&amp;'5) Release_Track'!$G:$G,1,0))),vlookup($A190&amp;$B190,{'5) Release_Track'!$F:$F&amp;'5) Release_Track'!$G:$G,'5) Release_Track'!$J:$J},2,0),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F190" s="88"/>
      <c r="G190" s="92"/>
      <c r="H190" s="185"/>
      <c r="I190" s="121" t="str">
        <f t="shared" si="2"/>
        <v/>
      </c>
      <c r="J190" s="92"/>
      <c r="K190" s="92"/>
    </row>
    <row r="191">
      <c r="B191" s="97"/>
      <c r="C191" s="121" t="str">
        <f t="array" ref="C191">ifs(and(isblank($A191),isblank($B191)),"", not(iserror(vlookup($A191&amp;$B191,'5) Release_Track'!$F:$F&amp;'5) Release_Track'!$G:$G,1,0))),vlookup($A191&amp;$B191,{'5) Release_Track'!$F:$F&amp;'5) Release_Track'!$G:$G,'5) Release_Track'!$H:$H},2,0),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D191" s="121" t="str">
        <f t="array" ref="D191">ifs(and(isblank($A191),isblank($B191)),"", not(iserror(vlookup($A191&amp;$B191,'5) Release_Track'!$F:$F&amp;'5) Release_Track'!$G:$G,1,0))),vlookup($A191&amp;$B191,{'5) Release_Track'!$F:$F&amp;'5) Release_Track'!$G:$G,'5) Release_Track'!$I:$I},2,0),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E191" s="116" t="str">
        <f t="array" ref="E191">ifs(and(isblank($A191),isblank($B191)),"", not(iserror(vlookup($A191&amp;$B191,'5) Release_Track'!$F:$F&amp;'5) Release_Track'!$G:$G,1,0))),vlookup($A191&amp;$B191,{'5) Release_Track'!$F:$F&amp;'5) Release_Track'!$G:$G,'5) Release_Track'!$J:$J},2,0),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F191" s="88"/>
      <c r="G191" s="92"/>
      <c r="H191" s="185"/>
      <c r="I191" s="121" t="str">
        <f t="shared" si="2"/>
        <v/>
      </c>
      <c r="J191" s="92"/>
      <c r="K191" s="92"/>
    </row>
    <row r="192">
      <c r="B192" s="97"/>
      <c r="C192" s="121" t="str">
        <f t="array" ref="C192">ifs(and(isblank($A192),isblank($B192)),"", not(iserror(vlookup($A192&amp;$B192,'5) Release_Track'!$F:$F&amp;'5) Release_Track'!$G:$G,1,0))),vlookup($A192&amp;$B192,{'5) Release_Track'!$F:$F&amp;'5) Release_Track'!$G:$G,'5) Release_Track'!$H:$H},2,0),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D192" s="121" t="str">
        <f t="array" ref="D192">ifs(and(isblank($A192),isblank($B192)),"", not(iserror(vlookup($A192&amp;$B192,'5) Release_Track'!$F:$F&amp;'5) Release_Track'!$G:$G,1,0))),vlookup($A192&amp;$B192,{'5) Release_Track'!$F:$F&amp;'5) Release_Track'!$G:$G,'5) Release_Track'!$I:$I},2,0),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E192" s="116" t="str">
        <f t="array" ref="E192">ifs(and(isblank($A192),isblank($B192)),"", not(iserror(vlookup($A192&amp;$B192,'5) Release_Track'!$F:$F&amp;'5) Release_Track'!$G:$G,1,0))),vlookup($A192&amp;$B192,{'5) Release_Track'!$F:$F&amp;'5) Release_Track'!$G:$G,'5) Release_Track'!$J:$J},2,0),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F192" s="88"/>
      <c r="G192" s="92"/>
      <c r="H192" s="185"/>
      <c r="I192" s="121" t="str">
        <f t="shared" si="2"/>
        <v/>
      </c>
      <c r="J192" s="92"/>
      <c r="K192" s="92"/>
    </row>
    <row r="193">
      <c r="B193" s="97"/>
      <c r="C193" s="121" t="str">
        <f t="array" ref="C193">ifs(and(isblank($A193),isblank($B193)),"", not(iserror(vlookup($A193&amp;$B193,'5) Release_Track'!$F:$F&amp;'5) Release_Track'!$G:$G,1,0))),vlookup($A193&amp;$B193,{'5) Release_Track'!$F:$F&amp;'5) Release_Track'!$G:$G,'5) Release_Track'!$H:$H},2,0),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D193" s="121" t="str">
        <f t="array" ref="D193">ifs(and(isblank($A193),isblank($B193)),"", not(iserror(vlookup($A193&amp;$B193,'5) Release_Track'!$F:$F&amp;'5) Release_Track'!$G:$G,1,0))),vlookup($A193&amp;$B193,{'5) Release_Track'!$F:$F&amp;'5) Release_Track'!$G:$G,'5) Release_Track'!$I:$I},2,0),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E193" s="116" t="str">
        <f t="array" ref="E193">ifs(and(isblank($A193),isblank($B193)),"", not(iserror(vlookup($A193&amp;$B193,'5) Release_Track'!$F:$F&amp;'5) Release_Track'!$G:$G,1,0))),vlookup($A193&amp;$B193,{'5) Release_Track'!$F:$F&amp;'5) Release_Track'!$G:$G,'5) Release_Track'!$J:$J},2,0),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F193" s="88"/>
      <c r="G193" s="92"/>
      <c r="H193" s="185"/>
      <c r="I193" s="121" t="str">
        <f t="shared" si="2"/>
        <v/>
      </c>
      <c r="J193" s="92"/>
      <c r="K193" s="92"/>
    </row>
    <row r="194">
      <c r="B194" s="97"/>
      <c r="C194" s="121" t="str">
        <f t="array" ref="C194">ifs(and(isblank($A194),isblank($B194)),"", not(iserror(vlookup($A194&amp;$B194,'5) Release_Track'!$F:$F&amp;'5) Release_Track'!$G:$G,1,0))),vlookup($A194&amp;$B194,{'5) Release_Track'!$F:$F&amp;'5) Release_Track'!$G:$G,'5) Release_Track'!$H:$H},2,0),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D194" s="121" t="str">
        <f t="array" ref="D194">ifs(and(isblank($A194),isblank($B194)),"", not(iserror(vlookup($A194&amp;$B194,'5) Release_Track'!$F:$F&amp;'5) Release_Track'!$G:$G,1,0))),vlookup($A194&amp;$B194,{'5) Release_Track'!$F:$F&amp;'5) Release_Track'!$G:$G,'5) Release_Track'!$I:$I},2,0),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E194" s="116" t="str">
        <f t="array" ref="E194">ifs(and(isblank($A194),isblank($B194)),"", not(iserror(vlookup($A194&amp;$B194,'5) Release_Track'!$F:$F&amp;'5) Release_Track'!$G:$G,1,0))),vlookup($A194&amp;$B194,{'5) Release_Track'!$F:$F&amp;'5) Release_Track'!$G:$G,'5) Release_Track'!$J:$J},2,0),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F194" s="88"/>
      <c r="G194" s="92"/>
      <c r="H194" s="185"/>
      <c r="I194" s="121" t="str">
        <f t="shared" si="2"/>
        <v/>
      </c>
      <c r="J194" s="92"/>
      <c r="K194" s="92"/>
    </row>
    <row r="195">
      <c r="B195" s="97"/>
      <c r="C195" s="121" t="str">
        <f t="array" ref="C195">ifs(and(isblank($A195),isblank($B195)),"", not(iserror(vlookup($A195&amp;$B195,'5) Release_Track'!$F:$F&amp;'5) Release_Track'!$G:$G,1,0))),vlookup($A195&amp;$B195,{'5) Release_Track'!$F:$F&amp;'5) Release_Track'!$G:$G,'5) Release_Track'!$H:$H},2,0),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D195" s="121" t="str">
        <f t="array" ref="D195">ifs(and(isblank($A195),isblank($B195)),"", not(iserror(vlookup($A195&amp;$B195,'5) Release_Track'!$F:$F&amp;'5) Release_Track'!$G:$G,1,0))),vlookup($A195&amp;$B195,{'5) Release_Track'!$F:$F&amp;'5) Release_Track'!$G:$G,'5) Release_Track'!$I:$I},2,0),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E195" s="116" t="str">
        <f t="array" ref="E195">ifs(and(isblank($A195),isblank($B195)),"", not(iserror(vlookup($A195&amp;$B195,'5) Release_Track'!$F:$F&amp;'5) Release_Track'!$G:$G,1,0))),vlookup($A195&amp;$B195,{'5) Release_Track'!$F:$F&amp;'5) Release_Track'!$G:$G,'5) Release_Track'!$J:$J},2,0),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F195" s="88"/>
      <c r="G195" s="92"/>
      <c r="H195" s="185"/>
      <c r="I195" s="121" t="str">
        <f t="shared" si="2"/>
        <v/>
      </c>
      <c r="J195" s="92"/>
      <c r="K195" s="92"/>
    </row>
    <row r="196">
      <c r="B196" s="97"/>
      <c r="C196" s="121" t="str">
        <f t="array" ref="C196">ifs(and(isblank($A196),isblank($B196)),"", not(iserror(vlookup($A196&amp;$B196,'5) Release_Track'!$F:$F&amp;'5) Release_Track'!$G:$G,1,0))),vlookup($A196&amp;$B196,{'5) Release_Track'!$F:$F&amp;'5) Release_Track'!$G:$G,'5) Release_Track'!$H:$H},2,0),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D196" s="121" t="str">
        <f t="array" ref="D196">ifs(and(isblank($A196),isblank($B196)),"", not(iserror(vlookup($A196&amp;$B196,'5) Release_Track'!$F:$F&amp;'5) Release_Track'!$G:$G,1,0))),vlookup($A196&amp;$B196,{'5) Release_Track'!$F:$F&amp;'5) Release_Track'!$G:$G,'5) Release_Track'!$I:$I},2,0),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E196" s="116" t="str">
        <f t="array" ref="E196">ifs(and(isblank($A196),isblank($B196)),"", not(iserror(vlookup($A196&amp;$B196,'5) Release_Track'!$F:$F&amp;'5) Release_Track'!$G:$G,1,0))),vlookup($A196&amp;$B196,{'5) Release_Track'!$F:$F&amp;'5) Release_Track'!$G:$G,'5) Release_Track'!$J:$J},2,0),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F196" s="88"/>
      <c r="G196" s="92"/>
      <c r="H196" s="185"/>
      <c r="I196" s="121" t="str">
        <f t="shared" si="2"/>
        <v/>
      </c>
      <c r="J196" s="92"/>
      <c r="K196" s="92"/>
    </row>
    <row r="197">
      <c r="B197" s="97"/>
      <c r="C197" s="121" t="str">
        <f t="array" ref="C197">ifs(and(isblank($A197),isblank($B197)),"", not(iserror(vlookup($A197&amp;$B197,'5) Release_Track'!$F:$F&amp;'5) Release_Track'!$G:$G,1,0))),vlookup($A197&amp;$B197,{'5) Release_Track'!$F:$F&amp;'5) Release_Track'!$G:$G,'5) Release_Track'!$H:$H},2,0),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D197" s="121" t="str">
        <f t="array" ref="D197">ifs(and(isblank($A197),isblank($B197)),"", not(iserror(vlookup($A197&amp;$B197,'5) Release_Track'!$F:$F&amp;'5) Release_Track'!$G:$G,1,0))),vlookup($A197&amp;$B197,{'5) Release_Track'!$F:$F&amp;'5) Release_Track'!$G:$G,'5) Release_Track'!$I:$I},2,0),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E197" s="116" t="str">
        <f t="array" ref="E197">ifs(and(isblank($A197),isblank($B197)),"", not(iserror(vlookup($A197&amp;$B197,'5) Release_Track'!$F:$F&amp;'5) Release_Track'!$G:$G,1,0))),vlookup($A197&amp;$B197,{'5) Release_Track'!$F:$F&amp;'5) Release_Track'!$G:$G,'5) Release_Track'!$J:$J},2,0),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F197" s="88"/>
      <c r="G197" s="92"/>
      <c r="H197" s="185"/>
      <c r="I197" s="121" t="str">
        <f t="shared" si="2"/>
        <v/>
      </c>
      <c r="J197" s="92"/>
      <c r="K197" s="92"/>
    </row>
    <row r="198">
      <c r="B198" s="97"/>
      <c r="C198" s="121" t="str">
        <f t="array" ref="C198">ifs(and(isblank($A198),isblank($B198)),"", not(iserror(vlookup($A198&amp;$B198,'5) Release_Track'!$F:$F&amp;'5) Release_Track'!$G:$G,1,0))),vlookup($A198&amp;$B198,{'5) Release_Track'!$F:$F&amp;'5) Release_Track'!$G:$G,'5) Release_Track'!$H:$H},2,0),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D198" s="121" t="str">
        <f t="array" ref="D198">ifs(and(isblank($A198),isblank($B198)),"", not(iserror(vlookup($A198&amp;$B198,'5) Release_Track'!$F:$F&amp;'5) Release_Track'!$G:$G,1,0))),vlookup($A198&amp;$B198,{'5) Release_Track'!$F:$F&amp;'5) Release_Track'!$G:$G,'5) Release_Track'!$I:$I},2,0),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E198" s="116" t="str">
        <f t="array" ref="E198">ifs(and(isblank($A198),isblank($B198)),"", not(iserror(vlookup($A198&amp;$B198,'5) Release_Track'!$F:$F&amp;'5) Release_Track'!$G:$G,1,0))),vlookup($A198&amp;$B198,{'5) Release_Track'!$F:$F&amp;'5) Release_Track'!$G:$G,'5) Release_Track'!$J:$J},2,0),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F198" s="88"/>
      <c r="G198" s="92"/>
      <c r="H198" s="185"/>
      <c r="I198" s="121" t="str">
        <f t="shared" si="2"/>
        <v/>
      </c>
      <c r="J198" s="92"/>
      <c r="K198" s="92"/>
    </row>
    <row r="199">
      <c r="B199" s="97"/>
      <c r="C199" s="121" t="str">
        <f t="array" ref="C199">ifs(and(isblank($A199),isblank($B199)),"", not(iserror(vlookup($A199&amp;$B199,'5) Release_Track'!$F:$F&amp;'5) Release_Track'!$G:$G,1,0))),vlookup($A199&amp;$B199,{'5) Release_Track'!$F:$F&amp;'5) Release_Track'!$G:$G,'5) Release_Track'!$H:$H},2,0),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D199" s="121" t="str">
        <f t="array" ref="D199">ifs(and(isblank($A199),isblank($B199)),"", not(iserror(vlookup($A199&amp;$B199,'5) Release_Track'!$F:$F&amp;'5) Release_Track'!$G:$G,1,0))),vlookup($A199&amp;$B199,{'5) Release_Track'!$F:$F&amp;'5) Release_Track'!$G:$G,'5) Release_Track'!$I:$I},2,0),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E199" s="116" t="str">
        <f t="array" ref="E199">ifs(and(isblank($A199),isblank($B199)),"", not(iserror(vlookup($A199&amp;$B199,'5) Release_Track'!$F:$F&amp;'5) Release_Track'!$G:$G,1,0))),vlookup($A199&amp;$B199,{'5) Release_Track'!$F:$F&amp;'5) Release_Track'!$G:$G,'5) Release_Track'!$J:$J},2,0),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F199" s="88"/>
      <c r="G199" s="92"/>
      <c r="H199" s="185"/>
      <c r="I199" s="121" t="str">
        <f t="shared" si="2"/>
        <v/>
      </c>
      <c r="J199" s="92"/>
      <c r="K199" s="92"/>
    </row>
    <row r="200">
      <c r="B200" s="97"/>
      <c r="C200" s="121" t="str">
        <f t="array" ref="C200">ifs(and(isblank($A200),isblank($B200)),"", not(iserror(vlookup($A200&amp;$B200,'5) Release_Track'!$F:$F&amp;'5) Release_Track'!$G:$G,1,0))),vlookup($A200&amp;$B200,{'5) Release_Track'!$F:$F&amp;'5) Release_Track'!$G:$G,'5) Release_Track'!$H:$H},2,0),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D200" s="121" t="str">
        <f t="array" ref="D200">ifs(and(isblank($A200),isblank($B200)),"", not(iserror(vlookup($A200&amp;$B200,'5) Release_Track'!$F:$F&amp;'5) Release_Track'!$G:$G,1,0))),vlookup($A200&amp;$B200,{'5) Release_Track'!$F:$F&amp;'5) Release_Track'!$G:$G,'5) Release_Track'!$I:$I},2,0),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E200" s="116" t="str">
        <f t="array" ref="E200">ifs(and(isblank($A200),isblank($B200)),"", not(iserror(vlookup($A200&amp;$B200,'5) Release_Track'!$F:$F&amp;'5) Release_Track'!$G:$G,1,0))),vlookup($A200&amp;$B200,{'5) Release_Track'!$F:$F&amp;'5) Release_Track'!$G:$G,'5) Release_Track'!$J:$J},2,0),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F200" s="88"/>
      <c r="G200" s="92"/>
      <c r="H200" s="185"/>
      <c r="I200" s="121" t="str">
        <f t="shared" si="2"/>
        <v/>
      </c>
      <c r="J200" s="92"/>
      <c r="K200" s="92"/>
    </row>
    <row r="201">
      <c r="B201" s="97"/>
      <c r="C201" s="121" t="str">
        <f t="array" ref="C201">ifs(and(isblank($A201),isblank($B201)),"", not(iserror(vlookup($A201&amp;$B201,'5) Release_Track'!$F:$F&amp;'5) Release_Track'!$G:$G,1,0))),vlookup($A201&amp;$B201,{'5) Release_Track'!$F:$F&amp;'5) Release_Track'!$G:$G,'5) Release_Track'!$H:$H},2,0),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D201" s="121" t="str">
        <f t="array" ref="D201">ifs(and(isblank($A201),isblank($B201)),"", not(iserror(vlookup($A201&amp;$B201,'5) Release_Track'!$F:$F&amp;'5) Release_Track'!$G:$G,1,0))),vlookup($A201&amp;$B201,{'5) Release_Track'!$F:$F&amp;'5) Release_Track'!$G:$G,'5) Release_Track'!$I:$I},2,0),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E201" s="116" t="str">
        <f t="array" ref="E201">ifs(and(isblank($A201),isblank($B201)),"", not(iserror(vlookup($A201&amp;$B201,'5) Release_Track'!$F:$F&amp;'5) Release_Track'!$G:$G,1,0))),vlookup($A201&amp;$B201,{'5) Release_Track'!$F:$F&amp;'5) Release_Track'!$G:$G,'5) Release_Track'!$J:$J},2,0),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F201" s="88"/>
      <c r="G201" s="92"/>
      <c r="H201" s="185"/>
      <c r="I201" s="121" t="str">
        <f t="shared" si="2"/>
        <v/>
      </c>
      <c r="J201" s="92"/>
      <c r="K201" s="92"/>
    </row>
    <row r="202">
      <c r="B202" s="97"/>
      <c r="C202" s="121" t="str">
        <f t="array" ref="C202">ifs(and(isblank($A202),isblank($B202)),"", not(iserror(vlookup($A202&amp;$B202,'5) Release_Track'!$F:$F&amp;'5) Release_Track'!$G:$G,1,0))),vlookup($A202&amp;$B202,{'5) Release_Track'!$F:$F&amp;'5) Release_Track'!$G:$G,'5) Release_Track'!$H:$H},2,0),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D202" s="121" t="str">
        <f t="array" ref="D202">ifs(and(isblank($A202),isblank($B202)),"", not(iserror(vlookup($A202&amp;$B202,'5) Release_Track'!$F:$F&amp;'5) Release_Track'!$G:$G,1,0))),vlookup($A202&amp;$B202,{'5) Release_Track'!$F:$F&amp;'5) Release_Track'!$G:$G,'5) Release_Track'!$I:$I},2,0),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E202" s="116" t="str">
        <f t="array" ref="E202">ifs(and(isblank($A202),isblank($B202)),"", not(iserror(vlookup($A202&amp;$B202,'5) Release_Track'!$F:$F&amp;'5) Release_Track'!$G:$G,1,0))),vlookup($A202&amp;$B202,{'5) Release_Track'!$F:$F&amp;'5) Release_Track'!$G:$G,'5) Release_Track'!$J:$J},2,0),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F202" s="88"/>
      <c r="G202" s="92"/>
      <c r="H202" s="185"/>
      <c r="I202" s="121" t="str">
        <f t="shared" si="2"/>
        <v/>
      </c>
      <c r="J202" s="92"/>
      <c r="K202" s="92"/>
    </row>
    <row r="203">
      <c r="B203" s="97"/>
      <c r="C203" s="121" t="str">
        <f t="array" ref="C203">ifs(and(isblank($A203),isblank($B203)),"", not(iserror(vlookup($A203&amp;$B203,'5) Release_Track'!$F:$F&amp;'5) Release_Track'!$G:$G,1,0))),vlookup($A203&amp;$B203,{'5) Release_Track'!$F:$F&amp;'5) Release_Track'!$G:$G,'5) Release_Track'!$H:$H},2,0),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D203" s="121" t="str">
        <f t="array" ref="D203">ifs(and(isblank($A203),isblank($B203)),"", not(iserror(vlookup($A203&amp;$B203,'5) Release_Track'!$F:$F&amp;'5) Release_Track'!$G:$G,1,0))),vlookup($A203&amp;$B203,{'5) Release_Track'!$F:$F&amp;'5) Release_Track'!$G:$G,'5) Release_Track'!$I:$I},2,0),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E203" s="116" t="str">
        <f t="array" ref="E203">ifs(and(isblank($A203),isblank($B203)),"", not(iserror(vlookup($A203&amp;$B203,'5) Release_Track'!$F:$F&amp;'5) Release_Track'!$G:$G,1,0))),vlookup($A203&amp;$B203,{'5) Release_Track'!$F:$F&amp;'5) Release_Track'!$G:$G,'5) Release_Track'!$J:$J},2,0),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F203" s="88"/>
      <c r="G203" s="92"/>
      <c r="H203" s="185"/>
      <c r="I203" s="121" t="str">
        <f t="shared" si="2"/>
        <v/>
      </c>
      <c r="J203" s="92"/>
      <c r="K203" s="92"/>
    </row>
    <row r="204">
      <c r="B204" s="97"/>
      <c r="C204" s="121" t="str">
        <f t="array" ref="C204">ifs(and(isblank($A204),isblank($B204)),"", not(iserror(vlookup($A204&amp;$B204,'5) Release_Track'!$F:$F&amp;'5) Release_Track'!$G:$G,1,0))),vlookup($A204&amp;$B204,{'5) Release_Track'!$F:$F&amp;'5) Release_Track'!$G:$G,'5) Release_Track'!$H:$H},2,0),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D204" s="121" t="str">
        <f t="array" ref="D204">ifs(and(isblank($A204),isblank($B204)),"", not(iserror(vlookup($A204&amp;$B204,'5) Release_Track'!$F:$F&amp;'5) Release_Track'!$G:$G,1,0))),vlookup($A204&amp;$B204,{'5) Release_Track'!$F:$F&amp;'5) Release_Track'!$G:$G,'5) Release_Track'!$I:$I},2,0),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E204" s="116" t="str">
        <f t="array" ref="E204">ifs(and(isblank($A204),isblank($B204)),"", not(iserror(vlookup($A204&amp;$B204,'5) Release_Track'!$F:$F&amp;'5) Release_Track'!$G:$G,1,0))),vlookup($A204&amp;$B204,{'5) Release_Track'!$F:$F&amp;'5) Release_Track'!$G:$G,'5) Release_Track'!$J:$J},2,0),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F204" s="88"/>
      <c r="G204" s="92"/>
      <c r="H204" s="185"/>
      <c r="I204" s="121" t="str">
        <f t="shared" si="2"/>
        <v/>
      </c>
      <c r="J204" s="92"/>
      <c r="K204" s="92"/>
    </row>
    <row r="205">
      <c r="B205" s="97"/>
      <c r="C205" s="121" t="str">
        <f t="array" ref="C205">ifs(and(isblank($A205),isblank($B205)),"", not(iserror(vlookup($A205&amp;$B205,'5) Release_Track'!$F:$F&amp;'5) Release_Track'!$G:$G,1,0))),vlookup($A205&amp;$B205,{'5) Release_Track'!$F:$F&amp;'5) Release_Track'!$G:$G,'5) Release_Track'!$H:$H},2,0),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D205" s="121" t="str">
        <f t="array" ref="D205">ifs(and(isblank($A205),isblank($B205)),"", not(iserror(vlookup($A205&amp;$B205,'5) Release_Track'!$F:$F&amp;'5) Release_Track'!$G:$G,1,0))),vlookup($A205&amp;$B205,{'5) Release_Track'!$F:$F&amp;'5) Release_Track'!$G:$G,'5) Release_Track'!$I:$I},2,0),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E205" s="116" t="str">
        <f t="array" ref="E205">ifs(and(isblank($A205),isblank($B205)),"", not(iserror(vlookup($A205&amp;$B205,'5) Release_Track'!$F:$F&amp;'5) Release_Track'!$G:$G,1,0))),vlookup($A205&amp;$B205,{'5) Release_Track'!$F:$F&amp;'5) Release_Track'!$G:$G,'5) Release_Track'!$J:$J},2,0),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F205" s="88"/>
      <c r="G205" s="92"/>
      <c r="H205" s="185"/>
      <c r="I205" s="121" t="str">
        <f t="shared" si="2"/>
        <v/>
      </c>
      <c r="J205" s="92"/>
      <c r="K205" s="92"/>
    </row>
    <row r="206">
      <c r="B206" s="97"/>
      <c r="C206" s="121" t="str">
        <f t="array" ref="C206">ifs(and(isblank($A206),isblank($B206)),"", not(iserror(vlookup($A206&amp;$B206,'5) Release_Track'!$F:$F&amp;'5) Release_Track'!$G:$G,1,0))),vlookup($A206&amp;$B206,{'5) Release_Track'!$F:$F&amp;'5) Release_Track'!$G:$G,'5) Release_Track'!$H:$H},2,0),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D206" s="121" t="str">
        <f t="array" ref="D206">ifs(and(isblank($A206),isblank($B206)),"", not(iserror(vlookup($A206&amp;$B206,'5) Release_Track'!$F:$F&amp;'5) Release_Track'!$G:$G,1,0))),vlookup($A206&amp;$B206,{'5) Release_Track'!$F:$F&amp;'5) Release_Track'!$G:$G,'5) Release_Track'!$I:$I},2,0),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E206" s="116" t="str">
        <f t="array" ref="E206">ifs(and(isblank($A206),isblank($B206)),"", not(iserror(vlookup($A206&amp;$B206,'5) Release_Track'!$F:$F&amp;'5) Release_Track'!$G:$G,1,0))),vlookup($A206&amp;$B206,{'5) Release_Track'!$F:$F&amp;'5) Release_Track'!$G:$G,'5) Release_Track'!$J:$J},2,0),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F206" s="88"/>
      <c r="G206" s="92"/>
      <c r="H206" s="185"/>
      <c r="I206" s="121" t="str">
        <f t="shared" si="2"/>
        <v/>
      </c>
      <c r="J206" s="92"/>
      <c r="K206" s="92"/>
    </row>
    <row r="207">
      <c r="B207" s="97"/>
      <c r="C207" s="121" t="str">
        <f t="array" ref="C207">ifs(and(isblank($A207),isblank($B207)),"", not(iserror(vlookup($A207&amp;$B207,'5) Release_Track'!$F:$F&amp;'5) Release_Track'!$G:$G,1,0))),vlookup($A207&amp;$B207,{'5) Release_Track'!$F:$F&amp;'5) Release_Track'!$G:$G,'5) Release_Track'!$H:$H},2,0),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D207" s="121" t="str">
        <f t="array" ref="D207">ifs(and(isblank($A207),isblank($B207)),"", not(iserror(vlookup($A207&amp;$B207,'5) Release_Track'!$F:$F&amp;'5) Release_Track'!$G:$G,1,0))),vlookup($A207&amp;$B207,{'5) Release_Track'!$F:$F&amp;'5) Release_Track'!$G:$G,'5) Release_Track'!$I:$I},2,0),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E207" s="116" t="str">
        <f t="array" ref="E207">ifs(and(isblank($A207),isblank($B207)),"", not(iserror(vlookup($A207&amp;$B207,'5) Release_Track'!$F:$F&amp;'5) Release_Track'!$G:$G,1,0))),vlookup($A207&amp;$B207,{'5) Release_Track'!$F:$F&amp;'5) Release_Track'!$G:$G,'5) Release_Track'!$J:$J},2,0),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F207" s="88"/>
      <c r="G207" s="92"/>
      <c r="H207" s="185"/>
      <c r="I207" s="121" t="str">
        <f t="shared" si="2"/>
        <v/>
      </c>
      <c r="J207" s="92"/>
      <c r="K207" s="92"/>
    </row>
    <row r="208">
      <c r="B208" s="97"/>
      <c r="C208" s="121" t="str">
        <f t="array" ref="C208">ifs(and(isblank($A208),isblank($B208)),"", not(iserror(vlookup($A208&amp;$B208,'5) Release_Track'!$F:$F&amp;'5) Release_Track'!$G:$G,1,0))),vlookup($A208&amp;$B208,{'5) Release_Track'!$F:$F&amp;'5) Release_Track'!$G:$G,'5) Release_Track'!$H:$H},2,0),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D208" s="121" t="str">
        <f t="array" ref="D208">ifs(and(isblank($A208),isblank($B208)),"", not(iserror(vlookup($A208&amp;$B208,'5) Release_Track'!$F:$F&amp;'5) Release_Track'!$G:$G,1,0))),vlookup($A208&amp;$B208,{'5) Release_Track'!$F:$F&amp;'5) Release_Track'!$G:$G,'5) Release_Track'!$I:$I},2,0),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E208" s="116" t="str">
        <f t="array" ref="E208">ifs(and(isblank($A208),isblank($B208)),"", not(iserror(vlookup($A208&amp;$B208,'5) Release_Track'!$F:$F&amp;'5) Release_Track'!$G:$G,1,0))),vlookup($A208&amp;$B208,{'5) Release_Track'!$F:$F&amp;'5) Release_Track'!$G:$G,'5) Release_Track'!$J:$J},2,0),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F208" s="88"/>
      <c r="G208" s="92"/>
      <c r="H208" s="185"/>
      <c r="I208" s="121" t="str">
        <f t="shared" si="2"/>
        <v/>
      </c>
      <c r="J208" s="92"/>
      <c r="K208" s="92"/>
    </row>
    <row r="209">
      <c r="B209" s="97"/>
      <c r="C209" s="121" t="str">
        <f t="array" ref="C209">ifs(and(isblank($A209),isblank($B209)),"", not(iserror(vlookup($A209&amp;$B209,'5) Release_Track'!$F:$F&amp;'5) Release_Track'!$G:$G,1,0))),vlookup($A209&amp;$B209,{'5) Release_Track'!$F:$F&amp;'5) Release_Track'!$G:$G,'5) Release_Track'!$H:$H},2,0),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D209" s="121" t="str">
        <f t="array" ref="D209">ifs(and(isblank($A209),isblank($B209)),"", not(iserror(vlookup($A209&amp;$B209,'5) Release_Track'!$F:$F&amp;'5) Release_Track'!$G:$G,1,0))),vlookup($A209&amp;$B209,{'5) Release_Track'!$F:$F&amp;'5) Release_Track'!$G:$G,'5) Release_Track'!$I:$I},2,0),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E209" s="116" t="str">
        <f t="array" ref="E209">ifs(and(isblank($A209),isblank($B209)),"", not(iserror(vlookup($A209&amp;$B209,'5) Release_Track'!$F:$F&amp;'5) Release_Track'!$G:$G,1,0))),vlookup($A209&amp;$B209,{'5) Release_Track'!$F:$F&amp;'5) Release_Track'!$G:$G,'5) Release_Track'!$J:$J},2,0),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F209" s="88"/>
      <c r="G209" s="92"/>
      <c r="H209" s="185"/>
      <c r="I209" s="121" t="str">
        <f t="shared" si="2"/>
        <v/>
      </c>
      <c r="J209" s="92"/>
      <c r="K209" s="92"/>
    </row>
    <row r="210">
      <c r="B210" s="97"/>
      <c r="C210" s="121" t="str">
        <f t="array" ref="C210">ifs(and(isblank($A210),isblank($B210)),"", not(iserror(vlookup($A210&amp;$B210,'5) Release_Track'!$F:$F&amp;'5) Release_Track'!$G:$G,1,0))),vlookup($A210&amp;$B210,{'5) Release_Track'!$F:$F&amp;'5) Release_Track'!$G:$G,'5) Release_Track'!$H:$H},2,0),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D210" s="121" t="str">
        <f t="array" ref="D210">ifs(and(isblank($A210),isblank($B210)),"", not(iserror(vlookup($A210&amp;$B210,'5) Release_Track'!$F:$F&amp;'5) Release_Track'!$G:$G,1,0))),vlookup($A210&amp;$B210,{'5) Release_Track'!$F:$F&amp;'5) Release_Track'!$G:$G,'5) Release_Track'!$I:$I},2,0),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E210" s="116" t="str">
        <f t="array" ref="E210">ifs(and(isblank($A210),isblank($B210)),"", not(iserror(vlookup($A210&amp;$B210,'5) Release_Track'!$F:$F&amp;'5) Release_Track'!$G:$G,1,0))),vlookup($A210&amp;$B210,{'5) Release_Track'!$F:$F&amp;'5) Release_Track'!$G:$G,'5) Release_Track'!$J:$J},2,0),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F210" s="88"/>
      <c r="G210" s="92"/>
      <c r="H210" s="185"/>
      <c r="I210" s="121" t="str">
        <f t="shared" si="2"/>
        <v/>
      </c>
      <c r="J210" s="92"/>
      <c r="K210" s="92"/>
    </row>
    <row r="211">
      <c r="B211" s="97"/>
      <c r="C211" s="121" t="str">
        <f t="array" ref="C211">ifs(and(isblank($A211),isblank($B211)),"", not(iserror(vlookup($A211&amp;$B211,'5) Release_Track'!$F:$F&amp;'5) Release_Track'!$G:$G,1,0))),vlookup($A211&amp;$B211,{'5) Release_Track'!$F:$F&amp;'5) Release_Track'!$G:$G,'5) Release_Track'!$H:$H},2,0),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D211" s="121" t="str">
        <f t="array" ref="D211">ifs(and(isblank($A211),isblank($B211)),"", not(iserror(vlookup($A211&amp;$B211,'5) Release_Track'!$F:$F&amp;'5) Release_Track'!$G:$G,1,0))),vlookup($A211&amp;$B211,{'5) Release_Track'!$F:$F&amp;'5) Release_Track'!$G:$G,'5) Release_Track'!$I:$I},2,0),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E211" s="116" t="str">
        <f t="array" ref="E211">ifs(and(isblank($A211),isblank($B211)),"", not(iserror(vlookup($A211&amp;$B211,'5) Release_Track'!$F:$F&amp;'5) Release_Track'!$G:$G,1,0))),vlookup($A211&amp;$B211,{'5) Release_Track'!$F:$F&amp;'5) Release_Track'!$G:$G,'5) Release_Track'!$J:$J},2,0),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F211" s="88"/>
      <c r="G211" s="92"/>
      <c r="H211" s="185"/>
      <c r="I211" s="121" t="str">
        <f t="shared" si="2"/>
        <v/>
      </c>
      <c r="J211" s="92"/>
      <c r="K211" s="92"/>
    </row>
    <row r="212">
      <c r="B212" s="97"/>
      <c r="C212" s="121" t="str">
        <f t="array" ref="C212">ifs(and(isblank($A212),isblank($B212)),"", not(iserror(vlookup($A212&amp;$B212,'5) Release_Track'!$F:$F&amp;'5) Release_Track'!$G:$G,1,0))),vlookup($A212&amp;$B212,{'5) Release_Track'!$F:$F&amp;'5) Release_Track'!$G:$G,'5) Release_Track'!$H:$H},2,0),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D212" s="121" t="str">
        <f t="array" ref="D212">ifs(and(isblank($A212),isblank($B212)),"", not(iserror(vlookup($A212&amp;$B212,'5) Release_Track'!$F:$F&amp;'5) Release_Track'!$G:$G,1,0))),vlookup($A212&amp;$B212,{'5) Release_Track'!$F:$F&amp;'5) Release_Track'!$G:$G,'5) Release_Track'!$I:$I},2,0),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E212" s="116" t="str">
        <f t="array" ref="E212">ifs(and(isblank($A212),isblank($B212)),"", not(iserror(vlookup($A212&amp;$B212,'5) Release_Track'!$F:$F&amp;'5) Release_Track'!$G:$G,1,0))),vlookup($A212&amp;$B212,{'5) Release_Track'!$F:$F&amp;'5) Release_Track'!$G:$G,'5) Release_Track'!$J:$J},2,0),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F212" s="88"/>
      <c r="G212" s="92"/>
      <c r="H212" s="185"/>
      <c r="I212" s="121" t="str">
        <f t="shared" si="2"/>
        <v/>
      </c>
      <c r="J212" s="92"/>
      <c r="K212" s="92"/>
    </row>
    <row r="213">
      <c r="B213" s="97"/>
      <c r="C213" s="121" t="str">
        <f t="array" ref="C213">ifs(and(isblank($A213),isblank($B213)),"", not(iserror(vlookup($A213&amp;$B213,'5) Release_Track'!$F:$F&amp;'5) Release_Track'!$G:$G,1,0))),vlookup($A213&amp;$B213,{'5) Release_Track'!$F:$F&amp;'5) Release_Track'!$G:$G,'5) Release_Track'!$H:$H},2,0),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D213" s="121" t="str">
        <f t="array" ref="D213">ifs(and(isblank($A213),isblank($B213)),"", not(iserror(vlookup($A213&amp;$B213,'5) Release_Track'!$F:$F&amp;'5) Release_Track'!$G:$G,1,0))),vlookup($A213&amp;$B213,{'5) Release_Track'!$F:$F&amp;'5) Release_Track'!$G:$G,'5) Release_Track'!$I:$I},2,0),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E213" s="116" t="str">
        <f t="array" ref="E213">ifs(and(isblank($A213),isblank($B213)),"", not(iserror(vlookup($A213&amp;$B213,'5) Release_Track'!$F:$F&amp;'5) Release_Track'!$G:$G,1,0))),vlookup($A213&amp;$B213,{'5) Release_Track'!$F:$F&amp;'5) Release_Track'!$G:$G,'5) Release_Track'!$J:$J},2,0),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F213" s="88"/>
      <c r="G213" s="92"/>
      <c r="H213" s="185"/>
      <c r="I213" s="121" t="str">
        <f t="shared" si="2"/>
        <v/>
      </c>
      <c r="J213" s="92"/>
      <c r="K213" s="92"/>
    </row>
    <row r="214">
      <c r="B214" s="97"/>
      <c r="C214" s="121" t="str">
        <f t="array" ref="C214">ifs(and(isblank($A214),isblank($B214)),"", not(iserror(vlookup($A214&amp;$B214,'5) Release_Track'!$F:$F&amp;'5) Release_Track'!$G:$G,1,0))),vlookup($A214&amp;$B214,{'5) Release_Track'!$F:$F&amp;'5) Release_Track'!$G:$G,'5) Release_Track'!$H:$H},2,0),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D214" s="121" t="str">
        <f t="array" ref="D214">ifs(and(isblank($A214),isblank($B214)),"", not(iserror(vlookup($A214&amp;$B214,'5) Release_Track'!$F:$F&amp;'5) Release_Track'!$G:$G,1,0))),vlookup($A214&amp;$B214,{'5) Release_Track'!$F:$F&amp;'5) Release_Track'!$G:$G,'5) Release_Track'!$I:$I},2,0),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E214" s="116" t="str">
        <f t="array" ref="E214">ifs(and(isblank($A214),isblank($B214)),"", not(iserror(vlookup($A214&amp;$B214,'5) Release_Track'!$F:$F&amp;'5) Release_Track'!$G:$G,1,0))),vlookup($A214&amp;$B214,{'5) Release_Track'!$F:$F&amp;'5) Release_Track'!$G:$G,'5) Release_Track'!$J:$J},2,0),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F214" s="88"/>
      <c r="G214" s="92"/>
      <c r="H214" s="185"/>
      <c r="I214" s="121" t="str">
        <f t="shared" si="2"/>
        <v/>
      </c>
      <c r="J214" s="92"/>
      <c r="K214" s="92"/>
    </row>
    <row r="215">
      <c r="B215" s="97"/>
      <c r="C215" s="121" t="str">
        <f t="array" ref="C215">ifs(and(isblank($A215),isblank($B215)),"", not(iserror(vlookup($A215&amp;$B215,'5) Release_Track'!$F:$F&amp;'5) Release_Track'!$G:$G,1,0))),vlookup($A215&amp;$B215,{'5) Release_Track'!$F:$F&amp;'5) Release_Track'!$G:$G,'5) Release_Track'!$H:$H},2,0),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D215" s="121" t="str">
        <f t="array" ref="D215">ifs(and(isblank($A215),isblank($B215)),"", not(iserror(vlookup($A215&amp;$B215,'5) Release_Track'!$F:$F&amp;'5) Release_Track'!$G:$G,1,0))),vlookup($A215&amp;$B215,{'5) Release_Track'!$F:$F&amp;'5) Release_Track'!$G:$G,'5) Release_Track'!$I:$I},2,0),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E215" s="116" t="str">
        <f t="array" ref="E215">ifs(and(isblank($A215),isblank($B215)),"", not(iserror(vlookup($A215&amp;$B215,'5) Release_Track'!$F:$F&amp;'5) Release_Track'!$G:$G,1,0))),vlookup($A215&amp;$B215,{'5) Release_Track'!$F:$F&amp;'5) Release_Track'!$G:$G,'5) Release_Track'!$J:$J},2,0),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F215" s="88"/>
      <c r="G215" s="92"/>
      <c r="H215" s="185"/>
      <c r="I215" s="121" t="str">
        <f t="shared" si="2"/>
        <v/>
      </c>
      <c r="J215" s="92"/>
      <c r="K215" s="92"/>
    </row>
    <row r="216">
      <c r="B216" s="97"/>
      <c r="C216" s="121" t="str">
        <f t="array" ref="C216">ifs(and(isblank($A216),isblank($B216)),"", not(iserror(vlookup($A216&amp;$B216,'5) Release_Track'!$F:$F&amp;'5) Release_Track'!$G:$G,1,0))),vlookup($A216&amp;$B216,{'5) Release_Track'!$F:$F&amp;'5) Release_Track'!$G:$G,'5) Release_Track'!$H:$H},2,0),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D216" s="121" t="str">
        <f t="array" ref="D216">ifs(and(isblank($A216),isblank($B216)),"", not(iserror(vlookup($A216&amp;$B216,'5) Release_Track'!$F:$F&amp;'5) Release_Track'!$G:$G,1,0))),vlookup($A216&amp;$B216,{'5) Release_Track'!$F:$F&amp;'5) Release_Track'!$G:$G,'5) Release_Track'!$I:$I},2,0),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E216" s="116" t="str">
        <f t="array" ref="E216">ifs(and(isblank($A216),isblank($B216)),"", not(iserror(vlookup($A216&amp;$B216,'5) Release_Track'!$F:$F&amp;'5) Release_Track'!$G:$G,1,0))),vlookup($A216&amp;$B216,{'5) Release_Track'!$F:$F&amp;'5) Release_Track'!$G:$G,'5) Release_Track'!$J:$J},2,0),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F216" s="88"/>
      <c r="G216" s="92"/>
      <c r="H216" s="185"/>
      <c r="I216" s="121" t="str">
        <f t="shared" si="2"/>
        <v/>
      </c>
      <c r="J216" s="92"/>
      <c r="K216" s="92"/>
    </row>
    <row r="217">
      <c r="B217" s="97"/>
      <c r="C217" s="121" t="str">
        <f t="array" ref="C217">ifs(and(isblank($A217),isblank($B217)),"", not(iserror(vlookup($A217&amp;$B217,'5) Release_Track'!$F:$F&amp;'5) Release_Track'!$G:$G,1,0))),vlookup($A217&amp;$B217,{'5) Release_Track'!$F:$F&amp;'5) Release_Track'!$G:$G,'5) Release_Track'!$H:$H},2,0),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D217" s="121" t="str">
        <f t="array" ref="D217">ifs(and(isblank($A217),isblank($B217)),"", not(iserror(vlookup($A217&amp;$B217,'5) Release_Track'!$F:$F&amp;'5) Release_Track'!$G:$G,1,0))),vlookup($A217&amp;$B217,{'5) Release_Track'!$F:$F&amp;'5) Release_Track'!$G:$G,'5) Release_Track'!$I:$I},2,0),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E217" s="116" t="str">
        <f t="array" ref="E217">ifs(and(isblank($A217),isblank($B217)),"", not(iserror(vlookup($A217&amp;$B217,'5) Release_Track'!$F:$F&amp;'5) Release_Track'!$G:$G,1,0))),vlookup($A217&amp;$B217,{'5) Release_Track'!$F:$F&amp;'5) Release_Track'!$G:$G,'5) Release_Track'!$J:$J},2,0),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F217" s="88"/>
      <c r="G217" s="92"/>
      <c r="H217" s="185"/>
      <c r="I217" s="121" t="str">
        <f t="shared" si="2"/>
        <v/>
      </c>
      <c r="J217" s="92"/>
      <c r="K217" s="92"/>
    </row>
    <row r="218">
      <c r="B218" s="97"/>
      <c r="C218" s="121" t="str">
        <f t="array" ref="C218">ifs(and(isblank($A218),isblank($B218)),"", not(iserror(vlookup($A218&amp;$B218,'5) Release_Track'!$F:$F&amp;'5) Release_Track'!$G:$G,1,0))),vlookup($A218&amp;$B218,{'5) Release_Track'!$F:$F&amp;'5) Release_Track'!$G:$G,'5) Release_Track'!$H:$H},2,0),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D218" s="121" t="str">
        <f t="array" ref="D218">ifs(and(isblank($A218),isblank($B218)),"", not(iserror(vlookup($A218&amp;$B218,'5) Release_Track'!$F:$F&amp;'5) Release_Track'!$G:$G,1,0))),vlookup($A218&amp;$B218,{'5) Release_Track'!$F:$F&amp;'5) Release_Track'!$G:$G,'5) Release_Track'!$I:$I},2,0),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E218" s="116" t="str">
        <f t="array" ref="E218">ifs(and(isblank($A218),isblank($B218)),"", not(iserror(vlookup($A218&amp;$B218,'5) Release_Track'!$F:$F&amp;'5) Release_Track'!$G:$G,1,0))),vlookup($A218&amp;$B218,{'5) Release_Track'!$F:$F&amp;'5) Release_Track'!$G:$G,'5) Release_Track'!$J:$J},2,0),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F218" s="88"/>
      <c r="G218" s="92"/>
      <c r="H218" s="185"/>
      <c r="I218" s="121" t="str">
        <f t="shared" si="2"/>
        <v/>
      </c>
      <c r="J218" s="92"/>
      <c r="K218" s="92"/>
    </row>
    <row r="219">
      <c r="B219" s="97"/>
      <c r="C219" s="121" t="str">
        <f t="array" ref="C219">ifs(and(isblank($A219),isblank($B219)),"", not(iserror(vlookup($A219&amp;$B219,'5) Release_Track'!$F:$F&amp;'5) Release_Track'!$G:$G,1,0))),vlookup($A219&amp;$B219,{'5) Release_Track'!$F:$F&amp;'5) Release_Track'!$G:$G,'5) Release_Track'!$H:$H},2,0),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D219" s="121" t="str">
        <f t="array" ref="D219">ifs(and(isblank($A219),isblank($B219)),"", not(iserror(vlookup($A219&amp;$B219,'5) Release_Track'!$F:$F&amp;'5) Release_Track'!$G:$G,1,0))),vlookup($A219&amp;$B219,{'5) Release_Track'!$F:$F&amp;'5) Release_Track'!$G:$G,'5) Release_Track'!$I:$I},2,0),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E219" s="116" t="str">
        <f t="array" ref="E219">ifs(and(isblank($A219),isblank($B219)),"", not(iserror(vlookup($A219&amp;$B219,'5) Release_Track'!$F:$F&amp;'5) Release_Track'!$G:$G,1,0))),vlookup($A219&amp;$B219,{'5) Release_Track'!$F:$F&amp;'5) Release_Track'!$G:$G,'5) Release_Track'!$J:$J},2,0),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F219" s="88"/>
      <c r="G219" s="92"/>
      <c r="H219" s="185"/>
      <c r="I219" s="121" t="str">
        <f t="shared" si="2"/>
        <v/>
      </c>
      <c r="J219" s="92"/>
      <c r="K219" s="92"/>
    </row>
    <row r="220">
      <c r="B220" s="97"/>
      <c r="C220" s="121" t="str">
        <f t="array" ref="C220">ifs(and(isblank($A220),isblank($B220)),"", not(iserror(vlookup($A220&amp;$B220,'5) Release_Track'!$F:$F&amp;'5) Release_Track'!$G:$G,1,0))),vlookup($A220&amp;$B220,{'5) Release_Track'!$F:$F&amp;'5) Release_Track'!$G:$G,'5) Release_Track'!$H:$H},2,0),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D220" s="121" t="str">
        <f t="array" ref="D220">ifs(and(isblank($A220),isblank($B220)),"", not(iserror(vlookup($A220&amp;$B220,'5) Release_Track'!$F:$F&amp;'5) Release_Track'!$G:$G,1,0))),vlookup($A220&amp;$B220,{'5) Release_Track'!$F:$F&amp;'5) Release_Track'!$G:$G,'5) Release_Track'!$I:$I},2,0),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E220" s="116" t="str">
        <f t="array" ref="E220">ifs(and(isblank($A220),isblank($B220)),"", not(iserror(vlookup($A220&amp;$B220,'5) Release_Track'!$F:$F&amp;'5) Release_Track'!$G:$G,1,0))),vlookup($A220&amp;$B220,{'5) Release_Track'!$F:$F&amp;'5) Release_Track'!$G:$G,'5) Release_Track'!$J:$J},2,0),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F220" s="88"/>
      <c r="G220" s="92"/>
      <c r="H220" s="185"/>
      <c r="I220" s="121" t="str">
        <f t="shared" si="2"/>
        <v/>
      </c>
      <c r="J220" s="92"/>
      <c r="K220" s="92"/>
    </row>
    <row r="221">
      <c r="B221" s="97"/>
      <c r="C221" s="121" t="str">
        <f t="array" ref="C221">ifs(and(isblank($A221),isblank($B221)),"", not(iserror(vlookup($A221&amp;$B221,'5) Release_Track'!$F:$F&amp;'5) Release_Track'!$G:$G,1,0))),vlookup($A221&amp;$B221,{'5) Release_Track'!$F:$F&amp;'5) Release_Track'!$G:$G,'5) Release_Track'!$H:$H},2,0),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D221" s="121" t="str">
        <f t="array" ref="D221">ifs(and(isblank($A221),isblank($B221)),"", not(iserror(vlookup($A221&amp;$B221,'5) Release_Track'!$F:$F&amp;'5) Release_Track'!$G:$G,1,0))),vlookup($A221&amp;$B221,{'5) Release_Track'!$F:$F&amp;'5) Release_Track'!$G:$G,'5) Release_Track'!$I:$I},2,0),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E221" s="116" t="str">
        <f t="array" ref="E221">ifs(and(isblank($A221),isblank($B221)),"", not(iserror(vlookup($A221&amp;$B221,'5) Release_Track'!$F:$F&amp;'5) Release_Track'!$G:$G,1,0))),vlookup($A221&amp;$B221,{'5) Release_Track'!$F:$F&amp;'5) Release_Track'!$G:$G,'5) Release_Track'!$J:$J},2,0),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F221" s="88"/>
      <c r="G221" s="92"/>
      <c r="H221" s="185"/>
      <c r="I221" s="121" t="str">
        <f t="shared" si="2"/>
        <v/>
      </c>
      <c r="J221" s="92"/>
      <c r="K221" s="92"/>
    </row>
    <row r="222">
      <c r="B222" s="97"/>
      <c r="C222" s="121" t="str">
        <f t="array" ref="C222">ifs(and(isblank($A222),isblank($B222)),"", not(iserror(vlookup($A222&amp;$B222,'5) Release_Track'!$F:$F&amp;'5) Release_Track'!$G:$G,1,0))),vlookup($A222&amp;$B222,{'5) Release_Track'!$F:$F&amp;'5) Release_Track'!$G:$G,'5) Release_Track'!$H:$H},2,0),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D222" s="121" t="str">
        <f t="array" ref="D222">ifs(and(isblank($A222),isblank($B222)),"", not(iserror(vlookup($A222&amp;$B222,'5) Release_Track'!$F:$F&amp;'5) Release_Track'!$G:$G,1,0))),vlookup($A222&amp;$B222,{'5) Release_Track'!$F:$F&amp;'5) Release_Track'!$G:$G,'5) Release_Track'!$I:$I},2,0),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E222" s="116" t="str">
        <f t="array" ref="E222">ifs(and(isblank($A222),isblank($B222)),"", not(iserror(vlookup($A222&amp;$B222,'5) Release_Track'!$F:$F&amp;'5) Release_Track'!$G:$G,1,0))),vlookup($A222&amp;$B222,{'5) Release_Track'!$F:$F&amp;'5) Release_Track'!$G:$G,'5) Release_Track'!$J:$J},2,0),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F222" s="88"/>
      <c r="G222" s="92"/>
      <c r="H222" s="185"/>
      <c r="I222" s="121" t="str">
        <f t="shared" si="2"/>
        <v/>
      </c>
      <c r="J222" s="92"/>
      <c r="K222" s="92"/>
    </row>
    <row r="223">
      <c r="B223" s="97"/>
      <c r="C223" s="121" t="str">
        <f t="array" ref="C223">ifs(and(isblank($A223),isblank($B223)),"", not(iserror(vlookup($A223&amp;$B223,'5) Release_Track'!$F:$F&amp;'5) Release_Track'!$G:$G,1,0))),vlookup($A223&amp;$B223,{'5) Release_Track'!$F:$F&amp;'5) Release_Track'!$G:$G,'5) Release_Track'!$H:$H},2,0),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D223" s="121" t="str">
        <f t="array" ref="D223">ifs(and(isblank($A223),isblank($B223)),"", not(iserror(vlookup($A223&amp;$B223,'5) Release_Track'!$F:$F&amp;'5) Release_Track'!$G:$G,1,0))),vlookup($A223&amp;$B223,{'5) Release_Track'!$F:$F&amp;'5) Release_Track'!$G:$G,'5) Release_Track'!$I:$I},2,0),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E223" s="116" t="str">
        <f t="array" ref="E223">ifs(and(isblank($A223),isblank($B223)),"", not(iserror(vlookup($A223&amp;$B223,'5) Release_Track'!$F:$F&amp;'5) Release_Track'!$G:$G,1,0))),vlookup($A223&amp;$B223,{'5) Release_Track'!$F:$F&amp;'5) Release_Track'!$G:$G,'5) Release_Track'!$J:$J},2,0),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F223" s="88"/>
      <c r="G223" s="92"/>
      <c r="H223" s="185"/>
      <c r="I223" s="121" t="str">
        <f t="shared" si="2"/>
        <v/>
      </c>
      <c r="J223" s="92"/>
      <c r="K223" s="92"/>
    </row>
    <row r="224">
      <c r="B224" s="97"/>
      <c r="C224" s="121" t="str">
        <f t="array" ref="C224">ifs(and(isblank($A224),isblank($B224)),"", not(iserror(vlookup($A224&amp;$B224,'5) Release_Track'!$F:$F&amp;'5) Release_Track'!$G:$G,1,0))),vlookup($A224&amp;$B224,{'5) Release_Track'!$F:$F&amp;'5) Release_Track'!$G:$G,'5) Release_Track'!$H:$H},2,0),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D224" s="121" t="str">
        <f t="array" ref="D224">ifs(and(isblank($A224),isblank($B224)),"", not(iserror(vlookup($A224&amp;$B224,'5) Release_Track'!$F:$F&amp;'5) Release_Track'!$G:$G,1,0))),vlookup($A224&amp;$B224,{'5) Release_Track'!$F:$F&amp;'5) Release_Track'!$G:$G,'5) Release_Track'!$I:$I},2,0),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E224" s="116" t="str">
        <f t="array" ref="E224">ifs(and(isblank($A224),isblank($B224)),"", not(iserror(vlookup($A224&amp;$B224,'5) Release_Track'!$F:$F&amp;'5) Release_Track'!$G:$G,1,0))),vlookup($A224&amp;$B224,{'5) Release_Track'!$F:$F&amp;'5) Release_Track'!$G:$G,'5) Release_Track'!$J:$J},2,0),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F224" s="88"/>
      <c r="G224" s="92"/>
      <c r="H224" s="185"/>
      <c r="I224" s="121" t="str">
        <f t="shared" si="2"/>
        <v/>
      </c>
      <c r="J224" s="92"/>
      <c r="K224" s="92"/>
    </row>
    <row r="225">
      <c r="B225" s="97"/>
      <c r="C225" s="121" t="str">
        <f t="array" ref="C225">ifs(and(isblank($A225),isblank($B225)),"", not(iserror(vlookup($A225&amp;$B225,'5) Release_Track'!$F:$F&amp;'5) Release_Track'!$G:$G,1,0))),vlookup($A225&amp;$B225,{'5) Release_Track'!$F:$F&amp;'5) Release_Track'!$G:$G,'5) Release_Track'!$H:$H},2,0),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D225" s="121" t="str">
        <f t="array" ref="D225">ifs(and(isblank($A225),isblank($B225)),"", not(iserror(vlookup($A225&amp;$B225,'5) Release_Track'!$F:$F&amp;'5) Release_Track'!$G:$G,1,0))),vlookup($A225&amp;$B225,{'5) Release_Track'!$F:$F&amp;'5) Release_Track'!$G:$G,'5) Release_Track'!$I:$I},2,0),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E225" s="116" t="str">
        <f t="array" ref="E225">ifs(and(isblank($A225),isblank($B225)),"", not(iserror(vlookup($A225&amp;$B225,'5) Release_Track'!$F:$F&amp;'5) Release_Track'!$G:$G,1,0))),vlookup($A225&amp;$B225,{'5) Release_Track'!$F:$F&amp;'5) Release_Track'!$G:$G,'5) Release_Track'!$J:$J},2,0),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F225" s="88"/>
      <c r="G225" s="92"/>
      <c r="H225" s="185"/>
      <c r="I225" s="121" t="str">
        <f t="shared" si="2"/>
        <v/>
      </c>
      <c r="J225" s="92"/>
      <c r="K225" s="92"/>
    </row>
    <row r="226">
      <c r="B226" s="97"/>
      <c r="C226" s="121" t="str">
        <f t="array" ref="C226">ifs(and(isblank($A226),isblank($B226)),"", not(iserror(vlookup($A226&amp;$B226,'5) Release_Track'!$F:$F&amp;'5) Release_Track'!$G:$G,1,0))),vlookup($A226&amp;$B226,{'5) Release_Track'!$F:$F&amp;'5) Release_Track'!$G:$G,'5) Release_Track'!$H:$H},2,0),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D226" s="121" t="str">
        <f t="array" ref="D226">ifs(and(isblank($A226),isblank($B226)),"", not(iserror(vlookup($A226&amp;$B226,'5) Release_Track'!$F:$F&amp;'5) Release_Track'!$G:$G,1,0))),vlookup($A226&amp;$B226,{'5) Release_Track'!$F:$F&amp;'5) Release_Track'!$G:$G,'5) Release_Track'!$I:$I},2,0),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E226" s="116" t="str">
        <f t="array" ref="E226">ifs(and(isblank($A226),isblank($B226)),"", not(iserror(vlookup($A226&amp;$B226,'5) Release_Track'!$F:$F&amp;'5) Release_Track'!$G:$G,1,0))),vlookup($A226&amp;$B226,{'5) Release_Track'!$F:$F&amp;'5) Release_Track'!$G:$G,'5) Release_Track'!$J:$J},2,0),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F226" s="88"/>
      <c r="G226" s="92"/>
      <c r="H226" s="185"/>
      <c r="I226" s="121" t="str">
        <f t="shared" si="2"/>
        <v/>
      </c>
      <c r="J226" s="92"/>
      <c r="K226" s="92"/>
    </row>
    <row r="227">
      <c r="B227" s="97"/>
      <c r="C227" s="121" t="str">
        <f t="array" ref="C227">ifs(and(isblank($A227),isblank($B227)),"", not(iserror(vlookup($A227&amp;$B227,'5) Release_Track'!$F:$F&amp;'5) Release_Track'!$G:$G,1,0))),vlookup($A227&amp;$B227,{'5) Release_Track'!$F:$F&amp;'5) Release_Track'!$G:$G,'5) Release_Track'!$H:$H},2,0),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D227" s="121" t="str">
        <f t="array" ref="D227">ifs(and(isblank($A227),isblank($B227)),"", not(iserror(vlookup($A227&amp;$B227,'5) Release_Track'!$F:$F&amp;'5) Release_Track'!$G:$G,1,0))),vlookup($A227&amp;$B227,{'5) Release_Track'!$F:$F&amp;'5) Release_Track'!$G:$G,'5) Release_Track'!$I:$I},2,0),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E227" s="116" t="str">
        <f t="array" ref="E227">ifs(and(isblank($A227),isblank($B227)),"", not(iserror(vlookup($A227&amp;$B227,'5) Release_Track'!$F:$F&amp;'5) Release_Track'!$G:$G,1,0))),vlookup($A227&amp;$B227,{'5) Release_Track'!$F:$F&amp;'5) Release_Track'!$G:$G,'5) Release_Track'!$J:$J},2,0),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F227" s="88"/>
      <c r="G227" s="92"/>
      <c r="H227" s="185"/>
      <c r="I227" s="121" t="str">
        <f t="shared" si="2"/>
        <v/>
      </c>
      <c r="J227" s="92"/>
      <c r="K227" s="92"/>
    </row>
    <row r="228">
      <c r="B228" s="97"/>
      <c r="C228" s="121" t="str">
        <f t="array" ref="C228">ifs(and(isblank($A228),isblank($B228)),"", not(iserror(vlookup($A228&amp;$B228,'5) Release_Track'!$F:$F&amp;'5) Release_Track'!$G:$G,1,0))),vlookup($A228&amp;$B228,{'5) Release_Track'!$F:$F&amp;'5) Release_Track'!$G:$G,'5) Release_Track'!$H:$H},2,0),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D228" s="121" t="str">
        <f t="array" ref="D228">ifs(and(isblank($A228),isblank($B228)),"", not(iserror(vlookup($A228&amp;$B228,'5) Release_Track'!$F:$F&amp;'5) Release_Track'!$G:$G,1,0))),vlookup($A228&amp;$B228,{'5) Release_Track'!$F:$F&amp;'5) Release_Track'!$G:$G,'5) Release_Track'!$I:$I},2,0),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E228" s="116" t="str">
        <f t="array" ref="E228">ifs(and(isblank($A228),isblank($B228)),"", not(iserror(vlookup($A228&amp;$B228,'5) Release_Track'!$F:$F&amp;'5) Release_Track'!$G:$G,1,0))),vlookup($A228&amp;$B228,{'5) Release_Track'!$F:$F&amp;'5) Release_Track'!$G:$G,'5) Release_Track'!$J:$J},2,0),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F228" s="88"/>
      <c r="G228" s="92"/>
      <c r="H228" s="185"/>
      <c r="I228" s="121" t="str">
        <f t="shared" si="2"/>
        <v/>
      </c>
      <c r="J228" s="92"/>
      <c r="K228" s="92"/>
    </row>
    <row r="229">
      <c r="B229" s="97"/>
      <c r="C229" s="121" t="str">
        <f t="array" ref="C229">ifs(and(isblank($A229),isblank($B229)),"", not(iserror(vlookup($A229&amp;$B229,'5) Release_Track'!$F:$F&amp;'5) Release_Track'!$G:$G,1,0))),vlookup($A229&amp;$B229,{'5) Release_Track'!$F:$F&amp;'5) Release_Track'!$G:$G,'5) Release_Track'!$H:$H},2,0),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D229" s="121" t="str">
        <f t="array" ref="D229">ifs(and(isblank($A229),isblank($B229)),"", not(iserror(vlookup($A229&amp;$B229,'5) Release_Track'!$F:$F&amp;'5) Release_Track'!$G:$G,1,0))),vlookup($A229&amp;$B229,{'5) Release_Track'!$F:$F&amp;'5) Release_Track'!$G:$G,'5) Release_Track'!$I:$I},2,0),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E229" s="116" t="str">
        <f t="array" ref="E229">ifs(and(isblank($A229),isblank($B229)),"", not(iserror(vlookup($A229&amp;$B229,'5) Release_Track'!$F:$F&amp;'5) Release_Track'!$G:$G,1,0))),vlookup($A229&amp;$B229,{'5) Release_Track'!$F:$F&amp;'5) Release_Track'!$G:$G,'5) Release_Track'!$J:$J},2,0),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F229" s="88"/>
      <c r="G229" s="92"/>
      <c r="H229" s="185"/>
      <c r="I229" s="121" t="str">
        <f t="shared" si="2"/>
        <v/>
      </c>
      <c r="J229" s="92"/>
      <c r="K229" s="92"/>
    </row>
    <row r="230">
      <c r="B230" s="97"/>
      <c r="C230" s="121" t="str">
        <f t="array" ref="C230">ifs(and(isblank($A230),isblank($B230)),"", not(iserror(vlookup($A230&amp;$B230,'5) Release_Track'!$F:$F&amp;'5) Release_Track'!$G:$G,1,0))),vlookup($A230&amp;$B230,{'5) Release_Track'!$F:$F&amp;'5) Release_Track'!$G:$G,'5) Release_Track'!$H:$H},2,0),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D230" s="121" t="str">
        <f t="array" ref="D230">ifs(and(isblank($A230),isblank($B230)),"", not(iserror(vlookup($A230&amp;$B230,'5) Release_Track'!$F:$F&amp;'5) Release_Track'!$G:$G,1,0))),vlookup($A230&amp;$B230,{'5) Release_Track'!$F:$F&amp;'5) Release_Track'!$G:$G,'5) Release_Track'!$I:$I},2,0),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E230" s="116" t="str">
        <f t="array" ref="E230">ifs(and(isblank($A230),isblank($B230)),"", not(iserror(vlookup($A230&amp;$B230,'5) Release_Track'!$F:$F&amp;'5) Release_Track'!$G:$G,1,0))),vlookup($A230&amp;$B230,{'5) Release_Track'!$F:$F&amp;'5) Release_Track'!$G:$G,'5) Release_Track'!$J:$J},2,0),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F230" s="88"/>
      <c r="G230" s="92"/>
      <c r="H230" s="185"/>
      <c r="I230" s="121" t="str">
        <f t="shared" si="2"/>
        <v/>
      </c>
      <c r="J230" s="92"/>
      <c r="K230" s="92"/>
    </row>
    <row r="231">
      <c r="B231" s="97"/>
      <c r="C231" s="121" t="str">
        <f t="array" ref="C231">ifs(and(isblank($A231),isblank($B231)),"", not(iserror(vlookup($A231&amp;$B231,'5) Release_Track'!$F:$F&amp;'5) Release_Track'!$G:$G,1,0))),vlookup($A231&amp;$B231,{'5) Release_Track'!$F:$F&amp;'5) Release_Track'!$G:$G,'5) Release_Track'!$H:$H},2,0),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D231" s="121" t="str">
        <f t="array" ref="D231">ifs(and(isblank($A231),isblank($B231)),"", not(iserror(vlookup($A231&amp;$B231,'5) Release_Track'!$F:$F&amp;'5) Release_Track'!$G:$G,1,0))),vlookup($A231&amp;$B231,{'5) Release_Track'!$F:$F&amp;'5) Release_Track'!$G:$G,'5) Release_Track'!$I:$I},2,0),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E231" s="116" t="str">
        <f t="array" ref="E231">ifs(and(isblank($A231),isblank($B231)),"", not(iserror(vlookup($A231&amp;$B231,'5) Release_Track'!$F:$F&amp;'5) Release_Track'!$G:$G,1,0))),vlookup($A231&amp;$B231,{'5) Release_Track'!$F:$F&amp;'5) Release_Track'!$G:$G,'5) Release_Track'!$J:$J},2,0),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F231" s="88"/>
      <c r="G231" s="92"/>
      <c r="H231" s="185"/>
      <c r="I231" s="121" t="str">
        <f t="shared" si="2"/>
        <v/>
      </c>
      <c r="J231" s="92"/>
      <c r="K231" s="92"/>
    </row>
    <row r="232">
      <c r="B232" s="97"/>
      <c r="C232" s="121" t="str">
        <f t="array" ref="C232">ifs(and(isblank($A232),isblank($B232)),"", not(iserror(vlookup($A232&amp;$B232,'5) Release_Track'!$F:$F&amp;'5) Release_Track'!$G:$G,1,0))),vlookup($A232&amp;$B232,{'5) Release_Track'!$F:$F&amp;'5) Release_Track'!$G:$G,'5) Release_Track'!$H:$H},2,0),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D232" s="121" t="str">
        <f t="array" ref="D232">ifs(and(isblank($A232),isblank($B232)),"", not(iserror(vlookup($A232&amp;$B232,'5) Release_Track'!$F:$F&amp;'5) Release_Track'!$G:$G,1,0))),vlookup($A232&amp;$B232,{'5) Release_Track'!$F:$F&amp;'5) Release_Track'!$G:$G,'5) Release_Track'!$I:$I},2,0),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E232" s="116" t="str">
        <f t="array" ref="E232">ifs(and(isblank($A232),isblank($B232)),"", not(iserror(vlookup($A232&amp;$B232,'5) Release_Track'!$F:$F&amp;'5) Release_Track'!$G:$G,1,0))),vlookup($A232&amp;$B232,{'5) Release_Track'!$F:$F&amp;'5) Release_Track'!$G:$G,'5) Release_Track'!$J:$J},2,0),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F232" s="88"/>
      <c r="G232" s="92"/>
      <c r="H232" s="185"/>
      <c r="I232" s="121" t="str">
        <f t="shared" si="2"/>
        <v/>
      </c>
      <c r="J232" s="92"/>
      <c r="K232" s="92"/>
    </row>
    <row r="233">
      <c r="B233" s="97"/>
      <c r="C233" s="121" t="str">
        <f t="array" ref="C233">ifs(and(isblank($A233),isblank($B233)),"", not(iserror(vlookup($A233&amp;$B233,'5) Release_Track'!$F:$F&amp;'5) Release_Track'!$G:$G,1,0))),vlookup($A233&amp;$B233,{'5) Release_Track'!$F:$F&amp;'5) Release_Track'!$G:$G,'5) Release_Track'!$H:$H},2,0),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D233" s="121" t="str">
        <f t="array" ref="D233">ifs(and(isblank($A233),isblank($B233)),"", not(iserror(vlookup($A233&amp;$B233,'5) Release_Track'!$F:$F&amp;'5) Release_Track'!$G:$G,1,0))),vlookup($A233&amp;$B233,{'5) Release_Track'!$F:$F&amp;'5) Release_Track'!$G:$G,'5) Release_Track'!$I:$I},2,0),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E233" s="116" t="str">
        <f t="array" ref="E233">ifs(and(isblank($A233),isblank($B233)),"", not(iserror(vlookup($A233&amp;$B233,'5) Release_Track'!$F:$F&amp;'5) Release_Track'!$G:$G,1,0))),vlookup($A233&amp;$B233,{'5) Release_Track'!$F:$F&amp;'5) Release_Track'!$G:$G,'5) Release_Track'!$J:$J},2,0),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F233" s="88"/>
      <c r="G233" s="92"/>
      <c r="H233" s="185"/>
      <c r="I233" s="121" t="str">
        <f t="shared" si="2"/>
        <v/>
      </c>
      <c r="J233" s="92"/>
      <c r="K233" s="92"/>
    </row>
    <row r="234">
      <c r="B234" s="97"/>
      <c r="C234" s="121" t="str">
        <f t="array" ref="C234">ifs(and(isblank($A234),isblank($B234)),"", not(iserror(vlookup($A234&amp;$B234,'5) Release_Track'!$F:$F&amp;'5) Release_Track'!$G:$G,1,0))),vlookup($A234&amp;$B234,{'5) Release_Track'!$F:$F&amp;'5) Release_Track'!$G:$G,'5) Release_Track'!$H:$H},2,0),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D234" s="121" t="str">
        <f t="array" ref="D234">ifs(and(isblank($A234),isblank($B234)),"", not(iserror(vlookup($A234&amp;$B234,'5) Release_Track'!$F:$F&amp;'5) Release_Track'!$G:$G,1,0))),vlookup($A234&amp;$B234,{'5) Release_Track'!$F:$F&amp;'5) Release_Track'!$G:$G,'5) Release_Track'!$I:$I},2,0),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E234" s="116" t="str">
        <f t="array" ref="E234">ifs(and(isblank($A234),isblank($B234)),"", not(iserror(vlookup($A234&amp;$B234,'5) Release_Track'!$F:$F&amp;'5) Release_Track'!$G:$G,1,0))),vlookup($A234&amp;$B234,{'5) Release_Track'!$F:$F&amp;'5) Release_Track'!$G:$G,'5) Release_Track'!$J:$J},2,0),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F234" s="88"/>
      <c r="G234" s="92"/>
      <c r="H234" s="185"/>
      <c r="I234" s="121" t="str">
        <f t="shared" si="2"/>
        <v/>
      </c>
      <c r="J234" s="92"/>
      <c r="K234" s="92"/>
    </row>
    <row r="235">
      <c r="B235" s="97"/>
      <c r="C235" s="121" t="str">
        <f t="array" ref="C235">ifs(and(isblank($A235),isblank($B235)),"", not(iserror(vlookup($A235&amp;$B235,'5) Release_Track'!$F:$F&amp;'5) Release_Track'!$G:$G,1,0))),vlookup($A235&amp;$B235,{'5) Release_Track'!$F:$F&amp;'5) Release_Track'!$G:$G,'5) Release_Track'!$H:$H},2,0),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D235" s="121" t="str">
        <f t="array" ref="D235">ifs(and(isblank($A235),isblank($B235)),"", not(iserror(vlookup($A235&amp;$B235,'5) Release_Track'!$F:$F&amp;'5) Release_Track'!$G:$G,1,0))),vlookup($A235&amp;$B235,{'5) Release_Track'!$F:$F&amp;'5) Release_Track'!$G:$G,'5) Release_Track'!$I:$I},2,0),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E235" s="116" t="str">
        <f t="array" ref="E235">ifs(and(isblank($A235),isblank($B235)),"", not(iserror(vlookup($A235&amp;$B235,'5) Release_Track'!$F:$F&amp;'5) Release_Track'!$G:$G,1,0))),vlookup($A235&amp;$B235,{'5) Release_Track'!$F:$F&amp;'5) Release_Track'!$G:$G,'5) Release_Track'!$J:$J},2,0),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F235" s="88"/>
      <c r="G235" s="92"/>
      <c r="H235" s="185"/>
      <c r="I235" s="121" t="str">
        <f t="shared" si="2"/>
        <v/>
      </c>
      <c r="J235" s="92"/>
      <c r="K235" s="92"/>
    </row>
    <row r="236">
      <c r="B236" s="97"/>
      <c r="C236" s="121" t="str">
        <f t="array" ref="C236">ifs(and(isblank($A236),isblank($B236)),"", not(iserror(vlookup($A236&amp;$B236,'5) Release_Track'!$F:$F&amp;'5) Release_Track'!$G:$G,1,0))),vlookup($A236&amp;$B236,{'5) Release_Track'!$F:$F&amp;'5) Release_Track'!$G:$G,'5) Release_Track'!$H:$H},2,0),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D236" s="121" t="str">
        <f t="array" ref="D236">ifs(and(isblank($A236),isblank($B236)),"", not(iserror(vlookup($A236&amp;$B236,'5) Release_Track'!$F:$F&amp;'5) Release_Track'!$G:$G,1,0))),vlookup($A236&amp;$B236,{'5) Release_Track'!$F:$F&amp;'5) Release_Track'!$G:$G,'5) Release_Track'!$I:$I},2,0),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E236" s="116" t="str">
        <f t="array" ref="E236">ifs(and(isblank($A236),isblank($B236)),"", not(iserror(vlookup($A236&amp;$B236,'5) Release_Track'!$F:$F&amp;'5) Release_Track'!$G:$G,1,0))),vlookup($A236&amp;$B236,{'5) Release_Track'!$F:$F&amp;'5) Release_Track'!$G:$G,'5) Release_Track'!$J:$J},2,0),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F236" s="88"/>
      <c r="G236" s="92"/>
      <c r="H236" s="185"/>
      <c r="I236" s="121" t="str">
        <f t="shared" si="2"/>
        <v/>
      </c>
      <c r="J236" s="92"/>
      <c r="K236" s="92"/>
    </row>
    <row r="237">
      <c r="B237" s="97"/>
      <c r="C237" s="121" t="str">
        <f t="array" ref="C237">ifs(and(isblank($A237),isblank($B237)),"", not(iserror(vlookup($A237&amp;$B237,'5) Release_Track'!$F:$F&amp;'5) Release_Track'!$G:$G,1,0))),vlookup($A237&amp;$B237,{'5) Release_Track'!$F:$F&amp;'5) Release_Track'!$G:$G,'5) Release_Track'!$H:$H},2,0),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D237" s="121" t="str">
        <f t="array" ref="D237">ifs(and(isblank($A237),isblank($B237)),"", not(iserror(vlookup($A237&amp;$B237,'5) Release_Track'!$F:$F&amp;'5) Release_Track'!$G:$G,1,0))),vlookup($A237&amp;$B237,{'5) Release_Track'!$F:$F&amp;'5) Release_Track'!$G:$G,'5) Release_Track'!$I:$I},2,0),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E237" s="116" t="str">
        <f t="array" ref="E237">ifs(and(isblank($A237),isblank($B237)),"", not(iserror(vlookup($A237&amp;$B237,'5) Release_Track'!$F:$F&amp;'5) Release_Track'!$G:$G,1,0))),vlookup($A237&amp;$B237,{'5) Release_Track'!$F:$F&amp;'5) Release_Track'!$G:$G,'5) Release_Track'!$J:$J},2,0),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F237" s="88"/>
      <c r="G237" s="92"/>
      <c r="H237" s="185"/>
      <c r="I237" s="121" t="str">
        <f t="shared" si="2"/>
        <v/>
      </c>
      <c r="J237" s="92"/>
      <c r="K237" s="92"/>
    </row>
    <row r="238">
      <c r="B238" s="97"/>
      <c r="C238" s="121" t="str">
        <f t="array" ref="C238">ifs(and(isblank($A238),isblank($B238)),"", not(iserror(vlookup($A238&amp;$B238,'5) Release_Track'!$F:$F&amp;'5) Release_Track'!$G:$G,1,0))),vlookup($A238&amp;$B238,{'5) Release_Track'!$F:$F&amp;'5) Release_Track'!$G:$G,'5) Release_Track'!$H:$H},2,0),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D238" s="121" t="str">
        <f t="array" ref="D238">ifs(and(isblank($A238),isblank($B238)),"", not(iserror(vlookup($A238&amp;$B238,'5) Release_Track'!$F:$F&amp;'5) Release_Track'!$G:$G,1,0))),vlookup($A238&amp;$B238,{'5) Release_Track'!$F:$F&amp;'5) Release_Track'!$G:$G,'5) Release_Track'!$I:$I},2,0),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E238" s="116" t="str">
        <f t="array" ref="E238">ifs(and(isblank($A238),isblank($B238)),"", not(iserror(vlookup($A238&amp;$B238,'5) Release_Track'!$F:$F&amp;'5) Release_Track'!$G:$G,1,0))),vlookup($A238&amp;$B238,{'5) Release_Track'!$F:$F&amp;'5) Release_Track'!$G:$G,'5) Release_Track'!$J:$J},2,0),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F238" s="88"/>
      <c r="G238" s="92"/>
      <c r="H238" s="185"/>
      <c r="I238" s="121" t="str">
        <f t="shared" si="2"/>
        <v/>
      </c>
      <c r="J238" s="92"/>
      <c r="K238" s="92"/>
    </row>
    <row r="239">
      <c r="B239" s="97"/>
      <c r="C239" s="121" t="str">
        <f t="array" ref="C239">ifs(and(isblank($A239),isblank($B239)),"", not(iserror(vlookup($A239&amp;$B239,'5) Release_Track'!$F:$F&amp;'5) Release_Track'!$G:$G,1,0))),vlookup($A239&amp;$B239,{'5) Release_Track'!$F:$F&amp;'5) Release_Track'!$G:$G,'5) Release_Track'!$H:$H},2,0),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D239" s="121" t="str">
        <f t="array" ref="D239">ifs(and(isblank($A239),isblank($B239)),"", not(iserror(vlookup($A239&amp;$B239,'5) Release_Track'!$F:$F&amp;'5) Release_Track'!$G:$G,1,0))),vlookup($A239&amp;$B239,{'5) Release_Track'!$F:$F&amp;'5) Release_Track'!$G:$G,'5) Release_Track'!$I:$I},2,0),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E239" s="116" t="str">
        <f t="array" ref="E239">ifs(and(isblank($A239),isblank($B239)),"", not(iserror(vlookup($A239&amp;$B239,'5) Release_Track'!$F:$F&amp;'5) Release_Track'!$G:$G,1,0))),vlookup($A239&amp;$B239,{'5) Release_Track'!$F:$F&amp;'5) Release_Track'!$G:$G,'5) Release_Track'!$J:$J},2,0),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F239" s="88"/>
      <c r="G239" s="92"/>
      <c r="H239" s="185"/>
      <c r="I239" s="121" t="str">
        <f t="shared" si="2"/>
        <v/>
      </c>
      <c r="J239" s="92"/>
      <c r="K239" s="92"/>
    </row>
    <row r="240">
      <c r="B240" s="97"/>
      <c r="C240" s="121" t="str">
        <f t="array" ref="C240">ifs(and(isblank($A240),isblank($B240)),"", not(iserror(vlookup($A240&amp;$B240,'5) Release_Track'!$F:$F&amp;'5) Release_Track'!$G:$G,1,0))),vlookup($A240&amp;$B240,{'5) Release_Track'!$F:$F&amp;'5) Release_Track'!$G:$G,'5) Release_Track'!$H:$H},2,0),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D240" s="121" t="str">
        <f t="array" ref="D240">ifs(and(isblank($A240),isblank($B240)),"", not(iserror(vlookup($A240&amp;$B240,'5) Release_Track'!$F:$F&amp;'5) Release_Track'!$G:$G,1,0))),vlookup($A240&amp;$B240,{'5) Release_Track'!$F:$F&amp;'5) Release_Track'!$G:$G,'5) Release_Track'!$I:$I},2,0),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E240" s="116" t="str">
        <f t="array" ref="E240">ifs(and(isblank($A240),isblank($B240)),"", not(iserror(vlookup($A240&amp;$B240,'5) Release_Track'!$F:$F&amp;'5) Release_Track'!$G:$G,1,0))),vlookup($A240&amp;$B240,{'5) Release_Track'!$F:$F&amp;'5) Release_Track'!$G:$G,'5) Release_Track'!$J:$J},2,0),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F240" s="88"/>
      <c r="G240" s="92"/>
      <c r="H240" s="185"/>
      <c r="I240" s="121" t="str">
        <f t="shared" si="2"/>
        <v/>
      </c>
      <c r="J240" s="92"/>
      <c r="K240" s="92"/>
    </row>
    <row r="241">
      <c r="B241" s="97"/>
      <c r="C241" s="121" t="str">
        <f t="array" ref="C241">ifs(and(isblank($A241),isblank($B241)),"", not(iserror(vlookup($A241&amp;$B241,'5) Release_Track'!$F:$F&amp;'5) Release_Track'!$G:$G,1,0))),vlookup($A241&amp;$B241,{'5) Release_Track'!$F:$F&amp;'5) Release_Track'!$G:$G,'5) Release_Track'!$H:$H},2,0),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D241" s="121" t="str">
        <f t="array" ref="D241">ifs(and(isblank($A241),isblank($B241)),"", not(iserror(vlookup($A241&amp;$B241,'5) Release_Track'!$F:$F&amp;'5) Release_Track'!$G:$G,1,0))),vlookup($A241&amp;$B241,{'5) Release_Track'!$F:$F&amp;'5) Release_Track'!$G:$G,'5) Release_Track'!$I:$I},2,0),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E241" s="116" t="str">
        <f t="array" ref="E241">ifs(and(isblank($A241),isblank($B241)),"", not(iserror(vlookup($A241&amp;$B241,'5) Release_Track'!$F:$F&amp;'5) Release_Track'!$G:$G,1,0))),vlookup($A241&amp;$B241,{'5) Release_Track'!$F:$F&amp;'5) Release_Track'!$G:$G,'5) Release_Track'!$J:$J},2,0),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F241" s="88"/>
      <c r="G241" s="92"/>
      <c r="H241" s="185"/>
      <c r="I241" s="121" t="str">
        <f t="shared" si="2"/>
        <v/>
      </c>
      <c r="J241" s="92"/>
      <c r="K241" s="92"/>
    </row>
    <row r="242">
      <c r="B242" s="97"/>
      <c r="C242" s="121" t="str">
        <f t="array" ref="C242">ifs(and(isblank($A242),isblank($B242)),"", not(iserror(vlookup($A242&amp;$B242,'5) Release_Track'!$F:$F&amp;'5) Release_Track'!$G:$G,1,0))),vlookup($A242&amp;$B242,{'5) Release_Track'!$F:$F&amp;'5) Release_Track'!$G:$G,'5) Release_Track'!$H:$H},2,0),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D242" s="121" t="str">
        <f t="array" ref="D242">ifs(and(isblank($A242),isblank($B242)),"", not(iserror(vlookup($A242&amp;$B242,'5) Release_Track'!$F:$F&amp;'5) Release_Track'!$G:$G,1,0))),vlookup($A242&amp;$B242,{'5) Release_Track'!$F:$F&amp;'5) Release_Track'!$G:$G,'5) Release_Track'!$I:$I},2,0),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E242" s="116" t="str">
        <f t="array" ref="E242">ifs(and(isblank($A242),isblank($B242)),"", not(iserror(vlookup($A242&amp;$B242,'5) Release_Track'!$F:$F&amp;'5) Release_Track'!$G:$G,1,0))),vlookup($A242&amp;$B242,{'5) Release_Track'!$F:$F&amp;'5) Release_Track'!$G:$G,'5) Release_Track'!$J:$J},2,0),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F242" s="88"/>
      <c r="G242" s="92"/>
      <c r="H242" s="185"/>
      <c r="I242" s="121" t="str">
        <f t="shared" si="2"/>
        <v/>
      </c>
      <c r="J242" s="92"/>
      <c r="K242" s="92"/>
    </row>
    <row r="243">
      <c r="B243" s="97"/>
      <c r="C243" s="121" t="str">
        <f t="array" ref="C243">ifs(and(isblank($A243),isblank($B243)),"", not(iserror(vlookup($A243&amp;$B243,'5) Release_Track'!$F:$F&amp;'5) Release_Track'!$G:$G,1,0))),vlookup($A243&amp;$B243,{'5) Release_Track'!$F:$F&amp;'5) Release_Track'!$G:$G,'5) Release_Track'!$H:$H},2,0),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D243" s="121" t="str">
        <f t="array" ref="D243">ifs(and(isblank($A243),isblank($B243)),"", not(iserror(vlookup($A243&amp;$B243,'5) Release_Track'!$F:$F&amp;'5) Release_Track'!$G:$G,1,0))),vlookup($A243&amp;$B243,{'5) Release_Track'!$F:$F&amp;'5) Release_Track'!$G:$G,'5) Release_Track'!$I:$I},2,0),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E243" s="116" t="str">
        <f t="array" ref="E243">ifs(and(isblank($A243),isblank($B243)),"", not(iserror(vlookup($A243&amp;$B243,'5) Release_Track'!$F:$F&amp;'5) Release_Track'!$G:$G,1,0))),vlookup($A243&amp;$B243,{'5) Release_Track'!$F:$F&amp;'5) Release_Track'!$G:$G,'5) Release_Track'!$J:$J},2,0),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F243" s="88"/>
      <c r="G243" s="92"/>
      <c r="H243" s="185"/>
      <c r="I243" s="121" t="str">
        <f t="shared" si="2"/>
        <v/>
      </c>
      <c r="J243" s="92"/>
      <c r="K243" s="92"/>
    </row>
    <row r="244">
      <c r="B244" s="97"/>
      <c r="C244" s="121" t="str">
        <f t="array" ref="C244">ifs(and(isblank($A244),isblank($B244)),"", not(iserror(vlookup($A244&amp;$B244,'5) Release_Track'!$F:$F&amp;'5) Release_Track'!$G:$G,1,0))),vlookup($A244&amp;$B244,{'5) Release_Track'!$F:$F&amp;'5) Release_Track'!$G:$G,'5) Release_Track'!$H:$H},2,0),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D244" s="121" t="str">
        <f t="array" ref="D244">ifs(and(isblank($A244),isblank($B244)),"", not(iserror(vlookup($A244&amp;$B244,'5) Release_Track'!$F:$F&amp;'5) Release_Track'!$G:$G,1,0))),vlookup($A244&amp;$B244,{'5) Release_Track'!$F:$F&amp;'5) Release_Track'!$G:$G,'5) Release_Track'!$I:$I},2,0),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E244" s="116" t="str">
        <f t="array" ref="E244">ifs(and(isblank($A244),isblank($B244)),"", not(iserror(vlookup($A244&amp;$B244,'5) Release_Track'!$F:$F&amp;'5) Release_Track'!$G:$G,1,0))),vlookup($A244&amp;$B244,{'5) Release_Track'!$F:$F&amp;'5) Release_Track'!$G:$G,'5) Release_Track'!$J:$J},2,0),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F244" s="88"/>
      <c r="G244" s="92"/>
      <c r="H244" s="185"/>
      <c r="I244" s="121" t="str">
        <f t="shared" si="2"/>
        <v/>
      </c>
      <c r="J244" s="92"/>
      <c r="K244" s="92"/>
    </row>
    <row r="245">
      <c r="B245" s="97"/>
      <c r="C245" s="121" t="str">
        <f t="array" ref="C245">ifs(and(isblank($A245),isblank($B245)),"", not(iserror(vlookup($A245&amp;$B245,'5) Release_Track'!$F:$F&amp;'5) Release_Track'!$G:$G,1,0))),vlookup($A245&amp;$B245,{'5) Release_Track'!$F:$F&amp;'5) Release_Track'!$G:$G,'5) Release_Track'!$H:$H},2,0),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D245" s="121" t="str">
        <f t="array" ref="D245">ifs(and(isblank($A245),isblank($B245)),"", not(iserror(vlookup($A245&amp;$B245,'5) Release_Track'!$F:$F&amp;'5) Release_Track'!$G:$G,1,0))),vlookup($A245&amp;$B245,{'5) Release_Track'!$F:$F&amp;'5) Release_Track'!$G:$G,'5) Release_Track'!$I:$I},2,0),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E245" s="116" t="str">
        <f t="array" ref="E245">ifs(and(isblank($A245),isblank($B245)),"", not(iserror(vlookup($A245&amp;$B245,'5) Release_Track'!$F:$F&amp;'5) Release_Track'!$G:$G,1,0))),vlookup($A245&amp;$B245,{'5) Release_Track'!$F:$F&amp;'5) Release_Track'!$G:$G,'5) Release_Track'!$J:$J},2,0),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F245" s="88"/>
      <c r="G245" s="92"/>
      <c r="H245" s="185"/>
      <c r="I245" s="121" t="str">
        <f t="shared" si="2"/>
        <v/>
      </c>
      <c r="J245" s="92"/>
      <c r="K245" s="92"/>
    </row>
    <row r="246">
      <c r="B246" s="97"/>
      <c r="C246" s="121" t="str">
        <f t="array" ref="C246">ifs(and(isblank($A246),isblank($B246)),"", not(iserror(vlookup($A246&amp;$B246,'5) Release_Track'!$F:$F&amp;'5) Release_Track'!$G:$G,1,0))),vlookup($A246&amp;$B246,{'5) Release_Track'!$F:$F&amp;'5) Release_Track'!$G:$G,'5) Release_Track'!$H:$H},2,0),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D246" s="121" t="str">
        <f t="array" ref="D246">ifs(and(isblank($A246),isblank($B246)),"", not(iserror(vlookup($A246&amp;$B246,'5) Release_Track'!$F:$F&amp;'5) Release_Track'!$G:$G,1,0))),vlookup($A246&amp;$B246,{'5) Release_Track'!$F:$F&amp;'5) Release_Track'!$G:$G,'5) Release_Track'!$I:$I},2,0),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E246" s="116" t="str">
        <f t="array" ref="E246">ifs(and(isblank($A246),isblank($B246)),"", not(iserror(vlookup($A246&amp;$B246,'5) Release_Track'!$F:$F&amp;'5) Release_Track'!$G:$G,1,0))),vlookup($A246&amp;$B246,{'5) Release_Track'!$F:$F&amp;'5) Release_Track'!$G:$G,'5) Release_Track'!$J:$J},2,0),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F246" s="88"/>
      <c r="G246" s="92"/>
      <c r="H246" s="185"/>
      <c r="I246" s="121" t="str">
        <f t="shared" si="2"/>
        <v/>
      </c>
      <c r="J246" s="92"/>
      <c r="K246" s="92"/>
    </row>
    <row r="247">
      <c r="B247" s="97"/>
      <c r="C247" s="121" t="str">
        <f t="array" ref="C247">ifs(and(isblank($A247),isblank($B247)),"", not(iserror(vlookup($A247&amp;$B247,'5) Release_Track'!$F:$F&amp;'5) Release_Track'!$G:$G,1,0))),vlookup($A247&amp;$B247,{'5) Release_Track'!$F:$F&amp;'5) Release_Track'!$G:$G,'5) Release_Track'!$H:$H},2,0),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D247" s="121" t="str">
        <f t="array" ref="D247">ifs(and(isblank($A247),isblank($B247)),"", not(iserror(vlookup($A247&amp;$B247,'5) Release_Track'!$F:$F&amp;'5) Release_Track'!$G:$G,1,0))),vlookup($A247&amp;$B247,{'5) Release_Track'!$F:$F&amp;'5) Release_Track'!$G:$G,'5) Release_Track'!$I:$I},2,0),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E247" s="116" t="str">
        <f t="array" ref="E247">ifs(and(isblank($A247),isblank($B247)),"", not(iserror(vlookup($A247&amp;$B247,'5) Release_Track'!$F:$F&amp;'5) Release_Track'!$G:$G,1,0))),vlookup($A247&amp;$B247,{'5) Release_Track'!$F:$F&amp;'5) Release_Track'!$G:$G,'5) Release_Track'!$J:$J},2,0),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F247" s="88"/>
      <c r="G247" s="92"/>
      <c r="H247" s="185"/>
      <c r="I247" s="121" t="str">
        <f t="shared" si="2"/>
        <v/>
      </c>
      <c r="J247" s="92"/>
      <c r="K247" s="92"/>
    </row>
    <row r="248">
      <c r="B248" s="97"/>
      <c r="C248" s="121" t="str">
        <f t="array" ref="C248">ifs(and(isblank($A248),isblank($B248)),"", not(iserror(vlookup($A248&amp;$B248,'5) Release_Track'!$F:$F&amp;'5) Release_Track'!$G:$G,1,0))),vlookup($A248&amp;$B248,{'5) Release_Track'!$F:$F&amp;'5) Release_Track'!$G:$G,'5) Release_Track'!$H:$H},2,0),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D248" s="121" t="str">
        <f t="array" ref="D248">ifs(and(isblank($A248),isblank($B248)),"", not(iserror(vlookup($A248&amp;$B248,'5) Release_Track'!$F:$F&amp;'5) Release_Track'!$G:$G,1,0))),vlookup($A248&amp;$B248,{'5) Release_Track'!$F:$F&amp;'5) Release_Track'!$G:$G,'5) Release_Track'!$I:$I},2,0),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E248" s="116" t="str">
        <f t="array" ref="E248">ifs(and(isblank($A248),isblank($B248)),"", not(iserror(vlookup($A248&amp;$B248,'5) Release_Track'!$F:$F&amp;'5) Release_Track'!$G:$G,1,0))),vlookup($A248&amp;$B248,{'5) Release_Track'!$F:$F&amp;'5) Release_Track'!$G:$G,'5) Release_Track'!$J:$J},2,0),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F248" s="88"/>
      <c r="G248" s="92"/>
      <c r="H248" s="185"/>
      <c r="I248" s="121" t="str">
        <f t="shared" si="2"/>
        <v/>
      </c>
      <c r="J248" s="92"/>
      <c r="K248" s="92"/>
    </row>
    <row r="249">
      <c r="B249" s="97"/>
      <c r="C249" s="121" t="str">
        <f t="array" ref="C249">ifs(and(isblank($A249),isblank($B249)),"", not(iserror(vlookup($A249&amp;$B249,'5) Release_Track'!$F:$F&amp;'5) Release_Track'!$G:$G,1,0))),vlookup($A249&amp;$B249,{'5) Release_Track'!$F:$F&amp;'5) Release_Track'!$G:$G,'5) Release_Track'!$H:$H},2,0),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D249" s="121" t="str">
        <f t="array" ref="D249">ifs(and(isblank($A249),isblank($B249)),"", not(iserror(vlookup($A249&amp;$B249,'5) Release_Track'!$F:$F&amp;'5) Release_Track'!$G:$G,1,0))),vlookup($A249&amp;$B249,{'5) Release_Track'!$F:$F&amp;'5) Release_Track'!$G:$G,'5) Release_Track'!$I:$I},2,0),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E249" s="116" t="str">
        <f t="array" ref="E249">ifs(and(isblank($A249),isblank($B249)),"", not(iserror(vlookup($A249&amp;$B249,'5) Release_Track'!$F:$F&amp;'5) Release_Track'!$G:$G,1,0))),vlookup($A249&amp;$B249,{'5) Release_Track'!$F:$F&amp;'5) Release_Track'!$G:$G,'5) Release_Track'!$J:$J},2,0),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F249" s="88"/>
      <c r="G249" s="92"/>
      <c r="H249" s="185"/>
      <c r="I249" s="121" t="str">
        <f t="shared" si="2"/>
        <v/>
      </c>
      <c r="J249" s="92"/>
      <c r="K249" s="92"/>
    </row>
    <row r="250">
      <c r="B250" s="97"/>
      <c r="C250" s="121" t="str">
        <f t="array" ref="C250">ifs(and(isblank($A250),isblank($B250)),"", not(iserror(vlookup($A250&amp;$B250,'5) Release_Track'!$F:$F&amp;'5) Release_Track'!$G:$G,1,0))),vlookup($A250&amp;$B250,{'5) Release_Track'!$F:$F&amp;'5) Release_Track'!$G:$G,'5) Release_Track'!$H:$H},2,0),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D250" s="121" t="str">
        <f t="array" ref="D250">ifs(and(isblank($A250),isblank($B250)),"", not(iserror(vlookup($A250&amp;$B250,'5) Release_Track'!$F:$F&amp;'5) Release_Track'!$G:$G,1,0))),vlookup($A250&amp;$B250,{'5) Release_Track'!$F:$F&amp;'5) Release_Track'!$G:$G,'5) Release_Track'!$I:$I},2,0),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E250" s="116" t="str">
        <f t="array" ref="E250">ifs(and(isblank($A250),isblank($B250)),"", not(iserror(vlookup($A250&amp;$B250,'5) Release_Track'!$F:$F&amp;'5) Release_Track'!$G:$G,1,0))),vlookup($A250&amp;$B250,{'5) Release_Track'!$F:$F&amp;'5) Release_Track'!$G:$G,'5) Release_Track'!$J:$J},2,0),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F250" s="88"/>
      <c r="G250" s="92"/>
      <c r="H250" s="185"/>
      <c r="I250" s="121" t="str">
        <f t="shared" si="2"/>
        <v/>
      </c>
      <c r="J250" s="92"/>
      <c r="K250" s="92"/>
    </row>
    <row r="251">
      <c r="B251" s="97"/>
      <c r="C251" s="121" t="str">
        <f t="array" ref="C251">ifs(and(isblank($A251),isblank($B251)),"", not(iserror(vlookup($A251&amp;$B251,'5) Release_Track'!$F:$F&amp;'5) Release_Track'!$G:$G,1,0))),vlookup($A251&amp;$B251,{'5) Release_Track'!$F:$F&amp;'5) Release_Track'!$G:$G,'5) Release_Track'!$H:$H},2,0),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D251" s="121" t="str">
        <f t="array" ref="D251">ifs(and(isblank($A251),isblank($B251)),"", not(iserror(vlookup($A251&amp;$B251,'5) Release_Track'!$F:$F&amp;'5) Release_Track'!$G:$G,1,0))),vlookup($A251&amp;$B251,{'5) Release_Track'!$F:$F&amp;'5) Release_Track'!$G:$G,'5) Release_Track'!$I:$I},2,0),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E251" s="116" t="str">
        <f t="array" ref="E251">ifs(and(isblank($A251),isblank($B251)),"", not(iserror(vlookup($A251&amp;$B251,'5) Release_Track'!$F:$F&amp;'5) Release_Track'!$G:$G,1,0))),vlookup($A251&amp;$B251,{'5) Release_Track'!$F:$F&amp;'5) Release_Track'!$G:$G,'5) Release_Track'!$J:$J},2,0),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F251" s="88"/>
      <c r="G251" s="92"/>
      <c r="H251" s="185"/>
      <c r="I251" s="121" t="str">
        <f t="shared" si="2"/>
        <v/>
      </c>
      <c r="J251" s="92"/>
      <c r="K251" s="92"/>
    </row>
    <row r="252">
      <c r="B252" s="97"/>
      <c r="C252" s="121" t="str">
        <f t="array" ref="C252">ifs(and(isblank($A252),isblank($B252)),"", not(iserror(vlookup($A252&amp;$B252,'5) Release_Track'!$F:$F&amp;'5) Release_Track'!$G:$G,1,0))),vlookup($A252&amp;$B252,{'5) Release_Track'!$F:$F&amp;'5) Release_Track'!$G:$G,'5) Release_Track'!$H:$H},2,0),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D252" s="121" t="str">
        <f t="array" ref="D252">ifs(and(isblank($A252),isblank($B252)),"", not(iserror(vlookup($A252&amp;$B252,'5) Release_Track'!$F:$F&amp;'5) Release_Track'!$G:$G,1,0))),vlookup($A252&amp;$B252,{'5) Release_Track'!$F:$F&amp;'5) Release_Track'!$G:$G,'5) Release_Track'!$I:$I},2,0),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E252" s="116" t="str">
        <f t="array" ref="E252">ifs(and(isblank($A252),isblank($B252)),"", not(iserror(vlookup($A252&amp;$B252,'5) Release_Track'!$F:$F&amp;'5) Release_Track'!$G:$G,1,0))),vlookup($A252&amp;$B252,{'5) Release_Track'!$F:$F&amp;'5) Release_Track'!$G:$G,'5) Release_Track'!$J:$J},2,0),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F252" s="88"/>
      <c r="G252" s="92"/>
      <c r="H252" s="185"/>
      <c r="I252" s="121" t="str">
        <f t="shared" si="2"/>
        <v/>
      </c>
      <c r="J252" s="92"/>
      <c r="K252" s="92"/>
    </row>
    <row r="253">
      <c r="B253" s="97"/>
      <c r="C253" s="121" t="str">
        <f t="array" ref="C253">ifs(and(isblank($A253),isblank($B253)),"", not(iserror(vlookup($A253&amp;$B253,'5) Release_Track'!$F:$F&amp;'5) Release_Track'!$G:$G,1,0))),vlookup($A253&amp;$B253,{'5) Release_Track'!$F:$F&amp;'5) Release_Track'!$G:$G,'5) Release_Track'!$H:$H},2,0),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D253" s="121" t="str">
        <f t="array" ref="D253">ifs(and(isblank($A253),isblank($B253)),"", not(iserror(vlookup($A253&amp;$B253,'5) Release_Track'!$F:$F&amp;'5) Release_Track'!$G:$G,1,0))),vlookup($A253&amp;$B253,{'5) Release_Track'!$F:$F&amp;'5) Release_Track'!$G:$G,'5) Release_Track'!$I:$I},2,0),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E253" s="116" t="str">
        <f t="array" ref="E253">ifs(and(isblank($A253),isblank($B253)),"", not(iserror(vlookup($A253&amp;$B253,'5) Release_Track'!$F:$F&amp;'5) Release_Track'!$G:$G,1,0))),vlookup($A253&amp;$B253,{'5) Release_Track'!$F:$F&amp;'5) Release_Track'!$G:$G,'5) Release_Track'!$J:$J},2,0),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F253" s="88"/>
      <c r="G253" s="92"/>
      <c r="H253" s="185"/>
      <c r="I253" s="121" t="str">
        <f t="shared" si="2"/>
        <v/>
      </c>
      <c r="J253" s="92"/>
      <c r="K253" s="92"/>
    </row>
    <row r="254">
      <c r="B254" s="97"/>
      <c r="C254" s="121" t="str">
        <f t="array" ref="C254">ifs(and(isblank($A254),isblank($B254)),"", not(iserror(vlookup($A254&amp;$B254,'5) Release_Track'!$F:$F&amp;'5) Release_Track'!$G:$G,1,0))),vlookup($A254&amp;$B254,{'5) Release_Track'!$F:$F&amp;'5) Release_Track'!$G:$G,'5) Release_Track'!$H:$H},2,0),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D254" s="121" t="str">
        <f t="array" ref="D254">ifs(and(isblank($A254),isblank($B254)),"", not(iserror(vlookup($A254&amp;$B254,'5) Release_Track'!$F:$F&amp;'5) Release_Track'!$G:$G,1,0))),vlookup($A254&amp;$B254,{'5) Release_Track'!$F:$F&amp;'5) Release_Track'!$G:$G,'5) Release_Track'!$I:$I},2,0),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E254" s="116" t="str">
        <f t="array" ref="E254">ifs(and(isblank($A254),isblank($B254)),"", not(iserror(vlookup($A254&amp;$B254,'5) Release_Track'!$F:$F&amp;'5) Release_Track'!$G:$G,1,0))),vlookup($A254&amp;$B254,{'5) Release_Track'!$F:$F&amp;'5) Release_Track'!$G:$G,'5) Release_Track'!$J:$J},2,0),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F254" s="88"/>
      <c r="G254" s="92"/>
      <c r="H254" s="185"/>
      <c r="I254" s="121" t="str">
        <f t="shared" si="2"/>
        <v/>
      </c>
      <c r="J254" s="92"/>
      <c r="K254" s="92"/>
    </row>
    <row r="255">
      <c r="B255" s="97"/>
      <c r="C255" s="121" t="str">
        <f t="array" ref="C255">ifs(and(isblank($A255),isblank($B255)),"", not(iserror(vlookup($A255&amp;$B255,'5) Release_Track'!$F:$F&amp;'5) Release_Track'!$G:$G,1,0))),vlookup($A255&amp;$B255,{'5) Release_Track'!$F:$F&amp;'5) Release_Track'!$G:$G,'5) Release_Track'!$H:$H},2,0),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D255" s="121" t="str">
        <f t="array" ref="D255">ifs(and(isblank($A255),isblank($B255)),"", not(iserror(vlookup($A255&amp;$B255,'5) Release_Track'!$F:$F&amp;'5) Release_Track'!$G:$G,1,0))),vlookup($A255&amp;$B255,{'5) Release_Track'!$F:$F&amp;'5) Release_Track'!$G:$G,'5) Release_Track'!$I:$I},2,0),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E255" s="116" t="str">
        <f t="array" ref="E255">ifs(and(isblank($A255),isblank($B255)),"", not(iserror(vlookup($A255&amp;$B255,'5) Release_Track'!$F:$F&amp;'5) Release_Track'!$G:$G,1,0))),vlookup($A255&amp;$B255,{'5) Release_Track'!$F:$F&amp;'5) Release_Track'!$G:$G,'5) Release_Track'!$J:$J},2,0),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F255" s="88"/>
      <c r="G255" s="92"/>
      <c r="H255" s="185"/>
      <c r="I255" s="121" t="str">
        <f t="shared" si="2"/>
        <v/>
      </c>
      <c r="J255" s="92"/>
      <c r="K255" s="92"/>
    </row>
    <row r="256">
      <c r="B256" s="97"/>
      <c r="C256" s="121" t="str">
        <f t="array" ref="C256">ifs(and(isblank($A256),isblank($B256)),"", not(iserror(vlookup($A256&amp;$B256,'5) Release_Track'!$F:$F&amp;'5) Release_Track'!$G:$G,1,0))),vlookup($A256&amp;$B256,{'5) Release_Track'!$F:$F&amp;'5) Release_Track'!$G:$G,'5) Release_Track'!$H:$H},2,0),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D256" s="121" t="str">
        <f t="array" ref="D256">ifs(and(isblank($A256),isblank($B256)),"", not(iserror(vlookup($A256&amp;$B256,'5) Release_Track'!$F:$F&amp;'5) Release_Track'!$G:$G,1,0))),vlookup($A256&amp;$B256,{'5) Release_Track'!$F:$F&amp;'5) Release_Track'!$G:$G,'5) Release_Track'!$I:$I},2,0),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E256" s="116" t="str">
        <f t="array" ref="E256">ifs(and(isblank($A256),isblank($B256)),"", not(iserror(vlookup($A256&amp;$B256,'5) Release_Track'!$F:$F&amp;'5) Release_Track'!$G:$G,1,0))),vlookup($A256&amp;$B256,{'5) Release_Track'!$F:$F&amp;'5) Release_Track'!$G:$G,'5) Release_Track'!$J:$J},2,0),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F256" s="88"/>
      <c r="G256" s="92"/>
      <c r="H256" s="185"/>
      <c r="I256" s="121" t="str">
        <f t="shared" si="2"/>
        <v/>
      </c>
      <c r="J256" s="92"/>
      <c r="K256" s="92"/>
    </row>
    <row r="257">
      <c r="B257" s="97"/>
      <c r="C257" s="121" t="str">
        <f t="array" ref="C257">ifs(and(isblank($A257),isblank($B257)),"", not(iserror(vlookup($A257&amp;$B257,'5) Release_Track'!$F:$F&amp;'5) Release_Track'!$G:$G,1,0))),vlookup($A257&amp;$B257,{'5) Release_Track'!$F:$F&amp;'5) Release_Track'!$G:$G,'5) Release_Track'!$H:$H},2,0),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D257" s="121" t="str">
        <f t="array" ref="D257">ifs(and(isblank($A257),isblank($B257)),"", not(iserror(vlookup($A257&amp;$B257,'5) Release_Track'!$F:$F&amp;'5) Release_Track'!$G:$G,1,0))),vlookup($A257&amp;$B257,{'5) Release_Track'!$F:$F&amp;'5) Release_Track'!$G:$G,'5) Release_Track'!$I:$I},2,0),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E257" s="116" t="str">
        <f t="array" ref="E257">ifs(and(isblank($A257),isblank($B257)),"", not(iserror(vlookup($A257&amp;$B257,'5) Release_Track'!$F:$F&amp;'5) Release_Track'!$G:$G,1,0))),vlookup($A257&amp;$B257,{'5) Release_Track'!$F:$F&amp;'5) Release_Track'!$G:$G,'5) Release_Track'!$J:$J},2,0),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F257" s="88"/>
      <c r="G257" s="92"/>
      <c r="H257" s="185"/>
      <c r="I257" s="121" t="str">
        <f t="shared" si="2"/>
        <v/>
      </c>
      <c r="J257" s="92"/>
      <c r="K257" s="92"/>
    </row>
    <row r="258">
      <c r="B258" s="97"/>
      <c r="C258" s="121" t="str">
        <f t="array" ref="C258">ifs(and(isblank($A258),isblank($B258)),"", not(iserror(vlookup($A258&amp;$B258,'5) Release_Track'!$F:$F&amp;'5) Release_Track'!$G:$G,1,0))),vlookup($A258&amp;$B258,{'5) Release_Track'!$F:$F&amp;'5) Release_Track'!$G:$G,'5) Release_Track'!$H:$H},2,0),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D258" s="121" t="str">
        <f t="array" ref="D258">ifs(and(isblank($A258),isblank($B258)),"", not(iserror(vlookup($A258&amp;$B258,'5) Release_Track'!$F:$F&amp;'5) Release_Track'!$G:$G,1,0))),vlookup($A258&amp;$B258,{'5) Release_Track'!$F:$F&amp;'5) Release_Track'!$G:$G,'5) Release_Track'!$I:$I},2,0),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E258" s="116" t="str">
        <f t="array" ref="E258">ifs(and(isblank($A258),isblank($B258)),"", not(iserror(vlookup($A258&amp;$B258,'5) Release_Track'!$F:$F&amp;'5) Release_Track'!$G:$G,1,0))),vlookup($A258&amp;$B258,{'5) Release_Track'!$F:$F&amp;'5) Release_Track'!$G:$G,'5) Release_Track'!$J:$J},2,0),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F258" s="88"/>
      <c r="G258" s="92"/>
      <c r="H258" s="185"/>
      <c r="I258" s="121" t="str">
        <f t="shared" si="2"/>
        <v/>
      </c>
      <c r="J258" s="92"/>
      <c r="K258" s="92"/>
    </row>
    <row r="259">
      <c r="B259" s="97"/>
      <c r="C259" s="121" t="str">
        <f t="array" ref="C259">ifs(and(isblank($A259),isblank($B259)),"", not(iserror(vlookup($A259&amp;$B259,'5) Release_Track'!$F:$F&amp;'5) Release_Track'!$G:$G,1,0))),vlookup($A259&amp;$B259,{'5) Release_Track'!$F:$F&amp;'5) Release_Track'!$G:$G,'5) Release_Track'!$H:$H},2,0),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D259" s="121" t="str">
        <f t="array" ref="D259">ifs(and(isblank($A259),isblank($B259)),"", not(iserror(vlookup($A259&amp;$B259,'5) Release_Track'!$F:$F&amp;'5) Release_Track'!$G:$G,1,0))),vlookup($A259&amp;$B259,{'5) Release_Track'!$F:$F&amp;'5) Release_Track'!$G:$G,'5) Release_Track'!$I:$I},2,0),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E259" s="116" t="str">
        <f t="array" ref="E259">ifs(and(isblank($A259),isblank($B259)),"", not(iserror(vlookup($A259&amp;$B259,'5) Release_Track'!$F:$F&amp;'5) Release_Track'!$G:$G,1,0))),vlookup($A259&amp;$B259,{'5) Release_Track'!$F:$F&amp;'5) Release_Track'!$G:$G,'5) Release_Track'!$J:$J},2,0),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F259" s="88"/>
      <c r="G259" s="92"/>
      <c r="H259" s="185"/>
      <c r="I259" s="121" t="str">
        <f t="shared" si="2"/>
        <v/>
      </c>
      <c r="J259" s="92"/>
      <c r="K259" s="92"/>
    </row>
    <row r="260">
      <c r="B260" s="97"/>
      <c r="C260" s="121" t="str">
        <f t="array" ref="C260">ifs(and(isblank($A260),isblank($B260)),"", not(iserror(vlookup($A260&amp;$B260,'5) Release_Track'!$F:$F&amp;'5) Release_Track'!$G:$G,1,0))),vlookup($A260&amp;$B260,{'5) Release_Track'!$F:$F&amp;'5) Release_Track'!$G:$G,'5) Release_Track'!$H:$H},2,0),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D260" s="121" t="str">
        <f t="array" ref="D260">ifs(and(isblank($A260),isblank($B260)),"", not(iserror(vlookup($A260&amp;$B260,'5) Release_Track'!$F:$F&amp;'5) Release_Track'!$G:$G,1,0))),vlookup($A260&amp;$B260,{'5) Release_Track'!$F:$F&amp;'5) Release_Track'!$G:$G,'5) Release_Track'!$I:$I},2,0),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E260" s="116" t="str">
        <f t="array" ref="E260">ifs(and(isblank($A260),isblank($B260)),"", not(iserror(vlookup($A260&amp;$B260,'5) Release_Track'!$F:$F&amp;'5) Release_Track'!$G:$G,1,0))),vlookup($A260&amp;$B260,{'5) Release_Track'!$F:$F&amp;'5) Release_Track'!$G:$G,'5) Release_Track'!$J:$J},2,0),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F260" s="88"/>
      <c r="G260" s="92"/>
      <c r="H260" s="185"/>
      <c r="I260" s="121" t="str">
        <f t="shared" si="2"/>
        <v/>
      </c>
      <c r="J260" s="92"/>
      <c r="K260" s="92"/>
    </row>
    <row r="261">
      <c r="B261" s="97"/>
      <c r="C261" s="121" t="str">
        <f t="array" ref="C261">ifs(and(isblank($A261),isblank($B261)),"", not(iserror(vlookup($A261&amp;$B261,'5) Release_Track'!$F:$F&amp;'5) Release_Track'!$G:$G,1,0))),vlookup($A261&amp;$B261,{'5) Release_Track'!$F:$F&amp;'5) Release_Track'!$G:$G,'5) Release_Track'!$H:$H},2,0),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D261" s="121" t="str">
        <f t="array" ref="D261">ifs(and(isblank($A261),isblank($B261)),"", not(iserror(vlookup($A261&amp;$B261,'5) Release_Track'!$F:$F&amp;'5) Release_Track'!$G:$G,1,0))),vlookup($A261&amp;$B261,{'5) Release_Track'!$F:$F&amp;'5) Release_Track'!$G:$G,'5) Release_Track'!$I:$I},2,0),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E261" s="116" t="str">
        <f t="array" ref="E261">ifs(and(isblank($A261),isblank($B261)),"", not(iserror(vlookup($A261&amp;$B261,'5) Release_Track'!$F:$F&amp;'5) Release_Track'!$G:$G,1,0))),vlookup($A261&amp;$B261,{'5) Release_Track'!$F:$F&amp;'5) Release_Track'!$G:$G,'5) Release_Track'!$J:$J},2,0),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F261" s="88"/>
      <c r="G261" s="92"/>
      <c r="H261" s="185"/>
      <c r="I261" s="121" t="str">
        <f t="shared" si="2"/>
        <v/>
      </c>
      <c r="J261" s="92"/>
      <c r="K261" s="92"/>
    </row>
    <row r="262">
      <c r="B262" s="97"/>
      <c r="C262" s="121" t="str">
        <f t="array" ref="C262">ifs(and(isblank($A262),isblank($B262)),"", not(iserror(vlookup($A262&amp;$B262,'5) Release_Track'!$F:$F&amp;'5) Release_Track'!$G:$G,1,0))),vlookup($A262&amp;$B262,{'5) Release_Track'!$F:$F&amp;'5) Release_Track'!$G:$G,'5) Release_Track'!$H:$H},2,0),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D262" s="121" t="str">
        <f t="array" ref="D262">ifs(and(isblank($A262),isblank($B262)),"", not(iserror(vlookup($A262&amp;$B262,'5) Release_Track'!$F:$F&amp;'5) Release_Track'!$G:$G,1,0))),vlookup($A262&amp;$B262,{'5) Release_Track'!$F:$F&amp;'5) Release_Track'!$G:$G,'5) Release_Track'!$I:$I},2,0),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E262" s="116" t="str">
        <f t="array" ref="E262">ifs(and(isblank($A262),isblank($B262)),"", not(iserror(vlookup($A262&amp;$B262,'5) Release_Track'!$F:$F&amp;'5) Release_Track'!$G:$G,1,0))),vlookup($A262&amp;$B262,{'5) Release_Track'!$F:$F&amp;'5) Release_Track'!$G:$G,'5) Release_Track'!$J:$J},2,0),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F262" s="88"/>
      <c r="G262" s="92"/>
      <c r="H262" s="185"/>
      <c r="I262" s="121" t="str">
        <f t="shared" si="2"/>
        <v/>
      </c>
      <c r="J262" s="92"/>
      <c r="K262" s="92"/>
    </row>
    <row r="263">
      <c r="B263" s="97"/>
      <c r="C263" s="121" t="str">
        <f t="array" ref="C263">ifs(and(isblank($A263),isblank($B263)),"", not(iserror(vlookup($A263&amp;$B263,'5) Release_Track'!$F:$F&amp;'5) Release_Track'!$G:$G,1,0))),vlookup($A263&amp;$B263,{'5) Release_Track'!$F:$F&amp;'5) Release_Track'!$G:$G,'5) Release_Track'!$H:$H},2,0),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D263" s="121" t="str">
        <f t="array" ref="D263">ifs(and(isblank($A263),isblank($B263)),"", not(iserror(vlookup($A263&amp;$B263,'5) Release_Track'!$F:$F&amp;'5) Release_Track'!$G:$G,1,0))),vlookup($A263&amp;$B263,{'5) Release_Track'!$F:$F&amp;'5) Release_Track'!$G:$G,'5) Release_Track'!$I:$I},2,0),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E263" s="116" t="str">
        <f t="array" ref="E263">ifs(and(isblank($A263),isblank($B263)),"", not(iserror(vlookup($A263&amp;$B263,'5) Release_Track'!$F:$F&amp;'5) Release_Track'!$G:$G,1,0))),vlookup($A263&amp;$B263,{'5) Release_Track'!$F:$F&amp;'5) Release_Track'!$G:$G,'5) Release_Track'!$J:$J},2,0),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F263" s="88"/>
      <c r="G263" s="92"/>
      <c r="H263" s="185"/>
      <c r="I263" s="121" t="str">
        <f t="shared" si="2"/>
        <v/>
      </c>
      <c r="J263" s="92"/>
      <c r="K263" s="92"/>
    </row>
    <row r="264">
      <c r="B264" s="97"/>
      <c r="C264" s="121" t="str">
        <f t="array" ref="C264">ifs(and(isblank($A264),isblank($B264)),"", not(iserror(vlookup($A264&amp;$B264,'5) Release_Track'!$F:$F&amp;'5) Release_Track'!$G:$G,1,0))),vlookup($A264&amp;$B264,{'5) Release_Track'!$F:$F&amp;'5) Release_Track'!$G:$G,'5) Release_Track'!$H:$H},2,0),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D264" s="121" t="str">
        <f t="array" ref="D264">ifs(and(isblank($A264),isblank($B264)),"", not(iserror(vlookup($A264&amp;$B264,'5) Release_Track'!$F:$F&amp;'5) Release_Track'!$G:$G,1,0))),vlookup($A264&amp;$B264,{'5) Release_Track'!$F:$F&amp;'5) Release_Track'!$G:$G,'5) Release_Track'!$I:$I},2,0),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E264" s="116" t="str">
        <f t="array" ref="E264">ifs(and(isblank($A264),isblank($B264)),"", not(iserror(vlookup($A264&amp;$B264,'5) Release_Track'!$F:$F&amp;'5) Release_Track'!$G:$G,1,0))),vlookup($A264&amp;$B264,{'5) Release_Track'!$F:$F&amp;'5) Release_Track'!$G:$G,'5) Release_Track'!$J:$J},2,0),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F264" s="88"/>
      <c r="G264" s="92"/>
      <c r="H264" s="185"/>
      <c r="I264" s="121" t="str">
        <f t="shared" si="2"/>
        <v/>
      </c>
      <c r="J264" s="92"/>
      <c r="K264" s="92"/>
    </row>
    <row r="265">
      <c r="B265" s="97"/>
      <c r="C265" s="121" t="str">
        <f t="array" ref="C265">ifs(and(isblank($A265),isblank($B265)),"", not(iserror(vlookup($A265&amp;$B265,'5) Release_Track'!$F:$F&amp;'5) Release_Track'!$G:$G,1,0))),vlookup($A265&amp;$B265,{'5) Release_Track'!$F:$F&amp;'5) Release_Track'!$G:$G,'5) Release_Track'!$H:$H},2,0),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D265" s="121" t="str">
        <f t="array" ref="D265">ifs(and(isblank($A265),isblank($B265)),"", not(iserror(vlookup($A265&amp;$B265,'5) Release_Track'!$F:$F&amp;'5) Release_Track'!$G:$G,1,0))),vlookup($A265&amp;$B265,{'5) Release_Track'!$F:$F&amp;'5) Release_Track'!$G:$G,'5) Release_Track'!$I:$I},2,0),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E265" s="116" t="str">
        <f t="array" ref="E265">ifs(and(isblank($A265),isblank($B265)),"", not(iserror(vlookup($A265&amp;$B265,'5) Release_Track'!$F:$F&amp;'5) Release_Track'!$G:$G,1,0))),vlookup($A265&amp;$B265,{'5) Release_Track'!$F:$F&amp;'5) Release_Track'!$G:$G,'5) Release_Track'!$J:$J},2,0),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F265" s="88"/>
      <c r="G265" s="92"/>
      <c r="H265" s="185"/>
      <c r="I265" s="121" t="str">
        <f t="shared" si="2"/>
        <v/>
      </c>
      <c r="J265" s="92"/>
      <c r="K265" s="92"/>
    </row>
    <row r="266">
      <c r="B266" s="97"/>
      <c r="C266" s="121" t="str">
        <f t="array" ref="C266">ifs(and(isblank($A266),isblank($B266)),"", not(iserror(vlookup($A266&amp;$B266,'5) Release_Track'!$F:$F&amp;'5) Release_Track'!$G:$G,1,0))),vlookup($A266&amp;$B266,{'5) Release_Track'!$F:$F&amp;'5) Release_Track'!$G:$G,'5) Release_Track'!$H:$H},2,0),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D266" s="121" t="str">
        <f t="array" ref="D266">ifs(and(isblank($A266),isblank($B266)),"", not(iserror(vlookup($A266&amp;$B266,'5) Release_Track'!$F:$F&amp;'5) Release_Track'!$G:$G,1,0))),vlookup($A266&amp;$B266,{'5) Release_Track'!$F:$F&amp;'5) Release_Track'!$G:$G,'5) Release_Track'!$I:$I},2,0),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E266" s="116" t="str">
        <f t="array" ref="E266">ifs(and(isblank($A266),isblank($B266)),"", not(iserror(vlookup($A266&amp;$B266,'5) Release_Track'!$F:$F&amp;'5) Release_Track'!$G:$G,1,0))),vlookup($A266&amp;$B266,{'5) Release_Track'!$F:$F&amp;'5) Release_Track'!$G:$G,'5) Release_Track'!$J:$J},2,0),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F266" s="88"/>
      <c r="G266" s="92"/>
      <c r="H266" s="185"/>
      <c r="I266" s="121" t="str">
        <f t="shared" si="2"/>
        <v/>
      </c>
      <c r="J266" s="92"/>
      <c r="K266" s="92"/>
    </row>
    <row r="267">
      <c r="B267" s="97"/>
      <c r="C267" s="121" t="str">
        <f t="array" ref="C267">ifs(and(isblank($A267),isblank($B267)),"", not(iserror(vlookup($A267&amp;$B267,'5) Release_Track'!$F:$F&amp;'5) Release_Track'!$G:$G,1,0))),vlookup($A267&amp;$B267,{'5) Release_Track'!$F:$F&amp;'5) Release_Track'!$G:$G,'5) Release_Track'!$H:$H},2,0),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D267" s="121" t="str">
        <f t="array" ref="D267">ifs(and(isblank($A267),isblank($B267)),"", not(iserror(vlookup($A267&amp;$B267,'5) Release_Track'!$F:$F&amp;'5) Release_Track'!$G:$G,1,0))),vlookup($A267&amp;$B267,{'5) Release_Track'!$F:$F&amp;'5) Release_Track'!$G:$G,'5) Release_Track'!$I:$I},2,0),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E267" s="116" t="str">
        <f t="array" ref="E267">ifs(and(isblank($A267),isblank($B267)),"", not(iserror(vlookup($A267&amp;$B267,'5) Release_Track'!$F:$F&amp;'5) Release_Track'!$G:$G,1,0))),vlookup($A267&amp;$B267,{'5) Release_Track'!$F:$F&amp;'5) Release_Track'!$G:$G,'5) Release_Track'!$J:$J},2,0),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F267" s="88"/>
      <c r="G267" s="92"/>
      <c r="H267" s="185"/>
      <c r="I267" s="121" t="str">
        <f t="shared" si="2"/>
        <v/>
      </c>
      <c r="J267" s="92"/>
      <c r="K267" s="92"/>
    </row>
    <row r="268">
      <c r="B268" s="97"/>
      <c r="C268" s="121" t="str">
        <f t="array" ref="C268">ifs(and(isblank($A268),isblank($B268)),"", not(iserror(vlookup($A268&amp;$B268,'5) Release_Track'!$F:$F&amp;'5) Release_Track'!$G:$G,1,0))),vlookup($A268&amp;$B268,{'5) Release_Track'!$F:$F&amp;'5) Release_Track'!$G:$G,'5) Release_Track'!$H:$H},2,0),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D268" s="121" t="str">
        <f t="array" ref="D268">ifs(and(isblank($A268),isblank($B268)),"", not(iserror(vlookup($A268&amp;$B268,'5) Release_Track'!$F:$F&amp;'5) Release_Track'!$G:$G,1,0))),vlookup($A268&amp;$B268,{'5) Release_Track'!$F:$F&amp;'5) Release_Track'!$G:$G,'5) Release_Track'!$I:$I},2,0),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E268" s="116" t="str">
        <f t="array" ref="E268">ifs(and(isblank($A268),isblank($B268)),"", not(iserror(vlookup($A268&amp;$B268,'5) Release_Track'!$F:$F&amp;'5) Release_Track'!$G:$G,1,0))),vlookup($A268&amp;$B268,{'5) Release_Track'!$F:$F&amp;'5) Release_Track'!$G:$G,'5) Release_Track'!$J:$J},2,0),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F268" s="88"/>
      <c r="G268" s="92"/>
      <c r="H268" s="185"/>
      <c r="I268" s="121" t="str">
        <f t="shared" si="2"/>
        <v/>
      </c>
      <c r="J268" s="92"/>
      <c r="K268" s="92"/>
    </row>
    <row r="269">
      <c r="B269" s="97"/>
      <c r="C269" s="121" t="str">
        <f t="array" ref="C269">ifs(and(isblank($A269),isblank($B269)),"", not(iserror(vlookup($A269&amp;$B269,'5) Release_Track'!$F:$F&amp;'5) Release_Track'!$G:$G,1,0))),vlookup($A269&amp;$B269,{'5) Release_Track'!$F:$F&amp;'5) Release_Track'!$G:$G,'5) Release_Track'!$H:$H},2,0),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D269" s="121" t="str">
        <f t="array" ref="D269">ifs(and(isblank($A269),isblank($B269)),"", not(iserror(vlookup($A269&amp;$B269,'5) Release_Track'!$F:$F&amp;'5) Release_Track'!$G:$G,1,0))),vlookup($A269&amp;$B269,{'5) Release_Track'!$F:$F&amp;'5) Release_Track'!$G:$G,'5) Release_Track'!$I:$I},2,0),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E269" s="116" t="str">
        <f t="array" ref="E269">ifs(and(isblank($A269),isblank($B269)),"", not(iserror(vlookup($A269&amp;$B269,'5) Release_Track'!$F:$F&amp;'5) Release_Track'!$G:$G,1,0))),vlookup($A269&amp;$B269,{'5) Release_Track'!$F:$F&amp;'5) Release_Track'!$G:$G,'5) Release_Track'!$J:$J},2,0),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F269" s="88"/>
      <c r="G269" s="92"/>
      <c r="H269" s="185"/>
      <c r="I269" s="121" t="str">
        <f t="shared" si="2"/>
        <v/>
      </c>
      <c r="J269" s="92"/>
      <c r="K269" s="92"/>
    </row>
    <row r="270">
      <c r="B270" s="97"/>
      <c r="C270" s="121" t="str">
        <f t="array" ref="C270">ifs(and(isblank($A270),isblank($B270)),"", not(iserror(vlookup($A270&amp;$B270,'5) Release_Track'!$F:$F&amp;'5) Release_Track'!$G:$G,1,0))),vlookup($A270&amp;$B270,{'5) Release_Track'!$F:$F&amp;'5) Release_Track'!$G:$G,'5) Release_Track'!$H:$H},2,0),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D270" s="121" t="str">
        <f t="array" ref="D270">ifs(and(isblank($A270),isblank($B270)),"", not(iserror(vlookup($A270&amp;$B270,'5) Release_Track'!$F:$F&amp;'5) Release_Track'!$G:$G,1,0))),vlookup($A270&amp;$B270,{'5) Release_Track'!$F:$F&amp;'5) Release_Track'!$G:$G,'5) Release_Track'!$I:$I},2,0),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E270" s="116" t="str">
        <f t="array" ref="E270">ifs(and(isblank($A270),isblank($B270)),"", not(iserror(vlookup($A270&amp;$B270,'5) Release_Track'!$F:$F&amp;'5) Release_Track'!$G:$G,1,0))),vlookup($A270&amp;$B270,{'5) Release_Track'!$F:$F&amp;'5) Release_Track'!$G:$G,'5) Release_Track'!$J:$J},2,0),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F270" s="88"/>
      <c r="G270" s="92"/>
      <c r="H270" s="185"/>
      <c r="I270" s="121" t="str">
        <f t="shared" si="2"/>
        <v/>
      </c>
      <c r="J270" s="92"/>
      <c r="K270" s="92"/>
    </row>
    <row r="271">
      <c r="B271" s="97"/>
      <c r="C271" s="121" t="str">
        <f t="array" ref="C271">ifs(and(isblank($A271),isblank($B271)),"", not(iserror(vlookup($A271&amp;$B271,'5) Release_Track'!$F:$F&amp;'5) Release_Track'!$G:$G,1,0))),vlookup($A271&amp;$B271,{'5) Release_Track'!$F:$F&amp;'5) Release_Track'!$G:$G,'5) Release_Track'!$H:$H},2,0),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D271" s="121" t="str">
        <f t="array" ref="D271">ifs(and(isblank($A271),isblank($B271)),"", not(iserror(vlookup($A271&amp;$B271,'5) Release_Track'!$F:$F&amp;'5) Release_Track'!$G:$G,1,0))),vlookup($A271&amp;$B271,{'5) Release_Track'!$F:$F&amp;'5) Release_Track'!$G:$G,'5) Release_Track'!$I:$I},2,0),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E271" s="116" t="str">
        <f t="array" ref="E271">ifs(and(isblank($A271),isblank($B271)),"", not(iserror(vlookup($A271&amp;$B271,'5) Release_Track'!$F:$F&amp;'5) Release_Track'!$G:$G,1,0))),vlookup($A271&amp;$B271,{'5) Release_Track'!$F:$F&amp;'5) Release_Track'!$G:$G,'5) Release_Track'!$J:$J},2,0),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F271" s="88"/>
      <c r="G271" s="92"/>
      <c r="H271" s="185"/>
      <c r="I271" s="121" t="str">
        <f t="shared" si="2"/>
        <v/>
      </c>
      <c r="J271" s="92"/>
      <c r="K271" s="92"/>
    </row>
    <row r="272">
      <c r="B272" s="97"/>
      <c r="C272" s="121" t="str">
        <f t="array" ref="C272">ifs(and(isblank($A272),isblank($B272)),"", not(iserror(vlookup($A272&amp;$B272,'5) Release_Track'!$F:$F&amp;'5) Release_Track'!$G:$G,1,0))),vlookup($A272&amp;$B272,{'5) Release_Track'!$F:$F&amp;'5) Release_Track'!$G:$G,'5) Release_Track'!$H:$H},2,0),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D272" s="121" t="str">
        <f t="array" ref="D272">ifs(and(isblank($A272),isblank($B272)),"", not(iserror(vlookup($A272&amp;$B272,'5) Release_Track'!$F:$F&amp;'5) Release_Track'!$G:$G,1,0))),vlookup($A272&amp;$B272,{'5) Release_Track'!$F:$F&amp;'5) Release_Track'!$G:$G,'5) Release_Track'!$I:$I},2,0),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E272" s="116" t="str">
        <f t="array" ref="E272">ifs(and(isblank($A272),isblank($B272)),"", not(iserror(vlookup($A272&amp;$B272,'5) Release_Track'!$F:$F&amp;'5) Release_Track'!$G:$G,1,0))),vlookup($A272&amp;$B272,{'5) Release_Track'!$F:$F&amp;'5) Release_Track'!$G:$G,'5) Release_Track'!$J:$J},2,0),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F272" s="88"/>
      <c r="G272" s="92"/>
      <c r="H272" s="185"/>
      <c r="I272" s="121" t="str">
        <f t="shared" si="2"/>
        <v/>
      </c>
      <c r="J272" s="92"/>
      <c r="K272" s="92"/>
    </row>
    <row r="273">
      <c r="B273" s="97"/>
      <c r="C273" s="121" t="str">
        <f t="array" ref="C273">ifs(and(isblank($A273),isblank($B273)),"", not(iserror(vlookup($A273&amp;$B273,'5) Release_Track'!$F:$F&amp;'5) Release_Track'!$G:$G,1,0))),vlookup($A273&amp;$B273,{'5) Release_Track'!$F:$F&amp;'5) Release_Track'!$G:$G,'5) Release_Track'!$H:$H},2,0),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D273" s="121" t="str">
        <f t="array" ref="D273">ifs(and(isblank($A273),isblank($B273)),"", not(iserror(vlookup($A273&amp;$B273,'5) Release_Track'!$F:$F&amp;'5) Release_Track'!$G:$G,1,0))),vlookup($A273&amp;$B273,{'5) Release_Track'!$F:$F&amp;'5) Release_Track'!$G:$G,'5) Release_Track'!$I:$I},2,0),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E273" s="116" t="str">
        <f t="array" ref="E273">ifs(and(isblank($A273),isblank($B273)),"", not(iserror(vlookup($A273&amp;$B273,'5) Release_Track'!$F:$F&amp;'5) Release_Track'!$G:$G,1,0))),vlookup($A273&amp;$B273,{'5) Release_Track'!$F:$F&amp;'5) Release_Track'!$G:$G,'5) Release_Track'!$J:$J},2,0),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F273" s="88"/>
      <c r="G273" s="92"/>
      <c r="H273" s="185"/>
      <c r="I273" s="121" t="str">
        <f t="shared" si="2"/>
        <v/>
      </c>
      <c r="J273" s="92"/>
      <c r="K273" s="92"/>
    </row>
    <row r="274">
      <c r="B274" s="97"/>
      <c r="C274" s="121" t="str">
        <f t="array" ref="C274">ifs(and(isblank($A274),isblank($B274)),"", not(iserror(vlookup($A274&amp;$B274,'5) Release_Track'!$F:$F&amp;'5) Release_Track'!$G:$G,1,0))),vlookup($A274&amp;$B274,{'5) Release_Track'!$F:$F&amp;'5) Release_Track'!$G:$G,'5) Release_Track'!$H:$H},2,0),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D274" s="121" t="str">
        <f t="array" ref="D274">ifs(and(isblank($A274),isblank($B274)),"", not(iserror(vlookup($A274&amp;$B274,'5) Release_Track'!$F:$F&amp;'5) Release_Track'!$G:$G,1,0))),vlookup($A274&amp;$B274,{'5) Release_Track'!$F:$F&amp;'5) Release_Track'!$G:$G,'5) Release_Track'!$I:$I},2,0),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E274" s="116" t="str">
        <f t="array" ref="E274">ifs(and(isblank($A274),isblank($B274)),"", not(iserror(vlookup($A274&amp;$B274,'5) Release_Track'!$F:$F&amp;'5) Release_Track'!$G:$G,1,0))),vlookup($A274&amp;$B274,{'5) Release_Track'!$F:$F&amp;'5) Release_Track'!$G:$G,'5) Release_Track'!$J:$J},2,0),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F274" s="88"/>
      <c r="G274" s="92"/>
      <c r="H274" s="185"/>
      <c r="I274" s="121" t="str">
        <f t="shared" si="2"/>
        <v/>
      </c>
      <c r="J274" s="92"/>
      <c r="K274" s="92"/>
    </row>
    <row r="275">
      <c r="B275" s="97"/>
      <c r="C275" s="121" t="str">
        <f t="array" ref="C275">ifs(and(isblank($A275),isblank($B275)),"", not(iserror(vlookup($A275&amp;$B275,'5) Release_Track'!$F:$F&amp;'5) Release_Track'!$G:$G,1,0))),vlookup($A275&amp;$B275,{'5) Release_Track'!$F:$F&amp;'5) Release_Track'!$G:$G,'5) Release_Track'!$H:$H},2,0),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D275" s="121" t="str">
        <f t="array" ref="D275">ifs(and(isblank($A275),isblank($B275)),"", not(iserror(vlookup($A275&amp;$B275,'5) Release_Track'!$F:$F&amp;'5) Release_Track'!$G:$G,1,0))),vlookup($A275&amp;$B275,{'5) Release_Track'!$F:$F&amp;'5) Release_Track'!$G:$G,'5) Release_Track'!$I:$I},2,0),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E275" s="116" t="str">
        <f t="array" ref="E275">ifs(and(isblank($A275),isblank($B275)),"", not(iserror(vlookup($A275&amp;$B275,'5) Release_Track'!$F:$F&amp;'5) Release_Track'!$G:$G,1,0))),vlookup($A275&amp;$B275,{'5) Release_Track'!$F:$F&amp;'5) Release_Track'!$G:$G,'5) Release_Track'!$J:$J},2,0),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F275" s="88"/>
      <c r="G275" s="92"/>
      <c r="H275" s="185"/>
      <c r="I275" s="121" t="str">
        <f t="shared" si="2"/>
        <v/>
      </c>
      <c r="J275" s="92"/>
      <c r="K275" s="92"/>
    </row>
    <row r="276">
      <c r="B276" s="97"/>
      <c r="C276" s="121" t="str">
        <f t="array" ref="C276">ifs(and(isblank($A276),isblank($B276)),"", not(iserror(vlookup($A276&amp;$B276,'5) Release_Track'!$F:$F&amp;'5) Release_Track'!$G:$G,1,0))),vlookup($A276&amp;$B276,{'5) Release_Track'!$F:$F&amp;'5) Release_Track'!$G:$G,'5) Release_Track'!$H:$H},2,0),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D276" s="121" t="str">
        <f t="array" ref="D276">ifs(and(isblank($A276),isblank($B276)),"", not(iserror(vlookup($A276&amp;$B276,'5) Release_Track'!$F:$F&amp;'5) Release_Track'!$G:$G,1,0))),vlookup($A276&amp;$B276,{'5) Release_Track'!$F:$F&amp;'5) Release_Track'!$G:$G,'5) Release_Track'!$I:$I},2,0),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E276" s="116" t="str">
        <f t="array" ref="E276">ifs(and(isblank($A276),isblank($B276)),"", not(iserror(vlookup($A276&amp;$B276,'5) Release_Track'!$F:$F&amp;'5) Release_Track'!$G:$G,1,0))),vlookup($A276&amp;$B276,{'5) Release_Track'!$F:$F&amp;'5) Release_Track'!$G:$G,'5) Release_Track'!$J:$J},2,0),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F276" s="88"/>
      <c r="G276" s="92"/>
      <c r="H276" s="185"/>
      <c r="I276" s="121" t="str">
        <f t="shared" si="2"/>
        <v/>
      </c>
      <c r="J276" s="92"/>
      <c r="K276" s="92"/>
    </row>
    <row r="277">
      <c r="B277" s="97"/>
      <c r="C277" s="121" t="str">
        <f t="array" ref="C277">ifs(and(isblank($A277),isblank($B277)),"", not(iserror(vlookup($A277&amp;$B277,'5) Release_Track'!$F:$F&amp;'5) Release_Track'!$G:$G,1,0))),vlookup($A277&amp;$B277,{'5) Release_Track'!$F:$F&amp;'5) Release_Track'!$G:$G,'5) Release_Track'!$H:$H},2,0),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D277" s="121" t="str">
        <f t="array" ref="D277">ifs(and(isblank($A277),isblank($B277)),"", not(iserror(vlookup($A277&amp;$B277,'5) Release_Track'!$F:$F&amp;'5) Release_Track'!$G:$G,1,0))),vlookup($A277&amp;$B277,{'5) Release_Track'!$F:$F&amp;'5) Release_Track'!$G:$G,'5) Release_Track'!$I:$I},2,0),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E277" s="116" t="str">
        <f t="array" ref="E277">ifs(and(isblank($A277),isblank($B277)),"", not(iserror(vlookup($A277&amp;$B277,'5) Release_Track'!$F:$F&amp;'5) Release_Track'!$G:$G,1,0))),vlookup($A277&amp;$B277,{'5) Release_Track'!$F:$F&amp;'5) Release_Track'!$G:$G,'5) Release_Track'!$J:$J},2,0),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F277" s="88"/>
      <c r="G277" s="92"/>
      <c r="H277" s="185"/>
      <c r="I277" s="121" t="str">
        <f t="shared" si="2"/>
        <v/>
      </c>
      <c r="J277" s="92"/>
      <c r="K277" s="92"/>
    </row>
    <row r="278">
      <c r="B278" s="97"/>
      <c r="C278" s="121" t="str">
        <f t="array" ref="C278">ifs(and(isblank($A278),isblank($B278)),"", not(iserror(vlookup($A278&amp;$B278,'5) Release_Track'!$F:$F&amp;'5) Release_Track'!$G:$G,1,0))),vlookup($A278&amp;$B278,{'5) Release_Track'!$F:$F&amp;'5) Release_Track'!$G:$G,'5) Release_Track'!$H:$H},2,0),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D278" s="121" t="str">
        <f t="array" ref="D278">ifs(and(isblank($A278),isblank($B278)),"", not(iserror(vlookup($A278&amp;$B278,'5) Release_Track'!$F:$F&amp;'5) Release_Track'!$G:$G,1,0))),vlookup($A278&amp;$B278,{'5) Release_Track'!$F:$F&amp;'5) Release_Track'!$G:$G,'5) Release_Track'!$I:$I},2,0),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E278" s="116" t="str">
        <f t="array" ref="E278">ifs(and(isblank($A278),isblank($B278)),"", not(iserror(vlookup($A278&amp;$B278,'5) Release_Track'!$F:$F&amp;'5) Release_Track'!$G:$G,1,0))),vlookup($A278&amp;$B278,{'5) Release_Track'!$F:$F&amp;'5) Release_Track'!$G:$G,'5) Release_Track'!$J:$J},2,0),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F278" s="88"/>
      <c r="G278" s="92"/>
      <c r="H278" s="185"/>
      <c r="I278" s="121" t="str">
        <f t="shared" si="2"/>
        <v/>
      </c>
      <c r="J278" s="92"/>
      <c r="K278" s="92"/>
    </row>
    <row r="279">
      <c r="B279" s="97"/>
      <c r="C279" s="121" t="str">
        <f t="array" ref="C279">ifs(and(isblank($A279),isblank($B279)),"", not(iserror(vlookup($A279&amp;$B279,'5) Release_Track'!$F:$F&amp;'5) Release_Track'!$G:$G,1,0))),vlookup($A279&amp;$B279,{'5) Release_Track'!$F:$F&amp;'5) Release_Track'!$G:$G,'5) Release_Track'!$H:$H},2,0),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D279" s="121" t="str">
        <f t="array" ref="D279">ifs(and(isblank($A279),isblank($B279)),"", not(iserror(vlookup($A279&amp;$B279,'5) Release_Track'!$F:$F&amp;'5) Release_Track'!$G:$G,1,0))),vlookup($A279&amp;$B279,{'5) Release_Track'!$F:$F&amp;'5) Release_Track'!$G:$G,'5) Release_Track'!$I:$I},2,0),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E279" s="116" t="str">
        <f t="array" ref="E279">ifs(and(isblank($A279),isblank($B279)),"", not(iserror(vlookup($A279&amp;$B279,'5) Release_Track'!$F:$F&amp;'5) Release_Track'!$G:$G,1,0))),vlookup($A279&amp;$B279,{'5) Release_Track'!$F:$F&amp;'5) Release_Track'!$G:$G,'5) Release_Track'!$J:$J},2,0),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F279" s="88"/>
      <c r="G279" s="92"/>
      <c r="H279" s="185"/>
      <c r="I279" s="121" t="str">
        <f t="shared" si="2"/>
        <v/>
      </c>
      <c r="J279" s="92"/>
      <c r="K279" s="92"/>
    </row>
    <row r="280">
      <c r="B280" s="97"/>
      <c r="C280" s="121" t="str">
        <f t="array" ref="C280">ifs(and(isblank($A280),isblank($B280)),"", not(iserror(vlookup($A280&amp;$B280,'5) Release_Track'!$F:$F&amp;'5) Release_Track'!$G:$G,1,0))),vlookup($A280&amp;$B280,{'5) Release_Track'!$F:$F&amp;'5) Release_Track'!$G:$G,'5) Release_Track'!$H:$H},2,0),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D280" s="121" t="str">
        <f t="array" ref="D280">ifs(and(isblank($A280),isblank($B280)),"", not(iserror(vlookup($A280&amp;$B280,'5) Release_Track'!$F:$F&amp;'5) Release_Track'!$G:$G,1,0))),vlookup($A280&amp;$B280,{'5) Release_Track'!$F:$F&amp;'5) Release_Track'!$G:$G,'5) Release_Track'!$I:$I},2,0),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E280" s="116" t="str">
        <f t="array" ref="E280">ifs(and(isblank($A280),isblank($B280)),"", not(iserror(vlookup($A280&amp;$B280,'5) Release_Track'!$F:$F&amp;'5) Release_Track'!$G:$G,1,0))),vlookup($A280&amp;$B280,{'5) Release_Track'!$F:$F&amp;'5) Release_Track'!$G:$G,'5) Release_Track'!$J:$J},2,0),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F280" s="88"/>
      <c r="G280" s="92"/>
      <c r="H280" s="185"/>
      <c r="I280" s="121" t="str">
        <f t="shared" si="2"/>
        <v/>
      </c>
      <c r="J280" s="92"/>
      <c r="K280" s="92"/>
    </row>
    <row r="281">
      <c r="B281" s="97"/>
      <c r="C281" s="121" t="str">
        <f t="array" ref="C281">ifs(and(isblank($A281),isblank($B281)),"", not(iserror(vlookup($A281&amp;$B281,'5) Release_Track'!$F:$F&amp;'5) Release_Track'!$G:$G,1,0))),vlookup($A281&amp;$B281,{'5) Release_Track'!$F:$F&amp;'5) Release_Track'!$G:$G,'5) Release_Track'!$H:$H},2,0),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D281" s="121" t="str">
        <f t="array" ref="D281">ifs(and(isblank($A281),isblank($B281)),"", not(iserror(vlookup($A281&amp;$B281,'5) Release_Track'!$F:$F&amp;'5) Release_Track'!$G:$G,1,0))),vlookup($A281&amp;$B281,{'5) Release_Track'!$F:$F&amp;'5) Release_Track'!$G:$G,'5) Release_Track'!$I:$I},2,0),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E281" s="116" t="str">
        <f t="array" ref="E281">ifs(and(isblank($A281),isblank($B281)),"", not(iserror(vlookup($A281&amp;$B281,'5) Release_Track'!$F:$F&amp;'5) Release_Track'!$G:$G,1,0))),vlookup($A281&amp;$B281,{'5) Release_Track'!$F:$F&amp;'5) Release_Track'!$G:$G,'5) Release_Track'!$J:$J},2,0),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F281" s="88"/>
      <c r="G281" s="92"/>
      <c r="H281" s="185"/>
      <c r="I281" s="121" t="str">
        <f t="shared" si="2"/>
        <v/>
      </c>
      <c r="J281" s="92"/>
      <c r="K281" s="92"/>
    </row>
    <row r="282">
      <c r="B282" s="97"/>
      <c r="C282" s="121" t="str">
        <f t="array" ref="C282">ifs(and(isblank($A282),isblank($B282)),"", not(iserror(vlookup($A282&amp;$B282,'5) Release_Track'!$F:$F&amp;'5) Release_Track'!$G:$G,1,0))),vlookup($A282&amp;$B282,{'5) Release_Track'!$F:$F&amp;'5) Release_Track'!$G:$G,'5) Release_Track'!$H:$H},2,0),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D282" s="121" t="str">
        <f t="array" ref="D282">ifs(and(isblank($A282),isblank($B282)),"", not(iserror(vlookup($A282&amp;$B282,'5) Release_Track'!$F:$F&amp;'5) Release_Track'!$G:$G,1,0))),vlookup($A282&amp;$B282,{'5) Release_Track'!$F:$F&amp;'5) Release_Track'!$G:$G,'5) Release_Track'!$I:$I},2,0),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E282" s="116" t="str">
        <f t="array" ref="E282">ifs(and(isblank($A282),isblank($B282)),"", not(iserror(vlookup($A282&amp;$B282,'5) Release_Track'!$F:$F&amp;'5) Release_Track'!$G:$G,1,0))),vlookup($A282&amp;$B282,{'5) Release_Track'!$F:$F&amp;'5) Release_Track'!$G:$G,'5) Release_Track'!$J:$J},2,0),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F282" s="88"/>
      <c r="G282" s="92"/>
      <c r="H282" s="185"/>
      <c r="I282" s="121" t="str">
        <f t="shared" si="2"/>
        <v/>
      </c>
      <c r="J282" s="92"/>
      <c r="K282" s="92"/>
    </row>
    <row r="283">
      <c r="B283" s="97"/>
      <c r="C283" s="121" t="str">
        <f t="array" ref="C283">ifs(and(isblank($A283),isblank($B283)),"", not(iserror(vlookup($A283&amp;$B283,'5) Release_Track'!$F:$F&amp;'5) Release_Track'!$G:$G,1,0))),vlookup($A283&amp;$B283,{'5) Release_Track'!$F:$F&amp;'5) Release_Track'!$G:$G,'5) Release_Track'!$H:$H},2,0),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D283" s="121" t="str">
        <f t="array" ref="D283">ifs(and(isblank($A283),isblank($B283)),"", not(iserror(vlookup($A283&amp;$B283,'5) Release_Track'!$F:$F&amp;'5) Release_Track'!$G:$G,1,0))),vlookup($A283&amp;$B283,{'5) Release_Track'!$F:$F&amp;'5) Release_Track'!$G:$G,'5) Release_Track'!$I:$I},2,0),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E283" s="116" t="str">
        <f t="array" ref="E283">ifs(and(isblank($A283),isblank($B283)),"", not(iserror(vlookup($A283&amp;$B283,'5) Release_Track'!$F:$F&amp;'5) Release_Track'!$G:$G,1,0))),vlookup($A283&amp;$B283,{'5) Release_Track'!$F:$F&amp;'5) Release_Track'!$G:$G,'5) Release_Track'!$J:$J},2,0),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F283" s="88"/>
      <c r="G283" s="92"/>
      <c r="H283" s="185"/>
      <c r="I283" s="121" t="str">
        <f t="shared" si="2"/>
        <v/>
      </c>
      <c r="J283" s="92"/>
      <c r="K283" s="92"/>
    </row>
    <row r="284">
      <c r="B284" s="97"/>
      <c r="C284" s="121" t="str">
        <f t="array" ref="C284">ifs(and(isblank($A284),isblank($B284)),"", not(iserror(vlookup($A284&amp;$B284,'5) Release_Track'!$F:$F&amp;'5) Release_Track'!$G:$G,1,0))),vlookup($A284&amp;$B284,{'5) Release_Track'!$F:$F&amp;'5) Release_Track'!$G:$G,'5) Release_Track'!$H:$H},2,0),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D284" s="121" t="str">
        <f t="array" ref="D284">ifs(and(isblank($A284),isblank($B284)),"", not(iserror(vlookup($A284&amp;$B284,'5) Release_Track'!$F:$F&amp;'5) Release_Track'!$G:$G,1,0))),vlookup($A284&amp;$B284,{'5) Release_Track'!$F:$F&amp;'5) Release_Track'!$G:$G,'5) Release_Track'!$I:$I},2,0),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E284" s="116" t="str">
        <f t="array" ref="E284">ifs(and(isblank($A284),isblank($B284)),"", not(iserror(vlookup($A284&amp;$B284,'5) Release_Track'!$F:$F&amp;'5) Release_Track'!$G:$G,1,0))),vlookup($A284&amp;$B284,{'5) Release_Track'!$F:$F&amp;'5) Release_Track'!$G:$G,'5) Release_Track'!$J:$J},2,0),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F284" s="88"/>
      <c r="G284" s="92"/>
      <c r="H284" s="185"/>
      <c r="I284" s="121" t="str">
        <f t="shared" si="2"/>
        <v/>
      </c>
      <c r="J284" s="92"/>
      <c r="K284" s="92"/>
    </row>
    <row r="285">
      <c r="B285" s="97"/>
      <c r="C285" s="121" t="str">
        <f t="array" ref="C285">ifs(and(isblank($A285),isblank($B285)),"", not(iserror(vlookup($A285&amp;$B285,'5) Release_Track'!$F:$F&amp;'5) Release_Track'!$G:$G,1,0))),vlookup($A285&amp;$B285,{'5) Release_Track'!$F:$F&amp;'5) Release_Track'!$G:$G,'5) Release_Track'!$H:$H},2,0),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D285" s="121" t="str">
        <f t="array" ref="D285">ifs(and(isblank($A285),isblank($B285)),"", not(iserror(vlookup($A285&amp;$B285,'5) Release_Track'!$F:$F&amp;'5) Release_Track'!$G:$G,1,0))),vlookup($A285&amp;$B285,{'5) Release_Track'!$F:$F&amp;'5) Release_Track'!$G:$G,'5) Release_Track'!$I:$I},2,0),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E285" s="116" t="str">
        <f t="array" ref="E285">ifs(and(isblank($A285),isblank($B285)),"", not(iserror(vlookup($A285&amp;$B285,'5) Release_Track'!$F:$F&amp;'5) Release_Track'!$G:$G,1,0))),vlookup($A285&amp;$B285,{'5) Release_Track'!$F:$F&amp;'5) Release_Track'!$G:$G,'5) Release_Track'!$J:$J},2,0),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F285" s="88"/>
      <c r="G285" s="92"/>
      <c r="H285" s="185"/>
      <c r="I285" s="121" t="str">
        <f t="shared" si="2"/>
        <v/>
      </c>
      <c r="J285" s="92"/>
      <c r="K285" s="92"/>
    </row>
    <row r="286">
      <c r="B286" s="97"/>
      <c r="C286" s="121" t="str">
        <f t="array" ref="C286">ifs(and(isblank($A286),isblank($B286)),"", not(iserror(vlookup($A286&amp;$B286,'5) Release_Track'!$F:$F&amp;'5) Release_Track'!$G:$G,1,0))),vlookup($A286&amp;$B286,{'5) Release_Track'!$F:$F&amp;'5) Release_Track'!$G:$G,'5) Release_Track'!$H:$H},2,0),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D286" s="121" t="str">
        <f t="array" ref="D286">ifs(and(isblank($A286),isblank($B286)),"", not(iserror(vlookup($A286&amp;$B286,'5) Release_Track'!$F:$F&amp;'5) Release_Track'!$G:$G,1,0))),vlookup($A286&amp;$B286,{'5) Release_Track'!$F:$F&amp;'5) Release_Track'!$G:$G,'5) Release_Track'!$I:$I},2,0),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E286" s="116" t="str">
        <f t="array" ref="E286">ifs(and(isblank($A286),isblank($B286)),"", not(iserror(vlookup($A286&amp;$B286,'5) Release_Track'!$F:$F&amp;'5) Release_Track'!$G:$G,1,0))),vlookup($A286&amp;$B286,{'5) Release_Track'!$F:$F&amp;'5) Release_Track'!$G:$G,'5) Release_Track'!$J:$J},2,0),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F286" s="88"/>
      <c r="G286" s="92"/>
      <c r="H286" s="185"/>
      <c r="I286" s="121" t="str">
        <f t="shared" si="2"/>
        <v/>
      </c>
      <c r="J286" s="92"/>
      <c r="K286" s="92"/>
    </row>
    <row r="287">
      <c r="B287" s="97"/>
      <c r="C287" s="121" t="str">
        <f t="array" ref="C287">ifs(and(isblank($A287),isblank($B287)),"", not(iserror(vlookup($A287&amp;$B287,'5) Release_Track'!$F:$F&amp;'5) Release_Track'!$G:$G,1,0))),vlookup($A287&amp;$B287,{'5) Release_Track'!$F:$F&amp;'5) Release_Track'!$G:$G,'5) Release_Track'!$H:$H},2,0),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D287" s="121" t="str">
        <f t="array" ref="D287">ifs(and(isblank($A287),isblank($B287)),"", not(iserror(vlookup($A287&amp;$B287,'5) Release_Track'!$F:$F&amp;'5) Release_Track'!$G:$G,1,0))),vlookup($A287&amp;$B287,{'5) Release_Track'!$F:$F&amp;'5) Release_Track'!$G:$G,'5) Release_Track'!$I:$I},2,0),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E287" s="116" t="str">
        <f t="array" ref="E287">ifs(and(isblank($A287),isblank($B287)),"", not(iserror(vlookup($A287&amp;$B287,'5) Release_Track'!$F:$F&amp;'5) Release_Track'!$G:$G,1,0))),vlookup($A287&amp;$B287,{'5) Release_Track'!$F:$F&amp;'5) Release_Track'!$G:$G,'5) Release_Track'!$J:$J},2,0),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F287" s="88"/>
      <c r="G287" s="92"/>
      <c r="H287" s="185"/>
      <c r="I287" s="121" t="str">
        <f t="shared" si="2"/>
        <v/>
      </c>
      <c r="J287" s="92"/>
      <c r="K287" s="92"/>
    </row>
    <row r="288">
      <c r="B288" s="97"/>
      <c r="C288" s="121" t="str">
        <f t="array" ref="C288">ifs(and(isblank($A288),isblank($B288)),"", not(iserror(vlookup($A288&amp;$B288,'5) Release_Track'!$F:$F&amp;'5) Release_Track'!$G:$G,1,0))),vlookup($A288&amp;$B288,{'5) Release_Track'!$F:$F&amp;'5) Release_Track'!$G:$G,'5) Release_Track'!$H:$H},2,0),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D288" s="121" t="str">
        <f t="array" ref="D288">ifs(and(isblank($A288),isblank($B288)),"", not(iserror(vlookup($A288&amp;$B288,'5) Release_Track'!$F:$F&amp;'5) Release_Track'!$G:$G,1,0))),vlookup($A288&amp;$B288,{'5) Release_Track'!$F:$F&amp;'5) Release_Track'!$G:$G,'5) Release_Track'!$I:$I},2,0),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E288" s="116" t="str">
        <f t="array" ref="E288">ifs(and(isblank($A288),isblank($B288)),"", not(iserror(vlookup($A288&amp;$B288,'5) Release_Track'!$F:$F&amp;'5) Release_Track'!$G:$G,1,0))),vlookup($A288&amp;$B288,{'5) Release_Track'!$F:$F&amp;'5) Release_Track'!$G:$G,'5) Release_Track'!$J:$J},2,0),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F288" s="88"/>
      <c r="G288" s="92"/>
      <c r="H288" s="185"/>
      <c r="I288" s="121" t="str">
        <f t="shared" si="2"/>
        <v/>
      </c>
      <c r="J288" s="92"/>
      <c r="K288" s="92"/>
    </row>
    <row r="289">
      <c r="B289" s="97"/>
      <c r="C289" s="121" t="str">
        <f t="array" ref="C289">ifs(and(isblank($A289),isblank($B289)),"", not(iserror(vlookup($A289&amp;$B289,'5) Release_Track'!$F:$F&amp;'5) Release_Track'!$G:$G,1,0))),vlookup($A289&amp;$B289,{'5) Release_Track'!$F:$F&amp;'5) Release_Track'!$G:$G,'5) Release_Track'!$H:$H},2,0),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D289" s="121" t="str">
        <f t="array" ref="D289">ifs(and(isblank($A289),isblank($B289)),"", not(iserror(vlookup($A289&amp;$B289,'5) Release_Track'!$F:$F&amp;'5) Release_Track'!$G:$G,1,0))),vlookup($A289&amp;$B289,{'5) Release_Track'!$F:$F&amp;'5) Release_Track'!$G:$G,'5) Release_Track'!$I:$I},2,0),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E289" s="116" t="str">
        <f t="array" ref="E289">ifs(and(isblank($A289),isblank($B289)),"", not(iserror(vlookup($A289&amp;$B289,'5) Release_Track'!$F:$F&amp;'5) Release_Track'!$G:$G,1,0))),vlookup($A289&amp;$B289,{'5) Release_Track'!$F:$F&amp;'5) Release_Track'!$G:$G,'5) Release_Track'!$J:$J},2,0),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F289" s="88"/>
      <c r="G289" s="92"/>
      <c r="H289" s="185"/>
      <c r="I289" s="121" t="str">
        <f t="shared" si="2"/>
        <v/>
      </c>
      <c r="J289" s="92"/>
      <c r="K289" s="92"/>
    </row>
    <row r="290">
      <c r="B290" s="97"/>
      <c r="C290" s="121" t="str">
        <f t="array" ref="C290">ifs(and(isblank($A290),isblank($B290)),"", not(iserror(vlookup($A290&amp;$B290,'5) Release_Track'!$F:$F&amp;'5) Release_Track'!$G:$G,1,0))),vlookup($A290&amp;$B290,{'5) Release_Track'!$F:$F&amp;'5) Release_Track'!$G:$G,'5) Release_Track'!$H:$H},2,0),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D290" s="121" t="str">
        <f t="array" ref="D290">ifs(and(isblank($A290),isblank($B290)),"", not(iserror(vlookup($A290&amp;$B290,'5) Release_Track'!$F:$F&amp;'5) Release_Track'!$G:$G,1,0))),vlookup($A290&amp;$B290,{'5) Release_Track'!$F:$F&amp;'5) Release_Track'!$G:$G,'5) Release_Track'!$I:$I},2,0),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E290" s="116" t="str">
        <f t="array" ref="E290">ifs(and(isblank($A290),isblank($B290)),"", not(iserror(vlookup($A290&amp;$B290,'5) Release_Track'!$F:$F&amp;'5) Release_Track'!$G:$G,1,0))),vlookup($A290&amp;$B290,{'5) Release_Track'!$F:$F&amp;'5) Release_Track'!$G:$G,'5) Release_Track'!$J:$J},2,0),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F290" s="88"/>
      <c r="G290" s="92"/>
      <c r="H290" s="185"/>
      <c r="I290" s="121" t="str">
        <f t="shared" si="2"/>
        <v/>
      </c>
      <c r="J290" s="92"/>
      <c r="K290" s="92"/>
    </row>
    <row r="291">
      <c r="B291" s="97"/>
      <c r="C291" s="121" t="str">
        <f t="array" ref="C291">ifs(and(isblank($A291),isblank($B291)),"", not(iserror(vlookup($A291&amp;$B291,'5) Release_Track'!$F:$F&amp;'5) Release_Track'!$G:$G,1,0))),vlookup($A291&amp;$B291,{'5) Release_Track'!$F:$F&amp;'5) Release_Track'!$G:$G,'5) Release_Track'!$H:$H},2,0),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D291" s="121" t="str">
        <f t="array" ref="D291">ifs(and(isblank($A291),isblank($B291)),"", not(iserror(vlookup($A291&amp;$B291,'5) Release_Track'!$F:$F&amp;'5) Release_Track'!$G:$G,1,0))),vlookup($A291&amp;$B291,{'5) Release_Track'!$F:$F&amp;'5) Release_Track'!$G:$G,'5) Release_Track'!$I:$I},2,0),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E291" s="116" t="str">
        <f t="array" ref="E291">ifs(and(isblank($A291),isblank($B291)),"", not(iserror(vlookup($A291&amp;$B291,'5) Release_Track'!$F:$F&amp;'5) Release_Track'!$G:$G,1,0))),vlookup($A291&amp;$B291,{'5) Release_Track'!$F:$F&amp;'5) Release_Track'!$G:$G,'5) Release_Track'!$J:$J},2,0),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F291" s="88"/>
      <c r="G291" s="92"/>
      <c r="H291" s="185"/>
      <c r="I291" s="121" t="str">
        <f t="shared" si="2"/>
        <v/>
      </c>
      <c r="J291" s="92"/>
      <c r="K291" s="92"/>
    </row>
    <row r="292">
      <c r="B292" s="97"/>
      <c r="C292" s="121" t="str">
        <f t="array" ref="C292">ifs(and(isblank($A292),isblank($B292)),"", not(iserror(vlookup($A292&amp;$B292,'5) Release_Track'!$F:$F&amp;'5) Release_Track'!$G:$G,1,0))),vlookup($A292&amp;$B292,{'5) Release_Track'!$F:$F&amp;'5) Release_Track'!$G:$G,'5) Release_Track'!$H:$H},2,0),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D292" s="121" t="str">
        <f t="array" ref="D292">ifs(and(isblank($A292),isblank($B292)),"", not(iserror(vlookup($A292&amp;$B292,'5) Release_Track'!$F:$F&amp;'5) Release_Track'!$G:$G,1,0))),vlookup($A292&amp;$B292,{'5) Release_Track'!$F:$F&amp;'5) Release_Track'!$G:$G,'5) Release_Track'!$I:$I},2,0),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E292" s="116" t="str">
        <f t="array" ref="E292">ifs(and(isblank($A292),isblank($B292)),"", not(iserror(vlookup($A292&amp;$B292,'5) Release_Track'!$F:$F&amp;'5) Release_Track'!$G:$G,1,0))),vlookup($A292&amp;$B292,{'5) Release_Track'!$F:$F&amp;'5) Release_Track'!$G:$G,'5) Release_Track'!$J:$J},2,0),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F292" s="88"/>
      <c r="G292" s="92"/>
      <c r="H292" s="185"/>
      <c r="I292" s="121" t="str">
        <f t="shared" si="2"/>
        <v/>
      </c>
      <c r="J292" s="92"/>
      <c r="K292" s="92"/>
    </row>
    <row r="293">
      <c r="B293" s="97"/>
      <c r="C293" s="121" t="str">
        <f t="array" ref="C293">ifs(and(isblank($A293),isblank($B293)),"", not(iserror(vlookup($A293&amp;$B293,'5) Release_Track'!$F:$F&amp;'5) Release_Track'!$G:$G,1,0))),vlookup($A293&amp;$B293,{'5) Release_Track'!$F:$F&amp;'5) Release_Track'!$G:$G,'5) Release_Track'!$H:$H},2,0),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D293" s="121" t="str">
        <f t="array" ref="D293">ifs(and(isblank($A293),isblank($B293)),"", not(iserror(vlookup($A293&amp;$B293,'5) Release_Track'!$F:$F&amp;'5) Release_Track'!$G:$G,1,0))),vlookup($A293&amp;$B293,{'5) Release_Track'!$F:$F&amp;'5) Release_Track'!$G:$G,'5) Release_Track'!$I:$I},2,0),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E293" s="116" t="str">
        <f t="array" ref="E293">ifs(and(isblank($A293),isblank($B293)),"", not(iserror(vlookup($A293&amp;$B293,'5) Release_Track'!$F:$F&amp;'5) Release_Track'!$G:$G,1,0))),vlookup($A293&amp;$B293,{'5) Release_Track'!$F:$F&amp;'5) Release_Track'!$G:$G,'5) Release_Track'!$J:$J},2,0),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F293" s="88"/>
      <c r="G293" s="92"/>
      <c r="H293" s="185"/>
      <c r="I293" s="121" t="str">
        <f t="shared" si="2"/>
        <v/>
      </c>
      <c r="J293" s="92"/>
      <c r="K293" s="92"/>
    </row>
    <row r="294">
      <c r="B294" s="97"/>
      <c r="C294" s="121" t="str">
        <f t="array" ref="C294">ifs(and(isblank($A294),isblank($B294)),"", not(iserror(vlookup($A294&amp;$B294,'5) Release_Track'!$F:$F&amp;'5) Release_Track'!$G:$G,1,0))),vlookup($A294&amp;$B294,{'5) Release_Track'!$F:$F&amp;'5) Release_Track'!$G:$G,'5) Release_Track'!$H:$H},2,0),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D294" s="121" t="str">
        <f t="array" ref="D294">ifs(and(isblank($A294),isblank($B294)),"", not(iserror(vlookup($A294&amp;$B294,'5) Release_Track'!$F:$F&amp;'5) Release_Track'!$G:$G,1,0))),vlookup($A294&amp;$B294,{'5) Release_Track'!$F:$F&amp;'5) Release_Track'!$G:$G,'5) Release_Track'!$I:$I},2,0),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E294" s="116" t="str">
        <f t="array" ref="E294">ifs(and(isblank($A294),isblank($B294)),"", not(iserror(vlookup($A294&amp;$B294,'5) Release_Track'!$F:$F&amp;'5) Release_Track'!$G:$G,1,0))),vlookup($A294&amp;$B294,{'5) Release_Track'!$F:$F&amp;'5) Release_Track'!$G:$G,'5) Release_Track'!$J:$J},2,0),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F294" s="88"/>
      <c r="G294" s="92"/>
      <c r="H294" s="185"/>
      <c r="I294" s="121" t="str">
        <f t="shared" si="2"/>
        <v/>
      </c>
      <c r="J294" s="92"/>
      <c r="K294" s="92"/>
    </row>
    <row r="295">
      <c r="B295" s="97"/>
      <c r="C295" s="121" t="str">
        <f t="array" ref="C295">ifs(and(isblank($A295),isblank($B295)),"", not(iserror(vlookup($A295&amp;$B295,'5) Release_Track'!$F:$F&amp;'5) Release_Track'!$G:$G,1,0))),vlookup($A295&amp;$B295,{'5) Release_Track'!$F:$F&amp;'5) Release_Track'!$G:$G,'5) Release_Track'!$H:$H},2,0),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D295" s="121" t="str">
        <f t="array" ref="D295">ifs(and(isblank($A295),isblank($B295)),"", not(iserror(vlookup($A295&amp;$B295,'5) Release_Track'!$F:$F&amp;'5) Release_Track'!$G:$G,1,0))),vlookup($A295&amp;$B295,{'5) Release_Track'!$F:$F&amp;'5) Release_Track'!$G:$G,'5) Release_Track'!$I:$I},2,0),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E295" s="116" t="str">
        <f t="array" ref="E295">ifs(and(isblank($A295),isblank($B295)),"", not(iserror(vlookup($A295&amp;$B295,'5) Release_Track'!$F:$F&amp;'5) Release_Track'!$G:$G,1,0))),vlookup($A295&amp;$B295,{'5) Release_Track'!$F:$F&amp;'5) Release_Track'!$G:$G,'5) Release_Track'!$J:$J},2,0),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F295" s="88"/>
      <c r="G295" s="92"/>
      <c r="H295" s="185"/>
      <c r="I295" s="121" t="str">
        <f t="shared" si="2"/>
        <v/>
      </c>
      <c r="J295" s="92"/>
      <c r="K295" s="92"/>
    </row>
    <row r="296">
      <c r="B296" s="97"/>
      <c r="C296" s="121" t="str">
        <f t="array" ref="C296">ifs(and(isblank($A296),isblank($B296)),"", not(iserror(vlookup($A296&amp;$B296,'5) Release_Track'!$F:$F&amp;'5) Release_Track'!$G:$G,1,0))),vlookup($A296&amp;$B296,{'5) Release_Track'!$F:$F&amp;'5) Release_Track'!$G:$G,'5) Release_Track'!$H:$H},2,0),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D296" s="121" t="str">
        <f t="array" ref="D296">ifs(and(isblank($A296),isblank($B296)),"", not(iserror(vlookup($A296&amp;$B296,'5) Release_Track'!$F:$F&amp;'5) Release_Track'!$G:$G,1,0))),vlookup($A296&amp;$B296,{'5) Release_Track'!$F:$F&amp;'5) Release_Track'!$G:$G,'5) Release_Track'!$I:$I},2,0),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E296" s="116" t="str">
        <f t="array" ref="E296">ifs(and(isblank($A296),isblank($B296)),"", not(iserror(vlookup($A296&amp;$B296,'5) Release_Track'!$F:$F&amp;'5) Release_Track'!$G:$G,1,0))),vlookup($A296&amp;$B296,{'5) Release_Track'!$F:$F&amp;'5) Release_Track'!$G:$G,'5) Release_Track'!$J:$J},2,0),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F296" s="88"/>
      <c r="G296" s="92"/>
      <c r="H296" s="185"/>
      <c r="I296" s="121" t="str">
        <f t="shared" si="2"/>
        <v/>
      </c>
      <c r="J296" s="92"/>
      <c r="K296" s="92"/>
    </row>
    <row r="297">
      <c r="B297" s="97"/>
      <c r="C297" s="121" t="str">
        <f t="array" ref="C297">ifs(and(isblank($A297),isblank($B297)),"", not(iserror(vlookup($A297&amp;$B297,'5) Release_Track'!$F:$F&amp;'5) Release_Track'!$G:$G,1,0))),vlookup($A297&amp;$B297,{'5) Release_Track'!$F:$F&amp;'5) Release_Track'!$G:$G,'5) Release_Track'!$H:$H},2,0),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D297" s="121" t="str">
        <f t="array" ref="D297">ifs(and(isblank($A297),isblank($B297)),"", not(iserror(vlookup($A297&amp;$B297,'5) Release_Track'!$F:$F&amp;'5) Release_Track'!$G:$G,1,0))),vlookup($A297&amp;$B297,{'5) Release_Track'!$F:$F&amp;'5) Release_Track'!$G:$G,'5) Release_Track'!$I:$I},2,0),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E297" s="116" t="str">
        <f t="array" ref="E297">ifs(and(isblank($A297),isblank($B297)),"", not(iserror(vlookup($A297&amp;$B297,'5) Release_Track'!$F:$F&amp;'5) Release_Track'!$G:$G,1,0))),vlookup($A297&amp;$B297,{'5) Release_Track'!$F:$F&amp;'5) Release_Track'!$G:$G,'5) Release_Track'!$J:$J},2,0),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F297" s="88"/>
      <c r="G297" s="92"/>
      <c r="H297" s="185"/>
      <c r="I297" s="121" t="str">
        <f t="shared" si="2"/>
        <v/>
      </c>
      <c r="J297" s="92"/>
      <c r="K297" s="92"/>
    </row>
    <row r="298">
      <c r="B298" s="97"/>
      <c r="C298" s="121" t="str">
        <f t="array" ref="C298">ifs(and(isblank($A298),isblank($B298)),"", not(iserror(vlookup($A298&amp;$B298,'5) Release_Track'!$F:$F&amp;'5) Release_Track'!$G:$G,1,0))),vlookup($A298&amp;$B298,{'5) Release_Track'!$F:$F&amp;'5) Release_Track'!$G:$G,'5) Release_Track'!$H:$H},2,0),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D298" s="121" t="str">
        <f t="array" ref="D298">ifs(and(isblank($A298),isblank($B298)),"", not(iserror(vlookup($A298&amp;$B298,'5) Release_Track'!$F:$F&amp;'5) Release_Track'!$G:$G,1,0))),vlookup($A298&amp;$B298,{'5) Release_Track'!$F:$F&amp;'5) Release_Track'!$G:$G,'5) Release_Track'!$I:$I},2,0),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E298" s="116" t="str">
        <f t="array" ref="E298">ifs(and(isblank($A298),isblank($B298)),"", not(iserror(vlookup($A298&amp;$B298,'5) Release_Track'!$F:$F&amp;'5) Release_Track'!$G:$G,1,0))),vlookup($A298&amp;$B298,{'5) Release_Track'!$F:$F&amp;'5) Release_Track'!$G:$G,'5) Release_Track'!$J:$J},2,0),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F298" s="88"/>
      <c r="G298" s="92"/>
      <c r="H298" s="185"/>
      <c r="I298" s="121" t="str">
        <f t="shared" si="2"/>
        <v/>
      </c>
      <c r="J298" s="92"/>
      <c r="K298" s="92"/>
    </row>
    <row r="299">
      <c r="B299" s="97"/>
      <c r="C299" s="121" t="str">
        <f t="array" ref="C299">ifs(and(isblank($A299),isblank($B299)),"", not(iserror(vlookup($A299&amp;$B299,'5) Release_Track'!$F:$F&amp;'5) Release_Track'!$G:$G,1,0))),vlookup($A299&amp;$B299,{'5) Release_Track'!$F:$F&amp;'5) Release_Track'!$G:$G,'5) Release_Track'!$H:$H},2,0),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D299" s="121" t="str">
        <f t="array" ref="D299">ifs(and(isblank($A299),isblank($B299)),"", not(iserror(vlookup($A299&amp;$B299,'5) Release_Track'!$F:$F&amp;'5) Release_Track'!$G:$G,1,0))),vlookup($A299&amp;$B299,{'5) Release_Track'!$F:$F&amp;'5) Release_Track'!$G:$G,'5) Release_Track'!$I:$I},2,0),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E299" s="116" t="str">
        <f t="array" ref="E299">ifs(and(isblank($A299),isblank($B299)),"", not(iserror(vlookup($A299&amp;$B299,'5) Release_Track'!$F:$F&amp;'5) Release_Track'!$G:$G,1,0))),vlookup($A299&amp;$B299,{'5) Release_Track'!$F:$F&amp;'5) Release_Track'!$G:$G,'5) Release_Track'!$J:$J},2,0),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F299" s="88"/>
      <c r="G299" s="92"/>
      <c r="H299" s="185"/>
      <c r="I299" s="121" t="str">
        <f t="shared" si="2"/>
        <v/>
      </c>
      <c r="J299" s="92"/>
      <c r="K299" s="92"/>
    </row>
    <row r="300">
      <c r="B300" s="97"/>
      <c r="C300" s="121" t="str">
        <f t="array" ref="C300">ifs(and(isblank($A300),isblank($B300)),"", not(iserror(vlookup($A300&amp;$B300,'5) Release_Track'!$F:$F&amp;'5) Release_Track'!$G:$G,1,0))),vlookup($A300&amp;$B300,{'5) Release_Track'!$F:$F&amp;'5) Release_Track'!$G:$G,'5) Release_Track'!$H:$H},2,0),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D300" s="121" t="str">
        <f t="array" ref="D300">ifs(and(isblank($A300),isblank($B300)),"", not(iserror(vlookup($A300&amp;$B300,'5) Release_Track'!$F:$F&amp;'5) Release_Track'!$G:$G,1,0))),vlookup($A300&amp;$B300,{'5) Release_Track'!$F:$F&amp;'5) Release_Track'!$G:$G,'5) Release_Track'!$I:$I},2,0),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E300" s="116" t="str">
        <f t="array" ref="E300">ifs(and(isblank($A300),isblank($B300)),"", not(iserror(vlookup($A300&amp;$B300,'5) Release_Track'!$F:$F&amp;'5) Release_Track'!$G:$G,1,0))),vlookup($A300&amp;$B300,{'5) Release_Track'!$F:$F&amp;'5) Release_Track'!$G:$G,'5) Release_Track'!$J:$J},2,0),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F300" s="88"/>
      <c r="G300" s="92"/>
      <c r="H300" s="185"/>
      <c r="I300" s="121" t="str">
        <f t="shared" si="2"/>
        <v/>
      </c>
      <c r="J300" s="92"/>
      <c r="K300" s="92"/>
    </row>
    <row r="301">
      <c r="B301" s="97"/>
      <c r="C301" s="121" t="str">
        <f t="array" ref="C301">ifs(and(isblank($A301),isblank($B301)),"", not(iserror(vlookup($A301&amp;$B301,'5) Release_Track'!$F:$F&amp;'5) Release_Track'!$G:$G,1,0))),vlookup($A301&amp;$B301,{'5) Release_Track'!$F:$F&amp;'5) Release_Track'!$G:$G,'5) Release_Track'!$H:$H},2,0),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D301" s="121" t="str">
        <f t="array" ref="D301">ifs(and(isblank($A301),isblank($B301)),"", not(iserror(vlookup($A301&amp;$B301,'5) Release_Track'!$F:$F&amp;'5) Release_Track'!$G:$G,1,0))),vlookup($A301&amp;$B301,{'5) Release_Track'!$F:$F&amp;'5) Release_Track'!$G:$G,'5) Release_Track'!$I:$I},2,0),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E301" s="116" t="str">
        <f t="array" ref="E301">ifs(and(isblank($A301),isblank($B301)),"", not(iserror(vlookup($A301&amp;$B301,'5) Release_Track'!$F:$F&amp;'5) Release_Track'!$G:$G,1,0))),vlookup($A301&amp;$B301,{'5) Release_Track'!$F:$F&amp;'5) Release_Track'!$G:$G,'5) Release_Track'!$J:$J},2,0),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F301" s="88"/>
      <c r="G301" s="92"/>
      <c r="H301" s="185"/>
      <c r="I301" s="121" t="str">
        <f t="shared" si="2"/>
        <v/>
      </c>
      <c r="J301" s="92"/>
      <c r="K301" s="92"/>
    </row>
    <row r="302">
      <c r="B302" s="97"/>
      <c r="C302" s="121" t="str">
        <f t="array" ref="C302">ifs(and(isblank($A302),isblank($B302)),"", not(iserror(vlookup($A302&amp;$B302,'5) Release_Track'!$F:$F&amp;'5) Release_Track'!$G:$G,1,0))),vlookup($A302&amp;$B302,{'5) Release_Track'!$F:$F&amp;'5) Release_Track'!$G:$G,'5) Release_Track'!$H:$H},2,0),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D302" s="121" t="str">
        <f t="array" ref="D302">ifs(and(isblank($A302),isblank($B302)),"", not(iserror(vlookup($A302&amp;$B302,'5) Release_Track'!$F:$F&amp;'5) Release_Track'!$G:$G,1,0))),vlookup($A302&amp;$B302,{'5) Release_Track'!$F:$F&amp;'5) Release_Track'!$G:$G,'5) Release_Track'!$I:$I},2,0),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E302" s="116" t="str">
        <f t="array" ref="E302">ifs(and(isblank($A302),isblank($B302)),"", not(iserror(vlookup($A302&amp;$B302,'5) Release_Track'!$F:$F&amp;'5) Release_Track'!$G:$G,1,0))),vlookup($A302&amp;$B302,{'5) Release_Track'!$F:$F&amp;'5) Release_Track'!$G:$G,'5) Release_Track'!$J:$J},2,0),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F302" s="88"/>
      <c r="G302" s="92"/>
      <c r="H302" s="185"/>
      <c r="I302" s="121" t="str">
        <f t="shared" si="2"/>
        <v/>
      </c>
      <c r="J302" s="92"/>
      <c r="K302" s="92"/>
    </row>
    <row r="303">
      <c r="B303" s="97"/>
      <c r="C303" s="121" t="str">
        <f t="array" ref="C303">ifs(and(isblank($A303),isblank($B303)),"", not(iserror(vlookup($A303&amp;$B303,'5) Release_Track'!$F:$F&amp;'5) Release_Track'!$G:$G,1,0))),vlookup($A303&amp;$B303,{'5) Release_Track'!$F:$F&amp;'5) Release_Track'!$G:$G,'5) Release_Track'!$H:$H},2,0),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D303" s="121" t="str">
        <f t="array" ref="D303">ifs(and(isblank($A303),isblank($B303)),"", not(iserror(vlookup($A303&amp;$B303,'5) Release_Track'!$F:$F&amp;'5) Release_Track'!$G:$G,1,0))),vlookup($A303&amp;$B303,{'5) Release_Track'!$F:$F&amp;'5) Release_Track'!$G:$G,'5) Release_Track'!$I:$I},2,0),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E303" s="116" t="str">
        <f t="array" ref="E303">ifs(and(isblank($A303),isblank($B303)),"", not(iserror(vlookup($A303&amp;$B303,'5) Release_Track'!$F:$F&amp;'5) Release_Track'!$G:$G,1,0))),vlookup($A303&amp;$B303,{'5) Release_Track'!$F:$F&amp;'5) Release_Track'!$G:$G,'5) Release_Track'!$J:$J},2,0),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F303" s="88"/>
      <c r="G303" s="92"/>
      <c r="H303" s="185"/>
      <c r="I303" s="121" t="str">
        <f t="shared" si="2"/>
        <v/>
      </c>
      <c r="J303" s="92"/>
      <c r="K303" s="92"/>
    </row>
    <row r="304">
      <c r="B304" s="97"/>
      <c r="C304" s="121" t="str">
        <f t="array" ref="C304">ifs(and(isblank($A304),isblank($B304)),"", not(iserror(vlookup($A304&amp;$B304,'5) Release_Track'!$F:$F&amp;'5) Release_Track'!$G:$G,1,0))),vlookup($A304&amp;$B304,{'5) Release_Track'!$F:$F&amp;'5) Release_Track'!$G:$G,'5) Release_Track'!$H:$H},2,0),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D304" s="121" t="str">
        <f t="array" ref="D304">ifs(and(isblank($A304),isblank($B304)),"", not(iserror(vlookup($A304&amp;$B304,'5) Release_Track'!$F:$F&amp;'5) Release_Track'!$G:$G,1,0))),vlookup($A304&amp;$B304,{'5) Release_Track'!$F:$F&amp;'5) Release_Track'!$G:$G,'5) Release_Track'!$I:$I},2,0),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E304" s="116" t="str">
        <f t="array" ref="E304">ifs(and(isblank($A304),isblank($B304)),"", not(iserror(vlookup($A304&amp;$B304,'5) Release_Track'!$F:$F&amp;'5) Release_Track'!$G:$G,1,0))),vlookup($A304&amp;$B304,{'5) Release_Track'!$F:$F&amp;'5) Release_Track'!$G:$G,'5) Release_Track'!$J:$J},2,0),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F304" s="88"/>
      <c r="G304" s="92"/>
      <c r="H304" s="185"/>
      <c r="I304" s="121" t="str">
        <f t="shared" si="2"/>
        <v/>
      </c>
      <c r="J304" s="92"/>
      <c r="K304" s="92"/>
    </row>
    <row r="305">
      <c r="B305" s="97"/>
      <c r="C305" s="121" t="str">
        <f t="array" ref="C305">ifs(and(isblank($A305),isblank($B305)),"", not(iserror(vlookup($A305&amp;$B305,'5) Release_Track'!$F:$F&amp;'5) Release_Track'!$G:$G,1,0))),vlookup($A305&amp;$B305,{'5) Release_Track'!$F:$F&amp;'5) Release_Track'!$G:$G,'5) Release_Track'!$H:$H},2,0),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D305" s="121" t="str">
        <f t="array" ref="D305">ifs(and(isblank($A305),isblank($B305)),"", not(iserror(vlookup($A305&amp;$B305,'5) Release_Track'!$F:$F&amp;'5) Release_Track'!$G:$G,1,0))),vlookup($A305&amp;$B305,{'5) Release_Track'!$F:$F&amp;'5) Release_Track'!$G:$G,'5) Release_Track'!$I:$I},2,0),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E305" s="116" t="str">
        <f t="array" ref="E305">ifs(and(isblank($A305),isblank($B305)),"", not(iserror(vlookup($A305&amp;$B305,'5) Release_Track'!$F:$F&amp;'5) Release_Track'!$G:$G,1,0))),vlookup($A305&amp;$B305,{'5) Release_Track'!$F:$F&amp;'5) Release_Track'!$G:$G,'5) Release_Track'!$J:$J},2,0),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F305" s="88"/>
      <c r="G305" s="92"/>
      <c r="H305" s="185"/>
      <c r="I305" s="121" t="str">
        <f t="shared" si="2"/>
        <v/>
      </c>
      <c r="J305" s="92"/>
      <c r="K305" s="92"/>
    </row>
    <row r="306">
      <c r="B306" s="97"/>
      <c r="C306" s="121" t="str">
        <f t="array" ref="C306">ifs(and(isblank($A306),isblank($B306)),"", not(iserror(vlookup($A306&amp;$B306,'5) Release_Track'!$F:$F&amp;'5) Release_Track'!$G:$G,1,0))),vlookup($A306&amp;$B306,{'5) Release_Track'!$F:$F&amp;'5) Release_Track'!$G:$G,'5) Release_Track'!$H:$H},2,0),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D306" s="121" t="str">
        <f t="array" ref="D306">ifs(and(isblank($A306),isblank($B306)),"", not(iserror(vlookup($A306&amp;$B306,'5) Release_Track'!$F:$F&amp;'5) Release_Track'!$G:$G,1,0))),vlookup($A306&amp;$B306,{'5) Release_Track'!$F:$F&amp;'5) Release_Track'!$G:$G,'5) Release_Track'!$I:$I},2,0),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E306" s="116" t="str">
        <f t="array" ref="E306">ifs(and(isblank($A306),isblank($B306)),"", not(iserror(vlookup($A306&amp;$B306,'5) Release_Track'!$F:$F&amp;'5) Release_Track'!$G:$G,1,0))),vlookup($A306&amp;$B306,{'5) Release_Track'!$F:$F&amp;'5) Release_Track'!$G:$G,'5) Release_Track'!$J:$J},2,0),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F306" s="88"/>
      <c r="G306" s="92"/>
      <c r="H306" s="185"/>
      <c r="I306" s="121" t="str">
        <f t="shared" si="2"/>
        <v/>
      </c>
      <c r="J306" s="92"/>
      <c r="K306" s="92"/>
    </row>
    <row r="307">
      <c r="B307" s="97"/>
      <c r="C307" s="121" t="str">
        <f t="array" ref="C307">ifs(and(isblank($A307),isblank($B307)),"", not(iserror(vlookup($A307&amp;$B307,'5) Release_Track'!$F:$F&amp;'5) Release_Track'!$G:$G,1,0))),vlookup($A307&amp;$B307,{'5) Release_Track'!$F:$F&amp;'5) Release_Track'!$G:$G,'5) Release_Track'!$H:$H},2,0),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D307" s="121" t="str">
        <f t="array" ref="D307">ifs(and(isblank($A307),isblank($B307)),"", not(iserror(vlookup($A307&amp;$B307,'5) Release_Track'!$F:$F&amp;'5) Release_Track'!$G:$G,1,0))),vlookup($A307&amp;$B307,{'5) Release_Track'!$F:$F&amp;'5) Release_Track'!$G:$G,'5) Release_Track'!$I:$I},2,0),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E307" s="116" t="str">
        <f t="array" ref="E307">ifs(and(isblank($A307),isblank($B307)),"", not(iserror(vlookup($A307&amp;$B307,'5) Release_Track'!$F:$F&amp;'5) Release_Track'!$G:$G,1,0))),vlookup($A307&amp;$B307,{'5) Release_Track'!$F:$F&amp;'5) Release_Track'!$G:$G,'5) Release_Track'!$J:$J},2,0),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F307" s="88"/>
      <c r="G307" s="92"/>
      <c r="H307" s="185"/>
      <c r="I307" s="121" t="str">
        <f t="shared" si="2"/>
        <v/>
      </c>
      <c r="J307" s="92"/>
      <c r="K307" s="92"/>
    </row>
    <row r="308">
      <c r="B308" s="97"/>
      <c r="C308" s="121" t="str">
        <f t="array" ref="C308">ifs(and(isblank($A308),isblank($B308)),"", not(iserror(vlookup($A308&amp;$B308,'5) Release_Track'!$F:$F&amp;'5) Release_Track'!$G:$G,1,0))),vlookup($A308&amp;$B308,{'5) Release_Track'!$F:$F&amp;'5) Release_Track'!$G:$G,'5) Release_Track'!$H:$H},2,0),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D308" s="121" t="str">
        <f t="array" ref="D308">ifs(and(isblank($A308),isblank($B308)),"", not(iserror(vlookup($A308&amp;$B308,'5) Release_Track'!$F:$F&amp;'5) Release_Track'!$G:$G,1,0))),vlookup($A308&amp;$B308,{'5) Release_Track'!$F:$F&amp;'5) Release_Track'!$G:$G,'5) Release_Track'!$I:$I},2,0),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E308" s="116" t="str">
        <f t="array" ref="E308">ifs(and(isblank($A308),isblank($B308)),"", not(iserror(vlookup($A308&amp;$B308,'5) Release_Track'!$F:$F&amp;'5) Release_Track'!$G:$G,1,0))),vlookup($A308&amp;$B308,{'5) Release_Track'!$F:$F&amp;'5) Release_Track'!$G:$G,'5) Release_Track'!$J:$J},2,0),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F308" s="88"/>
      <c r="G308" s="92"/>
      <c r="H308" s="185"/>
      <c r="I308" s="121" t="str">
        <f t="shared" si="2"/>
        <v/>
      </c>
      <c r="J308" s="92"/>
      <c r="K308" s="92"/>
    </row>
    <row r="309">
      <c r="B309" s="97"/>
      <c r="C309" s="121" t="str">
        <f t="array" ref="C309">ifs(and(isblank($A309),isblank($B309)),"", not(iserror(vlookup($A309&amp;$B309,'5) Release_Track'!$F:$F&amp;'5) Release_Track'!$G:$G,1,0))),vlookup($A309&amp;$B309,{'5) Release_Track'!$F:$F&amp;'5) Release_Track'!$G:$G,'5) Release_Track'!$H:$H},2,0),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D309" s="121" t="str">
        <f t="array" ref="D309">ifs(and(isblank($A309),isblank($B309)),"", not(iserror(vlookup($A309&amp;$B309,'5) Release_Track'!$F:$F&amp;'5) Release_Track'!$G:$G,1,0))),vlookup($A309&amp;$B309,{'5) Release_Track'!$F:$F&amp;'5) Release_Track'!$G:$G,'5) Release_Track'!$I:$I},2,0),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E309" s="116" t="str">
        <f t="array" ref="E309">ifs(and(isblank($A309),isblank($B309)),"", not(iserror(vlookup($A309&amp;$B309,'5) Release_Track'!$F:$F&amp;'5) Release_Track'!$G:$G,1,0))),vlookup($A309&amp;$B309,{'5) Release_Track'!$F:$F&amp;'5) Release_Track'!$G:$G,'5) Release_Track'!$J:$J},2,0),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F309" s="88"/>
      <c r="G309" s="92"/>
      <c r="H309" s="185"/>
      <c r="I309" s="121" t="str">
        <f t="shared" si="2"/>
        <v/>
      </c>
      <c r="J309" s="92"/>
      <c r="K309" s="92"/>
    </row>
    <row r="310">
      <c r="B310" s="97"/>
      <c r="C310" s="121" t="str">
        <f t="array" ref="C310">ifs(and(isblank($A310),isblank($B310)),"", not(iserror(vlookup($A310&amp;$B310,'5) Release_Track'!$F:$F&amp;'5) Release_Track'!$G:$G,1,0))),vlookup($A310&amp;$B310,{'5) Release_Track'!$F:$F&amp;'5) Release_Track'!$G:$G,'5) Release_Track'!$H:$H},2,0),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D310" s="121" t="str">
        <f t="array" ref="D310">ifs(and(isblank($A310),isblank($B310)),"", not(iserror(vlookup($A310&amp;$B310,'5) Release_Track'!$F:$F&amp;'5) Release_Track'!$G:$G,1,0))),vlookup($A310&amp;$B310,{'5) Release_Track'!$F:$F&amp;'5) Release_Track'!$G:$G,'5) Release_Track'!$I:$I},2,0),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E310" s="116" t="str">
        <f t="array" ref="E310">ifs(and(isblank($A310),isblank($B310)),"", not(iserror(vlookup($A310&amp;$B310,'5) Release_Track'!$F:$F&amp;'5) Release_Track'!$G:$G,1,0))),vlookup($A310&amp;$B310,{'5) Release_Track'!$F:$F&amp;'5) Release_Track'!$G:$G,'5) Release_Track'!$J:$J},2,0),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F310" s="88"/>
      <c r="G310" s="92"/>
      <c r="H310" s="185"/>
      <c r="I310" s="121" t="str">
        <f t="shared" si="2"/>
        <v/>
      </c>
      <c r="J310" s="92"/>
      <c r="K310" s="92"/>
    </row>
    <row r="311">
      <c r="B311" s="97"/>
      <c r="C311" s="121" t="str">
        <f t="array" ref="C311">ifs(and(isblank($A311),isblank($B311)),"", not(iserror(vlookup($A311&amp;$B311,'5) Release_Track'!$F:$F&amp;'5) Release_Track'!$G:$G,1,0))),vlookup($A311&amp;$B311,{'5) Release_Track'!$F:$F&amp;'5) Release_Track'!$G:$G,'5) Release_Track'!$H:$H},2,0),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D311" s="121" t="str">
        <f t="array" ref="D311">ifs(and(isblank($A311),isblank($B311)),"", not(iserror(vlookup($A311&amp;$B311,'5) Release_Track'!$F:$F&amp;'5) Release_Track'!$G:$G,1,0))),vlookup($A311&amp;$B311,{'5) Release_Track'!$F:$F&amp;'5) Release_Track'!$G:$G,'5) Release_Track'!$I:$I},2,0),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E311" s="116" t="str">
        <f t="array" ref="E311">ifs(and(isblank($A311),isblank($B311)),"", not(iserror(vlookup($A311&amp;$B311,'5) Release_Track'!$F:$F&amp;'5) Release_Track'!$G:$G,1,0))),vlookup($A311&amp;$B311,{'5) Release_Track'!$F:$F&amp;'5) Release_Track'!$G:$G,'5) Release_Track'!$J:$J},2,0),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F311" s="88"/>
      <c r="G311" s="92"/>
      <c r="H311" s="185"/>
      <c r="I311" s="121" t="str">
        <f t="shared" si="2"/>
        <v/>
      </c>
      <c r="J311" s="92"/>
      <c r="K311" s="92"/>
    </row>
    <row r="312">
      <c r="B312" s="97"/>
      <c r="C312" s="121" t="str">
        <f t="array" ref="C312">ifs(and(isblank($A312),isblank($B312)),"", not(iserror(vlookup($A312&amp;$B312,'5) Release_Track'!$F:$F&amp;'5) Release_Track'!$G:$G,1,0))),vlookup($A312&amp;$B312,{'5) Release_Track'!$F:$F&amp;'5) Release_Track'!$G:$G,'5) Release_Track'!$H:$H},2,0),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D312" s="121" t="str">
        <f t="array" ref="D312">ifs(and(isblank($A312),isblank($B312)),"", not(iserror(vlookup($A312&amp;$B312,'5) Release_Track'!$F:$F&amp;'5) Release_Track'!$G:$G,1,0))),vlookup($A312&amp;$B312,{'5) Release_Track'!$F:$F&amp;'5) Release_Track'!$G:$G,'5) Release_Track'!$I:$I},2,0),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E312" s="116" t="str">
        <f t="array" ref="E312">ifs(and(isblank($A312),isblank($B312)),"", not(iserror(vlookup($A312&amp;$B312,'5) Release_Track'!$F:$F&amp;'5) Release_Track'!$G:$G,1,0))),vlookup($A312&amp;$B312,{'5) Release_Track'!$F:$F&amp;'5) Release_Track'!$G:$G,'5) Release_Track'!$J:$J},2,0),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F312" s="88"/>
      <c r="G312" s="92"/>
      <c r="H312" s="185"/>
      <c r="I312" s="121" t="str">
        <f t="shared" si="2"/>
        <v/>
      </c>
      <c r="J312" s="92"/>
      <c r="K312" s="92"/>
    </row>
    <row r="313">
      <c r="B313" s="97"/>
      <c r="C313" s="121" t="str">
        <f t="array" ref="C313">ifs(and(isblank($A313),isblank($B313)),"", not(iserror(vlookup($A313&amp;$B313,'5) Release_Track'!$F:$F&amp;'5) Release_Track'!$G:$G,1,0))),vlookup($A313&amp;$B313,{'5) Release_Track'!$F:$F&amp;'5) Release_Track'!$G:$G,'5) Release_Track'!$H:$H},2,0),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D313" s="121" t="str">
        <f t="array" ref="D313">ifs(and(isblank($A313),isblank($B313)),"", not(iserror(vlookup($A313&amp;$B313,'5) Release_Track'!$F:$F&amp;'5) Release_Track'!$G:$G,1,0))),vlookup($A313&amp;$B313,{'5) Release_Track'!$F:$F&amp;'5) Release_Track'!$G:$G,'5) Release_Track'!$I:$I},2,0),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E313" s="116" t="str">
        <f t="array" ref="E313">ifs(and(isblank($A313),isblank($B313)),"", not(iserror(vlookup($A313&amp;$B313,'5) Release_Track'!$F:$F&amp;'5) Release_Track'!$G:$G,1,0))),vlookup($A313&amp;$B313,{'5) Release_Track'!$F:$F&amp;'5) Release_Track'!$G:$G,'5) Release_Track'!$J:$J},2,0),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F313" s="88"/>
      <c r="G313" s="92"/>
      <c r="H313" s="185"/>
      <c r="I313" s="121" t="str">
        <f t="shared" si="2"/>
        <v/>
      </c>
      <c r="J313" s="92"/>
      <c r="K313" s="92"/>
    </row>
    <row r="314">
      <c r="B314" s="97"/>
      <c r="C314" s="121" t="str">
        <f t="array" ref="C314">ifs(and(isblank($A314),isblank($B314)),"", not(iserror(vlookup($A314&amp;$B314,'5) Release_Track'!$F:$F&amp;'5) Release_Track'!$G:$G,1,0))),vlookup($A314&amp;$B314,{'5) Release_Track'!$F:$F&amp;'5) Release_Track'!$G:$G,'5) Release_Track'!$H:$H},2,0),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D314" s="121" t="str">
        <f t="array" ref="D314">ifs(and(isblank($A314),isblank($B314)),"", not(iserror(vlookup($A314&amp;$B314,'5) Release_Track'!$F:$F&amp;'5) Release_Track'!$G:$G,1,0))),vlookup($A314&amp;$B314,{'5) Release_Track'!$F:$F&amp;'5) Release_Track'!$G:$G,'5) Release_Track'!$I:$I},2,0),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E314" s="116" t="str">
        <f t="array" ref="E314">ifs(and(isblank($A314),isblank($B314)),"", not(iserror(vlookup($A314&amp;$B314,'5) Release_Track'!$F:$F&amp;'5) Release_Track'!$G:$G,1,0))),vlookup($A314&amp;$B314,{'5) Release_Track'!$F:$F&amp;'5) Release_Track'!$G:$G,'5) Release_Track'!$J:$J},2,0),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F314" s="88"/>
      <c r="G314" s="92"/>
      <c r="H314" s="185"/>
      <c r="I314" s="121" t="str">
        <f t="shared" si="2"/>
        <v/>
      </c>
      <c r="J314" s="92"/>
      <c r="K314" s="92"/>
    </row>
    <row r="315">
      <c r="B315" s="97"/>
      <c r="C315" s="121" t="str">
        <f t="array" ref="C315">ifs(and(isblank($A315),isblank($B315)),"", not(iserror(vlookup($A315&amp;$B315,'5) Release_Track'!$F:$F&amp;'5) Release_Track'!$G:$G,1,0))),vlookup($A315&amp;$B315,{'5) Release_Track'!$F:$F&amp;'5) Release_Track'!$G:$G,'5) Release_Track'!$H:$H},2,0),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D315" s="121" t="str">
        <f t="array" ref="D315">ifs(and(isblank($A315),isblank($B315)),"", not(iserror(vlookup($A315&amp;$B315,'5) Release_Track'!$F:$F&amp;'5) Release_Track'!$G:$G,1,0))),vlookup($A315&amp;$B315,{'5) Release_Track'!$F:$F&amp;'5) Release_Track'!$G:$G,'5) Release_Track'!$I:$I},2,0),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E315" s="116" t="str">
        <f t="array" ref="E315">ifs(and(isblank($A315),isblank($B315)),"", not(iserror(vlookup($A315&amp;$B315,'5) Release_Track'!$F:$F&amp;'5) Release_Track'!$G:$G,1,0))),vlookup($A315&amp;$B315,{'5) Release_Track'!$F:$F&amp;'5) Release_Track'!$G:$G,'5) Release_Track'!$J:$J},2,0),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F315" s="88"/>
      <c r="G315" s="92"/>
      <c r="H315" s="185"/>
      <c r="I315" s="121" t="str">
        <f t="shared" si="2"/>
        <v/>
      </c>
      <c r="J315" s="92"/>
      <c r="K315" s="92"/>
    </row>
    <row r="316">
      <c r="B316" s="97"/>
      <c r="C316" s="121" t="str">
        <f t="array" ref="C316">ifs(and(isblank($A316),isblank($B316)),"", not(iserror(vlookup($A316&amp;$B316,'5) Release_Track'!$F:$F&amp;'5) Release_Track'!$G:$G,1,0))),vlookup($A316&amp;$B316,{'5) Release_Track'!$F:$F&amp;'5) Release_Track'!$G:$G,'5) Release_Track'!$H:$H},2,0),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D316" s="121" t="str">
        <f t="array" ref="D316">ifs(and(isblank($A316),isblank($B316)),"", not(iserror(vlookup($A316&amp;$B316,'5) Release_Track'!$F:$F&amp;'5) Release_Track'!$G:$G,1,0))),vlookup($A316&amp;$B316,{'5) Release_Track'!$F:$F&amp;'5) Release_Track'!$G:$G,'5) Release_Track'!$I:$I},2,0),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E316" s="116" t="str">
        <f t="array" ref="E316">ifs(and(isblank($A316),isblank($B316)),"", not(iserror(vlookup($A316&amp;$B316,'5) Release_Track'!$F:$F&amp;'5) Release_Track'!$G:$G,1,0))),vlookup($A316&amp;$B316,{'5) Release_Track'!$F:$F&amp;'5) Release_Track'!$G:$G,'5) Release_Track'!$J:$J},2,0),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F316" s="88"/>
      <c r="G316" s="92"/>
      <c r="H316" s="185"/>
      <c r="I316" s="121" t="str">
        <f t="shared" si="2"/>
        <v/>
      </c>
      <c r="J316" s="92"/>
      <c r="K316" s="92"/>
    </row>
    <row r="317">
      <c r="B317" s="97"/>
      <c r="C317" s="121" t="str">
        <f t="array" ref="C317">ifs(and(isblank($A317),isblank($B317)),"", not(iserror(vlookup($A317&amp;$B317,'5) Release_Track'!$F:$F&amp;'5) Release_Track'!$G:$G,1,0))),vlookup($A317&amp;$B317,{'5) Release_Track'!$F:$F&amp;'5) Release_Track'!$G:$G,'5) Release_Track'!$H:$H},2,0),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D317" s="121" t="str">
        <f t="array" ref="D317">ifs(and(isblank($A317),isblank($B317)),"", not(iserror(vlookup($A317&amp;$B317,'5) Release_Track'!$F:$F&amp;'5) Release_Track'!$G:$G,1,0))),vlookup($A317&amp;$B317,{'5) Release_Track'!$F:$F&amp;'5) Release_Track'!$G:$G,'5) Release_Track'!$I:$I},2,0),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E317" s="116" t="str">
        <f t="array" ref="E317">ifs(and(isblank($A317),isblank($B317)),"", not(iserror(vlookup($A317&amp;$B317,'5) Release_Track'!$F:$F&amp;'5) Release_Track'!$G:$G,1,0))),vlookup($A317&amp;$B317,{'5) Release_Track'!$F:$F&amp;'5) Release_Track'!$G:$G,'5) Release_Track'!$J:$J},2,0),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F317" s="88"/>
      <c r="G317" s="92"/>
      <c r="H317" s="185"/>
      <c r="I317" s="121" t="str">
        <f t="shared" si="2"/>
        <v/>
      </c>
      <c r="J317" s="92"/>
      <c r="K317" s="92"/>
    </row>
    <row r="318">
      <c r="B318" s="97"/>
      <c r="C318" s="121" t="str">
        <f t="array" ref="C318">ifs(and(isblank($A318),isblank($B318)),"", not(iserror(vlookup($A318&amp;$B318,'5) Release_Track'!$F:$F&amp;'5) Release_Track'!$G:$G,1,0))),vlookup($A318&amp;$B318,{'5) Release_Track'!$F:$F&amp;'5) Release_Track'!$G:$G,'5) Release_Track'!$H:$H},2,0),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D318" s="121" t="str">
        <f t="array" ref="D318">ifs(and(isblank($A318),isblank($B318)),"", not(iserror(vlookup($A318&amp;$B318,'5) Release_Track'!$F:$F&amp;'5) Release_Track'!$G:$G,1,0))),vlookup($A318&amp;$B318,{'5) Release_Track'!$F:$F&amp;'5) Release_Track'!$G:$G,'5) Release_Track'!$I:$I},2,0),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E318" s="116" t="str">
        <f t="array" ref="E318">ifs(and(isblank($A318),isblank($B318)),"", not(iserror(vlookup($A318&amp;$B318,'5) Release_Track'!$F:$F&amp;'5) Release_Track'!$G:$G,1,0))),vlookup($A318&amp;$B318,{'5) Release_Track'!$F:$F&amp;'5) Release_Track'!$G:$G,'5) Release_Track'!$J:$J},2,0),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F318" s="88"/>
      <c r="G318" s="92"/>
      <c r="H318" s="185"/>
      <c r="I318" s="121" t="str">
        <f t="shared" si="2"/>
        <v/>
      </c>
      <c r="J318" s="92"/>
      <c r="K318" s="92"/>
    </row>
    <row r="319">
      <c r="B319" s="97"/>
      <c r="C319" s="121" t="str">
        <f t="array" ref="C319">ifs(and(isblank($A319),isblank($B319)),"", not(iserror(vlookup($A319&amp;$B319,'5) Release_Track'!$F:$F&amp;'5) Release_Track'!$G:$G,1,0))),vlookup($A319&amp;$B319,{'5) Release_Track'!$F:$F&amp;'5) Release_Track'!$G:$G,'5) Release_Track'!$H:$H},2,0),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D319" s="121" t="str">
        <f t="array" ref="D319">ifs(and(isblank($A319),isblank($B319)),"", not(iserror(vlookup($A319&amp;$B319,'5) Release_Track'!$F:$F&amp;'5) Release_Track'!$G:$G,1,0))),vlookup($A319&amp;$B319,{'5) Release_Track'!$F:$F&amp;'5) Release_Track'!$G:$G,'5) Release_Track'!$I:$I},2,0),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E319" s="116" t="str">
        <f t="array" ref="E319">ifs(and(isblank($A319),isblank($B319)),"", not(iserror(vlookup($A319&amp;$B319,'5) Release_Track'!$F:$F&amp;'5) Release_Track'!$G:$G,1,0))),vlookup($A319&amp;$B319,{'5) Release_Track'!$F:$F&amp;'5) Release_Track'!$G:$G,'5) Release_Track'!$J:$J},2,0),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F319" s="88"/>
      <c r="G319" s="92"/>
      <c r="H319" s="185"/>
      <c r="I319" s="121" t="str">
        <f t="shared" si="2"/>
        <v/>
      </c>
      <c r="J319" s="92"/>
      <c r="K319" s="92"/>
    </row>
    <row r="320">
      <c r="B320" s="97"/>
      <c r="C320" s="121" t="str">
        <f t="array" ref="C320">ifs(and(isblank($A320),isblank($B320)),"", not(iserror(vlookup($A320&amp;$B320,'5) Release_Track'!$F:$F&amp;'5) Release_Track'!$G:$G,1,0))),vlookup($A320&amp;$B320,{'5) Release_Track'!$F:$F&amp;'5) Release_Track'!$G:$G,'5) Release_Track'!$H:$H},2,0),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D320" s="121" t="str">
        <f t="array" ref="D320">ifs(and(isblank($A320),isblank($B320)),"", not(iserror(vlookup($A320&amp;$B320,'5) Release_Track'!$F:$F&amp;'5) Release_Track'!$G:$G,1,0))),vlookup($A320&amp;$B320,{'5) Release_Track'!$F:$F&amp;'5) Release_Track'!$G:$G,'5) Release_Track'!$I:$I},2,0),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E320" s="116" t="str">
        <f t="array" ref="E320">ifs(and(isblank($A320),isblank($B320)),"", not(iserror(vlookup($A320&amp;$B320,'5) Release_Track'!$F:$F&amp;'5) Release_Track'!$G:$G,1,0))),vlookup($A320&amp;$B320,{'5) Release_Track'!$F:$F&amp;'5) Release_Track'!$G:$G,'5) Release_Track'!$J:$J},2,0),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F320" s="88"/>
      <c r="G320" s="92"/>
      <c r="H320" s="185"/>
      <c r="I320" s="121" t="str">
        <f t="shared" si="2"/>
        <v/>
      </c>
      <c r="J320" s="92"/>
      <c r="K320" s="92"/>
    </row>
    <row r="321">
      <c r="B321" s="97"/>
      <c r="C321" s="121" t="str">
        <f t="array" ref="C321">ifs(and(isblank($A321),isblank($B321)),"", not(iserror(vlookup($A321&amp;$B321,'5) Release_Track'!$F:$F&amp;'5) Release_Track'!$G:$G,1,0))),vlookup($A321&amp;$B321,{'5) Release_Track'!$F:$F&amp;'5) Release_Track'!$G:$G,'5) Release_Track'!$H:$H},2,0),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D321" s="121" t="str">
        <f t="array" ref="D321">ifs(and(isblank($A321),isblank($B321)),"", not(iserror(vlookup($A321&amp;$B321,'5) Release_Track'!$F:$F&amp;'5) Release_Track'!$G:$G,1,0))),vlookup($A321&amp;$B321,{'5) Release_Track'!$F:$F&amp;'5) Release_Track'!$G:$G,'5) Release_Track'!$I:$I},2,0),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E321" s="116" t="str">
        <f t="array" ref="E321">ifs(and(isblank($A321),isblank($B321)),"", not(iserror(vlookup($A321&amp;$B321,'5) Release_Track'!$F:$F&amp;'5) Release_Track'!$G:$G,1,0))),vlookup($A321&amp;$B321,{'5) Release_Track'!$F:$F&amp;'5) Release_Track'!$G:$G,'5) Release_Track'!$J:$J},2,0),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F321" s="88"/>
      <c r="G321" s="92"/>
      <c r="H321" s="185"/>
      <c r="I321" s="121" t="str">
        <f t="shared" si="2"/>
        <v/>
      </c>
      <c r="J321" s="92"/>
      <c r="K321" s="92"/>
    </row>
    <row r="322">
      <c r="B322" s="97"/>
      <c r="C322" s="121" t="str">
        <f t="array" ref="C322">ifs(and(isblank($A322),isblank($B322)),"", not(iserror(vlookup($A322&amp;$B322,'5) Release_Track'!$F:$F&amp;'5) Release_Track'!$G:$G,1,0))),vlookup($A322&amp;$B322,{'5) Release_Track'!$F:$F&amp;'5) Release_Track'!$G:$G,'5) Release_Track'!$H:$H},2,0),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D322" s="121" t="str">
        <f t="array" ref="D322">ifs(and(isblank($A322),isblank($B322)),"", not(iserror(vlookup($A322&amp;$B322,'5) Release_Track'!$F:$F&amp;'5) Release_Track'!$G:$G,1,0))),vlookup($A322&amp;$B322,{'5) Release_Track'!$F:$F&amp;'5) Release_Track'!$G:$G,'5) Release_Track'!$I:$I},2,0),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E322" s="116" t="str">
        <f t="array" ref="E322">ifs(and(isblank($A322),isblank($B322)),"", not(iserror(vlookup($A322&amp;$B322,'5) Release_Track'!$F:$F&amp;'5) Release_Track'!$G:$G,1,0))),vlookup($A322&amp;$B322,{'5) Release_Track'!$F:$F&amp;'5) Release_Track'!$G:$G,'5) Release_Track'!$J:$J},2,0),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F322" s="88"/>
      <c r="G322" s="92"/>
      <c r="H322" s="185"/>
      <c r="I322" s="121" t="str">
        <f t="shared" si="2"/>
        <v/>
      </c>
      <c r="J322" s="92"/>
      <c r="K322" s="92"/>
    </row>
    <row r="323">
      <c r="B323" s="97"/>
      <c r="C323" s="121" t="str">
        <f t="array" ref="C323">ifs(and(isblank($A323),isblank($B323)),"", not(iserror(vlookup($A323&amp;$B323,'5) Release_Track'!$F:$F&amp;'5) Release_Track'!$G:$G,1,0))),vlookup($A323&amp;$B323,{'5) Release_Track'!$F:$F&amp;'5) Release_Track'!$G:$G,'5) Release_Track'!$H:$H},2,0),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D323" s="121" t="str">
        <f t="array" ref="D323">ifs(and(isblank($A323),isblank($B323)),"", not(iserror(vlookup($A323&amp;$B323,'5) Release_Track'!$F:$F&amp;'5) Release_Track'!$G:$G,1,0))),vlookup($A323&amp;$B323,{'5) Release_Track'!$F:$F&amp;'5) Release_Track'!$G:$G,'5) Release_Track'!$I:$I},2,0),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E323" s="116" t="str">
        <f t="array" ref="E323">ifs(and(isblank($A323),isblank($B323)),"", not(iserror(vlookup($A323&amp;$B323,'5) Release_Track'!$F:$F&amp;'5) Release_Track'!$G:$G,1,0))),vlookup($A323&amp;$B323,{'5) Release_Track'!$F:$F&amp;'5) Release_Track'!$G:$G,'5) Release_Track'!$J:$J},2,0),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F323" s="88"/>
      <c r="G323" s="92"/>
      <c r="H323" s="185"/>
      <c r="I323" s="121" t="str">
        <f t="shared" si="2"/>
        <v/>
      </c>
      <c r="J323" s="92"/>
      <c r="K323" s="92"/>
    </row>
    <row r="324">
      <c r="B324" s="97"/>
      <c r="C324" s="121" t="str">
        <f t="array" ref="C324">ifs(and(isblank($A324),isblank($B324)),"", not(iserror(vlookup($A324&amp;$B324,'5) Release_Track'!$F:$F&amp;'5) Release_Track'!$G:$G,1,0))),vlookup($A324&amp;$B324,{'5) Release_Track'!$F:$F&amp;'5) Release_Track'!$G:$G,'5) Release_Track'!$H:$H},2,0),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D324" s="121" t="str">
        <f t="array" ref="D324">ifs(and(isblank($A324),isblank($B324)),"", not(iserror(vlookup($A324&amp;$B324,'5) Release_Track'!$F:$F&amp;'5) Release_Track'!$G:$G,1,0))),vlookup($A324&amp;$B324,{'5) Release_Track'!$F:$F&amp;'5) Release_Track'!$G:$G,'5) Release_Track'!$I:$I},2,0),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E324" s="116" t="str">
        <f t="array" ref="E324">ifs(and(isblank($A324),isblank($B324)),"", not(iserror(vlookup($A324&amp;$B324,'5) Release_Track'!$F:$F&amp;'5) Release_Track'!$G:$G,1,0))),vlookup($A324&amp;$B324,{'5) Release_Track'!$F:$F&amp;'5) Release_Track'!$G:$G,'5) Release_Track'!$J:$J},2,0),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F324" s="88"/>
      <c r="G324" s="92"/>
      <c r="H324" s="185"/>
      <c r="I324" s="121" t="str">
        <f t="shared" si="2"/>
        <v/>
      </c>
      <c r="J324" s="92"/>
      <c r="K324" s="92"/>
    </row>
    <row r="325">
      <c r="B325" s="97"/>
      <c r="C325" s="121" t="str">
        <f t="array" ref="C325">ifs(and(isblank($A325),isblank($B325)),"", not(iserror(vlookup($A325&amp;$B325,'5) Release_Track'!$F:$F&amp;'5) Release_Track'!$G:$G,1,0))),vlookup($A325&amp;$B325,{'5) Release_Track'!$F:$F&amp;'5) Release_Track'!$G:$G,'5) Release_Track'!$H:$H},2,0),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D325" s="121" t="str">
        <f t="array" ref="D325">ifs(and(isblank($A325),isblank($B325)),"", not(iserror(vlookup($A325&amp;$B325,'5) Release_Track'!$F:$F&amp;'5) Release_Track'!$G:$G,1,0))),vlookup($A325&amp;$B325,{'5) Release_Track'!$F:$F&amp;'5) Release_Track'!$G:$G,'5) Release_Track'!$I:$I},2,0),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E325" s="116" t="str">
        <f t="array" ref="E325">ifs(and(isblank($A325),isblank($B325)),"", not(iserror(vlookup($A325&amp;$B325,'5) Release_Track'!$F:$F&amp;'5) Release_Track'!$G:$G,1,0))),vlookup($A325&amp;$B325,{'5) Release_Track'!$F:$F&amp;'5) Release_Track'!$G:$G,'5) Release_Track'!$J:$J},2,0),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F325" s="88"/>
      <c r="G325" s="92"/>
      <c r="H325" s="185"/>
      <c r="I325" s="121" t="str">
        <f t="shared" si="2"/>
        <v/>
      </c>
      <c r="J325" s="92"/>
      <c r="K325" s="92"/>
    </row>
    <row r="326">
      <c r="B326" s="97"/>
      <c r="C326" s="121" t="str">
        <f t="array" ref="C326">ifs(and(isblank($A326),isblank($B326)),"", not(iserror(vlookup($A326&amp;$B326,'5) Release_Track'!$F:$F&amp;'5) Release_Track'!$G:$G,1,0))),vlookup($A326&amp;$B326,{'5) Release_Track'!$F:$F&amp;'5) Release_Track'!$G:$G,'5) Release_Track'!$H:$H},2,0),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D326" s="121" t="str">
        <f t="array" ref="D326">ifs(and(isblank($A326),isblank($B326)),"", not(iserror(vlookup($A326&amp;$B326,'5) Release_Track'!$F:$F&amp;'5) Release_Track'!$G:$G,1,0))),vlookup($A326&amp;$B326,{'5) Release_Track'!$F:$F&amp;'5) Release_Track'!$G:$G,'5) Release_Track'!$I:$I},2,0),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E326" s="116" t="str">
        <f t="array" ref="E326">ifs(and(isblank($A326),isblank($B326)),"", not(iserror(vlookup($A326&amp;$B326,'5) Release_Track'!$F:$F&amp;'5) Release_Track'!$G:$G,1,0))),vlookup($A326&amp;$B326,{'5) Release_Track'!$F:$F&amp;'5) Release_Track'!$G:$G,'5) Release_Track'!$J:$J},2,0),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F326" s="88"/>
      <c r="G326" s="92"/>
      <c r="H326" s="185"/>
      <c r="I326" s="121" t="str">
        <f t="shared" si="2"/>
        <v/>
      </c>
      <c r="J326" s="92"/>
      <c r="K326" s="92"/>
    </row>
    <row r="327">
      <c r="B327" s="97"/>
      <c r="C327" s="121" t="str">
        <f t="array" ref="C327">ifs(and(isblank($A327),isblank($B327)),"", not(iserror(vlookup($A327&amp;$B327,'5) Release_Track'!$F:$F&amp;'5) Release_Track'!$G:$G,1,0))),vlookup($A327&amp;$B327,{'5) Release_Track'!$F:$F&amp;'5) Release_Track'!$G:$G,'5) Release_Track'!$H:$H},2,0),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D327" s="121" t="str">
        <f t="array" ref="D327">ifs(and(isblank($A327),isblank($B327)),"", not(iserror(vlookup($A327&amp;$B327,'5) Release_Track'!$F:$F&amp;'5) Release_Track'!$G:$G,1,0))),vlookup($A327&amp;$B327,{'5) Release_Track'!$F:$F&amp;'5) Release_Track'!$G:$G,'5) Release_Track'!$I:$I},2,0),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E327" s="116" t="str">
        <f t="array" ref="E327">ifs(and(isblank($A327),isblank($B327)),"", not(iserror(vlookup($A327&amp;$B327,'5) Release_Track'!$F:$F&amp;'5) Release_Track'!$G:$G,1,0))),vlookup($A327&amp;$B327,{'5) Release_Track'!$F:$F&amp;'5) Release_Track'!$G:$G,'5) Release_Track'!$J:$J},2,0),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F327" s="88"/>
      <c r="G327" s="92"/>
      <c r="H327" s="185"/>
      <c r="I327" s="121" t="str">
        <f t="shared" si="2"/>
        <v/>
      </c>
      <c r="J327" s="92"/>
      <c r="K327" s="92"/>
    </row>
    <row r="328">
      <c r="B328" s="97"/>
      <c r="C328" s="121" t="str">
        <f t="array" ref="C328">ifs(and(isblank($A328),isblank($B328)),"", not(iserror(vlookup($A328&amp;$B328,'5) Release_Track'!$F:$F&amp;'5) Release_Track'!$G:$G,1,0))),vlookup($A328&amp;$B328,{'5) Release_Track'!$F:$F&amp;'5) Release_Track'!$G:$G,'5) Release_Track'!$H:$H},2,0),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D328" s="121" t="str">
        <f t="array" ref="D328">ifs(and(isblank($A328),isblank($B328)),"", not(iserror(vlookup($A328&amp;$B328,'5) Release_Track'!$F:$F&amp;'5) Release_Track'!$G:$G,1,0))),vlookup($A328&amp;$B328,{'5) Release_Track'!$F:$F&amp;'5) Release_Track'!$G:$G,'5) Release_Track'!$I:$I},2,0),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E328" s="116" t="str">
        <f t="array" ref="E328">ifs(and(isblank($A328),isblank($B328)),"", not(iserror(vlookup($A328&amp;$B328,'5) Release_Track'!$F:$F&amp;'5) Release_Track'!$G:$G,1,0))),vlookup($A328&amp;$B328,{'5) Release_Track'!$F:$F&amp;'5) Release_Track'!$G:$G,'5) Release_Track'!$J:$J},2,0),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F328" s="88"/>
      <c r="G328" s="92"/>
      <c r="H328" s="185"/>
      <c r="I328" s="121" t="str">
        <f t="shared" si="2"/>
        <v/>
      </c>
      <c r="J328" s="92"/>
      <c r="K328" s="92"/>
    </row>
    <row r="329">
      <c r="B329" s="97"/>
      <c r="C329" s="121" t="str">
        <f t="array" ref="C329">ifs(and(isblank($A329),isblank($B329)),"", not(iserror(vlookup($A329&amp;$B329,'5) Release_Track'!$F:$F&amp;'5) Release_Track'!$G:$G,1,0))),vlookup($A329&amp;$B329,{'5) Release_Track'!$F:$F&amp;'5) Release_Track'!$G:$G,'5) Release_Track'!$H:$H},2,0),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D329" s="121" t="str">
        <f t="array" ref="D329">ifs(and(isblank($A329),isblank($B329)),"", not(iserror(vlookup($A329&amp;$B329,'5) Release_Track'!$F:$F&amp;'5) Release_Track'!$G:$G,1,0))),vlookup($A329&amp;$B329,{'5) Release_Track'!$F:$F&amp;'5) Release_Track'!$G:$G,'5) Release_Track'!$I:$I},2,0),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E329" s="116" t="str">
        <f t="array" ref="E329">ifs(and(isblank($A329),isblank($B329)),"", not(iserror(vlookup($A329&amp;$B329,'5) Release_Track'!$F:$F&amp;'5) Release_Track'!$G:$G,1,0))),vlookup($A329&amp;$B329,{'5) Release_Track'!$F:$F&amp;'5) Release_Track'!$G:$G,'5) Release_Track'!$J:$J},2,0),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F329" s="88"/>
      <c r="G329" s="92"/>
      <c r="H329" s="185"/>
      <c r="I329" s="121" t="str">
        <f t="shared" si="2"/>
        <v/>
      </c>
      <c r="J329" s="92"/>
      <c r="K329" s="92"/>
    </row>
    <row r="330">
      <c r="B330" s="97"/>
      <c r="C330" s="121" t="str">
        <f t="array" ref="C330">ifs(and(isblank($A330),isblank($B330)),"", not(iserror(vlookup($A330&amp;$B330,'5) Release_Track'!$F:$F&amp;'5) Release_Track'!$G:$G,1,0))),vlookup($A330&amp;$B330,{'5) Release_Track'!$F:$F&amp;'5) Release_Track'!$G:$G,'5) Release_Track'!$H:$H},2,0),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D330" s="121" t="str">
        <f t="array" ref="D330">ifs(and(isblank($A330),isblank($B330)),"", not(iserror(vlookup($A330&amp;$B330,'5) Release_Track'!$F:$F&amp;'5) Release_Track'!$G:$G,1,0))),vlookup($A330&amp;$B330,{'5) Release_Track'!$F:$F&amp;'5) Release_Track'!$G:$G,'5) Release_Track'!$I:$I},2,0),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E330" s="116" t="str">
        <f t="array" ref="E330">ifs(and(isblank($A330),isblank($B330)),"", not(iserror(vlookup($A330&amp;$B330,'5) Release_Track'!$F:$F&amp;'5) Release_Track'!$G:$G,1,0))),vlookup($A330&amp;$B330,{'5) Release_Track'!$F:$F&amp;'5) Release_Track'!$G:$G,'5) Release_Track'!$J:$J},2,0),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F330" s="88"/>
      <c r="G330" s="92"/>
      <c r="H330" s="185"/>
      <c r="I330" s="121" t="str">
        <f t="shared" si="2"/>
        <v/>
      </c>
      <c r="J330" s="92"/>
      <c r="K330" s="92"/>
    </row>
    <row r="331">
      <c r="B331" s="97"/>
      <c r="C331" s="121" t="str">
        <f t="array" ref="C331">ifs(and(isblank($A331),isblank($B331)),"", not(iserror(vlookup($A331&amp;$B331,'5) Release_Track'!$F:$F&amp;'5) Release_Track'!$G:$G,1,0))),vlookup($A331&amp;$B331,{'5) Release_Track'!$F:$F&amp;'5) Release_Track'!$G:$G,'5) Release_Track'!$H:$H},2,0),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D331" s="121" t="str">
        <f t="array" ref="D331">ifs(and(isblank($A331),isblank($B331)),"", not(iserror(vlookup($A331&amp;$B331,'5) Release_Track'!$F:$F&amp;'5) Release_Track'!$G:$G,1,0))),vlookup($A331&amp;$B331,{'5) Release_Track'!$F:$F&amp;'5) Release_Track'!$G:$G,'5) Release_Track'!$I:$I},2,0),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E331" s="116" t="str">
        <f t="array" ref="E331">ifs(and(isblank($A331),isblank($B331)),"", not(iserror(vlookup($A331&amp;$B331,'5) Release_Track'!$F:$F&amp;'5) Release_Track'!$G:$G,1,0))),vlookup($A331&amp;$B331,{'5) Release_Track'!$F:$F&amp;'5) Release_Track'!$G:$G,'5) Release_Track'!$J:$J},2,0),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F331" s="88"/>
      <c r="G331" s="92"/>
      <c r="H331" s="185"/>
      <c r="I331" s="121" t="str">
        <f t="shared" si="2"/>
        <v/>
      </c>
      <c r="J331" s="92"/>
      <c r="K331" s="92"/>
    </row>
    <row r="332">
      <c r="B332" s="97"/>
      <c r="C332" s="121" t="str">
        <f t="array" ref="C332">ifs(and(isblank($A332),isblank($B332)),"", not(iserror(vlookup($A332&amp;$B332,'5) Release_Track'!$F:$F&amp;'5) Release_Track'!$G:$G,1,0))),vlookup($A332&amp;$B332,{'5) Release_Track'!$F:$F&amp;'5) Release_Track'!$G:$G,'5) Release_Track'!$H:$H},2,0),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D332" s="121" t="str">
        <f t="array" ref="D332">ifs(and(isblank($A332),isblank($B332)),"", not(iserror(vlookup($A332&amp;$B332,'5) Release_Track'!$F:$F&amp;'5) Release_Track'!$G:$G,1,0))),vlookup($A332&amp;$B332,{'5) Release_Track'!$F:$F&amp;'5) Release_Track'!$G:$G,'5) Release_Track'!$I:$I},2,0),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E332" s="116" t="str">
        <f t="array" ref="E332">ifs(and(isblank($A332),isblank($B332)),"", not(iserror(vlookup($A332&amp;$B332,'5) Release_Track'!$F:$F&amp;'5) Release_Track'!$G:$G,1,0))),vlookup($A332&amp;$B332,{'5) Release_Track'!$F:$F&amp;'5) Release_Track'!$G:$G,'5) Release_Track'!$J:$J},2,0),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F332" s="88"/>
      <c r="G332" s="92"/>
      <c r="H332" s="185"/>
      <c r="I332" s="121" t="str">
        <f t="shared" si="2"/>
        <v/>
      </c>
      <c r="J332" s="92"/>
      <c r="K332" s="92"/>
    </row>
    <row r="333">
      <c r="B333" s="97"/>
      <c r="C333" s="121" t="str">
        <f t="array" ref="C333">ifs(and(isblank($A333),isblank($B333)),"", not(iserror(vlookup($A333&amp;$B333,'5) Release_Track'!$F:$F&amp;'5) Release_Track'!$G:$G,1,0))),vlookup($A333&amp;$B333,{'5) Release_Track'!$F:$F&amp;'5) Release_Track'!$G:$G,'5) Release_Track'!$H:$H},2,0),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D333" s="121" t="str">
        <f t="array" ref="D333">ifs(and(isblank($A333),isblank($B333)),"", not(iserror(vlookup($A333&amp;$B333,'5) Release_Track'!$F:$F&amp;'5) Release_Track'!$G:$G,1,0))),vlookup($A333&amp;$B333,{'5) Release_Track'!$F:$F&amp;'5) Release_Track'!$G:$G,'5) Release_Track'!$I:$I},2,0),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E333" s="116" t="str">
        <f t="array" ref="E333">ifs(and(isblank($A333),isblank($B333)),"", not(iserror(vlookup($A333&amp;$B333,'5) Release_Track'!$F:$F&amp;'5) Release_Track'!$G:$G,1,0))),vlookup($A333&amp;$B333,{'5) Release_Track'!$F:$F&amp;'5) Release_Track'!$G:$G,'5) Release_Track'!$J:$J},2,0),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F333" s="88"/>
      <c r="G333" s="92"/>
      <c r="H333" s="185"/>
      <c r="I333" s="121" t="str">
        <f t="shared" si="2"/>
        <v/>
      </c>
      <c r="J333" s="92"/>
      <c r="K333" s="92"/>
    </row>
    <row r="334">
      <c r="B334" s="97"/>
      <c r="C334" s="121" t="str">
        <f t="array" ref="C334">ifs(and(isblank($A334),isblank($B334)),"", not(iserror(vlookup($A334&amp;$B334,'5) Release_Track'!$F:$F&amp;'5) Release_Track'!$G:$G,1,0))),vlookup($A334&amp;$B334,{'5) Release_Track'!$F:$F&amp;'5) Release_Track'!$G:$G,'5) Release_Track'!$H:$H},2,0),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D334" s="121" t="str">
        <f t="array" ref="D334">ifs(and(isblank($A334),isblank($B334)),"", not(iserror(vlookup($A334&amp;$B334,'5) Release_Track'!$F:$F&amp;'5) Release_Track'!$G:$G,1,0))),vlookup($A334&amp;$B334,{'5) Release_Track'!$F:$F&amp;'5) Release_Track'!$G:$G,'5) Release_Track'!$I:$I},2,0),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E334" s="116" t="str">
        <f t="array" ref="E334">ifs(and(isblank($A334),isblank($B334)),"", not(iserror(vlookup($A334&amp;$B334,'5) Release_Track'!$F:$F&amp;'5) Release_Track'!$G:$G,1,0))),vlookup($A334&amp;$B334,{'5) Release_Track'!$F:$F&amp;'5) Release_Track'!$G:$G,'5) Release_Track'!$J:$J},2,0),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F334" s="88"/>
      <c r="G334" s="92"/>
      <c r="H334" s="185"/>
      <c r="I334" s="121" t="str">
        <f t="shared" si="2"/>
        <v/>
      </c>
      <c r="J334" s="92"/>
      <c r="K334" s="92"/>
    </row>
    <row r="335">
      <c r="B335" s="97"/>
      <c r="C335" s="121" t="str">
        <f t="array" ref="C335">ifs(and(isblank($A335),isblank($B335)),"", not(iserror(vlookup($A335&amp;$B335,'5) Release_Track'!$F:$F&amp;'5) Release_Track'!$G:$G,1,0))),vlookup($A335&amp;$B335,{'5) Release_Track'!$F:$F&amp;'5) Release_Track'!$G:$G,'5) Release_Track'!$H:$H},2,0),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D335" s="121" t="str">
        <f t="array" ref="D335">ifs(and(isblank($A335),isblank($B335)),"", not(iserror(vlookup($A335&amp;$B335,'5) Release_Track'!$F:$F&amp;'5) Release_Track'!$G:$G,1,0))),vlookup($A335&amp;$B335,{'5) Release_Track'!$F:$F&amp;'5) Release_Track'!$G:$G,'5) Release_Track'!$I:$I},2,0),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E335" s="116" t="str">
        <f t="array" ref="E335">ifs(and(isblank($A335),isblank($B335)),"", not(iserror(vlookup($A335&amp;$B335,'5) Release_Track'!$F:$F&amp;'5) Release_Track'!$G:$G,1,0))),vlookup($A335&amp;$B335,{'5) Release_Track'!$F:$F&amp;'5) Release_Track'!$G:$G,'5) Release_Track'!$J:$J},2,0),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F335" s="88"/>
      <c r="G335" s="92"/>
      <c r="H335" s="185"/>
      <c r="I335" s="121" t="str">
        <f t="shared" si="2"/>
        <v/>
      </c>
      <c r="J335" s="92"/>
      <c r="K335" s="92"/>
    </row>
    <row r="336">
      <c r="B336" s="97"/>
      <c r="C336" s="121" t="str">
        <f t="array" ref="C336">ifs(and(isblank($A336),isblank($B336)),"", not(iserror(vlookup($A336&amp;$B336,'5) Release_Track'!$F:$F&amp;'5) Release_Track'!$G:$G,1,0))),vlookup($A336&amp;$B336,{'5) Release_Track'!$F:$F&amp;'5) Release_Track'!$G:$G,'5) Release_Track'!$H:$H},2,0),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D336" s="121" t="str">
        <f t="array" ref="D336">ifs(and(isblank($A336),isblank($B336)),"", not(iserror(vlookup($A336&amp;$B336,'5) Release_Track'!$F:$F&amp;'5) Release_Track'!$G:$G,1,0))),vlookup($A336&amp;$B336,{'5) Release_Track'!$F:$F&amp;'5) Release_Track'!$G:$G,'5) Release_Track'!$I:$I},2,0),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E336" s="116" t="str">
        <f t="array" ref="E336">ifs(and(isblank($A336),isblank($B336)),"", not(iserror(vlookup($A336&amp;$B336,'5) Release_Track'!$F:$F&amp;'5) Release_Track'!$G:$G,1,0))),vlookup($A336&amp;$B336,{'5) Release_Track'!$F:$F&amp;'5) Release_Track'!$G:$G,'5) Release_Track'!$J:$J},2,0),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F336" s="88"/>
      <c r="G336" s="92"/>
      <c r="H336" s="185"/>
      <c r="I336" s="121" t="str">
        <f t="shared" si="2"/>
        <v/>
      </c>
      <c r="J336" s="92"/>
      <c r="K336" s="92"/>
    </row>
    <row r="337">
      <c r="B337" s="97"/>
      <c r="C337" s="121" t="str">
        <f t="array" ref="C337">ifs(and(isblank($A337),isblank($B337)),"", not(iserror(vlookup($A337&amp;$B337,'5) Release_Track'!$F:$F&amp;'5) Release_Track'!$G:$G,1,0))),vlookup($A337&amp;$B337,{'5) Release_Track'!$F:$F&amp;'5) Release_Track'!$G:$G,'5) Release_Track'!$H:$H},2,0),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D337" s="121" t="str">
        <f t="array" ref="D337">ifs(and(isblank($A337),isblank($B337)),"", not(iserror(vlookup($A337&amp;$B337,'5) Release_Track'!$F:$F&amp;'5) Release_Track'!$G:$G,1,0))),vlookup($A337&amp;$B337,{'5) Release_Track'!$F:$F&amp;'5) Release_Track'!$G:$G,'5) Release_Track'!$I:$I},2,0),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E337" s="116" t="str">
        <f t="array" ref="E337">ifs(and(isblank($A337),isblank($B337)),"", not(iserror(vlookup($A337&amp;$B337,'5) Release_Track'!$F:$F&amp;'5) Release_Track'!$G:$G,1,0))),vlookup($A337&amp;$B337,{'5) Release_Track'!$F:$F&amp;'5) Release_Track'!$G:$G,'5) Release_Track'!$J:$J},2,0),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F337" s="88"/>
      <c r="G337" s="92"/>
      <c r="H337" s="185"/>
      <c r="I337" s="121" t="str">
        <f t="shared" si="2"/>
        <v/>
      </c>
      <c r="J337" s="92"/>
      <c r="K337" s="92"/>
    </row>
    <row r="338">
      <c r="B338" s="97"/>
      <c r="C338" s="121" t="str">
        <f t="array" ref="C338">ifs(and(isblank($A338),isblank($B338)),"", not(iserror(vlookup($A338&amp;$B338,'5) Release_Track'!$F:$F&amp;'5) Release_Track'!$G:$G,1,0))),vlookup($A338&amp;$B338,{'5) Release_Track'!$F:$F&amp;'5) Release_Track'!$G:$G,'5) Release_Track'!$H:$H},2,0),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D338" s="121" t="str">
        <f t="array" ref="D338">ifs(and(isblank($A338),isblank($B338)),"", not(iserror(vlookup($A338&amp;$B338,'5) Release_Track'!$F:$F&amp;'5) Release_Track'!$G:$G,1,0))),vlookup($A338&amp;$B338,{'5) Release_Track'!$F:$F&amp;'5) Release_Track'!$G:$G,'5) Release_Track'!$I:$I},2,0),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E338" s="116" t="str">
        <f t="array" ref="E338">ifs(and(isblank($A338),isblank($B338)),"", not(iserror(vlookup($A338&amp;$B338,'5) Release_Track'!$F:$F&amp;'5) Release_Track'!$G:$G,1,0))),vlookup($A338&amp;$B338,{'5) Release_Track'!$F:$F&amp;'5) Release_Track'!$G:$G,'5) Release_Track'!$J:$J},2,0),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F338" s="88"/>
      <c r="G338" s="92"/>
      <c r="H338" s="185"/>
      <c r="I338" s="121" t="str">
        <f t="shared" si="2"/>
        <v/>
      </c>
      <c r="J338" s="92"/>
      <c r="K338" s="92"/>
    </row>
    <row r="339">
      <c r="B339" s="97"/>
      <c r="C339" s="121" t="str">
        <f t="array" ref="C339">ifs(and(isblank($A339),isblank($B339)),"", not(iserror(vlookup($A339&amp;$B339,'5) Release_Track'!$F:$F&amp;'5) Release_Track'!$G:$G,1,0))),vlookup($A339&amp;$B339,{'5) Release_Track'!$F:$F&amp;'5) Release_Track'!$G:$G,'5) Release_Track'!$H:$H},2,0),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D339" s="121" t="str">
        <f t="array" ref="D339">ifs(and(isblank($A339),isblank($B339)),"", not(iserror(vlookup($A339&amp;$B339,'5) Release_Track'!$F:$F&amp;'5) Release_Track'!$G:$G,1,0))),vlookup($A339&amp;$B339,{'5) Release_Track'!$F:$F&amp;'5) Release_Track'!$G:$G,'5) Release_Track'!$I:$I},2,0),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E339" s="116" t="str">
        <f t="array" ref="E339">ifs(and(isblank($A339),isblank($B339)),"", not(iserror(vlookup($A339&amp;$B339,'5) Release_Track'!$F:$F&amp;'5) Release_Track'!$G:$G,1,0))),vlookup($A339&amp;$B339,{'5) Release_Track'!$F:$F&amp;'5) Release_Track'!$G:$G,'5) Release_Track'!$J:$J},2,0),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F339" s="88"/>
      <c r="G339" s="92"/>
      <c r="H339" s="185"/>
      <c r="I339" s="121" t="str">
        <f t="shared" si="2"/>
        <v/>
      </c>
      <c r="J339" s="92"/>
      <c r="K339" s="92"/>
    </row>
    <row r="340">
      <c r="B340" s="97"/>
      <c r="C340" s="121" t="str">
        <f t="array" ref="C340">ifs(and(isblank($A340),isblank($B340)),"", not(iserror(vlookup($A340&amp;$B340,'5) Release_Track'!$F:$F&amp;'5) Release_Track'!$G:$G,1,0))),vlookup($A340&amp;$B340,{'5) Release_Track'!$F:$F&amp;'5) Release_Track'!$G:$G,'5) Release_Track'!$H:$H},2,0),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D340" s="121" t="str">
        <f t="array" ref="D340">ifs(and(isblank($A340),isblank($B340)),"", not(iserror(vlookup($A340&amp;$B340,'5) Release_Track'!$F:$F&amp;'5) Release_Track'!$G:$G,1,0))),vlookup($A340&amp;$B340,{'5) Release_Track'!$F:$F&amp;'5) Release_Track'!$G:$G,'5) Release_Track'!$I:$I},2,0),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E340" s="116" t="str">
        <f t="array" ref="E340">ifs(and(isblank($A340),isblank($B340)),"", not(iserror(vlookup($A340&amp;$B340,'5) Release_Track'!$F:$F&amp;'5) Release_Track'!$G:$G,1,0))),vlookup($A340&amp;$B340,{'5) Release_Track'!$F:$F&amp;'5) Release_Track'!$G:$G,'5) Release_Track'!$J:$J},2,0),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F340" s="88"/>
      <c r="G340" s="92"/>
      <c r="H340" s="185"/>
      <c r="I340" s="121" t="str">
        <f t="shared" si="2"/>
        <v/>
      </c>
      <c r="J340" s="92"/>
      <c r="K340" s="92"/>
    </row>
    <row r="341">
      <c r="B341" s="97"/>
      <c r="C341" s="121" t="str">
        <f t="array" ref="C341">ifs(and(isblank($A341),isblank($B341)),"", not(iserror(vlookup($A341&amp;$B341,'5) Release_Track'!$F:$F&amp;'5) Release_Track'!$G:$G,1,0))),vlookup($A341&amp;$B341,{'5) Release_Track'!$F:$F&amp;'5) Release_Track'!$G:$G,'5) Release_Track'!$H:$H},2,0),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D341" s="121" t="str">
        <f t="array" ref="D341">ifs(and(isblank($A341),isblank($B341)),"", not(iserror(vlookup($A341&amp;$B341,'5) Release_Track'!$F:$F&amp;'5) Release_Track'!$G:$G,1,0))),vlookup($A341&amp;$B341,{'5) Release_Track'!$F:$F&amp;'5) Release_Track'!$G:$G,'5) Release_Track'!$I:$I},2,0),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E341" s="116" t="str">
        <f t="array" ref="E341">ifs(and(isblank($A341),isblank($B341)),"", not(iserror(vlookup($A341&amp;$B341,'5) Release_Track'!$F:$F&amp;'5) Release_Track'!$G:$G,1,0))),vlookup($A341&amp;$B341,{'5) Release_Track'!$F:$F&amp;'5) Release_Track'!$G:$G,'5) Release_Track'!$J:$J},2,0),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F341" s="88"/>
      <c r="G341" s="92"/>
      <c r="H341" s="185"/>
      <c r="I341" s="121" t="str">
        <f t="shared" si="2"/>
        <v/>
      </c>
      <c r="J341" s="92"/>
      <c r="K341" s="92"/>
    </row>
    <row r="342">
      <c r="B342" s="97"/>
      <c r="C342" s="121" t="str">
        <f t="array" ref="C342">ifs(and(isblank($A342),isblank($B342)),"", not(iserror(vlookup($A342&amp;$B342,'5) Release_Track'!$F:$F&amp;'5) Release_Track'!$G:$G,1,0))),vlookup($A342&amp;$B342,{'5) Release_Track'!$F:$F&amp;'5) Release_Track'!$G:$G,'5) Release_Track'!$H:$H},2,0),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D342" s="121" t="str">
        <f t="array" ref="D342">ifs(and(isblank($A342),isblank($B342)),"", not(iserror(vlookup($A342&amp;$B342,'5) Release_Track'!$F:$F&amp;'5) Release_Track'!$G:$G,1,0))),vlookup($A342&amp;$B342,{'5) Release_Track'!$F:$F&amp;'5) Release_Track'!$G:$G,'5) Release_Track'!$I:$I},2,0),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E342" s="116" t="str">
        <f t="array" ref="E342">ifs(and(isblank($A342),isblank($B342)),"", not(iserror(vlookup($A342&amp;$B342,'5) Release_Track'!$F:$F&amp;'5) Release_Track'!$G:$G,1,0))),vlookup($A342&amp;$B342,{'5) Release_Track'!$F:$F&amp;'5) Release_Track'!$G:$G,'5) Release_Track'!$J:$J},2,0),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F342" s="88"/>
      <c r="G342" s="92"/>
      <c r="H342" s="185"/>
      <c r="I342" s="121" t="str">
        <f t="shared" si="2"/>
        <v/>
      </c>
      <c r="J342" s="92"/>
      <c r="K342" s="92"/>
    </row>
    <row r="343">
      <c r="B343" s="97"/>
      <c r="C343" s="121" t="str">
        <f t="array" ref="C343">ifs(and(isblank($A343),isblank($B343)),"", not(iserror(vlookup($A343&amp;$B343,'5) Release_Track'!$F:$F&amp;'5) Release_Track'!$G:$G,1,0))),vlookup($A343&amp;$B343,{'5) Release_Track'!$F:$F&amp;'5) Release_Track'!$G:$G,'5) Release_Track'!$H:$H},2,0),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D343" s="121" t="str">
        <f t="array" ref="D343">ifs(and(isblank($A343),isblank($B343)),"", not(iserror(vlookup($A343&amp;$B343,'5) Release_Track'!$F:$F&amp;'5) Release_Track'!$G:$G,1,0))),vlookup($A343&amp;$B343,{'5) Release_Track'!$F:$F&amp;'5) Release_Track'!$G:$G,'5) Release_Track'!$I:$I},2,0),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E343" s="116" t="str">
        <f t="array" ref="E343">ifs(and(isblank($A343),isblank($B343)),"", not(iserror(vlookup($A343&amp;$B343,'5) Release_Track'!$F:$F&amp;'5) Release_Track'!$G:$G,1,0))),vlookup($A343&amp;$B343,{'5) Release_Track'!$F:$F&amp;'5) Release_Track'!$G:$G,'5) Release_Track'!$J:$J},2,0),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F343" s="88"/>
      <c r="G343" s="92"/>
      <c r="H343" s="185"/>
      <c r="I343" s="121" t="str">
        <f t="shared" si="2"/>
        <v/>
      </c>
      <c r="J343" s="92"/>
      <c r="K343" s="92"/>
    </row>
    <row r="344">
      <c r="B344" s="97"/>
      <c r="C344" s="121" t="str">
        <f t="array" ref="C344">ifs(and(isblank($A344),isblank($B344)),"", not(iserror(vlookup($A344&amp;$B344,'5) Release_Track'!$F:$F&amp;'5) Release_Track'!$G:$G,1,0))),vlookup($A344&amp;$B344,{'5) Release_Track'!$F:$F&amp;'5) Release_Track'!$G:$G,'5) Release_Track'!$H:$H},2,0),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D344" s="121" t="str">
        <f t="array" ref="D344">ifs(and(isblank($A344),isblank($B344)),"", not(iserror(vlookup($A344&amp;$B344,'5) Release_Track'!$F:$F&amp;'5) Release_Track'!$G:$G,1,0))),vlookup($A344&amp;$B344,{'5) Release_Track'!$F:$F&amp;'5) Release_Track'!$G:$G,'5) Release_Track'!$I:$I},2,0),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E344" s="116" t="str">
        <f t="array" ref="E344">ifs(and(isblank($A344),isblank($B344)),"", not(iserror(vlookup($A344&amp;$B344,'5) Release_Track'!$F:$F&amp;'5) Release_Track'!$G:$G,1,0))),vlookup($A344&amp;$B344,{'5) Release_Track'!$F:$F&amp;'5) Release_Track'!$G:$G,'5) Release_Track'!$J:$J},2,0),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F344" s="88"/>
      <c r="G344" s="92"/>
      <c r="H344" s="185"/>
      <c r="I344" s="121" t="str">
        <f t="shared" si="2"/>
        <v/>
      </c>
      <c r="J344" s="92"/>
      <c r="K344" s="92"/>
    </row>
    <row r="345">
      <c r="B345" s="97"/>
      <c r="C345" s="121" t="str">
        <f t="array" ref="C345">ifs(and(isblank($A345),isblank($B345)),"", not(iserror(vlookup($A345&amp;$B345,'5) Release_Track'!$F:$F&amp;'5) Release_Track'!$G:$G,1,0))),vlookup($A345&amp;$B345,{'5) Release_Track'!$F:$F&amp;'5) Release_Track'!$G:$G,'5) Release_Track'!$H:$H},2,0),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D345" s="121" t="str">
        <f t="array" ref="D345">ifs(and(isblank($A345),isblank($B345)),"", not(iserror(vlookup($A345&amp;$B345,'5) Release_Track'!$F:$F&amp;'5) Release_Track'!$G:$G,1,0))),vlookup($A345&amp;$B345,{'5) Release_Track'!$F:$F&amp;'5) Release_Track'!$G:$G,'5) Release_Track'!$I:$I},2,0),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E345" s="116" t="str">
        <f t="array" ref="E345">ifs(and(isblank($A345),isblank($B345)),"", not(iserror(vlookup($A345&amp;$B345,'5) Release_Track'!$F:$F&amp;'5) Release_Track'!$G:$G,1,0))),vlookup($A345&amp;$B345,{'5) Release_Track'!$F:$F&amp;'5) Release_Track'!$G:$G,'5) Release_Track'!$J:$J},2,0),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F345" s="88"/>
      <c r="G345" s="92"/>
      <c r="H345" s="185"/>
      <c r="I345" s="121" t="str">
        <f t="shared" si="2"/>
        <v/>
      </c>
      <c r="J345" s="92"/>
      <c r="K345" s="92"/>
    </row>
    <row r="346">
      <c r="B346" s="97"/>
      <c r="C346" s="121" t="str">
        <f t="array" ref="C346">ifs(and(isblank($A346),isblank($B346)),"", not(iserror(vlookup($A346&amp;$B346,'5) Release_Track'!$F:$F&amp;'5) Release_Track'!$G:$G,1,0))),vlookup($A346&amp;$B346,{'5) Release_Track'!$F:$F&amp;'5) Release_Track'!$G:$G,'5) Release_Track'!$H:$H},2,0),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D346" s="121" t="str">
        <f t="array" ref="D346">ifs(and(isblank($A346),isblank($B346)),"", not(iserror(vlookup($A346&amp;$B346,'5) Release_Track'!$F:$F&amp;'5) Release_Track'!$G:$G,1,0))),vlookup($A346&amp;$B346,{'5) Release_Track'!$F:$F&amp;'5) Release_Track'!$G:$G,'5) Release_Track'!$I:$I},2,0),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E346" s="116" t="str">
        <f t="array" ref="E346">ifs(and(isblank($A346),isblank($B346)),"", not(iserror(vlookup($A346&amp;$B346,'5) Release_Track'!$F:$F&amp;'5) Release_Track'!$G:$G,1,0))),vlookup($A346&amp;$B346,{'5) Release_Track'!$F:$F&amp;'5) Release_Track'!$G:$G,'5) Release_Track'!$J:$J},2,0),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F346" s="88"/>
      <c r="G346" s="92"/>
      <c r="H346" s="185"/>
      <c r="I346" s="121" t="str">
        <f t="shared" si="2"/>
        <v/>
      </c>
      <c r="J346" s="92"/>
      <c r="K346" s="92"/>
    </row>
    <row r="347">
      <c r="B347" s="97"/>
      <c r="C347" s="121" t="str">
        <f t="array" ref="C347">ifs(and(isblank($A347),isblank($B347)),"", not(iserror(vlookup($A347&amp;$B347,'5) Release_Track'!$F:$F&amp;'5) Release_Track'!$G:$G,1,0))),vlookup($A347&amp;$B347,{'5) Release_Track'!$F:$F&amp;'5) Release_Track'!$G:$G,'5) Release_Track'!$H:$H},2,0),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D347" s="121" t="str">
        <f t="array" ref="D347">ifs(and(isblank($A347),isblank($B347)),"", not(iserror(vlookup($A347&amp;$B347,'5) Release_Track'!$F:$F&amp;'5) Release_Track'!$G:$G,1,0))),vlookup($A347&amp;$B347,{'5) Release_Track'!$F:$F&amp;'5) Release_Track'!$G:$G,'5) Release_Track'!$I:$I},2,0),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E347" s="116" t="str">
        <f t="array" ref="E347">ifs(and(isblank($A347),isblank($B347)),"", not(iserror(vlookup($A347&amp;$B347,'5) Release_Track'!$F:$F&amp;'5) Release_Track'!$G:$G,1,0))),vlookup($A347&amp;$B347,{'5) Release_Track'!$F:$F&amp;'5) Release_Track'!$G:$G,'5) Release_Track'!$J:$J},2,0),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F347" s="88"/>
      <c r="G347" s="92"/>
      <c r="H347" s="185"/>
      <c r="I347" s="121" t="str">
        <f t="shared" si="2"/>
        <v/>
      </c>
      <c r="J347" s="92"/>
      <c r="K347" s="92"/>
    </row>
    <row r="348">
      <c r="B348" s="97"/>
      <c r="C348" s="121" t="str">
        <f t="array" ref="C348">ifs(and(isblank($A348),isblank($B348)),"", not(iserror(vlookup($A348&amp;$B348,'5) Release_Track'!$F:$F&amp;'5) Release_Track'!$G:$G,1,0))),vlookup($A348&amp;$B348,{'5) Release_Track'!$F:$F&amp;'5) Release_Track'!$G:$G,'5) Release_Track'!$H:$H},2,0),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D348" s="121" t="str">
        <f t="array" ref="D348">ifs(and(isblank($A348),isblank($B348)),"", not(iserror(vlookup($A348&amp;$B348,'5) Release_Track'!$F:$F&amp;'5) Release_Track'!$G:$G,1,0))),vlookup($A348&amp;$B348,{'5) Release_Track'!$F:$F&amp;'5) Release_Track'!$G:$G,'5) Release_Track'!$I:$I},2,0),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E348" s="116" t="str">
        <f t="array" ref="E348">ifs(and(isblank($A348),isblank($B348)),"", not(iserror(vlookup($A348&amp;$B348,'5) Release_Track'!$F:$F&amp;'5) Release_Track'!$G:$G,1,0))),vlookup($A348&amp;$B348,{'5) Release_Track'!$F:$F&amp;'5) Release_Track'!$G:$G,'5) Release_Track'!$J:$J},2,0),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F348" s="88"/>
      <c r="G348" s="92"/>
      <c r="H348" s="185"/>
      <c r="I348" s="121" t="str">
        <f t="shared" si="2"/>
        <v/>
      </c>
      <c r="J348" s="92"/>
      <c r="K348" s="92"/>
    </row>
    <row r="349">
      <c r="B349" s="97"/>
      <c r="C349" s="121" t="str">
        <f t="array" ref="C349">ifs(and(isblank($A349),isblank($B349)),"", not(iserror(vlookup($A349&amp;$B349,'5) Release_Track'!$F:$F&amp;'5) Release_Track'!$G:$G,1,0))),vlookup($A349&amp;$B349,{'5) Release_Track'!$F:$F&amp;'5) Release_Track'!$G:$G,'5) Release_Track'!$H:$H},2,0),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D349" s="121" t="str">
        <f t="array" ref="D349">ifs(and(isblank($A349),isblank($B349)),"", not(iserror(vlookup($A349&amp;$B349,'5) Release_Track'!$F:$F&amp;'5) Release_Track'!$G:$G,1,0))),vlookup($A349&amp;$B349,{'5) Release_Track'!$F:$F&amp;'5) Release_Track'!$G:$G,'5) Release_Track'!$I:$I},2,0),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E349" s="116" t="str">
        <f t="array" ref="E349">ifs(and(isblank($A349),isblank($B349)),"", not(iserror(vlookup($A349&amp;$B349,'5) Release_Track'!$F:$F&amp;'5) Release_Track'!$G:$G,1,0))),vlookup($A349&amp;$B349,{'5) Release_Track'!$F:$F&amp;'5) Release_Track'!$G:$G,'5) Release_Track'!$J:$J},2,0),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F349" s="88"/>
      <c r="G349" s="92"/>
      <c r="H349" s="185"/>
      <c r="I349" s="121" t="str">
        <f t="shared" si="2"/>
        <v/>
      </c>
      <c r="J349" s="92"/>
      <c r="K349" s="92"/>
    </row>
    <row r="350">
      <c r="B350" s="97"/>
      <c r="C350" s="121" t="str">
        <f t="array" ref="C350">ifs(and(isblank($A350),isblank($B350)),"", not(iserror(vlookup($A350&amp;$B350,'5) Release_Track'!$F:$F&amp;'5) Release_Track'!$G:$G,1,0))),vlookup($A350&amp;$B350,{'5) Release_Track'!$F:$F&amp;'5) Release_Track'!$G:$G,'5) Release_Track'!$H:$H},2,0),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D350" s="121" t="str">
        <f t="array" ref="D350">ifs(and(isblank($A350),isblank($B350)),"", not(iserror(vlookup($A350&amp;$B350,'5) Release_Track'!$F:$F&amp;'5) Release_Track'!$G:$G,1,0))),vlookup($A350&amp;$B350,{'5) Release_Track'!$F:$F&amp;'5) Release_Track'!$G:$G,'5) Release_Track'!$I:$I},2,0),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E350" s="116" t="str">
        <f t="array" ref="E350">ifs(and(isblank($A350),isblank($B350)),"", not(iserror(vlookup($A350&amp;$B350,'5) Release_Track'!$F:$F&amp;'5) Release_Track'!$G:$G,1,0))),vlookup($A350&amp;$B350,{'5) Release_Track'!$F:$F&amp;'5) Release_Track'!$G:$G,'5) Release_Track'!$J:$J},2,0),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F350" s="88"/>
      <c r="G350" s="92"/>
      <c r="H350" s="185"/>
      <c r="I350" s="121" t="str">
        <f t="shared" si="2"/>
        <v/>
      </c>
      <c r="J350" s="92"/>
      <c r="K350" s="92"/>
    </row>
    <row r="351">
      <c r="B351" s="97"/>
      <c r="C351" s="121" t="str">
        <f t="array" ref="C351">ifs(and(isblank($A351),isblank($B351)),"", not(iserror(vlookup($A351&amp;$B351,'5) Release_Track'!$F:$F&amp;'5) Release_Track'!$G:$G,1,0))),vlookup($A351&amp;$B351,{'5) Release_Track'!$F:$F&amp;'5) Release_Track'!$G:$G,'5) Release_Track'!$H:$H},2,0),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D351" s="121" t="str">
        <f t="array" ref="D351">ifs(and(isblank($A351),isblank($B351)),"", not(iserror(vlookup($A351&amp;$B351,'5) Release_Track'!$F:$F&amp;'5) Release_Track'!$G:$G,1,0))),vlookup($A351&amp;$B351,{'5) Release_Track'!$F:$F&amp;'5) Release_Track'!$G:$G,'5) Release_Track'!$I:$I},2,0),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E351" s="116" t="str">
        <f t="array" ref="E351">ifs(and(isblank($A351),isblank($B351)),"", not(iserror(vlookup($A351&amp;$B351,'5) Release_Track'!$F:$F&amp;'5) Release_Track'!$G:$G,1,0))),vlookup($A351&amp;$B351,{'5) Release_Track'!$F:$F&amp;'5) Release_Track'!$G:$G,'5) Release_Track'!$J:$J},2,0),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F351" s="88"/>
      <c r="G351" s="92"/>
      <c r="H351" s="185"/>
      <c r="I351" s="121" t="str">
        <f t="shared" si="2"/>
        <v/>
      </c>
      <c r="J351" s="92"/>
      <c r="K351" s="92"/>
    </row>
    <row r="352">
      <c r="B352" s="97"/>
      <c r="C352" s="121" t="str">
        <f t="array" ref="C352">ifs(and(isblank($A352),isblank($B352)),"", not(iserror(vlookup($A352&amp;$B352,'5) Release_Track'!$F:$F&amp;'5) Release_Track'!$G:$G,1,0))),vlookup($A352&amp;$B352,{'5) Release_Track'!$F:$F&amp;'5) Release_Track'!$G:$G,'5) Release_Track'!$H:$H},2,0),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D352" s="121" t="str">
        <f t="array" ref="D352">ifs(and(isblank($A352),isblank($B352)),"", not(iserror(vlookup($A352&amp;$B352,'5) Release_Track'!$F:$F&amp;'5) Release_Track'!$G:$G,1,0))),vlookup($A352&amp;$B352,{'5) Release_Track'!$F:$F&amp;'5) Release_Track'!$G:$G,'5) Release_Track'!$I:$I},2,0),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E352" s="116" t="str">
        <f t="array" ref="E352">ifs(and(isblank($A352),isblank($B352)),"", not(iserror(vlookup($A352&amp;$B352,'5) Release_Track'!$F:$F&amp;'5) Release_Track'!$G:$G,1,0))),vlookup($A352&amp;$B352,{'5) Release_Track'!$F:$F&amp;'5) Release_Track'!$G:$G,'5) Release_Track'!$J:$J},2,0),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F352" s="88"/>
      <c r="G352" s="92"/>
      <c r="H352" s="185"/>
      <c r="I352" s="121" t="str">
        <f t="shared" si="2"/>
        <v/>
      </c>
      <c r="J352" s="92"/>
      <c r="K352" s="92"/>
    </row>
    <row r="353">
      <c r="B353" s="97"/>
      <c r="C353" s="121" t="str">
        <f t="array" ref="C353">ifs(and(isblank($A353),isblank($B353)),"", not(iserror(vlookup($A353&amp;$B353,'5) Release_Track'!$F:$F&amp;'5) Release_Track'!$G:$G,1,0))),vlookup($A353&amp;$B353,{'5) Release_Track'!$F:$F&amp;'5) Release_Track'!$G:$G,'5) Release_Track'!$H:$H},2,0),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D353" s="121" t="str">
        <f t="array" ref="D353">ifs(and(isblank($A353),isblank($B353)),"", not(iserror(vlookup($A353&amp;$B353,'5) Release_Track'!$F:$F&amp;'5) Release_Track'!$G:$G,1,0))),vlookup($A353&amp;$B353,{'5) Release_Track'!$F:$F&amp;'5) Release_Track'!$G:$G,'5) Release_Track'!$I:$I},2,0),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E353" s="116" t="str">
        <f t="array" ref="E353">ifs(and(isblank($A353),isblank($B353)),"", not(iserror(vlookup($A353&amp;$B353,'5) Release_Track'!$F:$F&amp;'5) Release_Track'!$G:$G,1,0))),vlookup($A353&amp;$B353,{'5) Release_Track'!$F:$F&amp;'5) Release_Track'!$G:$G,'5) Release_Track'!$J:$J},2,0),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F353" s="88"/>
      <c r="G353" s="92"/>
      <c r="H353" s="185"/>
      <c r="I353" s="121" t="str">
        <f t="shared" si="2"/>
        <v/>
      </c>
      <c r="J353" s="92"/>
      <c r="K353" s="92"/>
    </row>
    <row r="354">
      <c r="B354" s="97"/>
      <c r="C354" s="121" t="str">
        <f t="array" ref="C354">ifs(and(isblank($A354),isblank($B354)),"", not(iserror(vlookup($A354&amp;$B354,'5) Release_Track'!$F:$F&amp;'5) Release_Track'!$G:$G,1,0))),vlookup($A354&amp;$B354,{'5) Release_Track'!$F:$F&amp;'5) Release_Track'!$G:$G,'5) Release_Track'!$H:$H},2,0),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D354" s="121" t="str">
        <f t="array" ref="D354">ifs(and(isblank($A354),isblank($B354)),"", not(iserror(vlookup($A354&amp;$B354,'5) Release_Track'!$F:$F&amp;'5) Release_Track'!$G:$G,1,0))),vlookup($A354&amp;$B354,{'5) Release_Track'!$F:$F&amp;'5) Release_Track'!$G:$G,'5) Release_Track'!$I:$I},2,0),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E354" s="116" t="str">
        <f t="array" ref="E354">ifs(and(isblank($A354),isblank($B354)),"", not(iserror(vlookup($A354&amp;$B354,'5) Release_Track'!$F:$F&amp;'5) Release_Track'!$G:$G,1,0))),vlookup($A354&amp;$B354,{'5) Release_Track'!$F:$F&amp;'5) Release_Track'!$G:$G,'5) Release_Track'!$J:$J},2,0),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F354" s="88"/>
      <c r="G354" s="92"/>
      <c r="H354" s="185"/>
      <c r="I354" s="121" t="str">
        <f t="shared" si="2"/>
        <v/>
      </c>
      <c r="J354" s="92"/>
      <c r="K354" s="92"/>
    </row>
    <row r="355">
      <c r="B355" s="97"/>
      <c r="C355" s="121" t="str">
        <f t="array" ref="C355">ifs(and(isblank($A355),isblank($B355)),"", not(iserror(vlookup($A355&amp;$B355,'5) Release_Track'!$F:$F&amp;'5) Release_Track'!$G:$G,1,0))),vlookup($A355&amp;$B355,{'5) Release_Track'!$F:$F&amp;'5) Release_Track'!$G:$G,'5) Release_Track'!$H:$H},2,0),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D355" s="121" t="str">
        <f t="array" ref="D355">ifs(and(isblank($A355),isblank($B355)),"", not(iserror(vlookup($A355&amp;$B355,'5) Release_Track'!$F:$F&amp;'5) Release_Track'!$G:$G,1,0))),vlookup($A355&amp;$B355,{'5) Release_Track'!$F:$F&amp;'5) Release_Track'!$G:$G,'5) Release_Track'!$I:$I},2,0),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E355" s="116" t="str">
        <f t="array" ref="E355">ifs(and(isblank($A355),isblank($B355)),"", not(iserror(vlookup($A355&amp;$B355,'5) Release_Track'!$F:$F&amp;'5) Release_Track'!$G:$G,1,0))),vlookup($A355&amp;$B355,{'5) Release_Track'!$F:$F&amp;'5) Release_Track'!$G:$G,'5) Release_Track'!$J:$J},2,0),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F355" s="88"/>
      <c r="G355" s="92"/>
      <c r="H355" s="185"/>
      <c r="I355" s="121" t="str">
        <f t="shared" si="2"/>
        <v/>
      </c>
      <c r="J355" s="92"/>
      <c r="K355" s="92"/>
    </row>
    <row r="356">
      <c r="B356" s="97"/>
      <c r="C356" s="121" t="str">
        <f t="array" ref="C356">ifs(and(isblank($A356),isblank($B356)),"", not(iserror(vlookup($A356&amp;$B356,'5) Release_Track'!$F:$F&amp;'5) Release_Track'!$G:$G,1,0))),vlookup($A356&amp;$B356,{'5) Release_Track'!$F:$F&amp;'5) Release_Track'!$G:$G,'5) Release_Track'!$H:$H},2,0),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D356" s="121" t="str">
        <f t="array" ref="D356">ifs(and(isblank($A356),isblank($B356)),"", not(iserror(vlookup($A356&amp;$B356,'5) Release_Track'!$F:$F&amp;'5) Release_Track'!$G:$G,1,0))),vlookup($A356&amp;$B356,{'5) Release_Track'!$F:$F&amp;'5) Release_Track'!$G:$G,'5) Release_Track'!$I:$I},2,0),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E356" s="116" t="str">
        <f t="array" ref="E356">ifs(and(isblank($A356),isblank($B356)),"", not(iserror(vlookup($A356&amp;$B356,'5) Release_Track'!$F:$F&amp;'5) Release_Track'!$G:$G,1,0))),vlookup($A356&amp;$B356,{'5) Release_Track'!$F:$F&amp;'5) Release_Track'!$G:$G,'5) Release_Track'!$J:$J},2,0),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F356" s="88"/>
      <c r="G356" s="92"/>
      <c r="H356" s="185"/>
      <c r="I356" s="121" t="str">
        <f t="shared" si="2"/>
        <v/>
      </c>
      <c r="J356" s="92"/>
      <c r="K356" s="92"/>
    </row>
    <row r="357">
      <c r="B357" s="97"/>
      <c r="C357" s="121" t="str">
        <f t="array" ref="C357">ifs(and(isblank($A357),isblank($B357)),"", not(iserror(vlookup($A357&amp;$B357,'5) Release_Track'!$F:$F&amp;'5) Release_Track'!$G:$G,1,0))),vlookup($A357&amp;$B357,{'5) Release_Track'!$F:$F&amp;'5) Release_Track'!$G:$G,'5) Release_Track'!$H:$H},2,0),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D357" s="121" t="str">
        <f t="array" ref="D357">ifs(and(isblank($A357),isblank($B357)),"", not(iserror(vlookup($A357&amp;$B357,'5) Release_Track'!$F:$F&amp;'5) Release_Track'!$G:$G,1,0))),vlookup($A357&amp;$B357,{'5) Release_Track'!$F:$F&amp;'5) Release_Track'!$G:$G,'5) Release_Track'!$I:$I},2,0),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E357" s="116" t="str">
        <f t="array" ref="E357">ifs(and(isblank($A357),isblank($B357)),"", not(iserror(vlookup($A357&amp;$B357,'5) Release_Track'!$F:$F&amp;'5) Release_Track'!$G:$G,1,0))),vlookup($A357&amp;$B357,{'5) Release_Track'!$F:$F&amp;'5) Release_Track'!$G:$G,'5) Release_Track'!$J:$J},2,0),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F357" s="88"/>
      <c r="G357" s="92"/>
      <c r="H357" s="185"/>
      <c r="I357" s="121" t="str">
        <f t="shared" si="2"/>
        <v/>
      </c>
      <c r="J357" s="92"/>
      <c r="K357" s="92"/>
    </row>
    <row r="358">
      <c r="B358" s="97"/>
      <c r="C358" s="121" t="str">
        <f t="array" ref="C358">ifs(and(isblank($A358),isblank($B358)),"", not(iserror(vlookup($A358&amp;$B358,'5) Release_Track'!$F:$F&amp;'5) Release_Track'!$G:$G,1,0))),vlookup($A358&amp;$B358,{'5) Release_Track'!$F:$F&amp;'5) Release_Track'!$G:$G,'5) Release_Track'!$H:$H},2,0),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D358" s="121" t="str">
        <f t="array" ref="D358">ifs(and(isblank($A358),isblank($B358)),"", not(iserror(vlookup($A358&amp;$B358,'5) Release_Track'!$F:$F&amp;'5) Release_Track'!$G:$G,1,0))),vlookup($A358&amp;$B358,{'5) Release_Track'!$F:$F&amp;'5) Release_Track'!$G:$G,'5) Release_Track'!$I:$I},2,0),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E358" s="116" t="str">
        <f t="array" ref="E358">ifs(and(isblank($A358),isblank($B358)),"", not(iserror(vlookup($A358&amp;$B358,'5) Release_Track'!$F:$F&amp;'5) Release_Track'!$G:$G,1,0))),vlookup($A358&amp;$B358,{'5) Release_Track'!$F:$F&amp;'5) Release_Track'!$G:$G,'5) Release_Track'!$J:$J},2,0),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F358" s="88"/>
      <c r="G358" s="92"/>
      <c r="H358" s="185"/>
      <c r="I358" s="121" t="str">
        <f t="shared" si="2"/>
        <v/>
      </c>
      <c r="J358" s="92"/>
      <c r="K358" s="92"/>
    </row>
    <row r="359">
      <c r="B359" s="97"/>
      <c r="C359" s="121" t="str">
        <f t="array" ref="C359">ifs(and(isblank($A359),isblank($B359)),"", not(iserror(vlookup($A359&amp;$B359,'5) Release_Track'!$F:$F&amp;'5) Release_Track'!$G:$G,1,0))),vlookup($A359&amp;$B359,{'5) Release_Track'!$F:$F&amp;'5) Release_Track'!$G:$G,'5) Release_Track'!$H:$H},2,0),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D359" s="121" t="str">
        <f t="array" ref="D359">ifs(and(isblank($A359),isblank($B359)),"", not(iserror(vlookup($A359&amp;$B359,'5) Release_Track'!$F:$F&amp;'5) Release_Track'!$G:$G,1,0))),vlookup($A359&amp;$B359,{'5) Release_Track'!$F:$F&amp;'5) Release_Track'!$G:$G,'5) Release_Track'!$I:$I},2,0),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E359" s="116" t="str">
        <f t="array" ref="E359">ifs(and(isblank($A359),isblank($B359)),"", not(iserror(vlookup($A359&amp;$B359,'5) Release_Track'!$F:$F&amp;'5) Release_Track'!$G:$G,1,0))),vlookup($A359&amp;$B359,{'5) Release_Track'!$F:$F&amp;'5) Release_Track'!$G:$G,'5) Release_Track'!$J:$J},2,0),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F359" s="88"/>
      <c r="G359" s="92"/>
      <c r="H359" s="185"/>
      <c r="I359" s="121" t="str">
        <f t="shared" si="2"/>
        <v/>
      </c>
      <c r="J359" s="92"/>
      <c r="K359" s="92"/>
    </row>
    <row r="360">
      <c r="B360" s="97"/>
      <c r="C360" s="121" t="str">
        <f t="array" ref="C360">ifs(and(isblank($A360),isblank($B360)),"", not(iserror(vlookup($A360&amp;$B360,'5) Release_Track'!$F:$F&amp;'5) Release_Track'!$G:$G,1,0))),vlookup($A360&amp;$B360,{'5) Release_Track'!$F:$F&amp;'5) Release_Track'!$G:$G,'5) Release_Track'!$H:$H},2,0),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D360" s="121" t="str">
        <f t="array" ref="D360">ifs(and(isblank($A360),isblank($B360)),"", not(iserror(vlookup($A360&amp;$B360,'5) Release_Track'!$F:$F&amp;'5) Release_Track'!$G:$G,1,0))),vlookup($A360&amp;$B360,{'5) Release_Track'!$F:$F&amp;'5) Release_Track'!$G:$G,'5) Release_Track'!$I:$I},2,0),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E360" s="116" t="str">
        <f t="array" ref="E360">ifs(and(isblank($A360),isblank($B360)),"", not(iserror(vlookup($A360&amp;$B360,'5) Release_Track'!$F:$F&amp;'5) Release_Track'!$G:$G,1,0))),vlookup($A360&amp;$B360,{'5) Release_Track'!$F:$F&amp;'5) Release_Track'!$G:$G,'5) Release_Track'!$J:$J},2,0),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F360" s="88"/>
      <c r="G360" s="92"/>
      <c r="H360" s="185"/>
      <c r="I360" s="121" t="str">
        <f t="shared" si="2"/>
        <v/>
      </c>
      <c r="J360" s="92"/>
      <c r="K360" s="92"/>
    </row>
    <row r="361">
      <c r="B361" s="97"/>
      <c r="C361" s="121" t="str">
        <f t="array" ref="C361">ifs(and(isblank($A361),isblank($B361)),"", not(iserror(vlookup($A361&amp;$B361,'5) Release_Track'!$F:$F&amp;'5) Release_Track'!$G:$G,1,0))),vlookup($A361&amp;$B361,{'5) Release_Track'!$F:$F&amp;'5) Release_Track'!$G:$G,'5) Release_Track'!$H:$H},2,0),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D361" s="121" t="str">
        <f t="array" ref="D361">ifs(and(isblank($A361),isblank($B361)),"", not(iserror(vlookup($A361&amp;$B361,'5) Release_Track'!$F:$F&amp;'5) Release_Track'!$G:$G,1,0))),vlookup($A361&amp;$B361,{'5) Release_Track'!$F:$F&amp;'5) Release_Track'!$G:$G,'5) Release_Track'!$I:$I},2,0),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E361" s="116" t="str">
        <f t="array" ref="E361">ifs(and(isblank($A361),isblank($B361)),"", not(iserror(vlookup($A361&amp;$B361,'5) Release_Track'!$F:$F&amp;'5) Release_Track'!$G:$G,1,0))),vlookup($A361&amp;$B361,{'5) Release_Track'!$F:$F&amp;'5) Release_Track'!$G:$G,'5) Release_Track'!$J:$J},2,0),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F361" s="88"/>
      <c r="G361" s="92"/>
      <c r="H361" s="185"/>
      <c r="I361" s="121" t="str">
        <f t="shared" si="2"/>
        <v/>
      </c>
      <c r="J361" s="92"/>
      <c r="K361" s="92"/>
    </row>
    <row r="362">
      <c r="B362" s="97"/>
      <c r="C362" s="121" t="str">
        <f t="array" ref="C362">ifs(and(isblank($A362),isblank($B362)),"", not(iserror(vlookup($A362&amp;$B362,'5) Release_Track'!$F:$F&amp;'5) Release_Track'!$G:$G,1,0))),vlookup($A362&amp;$B362,{'5) Release_Track'!$F:$F&amp;'5) Release_Track'!$G:$G,'5) Release_Track'!$H:$H},2,0),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D362" s="121" t="str">
        <f t="array" ref="D362">ifs(and(isblank($A362),isblank($B362)),"", not(iserror(vlookup($A362&amp;$B362,'5) Release_Track'!$F:$F&amp;'5) Release_Track'!$G:$G,1,0))),vlookup($A362&amp;$B362,{'5) Release_Track'!$F:$F&amp;'5) Release_Track'!$G:$G,'5) Release_Track'!$I:$I},2,0),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E362" s="116" t="str">
        <f t="array" ref="E362">ifs(and(isblank($A362),isblank($B362)),"", not(iserror(vlookup($A362&amp;$B362,'5) Release_Track'!$F:$F&amp;'5) Release_Track'!$G:$G,1,0))),vlookup($A362&amp;$B362,{'5) Release_Track'!$F:$F&amp;'5) Release_Track'!$G:$G,'5) Release_Track'!$J:$J},2,0),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F362" s="88"/>
      <c r="G362" s="92"/>
      <c r="H362" s="185"/>
      <c r="I362" s="121" t="str">
        <f t="shared" si="2"/>
        <v/>
      </c>
      <c r="J362" s="92"/>
      <c r="K362" s="92"/>
    </row>
    <row r="363">
      <c r="B363" s="97"/>
      <c r="C363" s="121" t="str">
        <f t="array" ref="C363">ifs(and(isblank($A363),isblank($B363)),"", not(iserror(vlookup($A363&amp;$B363,'5) Release_Track'!$F:$F&amp;'5) Release_Track'!$G:$G,1,0))),vlookup($A363&amp;$B363,{'5) Release_Track'!$F:$F&amp;'5) Release_Track'!$G:$G,'5) Release_Track'!$H:$H},2,0),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D363" s="121" t="str">
        <f t="array" ref="D363">ifs(and(isblank($A363),isblank($B363)),"", not(iserror(vlookup($A363&amp;$B363,'5) Release_Track'!$F:$F&amp;'5) Release_Track'!$G:$G,1,0))),vlookup($A363&amp;$B363,{'5) Release_Track'!$F:$F&amp;'5) Release_Track'!$G:$G,'5) Release_Track'!$I:$I},2,0),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E363" s="116" t="str">
        <f t="array" ref="E363">ifs(and(isblank($A363),isblank($B363)),"", not(iserror(vlookup($A363&amp;$B363,'5) Release_Track'!$F:$F&amp;'5) Release_Track'!$G:$G,1,0))),vlookup($A363&amp;$B363,{'5) Release_Track'!$F:$F&amp;'5) Release_Track'!$G:$G,'5) Release_Track'!$J:$J},2,0),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F363" s="88"/>
      <c r="G363" s="92"/>
      <c r="H363" s="185"/>
      <c r="I363" s="121" t="str">
        <f t="shared" si="2"/>
        <v/>
      </c>
      <c r="J363" s="92"/>
      <c r="K363" s="92"/>
    </row>
    <row r="364">
      <c r="B364" s="97"/>
      <c r="C364" s="121" t="str">
        <f t="array" ref="C364">ifs(and(isblank($A364),isblank($B364)),"", not(iserror(vlookup($A364&amp;$B364,'5) Release_Track'!$F:$F&amp;'5) Release_Track'!$G:$G,1,0))),vlookup($A364&amp;$B364,{'5) Release_Track'!$F:$F&amp;'5) Release_Track'!$G:$G,'5) Release_Track'!$H:$H},2,0),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D364" s="121" t="str">
        <f t="array" ref="D364">ifs(and(isblank($A364),isblank($B364)),"", not(iserror(vlookup($A364&amp;$B364,'5) Release_Track'!$F:$F&amp;'5) Release_Track'!$G:$G,1,0))),vlookup($A364&amp;$B364,{'5) Release_Track'!$F:$F&amp;'5) Release_Track'!$G:$G,'5) Release_Track'!$I:$I},2,0),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E364" s="116" t="str">
        <f t="array" ref="E364">ifs(and(isblank($A364),isblank($B364)),"", not(iserror(vlookup($A364&amp;$B364,'5) Release_Track'!$F:$F&amp;'5) Release_Track'!$G:$G,1,0))),vlookup($A364&amp;$B364,{'5) Release_Track'!$F:$F&amp;'5) Release_Track'!$G:$G,'5) Release_Track'!$J:$J},2,0),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F364" s="88"/>
      <c r="G364" s="92"/>
      <c r="H364" s="185"/>
      <c r="I364" s="121" t="str">
        <f t="shared" si="2"/>
        <v/>
      </c>
      <c r="J364" s="92"/>
      <c r="K364" s="92"/>
    </row>
    <row r="365">
      <c r="B365" s="97"/>
      <c r="C365" s="121" t="str">
        <f t="array" ref="C365">ifs(and(isblank($A365),isblank($B365)),"", not(iserror(vlookup($A365&amp;$B365,'5) Release_Track'!$F:$F&amp;'5) Release_Track'!$G:$G,1,0))),vlookup($A365&amp;$B365,{'5) Release_Track'!$F:$F&amp;'5) Release_Track'!$G:$G,'5) Release_Track'!$H:$H},2,0),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D365" s="121" t="str">
        <f t="array" ref="D365">ifs(and(isblank($A365),isblank($B365)),"", not(iserror(vlookup($A365&amp;$B365,'5) Release_Track'!$F:$F&amp;'5) Release_Track'!$G:$G,1,0))),vlookup($A365&amp;$B365,{'5) Release_Track'!$F:$F&amp;'5) Release_Track'!$G:$G,'5) Release_Track'!$I:$I},2,0),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E365" s="116" t="str">
        <f t="array" ref="E365">ifs(and(isblank($A365),isblank($B365)),"", not(iserror(vlookup($A365&amp;$B365,'5) Release_Track'!$F:$F&amp;'5) Release_Track'!$G:$G,1,0))),vlookup($A365&amp;$B365,{'5) Release_Track'!$F:$F&amp;'5) Release_Track'!$G:$G,'5) Release_Track'!$J:$J},2,0),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F365" s="88"/>
      <c r="G365" s="92"/>
      <c r="H365" s="185"/>
      <c r="I365" s="121" t="str">
        <f t="shared" si="2"/>
        <v/>
      </c>
      <c r="J365" s="92"/>
      <c r="K365" s="92"/>
    </row>
    <row r="366">
      <c r="B366" s="97"/>
      <c r="C366" s="121" t="str">
        <f t="array" ref="C366">ifs(and(isblank($A366),isblank($B366)),"", not(iserror(vlookup($A366&amp;$B366,'5) Release_Track'!$F:$F&amp;'5) Release_Track'!$G:$G,1,0))),vlookup($A366&amp;$B366,{'5) Release_Track'!$F:$F&amp;'5) Release_Track'!$G:$G,'5) Release_Track'!$H:$H},2,0),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D366" s="121" t="str">
        <f t="array" ref="D366">ifs(and(isblank($A366),isblank($B366)),"", not(iserror(vlookup($A366&amp;$B366,'5) Release_Track'!$F:$F&amp;'5) Release_Track'!$G:$G,1,0))),vlookup($A366&amp;$B366,{'5) Release_Track'!$F:$F&amp;'5) Release_Track'!$G:$G,'5) Release_Track'!$I:$I},2,0),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E366" s="116" t="str">
        <f t="array" ref="E366">ifs(and(isblank($A366),isblank($B366)),"", not(iserror(vlookup($A366&amp;$B366,'5) Release_Track'!$F:$F&amp;'5) Release_Track'!$G:$G,1,0))),vlookup($A366&amp;$B366,{'5) Release_Track'!$F:$F&amp;'5) Release_Track'!$G:$G,'5) Release_Track'!$J:$J},2,0),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F366" s="88"/>
      <c r="G366" s="92"/>
      <c r="H366" s="185"/>
      <c r="I366" s="121" t="str">
        <f t="shared" si="2"/>
        <v/>
      </c>
      <c r="J366" s="92"/>
      <c r="K366" s="92"/>
    </row>
    <row r="367">
      <c r="B367" s="97"/>
      <c r="C367" s="121" t="str">
        <f t="array" ref="C367">ifs(and(isblank($A367),isblank($B367)),"", not(iserror(vlookup($A367&amp;$B367,'5) Release_Track'!$F:$F&amp;'5) Release_Track'!$G:$G,1,0))),vlookup($A367&amp;$B367,{'5) Release_Track'!$F:$F&amp;'5) Release_Track'!$G:$G,'5) Release_Track'!$H:$H},2,0),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D367" s="121" t="str">
        <f t="array" ref="D367">ifs(and(isblank($A367),isblank($B367)),"", not(iserror(vlookup($A367&amp;$B367,'5) Release_Track'!$F:$F&amp;'5) Release_Track'!$G:$G,1,0))),vlookup($A367&amp;$B367,{'5) Release_Track'!$F:$F&amp;'5) Release_Track'!$G:$G,'5) Release_Track'!$I:$I},2,0),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E367" s="116" t="str">
        <f t="array" ref="E367">ifs(and(isblank($A367),isblank($B367)),"", not(iserror(vlookup($A367&amp;$B367,'5) Release_Track'!$F:$F&amp;'5) Release_Track'!$G:$G,1,0))),vlookup($A367&amp;$B367,{'5) Release_Track'!$F:$F&amp;'5) Release_Track'!$G:$G,'5) Release_Track'!$J:$J},2,0),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F367" s="88"/>
      <c r="G367" s="92"/>
      <c r="H367" s="185"/>
      <c r="I367" s="121" t="str">
        <f t="shared" si="2"/>
        <v/>
      </c>
      <c r="J367" s="92"/>
      <c r="K367" s="92"/>
    </row>
    <row r="368">
      <c r="B368" s="97"/>
      <c r="C368" s="121" t="str">
        <f t="array" ref="C368">ifs(and(isblank($A368),isblank($B368)),"", not(iserror(vlookup($A368&amp;$B368,'5) Release_Track'!$F:$F&amp;'5) Release_Track'!$G:$G,1,0))),vlookup($A368&amp;$B368,{'5) Release_Track'!$F:$F&amp;'5) Release_Track'!$G:$G,'5) Release_Track'!$H:$H},2,0),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D368" s="121" t="str">
        <f t="array" ref="D368">ifs(and(isblank($A368),isblank($B368)),"", not(iserror(vlookup($A368&amp;$B368,'5) Release_Track'!$F:$F&amp;'5) Release_Track'!$G:$G,1,0))),vlookup($A368&amp;$B368,{'5) Release_Track'!$F:$F&amp;'5) Release_Track'!$G:$G,'5) Release_Track'!$I:$I},2,0),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E368" s="116" t="str">
        <f t="array" ref="E368">ifs(and(isblank($A368),isblank($B368)),"", not(iserror(vlookup($A368&amp;$B368,'5) Release_Track'!$F:$F&amp;'5) Release_Track'!$G:$G,1,0))),vlookup($A368&amp;$B368,{'5) Release_Track'!$F:$F&amp;'5) Release_Track'!$G:$G,'5) Release_Track'!$J:$J},2,0),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F368" s="88"/>
      <c r="G368" s="92"/>
      <c r="H368" s="185"/>
      <c r="I368" s="121" t="str">
        <f t="shared" si="2"/>
        <v/>
      </c>
      <c r="J368" s="92"/>
      <c r="K368" s="92"/>
    </row>
    <row r="369">
      <c r="B369" s="97"/>
      <c r="C369" s="121" t="str">
        <f t="array" ref="C369">ifs(and(isblank($A369),isblank($B369)),"", not(iserror(vlookup($A369&amp;$B369,'5) Release_Track'!$F:$F&amp;'5) Release_Track'!$G:$G,1,0))),vlookup($A369&amp;$B369,{'5) Release_Track'!$F:$F&amp;'5) Release_Track'!$G:$G,'5) Release_Track'!$H:$H},2,0),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D369" s="121" t="str">
        <f t="array" ref="D369">ifs(and(isblank($A369),isblank($B369)),"", not(iserror(vlookup($A369&amp;$B369,'5) Release_Track'!$F:$F&amp;'5) Release_Track'!$G:$G,1,0))),vlookup($A369&amp;$B369,{'5) Release_Track'!$F:$F&amp;'5) Release_Track'!$G:$G,'5) Release_Track'!$I:$I},2,0),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E369" s="116" t="str">
        <f t="array" ref="E369">ifs(and(isblank($A369),isblank($B369)),"", not(iserror(vlookup($A369&amp;$B369,'5) Release_Track'!$F:$F&amp;'5) Release_Track'!$G:$G,1,0))),vlookup($A369&amp;$B369,{'5) Release_Track'!$F:$F&amp;'5) Release_Track'!$G:$G,'5) Release_Track'!$J:$J},2,0),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F369" s="88"/>
      <c r="G369" s="92"/>
      <c r="H369" s="185"/>
      <c r="I369" s="121" t="str">
        <f t="shared" si="2"/>
        <v/>
      </c>
      <c r="J369" s="92"/>
      <c r="K369" s="92"/>
    </row>
    <row r="370">
      <c r="B370" s="97"/>
      <c r="C370" s="121" t="str">
        <f t="array" ref="C370">ifs(and(isblank($A370),isblank($B370)),"", not(iserror(vlookup($A370&amp;$B370,'5) Release_Track'!$F:$F&amp;'5) Release_Track'!$G:$G,1,0))),vlookup($A370&amp;$B370,{'5) Release_Track'!$F:$F&amp;'5) Release_Track'!$G:$G,'5) Release_Track'!$H:$H},2,0),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D370" s="121" t="str">
        <f t="array" ref="D370">ifs(and(isblank($A370),isblank($B370)),"", not(iserror(vlookup($A370&amp;$B370,'5) Release_Track'!$F:$F&amp;'5) Release_Track'!$G:$G,1,0))),vlookup($A370&amp;$B370,{'5) Release_Track'!$F:$F&amp;'5) Release_Track'!$G:$G,'5) Release_Track'!$I:$I},2,0),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E370" s="116" t="str">
        <f t="array" ref="E370">ifs(and(isblank($A370),isblank($B370)),"", not(iserror(vlookup($A370&amp;$B370,'5) Release_Track'!$F:$F&amp;'5) Release_Track'!$G:$G,1,0))),vlookup($A370&amp;$B370,{'5) Release_Track'!$F:$F&amp;'5) Release_Track'!$G:$G,'5) Release_Track'!$J:$J},2,0),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F370" s="88"/>
      <c r="G370" s="92"/>
      <c r="H370" s="185"/>
      <c r="I370" s="121" t="str">
        <f t="shared" si="2"/>
        <v/>
      </c>
      <c r="J370" s="92"/>
      <c r="K370" s="92"/>
    </row>
    <row r="371">
      <c r="B371" s="97"/>
      <c r="C371" s="121" t="str">
        <f t="array" ref="C371">ifs(and(isblank($A371),isblank($B371)),"", not(iserror(vlookup($A371&amp;$B371,'5) Release_Track'!$F:$F&amp;'5) Release_Track'!$G:$G,1,0))),vlookup($A371&amp;$B371,{'5) Release_Track'!$F:$F&amp;'5) Release_Track'!$G:$G,'5) Release_Track'!$H:$H},2,0),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D371" s="121" t="str">
        <f t="array" ref="D371">ifs(and(isblank($A371),isblank($B371)),"", not(iserror(vlookup($A371&amp;$B371,'5) Release_Track'!$F:$F&amp;'5) Release_Track'!$G:$G,1,0))),vlookup($A371&amp;$B371,{'5) Release_Track'!$F:$F&amp;'5) Release_Track'!$G:$G,'5) Release_Track'!$I:$I},2,0),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E371" s="116" t="str">
        <f t="array" ref="E371">ifs(and(isblank($A371),isblank($B371)),"", not(iserror(vlookup($A371&amp;$B371,'5) Release_Track'!$F:$F&amp;'5) Release_Track'!$G:$G,1,0))),vlookup($A371&amp;$B371,{'5) Release_Track'!$F:$F&amp;'5) Release_Track'!$G:$G,'5) Release_Track'!$J:$J},2,0),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F371" s="88"/>
      <c r="G371" s="92"/>
      <c r="H371" s="185"/>
      <c r="I371" s="121" t="str">
        <f t="shared" si="2"/>
        <v/>
      </c>
      <c r="J371" s="92"/>
      <c r="K371" s="92"/>
    </row>
    <row r="372">
      <c r="B372" s="97"/>
      <c r="C372" s="121" t="str">
        <f t="array" ref="C372">ifs(and(isblank($A372),isblank($B372)),"", not(iserror(vlookup($A372&amp;$B372,'5) Release_Track'!$F:$F&amp;'5) Release_Track'!$G:$G,1,0))),vlookup($A372&amp;$B372,{'5) Release_Track'!$F:$F&amp;'5) Release_Track'!$G:$G,'5) Release_Track'!$H:$H},2,0),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D372" s="121" t="str">
        <f t="array" ref="D372">ifs(and(isblank($A372),isblank($B372)),"", not(iserror(vlookup($A372&amp;$B372,'5) Release_Track'!$F:$F&amp;'5) Release_Track'!$G:$G,1,0))),vlookup($A372&amp;$B372,{'5) Release_Track'!$F:$F&amp;'5) Release_Track'!$G:$G,'5) Release_Track'!$I:$I},2,0),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E372" s="116" t="str">
        <f t="array" ref="E372">ifs(and(isblank($A372),isblank($B372)),"", not(iserror(vlookup($A372&amp;$B372,'5) Release_Track'!$F:$F&amp;'5) Release_Track'!$G:$G,1,0))),vlookup($A372&amp;$B372,{'5) Release_Track'!$F:$F&amp;'5) Release_Track'!$G:$G,'5) Release_Track'!$J:$J},2,0),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F372" s="88"/>
      <c r="G372" s="92"/>
      <c r="H372" s="185"/>
      <c r="I372" s="121" t="str">
        <f t="shared" si="2"/>
        <v/>
      </c>
      <c r="J372" s="92"/>
      <c r="K372" s="92"/>
    </row>
    <row r="373">
      <c r="B373" s="97"/>
      <c r="C373" s="121" t="str">
        <f t="array" ref="C373">ifs(and(isblank($A373),isblank($B373)),"", not(iserror(vlookup($A373&amp;$B373,'5) Release_Track'!$F:$F&amp;'5) Release_Track'!$G:$G,1,0))),vlookup($A373&amp;$B373,{'5) Release_Track'!$F:$F&amp;'5) Release_Track'!$G:$G,'5) Release_Track'!$H:$H},2,0),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D373" s="121" t="str">
        <f t="array" ref="D373">ifs(and(isblank($A373),isblank($B373)),"", not(iserror(vlookup($A373&amp;$B373,'5) Release_Track'!$F:$F&amp;'5) Release_Track'!$G:$G,1,0))),vlookup($A373&amp;$B373,{'5) Release_Track'!$F:$F&amp;'5) Release_Track'!$G:$G,'5) Release_Track'!$I:$I},2,0),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E373" s="116" t="str">
        <f t="array" ref="E373">ifs(and(isblank($A373),isblank($B373)),"", not(iserror(vlookup($A373&amp;$B373,'5) Release_Track'!$F:$F&amp;'5) Release_Track'!$G:$G,1,0))),vlookup($A373&amp;$B373,{'5) Release_Track'!$F:$F&amp;'5) Release_Track'!$G:$G,'5) Release_Track'!$J:$J},2,0),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F373" s="88"/>
      <c r="G373" s="92"/>
      <c r="H373" s="185"/>
      <c r="I373" s="121" t="str">
        <f t="shared" si="2"/>
        <v/>
      </c>
      <c r="J373" s="92"/>
      <c r="K373" s="92"/>
    </row>
    <row r="374">
      <c r="B374" s="97"/>
      <c r="C374" s="121" t="str">
        <f t="array" ref="C374">ifs(and(isblank($A374),isblank($B374)),"", not(iserror(vlookup($A374&amp;$B374,'5) Release_Track'!$F:$F&amp;'5) Release_Track'!$G:$G,1,0))),vlookup($A374&amp;$B374,{'5) Release_Track'!$F:$F&amp;'5) Release_Track'!$G:$G,'5) Release_Track'!$H:$H},2,0),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D374" s="121" t="str">
        <f t="array" ref="D374">ifs(and(isblank($A374),isblank($B374)),"", not(iserror(vlookup($A374&amp;$B374,'5) Release_Track'!$F:$F&amp;'5) Release_Track'!$G:$G,1,0))),vlookup($A374&amp;$B374,{'5) Release_Track'!$F:$F&amp;'5) Release_Track'!$G:$G,'5) Release_Track'!$I:$I},2,0),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E374" s="116" t="str">
        <f t="array" ref="E374">ifs(and(isblank($A374),isblank($B374)),"", not(iserror(vlookup($A374&amp;$B374,'5) Release_Track'!$F:$F&amp;'5) Release_Track'!$G:$G,1,0))),vlookup($A374&amp;$B374,{'5) Release_Track'!$F:$F&amp;'5) Release_Track'!$G:$G,'5) Release_Track'!$J:$J},2,0),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F374" s="88"/>
      <c r="G374" s="92"/>
      <c r="H374" s="185"/>
      <c r="I374" s="121" t="str">
        <f t="shared" si="2"/>
        <v/>
      </c>
      <c r="J374" s="92"/>
      <c r="K374" s="92"/>
    </row>
    <row r="375">
      <c r="B375" s="97"/>
      <c r="C375" s="121" t="str">
        <f t="array" ref="C375">ifs(and(isblank($A375),isblank($B375)),"", not(iserror(vlookup($A375&amp;$B375,'5) Release_Track'!$F:$F&amp;'5) Release_Track'!$G:$G,1,0))),vlookup($A375&amp;$B375,{'5) Release_Track'!$F:$F&amp;'5) Release_Track'!$G:$G,'5) Release_Track'!$H:$H},2,0),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D375" s="121" t="str">
        <f t="array" ref="D375">ifs(and(isblank($A375),isblank($B375)),"", not(iserror(vlookup($A375&amp;$B375,'5) Release_Track'!$F:$F&amp;'5) Release_Track'!$G:$G,1,0))),vlookup($A375&amp;$B375,{'5) Release_Track'!$F:$F&amp;'5) Release_Track'!$G:$G,'5) Release_Track'!$I:$I},2,0),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E375" s="116" t="str">
        <f t="array" ref="E375">ifs(and(isblank($A375),isblank($B375)),"", not(iserror(vlookup($A375&amp;$B375,'5) Release_Track'!$F:$F&amp;'5) Release_Track'!$G:$G,1,0))),vlookup($A375&amp;$B375,{'5) Release_Track'!$F:$F&amp;'5) Release_Track'!$G:$G,'5) Release_Track'!$J:$J},2,0),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F375" s="88"/>
      <c r="G375" s="92"/>
      <c r="H375" s="185"/>
      <c r="I375" s="121" t="str">
        <f t="shared" si="2"/>
        <v/>
      </c>
      <c r="J375" s="92"/>
      <c r="K375" s="92"/>
    </row>
    <row r="376">
      <c r="B376" s="97"/>
      <c r="C376" s="121" t="str">
        <f t="array" ref="C376">ifs(and(isblank($A376),isblank($B376)),"", not(iserror(vlookup($A376&amp;$B376,'5) Release_Track'!$F:$F&amp;'5) Release_Track'!$G:$G,1,0))),vlookup($A376&amp;$B376,{'5) Release_Track'!$F:$F&amp;'5) Release_Track'!$G:$G,'5) Release_Track'!$H:$H},2,0),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D376" s="121" t="str">
        <f t="array" ref="D376">ifs(and(isblank($A376),isblank($B376)),"", not(iserror(vlookup($A376&amp;$B376,'5) Release_Track'!$F:$F&amp;'5) Release_Track'!$G:$G,1,0))),vlookup($A376&amp;$B376,{'5) Release_Track'!$F:$F&amp;'5) Release_Track'!$G:$G,'5) Release_Track'!$I:$I},2,0),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E376" s="116" t="str">
        <f t="array" ref="E376">ifs(and(isblank($A376),isblank($B376)),"", not(iserror(vlookup($A376&amp;$B376,'5) Release_Track'!$F:$F&amp;'5) Release_Track'!$G:$G,1,0))),vlookup($A376&amp;$B376,{'5) Release_Track'!$F:$F&amp;'5) Release_Track'!$G:$G,'5) Release_Track'!$J:$J},2,0),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F376" s="88"/>
      <c r="G376" s="92"/>
      <c r="H376" s="185"/>
      <c r="I376" s="121" t="str">
        <f t="shared" si="2"/>
        <v/>
      </c>
      <c r="J376" s="92"/>
      <c r="K376" s="92"/>
    </row>
    <row r="377">
      <c r="B377" s="97"/>
      <c r="C377" s="121" t="str">
        <f t="array" ref="C377">ifs(and(isblank($A377),isblank($B377)),"", not(iserror(vlookup($A377&amp;$B377,'5) Release_Track'!$F:$F&amp;'5) Release_Track'!$G:$G,1,0))),vlookup($A377&amp;$B377,{'5) Release_Track'!$F:$F&amp;'5) Release_Track'!$G:$G,'5) Release_Track'!$H:$H},2,0),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D377" s="121" t="str">
        <f t="array" ref="D377">ifs(and(isblank($A377),isblank($B377)),"", not(iserror(vlookup($A377&amp;$B377,'5) Release_Track'!$F:$F&amp;'5) Release_Track'!$G:$G,1,0))),vlookup($A377&amp;$B377,{'5) Release_Track'!$F:$F&amp;'5) Release_Track'!$G:$G,'5) Release_Track'!$I:$I},2,0),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E377" s="116" t="str">
        <f t="array" ref="E377">ifs(and(isblank($A377),isblank($B377)),"", not(iserror(vlookup($A377&amp;$B377,'5) Release_Track'!$F:$F&amp;'5) Release_Track'!$G:$G,1,0))),vlookup($A377&amp;$B377,{'5) Release_Track'!$F:$F&amp;'5) Release_Track'!$G:$G,'5) Release_Track'!$J:$J},2,0),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F377" s="88"/>
      <c r="G377" s="92"/>
      <c r="H377" s="185"/>
      <c r="I377" s="121" t="str">
        <f t="shared" si="2"/>
        <v/>
      </c>
      <c r="J377" s="92"/>
      <c r="K377" s="92"/>
    </row>
    <row r="378">
      <c r="B378" s="97"/>
      <c r="C378" s="121" t="str">
        <f t="array" ref="C378">ifs(and(isblank($A378),isblank($B378)),"", not(iserror(vlookup($A378&amp;$B378,'5) Release_Track'!$F:$F&amp;'5) Release_Track'!$G:$G,1,0))),vlookup($A378&amp;$B378,{'5) Release_Track'!$F:$F&amp;'5) Release_Track'!$G:$G,'5) Release_Track'!$H:$H},2,0),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D378" s="121" t="str">
        <f t="array" ref="D378">ifs(and(isblank($A378),isblank($B378)),"", not(iserror(vlookup($A378&amp;$B378,'5) Release_Track'!$F:$F&amp;'5) Release_Track'!$G:$G,1,0))),vlookup($A378&amp;$B378,{'5) Release_Track'!$F:$F&amp;'5) Release_Track'!$G:$G,'5) Release_Track'!$I:$I},2,0),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E378" s="116" t="str">
        <f t="array" ref="E378">ifs(and(isblank($A378),isblank($B378)),"", not(iserror(vlookup($A378&amp;$B378,'5) Release_Track'!$F:$F&amp;'5) Release_Track'!$G:$G,1,0))),vlookup($A378&amp;$B378,{'5) Release_Track'!$F:$F&amp;'5) Release_Track'!$G:$G,'5) Release_Track'!$J:$J},2,0),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F378" s="88"/>
      <c r="G378" s="92"/>
      <c r="H378" s="185"/>
      <c r="I378" s="121" t="str">
        <f t="shared" si="2"/>
        <v/>
      </c>
      <c r="J378" s="92"/>
      <c r="K378" s="92"/>
    </row>
    <row r="379">
      <c r="B379" s="97"/>
      <c r="C379" s="121" t="str">
        <f t="array" ref="C379">ifs(and(isblank($A379),isblank($B379)),"", not(iserror(vlookup($A379&amp;$B379,'5) Release_Track'!$F:$F&amp;'5) Release_Track'!$G:$G,1,0))),vlookup($A379&amp;$B379,{'5) Release_Track'!$F:$F&amp;'5) Release_Track'!$G:$G,'5) Release_Track'!$H:$H},2,0),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D379" s="121" t="str">
        <f t="array" ref="D379">ifs(and(isblank($A379),isblank($B379)),"", not(iserror(vlookup($A379&amp;$B379,'5) Release_Track'!$F:$F&amp;'5) Release_Track'!$G:$G,1,0))),vlookup($A379&amp;$B379,{'5) Release_Track'!$F:$F&amp;'5) Release_Track'!$G:$G,'5) Release_Track'!$I:$I},2,0),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E379" s="116" t="str">
        <f t="array" ref="E379">ifs(and(isblank($A379),isblank($B379)),"", not(iserror(vlookup($A379&amp;$B379,'5) Release_Track'!$F:$F&amp;'5) Release_Track'!$G:$G,1,0))),vlookup($A379&amp;$B379,{'5) Release_Track'!$F:$F&amp;'5) Release_Track'!$G:$G,'5) Release_Track'!$J:$J},2,0),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F379" s="88"/>
      <c r="G379" s="92"/>
      <c r="H379" s="185"/>
      <c r="I379" s="121" t="str">
        <f t="shared" si="2"/>
        <v/>
      </c>
      <c r="J379" s="92"/>
      <c r="K379" s="92"/>
    </row>
    <row r="380">
      <c r="B380" s="97"/>
      <c r="C380" s="121" t="str">
        <f t="array" ref="C380">ifs(and(isblank($A380),isblank($B380)),"", not(iserror(vlookup($A380&amp;$B380,'5) Release_Track'!$F:$F&amp;'5) Release_Track'!$G:$G,1,0))),vlookup($A380&amp;$B380,{'5) Release_Track'!$F:$F&amp;'5) Release_Track'!$G:$G,'5) Release_Track'!$H:$H},2,0),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D380" s="121" t="str">
        <f t="array" ref="D380">ifs(and(isblank($A380),isblank($B380)),"", not(iserror(vlookup($A380&amp;$B380,'5) Release_Track'!$F:$F&amp;'5) Release_Track'!$G:$G,1,0))),vlookup($A380&amp;$B380,{'5) Release_Track'!$F:$F&amp;'5) Release_Track'!$G:$G,'5) Release_Track'!$I:$I},2,0),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E380" s="116" t="str">
        <f t="array" ref="E380">ifs(and(isblank($A380),isblank($B380)),"", not(iserror(vlookup($A380&amp;$B380,'5) Release_Track'!$F:$F&amp;'5) Release_Track'!$G:$G,1,0))),vlookup($A380&amp;$B380,{'5) Release_Track'!$F:$F&amp;'5) Release_Track'!$G:$G,'5) Release_Track'!$J:$J},2,0),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F380" s="88"/>
      <c r="G380" s="92"/>
      <c r="H380" s="185"/>
      <c r="I380" s="121" t="str">
        <f t="shared" si="2"/>
        <v/>
      </c>
      <c r="J380" s="92"/>
      <c r="K380" s="92"/>
    </row>
    <row r="381">
      <c r="B381" s="97"/>
      <c r="C381" s="121" t="str">
        <f t="array" ref="C381">ifs(and(isblank($A381),isblank($B381)),"", not(iserror(vlookup($A381&amp;$B381,'5) Release_Track'!$F:$F&amp;'5) Release_Track'!$G:$G,1,0))),vlookup($A381&amp;$B381,{'5) Release_Track'!$F:$F&amp;'5) Release_Track'!$G:$G,'5) Release_Track'!$H:$H},2,0),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D381" s="121" t="str">
        <f t="array" ref="D381">ifs(and(isblank($A381),isblank($B381)),"", not(iserror(vlookup($A381&amp;$B381,'5) Release_Track'!$F:$F&amp;'5) Release_Track'!$G:$G,1,0))),vlookup($A381&amp;$B381,{'5) Release_Track'!$F:$F&amp;'5) Release_Track'!$G:$G,'5) Release_Track'!$I:$I},2,0),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E381" s="116" t="str">
        <f t="array" ref="E381">ifs(and(isblank($A381),isblank($B381)),"", not(iserror(vlookup($A381&amp;$B381,'5) Release_Track'!$F:$F&amp;'5) Release_Track'!$G:$G,1,0))),vlookup($A381&amp;$B381,{'5) Release_Track'!$F:$F&amp;'5) Release_Track'!$G:$G,'5) Release_Track'!$J:$J},2,0),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F381" s="88"/>
      <c r="G381" s="92"/>
      <c r="H381" s="185"/>
      <c r="I381" s="121" t="str">
        <f t="shared" si="2"/>
        <v/>
      </c>
      <c r="J381" s="92"/>
      <c r="K381" s="92"/>
    </row>
    <row r="382">
      <c r="B382" s="97"/>
      <c r="C382" s="121" t="str">
        <f t="array" ref="C382">ifs(and(isblank($A382),isblank($B382)),"", not(iserror(vlookup($A382&amp;$B382,'5) Release_Track'!$F:$F&amp;'5) Release_Track'!$G:$G,1,0))),vlookup($A382&amp;$B382,{'5) Release_Track'!$F:$F&amp;'5) Release_Track'!$G:$G,'5) Release_Track'!$H:$H},2,0),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D382" s="121" t="str">
        <f t="array" ref="D382">ifs(and(isblank($A382),isblank($B382)),"", not(iserror(vlookup($A382&amp;$B382,'5) Release_Track'!$F:$F&amp;'5) Release_Track'!$G:$G,1,0))),vlookup($A382&amp;$B382,{'5) Release_Track'!$F:$F&amp;'5) Release_Track'!$G:$G,'5) Release_Track'!$I:$I},2,0),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E382" s="116" t="str">
        <f t="array" ref="E382">ifs(and(isblank($A382),isblank($B382)),"", not(iserror(vlookup($A382&amp;$B382,'5) Release_Track'!$F:$F&amp;'5) Release_Track'!$G:$G,1,0))),vlookup($A382&amp;$B382,{'5) Release_Track'!$F:$F&amp;'5) Release_Track'!$G:$G,'5) Release_Track'!$J:$J},2,0),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F382" s="88"/>
      <c r="G382" s="92"/>
      <c r="H382" s="185"/>
      <c r="I382" s="121" t="str">
        <f t="shared" si="2"/>
        <v/>
      </c>
      <c r="J382" s="92"/>
      <c r="K382" s="92"/>
    </row>
    <row r="383">
      <c r="B383" s="97"/>
      <c r="C383" s="121" t="str">
        <f t="array" ref="C383">ifs(and(isblank($A383),isblank($B383)),"", not(iserror(vlookup($A383&amp;$B383,'5) Release_Track'!$F:$F&amp;'5) Release_Track'!$G:$G,1,0))),vlookup($A383&amp;$B383,{'5) Release_Track'!$F:$F&amp;'5) Release_Track'!$G:$G,'5) Release_Track'!$H:$H},2,0),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D383" s="121" t="str">
        <f t="array" ref="D383">ifs(and(isblank($A383),isblank($B383)),"", not(iserror(vlookup($A383&amp;$B383,'5) Release_Track'!$F:$F&amp;'5) Release_Track'!$G:$G,1,0))),vlookup($A383&amp;$B383,{'5) Release_Track'!$F:$F&amp;'5) Release_Track'!$G:$G,'5) Release_Track'!$I:$I},2,0),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E383" s="116" t="str">
        <f t="array" ref="E383">ifs(and(isblank($A383),isblank($B383)),"", not(iserror(vlookup($A383&amp;$B383,'5) Release_Track'!$F:$F&amp;'5) Release_Track'!$G:$G,1,0))),vlookup($A383&amp;$B383,{'5) Release_Track'!$F:$F&amp;'5) Release_Track'!$G:$G,'5) Release_Track'!$J:$J},2,0),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F383" s="88"/>
      <c r="G383" s="92"/>
      <c r="H383" s="185"/>
      <c r="I383" s="121" t="str">
        <f t="shared" si="2"/>
        <v/>
      </c>
      <c r="J383" s="92"/>
      <c r="K383" s="92"/>
    </row>
    <row r="384">
      <c r="B384" s="97"/>
      <c r="C384" s="121" t="str">
        <f t="array" ref="C384">ifs(and(isblank($A384),isblank($B384)),"", not(iserror(vlookup($A384&amp;$B384,'5) Release_Track'!$F:$F&amp;'5) Release_Track'!$G:$G,1,0))),vlookup($A384&amp;$B384,{'5) Release_Track'!$F:$F&amp;'5) Release_Track'!$G:$G,'5) Release_Track'!$H:$H},2,0),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D384" s="121" t="str">
        <f t="array" ref="D384">ifs(and(isblank($A384),isblank($B384)),"", not(iserror(vlookup($A384&amp;$B384,'5) Release_Track'!$F:$F&amp;'5) Release_Track'!$G:$G,1,0))),vlookup($A384&amp;$B384,{'5) Release_Track'!$F:$F&amp;'5) Release_Track'!$G:$G,'5) Release_Track'!$I:$I},2,0),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E384" s="116" t="str">
        <f t="array" ref="E384">ifs(and(isblank($A384),isblank($B384)),"", not(iserror(vlookup($A384&amp;$B384,'5) Release_Track'!$F:$F&amp;'5) Release_Track'!$G:$G,1,0))),vlookup($A384&amp;$B384,{'5) Release_Track'!$F:$F&amp;'5) Release_Track'!$G:$G,'5) Release_Track'!$J:$J},2,0),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F384" s="88"/>
      <c r="G384" s="92"/>
      <c r="H384" s="185"/>
      <c r="I384" s="121" t="str">
        <f t="shared" si="2"/>
        <v/>
      </c>
      <c r="J384" s="92"/>
      <c r="K384" s="92"/>
    </row>
    <row r="385">
      <c r="B385" s="97"/>
      <c r="C385" s="121" t="str">
        <f t="array" ref="C385">ifs(and(isblank($A385),isblank($B385)),"", not(iserror(vlookup($A385&amp;$B385,'5) Release_Track'!$F:$F&amp;'5) Release_Track'!$G:$G,1,0))),vlookup($A385&amp;$B385,{'5) Release_Track'!$F:$F&amp;'5) Release_Track'!$G:$G,'5) Release_Track'!$H:$H},2,0),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D385" s="121" t="str">
        <f t="array" ref="D385">ifs(and(isblank($A385),isblank($B385)),"", not(iserror(vlookup($A385&amp;$B385,'5) Release_Track'!$F:$F&amp;'5) Release_Track'!$G:$G,1,0))),vlookup($A385&amp;$B385,{'5) Release_Track'!$F:$F&amp;'5) Release_Track'!$G:$G,'5) Release_Track'!$I:$I},2,0),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E385" s="116" t="str">
        <f t="array" ref="E385">ifs(and(isblank($A385),isblank($B385)),"", not(iserror(vlookup($A385&amp;$B385,'5) Release_Track'!$F:$F&amp;'5) Release_Track'!$G:$G,1,0))),vlookup($A385&amp;$B385,{'5) Release_Track'!$F:$F&amp;'5) Release_Track'!$G:$G,'5) Release_Track'!$J:$J},2,0),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F385" s="88"/>
      <c r="G385" s="92"/>
      <c r="H385" s="185"/>
      <c r="I385" s="121" t="str">
        <f t="shared" si="2"/>
        <v/>
      </c>
      <c r="J385" s="92"/>
      <c r="K385" s="92"/>
    </row>
    <row r="386">
      <c r="B386" s="97"/>
      <c r="C386" s="121" t="str">
        <f t="array" ref="C386">ifs(and(isblank($A386),isblank($B386)),"", not(iserror(vlookup($A386&amp;$B386,'5) Release_Track'!$F:$F&amp;'5) Release_Track'!$G:$G,1,0))),vlookup($A386&amp;$B386,{'5) Release_Track'!$F:$F&amp;'5) Release_Track'!$G:$G,'5) Release_Track'!$H:$H},2,0),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D386" s="121" t="str">
        <f t="array" ref="D386">ifs(and(isblank($A386),isblank($B386)),"", not(iserror(vlookup($A386&amp;$B386,'5) Release_Track'!$F:$F&amp;'5) Release_Track'!$G:$G,1,0))),vlookup($A386&amp;$B386,{'5) Release_Track'!$F:$F&amp;'5) Release_Track'!$G:$G,'5) Release_Track'!$I:$I},2,0),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E386" s="116" t="str">
        <f t="array" ref="E386">ifs(and(isblank($A386),isblank($B386)),"", not(iserror(vlookup($A386&amp;$B386,'5) Release_Track'!$F:$F&amp;'5) Release_Track'!$G:$G,1,0))),vlookup($A386&amp;$B386,{'5) Release_Track'!$F:$F&amp;'5) Release_Track'!$G:$G,'5) Release_Track'!$J:$J},2,0),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F386" s="88"/>
      <c r="G386" s="92"/>
      <c r="H386" s="185"/>
      <c r="I386" s="121" t="str">
        <f t="shared" si="2"/>
        <v/>
      </c>
      <c r="J386" s="92"/>
      <c r="K386" s="92"/>
    </row>
    <row r="387">
      <c r="B387" s="97"/>
      <c r="C387" s="121" t="str">
        <f t="array" ref="C387">ifs(and(isblank($A387),isblank($B387)),"", not(iserror(vlookup($A387&amp;$B387,'5) Release_Track'!$F:$F&amp;'5) Release_Track'!$G:$G,1,0))),vlookup($A387&amp;$B387,{'5) Release_Track'!$F:$F&amp;'5) Release_Track'!$G:$G,'5) Release_Track'!$H:$H},2,0),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D387" s="121" t="str">
        <f t="array" ref="D387">ifs(and(isblank($A387),isblank($B387)),"", not(iserror(vlookup($A387&amp;$B387,'5) Release_Track'!$F:$F&amp;'5) Release_Track'!$G:$G,1,0))),vlookup($A387&amp;$B387,{'5) Release_Track'!$F:$F&amp;'5) Release_Track'!$G:$G,'5) Release_Track'!$I:$I},2,0),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E387" s="116" t="str">
        <f t="array" ref="E387">ifs(and(isblank($A387),isblank($B387)),"", not(iserror(vlookup($A387&amp;$B387,'5) Release_Track'!$F:$F&amp;'5) Release_Track'!$G:$G,1,0))),vlookup($A387&amp;$B387,{'5) Release_Track'!$F:$F&amp;'5) Release_Track'!$G:$G,'5) Release_Track'!$J:$J},2,0),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F387" s="88"/>
      <c r="G387" s="92"/>
      <c r="H387" s="185"/>
      <c r="I387" s="121" t="str">
        <f t="shared" si="2"/>
        <v/>
      </c>
      <c r="J387" s="92"/>
      <c r="K387" s="92"/>
    </row>
    <row r="388">
      <c r="B388" s="97"/>
      <c r="C388" s="121" t="str">
        <f t="array" ref="C388">ifs(and(isblank($A388),isblank($B388)),"", not(iserror(vlookup($A388&amp;$B388,'5) Release_Track'!$F:$F&amp;'5) Release_Track'!$G:$G,1,0))),vlookup($A388&amp;$B388,{'5) Release_Track'!$F:$F&amp;'5) Release_Track'!$G:$G,'5) Release_Track'!$H:$H},2,0),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D388" s="121" t="str">
        <f t="array" ref="D388">ifs(and(isblank($A388),isblank($B388)),"", not(iserror(vlookup($A388&amp;$B388,'5) Release_Track'!$F:$F&amp;'5) Release_Track'!$G:$G,1,0))),vlookup($A388&amp;$B388,{'5) Release_Track'!$F:$F&amp;'5) Release_Track'!$G:$G,'5) Release_Track'!$I:$I},2,0),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E388" s="116" t="str">
        <f t="array" ref="E388">ifs(and(isblank($A388),isblank($B388)),"", not(iserror(vlookup($A388&amp;$B388,'5) Release_Track'!$F:$F&amp;'5) Release_Track'!$G:$G,1,0))),vlookup($A388&amp;$B388,{'5) Release_Track'!$F:$F&amp;'5) Release_Track'!$G:$G,'5) Release_Track'!$J:$J},2,0),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F388" s="88"/>
      <c r="G388" s="92"/>
      <c r="H388" s="185"/>
      <c r="I388" s="121" t="str">
        <f t="shared" si="2"/>
        <v/>
      </c>
      <c r="J388" s="92"/>
      <c r="K388" s="92"/>
    </row>
    <row r="389">
      <c r="B389" s="97"/>
      <c r="C389" s="121" t="str">
        <f t="array" ref="C389">ifs(and(isblank($A389),isblank($B389)),"", not(iserror(vlookup($A389&amp;$B389,'5) Release_Track'!$F:$F&amp;'5) Release_Track'!$G:$G,1,0))),vlookup($A389&amp;$B389,{'5) Release_Track'!$F:$F&amp;'5) Release_Track'!$G:$G,'5) Release_Track'!$H:$H},2,0),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D389" s="121" t="str">
        <f t="array" ref="D389">ifs(and(isblank($A389),isblank($B389)),"", not(iserror(vlookup($A389&amp;$B389,'5) Release_Track'!$F:$F&amp;'5) Release_Track'!$G:$G,1,0))),vlookup($A389&amp;$B389,{'5) Release_Track'!$F:$F&amp;'5) Release_Track'!$G:$G,'5) Release_Track'!$I:$I},2,0),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E389" s="116" t="str">
        <f t="array" ref="E389">ifs(and(isblank($A389),isblank($B389)),"", not(iserror(vlookup($A389&amp;$B389,'5) Release_Track'!$F:$F&amp;'5) Release_Track'!$G:$G,1,0))),vlookup($A389&amp;$B389,{'5) Release_Track'!$F:$F&amp;'5) Release_Track'!$G:$G,'5) Release_Track'!$J:$J},2,0),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F389" s="88"/>
      <c r="G389" s="92"/>
      <c r="H389" s="185"/>
      <c r="I389" s="121" t="str">
        <f t="shared" si="2"/>
        <v/>
      </c>
      <c r="J389" s="92"/>
      <c r="K389" s="92"/>
    </row>
    <row r="390">
      <c r="B390" s="97"/>
      <c r="C390" s="121" t="str">
        <f t="array" ref="C390">ifs(and(isblank($A390),isblank($B390)),"", not(iserror(vlookup($A390&amp;$B390,'5) Release_Track'!$F:$F&amp;'5) Release_Track'!$G:$G,1,0))),vlookup($A390&amp;$B390,{'5) Release_Track'!$F:$F&amp;'5) Release_Track'!$G:$G,'5) Release_Track'!$H:$H},2,0),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D390" s="121" t="str">
        <f t="array" ref="D390">ifs(and(isblank($A390),isblank($B390)),"", not(iserror(vlookup($A390&amp;$B390,'5) Release_Track'!$F:$F&amp;'5) Release_Track'!$G:$G,1,0))),vlookup($A390&amp;$B390,{'5) Release_Track'!$F:$F&amp;'5) Release_Track'!$G:$G,'5) Release_Track'!$I:$I},2,0),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E390" s="116" t="str">
        <f t="array" ref="E390">ifs(and(isblank($A390),isblank($B390)),"", not(iserror(vlookup($A390&amp;$B390,'5) Release_Track'!$F:$F&amp;'5) Release_Track'!$G:$G,1,0))),vlookup($A390&amp;$B390,{'5) Release_Track'!$F:$F&amp;'5) Release_Track'!$G:$G,'5) Release_Track'!$J:$J},2,0),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F390" s="88"/>
      <c r="G390" s="92"/>
      <c r="H390" s="185"/>
      <c r="I390" s="121" t="str">
        <f t="shared" si="2"/>
        <v/>
      </c>
      <c r="J390" s="92"/>
      <c r="K390" s="92"/>
    </row>
    <row r="391">
      <c r="B391" s="97"/>
      <c r="C391" s="121" t="str">
        <f t="array" ref="C391">ifs(and(isblank($A391),isblank($B391)),"", not(iserror(vlookup($A391&amp;$B391,'5) Release_Track'!$F:$F&amp;'5) Release_Track'!$G:$G,1,0))),vlookup($A391&amp;$B391,{'5) Release_Track'!$F:$F&amp;'5) Release_Track'!$G:$G,'5) Release_Track'!$H:$H},2,0),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D391" s="121" t="str">
        <f t="array" ref="D391">ifs(and(isblank($A391),isblank($B391)),"", not(iserror(vlookup($A391&amp;$B391,'5) Release_Track'!$F:$F&amp;'5) Release_Track'!$G:$G,1,0))),vlookup($A391&amp;$B391,{'5) Release_Track'!$F:$F&amp;'5) Release_Track'!$G:$G,'5) Release_Track'!$I:$I},2,0),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E391" s="116" t="str">
        <f t="array" ref="E391">ifs(and(isblank($A391),isblank($B391)),"", not(iserror(vlookup($A391&amp;$B391,'5) Release_Track'!$F:$F&amp;'5) Release_Track'!$G:$G,1,0))),vlookup($A391&amp;$B391,{'5) Release_Track'!$F:$F&amp;'5) Release_Track'!$G:$G,'5) Release_Track'!$J:$J},2,0),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F391" s="88"/>
      <c r="G391" s="92"/>
      <c r="H391" s="185"/>
      <c r="I391" s="121" t="str">
        <f t="shared" si="2"/>
        <v/>
      </c>
      <c r="J391" s="92"/>
      <c r="K391" s="92"/>
    </row>
    <row r="392">
      <c r="B392" s="97"/>
      <c r="C392" s="121" t="str">
        <f t="array" ref="C392">ifs(and(isblank($A392),isblank($B392)),"", not(iserror(vlookup($A392&amp;$B392,'5) Release_Track'!$F:$F&amp;'5) Release_Track'!$G:$G,1,0))),vlookup($A392&amp;$B392,{'5) Release_Track'!$F:$F&amp;'5) Release_Track'!$G:$G,'5) Release_Track'!$H:$H},2,0),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D392" s="121" t="str">
        <f t="array" ref="D392">ifs(and(isblank($A392),isblank($B392)),"", not(iserror(vlookup($A392&amp;$B392,'5) Release_Track'!$F:$F&amp;'5) Release_Track'!$G:$G,1,0))),vlookup($A392&amp;$B392,{'5) Release_Track'!$F:$F&amp;'5) Release_Track'!$G:$G,'5) Release_Track'!$I:$I},2,0),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E392" s="116" t="str">
        <f t="array" ref="E392">ifs(and(isblank($A392),isblank($B392)),"", not(iserror(vlookup($A392&amp;$B392,'5) Release_Track'!$F:$F&amp;'5) Release_Track'!$G:$G,1,0))),vlookup($A392&amp;$B392,{'5) Release_Track'!$F:$F&amp;'5) Release_Track'!$G:$G,'5) Release_Track'!$J:$J},2,0),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F392" s="88"/>
      <c r="G392" s="92"/>
      <c r="H392" s="185"/>
      <c r="I392" s="121" t="str">
        <f t="shared" si="2"/>
        <v/>
      </c>
      <c r="J392" s="92"/>
      <c r="K392" s="92"/>
    </row>
    <row r="393">
      <c r="B393" s="97"/>
      <c r="C393" s="121" t="str">
        <f t="array" ref="C393">ifs(and(isblank($A393),isblank($B393)),"", not(iserror(vlookup($A393&amp;$B393,'5) Release_Track'!$F:$F&amp;'5) Release_Track'!$G:$G,1,0))),vlookup($A393&amp;$B393,{'5) Release_Track'!$F:$F&amp;'5) Release_Track'!$G:$G,'5) Release_Track'!$H:$H},2,0),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D393" s="121" t="str">
        <f t="array" ref="D393">ifs(and(isblank($A393),isblank($B393)),"", not(iserror(vlookup($A393&amp;$B393,'5) Release_Track'!$F:$F&amp;'5) Release_Track'!$G:$G,1,0))),vlookup($A393&amp;$B393,{'5) Release_Track'!$F:$F&amp;'5) Release_Track'!$G:$G,'5) Release_Track'!$I:$I},2,0),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E393" s="116" t="str">
        <f t="array" ref="E393">ifs(and(isblank($A393),isblank($B393)),"", not(iserror(vlookup($A393&amp;$B393,'5) Release_Track'!$F:$F&amp;'5) Release_Track'!$G:$G,1,0))),vlookup($A393&amp;$B393,{'5) Release_Track'!$F:$F&amp;'5) Release_Track'!$G:$G,'5) Release_Track'!$J:$J},2,0),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F393" s="88"/>
      <c r="G393" s="92"/>
      <c r="H393" s="185"/>
      <c r="I393" s="121" t="str">
        <f t="shared" si="2"/>
        <v/>
      </c>
      <c r="J393" s="92"/>
      <c r="K393" s="92"/>
    </row>
    <row r="394">
      <c r="B394" s="97"/>
      <c r="C394" s="121" t="str">
        <f t="array" ref="C394">ifs(and(isblank($A394),isblank($B394)),"", not(iserror(vlookup($A394&amp;$B394,'5) Release_Track'!$F:$F&amp;'5) Release_Track'!$G:$G,1,0))),vlookup($A394&amp;$B394,{'5) Release_Track'!$F:$F&amp;'5) Release_Track'!$G:$G,'5) Release_Track'!$H:$H},2,0),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D394" s="121" t="str">
        <f t="array" ref="D394">ifs(and(isblank($A394),isblank($B394)),"", not(iserror(vlookup($A394&amp;$B394,'5) Release_Track'!$F:$F&amp;'5) Release_Track'!$G:$G,1,0))),vlookup($A394&amp;$B394,{'5) Release_Track'!$F:$F&amp;'5) Release_Track'!$G:$G,'5) Release_Track'!$I:$I},2,0),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E394" s="116" t="str">
        <f t="array" ref="E394">ifs(and(isblank($A394),isblank($B394)),"", not(iserror(vlookup($A394&amp;$B394,'5) Release_Track'!$F:$F&amp;'5) Release_Track'!$G:$G,1,0))),vlookup($A394&amp;$B394,{'5) Release_Track'!$F:$F&amp;'5) Release_Track'!$G:$G,'5) Release_Track'!$J:$J},2,0),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F394" s="88"/>
      <c r="G394" s="92"/>
      <c r="H394" s="185"/>
      <c r="I394" s="121" t="str">
        <f t="shared" si="2"/>
        <v/>
      </c>
      <c r="J394" s="92"/>
      <c r="K394" s="92"/>
    </row>
    <row r="395">
      <c r="B395" s="97"/>
      <c r="C395" s="121" t="str">
        <f t="array" ref="C395">ifs(and(isblank($A395),isblank($B395)),"", not(iserror(vlookup($A395&amp;$B395,'5) Release_Track'!$F:$F&amp;'5) Release_Track'!$G:$G,1,0))),vlookup($A395&amp;$B395,{'5) Release_Track'!$F:$F&amp;'5) Release_Track'!$G:$G,'5) Release_Track'!$H:$H},2,0),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D395" s="121" t="str">
        <f t="array" ref="D395">ifs(and(isblank($A395),isblank($B395)),"", not(iserror(vlookup($A395&amp;$B395,'5) Release_Track'!$F:$F&amp;'5) Release_Track'!$G:$G,1,0))),vlookup($A395&amp;$B395,{'5) Release_Track'!$F:$F&amp;'5) Release_Track'!$G:$G,'5) Release_Track'!$I:$I},2,0),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E395" s="116" t="str">
        <f t="array" ref="E395">ifs(and(isblank($A395),isblank($B395)),"", not(iserror(vlookup($A395&amp;$B395,'5) Release_Track'!$F:$F&amp;'5) Release_Track'!$G:$G,1,0))),vlookup($A395&amp;$B395,{'5) Release_Track'!$F:$F&amp;'5) Release_Track'!$G:$G,'5) Release_Track'!$J:$J},2,0),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F395" s="88"/>
      <c r="G395" s="92"/>
      <c r="H395" s="185"/>
      <c r="I395" s="121" t="str">
        <f t="shared" si="2"/>
        <v/>
      </c>
      <c r="J395" s="92"/>
      <c r="K395" s="92"/>
    </row>
    <row r="396">
      <c r="B396" s="97"/>
      <c r="C396" s="121" t="str">
        <f t="array" ref="C396">ifs(and(isblank($A396),isblank($B396)),"", not(iserror(vlookup($A396&amp;$B396,'5) Release_Track'!$F:$F&amp;'5) Release_Track'!$G:$G,1,0))),vlookup($A396&amp;$B396,{'5) Release_Track'!$F:$F&amp;'5) Release_Track'!$G:$G,'5) Release_Track'!$H:$H},2,0),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D396" s="121" t="str">
        <f t="array" ref="D396">ifs(and(isblank($A396),isblank($B396)),"", not(iserror(vlookup($A396&amp;$B396,'5) Release_Track'!$F:$F&amp;'5) Release_Track'!$G:$G,1,0))),vlookup($A396&amp;$B396,{'5) Release_Track'!$F:$F&amp;'5) Release_Track'!$G:$G,'5) Release_Track'!$I:$I},2,0),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E396" s="116" t="str">
        <f t="array" ref="E396">ifs(and(isblank($A396),isblank($B396)),"", not(iserror(vlookup($A396&amp;$B396,'5) Release_Track'!$F:$F&amp;'5) Release_Track'!$G:$G,1,0))),vlookup($A396&amp;$B396,{'5) Release_Track'!$F:$F&amp;'5) Release_Track'!$G:$G,'5) Release_Track'!$J:$J},2,0),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F396" s="88"/>
      <c r="G396" s="92"/>
      <c r="H396" s="185"/>
      <c r="I396" s="121" t="str">
        <f t="shared" si="2"/>
        <v/>
      </c>
      <c r="J396" s="92"/>
      <c r="K396" s="92"/>
    </row>
    <row r="397">
      <c r="B397" s="97"/>
      <c r="C397" s="121" t="str">
        <f t="array" ref="C397">ifs(and(isblank($A397),isblank($B397)),"", not(iserror(vlookup($A397&amp;$B397,'5) Release_Track'!$F:$F&amp;'5) Release_Track'!$G:$G,1,0))),vlookup($A397&amp;$B397,{'5) Release_Track'!$F:$F&amp;'5) Release_Track'!$G:$G,'5) Release_Track'!$H:$H},2,0),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D397" s="121" t="str">
        <f t="array" ref="D397">ifs(and(isblank($A397),isblank($B397)),"", not(iserror(vlookup($A397&amp;$B397,'5) Release_Track'!$F:$F&amp;'5) Release_Track'!$G:$G,1,0))),vlookup($A397&amp;$B397,{'5) Release_Track'!$F:$F&amp;'5) Release_Track'!$G:$G,'5) Release_Track'!$I:$I},2,0),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E397" s="116" t="str">
        <f t="array" ref="E397">ifs(and(isblank($A397),isblank($B397)),"", not(iserror(vlookup($A397&amp;$B397,'5) Release_Track'!$F:$F&amp;'5) Release_Track'!$G:$G,1,0))),vlookup($A397&amp;$B397,{'5) Release_Track'!$F:$F&amp;'5) Release_Track'!$G:$G,'5) Release_Track'!$J:$J},2,0),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F397" s="88"/>
      <c r="G397" s="92"/>
      <c r="H397" s="185"/>
      <c r="I397" s="121" t="str">
        <f t="shared" si="2"/>
        <v/>
      </c>
      <c r="J397" s="92"/>
      <c r="K397" s="92"/>
    </row>
    <row r="398">
      <c r="B398" s="97"/>
      <c r="C398" s="121" t="str">
        <f t="array" ref="C398">ifs(and(isblank($A398),isblank($B398)),"", not(iserror(vlookup($A398&amp;$B398,'5) Release_Track'!$F:$F&amp;'5) Release_Track'!$G:$G,1,0))),vlookup($A398&amp;$B398,{'5) Release_Track'!$F:$F&amp;'5) Release_Track'!$G:$G,'5) Release_Track'!$H:$H},2,0),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D398" s="121" t="str">
        <f t="array" ref="D398">ifs(and(isblank($A398),isblank($B398)),"", not(iserror(vlookup($A398&amp;$B398,'5) Release_Track'!$F:$F&amp;'5) Release_Track'!$G:$G,1,0))),vlookup($A398&amp;$B398,{'5) Release_Track'!$F:$F&amp;'5) Release_Track'!$G:$G,'5) Release_Track'!$I:$I},2,0),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E398" s="116" t="str">
        <f t="array" ref="E398">ifs(and(isblank($A398),isblank($B398)),"", not(iserror(vlookup($A398&amp;$B398,'5) Release_Track'!$F:$F&amp;'5) Release_Track'!$G:$G,1,0))),vlookup($A398&amp;$B398,{'5) Release_Track'!$F:$F&amp;'5) Release_Track'!$G:$G,'5) Release_Track'!$J:$J},2,0),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F398" s="88"/>
      <c r="G398" s="92"/>
      <c r="H398" s="185"/>
      <c r="I398" s="121" t="str">
        <f t="shared" si="2"/>
        <v/>
      </c>
      <c r="J398" s="92"/>
      <c r="K398" s="92"/>
    </row>
    <row r="399">
      <c r="B399" s="97"/>
      <c r="C399" s="121" t="str">
        <f t="array" ref="C399">ifs(and(isblank($A399),isblank($B399)),"", not(iserror(vlookup($A399&amp;$B399,'5) Release_Track'!$F:$F&amp;'5) Release_Track'!$G:$G,1,0))),vlookup($A399&amp;$B399,{'5) Release_Track'!$F:$F&amp;'5) Release_Track'!$G:$G,'5) Release_Track'!$H:$H},2,0),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D399" s="121" t="str">
        <f t="array" ref="D399">ifs(and(isblank($A399),isblank($B399)),"", not(iserror(vlookup($A399&amp;$B399,'5) Release_Track'!$F:$F&amp;'5) Release_Track'!$G:$G,1,0))),vlookup($A399&amp;$B399,{'5) Release_Track'!$F:$F&amp;'5) Release_Track'!$G:$G,'5) Release_Track'!$I:$I},2,0),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E399" s="116" t="str">
        <f t="array" ref="E399">ifs(and(isblank($A399),isblank($B399)),"", not(iserror(vlookup($A399&amp;$B399,'5) Release_Track'!$F:$F&amp;'5) Release_Track'!$G:$G,1,0))),vlookup($A399&amp;$B399,{'5) Release_Track'!$F:$F&amp;'5) Release_Track'!$G:$G,'5) Release_Track'!$J:$J},2,0),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F399" s="88"/>
      <c r="G399" s="92"/>
      <c r="H399" s="185"/>
      <c r="I399" s="121" t="str">
        <f t="shared" si="2"/>
        <v/>
      </c>
      <c r="J399" s="92"/>
      <c r="K399" s="92"/>
    </row>
    <row r="400">
      <c r="B400" s="97"/>
      <c r="C400" s="121" t="str">
        <f t="array" ref="C400">ifs(and(isblank($A400),isblank($B400)),"", not(iserror(vlookup($A400&amp;$B400,'5) Release_Track'!$F:$F&amp;'5) Release_Track'!$G:$G,1,0))),vlookup($A400&amp;$B400,{'5) Release_Track'!$F:$F&amp;'5) Release_Track'!$G:$G,'5) Release_Track'!$H:$H},2,0),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D400" s="121" t="str">
        <f t="array" ref="D400">ifs(and(isblank($A400),isblank($B400)),"", not(iserror(vlookup($A400&amp;$B400,'5) Release_Track'!$F:$F&amp;'5) Release_Track'!$G:$G,1,0))),vlookup($A400&amp;$B400,{'5) Release_Track'!$F:$F&amp;'5) Release_Track'!$G:$G,'5) Release_Track'!$I:$I},2,0),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E400" s="116" t="str">
        <f t="array" ref="E400">ifs(and(isblank($A400),isblank($B400)),"", not(iserror(vlookup($A400&amp;$B400,'5) Release_Track'!$F:$F&amp;'5) Release_Track'!$G:$G,1,0))),vlookup($A400&amp;$B400,{'5) Release_Track'!$F:$F&amp;'5) Release_Track'!$G:$G,'5) Release_Track'!$J:$J},2,0),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F400" s="88"/>
      <c r="G400" s="92"/>
      <c r="H400" s="185"/>
      <c r="I400" s="121" t="str">
        <f t="shared" si="2"/>
        <v/>
      </c>
      <c r="J400" s="92"/>
      <c r="K400" s="92"/>
    </row>
    <row r="401">
      <c r="B401" s="97"/>
      <c r="C401" s="121" t="str">
        <f t="array" ref="C401">ifs(and(isblank($A401),isblank($B401)),"", not(iserror(vlookup($A401&amp;$B401,'5) Release_Track'!$F:$F&amp;'5) Release_Track'!$G:$G,1,0))),vlookup($A401&amp;$B401,{'5) Release_Track'!$F:$F&amp;'5) Release_Track'!$G:$G,'5) Release_Track'!$H:$H},2,0),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D401" s="121" t="str">
        <f t="array" ref="D401">ifs(and(isblank($A401),isblank($B401)),"", not(iserror(vlookup($A401&amp;$B401,'5) Release_Track'!$F:$F&amp;'5) Release_Track'!$G:$G,1,0))),vlookup($A401&amp;$B401,{'5) Release_Track'!$F:$F&amp;'5) Release_Track'!$G:$G,'5) Release_Track'!$I:$I},2,0),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E401" s="116" t="str">
        <f t="array" ref="E401">ifs(and(isblank($A401),isblank($B401)),"", not(iserror(vlookup($A401&amp;$B401,'5) Release_Track'!$F:$F&amp;'5) Release_Track'!$G:$G,1,0))),vlookup($A401&amp;$B401,{'5) Release_Track'!$F:$F&amp;'5) Release_Track'!$G:$G,'5) Release_Track'!$J:$J},2,0),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F401" s="88"/>
      <c r="G401" s="92"/>
      <c r="H401" s="185"/>
      <c r="I401" s="121" t="str">
        <f t="shared" si="2"/>
        <v/>
      </c>
      <c r="J401" s="92"/>
      <c r="K401" s="92"/>
    </row>
    <row r="402">
      <c r="B402" s="97"/>
      <c r="C402" s="121" t="str">
        <f t="array" ref="C402">ifs(and(isblank($A402),isblank($B402)),"", not(iserror(vlookup($A402&amp;$B402,'5) Release_Track'!$F:$F&amp;'5) Release_Track'!$G:$G,1,0))),vlookup($A402&amp;$B402,{'5) Release_Track'!$F:$F&amp;'5) Release_Track'!$G:$G,'5) Release_Track'!$H:$H},2,0),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D402" s="121" t="str">
        <f t="array" ref="D402">ifs(and(isblank($A402),isblank($B402)),"", not(iserror(vlookup($A402&amp;$B402,'5) Release_Track'!$F:$F&amp;'5) Release_Track'!$G:$G,1,0))),vlookup($A402&amp;$B402,{'5) Release_Track'!$F:$F&amp;'5) Release_Track'!$G:$G,'5) Release_Track'!$I:$I},2,0),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E402" s="116" t="str">
        <f t="array" ref="E402">ifs(and(isblank($A402),isblank($B402)),"", not(iserror(vlookup($A402&amp;$B402,'5) Release_Track'!$F:$F&amp;'5) Release_Track'!$G:$G,1,0))),vlookup($A402&amp;$B402,{'5) Release_Track'!$F:$F&amp;'5) Release_Track'!$G:$G,'5) Release_Track'!$J:$J},2,0),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F402" s="88"/>
      <c r="G402" s="92"/>
      <c r="H402" s="185"/>
      <c r="I402" s="121" t="str">
        <f t="shared" si="2"/>
        <v/>
      </c>
      <c r="J402" s="92"/>
      <c r="K402" s="92"/>
    </row>
    <row r="403">
      <c r="B403" s="97"/>
      <c r="C403" s="121" t="str">
        <f t="array" ref="C403">ifs(and(isblank($A403),isblank($B403)),"", not(iserror(vlookup($A403&amp;$B403,'5) Release_Track'!$F:$F&amp;'5) Release_Track'!$G:$G,1,0))),vlookup($A403&amp;$B403,{'5) Release_Track'!$F:$F&amp;'5) Release_Track'!$G:$G,'5) Release_Track'!$H:$H},2,0),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D403" s="121" t="str">
        <f t="array" ref="D403">ifs(and(isblank($A403),isblank($B403)),"", not(iserror(vlookup($A403&amp;$B403,'5) Release_Track'!$F:$F&amp;'5) Release_Track'!$G:$G,1,0))),vlookup($A403&amp;$B403,{'5) Release_Track'!$F:$F&amp;'5) Release_Track'!$G:$G,'5) Release_Track'!$I:$I},2,0),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E403" s="116" t="str">
        <f t="array" ref="E403">ifs(and(isblank($A403),isblank($B403)),"", not(iserror(vlookup($A403&amp;$B403,'5) Release_Track'!$F:$F&amp;'5) Release_Track'!$G:$G,1,0))),vlookup($A403&amp;$B403,{'5) Release_Track'!$F:$F&amp;'5) Release_Track'!$G:$G,'5) Release_Track'!$J:$J},2,0),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F403" s="88"/>
      <c r="G403" s="92"/>
      <c r="H403" s="185"/>
      <c r="I403" s="121" t="str">
        <f t="shared" si="2"/>
        <v/>
      </c>
      <c r="J403" s="92"/>
      <c r="K403" s="92"/>
    </row>
    <row r="404">
      <c r="B404" s="97"/>
      <c r="C404" s="121" t="str">
        <f t="array" ref="C404">ifs(and(isblank($A404),isblank($B404)),"", not(iserror(vlookup($A404&amp;$B404,'5) Release_Track'!$F:$F&amp;'5) Release_Track'!$G:$G,1,0))),vlookup($A404&amp;$B404,{'5) Release_Track'!$F:$F&amp;'5) Release_Track'!$G:$G,'5) Release_Track'!$H:$H},2,0),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D404" s="121" t="str">
        <f t="array" ref="D404">ifs(and(isblank($A404),isblank($B404)),"", not(iserror(vlookup($A404&amp;$B404,'5) Release_Track'!$F:$F&amp;'5) Release_Track'!$G:$G,1,0))),vlookup($A404&amp;$B404,{'5) Release_Track'!$F:$F&amp;'5) Release_Track'!$G:$G,'5) Release_Track'!$I:$I},2,0),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E404" s="116" t="str">
        <f t="array" ref="E404">ifs(and(isblank($A404),isblank($B404)),"", not(iserror(vlookup($A404&amp;$B404,'5) Release_Track'!$F:$F&amp;'5) Release_Track'!$G:$G,1,0))),vlookup($A404&amp;$B404,{'5) Release_Track'!$F:$F&amp;'5) Release_Track'!$G:$G,'5) Release_Track'!$J:$J},2,0),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F404" s="88"/>
      <c r="G404" s="92"/>
      <c r="H404" s="185"/>
      <c r="I404" s="121" t="str">
        <f t="shared" si="2"/>
        <v/>
      </c>
      <c r="J404" s="92"/>
      <c r="K404" s="92"/>
    </row>
    <row r="405">
      <c r="B405" s="97"/>
      <c r="C405" s="121" t="str">
        <f t="array" ref="C405">ifs(and(isblank($A405),isblank($B405)),"", not(iserror(vlookup($A405&amp;$B405,'5) Release_Track'!$F:$F&amp;'5) Release_Track'!$G:$G,1,0))),vlookup($A405&amp;$B405,{'5) Release_Track'!$F:$F&amp;'5) Release_Track'!$G:$G,'5) Release_Track'!$H:$H},2,0),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D405" s="121" t="str">
        <f t="array" ref="D405">ifs(and(isblank($A405),isblank($B405)),"", not(iserror(vlookup($A405&amp;$B405,'5) Release_Track'!$F:$F&amp;'5) Release_Track'!$G:$G,1,0))),vlookup($A405&amp;$B405,{'5) Release_Track'!$F:$F&amp;'5) Release_Track'!$G:$G,'5) Release_Track'!$I:$I},2,0),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E405" s="116" t="str">
        <f t="array" ref="E405">ifs(and(isblank($A405),isblank($B405)),"", not(iserror(vlookup($A405&amp;$B405,'5) Release_Track'!$F:$F&amp;'5) Release_Track'!$G:$G,1,0))),vlookup($A405&amp;$B405,{'5) Release_Track'!$F:$F&amp;'5) Release_Track'!$G:$G,'5) Release_Track'!$J:$J},2,0),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F405" s="88"/>
      <c r="G405" s="92"/>
      <c r="H405" s="185"/>
      <c r="I405" s="121" t="str">
        <f t="shared" si="2"/>
        <v/>
      </c>
      <c r="J405" s="92"/>
      <c r="K405" s="92"/>
    </row>
    <row r="406">
      <c r="B406" s="97"/>
      <c r="C406" s="121" t="str">
        <f t="array" ref="C406">ifs(and(isblank($A406),isblank($B406)),"", not(iserror(vlookup($A406&amp;$B406,'5) Release_Track'!$F:$F&amp;'5) Release_Track'!$G:$G,1,0))),vlookup($A406&amp;$B406,{'5) Release_Track'!$F:$F&amp;'5) Release_Track'!$G:$G,'5) Release_Track'!$H:$H},2,0),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D406" s="121" t="str">
        <f t="array" ref="D406">ifs(and(isblank($A406),isblank($B406)),"", not(iserror(vlookup($A406&amp;$B406,'5) Release_Track'!$F:$F&amp;'5) Release_Track'!$G:$G,1,0))),vlookup($A406&amp;$B406,{'5) Release_Track'!$F:$F&amp;'5) Release_Track'!$G:$G,'5) Release_Track'!$I:$I},2,0),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E406" s="116" t="str">
        <f t="array" ref="E406">ifs(and(isblank($A406),isblank($B406)),"", not(iserror(vlookup($A406&amp;$B406,'5) Release_Track'!$F:$F&amp;'5) Release_Track'!$G:$G,1,0))),vlookup($A406&amp;$B406,{'5) Release_Track'!$F:$F&amp;'5) Release_Track'!$G:$G,'5) Release_Track'!$J:$J},2,0),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F406" s="88"/>
      <c r="G406" s="92"/>
      <c r="H406" s="185"/>
      <c r="I406" s="121" t="str">
        <f t="shared" si="2"/>
        <v/>
      </c>
      <c r="J406" s="92"/>
      <c r="K406" s="92"/>
    </row>
    <row r="407">
      <c r="B407" s="97"/>
      <c r="C407" s="121" t="str">
        <f t="array" ref="C407">ifs(and(isblank($A407),isblank($B407)),"", not(iserror(vlookup($A407&amp;$B407,'5) Release_Track'!$F:$F&amp;'5) Release_Track'!$G:$G,1,0))),vlookup($A407&amp;$B407,{'5) Release_Track'!$F:$F&amp;'5) Release_Track'!$G:$G,'5) Release_Track'!$H:$H},2,0),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D407" s="121" t="str">
        <f t="array" ref="D407">ifs(and(isblank($A407),isblank($B407)),"", not(iserror(vlookup($A407&amp;$B407,'5) Release_Track'!$F:$F&amp;'5) Release_Track'!$G:$G,1,0))),vlookup($A407&amp;$B407,{'5) Release_Track'!$F:$F&amp;'5) Release_Track'!$G:$G,'5) Release_Track'!$I:$I},2,0),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E407" s="116" t="str">
        <f t="array" ref="E407">ifs(and(isblank($A407),isblank($B407)),"", not(iserror(vlookup($A407&amp;$B407,'5) Release_Track'!$F:$F&amp;'5) Release_Track'!$G:$G,1,0))),vlookup($A407&amp;$B407,{'5) Release_Track'!$F:$F&amp;'5) Release_Track'!$G:$G,'5) Release_Track'!$J:$J},2,0),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F407" s="88"/>
      <c r="G407" s="92"/>
      <c r="H407" s="185"/>
      <c r="I407" s="121" t="str">
        <f t="shared" si="2"/>
        <v/>
      </c>
      <c r="J407" s="92"/>
      <c r="K407" s="92"/>
    </row>
    <row r="408">
      <c r="B408" s="97"/>
      <c r="C408" s="121" t="str">
        <f t="array" ref="C408">ifs(and(isblank($A408),isblank($B408)),"", not(iserror(vlookup($A408&amp;$B408,'5) Release_Track'!$F:$F&amp;'5) Release_Track'!$G:$G,1,0))),vlookup($A408&amp;$B408,{'5) Release_Track'!$F:$F&amp;'5) Release_Track'!$G:$G,'5) Release_Track'!$H:$H},2,0),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D408" s="121" t="str">
        <f t="array" ref="D408">ifs(and(isblank($A408),isblank($B408)),"", not(iserror(vlookup($A408&amp;$B408,'5) Release_Track'!$F:$F&amp;'5) Release_Track'!$G:$G,1,0))),vlookup($A408&amp;$B408,{'5) Release_Track'!$F:$F&amp;'5) Release_Track'!$G:$G,'5) Release_Track'!$I:$I},2,0),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E408" s="116" t="str">
        <f t="array" ref="E408">ifs(and(isblank($A408),isblank($B408)),"", not(iserror(vlookup($A408&amp;$B408,'5) Release_Track'!$F:$F&amp;'5) Release_Track'!$G:$G,1,0))),vlookup($A408&amp;$B408,{'5) Release_Track'!$F:$F&amp;'5) Release_Track'!$G:$G,'5) Release_Track'!$J:$J},2,0),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F408" s="88"/>
      <c r="G408" s="92"/>
      <c r="H408" s="185"/>
      <c r="I408" s="121" t="str">
        <f t="shared" si="2"/>
        <v/>
      </c>
      <c r="J408" s="92"/>
      <c r="K408" s="92"/>
    </row>
    <row r="409">
      <c r="B409" s="97"/>
      <c r="C409" s="121" t="str">
        <f t="array" ref="C409">ifs(and(isblank($A409),isblank($B409)),"", not(iserror(vlookup($A409&amp;$B409,'5) Release_Track'!$F:$F&amp;'5) Release_Track'!$G:$G,1,0))),vlookup($A409&amp;$B409,{'5) Release_Track'!$F:$F&amp;'5) Release_Track'!$G:$G,'5) Release_Track'!$H:$H},2,0),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D409" s="121" t="str">
        <f t="array" ref="D409">ifs(and(isblank($A409),isblank($B409)),"", not(iserror(vlookup($A409&amp;$B409,'5) Release_Track'!$F:$F&amp;'5) Release_Track'!$G:$G,1,0))),vlookup($A409&amp;$B409,{'5) Release_Track'!$F:$F&amp;'5) Release_Track'!$G:$G,'5) Release_Track'!$I:$I},2,0),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E409" s="116" t="str">
        <f t="array" ref="E409">ifs(and(isblank($A409),isblank($B409)),"", not(iserror(vlookup($A409&amp;$B409,'5) Release_Track'!$F:$F&amp;'5) Release_Track'!$G:$G,1,0))),vlookup($A409&amp;$B409,{'5) Release_Track'!$F:$F&amp;'5) Release_Track'!$G:$G,'5) Release_Track'!$J:$J},2,0),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F409" s="88"/>
      <c r="G409" s="92"/>
      <c r="H409" s="185"/>
      <c r="I409" s="121" t="str">
        <f t="shared" si="2"/>
        <v/>
      </c>
      <c r="J409" s="92"/>
      <c r="K409" s="92"/>
    </row>
    <row r="410">
      <c r="B410" s="97"/>
      <c r="C410" s="121" t="str">
        <f t="array" ref="C410">ifs(and(isblank($A410),isblank($B410)),"", not(iserror(vlookup($A410&amp;$B410,'5) Release_Track'!$F:$F&amp;'5) Release_Track'!$G:$G,1,0))),vlookup($A410&amp;$B410,{'5) Release_Track'!$F:$F&amp;'5) Release_Track'!$G:$G,'5) Release_Track'!$H:$H},2,0),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D410" s="121" t="str">
        <f t="array" ref="D410">ifs(and(isblank($A410),isblank($B410)),"", not(iserror(vlookup($A410&amp;$B410,'5) Release_Track'!$F:$F&amp;'5) Release_Track'!$G:$G,1,0))),vlookup($A410&amp;$B410,{'5) Release_Track'!$F:$F&amp;'5) Release_Track'!$G:$G,'5) Release_Track'!$I:$I},2,0),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E410" s="116" t="str">
        <f t="array" ref="E410">ifs(and(isblank($A410),isblank($B410)),"", not(iserror(vlookup($A410&amp;$B410,'5) Release_Track'!$F:$F&amp;'5) Release_Track'!$G:$G,1,0))),vlookup($A410&amp;$B410,{'5) Release_Track'!$F:$F&amp;'5) Release_Track'!$G:$G,'5) Release_Track'!$J:$J},2,0),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F410" s="88"/>
      <c r="G410" s="92"/>
      <c r="H410" s="185"/>
      <c r="I410" s="121" t="str">
        <f t="shared" si="2"/>
        <v/>
      </c>
      <c r="J410" s="92"/>
      <c r="K410" s="92"/>
    </row>
    <row r="411">
      <c r="B411" s="97"/>
      <c r="C411" s="121" t="str">
        <f t="array" ref="C411">ifs(and(isblank($A411),isblank($B411)),"", not(iserror(vlookup($A411&amp;$B411,'5) Release_Track'!$F:$F&amp;'5) Release_Track'!$G:$G,1,0))),vlookup($A411&amp;$B411,{'5) Release_Track'!$F:$F&amp;'5) Release_Track'!$G:$G,'5) Release_Track'!$H:$H},2,0),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D411" s="121" t="str">
        <f t="array" ref="D411">ifs(and(isblank($A411),isblank($B411)),"", not(iserror(vlookup($A411&amp;$B411,'5) Release_Track'!$F:$F&amp;'5) Release_Track'!$G:$G,1,0))),vlookup($A411&amp;$B411,{'5) Release_Track'!$F:$F&amp;'5) Release_Track'!$G:$G,'5) Release_Track'!$I:$I},2,0),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E411" s="116" t="str">
        <f t="array" ref="E411">ifs(and(isblank($A411),isblank($B411)),"", not(iserror(vlookup($A411&amp;$B411,'5) Release_Track'!$F:$F&amp;'5) Release_Track'!$G:$G,1,0))),vlookup($A411&amp;$B411,{'5) Release_Track'!$F:$F&amp;'5) Release_Track'!$G:$G,'5) Release_Track'!$J:$J},2,0),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F411" s="88"/>
      <c r="G411" s="92"/>
      <c r="H411" s="185"/>
      <c r="I411" s="121" t="str">
        <f t="shared" si="2"/>
        <v/>
      </c>
      <c r="J411" s="92"/>
      <c r="K411" s="92"/>
    </row>
    <row r="412">
      <c r="B412" s="97"/>
      <c r="C412" s="121" t="str">
        <f t="array" ref="C412">ifs(and(isblank($A412),isblank($B412)),"", not(iserror(vlookup($A412&amp;$B412,'5) Release_Track'!$F:$F&amp;'5) Release_Track'!$G:$G,1,0))),vlookup($A412&amp;$B412,{'5) Release_Track'!$F:$F&amp;'5) Release_Track'!$G:$G,'5) Release_Track'!$H:$H},2,0),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D412" s="121" t="str">
        <f t="array" ref="D412">ifs(and(isblank($A412),isblank($B412)),"", not(iserror(vlookup($A412&amp;$B412,'5) Release_Track'!$F:$F&amp;'5) Release_Track'!$G:$G,1,0))),vlookup($A412&amp;$B412,{'5) Release_Track'!$F:$F&amp;'5) Release_Track'!$G:$G,'5) Release_Track'!$I:$I},2,0),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E412" s="116" t="str">
        <f t="array" ref="E412">ifs(and(isblank($A412),isblank($B412)),"", not(iserror(vlookup($A412&amp;$B412,'5) Release_Track'!$F:$F&amp;'5) Release_Track'!$G:$G,1,0))),vlookup($A412&amp;$B412,{'5) Release_Track'!$F:$F&amp;'5) Release_Track'!$G:$G,'5) Release_Track'!$J:$J},2,0),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F412" s="88"/>
      <c r="G412" s="92"/>
      <c r="H412" s="185"/>
      <c r="I412" s="121" t="str">
        <f t="shared" si="2"/>
        <v/>
      </c>
      <c r="J412" s="92"/>
      <c r="K412" s="92"/>
    </row>
    <row r="413">
      <c r="B413" s="97"/>
      <c r="C413" s="121" t="str">
        <f t="array" ref="C413">ifs(and(isblank($A413),isblank($B413)),"", not(iserror(vlookup($A413&amp;$B413,'5) Release_Track'!$F:$F&amp;'5) Release_Track'!$G:$G,1,0))),vlookup($A413&amp;$B413,{'5) Release_Track'!$F:$F&amp;'5) Release_Track'!$G:$G,'5) Release_Track'!$H:$H},2,0),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D413" s="121" t="str">
        <f t="array" ref="D413">ifs(and(isblank($A413),isblank($B413)),"", not(iserror(vlookup($A413&amp;$B413,'5) Release_Track'!$F:$F&amp;'5) Release_Track'!$G:$G,1,0))),vlookup($A413&amp;$B413,{'5) Release_Track'!$F:$F&amp;'5) Release_Track'!$G:$G,'5) Release_Track'!$I:$I},2,0),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E413" s="116" t="str">
        <f t="array" ref="E413">ifs(and(isblank($A413),isblank($B413)),"", not(iserror(vlookup($A413&amp;$B413,'5) Release_Track'!$F:$F&amp;'5) Release_Track'!$G:$G,1,0))),vlookup($A413&amp;$B413,{'5) Release_Track'!$F:$F&amp;'5) Release_Track'!$G:$G,'5) Release_Track'!$J:$J},2,0),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F413" s="88"/>
      <c r="G413" s="92"/>
      <c r="H413" s="185"/>
      <c r="I413" s="121" t="str">
        <f t="shared" si="2"/>
        <v/>
      </c>
      <c r="J413" s="92"/>
      <c r="K413" s="92"/>
    </row>
    <row r="414">
      <c r="B414" s="97"/>
      <c r="C414" s="121" t="str">
        <f t="array" ref="C414">ifs(and(isblank($A414),isblank($B414)),"", not(iserror(vlookup($A414&amp;$B414,'5) Release_Track'!$F:$F&amp;'5) Release_Track'!$G:$G,1,0))),vlookup($A414&amp;$B414,{'5) Release_Track'!$F:$F&amp;'5) Release_Track'!$G:$G,'5) Release_Track'!$H:$H},2,0),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D414" s="121" t="str">
        <f t="array" ref="D414">ifs(and(isblank($A414),isblank($B414)),"", not(iserror(vlookup($A414&amp;$B414,'5) Release_Track'!$F:$F&amp;'5) Release_Track'!$G:$G,1,0))),vlookup($A414&amp;$B414,{'5) Release_Track'!$F:$F&amp;'5) Release_Track'!$G:$G,'5) Release_Track'!$I:$I},2,0),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E414" s="116" t="str">
        <f t="array" ref="E414">ifs(and(isblank($A414),isblank($B414)),"", not(iserror(vlookup($A414&amp;$B414,'5) Release_Track'!$F:$F&amp;'5) Release_Track'!$G:$G,1,0))),vlookup($A414&amp;$B414,{'5) Release_Track'!$F:$F&amp;'5) Release_Track'!$G:$G,'5) Release_Track'!$J:$J},2,0),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F414" s="88"/>
      <c r="G414" s="92"/>
      <c r="H414" s="185"/>
      <c r="I414" s="121" t="str">
        <f t="shared" si="2"/>
        <v/>
      </c>
      <c r="J414" s="92"/>
      <c r="K414" s="92"/>
    </row>
    <row r="415">
      <c r="B415" s="97"/>
      <c r="C415" s="121" t="str">
        <f t="array" ref="C415">ifs(and(isblank($A415),isblank($B415)),"", not(iserror(vlookup($A415&amp;$B415,'5) Release_Track'!$F:$F&amp;'5) Release_Track'!$G:$G,1,0))),vlookup($A415&amp;$B415,{'5) Release_Track'!$F:$F&amp;'5) Release_Track'!$G:$G,'5) Release_Track'!$H:$H},2,0),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D415" s="121" t="str">
        <f t="array" ref="D415">ifs(and(isblank($A415),isblank($B415)),"", not(iserror(vlookup($A415&amp;$B415,'5) Release_Track'!$F:$F&amp;'5) Release_Track'!$G:$G,1,0))),vlookup($A415&amp;$B415,{'5) Release_Track'!$F:$F&amp;'5) Release_Track'!$G:$G,'5) Release_Track'!$I:$I},2,0),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E415" s="116" t="str">
        <f t="array" ref="E415">ifs(and(isblank($A415),isblank($B415)),"", not(iserror(vlookup($A415&amp;$B415,'5) Release_Track'!$F:$F&amp;'5) Release_Track'!$G:$G,1,0))),vlookup($A415&amp;$B415,{'5) Release_Track'!$F:$F&amp;'5) Release_Track'!$G:$G,'5) Release_Track'!$J:$J},2,0),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F415" s="88"/>
      <c r="G415" s="92"/>
      <c r="H415" s="185"/>
      <c r="I415" s="121" t="str">
        <f t="shared" si="2"/>
        <v/>
      </c>
      <c r="J415" s="92"/>
      <c r="K415" s="92"/>
    </row>
    <row r="416">
      <c r="B416" s="97"/>
      <c r="C416" s="121" t="str">
        <f t="array" ref="C416">ifs(and(isblank($A416),isblank($B416)),"", not(iserror(vlookup($A416&amp;$B416,'5) Release_Track'!$F:$F&amp;'5) Release_Track'!$G:$G,1,0))),vlookup($A416&amp;$B416,{'5) Release_Track'!$F:$F&amp;'5) Release_Track'!$G:$G,'5) Release_Track'!$H:$H},2,0),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D416" s="121" t="str">
        <f t="array" ref="D416">ifs(and(isblank($A416),isblank($B416)),"", not(iserror(vlookup($A416&amp;$B416,'5) Release_Track'!$F:$F&amp;'5) Release_Track'!$G:$G,1,0))),vlookup($A416&amp;$B416,{'5) Release_Track'!$F:$F&amp;'5) Release_Track'!$G:$G,'5) Release_Track'!$I:$I},2,0),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E416" s="116" t="str">
        <f t="array" ref="E416">ifs(and(isblank($A416),isblank($B416)),"", not(iserror(vlookup($A416&amp;$B416,'5) Release_Track'!$F:$F&amp;'5) Release_Track'!$G:$G,1,0))),vlookup($A416&amp;$B416,{'5) Release_Track'!$F:$F&amp;'5) Release_Track'!$G:$G,'5) Release_Track'!$J:$J},2,0),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F416" s="88"/>
      <c r="G416" s="92"/>
      <c r="H416" s="185"/>
      <c r="I416" s="121" t="str">
        <f t="shared" si="2"/>
        <v/>
      </c>
      <c r="J416" s="92"/>
      <c r="K416" s="92"/>
    </row>
    <row r="417">
      <c r="B417" s="97"/>
      <c r="C417" s="121" t="str">
        <f t="array" ref="C417">ifs(and(isblank($A417),isblank($B417)),"", not(iserror(vlookup($A417&amp;$B417,'5) Release_Track'!$F:$F&amp;'5) Release_Track'!$G:$G,1,0))),vlookup($A417&amp;$B417,{'5) Release_Track'!$F:$F&amp;'5) Release_Track'!$G:$G,'5) Release_Track'!$H:$H},2,0),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D417" s="121" t="str">
        <f t="array" ref="D417">ifs(and(isblank($A417),isblank($B417)),"", not(iserror(vlookup($A417&amp;$B417,'5) Release_Track'!$F:$F&amp;'5) Release_Track'!$G:$G,1,0))),vlookup($A417&amp;$B417,{'5) Release_Track'!$F:$F&amp;'5) Release_Track'!$G:$G,'5) Release_Track'!$I:$I},2,0),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E417" s="116" t="str">
        <f t="array" ref="E417">ifs(and(isblank($A417),isblank($B417)),"", not(iserror(vlookup($A417&amp;$B417,'5) Release_Track'!$F:$F&amp;'5) Release_Track'!$G:$G,1,0))),vlookup($A417&amp;$B417,{'5) Release_Track'!$F:$F&amp;'5) Release_Track'!$G:$G,'5) Release_Track'!$J:$J},2,0),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F417" s="88"/>
      <c r="G417" s="92"/>
      <c r="H417" s="185"/>
      <c r="I417" s="121" t="str">
        <f t="shared" si="2"/>
        <v/>
      </c>
      <c r="J417" s="92"/>
      <c r="K417" s="92"/>
    </row>
    <row r="418">
      <c r="B418" s="97"/>
      <c r="C418" s="121" t="str">
        <f t="array" ref="C418">ifs(and(isblank($A418),isblank($B418)),"", not(iserror(vlookup($A418&amp;$B418,'5) Release_Track'!$F:$F&amp;'5) Release_Track'!$G:$G,1,0))),vlookup($A418&amp;$B418,{'5) Release_Track'!$F:$F&amp;'5) Release_Track'!$G:$G,'5) Release_Track'!$H:$H},2,0),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D418" s="121" t="str">
        <f t="array" ref="D418">ifs(and(isblank($A418),isblank($B418)),"", not(iserror(vlookup($A418&amp;$B418,'5) Release_Track'!$F:$F&amp;'5) Release_Track'!$G:$G,1,0))),vlookup($A418&amp;$B418,{'5) Release_Track'!$F:$F&amp;'5) Release_Track'!$G:$G,'5) Release_Track'!$I:$I},2,0),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E418" s="116" t="str">
        <f t="array" ref="E418">ifs(and(isblank($A418),isblank($B418)),"", not(iserror(vlookup($A418&amp;$B418,'5) Release_Track'!$F:$F&amp;'5) Release_Track'!$G:$G,1,0))),vlookup($A418&amp;$B418,{'5) Release_Track'!$F:$F&amp;'5) Release_Track'!$G:$G,'5) Release_Track'!$J:$J},2,0),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F418" s="88"/>
      <c r="G418" s="92"/>
      <c r="H418" s="185"/>
      <c r="I418" s="121" t="str">
        <f t="shared" si="2"/>
        <v/>
      </c>
      <c r="J418" s="92"/>
      <c r="K418" s="92"/>
    </row>
    <row r="419">
      <c r="B419" s="97"/>
      <c r="C419" s="121" t="str">
        <f t="array" ref="C419">ifs(and(isblank($A419),isblank($B419)),"", not(iserror(vlookup($A419&amp;$B419,'5) Release_Track'!$F:$F&amp;'5) Release_Track'!$G:$G,1,0))),vlookup($A419&amp;$B419,{'5) Release_Track'!$F:$F&amp;'5) Release_Track'!$G:$G,'5) Release_Track'!$H:$H},2,0),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D419" s="121" t="str">
        <f t="array" ref="D419">ifs(and(isblank($A419),isblank($B419)),"", not(iserror(vlookup($A419&amp;$B419,'5) Release_Track'!$F:$F&amp;'5) Release_Track'!$G:$G,1,0))),vlookup($A419&amp;$B419,{'5) Release_Track'!$F:$F&amp;'5) Release_Track'!$G:$G,'5) Release_Track'!$I:$I},2,0),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E419" s="116" t="str">
        <f t="array" ref="E419">ifs(and(isblank($A419),isblank($B419)),"", not(iserror(vlookup($A419&amp;$B419,'5) Release_Track'!$F:$F&amp;'5) Release_Track'!$G:$G,1,0))),vlookup($A419&amp;$B419,{'5) Release_Track'!$F:$F&amp;'5) Release_Track'!$G:$G,'5) Release_Track'!$J:$J},2,0),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F419" s="88"/>
      <c r="G419" s="92"/>
      <c r="H419" s="185"/>
      <c r="I419" s="121" t="str">
        <f t="shared" si="2"/>
        <v/>
      </c>
      <c r="J419" s="92"/>
      <c r="K419" s="92"/>
    </row>
    <row r="420">
      <c r="B420" s="97"/>
      <c r="C420" s="121" t="str">
        <f t="array" ref="C420">ifs(and(isblank($A420),isblank($B420)),"", not(iserror(vlookup($A420&amp;$B420,'5) Release_Track'!$F:$F&amp;'5) Release_Track'!$G:$G,1,0))),vlookup($A420&amp;$B420,{'5) Release_Track'!$F:$F&amp;'5) Release_Track'!$G:$G,'5) Release_Track'!$H:$H},2,0),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D420" s="121" t="str">
        <f t="array" ref="D420">ifs(and(isblank($A420),isblank($B420)),"", not(iserror(vlookup($A420&amp;$B420,'5) Release_Track'!$F:$F&amp;'5) Release_Track'!$G:$G,1,0))),vlookup($A420&amp;$B420,{'5) Release_Track'!$F:$F&amp;'5) Release_Track'!$G:$G,'5) Release_Track'!$I:$I},2,0),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E420" s="116" t="str">
        <f t="array" ref="E420">ifs(and(isblank($A420),isblank($B420)),"", not(iserror(vlookup($A420&amp;$B420,'5) Release_Track'!$F:$F&amp;'5) Release_Track'!$G:$G,1,0))),vlookup($A420&amp;$B420,{'5) Release_Track'!$F:$F&amp;'5) Release_Track'!$G:$G,'5) Release_Track'!$J:$J},2,0),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F420" s="88"/>
      <c r="G420" s="92"/>
      <c r="H420" s="185"/>
      <c r="I420" s="121" t="str">
        <f t="shared" si="2"/>
        <v/>
      </c>
      <c r="J420" s="92"/>
      <c r="K420" s="92"/>
    </row>
    <row r="421">
      <c r="B421" s="97"/>
      <c r="C421" s="121" t="str">
        <f t="array" ref="C421">ifs(and(isblank($A421),isblank($B421)),"", not(iserror(vlookup($A421&amp;$B421,'5) Release_Track'!$F:$F&amp;'5) Release_Track'!$G:$G,1,0))),vlookup($A421&amp;$B421,{'5) Release_Track'!$F:$F&amp;'5) Release_Track'!$G:$G,'5) Release_Track'!$H:$H},2,0),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D421" s="121" t="str">
        <f t="array" ref="D421">ifs(and(isblank($A421),isblank($B421)),"", not(iserror(vlookup($A421&amp;$B421,'5) Release_Track'!$F:$F&amp;'5) Release_Track'!$G:$G,1,0))),vlookup($A421&amp;$B421,{'5) Release_Track'!$F:$F&amp;'5) Release_Track'!$G:$G,'5) Release_Track'!$I:$I},2,0),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E421" s="116" t="str">
        <f t="array" ref="E421">ifs(and(isblank($A421),isblank($B421)),"", not(iserror(vlookup($A421&amp;$B421,'5) Release_Track'!$F:$F&amp;'5) Release_Track'!$G:$G,1,0))),vlookup($A421&amp;$B421,{'5) Release_Track'!$F:$F&amp;'5) Release_Track'!$G:$G,'5) Release_Track'!$J:$J},2,0),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F421" s="88"/>
      <c r="G421" s="92"/>
      <c r="H421" s="185"/>
      <c r="I421" s="121" t="str">
        <f t="shared" si="2"/>
        <v/>
      </c>
      <c r="J421" s="92"/>
      <c r="K421" s="92"/>
    </row>
    <row r="422">
      <c r="B422" s="97"/>
      <c r="C422" s="121" t="str">
        <f t="array" ref="C422">ifs(and(isblank($A422),isblank($B422)),"", not(iserror(vlookup($A422&amp;$B422,'5) Release_Track'!$F:$F&amp;'5) Release_Track'!$G:$G,1,0))),vlookup($A422&amp;$B422,{'5) Release_Track'!$F:$F&amp;'5) Release_Track'!$G:$G,'5) Release_Track'!$H:$H},2,0),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D422" s="121" t="str">
        <f t="array" ref="D422">ifs(and(isblank($A422),isblank($B422)),"", not(iserror(vlookup($A422&amp;$B422,'5) Release_Track'!$F:$F&amp;'5) Release_Track'!$G:$G,1,0))),vlookup($A422&amp;$B422,{'5) Release_Track'!$F:$F&amp;'5) Release_Track'!$G:$G,'5) Release_Track'!$I:$I},2,0),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E422" s="116" t="str">
        <f t="array" ref="E422">ifs(and(isblank($A422),isblank($B422)),"", not(iserror(vlookup($A422&amp;$B422,'5) Release_Track'!$F:$F&amp;'5) Release_Track'!$G:$G,1,0))),vlookup($A422&amp;$B422,{'5) Release_Track'!$F:$F&amp;'5) Release_Track'!$G:$G,'5) Release_Track'!$J:$J},2,0),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F422" s="88"/>
      <c r="G422" s="92"/>
      <c r="H422" s="185"/>
      <c r="I422" s="121" t="str">
        <f t="shared" si="2"/>
        <v/>
      </c>
      <c r="J422" s="92"/>
      <c r="K422" s="92"/>
    </row>
    <row r="423">
      <c r="B423" s="97"/>
      <c r="C423" s="121" t="str">
        <f t="array" ref="C423">ifs(and(isblank($A423),isblank($B423)),"", not(iserror(vlookup($A423&amp;$B423,'5) Release_Track'!$F:$F&amp;'5) Release_Track'!$G:$G,1,0))),vlookup($A423&amp;$B423,{'5) Release_Track'!$F:$F&amp;'5) Release_Track'!$G:$G,'5) Release_Track'!$H:$H},2,0),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D423" s="121" t="str">
        <f t="array" ref="D423">ifs(and(isblank($A423),isblank($B423)),"", not(iserror(vlookup($A423&amp;$B423,'5) Release_Track'!$F:$F&amp;'5) Release_Track'!$G:$G,1,0))),vlookup($A423&amp;$B423,{'5) Release_Track'!$F:$F&amp;'5) Release_Track'!$G:$G,'5) Release_Track'!$I:$I},2,0),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E423" s="116" t="str">
        <f t="array" ref="E423">ifs(and(isblank($A423),isblank($B423)),"", not(iserror(vlookup($A423&amp;$B423,'5) Release_Track'!$F:$F&amp;'5) Release_Track'!$G:$G,1,0))),vlookup($A423&amp;$B423,{'5) Release_Track'!$F:$F&amp;'5) Release_Track'!$G:$G,'5) Release_Track'!$J:$J},2,0),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F423" s="88"/>
      <c r="G423" s="92"/>
      <c r="H423" s="185"/>
      <c r="I423" s="121" t="str">
        <f t="shared" si="2"/>
        <v/>
      </c>
      <c r="J423" s="92"/>
      <c r="K423" s="92"/>
    </row>
    <row r="424">
      <c r="B424" s="97"/>
      <c r="C424" s="121" t="str">
        <f t="array" ref="C424">ifs(and(isblank($A424),isblank($B424)),"", not(iserror(vlookup($A424&amp;$B424,'5) Release_Track'!$F:$F&amp;'5) Release_Track'!$G:$G,1,0))),vlookup($A424&amp;$B424,{'5) Release_Track'!$F:$F&amp;'5) Release_Track'!$G:$G,'5) Release_Track'!$H:$H},2,0),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D424" s="121" t="str">
        <f t="array" ref="D424">ifs(and(isblank($A424),isblank($B424)),"", not(iserror(vlookup($A424&amp;$B424,'5) Release_Track'!$F:$F&amp;'5) Release_Track'!$G:$G,1,0))),vlookup($A424&amp;$B424,{'5) Release_Track'!$F:$F&amp;'5) Release_Track'!$G:$G,'5) Release_Track'!$I:$I},2,0),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E424" s="116" t="str">
        <f t="array" ref="E424">ifs(and(isblank($A424),isblank($B424)),"", not(iserror(vlookup($A424&amp;$B424,'5) Release_Track'!$F:$F&amp;'5) Release_Track'!$G:$G,1,0))),vlookup($A424&amp;$B424,{'5) Release_Track'!$F:$F&amp;'5) Release_Track'!$G:$G,'5) Release_Track'!$J:$J},2,0),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F424" s="88"/>
      <c r="G424" s="92"/>
      <c r="H424" s="185"/>
      <c r="I424" s="121" t="str">
        <f t="shared" si="2"/>
        <v/>
      </c>
      <c r="J424" s="92"/>
      <c r="K424" s="92"/>
    </row>
    <row r="425">
      <c r="B425" s="97"/>
      <c r="C425" s="121" t="str">
        <f t="array" ref="C425">ifs(and(isblank($A425),isblank($B425)),"", not(iserror(vlookup($A425&amp;$B425,'5) Release_Track'!$F:$F&amp;'5) Release_Track'!$G:$G,1,0))),vlookup($A425&amp;$B425,{'5) Release_Track'!$F:$F&amp;'5) Release_Track'!$G:$G,'5) Release_Track'!$H:$H},2,0),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D425" s="121" t="str">
        <f t="array" ref="D425">ifs(and(isblank($A425),isblank($B425)),"", not(iserror(vlookup($A425&amp;$B425,'5) Release_Track'!$F:$F&amp;'5) Release_Track'!$G:$G,1,0))),vlookup($A425&amp;$B425,{'5) Release_Track'!$F:$F&amp;'5) Release_Track'!$G:$G,'5) Release_Track'!$I:$I},2,0),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E425" s="116" t="str">
        <f t="array" ref="E425">ifs(and(isblank($A425),isblank($B425)),"", not(iserror(vlookup($A425&amp;$B425,'5) Release_Track'!$F:$F&amp;'5) Release_Track'!$G:$G,1,0))),vlookup($A425&amp;$B425,{'5) Release_Track'!$F:$F&amp;'5) Release_Track'!$G:$G,'5) Release_Track'!$J:$J},2,0),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F425" s="88"/>
      <c r="G425" s="92"/>
      <c r="H425" s="185"/>
      <c r="I425" s="121" t="str">
        <f t="shared" si="2"/>
        <v/>
      </c>
      <c r="J425" s="92"/>
      <c r="K425" s="92"/>
    </row>
    <row r="426">
      <c r="B426" s="97"/>
      <c r="C426" s="121" t="str">
        <f t="array" ref="C426">ifs(and(isblank($A426),isblank($B426)),"", not(iserror(vlookup($A426&amp;$B426,'5) Release_Track'!$F:$F&amp;'5) Release_Track'!$G:$G,1,0))),vlookup($A426&amp;$B426,{'5) Release_Track'!$F:$F&amp;'5) Release_Track'!$G:$G,'5) Release_Track'!$H:$H},2,0),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D426" s="121" t="str">
        <f t="array" ref="D426">ifs(and(isblank($A426),isblank($B426)),"", not(iserror(vlookup($A426&amp;$B426,'5) Release_Track'!$F:$F&amp;'5) Release_Track'!$G:$G,1,0))),vlookup($A426&amp;$B426,{'5) Release_Track'!$F:$F&amp;'5) Release_Track'!$G:$G,'5) Release_Track'!$I:$I},2,0),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E426" s="116" t="str">
        <f t="array" ref="E426">ifs(and(isblank($A426),isblank($B426)),"", not(iserror(vlookup($A426&amp;$B426,'5) Release_Track'!$F:$F&amp;'5) Release_Track'!$G:$G,1,0))),vlookup($A426&amp;$B426,{'5) Release_Track'!$F:$F&amp;'5) Release_Track'!$G:$G,'5) Release_Track'!$J:$J},2,0),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F426" s="88"/>
      <c r="G426" s="92"/>
      <c r="H426" s="185"/>
      <c r="I426" s="121" t="str">
        <f t="shared" si="2"/>
        <v/>
      </c>
      <c r="J426" s="92"/>
      <c r="K426" s="92"/>
    </row>
    <row r="427">
      <c r="B427" s="97"/>
      <c r="C427" s="121" t="str">
        <f t="array" ref="C427">ifs(and(isblank($A427),isblank($B427)),"", not(iserror(vlookup($A427&amp;$B427,'5) Release_Track'!$F:$F&amp;'5) Release_Track'!$G:$G,1,0))),vlookup($A427&amp;$B427,{'5) Release_Track'!$F:$F&amp;'5) Release_Track'!$G:$G,'5) Release_Track'!$H:$H},2,0),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D427" s="121" t="str">
        <f t="array" ref="D427">ifs(and(isblank($A427),isblank($B427)),"", not(iserror(vlookup($A427&amp;$B427,'5) Release_Track'!$F:$F&amp;'5) Release_Track'!$G:$G,1,0))),vlookup($A427&amp;$B427,{'5) Release_Track'!$F:$F&amp;'5) Release_Track'!$G:$G,'5) Release_Track'!$I:$I},2,0),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E427" s="116" t="str">
        <f t="array" ref="E427">ifs(and(isblank($A427),isblank($B427)),"", not(iserror(vlookup($A427&amp;$B427,'5) Release_Track'!$F:$F&amp;'5) Release_Track'!$G:$G,1,0))),vlookup($A427&amp;$B427,{'5) Release_Track'!$F:$F&amp;'5) Release_Track'!$G:$G,'5) Release_Track'!$J:$J},2,0),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F427" s="88"/>
      <c r="G427" s="92"/>
      <c r="H427" s="185"/>
      <c r="I427" s="121" t="str">
        <f t="shared" si="2"/>
        <v/>
      </c>
      <c r="J427" s="92"/>
      <c r="K427" s="92"/>
    </row>
    <row r="428">
      <c r="B428" s="97"/>
      <c r="C428" s="121" t="str">
        <f t="array" ref="C428">ifs(and(isblank($A428),isblank($B428)),"", not(iserror(vlookup($A428&amp;$B428,'5) Release_Track'!$F:$F&amp;'5) Release_Track'!$G:$G,1,0))),vlookup($A428&amp;$B428,{'5) Release_Track'!$F:$F&amp;'5) Release_Track'!$G:$G,'5) Release_Track'!$H:$H},2,0),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D428" s="121" t="str">
        <f t="array" ref="D428">ifs(and(isblank($A428),isblank($B428)),"", not(iserror(vlookup($A428&amp;$B428,'5) Release_Track'!$F:$F&amp;'5) Release_Track'!$G:$G,1,0))),vlookup($A428&amp;$B428,{'5) Release_Track'!$F:$F&amp;'5) Release_Track'!$G:$G,'5) Release_Track'!$I:$I},2,0),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E428" s="116" t="str">
        <f t="array" ref="E428">ifs(and(isblank($A428),isblank($B428)),"", not(iserror(vlookup($A428&amp;$B428,'5) Release_Track'!$F:$F&amp;'5) Release_Track'!$G:$G,1,0))),vlookup($A428&amp;$B428,{'5) Release_Track'!$F:$F&amp;'5) Release_Track'!$G:$G,'5) Release_Track'!$J:$J},2,0),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F428" s="88"/>
      <c r="G428" s="92"/>
      <c r="H428" s="185"/>
      <c r="I428" s="121" t="str">
        <f t="shared" si="2"/>
        <v/>
      </c>
      <c r="J428" s="92"/>
      <c r="K428" s="92"/>
    </row>
    <row r="429">
      <c r="B429" s="97"/>
      <c r="C429" s="121" t="str">
        <f t="array" ref="C429">ifs(and(isblank($A429),isblank($B429)),"", not(iserror(vlookup($A429&amp;$B429,'5) Release_Track'!$F:$F&amp;'5) Release_Track'!$G:$G,1,0))),vlookup($A429&amp;$B429,{'5) Release_Track'!$F:$F&amp;'5) Release_Track'!$G:$G,'5) Release_Track'!$H:$H},2,0),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D429" s="121" t="str">
        <f t="array" ref="D429">ifs(and(isblank($A429),isblank($B429)),"", not(iserror(vlookup($A429&amp;$B429,'5) Release_Track'!$F:$F&amp;'5) Release_Track'!$G:$G,1,0))),vlookup($A429&amp;$B429,{'5) Release_Track'!$F:$F&amp;'5) Release_Track'!$G:$G,'5) Release_Track'!$I:$I},2,0),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E429" s="116" t="str">
        <f t="array" ref="E429">ifs(and(isblank($A429),isblank($B429)),"", not(iserror(vlookup($A429&amp;$B429,'5) Release_Track'!$F:$F&amp;'5) Release_Track'!$G:$G,1,0))),vlookup($A429&amp;$B429,{'5) Release_Track'!$F:$F&amp;'5) Release_Track'!$G:$G,'5) Release_Track'!$J:$J},2,0),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F429" s="88"/>
      <c r="G429" s="92"/>
      <c r="H429" s="185"/>
      <c r="I429" s="121" t="str">
        <f t="shared" si="2"/>
        <v/>
      </c>
      <c r="J429" s="92"/>
      <c r="K429" s="92"/>
    </row>
    <row r="430">
      <c r="B430" s="97"/>
      <c r="C430" s="121" t="str">
        <f t="array" ref="C430">ifs(and(isblank($A430),isblank($B430)),"", not(iserror(vlookup($A430&amp;$B430,'5) Release_Track'!$F:$F&amp;'5) Release_Track'!$G:$G,1,0))),vlookup($A430&amp;$B430,{'5) Release_Track'!$F:$F&amp;'5) Release_Track'!$G:$G,'5) Release_Track'!$H:$H},2,0),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D430" s="121" t="str">
        <f t="array" ref="D430">ifs(and(isblank($A430),isblank($B430)),"", not(iserror(vlookup($A430&amp;$B430,'5) Release_Track'!$F:$F&amp;'5) Release_Track'!$G:$G,1,0))),vlookup($A430&amp;$B430,{'5) Release_Track'!$F:$F&amp;'5) Release_Track'!$G:$G,'5) Release_Track'!$I:$I},2,0),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E430" s="116" t="str">
        <f t="array" ref="E430">ifs(and(isblank($A430),isblank($B430)),"", not(iserror(vlookup($A430&amp;$B430,'5) Release_Track'!$F:$F&amp;'5) Release_Track'!$G:$G,1,0))),vlookup($A430&amp;$B430,{'5) Release_Track'!$F:$F&amp;'5) Release_Track'!$G:$G,'5) Release_Track'!$J:$J},2,0),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F430" s="88"/>
      <c r="G430" s="92"/>
      <c r="H430" s="185"/>
      <c r="I430" s="121" t="str">
        <f t="shared" si="2"/>
        <v/>
      </c>
      <c r="J430" s="92"/>
      <c r="K430" s="92"/>
    </row>
    <row r="431">
      <c r="B431" s="97"/>
      <c r="C431" s="121" t="str">
        <f t="array" ref="C431">ifs(and(isblank($A431),isblank($B431)),"", not(iserror(vlookup($A431&amp;$B431,'5) Release_Track'!$F:$F&amp;'5) Release_Track'!$G:$G,1,0))),vlookup($A431&amp;$B431,{'5) Release_Track'!$F:$F&amp;'5) Release_Track'!$G:$G,'5) Release_Track'!$H:$H},2,0),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D431" s="121" t="str">
        <f t="array" ref="D431">ifs(and(isblank($A431),isblank($B431)),"", not(iserror(vlookup($A431&amp;$B431,'5) Release_Track'!$F:$F&amp;'5) Release_Track'!$G:$G,1,0))),vlookup($A431&amp;$B431,{'5) Release_Track'!$F:$F&amp;'5) Release_Track'!$G:$G,'5) Release_Track'!$I:$I},2,0),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E431" s="116" t="str">
        <f t="array" ref="E431">ifs(and(isblank($A431),isblank($B431)),"", not(iserror(vlookup($A431&amp;$B431,'5) Release_Track'!$F:$F&amp;'5) Release_Track'!$G:$G,1,0))),vlookup($A431&amp;$B431,{'5) Release_Track'!$F:$F&amp;'5) Release_Track'!$G:$G,'5) Release_Track'!$J:$J},2,0),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F431" s="88"/>
      <c r="G431" s="92"/>
      <c r="H431" s="185"/>
      <c r="I431" s="121" t="str">
        <f t="shared" si="2"/>
        <v/>
      </c>
      <c r="J431" s="92"/>
      <c r="K431" s="92"/>
    </row>
    <row r="432">
      <c r="B432" s="97"/>
      <c r="C432" s="121" t="str">
        <f t="array" ref="C432">ifs(and(isblank($A432),isblank($B432)),"", not(iserror(vlookup($A432&amp;$B432,'5) Release_Track'!$F:$F&amp;'5) Release_Track'!$G:$G,1,0))),vlookup($A432&amp;$B432,{'5) Release_Track'!$F:$F&amp;'5) Release_Track'!$G:$G,'5) Release_Track'!$H:$H},2,0),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D432" s="121" t="str">
        <f t="array" ref="D432">ifs(and(isblank($A432),isblank($B432)),"", not(iserror(vlookup($A432&amp;$B432,'5) Release_Track'!$F:$F&amp;'5) Release_Track'!$G:$G,1,0))),vlookup($A432&amp;$B432,{'5) Release_Track'!$F:$F&amp;'5) Release_Track'!$G:$G,'5) Release_Track'!$I:$I},2,0),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E432" s="116" t="str">
        <f t="array" ref="E432">ifs(and(isblank($A432),isblank($B432)),"", not(iserror(vlookup($A432&amp;$B432,'5) Release_Track'!$F:$F&amp;'5) Release_Track'!$G:$G,1,0))),vlookup($A432&amp;$B432,{'5) Release_Track'!$F:$F&amp;'5) Release_Track'!$G:$G,'5) Release_Track'!$J:$J},2,0),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F432" s="88"/>
      <c r="G432" s="92"/>
      <c r="H432" s="185"/>
      <c r="I432" s="121" t="str">
        <f t="shared" si="2"/>
        <v/>
      </c>
      <c r="J432" s="92"/>
      <c r="K432" s="92"/>
    </row>
    <row r="433">
      <c r="B433" s="97"/>
      <c r="C433" s="121" t="str">
        <f t="array" ref="C433">ifs(and(isblank($A433),isblank($B433)),"", not(iserror(vlookup($A433&amp;$B433,'5) Release_Track'!$F:$F&amp;'5) Release_Track'!$G:$G,1,0))),vlookup($A433&amp;$B433,{'5) Release_Track'!$F:$F&amp;'5) Release_Track'!$G:$G,'5) Release_Track'!$H:$H},2,0),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D433" s="121" t="str">
        <f t="array" ref="D433">ifs(and(isblank($A433),isblank($B433)),"", not(iserror(vlookup($A433&amp;$B433,'5) Release_Track'!$F:$F&amp;'5) Release_Track'!$G:$G,1,0))),vlookup($A433&amp;$B433,{'5) Release_Track'!$F:$F&amp;'5) Release_Track'!$G:$G,'5) Release_Track'!$I:$I},2,0),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E433" s="116" t="str">
        <f t="array" ref="E433">ifs(and(isblank($A433),isblank($B433)),"", not(iserror(vlookup($A433&amp;$B433,'5) Release_Track'!$F:$F&amp;'5) Release_Track'!$G:$G,1,0))),vlookup($A433&amp;$B433,{'5) Release_Track'!$F:$F&amp;'5) Release_Track'!$G:$G,'5) Release_Track'!$J:$J},2,0),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F433" s="88"/>
      <c r="G433" s="92"/>
      <c r="H433" s="185"/>
      <c r="I433" s="121" t="str">
        <f t="shared" si="2"/>
        <v/>
      </c>
      <c r="J433" s="92"/>
      <c r="K433" s="92"/>
    </row>
    <row r="434">
      <c r="B434" s="97"/>
      <c r="C434" s="121" t="str">
        <f t="array" ref="C434">ifs(and(isblank($A434),isblank($B434)),"", not(iserror(vlookup($A434&amp;$B434,'5) Release_Track'!$F:$F&amp;'5) Release_Track'!$G:$G,1,0))),vlookup($A434&amp;$B434,{'5) Release_Track'!$F:$F&amp;'5) Release_Track'!$G:$G,'5) Release_Track'!$H:$H},2,0),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D434" s="121" t="str">
        <f t="array" ref="D434">ifs(and(isblank($A434),isblank($B434)),"", not(iserror(vlookup($A434&amp;$B434,'5) Release_Track'!$F:$F&amp;'5) Release_Track'!$G:$G,1,0))),vlookup($A434&amp;$B434,{'5) Release_Track'!$F:$F&amp;'5) Release_Track'!$G:$G,'5) Release_Track'!$I:$I},2,0),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E434" s="116" t="str">
        <f t="array" ref="E434">ifs(and(isblank($A434),isblank($B434)),"", not(iserror(vlookup($A434&amp;$B434,'5) Release_Track'!$F:$F&amp;'5) Release_Track'!$G:$G,1,0))),vlookup($A434&amp;$B434,{'5) Release_Track'!$F:$F&amp;'5) Release_Track'!$G:$G,'5) Release_Track'!$J:$J},2,0),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F434" s="88"/>
      <c r="G434" s="92"/>
      <c r="H434" s="185"/>
      <c r="I434" s="121" t="str">
        <f t="shared" si="2"/>
        <v/>
      </c>
      <c r="J434" s="92"/>
      <c r="K434" s="92"/>
    </row>
    <row r="435">
      <c r="B435" s="97"/>
      <c r="C435" s="121" t="str">
        <f t="array" ref="C435">ifs(and(isblank($A435),isblank($B435)),"", not(iserror(vlookup($A435&amp;$B435,'5) Release_Track'!$F:$F&amp;'5) Release_Track'!$G:$G,1,0))),vlookup($A435&amp;$B435,{'5) Release_Track'!$F:$F&amp;'5) Release_Track'!$G:$G,'5) Release_Track'!$H:$H},2,0),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D435" s="121" t="str">
        <f t="array" ref="D435">ifs(and(isblank($A435),isblank($B435)),"", not(iserror(vlookup($A435&amp;$B435,'5) Release_Track'!$F:$F&amp;'5) Release_Track'!$G:$G,1,0))),vlookup($A435&amp;$B435,{'5) Release_Track'!$F:$F&amp;'5) Release_Track'!$G:$G,'5) Release_Track'!$I:$I},2,0),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E435" s="116" t="str">
        <f t="array" ref="E435">ifs(and(isblank($A435),isblank($B435)),"", not(iserror(vlookup($A435&amp;$B435,'5) Release_Track'!$F:$F&amp;'5) Release_Track'!$G:$G,1,0))),vlookup($A435&amp;$B435,{'5) Release_Track'!$F:$F&amp;'5) Release_Track'!$G:$G,'5) Release_Track'!$J:$J},2,0),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F435" s="88"/>
      <c r="G435" s="92"/>
      <c r="H435" s="185"/>
      <c r="I435" s="121" t="str">
        <f t="shared" si="2"/>
        <v/>
      </c>
      <c r="J435" s="92"/>
      <c r="K435" s="92"/>
    </row>
    <row r="436">
      <c r="B436" s="97"/>
      <c r="C436" s="121" t="str">
        <f t="array" ref="C436">ifs(and(isblank($A436),isblank($B436)),"", not(iserror(vlookup($A436&amp;$B436,'5) Release_Track'!$F:$F&amp;'5) Release_Track'!$G:$G,1,0))),vlookup($A436&amp;$B436,{'5) Release_Track'!$F:$F&amp;'5) Release_Track'!$G:$G,'5) Release_Track'!$H:$H},2,0),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D436" s="121" t="str">
        <f t="array" ref="D436">ifs(and(isblank($A436),isblank($B436)),"", not(iserror(vlookup($A436&amp;$B436,'5) Release_Track'!$F:$F&amp;'5) Release_Track'!$G:$G,1,0))),vlookup($A436&amp;$B436,{'5) Release_Track'!$F:$F&amp;'5) Release_Track'!$G:$G,'5) Release_Track'!$I:$I},2,0),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E436" s="116" t="str">
        <f t="array" ref="E436">ifs(and(isblank($A436),isblank($B436)),"", not(iserror(vlookup($A436&amp;$B436,'5) Release_Track'!$F:$F&amp;'5) Release_Track'!$G:$G,1,0))),vlookup($A436&amp;$B436,{'5) Release_Track'!$F:$F&amp;'5) Release_Track'!$G:$G,'5) Release_Track'!$J:$J},2,0),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F436" s="88"/>
      <c r="G436" s="92"/>
      <c r="H436" s="185"/>
      <c r="I436" s="121" t="str">
        <f t="shared" si="2"/>
        <v/>
      </c>
      <c r="J436" s="92"/>
      <c r="K436" s="92"/>
    </row>
    <row r="437">
      <c r="B437" s="97"/>
      <c r="C437" s="121" t="str">
        <f t="array" ref="C437">ifs(and(isblank($A437),isblank($B437)),"", not(iserror(vlookup($A437&amp;$B437,'5) Release_Track'!$F:$F&amp;'5) Release_Track'!$G:$G,1,0))),vlookup($A437&amp;$B437,{'5) Release_Track'!$F:$F&amp;'5) Release_Track'!$G:$G,'5) Release_Track'!$H:$H},2,0),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D437" s="121" t="str">
        <f t="array" ref="D437">ifs(and(isblank($A437),isblank($B437)),"", not(iserror(vlookup($A437&amp;$B437,'5) Release_Track'!$F:$F&amp;'5) Release_Track'!$G:$G,1,0))),vlookup($A437&amp;$B437,{'5) Release_Track'!$F:$F&amp;'5) Release_Track'!$G:$G,'5) Release_Track'!$I:$I},2,0),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E437" s="116" t="str">
        <f t="array" ref="E437">ifs(and(isblank($A437),isblank($B437)),"", not(iserror(vlookup($A437&amp;$B437,'5) Release_Track'!$F:$F&amp;'5) Release_Track'!$G:$G,1,0))),vlookup($A437&amp;$B437,{'5) Release_Track'!$F:$F&amp;'5) Release_Track'!$G:$G,'5) Release_Track'!$J:$J},2,0),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F437" s="88"/>
      <c r="G437" s="92"/>
      <c r="H437" s="185"/>
      <c r="I437" s="121" t="str">
        <f t="shared" si="2"/>
        <v/>
      </c>
      <c r="J437" s="92"/>
      <c r="K437" s="92"/>
    </row>
    <row r="438">
      <c r="B438" s="97"/>
      <c r="C438" s="121" t="str">
        <f t="array" ref="C438">ifs(and(isblank($A438),isblank($B438)),"", not(iserror(vlookup($A438&amp;$B438,'5) Release_Track'!$F:$F&amp;'5) Release_Track'!$G:$G,1,0))),vlookup($A438&amp;$B438,{'5) Release_Track'!$F:$F&amp;'5) Release_Track'!$G:$G,'5) Release_Track'!$H:$H},2,0),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D438" s="121" t="str">
        <f t="array" ref="D438">ifs(and(isblank($A438),isblank($B438)),"", not(iserror(vlookup($A438&amp;$B438,'5) Release_Track'!$F:$F&amp;'5) Release_Track'!$G:$G,1,0))),vlookup($A438&amp;$B438,{'5) Release_Track'!$F:$F&amp;'5) Release_Track'!$G:$G,'5) Release_Track'!$I:$I},2,0),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E438" s="116" t="str">
        <f t="array" ref="E438">ifs(and(isblank($A438),isblank($B438)),"", not(iserror(vlookup($A438&amp;$B438,'5) Release_Track'!$F:$F&amp;'5) Release_Track'!$G:$G,1,0))),vlookup($A438&amp;$B438,{'5) Release_Track'!$F:$F&amp;'5) Release_Track'!$G:$G,'5) Release_Track'!$J:$J},2,0),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F438" s="88"/>
      <c r="G438" s="92"/>
      <c r="H438" s="185"/>
      <c r="I438" s="121" t="str">
        <f t="shared" si="2"/>
        <v/>
      </c>
      <c r="J438" s="92"/>
      <c r="K438" s="92"/>
    </row>
    <row r="439">
      <c r="B439" s="97"/>
      <c r="C439" s="121" t="str">
        <f t="array" ref="C439">ifs(and(isblank($A439),isblank($B439)),"", not(iserror(vlookup($A439&amp;$B439,'5) Release_Track'!$F:$F&amp;'5) Release_Track'!$G:$G,1,0))),vlookup($A439&amp;$B439,{'5) Release_Track'!$F:$F&amp;'5) Release_Track'!$G:$G,'5) Release_Track'!$H:$H},2,0),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D439" s="121" t="str">
        <f t="array" ref="D439">ifs(and(isblank($A439),isblank($B439)),"", not(iserror(vlookup($A439&amp;$B439,'5) Release_Track'!$F:$F&amp;'5) Release_Track'!$G:$G,1,0))),vlookup($A439&amp;$B439,{'5) Release_Track'!$F:$F&amp;'5) Release_Track'!$G:$G,'5) Release_Track'!$I:$I},2,0),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E439" s="116" t="str">
        <f t="array" ref="E439">ifs(and(isblank($A439),isblank($B439)),"", not(iserror(vlookup($A439&amp;$B439,'5) Release_Track'!$F:$F&amp;'5) Release_Track'!$G:$G,1,0))),vlookup($A439&amp;$B439,{'5) Release_Track'!$F:$F&amp;'5) Release_Track'!$G:$G,'5) Release_Track'!$J:$J},2,0),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F439" s="88"/>
      <c r="G439" s="92"/>
      <c r="H439" s="185"/>
      <c r="I439" s="121" t="str">
        <f t="shared" si="2"/>
        <v/>
      </c>
      <c r="J439" s="92"/>
      <c r="K439" s="92"/>
    </row>
    <row r="440">
      <c r="B440" s="97"/>
      <c r="C440" s="121" t="str">
        <f t="array" ref="C440">ifs(and(isblank($A440),isblank($B440)),"", not(iserror(vlookup($A440&amp;$B440,'5) Release_Track'!$F:$F&amp;'5) Release_Track'!$G:$G,1,0))),vlookup($A440&amp;$B440,{'5) Release_Track'!$F:$F&amp;'5) Release_Track'!$G:$G,'5) Release_Track'!$H:$H},2,0),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D440" s="121" t="str">
        <f t="array" ref="D440">ifs(and(isblank($A440),isblank($B440)),"", not(iserror(vlookup($A440&amp;$B440,'5) Release_Track'!$F:$F&amp;'5) Release_Track'!$G:$G,1,0))),vlookup($A440&amp;$B440,{'5) Release_Track'!$F:$F&amp;'5) Release_Track'!$G:$G,'5) Release_Track'!$I:$I},2,0),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E440" s="116" t="str">
        <f t="array" ref="E440">ifs(and(isblank($A440),isblank($B440)),"", not(iserror(vlookup($A440&amp;$B440,'5) Release_Track'!$F:$F&amp;'5) Release_Track'!$G:$G,1,0))),vlookup($A440&amp;$B440,{'5) Release_Track'!$F:$F&amp;'5) Release_Track'!$G:$G,'5) Release_Track'!$J:$J},2,0),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F440" s="88"/>
      <c r="G440" s="92"/>
      <c r="H440" s="185"/>
      <c r="I440" s="121" t="str">
        <f t="shared" si="2"/>
        <v/>
      </c>
      <c r="J440" s="92"/>
      <c r="K440" s="92"/>
    </row>
    <row r="441">
      <c r="B441" s="97"/>
      <c r="C441" s="121" t="str">
        <f t="array" ref="C441">ifs(and(isblank($A441),isblank($B441)),"", not(iserror(vlookup($A441&amp;$B441,'5) Release_Track'!$F:$F&amp;'5) Release_Track'!$G:$G,1,0))),vlookup($A441&amp;$B441,{'5) Release_Track'!$F:$F&amp;'5) Release_Track'!$G:$G,'5) Release_Track'!$H:$H},2,0),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D441" s="121" t="str">
        <f t="array" ref="D441">ifs(and(isblank($A441),isblank($B441)),"", not(iserror(vlookup($A441&amp;$B441,'5) Release_Track'!$F:$F&amp;'5) Release_Track'!$G:$G,1,0))),vlookup($A441&amp;$B441,{'5) Release_Track'!$F:$F&amp;'5) Release_Track'!$G:$G,'5) Release_Track'!$I:$I},2,0),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E441" s="116" t="str">
        <f t="array" ref="E441">ifs(and(isblank($A441),isblank($B441)),"", not(iserror(vlookup($A441&amp;$B441,'5) Release_Track'!$F:$F&amp;'5) Release_Track'!$G:$G,1,0))),vlookup($A441&amp;$B441,{'5) Release_Track'!$F:$F&amp;'5) Release_Track'!$G:$G,'5) Release_Track'!$J:$J},2,0),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F441" s="88"/>
      <c r="G441" s="92"/>
      <c r="H441" s="185"/>
      <c r="I441" s="121" t="str">
        <f t="shared" si="2"/>
        <v/>
      </c>
      <c r="J441" s="92"/>
      <c r="K441" s="92"/>
    </row>
    <row r="442">
      <c r="B442" s="97"/>
      <c r="C442" s="121" t="str">
        <f t="array" ref="C442">ifs(and(isblank($A442),isblank($B442)),"", not(iserror(vlookup($A442&amp;$B442,'5) Release_Track'!$F:$F&amp;'5) Release_Track'!$G:$G,1,0))),vlookup($A442&amp;$B442,{'5) Release_Track'!$F:$F&amp;'5) Release_Track'!$G:$G,'5) Release_Track'!$H:$H},2,0),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D442" s="121" t="str">
        <f t="array" ref="D442">ifs(and(isblank($A442),isblank($B442)),"", not(iserror(vlookup($A442&amp;$B442,'5) Release_Track'!$F:$F&amp;'5) Release_Track'!$G:$G,1,0))),vlookup($A442&amp;$B442,{'5) Release_Track'!$F:$F&amp;'5) Release_Track'!$G:$G,'5) Release_Track'!$I:$I},2,0),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E442" s="116" t="str">
        <f t="array" ref="E442">ifs(and(isblank($A442),isblank($B442)),"", not(iserror(vlookup($A442&amp;$B442,'5) Release_Track'!$F:$F&amp;'5) Release_Track'!$G:$G,1,0))),vlookup($A442&amp;$B442,{'5) Release_Track'!$F:$F&amp;'5) Release_Track'!$G:$G,'5) Release_Track'!$J:$J},2,0),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F442" s="88"/>
      <c r="G442" s="92"/>
      <c r="H442" s="185"/>
      <c r="I442" s="121" t="str">
        <f t="shared" si="2"/>
        <v/>
      </c>
      <c r="J442" s="92"/>
      <c r="K442" s="92"/>
    </row>
    <row r="443">
      <c r="B443" s="97"/>
      <c r="C443" s="121" t="str">
        <f t="array" ref="C443">ifs(and(isblank($A443),isblank($B443)),"", not(iserror(vlookup($A443&amp;$B443,'5) Release_Track'!$F:$F&amp;'5) Release_Track'!$G:$G,1,0))),vlookup($A443&amp;$B443,{'5) Release_Track'!$F:$F&amp;'5) Release_Track'!$G:$G,'5) Release_Track'!$H:$H},2,0),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D443" s="121" t="str">
        <f t="array" ref="D443">ifs(and(isblank($A443),isblank($B443)),"", not(iserror(vlookup($A443&amp;$B443,'5) Release_Track'!$F:$F&amp;'5) Release_Track'!$G:$G,1,0))),vlookup($A443&amp;$B443,{'5) Release_Track'!$F:$F&amp;'5) Release_Track'!$G:$G,'5) Release_Track'!$I:$I},2,0),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E443" s="116" t="str">
        <f t="array" ref="E443">ifs(and(isblank($A443),isblank($B443)),"", not(iserror(vlookup($A443&amp;$B443,'5) Release_Track'!$F:$F&amp;'5) Release_Track'!$G:$G,1,0))),vlookup($A443&amp;$B443,{'5) Release_Track'!$F:$F&amp;'5) Release_Track'!$G:$G,'5) Release_Track'!$J:$J},2,0),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F443" s="88"/>
      <c r="G443" s="92"/>
      <c r="H443" s="185"/>
      <c r="I443" s="121" t="str">
        <f t="shared" si="2"/>
        <v/>
      </c>
      <c r="J443" s="92"/>
      <c r="K443" s="92"/>
    </row>
    <row r="444">
      <c r="B444" s="97"/>
      <c r="C444" s="121" t="str">
        <f t="array" ref="C444">ifs(and(isblank($A444),isblank($B444)),"", not(iserror(vlookup($A444&amp;$B444,'5) Release_Track'!$F:$F&amp;'5) Release_Track'!$G:$G,1,0))),vlookup($A444&amp;$B444,{'5) Release_Track'!$F:$F&amp;'5) Release_Track'!$G:$G,'5) Release_Track'!$H:$H},2,0),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D444" s="121" t="str">
        <f t="array" ref="D444">ifs(and(isblank($A444),isblank($B444)),"", not(iserror(vlookup($A444&amp;$B444,'5) Release_Track'!$F:$F&amp;'5) Release_Track'!$G:$G,1,0))),vlookup($A444&amp;$B444,{'5) Release_Track'!$F:$F&amp;'5) Release_Track'!$G:$G,'5) Release_Track'!$I:$I},2,0),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E444" s="116" t="str">
        <f t="array" ref="E444">ifs(and(isblank($A444),isblank($B444)),"", not(iserror(vlookup($A444&amp;$B444,'5) Release_Track'!$F:$F&amp;'5) Release_Track'!$G:$G,1,0))),vlookup($A444&amp;$B444,{'5) Release_Track'!$F:$F&amp;'5) Release_Track'!$G:$G,'5) Release_Track'!$J:$J},2,0),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F444" s="88"/>
      <c r="G444" s="92"/>
      <c r="H444" s="185"/>
      <c r="I444" s="121" t="str">
        <f t="shared" si="2"/>
        <v/>
      </c>
      <c r="J444" s="92"/>
      <c r="K444" s="92"/>
    </row>
    <row r="445">
      <c r="B445" s="97"/>
      <c r="C445" s="121" t="str">
        <f t="array" ref="C445">ifs(and(isblank($A445),isblank($B445)),"", not(iserror(vlookup($A445&amp;$B445,'5) Release_Track'!$F:$F&amp;'5) Release_Track'!$G:$G,1,0))),vlookup($A445&amp;$B445,{'5) Release_Track'!$F:$F&amp;'5) Release_Track'!$G:$G,'5) Release_Track'!$H:$H},2,0),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D445" s="121" t="str">
        <f t="array" ref="D445">ifs(and(isblank($A445),isblank($B445)),"", not(iserror(vlookup($A445&amp;$B445,'5) Release_Track'!$F:$F&amp;'5) Release_Track'!$G:$G,1,0))),vlookup($A445&amp;$B445,{'5) Release_Track'!$F:$F&amp;'5) Release_Track'!$G:$G,'5) Release_Track'!$I:$I},2,0),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E445" s="116" t="str">
        <f t="array" ref="E445">ifs(and(isblank($A445),isblank($B445)),"", not(iserror(vlookup($A445&amp;$B445,'5) Release_Track'!$F:$F&amp;'5) Release_Track'!$G:$G,1,0))),vlookup($A445&amp;$B445,{'5) Release_Track'!$F:$F&amp;'5) Release_Track'!$G:$G,'5) Release_Track'!$J:$J},2,0),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F445" s="88"/>
      <c r="G445" s="92"/>
      <c r="H445" s="185"/>
      <c r="I445" s="121" t="str">
        <f t="shared" si="2"/>
        <v/>
      </c>
      <c r="J445" s="92"/>
      <c r="K445" s="92"/>
    </row>
    <row r="446">
      <c r="B446" s="97"/>
      <c r="C446" s="121" t="str">
        <f t="array" ref="C446">ifs(and(isblank($A446),isblank($B446)),"", not(iserror(vlookup($A446&amp;$B446,'5) Release_Track'!$F:$F&amp;'5) Release_Track'!$G:$G,1,0))),vlookup($A446&amp;$B446,{'5) Release_Track'!$F:$F&amp;'5) Release_Track'!$G:$G,'5) Release_Track'!$H:$H},2,0),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D446" s="121" t="str">
        <f t="array" ref="D446">ifs(and(isblank($A446),isblank($B446)),"", not(iserror(vlookup($A446&amp;$B446,'5) Release_Track'!$F:$F&amp;'5) Release_Track'!$G:$G,1,0))),vlookup($A446&amp;$B446,{'5) Release_Track'!$F:$F&amp;'5) Release_Track'!$G:$G,'5) Release_Track'!$I:$I},2,0),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E446" s="116" t="str">
        <f t="array" ref="E446">ifs(and(isblank($A446),isblank($B446)),"", not(iserror(vlookup($A446&amp;$B446,'5) Release_Track'!$F:$F&amp;'5) Release_Track'!$G:$G,1,0))),vlookup($A446&amp;$B446,{'5) Release_Track'!$F:$F&amp;'5) Release_Track'!$G:$G,'5) Release_Track'!$J:$J},2,0),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F446" s="88"/>
      <c r="G446" s="92"/>
      <c r="H446" s="185"/>
      <c r="I446" s="121" t="str">
        <f t="shared" si="2"/>
        <v/>
      </c>
      <c r="J446" s="92"/>
      <c r="K446" s="92"/>
    </row>
    <row r="447">
      <c r="B447" s="97"/>
      <c r="C447" s="121" t="str">
        <f t="array" ref="C447">ifs(and(isblank($A447),isblank($B447)),"", not(iserror(vlookup($A447&amp;$B447,'5) Release_Track'!$F:$F&amp;'5) Release_Track'!$G:$G,1,0))),vlookup($A447&amp;$B447,{'5) Release_Track'!$F:$F&amp;'5) Release_Track'!$G:$G,'5) Release_Track'!$H:$H},2,0),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D447" s="121" t="str">
        <f t="array" ref="D447">ifs(and(isblank($A447),isblank($B447)),"", not(iserror(vlookup($A447&amp;$B447,'5) Release_Track'!$F:$F&amp;'5) Release_Track'!$G:$G,1,0))),vlookup($A447&amp;$B447,{'5) Release_Track'!$F:$F&amp;'5) Release_Track'!$G:$G,'5) Release_Track'!$I:$I},2,0),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E447" s="116" t="str">
        <f t="array" ref="E447">ifs(and(isblank($A447),isblank($B447)),"", not(iserror(vlookup($A447&amp;$B447,'5) Release_Track'!$F:$F&amp;'5) Release_Track'!$G:$G,1,0))),vlookup($A447&amp;$B447,{'5) Release_Track'!$F:$F&amp;'5) Release_Track'!$G:$G,'5) Release_Track'!$J:$J},2,0),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F447" s="88"/>
      <c r="G447" s="92"/>
      <c r="H447" s="185"/>
      <c r="I447" s="121" t="str">
        <f t="shared" si="2"/>
        <v/>
      </c>
      <c r="J447" s="92"/>
      <c r="K447" s="92"/>
    </row>
    <row r="448">
      <c r="B448" s="97"/>
      <c r="C448" s="121" t="str">
        <f t="array" ref="C448">ifs(and(isblank($A448),isblank($B448)),"", not(iserror(vlookup($A448&amp;$B448,'5) Release_Track'!$F:$F&amp;'5) Release_Track'!$G:$G,1,0))),vlookup($A448&amp;$B448,{'5) Release_Track'!$F:$F&amp;'5) Release_Track'!$G:$G,'5) Release_Track'!$H:$H},2,0),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D448" s="121" t="str">
        <f t="array" ref="D448">ifs(and(isblank($A448),isblank($B448)),"", not(iserror(vlookup($A448&amp;$B448,'5) Release_Track'!$F:$F&amp;'5) Release_Track'!$G:$G,1,0))),vlookup($A448&amp;$B448,{'5) Release_Track'!$F:$F&amp;'5) Release_Track'!$G:$G,'5) Release_Track'!$I:$I},2,0),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E448" s="116" t="str">
        <f t="array" ref="E448">ifs(and(isblank($A448),isblank($B448)),"", not(iserror(vlookup($A448&amp;$B448,'5) Release_Track'!$F:$F&amp;'5) Release_Track'!$G:$G,1,0))),vlookup($A448&amp;$B448,{'5) Release_Track'!$F:$F&amp;'5) Release_Track'!$G:$G,'5) Release_Track'!$J:$J},2,0),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F448" s="88"/>
      <c r="G448" s="92"/>
      <c r="H448" s="185"/>
      <c r="I448" s="121" t="str">
        <f t="shared" si="2"/>
        <v/>
      </c>
      <c r="J448" s="92"/>
      <c r="K448" s="92"/>
    </row>
    <row r="449">
      <c r="B449" s="97"/>
      <c r="C449" s="121" t="str">
        <f t="array" ref="C449">ifs(and(isblank($A449),isblank($B449)),"", not(iserror(vlookup($A449&amp;$B449,'5) Release_Track'!$F:$F&amp;'5) Release_Track'!$G:$G,1,0))),vlookup($A449&amp;$B449,{'5) Release_Track'!$F:$F&amp;'5) Release_Track'!$G:$G,'5) Release_Track'!$H:$H},2,0),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D449" s="121" t="str">
        <f t="array" ref="D449">ifs(and(isblank($A449),isblank($B449)),"", not(iserror(vlookup($A449&amp;$B449,'5) Release_Track'!$F:$F&amp;'5) Release_Track'!$G:$G,1,0))),vlookup($A449&amp;$B449,{'5) Release_Track'!$F:$F&amp;'5) Release_Track'!$G:$G,'5) Release_Track'!$I:$I},2,0),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E449" s="116" t="str">
        <f t="array" ref="E449">ifs(and(isblank($A449),isblank($B449)),"", not(iserror(vlookup($A449&amp;$B449,'5) Release_Track'!$F:$F&amp;'5) Release_Track'!$G:$G,1,0))),vlookup($A449&amp;$B449,{'5) Release_Track'!$F:$F&amp;'5) Release_Track'!$G:$G,'5) Release_Track'!$J:$J},2,0),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F449" s="88"/>
      <c r="G449" s="92"/>
      <c r="H449" s="185"/>
      <c r="I449" s="121" t="str">
        <f t="shared" si="2"/>
        <v/>
      </c>
      <c r="J449" s="92"/>
      <c r="K449" s="92"/>
    </row>
    <row r="450">
      <c r="B450" s="97"/>
      <c r="C450" s="121" t="str">
        <f t="array" ref="C450">ifs(and(isblank($A450),isblank($B450)),"", not(iserror(vlookup($A450&amp;$B450,'5) Release_Track'!$F:$F&amp;'5) Release_Track'!$G:$G,1,0))),vlookup($A450&amp;$B450,{'5) Release_Track'!$F:$F&amp;'5) Release_Track'!$G:$G,'5) Release_Track'!$H:$H},2,0),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D450" s="121" t="str">
        <f t="array" ref="D450">ifs(and(isblank($A450),isblank($B450)),"", not(iserror(vlookup($A450&amp;$B450,'5) Release_Track'!$F:$F&amp;'5) Release_Track'!$G:$G,1,0))),vlookup($A450&amp;$B450,{'5) Release_Track'!$F:$F&amp;'5) Release_Track'!$G:$G,'5) Release_Track'!$I:$I},2,0),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E450" s="116" t="str">
        <f t="array" ref="E450">ifs(and(isblank($A450),isblank($B450)),"", not(iserror(vlookup($A450&amp;$B450,'5) Release_Track'!$F:$F&amp;'5) Release_Track'!$G:$G,1,0))),vlookup($A450&amp;$B450,{'5) Release_Track'!$F:$F&amp;'5) Release_Track'!$G:$G,'5) Release_Track'!$J:$J},2,0),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F450" s="88"/>
      <c r="G450" s="92"/>
      <c r="H450" s="185"/>
      <c r="I450" s="121" t="str">
        <f t="shared" si="2"/>
        <v/>
      </c>
      <c r="J450" s="92"/>
      <c r="K450" s="92"/>
    </row>
    <row r="451">
      <c r="B451" s="97"/>
      <c r="C451" s="121" t="str">
        <f t="array" ref="C451">ifs(and(isblank($A451),isblank($B451)),"", not(iserror(vlookup($A451&amp;$B451,'5) Release_Track'!$F:$F&amp;'5) Release_Track'!$G:$G,1,0))),vlookup($A451&amp;$B451,{'5) Release_Track'!$F:$F&amp;'5) Release_Track'!$G:$G,'5) Release_Track'!$H:$H},2,0),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D451" s="121" t="str">
        <f t="array" ref="D451">ifs(and(isblank($A451),isblank($B451)),"", not(iserror(vlookup($A451&amp;$B451,'5) Release_Track'!$F:$F&amp;'5) Release_Track'!$G:$G,1,0))),vlookup($A451&amp;$B451,{'5) Release_Track'!$F:$F&amp;'5) Release_Track'!$G:$G,'5) Release_Track'!$I:$I},2,0),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E451" s="116" t="str">
        <f t="array" ref="E451">ifs(and(isblank($A451),isblank($B451)),"", not(iserror(vlookup($A451&amp;$B451,'5) Release_Track'!$F:$F&amp;'5) Release_Track'!$G:$G,1,0))),vlookup($A451&amp;$B451,{'5) Release_Track'!$F:$F&amp;'5) Release_Track'!$G:$G,'5) Release_Track'!$J:$J},2,0),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F451" s="88"/>
      <c r="G451" s="92"/>
      <c r="H451" s="185"/>
      <c r="I451" s="121" t="str">
        <f t="shared" si="2"/>
        <v/>
      </c>
      <c r="J451" s="92"/>
      <c r="K451" s="92"/>
    </row>
    <row r="452">
      <c r="B452" s="97"/>
      <c r="C452" s="121" t="str">
        <f t="array" ref="C452">ifs(and(isblank($A452),isblank($B452)),"", not(iserror(vlookup($A452&amp;$B452,'5) Release_Track'!$F:$F&amp;'5) Release_Track'!$G:$G,1,0))),vlookup($A452&amp;$B452,{'5) Release_Track'!$F:$F&amp;'5) Release_Track'!$G:$G,'5) Release_Track'!$H:$H},2,0),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D452" s="121" t="str">
        <f t="array" ref="D452">ifs(and(isblank($A452),isblank($B452)),"", not(iserror(vlookup($A452&amp;$B452,'5) Release_Track'!$F:$F&amp;'5) Release_Track'!$G:$G,1,0))),vlookup($A452&amp;$B452,{'5) Release_Track'!$F:$F&amp;'5) Release_Track'!$G:$G,'5) Release_Track'!$I:$I},2,0),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E452" s="116" t="str">
        <f t="array" ref="E452">ifs(and(isblank($A452),isblank($B452)),"", not(iserror(vlookup($A452&amp;$B452,'5) Release_Track'!$F:$F&amp;'5) Release_Track'!$G:$G,1,0))),vlookup($A452&amp;$B452,{'5) Release_Track'!$F:$F&amp;'5) Release_Track'!$G:$G,'5) Release_Track'!$J:$J},2,0),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F452" s="88"/>
      <c r="G452" s="92"/>
      <c r="H452" s="185"/>
      <c r="I452" s="121" t="str">
        <f t="shared" si="2"/>
        <v/>
      </c>
      <c r="J452" s="92"/>
      <c r="K452" s="92"/>
    </row>
    <row r="453">
      <c r="B453" s="97"/>
      <c r="C453" s="121" t="str">
        <f t="array" ref="C453">ifs(and(isblank($A453),isblank($B453)),"", not(iserror(vlookup($A453&amp;$B453,'5) Release_Track'!$F:$F&amp;'5) Release_Track'!$G:$G,1,0))),vlookup($A453&amp;$B453,{'5) Release_Track'!$F:$F&amp;'5) Release_Track'!$G:$G,'5) Release_Track'!$H:$H},2,0),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D453" s="121" t="str">
        <f t="array" ref="D453">ifs(and(isblank($A453),isblank($B453)),"", not(iserror(vlookup($A453&amp;$B453,'5) Release_Track'!$F:$F&amp;'5) Release_Track'!$G:$G,1,0))),vlookup($A453&amp;$B453,{'5) Release_Track'!$F:$F&amp;'5) Release_Track'!$G:$G,'5) Release_Track'!$I:$I},2,0),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E453" s="116" t="str">
        <f t="array" ref="E453">ifs(and(isblank($A453),isblank($B453)),"", not(iserror(vlookup($A453&amp;$B453,'5) Release_Track'!$F:$F&amp;'5) Release_Track'!$G:$G,1,0))),vlookup($A453&amp;$B453,{'5) Release_Track'!$F:$F&amp;'5) Release_Track'!$G:$G,'5) Release_Track'!$J:$J},2,0),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F453" s="88"/>
      <c r="G453" s="92"/>
      <c r="H453" s="185"/>
      <c r="I453" s="121" t="str">
        <f t="shared" si="2"/>
        <v/>
      </c>
      <c r="J453" s="92"/>
      <c r="K453" s="92"/>
    </row>
    <row r="454">
      <c r="B454" s="97"/>
      <c r="C454" s="121" t="str">
        <f t="array" ref="C454">ifs(and(isblank($A454),isblank($B454)),"", not(iserror(vlookup($A454&amp;$B454,'5) Release_Track'!$F:$F&amp;'5) Release_Track'!$G:$G,1,0))),vlookup($A454&amp;$B454,{'5) Release_Track'!$F:$F&amp;'5) Release_Track'!$G:$G,'5) Release_Track'!$H:$H},2,0),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D454" s="121" t="str">
        <f t="array" ref="D454">ifs(and(isblank($A454),isblank($B454)),"", not(iserror(vlookup($A454&amp;$B454,'5) Release_Track'!$F:$F&amp;'5) Release_Track'!$G:$G,1,0))),vlookup($A454&amp;$B454,{'5) Release_Track'!$F:$F&amp;'5) Release_Track'!$G:$G,'5) Release_Track'!$I:$I},2,0),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E454" s="116" t="str">
        <f t="array" ref="E454">ifs(and(isblank($A454),isblank($B454)),"", not(iserror(vlookup($A454&amp;$B454,'5) Release_Track'!$F:$F&amp;'5) Release_Track'!$G:$G,1,0))),vlookup($A454&amp;$B454,{'5) Release_Track'!$F:$F&amp;'5) Release_Track'!$G:$G,'5) Release_Track'!$J:$J},2,0),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F454" s="88"/>
      <c r="G454" s="92"/>
      <c r="H454" s="185"/>
      <c r="I454" s="121" t="str">
        <f t="shared" si="2"/>
        <v/>
      </c>
      <c r="J454" s="92"/>
      <c r="K454" s="92"/>
    </row>
    <row r="455">
      <c r="B455" s="97"/>
      <c r="C455" s="121" t="str">
        <f t="array" ref="C455">ifs(and(isblank($A455),isblank($B455)),"", not(iserror(vlookup($A455&amp;$B455,'5) Release_Track'!$F:$F&amp;'5) Release_Track'!$G:$G,1,0))),vlookup($A455&amp;$B455,{'5) Release_Track'!$F:$F&amp;'5) Release_Track'!$G:$G,'5) Release_Track'!$H:$H},2,0),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D455" s="121" t="str">
        <f t="array" ref="D455">ifs(and(isblank($A455),isblank($B455)),"", not(iserror(vlookup($A455&amp;$B455,'5) Release_Track'!$F:$F&amp;'5) Release_Track'!$G:$G,1,0))),vlookup($A455&amp;$B455,{'5) Release_Track'!$F:$F&amp;'5) Release_Track'!$G:$G,'5) Release_Track'!$I:$I},2,0),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E455" s="116" t="str">
        <f t="array" ref="E455">ifs(and(isblank($A455),isblank($B455)),"", not(iserror(vlookup($A455&amp;$B455,'5) Release_Track'!$F:$F&amp;'5) Release_Track'!$G:$G,1,0))),vlookup($A455&amp;$B455,{'5) Release_Track'!$F:$F&amp;'5) Release_Track'!$G:$G,'5) Release_Track'!$J:$J},2,0),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F455" s="88"/>
      <c r="G455" s="92"/>
      <c r="H455" s="185"/>
      <c r="I455" s="121" t="str">
        <f t="shared" si="2"/>
        <v/>
      </c>
      <c r="J455" s="92"/>
      <c r="K455" s="92"/>
    </row>
    <row r="456">
      <c r="B456" s="97"/>
      <c r="C456" s="121" t="str">
        <f t="array" ref="C456">ifs(and(isblank($A456),isblank($B456)),"", not(iserror(vlookup($A456&amp;$B456,'5) Release_Track'!$F:$F&amp;'5) Release_Track'!$G:$G,1,0))),vlookup($A456&amp;$B456,{'5) Release_Track'!$F:$F&amp;'5) Release_Track'!$G:$G,'5) Release_Track'!$H:$H},2,0),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D456" s="121" t="str">
        <f t="array" ref="D456">ifs(and(isblank($A456),isblank($B456)),"", not(iserror(vlookup($A456&amp;$B456,'5) Release_Track'!$F:$F&amp;'5) Release_Track'!$G:$G,1,0))),vlookup($A456&amp;$B456,{'5) Release_Track'!$F:$F&amp;'5) Release_Track'!$G:$G,'5) Release_Track'!$I:$I},2,0),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E456" s="116" t="str">
        <f t="array" ref="E456">ifs(and(isblank($A456),isblank($B456)),"", not(iserror(vlookup($A456&amp;$B456,'5) Release_Track'!$F:$F&amp;'5) Release_Track'!$G:$G,1,0))),vlookup($A456&amp;$B456,{'5) Release_Track'!$F:$F&amp;'5) Release_Track'!$G:$G,'5) Release_Track'!$J:$J},2,0),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F456" s="88"/>
      <c r="G456" s="92"/>
      <c r="H456" s="185"/>
      <c r="I456" s="121" t="str">
        <f t="shared" si="2"/>
        <v/>
      </c>
      <c r="J456" s="92"/>
      <c r="K456" s="92"/>
    </row>
    <row r="457">
      <c r="B457" s="97"/>
      <c r="C457" s="121" t="str">
        <f t="array" ref="C457">ifs(and(isblank($A457),isblank($B457)),"", not(iserror(vlookup($A457&amp;$B457,'5) Release_Track'!$F:$F&amp;'5) Release_Track'!$G:$G,1,0))),vlookup($A457&amp;$B457,{'5) Release_Track'!$F:$F&amp;'5) Release_Track'!$G:$G,'5) Release_Track'!$H:$H},2,0),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D457" s="121" t="str">
        <f t="array" ref="D457">ifs(and(isblank($A457),isblank($B457)),"", not(iserror(vlookup($A457&amp;$B457,'5) Release_Track'!$F:$F&amp;'5) Release_Track'!$G:$G,1,0))),vlookup($A457&amp;$B457,{'5) Release_Track'!$F:$F&amp;'5) Release_Track'!$G:$G,'5) Release_Track'!$I:$I},2,0),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E457" s="116" t="str">
        <f t="array" ref="E457">ifs(and(isblank($A457),isblank($B457)),"", not(iserror(vlookup($A457&amp;$B457,'5) Release_Track'!$F:$F&amp;'5) Release_Track'!$G:$G,1,0))),vlookup($A457&amp;$B457,{'5) Release_Track'!$F:$F&amp;'5) Release_Track'!$G:$G,'5) Release_Track'!$J:$J},2,0),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F457" s="88"/>
      <c r="G457" s="92"/>
      <c r="H457" s="185"/>
      <c r="I457" s="121" t="str">
        <f t="shared" si="2"/>
        <v/>
      </c>
      <c r="J457" s="92"/>
      <c r="K457" s="92"/>
    </row>
    <row r="458">
      <c r="B458" s="97"/>
      <c r="C458" s="121" t="str">
        <f t="array" ref="C458">ifs(and(isblank($A458),isblank($B458)),"", not(iserror(vlookup($A458&amp;$B458,'5) Release_Track'!$F:$F&amp;'5) Release_Track'!$G:$G,1,0))),vlookup($A458&amp;$B458,{'5) Release_Track'!$F:$F&amp;'5) Release_Track'!$G:$G,'5) Release_Track'!$H:$H},2,0),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D458" s="121" t="str">
        <f t="array" ref="D458">ifs(and(isblank($A458),isblank($B458)),"", not(iserror(vlookup($A458&amp;$B458,'5) Release_Track'!$F:$F&amp;'5) Release_Track'!$G:$G,1,0))),vlookup($A458&amp;$B458,{'5) Release_Track'!$F:$F&amp;'5) Release_Track'!$G:$G,'5) Release_Track'!$I:$I},2,0),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E458" s="116" t="str">
        <f t="array" ref="E458">ifs(and(isblank($A458),isblank($B458)),"", not(iserror(vlookup($A458&amp;$B458,'5) Release_Track'!$F:$F&amp;'5) Release_Track'!$G:$G,1,0))),vlookup($A458&amp;$B458,{'5) Release_Track'!$F:$F&amp;'5) Release_Track'!$G:$G,'5) Release_Track'!$J:$J},2,0),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F458" s="88"/>
      <c r="G458" s="92"/>
      <c r="H458" s="185"/>
      <c r="I458" s="121" t="str">
        <f t="shared" si="2"/>
        <v/>
      </c>
      <c r="J458" s="92"/>
      <c r="K458" s="92"/>
    </row>
    <row r="459">
      <c r="B459" s="97"/>
      <c r="C459" s="121" t="str">
        <f t="array" ref="C459">ifs(and(isblank($A459),isblank($B459)),"", not(iserror(vlookup($A459&amp;$B459,'5) Release_Track'!$F:$F&amp;'5) Release_Track'!$G:$G,1,0))),vlookup($A459&amp;$B459,{'5) Release_Track'!$F:$F&amp;'5) Release_Track'!$G:$G,'5) Release_Track'!$H:$H},2,0),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D459" s="121" t="str">
        <f t="array" ref="D459">ifs(and(isblank($A459),isblank($B459)),"", not(iserror(vlookup($A459&amp;$B459,'5) Release_Track'!$F:$F&amp;'5) Release_Track'!$G:$G,1,0))),vlookup($A459&amp;$B459,{'5) Release_Track'!$F:$F&amp;'5) Release_Track'!$G:$G,'5) Release_Track'!$I:$I},2,0),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E459" s="116" t="str">
        <f t="array" ref="E459">ifs(and(isblank($A459),isblank($B459)),"", not(iserror(vlookup($A459&amp;$B459,'5) Release_Track'!$F:$F&amp;'5) Release_Track'!$G:$G,1,0))),vlookup($A459&amp;$B459,{'5) Release_Track'!$F:$F&amp;'5) Release_Track'!$G:$G,'5) Release_Track'!$J:$J},2,0),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F459" s="88"/>
      <c r="G459" s="92"/>
      <c r="H459" s="185"/>
      <c r="I459" s="121" t="str">
        <f t="shared" si="2"/>
        <v/>
      </c>
      <c r="J459" s="92"/>
      <c r="K459" s="92"/>
    </row>
    <row r="460">
      <c r="B460" s="97"/>
      <c r="C460" s="121" t="str">
        <f t="array" ref="C460">ifs(and(isblank($A460),isblank($B460)),"", not(iserror(vlookup($A460&amp;$B460,'5) Release_Track'!$F:$F&amp;'5) Release_Track'!$G:$G,1,0))),vlookup($A460&amp;$B460,{'5) Release_Track'!$F:$F&amp;'5) Release_Track'!$G:$G,'5) Release_Track'!$H:$H},2,0),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D460" s="121" t="str">
        <f t="array" ref="D460">ifs(and(isblank($A460),isblank($B460)),"", not(iserror(vlookup($A460&amp;$B460,'5) Release_Track'!$F:$F&amp;'5) Release_Track'!$G:$G,1,0))),vlookup($A460&amp;$B460,{'5) Release_Track'!$F:$F&amp;'5) Release_Track'!$G:$G,'5) Release_Track'!$I:$I},2,0),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E460" s="116" t="str">
        <f t="array" ref="E460">ifs(and(isblank($A460),isblank($B460)),"", not(iserror(vlookup($A460&amp;$B460,'5) Release_Track'!$F:$F&amp;'5) Release_Track'!$G:$G,1,0))),vlookup($A460&amp;$B460,{'5) Release_Track'!$F:$F&amp;'5) Release_Track'!$G:$G,'5) Release_Track'!$J:$J},2,0),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F460" s="88"/>
      <c r="G460" s="92"/>
      <c r="H460" s="185"/>
      <c r="I460" s="121" t="str">
        <f t="shared" si="2"/>
        <v/>
      </c>
      <c r="J460" s="92"/>
      <c r="K460" s="92"/>
    </row>
    <row r="461">
      <c r="B461" s="97"/>
      <c r="C461" s="121" t="str">
        <f t="array" ref="C461">ifs(and(isblank($A461),isblank($B461)),"", not(iserror(vlookup($A461&amp;$B461,'5) Release_Track'!$F:$F&amp;'5) Release_Track'!$G:$G,1,0))),vlookup($A461&amp;$B461,{'5) Release_Track'!$F:$F&amp;'5) Release_Track'!$G:$G,'5) Release_Track'!$H:$H},2,0),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D461" s="121" t="str">
        <f t="array" ref="D461">ifs(and(isblank($A461),isblank($B461)),"", not(iserror(vlookup($A461&amp;$B461,'5) Release_Track'!$F:$F&amp;'5) Release_Track'!$G:$G,1,0))),vlookup($A461&amp;$B461,{'5) Release_Track'!$F:$F&amp;'5) Release_Track'!$G:$G,'5) Release_Track'!$I:$I},2,0),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E461" s="116" t="str">
        <f t="array" ref="E461">ifs(and(isblank($A461),isblank($B461)),"", not(iserror(vlookup($A461&amp;$B461,'5) Release_Track'!$F:$F&amp;'5) Release_Track'!$G:$G,1,0))),vlookup($A461&amp;$B461,{'5) Release_Track'!$F:$F&amp;'5) Release_Track'!$G:$G,'5) Release_Track'!$J:$J},2,0),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F461" s="88"/>
      <c r="G461" s="92"/>
      <c r="H461" s="185"/>
      <c r="I461" s="121" t="str">
        <f t="shared" si="2"/>
        <v/>
      </c>
      <c r="J461" s="92"/>
      <c r="K461" s="92"/>
    </row>
    <row r="462">
      <c r="B462" s="97"/>
      <c r="C462" s="121" t="str">
        <f t="array" ref="C462">ifs(and(isblank($A462),isblank($B462)),"", not(iserror(vlookup($A462&amp;$B462,'5) Release_Track'!$F:$F&amp;'5) Release_Track'!$G:$G,1,0))),vlookup($A462&amp;$B462,{'5) Release_Track'!$F:$F&amp;'5) Release_Track'!$G:$G,'5) Release_Track'!$H:$H},2,0),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D462" s="121" t="str">
        <f t="array" ref="D462">ifs(and(isblank($A462),isblank($B462)),"", not(iserror(vlookup($A462&amp;$B462,'5) Release_Track'!$F:$F&amp;'5) Release_Track'!$G:$G,1,0))),vlookup($A462&amp;$B462,{'5) Release_Track'!$F:$F&amp;'5) Release_Track'!$G:$G,'5) Release_Track'!$I:$I},2,0),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E462" s="116" t="str">
        <f t="array" ref="E462">ifs(and(isblank($A462),isblank($B462)),"", not(iserror(vlookup($A462&amp;$B462,'5) Release_Track'!$F:$F&amp;'5) Release_Track'!$G:$G,1,0))),vlookup($A462&amp;$B462,{'5) Release_Track'!$F:$F&amp;'5) Release_Track'!$G:$G,'5) Release_Track'!$J:$J},2,0),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F462" s="88"/>
      <c r="G462" s="92"/>
      <c r="H462" s="185"/>
      <c r="I462" s="121" t="str">
        <f t="shared" si="2"/>
        <v/>
      </c>
      <c r="J462" s="92"/>
      <c r="K462" s="92"/>
    </row>
    <row r="463">
      <c r="B463" s="97"/>
      <c r="C463" s="121" t="str">
        <f t="array" ref="C463">ifs(and(isblank($A463),isblank($B463)),"", not(iserror(vlookup($A463&amp;$B463,'5) Release_Track'!$F:$F&amp;'5) Release_Track'!$G:$G,1,0))),vlookup($A463&amp;$B463,{'5) Release_Track'!$F:$F&amp;'5) Release_Track'!$G:$G,'5) Release_Track'!$H:$H},2,0),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D463" s="121" t="str">
        <f t="array" ref="D463">ifs(and(isblank($A463),isblank($B463)),"", not(iserror(vlookup($A463&amp;$B463,'5) Release_Track'!$F:$F&amp;'5) Release_Track'!$G:$G,1,0))),vlookup($A463&amp;$B463,{'5) Release_Track'!$F:$F&amp;'5) Release_Track'!$G:$G,'5) Release_Track'!$I:$I},2,0),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E463" s="116" t="str">
        <f t="array" ref="E463">ifs(and(isblank($A463),isblank($B463)),"", not(iserror(vlookup($A463&amp;$B463,'5) Release_Track'!$F:$F&amp;'5) Release_Track'!$G:$G,1,0))),vlookup($A463&amp;$B463,{'5) Release_Track'!$F:$F&amp;'5) Release_Track'!$G:$G,'5) Release_Track'!$J:$J},2,0),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F463" s="88"/>
      <c r="G463" s="92"/>
      <c r="H463" s="185"/>
      <c r="I463" s="121" t="str">
        <f t="shared" si="2"/>
        <v/>
      </c>
      <c r="J463" s="92"/>
      <c r="K463" s="92"/>
    </row>
    <row r="464">
      <c r="B464" s="97"/>
      <c r="C464" s="121" t="str">
        <f t="array" ref="C464">ifs(and(isblank($A464),isblank($B464)),"", not(iserror(vlookup($A464&amp;$B464,'5) Release_Track'!$F:$F&amp;'5) Release_Track'!$G:$G,1,0))),vlookup($A464&amp;$B464,{'5) Release_Track'!$F:$F&amp;'5) Release_Track'!$G:$G,'5) Release_Track'!$H:$H},2,0),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D464" s="121" t="str">
        <f t="array" ref="D464">ifs(and(isblank($A464),isblank($B464)),"", not(iserror(vlookup($A464&amp;$B464,'5) Release_Track'!$F:$F&amp;'5) Release_Track'!$G:$G,1,0))),vlookup($A464&amp;$B464,{'5) Release_Track'!$F:$F&amp;'5) Release_Track'!$G:$G,'5) Release_Track'!$I:$I},2,0),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E464" s="116" t="str">
        <f t="array" ref="E464">ifs(and(isblank($A464),isblank($B464)),"", not(iserror(vlookup($A464&amp;$B464,'5) Release_Track'!$F:$F&amp;'5) Release_Track'!$G:$G,1,0))),vlookup($A464&amp;$B464,{'5) Release_Track'!$F:$F&amp;'5) Release_Track'!$G:$G,'5) Release_Track'!$J:$J},2,0),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F464" s="88"/>
      <c r="G464" s="92"/>
      <c r="H464" s="185"/>
      <c r="I464" s="121" t="str">
        <f t="shared" si="2"/>
        <v/>
      </c>
      <c r="J464" s="92"/>
      <c r="K464" s="92"/>
    </row>
    <row r="465">
      <c r="B465" s="97"/>
      <c r="C465" s="121" t="str">
        <f t="array" ref="C465">ifs(and(isblank($A465),isblank($B465)),"", not(iserror(vlookup($A465&amp;$B465,'5) Release_Track'!$F:$F&amp;'5) Release_Track'!$G:$G,1,0))),vlookup($A465&amp;$B465,{'5) Release_Track'!$F:$F&amp;'5) Release_Track'!$G:$G,'5) Release_Track'!$H:$H},2,0),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D465" s="121" t="str">
        <f t="array" ref="D465">ifs(and(isblank($A465),isblank($B465)),"", not(iserror(vlookup($A465&amp;$B465,'5) Release_Track'!$F:$F&amp;'5) Release_Track'!$G:$G,1,0))),vlookup($A465&amp;$B465,{'5) Release_Track'!$F:$F&amp;'5) Release_Track'!$G:$G,'5) Release_Track'!$I:$I},2,0),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E465" s="116" t="str">
        <f t="array" ref="E465">ifs(and(isblank($A465),isblank($B465)),"", not(iserror(vlookup($A465&amp;$B465,'5) Release_Track'!$F:$F&amp;'5) Release_Track'!$G:$G,1,0))),vlookup($A465&amp;$B465,{'5) Release_Track'!$F:$F&amp;'5) Release_Track'!$G:$G,'5) Release_Track'!$J:$J},2,0),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F465" s="88"/>
      <c r="G465" s="92"/>
      <c r="H465" s="185"/>
      <c r="I465" s="121" t="str">
        <f t="shared" si="2"/>
        <v/>
      </c>
      <c r="J465" s="92"/>
      <c r="K465" s="92"/>
    </row>
    <row r="466">
      <c r="B466" s="97"/>
      <c r="C466" s="121" t="str">
        <f t="array" ref="C466">ifs(and(isblank($A466),isblank($B466)),"", not(iserror(vlookup($A466&amp;$B466,'5) Release_Track'!$F:$F&amp;'5) Release_Track'!$G:$G,1,0))),vlookup($A466&amp;$B466,{'5) Release_Track'!$F:$F&amp;'5) Release_Track'!$G:$G,'5) Release_Track'!$H:$H},2,0),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D466" s="121" t="str">
        <f t="array" ref="D466">ifs(and(isblank($A466),isblank($B466)),"", not(iserror(vlookup($A466&amp;$B466,'5) Release_Track'!$F:$F&amp;'5) Release_Track'!$G:$G,1,0))),vlookup($A466&amp;$B466,{'5) Release_Track'!$F:$F&amp;'5) Release_Track'!$G:$G,'5) Release_Track'!$I:$I},2,0),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E466" s="116" t="str">
        <f t="array" ref="E466">ifs(and(isblank($A466),isblank($B466)),"", not(iserror(vlookup($A466&amp;$B466,'5) Release_Track'!$F:$F&amp;'5) Release_Track'!$G:$G,1,0))),vlookup($A466&amp;$B466,{'5) Release_Track'!$F:$F&amp;'5) Release_Track'!$G:$G,'5) Release_Track'!$J:$J},2,0),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F466" s="88"/>
      <c r="G466" s="92"/>
      <c r="H466" s="185"/>
      <c r="I466" s="121" t="str">
        <f t="shared" si="2"/>
        <v/>
      </c>
      <c r="J466" s="92"/>
      <c r="K466" s="92"/>
    </row>
    <row r="467">
      <c r="B467" s="97"/>
      <c r="C467" s="121" t="str">
        <f t="array" ref="C467">ifs(and(isblank($A467),isblank($B467)),"", not(iserror(vlookup($A467&amp;$B467,'5) Release_Track'!$F:$F&amp;'5) Release_Track'!$G:$G,1,0))),vlookup($A467&amp;$B467,{'5) Release_Track'!$F:$F&amp;'5) Release_Track'!$G:$G,'5) Release_Track'!$H:$H},2,0),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D467" s="121" t="str">
        <f t="array" ref="D467">ifs(and(isblank($A467),isblank($B467)),"", not(iserror(vlookup($A467&amp;$B467,'5) Release_Track'!$F:$F&amp;'5) Release_Track'!$G:$G,1,0))),vlookup($A467&amp;$B467,{'5) Release_Track'!$F:$F&amp;'5) Release_Track'!$G:$G,'5) Release_Track'!$I:$I},2,0),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E467" s="116" t="str">
        <f t="array" ref="E467">ifs(and(isblank($A467),isblank($B467)),"", not(iserror(vlookup($A467&amp;$B467,'5) Release_Track'!$F:$F&amp;'5) Release_Track'!$G:$G,1,0))),vlookup($A467&amp;$B467,{'5) Release_Track'!$F:$F&amp;'5) Release_Track'!$G:$G,'5) Release_Track'!$J:$J},2,0),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F467" s="88"/>
      <c r="G467" s="92"/>
      <c r="H467" s="185"/>
      <c r="I467" s="121" t="str">
        <f t="shared" si="2"/>
        <v/>
      </c>
      <c r="J467" s="92"/>
      <c r="K467" s="92"/>
    </row>
    <row r="468">
      <c r="B468" s="97"/>
      <c r="C468" s="121" t="str">
        <f t="array" ref="C468">ifs(and(isblank($A468),isblank($B468)),"", not(iserror(vlookup($A468&amp;$B468,'5) Release_Track'!$F:$F&amp;'5) Release_Track'!$G:$G,1,0))),vlookup($A468&amp;$B468,{'5) Release_Track'!$F:$F&amp;'5) Release_Track'!$G:$G,'5) Release_Track'!$H:$H},2,0),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D468" s="121" t="str">
        <f t="array" ref="D468">ifs(and(isblank($A468),isblank($B468)),"", not(iserror(vlookup($A468&amp;$B468,'5) Release_Track'!$F:$F&amp;'5) Release_Track'!$G:$G,1,0))),vlookup($A468&amp;$B468,{'5) Release_Track'!$F:$F&amp;'5) Release_Track'!$G:$G,'5) Release_Track'!$I:$I},2,0),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E468" s="116" t="str">
        <f t="array" ref="E468">ifs(and(isblank($A468),isblank($B468)),"", not(iserror(vlookup($A468&amp;$B468,'5) Release_Track'!$F:$F&amp;'5) Release_Track'!$G:$G,1,0))),vlookup($A468&amp;$B468,{'5) Release_Track'!$F:$F&amp;'5) Release_Track'!$G:$G,'5) Release_Track'!$J:$J},2,0),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F468" s="88"/>
      <c r="G468" s="92"/>
      <c r="H468" s="185"/>
      <c r="I468" s="121" t="str">
        <f t="shared" si="2"/>
        <v/>
      </c>
      <c r="J468" s="92"/>
      <c r="K468" s="92"/>
    </row>
    <row r="469">
      <c r="B469" s="97"/>
      <c r="C469" s="121" t="str">
        <f t="array" ref="C469">ifs(and(isblank($A469),isblank($B469)),"", not(iserror(vlookup($A469&amp;$B469,'5) Release_Track'!$F:$F&amp;'5) Release_Track'!$G:$G,1,0))),vlookup($A469&amp;$B469,{'5) Release_Track'!$F:$F&amp;'5) Release_Track'!$G:$G,'5) Release_Track'!$H:$H},2,0),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D469" s="121" t="str">
        <f t="array" ref="D469">ifs(and(isblank($A469),isblank($B469)),"", not(iserror(vlookup($A469&amp;$B469,'5) Release_Track'!$F:$F&amp;'5) Release_Track'!$G:$G,1,0))),vlookup($A469&amp;$B469,{'5) Release_Track'!$F:$F&amp;'5) Release_Track'!$G:$G,'5) Release_Track'!$I:$I},2,0),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E469" s="116" t="str">
        <f t="array" ref="E469">ifs(and(isblank($A469),isblank($B469)),"", not(iserror(vlookup($A469&amp;$B469,'5) Release_Track'!$F:$F&amp;'5) Release_Track'!$G:$G,1,0))),vlookup($A469&amp;$B469,{'5) Release_Track'!$F:$F&amp;'5) Release_Track'!$G:$G,'5) Release_Track'!$J:$J},2,0),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F469" s="88"/>
      <c r="G469" s="92"/>
      <c r="H469" s="185"/>
      <c r="I469" s="121" t="str">
        <f t="shared" si="2"/>
        <v/>
      </c>
      <c r="J469" s="92"/>
      <c r="K469" s="92"/>
    </row>
    <row r="470">
      <c r="B470" s="97"/>
      <c r="C470" s="121" t="str">
        <f t="array" ref="C470">ifs(and(isblank($A470),isblank($B470)),"", not(iserror(vlookup($A470&amp;$B470,'5) Release_Track'!$F:$F&amp;'5) Release_Track'!$G:$G,1,0))),vlookup($A470&amp;$B470,{'5) Release_Track'!$F:$F&amp;'5) Release_Track'!$G:$G,'5) Release_Track'!$H:$H},2,0),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D470" s="121" t="str">
        <f t="array" ref="D470">ifs(and(isblank($A470),isblank($B470)),"", not(iserror(vlookup($A470&amp;$B470,'5) Release_Track'!$F:$F&amp;'5) Release_Track'!$G:$G,1,0))),vlookup($A470&amp;$B470,{'5) Release_Track'!$F:$F&amp;'5) Release_Track'!$G:$G,'5) Release_Track'!$I:$I},2,0),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E470" s="116" t="str">
        <f t="array" ref="E470">ifs(and(isblank($A470),isblank($B470)),"", not(iserror(vlookup($A470&amp;$B470,'5) Release_Track'!$F:$F&amp;'5) Release_Track'!$G:$G,1,0))),vlookup($A470&amp;$B470,{'5) Release_Track'!$F:$F&amp;'5) Release_Track'!$G:$G,'5) Release_Track'!$J:$J},2,0),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F470" s="88"/>
      <c r="G470" s="92"/>
      <c r="H470" s="185"/>
      <c r="I470" s="121" t="str">
        <f t="shared" si="2"/>
        <v/>
      </c>
      <c r="J470" s="92"/>
      <c r="K470" s="92"/>
    </row>
    <row r="471">
      <c r="B471" s="97"/>
      <c r="C471" s="121" t="str">
        <f t="array" ref="C471">ifs(and(isblank($A471),isblank($B471)),"", not(iserror(vlookup($A471&amp;$B471,'5) Release_Track'!$F:$F&amp;'5) Release_Track'!$G:$G,1,0))),vlookup($A471&amp;$B471,{'5) Release_Track'!$F:$F&amp;'5) Release_Track'!$G:$G,'5) Release_Track'!$H:$H},2,0),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D471" s="121" t="str">
        <f t="array" ref="D471">ifs(and(isblank($A471),isblank($B471)),"", not(iserror(vlookup($A471&amp;$B471,'5) Release_Track'!$F:$F&amp;'5) Release_Track'!$G:$G,1,0))),vlookup($A471&amp;$B471,{'5) Release_Track'!$F:$F&amp;'5) Release_Track'!$G:$G,'5) Release_Track'!$I:$I},2,0),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E471" s="116" t="str">
        <f t="array" ref="E471">ifs(and(isblank($A471),isblank($B471)),"", not(iserror(vlookup($A471&amp;$B471,'5) Release_Track'!$F:$F&amp;'5) Release_Track'!$G:$G,1,0))),vlookup($A471&amp;$B471,{'5) Release_Track'!$F:$F&amp;'5) Release_Track'!$G:$G,'5) Release_Track'!$J:$J},2,0),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F471" s="88"/>
      <c r="G471" s="92"/>
      <c r="H471" s="185"/>
      <c r="I471" s="121" t="str">
        <f t="shared" si="2"/>
        <v/>
      </c>
      <c r="J471" s="92"/>
      <c r="K471" s="92"/>
    </row>
    <row r="472">
      <c r="B472" s="97"/>
      <c r="C472" s="121" t="str">
        <f t="array" ref="C472">ifs(and(isblank($A472),isblank($B472)),"", not(iserror(vlookup($A472&amp;$B472,'5) Release_Track'!$F:$F&amp;'5) Release_Track'!$G:$G,1,0))),vlookup($A472&amp;$B472,{'5) Release_Track'!$F:$F&amp;'5) Release_Track'!$G:$G,'5) Release_Track'!$H:$H},2,0),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D472" s="121" t="str">
        <f t="array" ref="D472">ifs(and(isblank($A472),isblank($B472)),"", not(iserror(vlookup($A472&amp;$B472,'5) Release_Track'!$F:$F&amp;'5) Release_Track'!$G:$G,1,0))),vlookup($A472&amp;$B472,{'5) Release_Track'!$F:$F&amp;'5) Release_Track'!$G:$G,'5) Release_Track'!$I:$I},2,0),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E472" s="116" t="str">
        <f t="array" ref="E472">ifs(and(isblank($A472),isblank($B472)),"", not(iserror(vlookup($A472&amp;$B472,'5) Release_Track'!$F:$F&amp;'5) Release_Track'!$G:$G,1,0))),vlookup($A472&amp;$B472,{'5) Release_Track'!$F:$F&amp;'5) Release_Track'!$G:$G,'5) Release_Track'!$J:$J},2,0),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F472" s="88"/>
      <c r="G472" s="92"/>
      <c r="H472" s="185"/>
      <c r="I472" s="121" t="str">
        <f t="shared" si="2"/>
        <v/>
      </c>
      <c r="J472" s="92"/>
      <c r="K472" s="92"/>
    </row>
    <row r="473">
      <c r="B473" s="97"/>
      <c r="C473" s="121" t="str">
        <f t="array" ref="C473">ifs(and(isblank($A473),isblank($B473)),"", not(iserror(vlookup($A473&amp;$B473,'5) Release_Track'!$F:$F&amp;'5) Release_Track'!$G:$G,1,0))),vlookup($A473&amp;$B473,{'5) Release_Track'!$F:$F&amp;'5) Release_Track'!$G:$G,'5) Release_Track'!$H:$H},2,0),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D473" s="121" t="str">
        <f t="array" ref="D473">ifs(and(isblank($A473),isblank($B473)),"", not(iserror(vlookup($A473&amp;$B473,'5) Release_Track'!$F:$F&amp;'5) Release_Track'!$G:$G,1,0))),vlookup($A473&amp;$B473,{'5) Release_Track'!$F:$F&amp;'5) Release_Track'!$G:$G,'5) Release_Track'!$I:$I},2,0),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E473" s="116" t="str">
        <f t="array" ref="E473">ifs(and(isblank($A473),isblank($B473)),"", not(iserror(vlookup($A473&amp;$B473,'5) Release_Track'!$F:$F&amp;'5) Release_Track'!$G:$G,1,0))),vlookup($A473&amp;$B473,{'5) Release_Track'!$F:$F&amp;'5) Release_Track'!$G:$G,'5) Release_Track'!$J:$J},2,0),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F473" s="88"/>
      <c r="G473" s="92"/>
      <c r="H473" s="185"/>
      <c r="I473" s="121" t="str">
        <f t="shared" si="2"/>
        <v/>
      </c>
      <c r="J473" s="92"/>
      <c r="K473" s="92"/>
    </row>
    <row r="474">
      <c r="B474" s="97"/>
      <c r="C474" s="121" t="str">
        <f t="array" ref="C474">ifs(and(isblank($A474),isblank($B474)),"", not(iserror(vlookup($A474&amp;$B474,'5) Release_Track'!$F:$F&amp;'5) Release_Track'!$G:$G,1,0))),vlookup($A474&amp;$B474,{'5) Release_Track'!$F:$F&amp;'5) Release_Track'!$G:$G,'5) Release_Track'!$H:$H},2,0),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D474" s="121" t="str">
        <f t="array" ref="D474">ifs(and(isblank($A474),isblank($B474)),"", not(iserror(vlookup($A474&amp;$B474,'5) Release_Track'!$F:$F&amp;'5) Release_Track'!$G:$G,1,0))),vlookup($A474&amp;$B474,{'5) Release_Track'!$F:$F&amp;'5) Release_Track'!$G:$G,'5) Release_Track'!$I:$I},2,0),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E474" s="116" t="str">
        <f t="array" ref="E474">ifs(and(isblank($A474),isblank($B474)),"", not(iserror(vlookup($A474&amp;$B474,'5) Release_Track'!$F:$F&amp;'5) Release_Track'!$G:$G,1,0))),vlookup($A474&amp;$B474,{'5) Release_Track'!$F:$F&amp;'5) Release_Track'!$G:$G,'5) Release_Track'!$J:$J},2,0),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F474" s="88"/>
      <c r="G474" s="92"/>
      <c r="H474" s="185"/>
      <c r="I474" s="121" t="str">
        <f t="shared" si="2"/>
        <v/>
      </c>
      <c r="J474" s="92"/>
      <c r="K474" s="92"/>
    </row>
    <row r="475">
      <c r="B475" s="97"/>
      <c r="C475" s="121" t="str">
        <f t="array" ref="C475">ifs(and(isblank($A475),isblank($B475)),"", not(iserror(vlookup($A475&amp;$B475,'5) Release_Track'!$F:$F&amp;'5) Release_Track'!$G:$G,1,0))),vlookup($A475&amp;$B475,{'5) Release_Track'!$F:$F&amp;'5) Release_Track'!$G:$G,'5) Release_Track'!$H:$H},2,0),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D475" s="121" t="str">
        <f t="array" ref="D475">ifs(and(isblank($A475),isblank($B475)),"", not(iserror(vlookup($A475&amp;$B475,'5) Release_Track'!$F:$F&amp;'5) Release_Track'!$G:$G,1,0))),vlookup($A475&amp;$B475,{'5) Release_Track'!$F:$F&amp;'5) Release_Track'!$G:$G,'5) Release_Track'!$I:$I},2,0),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E475" s="116" t="str">
        <f t="array" ref="E475">ifs(and(isblank($A475),isblank($B475)),"", not(iserror(vlookup($A475&amp;$B475,'5) Release_Track'!$F:$F&amp;'5) Release_Track'!$G:$G,1,0))),vlookup($A475&amp;$B475,{'5) Release_Track'!$F:$F&amp;'5) Release_Track'!$G:$G,'5) Release_Track'!$J:$J},2,0),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F475" s="88"/>
      <c r="G475" s="92"/>
      <c r="H475" s="185"/>
      <c r="I475" s="121" t="str">
        <f t="shared" si="2"/>
        <v/>
      </c>
      <c r="J475" s="92"/>
      <c r="K475" s="92"/>
    </row>
    <row r="476">
      <c r="B476" s="97"/>
      <c r="C476" s="121" t="str">
        <f t="array" ref="C476">ifs(and(isblank($A476),isblank($B476)),"", not(iserror(vlookup($A476&amp;$B476,'5) Release_Track'!$F:$F&amp;'5) Release_Track'!$G:$G,1,0))),vlookup($A476&amp;$B476,{'5) Release_Track'!$F:$F&amp;'5) Release_Track'!$G:$G,'5) Release_Track'!$H:$H},2,0),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D476" s="121" t="str">
        <f t="array" ref="D476">ifs(and(isblank($A476),isblank($B476)),"", not(iserror(vlookup($A476&amp;$B476,'5) Release_Track'!$F:$F&amp;'5) Release_Track'!$G:$G,1,0))),vlookup($A476&amp;$B476,{'5) Release_Track'!$F:$F&amp;'5) Release_Track'!$G:$G,'5) Release_Track'!$I:$I},2,0),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E476" s="116" t="str">
        <f t="array" ref="E476">ifs(and(isblank($A476),isblank($B476)),"", not(iserror(vlookup($A476&amp;$B476,'5) Release_Track'!$F:$F&amp;'5) Release_Track'!$G:$G,1,0))),vlookup($A476&amp;$B476,{'5) Release_Track'!$F:$F&amp;'5) Release_Track'!$G:$G,'5) Release_Track'!$J:$J},2,0),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F476" s="88"/>
      <c r="G476" s="92"/>
      <c r="H476" s="185"/>
      <c r="I476" s="121" t="str">
        <f t="shared" si="2"/>
        <v/>
      </c>
      <c r="J476" s="92"/>
      <c r="K476" s="92"/>
    </row>
    <row r="477">
      <c r="B477" s="97"/>
      <c r="C477" s="121" t="str">
        <f t="array" ref="C477">ifs(and(isblank($A477),isblank($B477)),"", not(iserror(vlookup($A477&amp;$B477,'5) Release_Track'!$F:$F&amp;'5) Release_Track'!$G:$G,1,0))),vlookup($A477&amp;$B477,{'5) Release_Track'!$F:$F&amp;'5) Release_Track'!$G:$G,'5) Release_Track'!$H:$H},2,0),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D477" s="121" t="str">
        <f t="array" ref="D477">ifs(and(isblank($A477),isblank($B477)),"", not(iserror(vlookup($A477&amp;$B477,'5) Release_Track'!$F:$F&amp;'5) Release_Track'!$G:$G,1,0))),vlookup($A477&amp;$B477,{'5) Release_Track'!$F:$F&amp;'5) Release_Track'!$G:$G,'5) Release_Track'!$I:$I},2,0),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E477" s="116" t="str">
        <f t="array" ref="E477">ifs(and(isblank($A477),isblank($B477)),"", not(iserror(vlookup($A477&amp;$B477,'5) Release_Track'!$F:$F&amp;'5) Release_Track'!$G:$G,1,0))),vlookup($A477&amp;$B477,{'5) Release_Track'!$F:$F&amp;'5) Release_Track'!$G:$G,'5) Release_Track'!$J:$J},2,0),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F477" s="88"/>
      <c r="G477" s="92"/>
      <c r="H477" s="185"/>
      <c r="I477" s="121" t="str">
        <f t="shared" si="2"/>
        <v/>
      </c>
      <c r="J477" s="92"/>
      <c r="K477" s="92"/>
    </row>
    <row r="478">
      <c r="B478" s="97"/>
      <c r="C478" s="121" t="str">
        <f t="array" ref="C478">ifs(and(isblank($A478),isblank($B478)),"", not(iserror(vlookup($A478&amp;$B478,'5) Release_Track'!$F:$F&amp;'5) Release_Track'!$G:$G,1,0))),vlookup($A478&amp;$B478,{'5) Release_Track'!$F:$F&amp;'5) Release_Track'!$G:$G,'5) Release_Track'!$H:$H},2,0),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D478" s="121" t="str">
        <f t="array" ref="D478">ifs(and(isblank($A478),isblank($B478)),"", not(iserror(vlookup($A478&amp;$B478,'5) Release_Track'!$F:$F&amp;'5) Release_Track'!$G:$G,1,0))),vlookup($A478&amp;$B478,{'5) Release_Track'!$F:$F&amp;'5) Release_Track'!$G:$G,'5) Release_Track'!$I:$I},2,0),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E478" s="116" t="str">
        <f t="array" ref="E478">ifs(and(isblank($A478),isblank($B478)),"", not(iserror(vlookup($A478&amp;$B478,'5) Release_Track'!$F:$F&amp;'5) Release_Track'!$G:$G,1,0))),vlookup($A478&amp;$B478,{'5) Release_Track'!$F:$F&amp;'5) Release_Track'!$G:$G,'5) Release_Track'!$J:$J},2,0),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F478" s="88"/>
      <c r="G478" s="92"/>
      <c r="H478" s="185"/>
      <c r="I478" s="121" t="str">
        <f t="shared" si="2"/>
        <v/>
      </c>
      <c r="J478" s="92"/>
      <c r="K478" s="92"/>
    </row>
    <row r="479">
      <c r="B479" s="97"/>
      <c r="C479" s="121" t="str">
        <f t="array" ref="C479">ifs(and(isblank($A479),isblank($B479)),"", not(iserror(vlookup($A479&amp;$B479,'5) Release_Track'!$F:$F&amp;'5) Release_Track'!$G:$G,1,0))),vlookup($A479&amp;$B479,{'5) Release_Track'!$F:$F&amp;'5) Release_Track'!$G:$G,'5) Release_Track'!$H:$H},2,0),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D479" s="121" t="str">
        <f t="array" ref="D479">ifs(and(isblank($A479),isblank($B479)),"", not(iserror(vlookup($A479&amp;$B479,'5) Release_Track'!$F:$F&amp;'5) Release_Track'!$G:$G,1,0))),vlookup($A479&amp;$B479,{'5) Release_Track'!$F:$F&amp;'5) Release_Track'!$G:$G,'5) Release_Track'!$I:$I},2,0),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E479" s="116" t="str">
        <f t="array" ref="E479">ifs(and(isblank($A479),isblank($B479)),"", not(iserror(vlookup($A479&amp;$B479,'5) Release_Track'!$F:$F&amp;'5) Release_Track'!$G:$G,1,0))),vlookup($A479&amp;$B479,{'5) Release_Track'!$F:$F&amp;'5) Release_Track'!$G:$G,'5) Release_Track'!$J:$J},2,0),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F479" s="88"/>
      <c r="G479" s="92"/>
      <c r="H479" s="185"/>
      <c r="I479" s="121" t="str">
        <f t="shared" si="2"/>
        <v/>
      </c>
      <c r="J479" s="92"/>
      <c r="K479" s="92"/>
    </row>
    <row r="480">
      <c r="B480" s="97"/>
      <c r="C480" s="121" t="str">
        <f t="array" ref="C480">ifs(and(isblank($A480),isblank($B480)),"", not(iserror(vlookup($A480&amp;$B480,'5) Release_Track'!$F:$F&amp;'5) Release_Track'!$G:$G,1,0))),vlookup($A480&amp;$B480,{'5) Release_Track'!$F:$F&amp;'5) Release_Track'!$G:$G,'5) Release_Track'!$H:$H},2,0),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D480" s="121" t="str">
        <f t="array" ref="D480">ifs(and(isblank($A480),isblank($B480)),"", not(iserror(vlookup($A480&amp;$B480,'5) Release_Track'!$F:$F&amp;'5) Release_Track'!$G:$G,1,0))),vlookup($A480&amp;$B480,{'5) Release_Track'!$F:$F&amp;'5) Release_Track'!$G:$G,'5) Release_Track'!$I:$I},2,0),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E480" s="116" t="str">
        <f t="array" ref="E480">ifs(and(isblank($A480),isblank($B480)),"", not(iserror(vlookup($A480&amp;$B480,'5) Release_Track'!$F:$F&amp;'5) Release_Track'!$G:$G,1,0))),vlookup($A480&amp;$B480,{'5) Release_Track'!$F:$F&amp;'5) Release_Track'!$G:$G,'5) Release_Track'!$J:$J},2,0),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F480" s="88"/>
      <c r="G480" s="92"/>
      <c r="H480" s="185"/>
      <c r="I480" s="121" t="str">
        <f t="shared" si="2"/>
        <v/>
      </c>
      <c r="J480" s="92"/>
      <c r="K480" s="92"/>
    </row>
    <row r="481">
      <c r="B481" s="97"/>
      <c r="C481" s="121" t="str">
        <f t="array" ref="C481">ifs(and(isblank($A481),isblank($B481)),"", not(iserror(vlookup($A481&amp;$B481,'5) Release_Track'!$F:$F&amp;'5) Release_Track'!$G:$G,1,0))),vlookup($A481&amp;$B481,{'5) Release_Track'!$F:$F&amp;'5) Release_Track'!$G:$G,'5) Release_Track'!$H:$H},2,0),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D481" s="121" t="str">
        <f t="array" ref="D481">ifs(and(isblank($A481),isblank($B481)),"", not(iserror(vlookup($A481&amp;$B481,'5) Release_Track'!$F:$F&amp;'5) Release_Track'!$G:$G,1,0))),vlookup($A481&amp;$B481,{'5) Release_Track'!$F:$F&amp;'5) Release_Track'!$G:$G,'5) Release_Track'!$I:$I},2,0),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E481" s="116" t="str">
        <f t="array" ref="E481">ifs(and(isblank($A481),isblank($B481)),"", not(iserror(vlookup($A481&amp;$B481,'5) Release_Track'!$F:$F&amp;'5) Release_Track'!$G:$G,1,0))),vlookup($A481&amp;$B481,{'5) Release_Track'!$F:$F&amp;'5) Release_Track'!$G:$G,'5) Release_Track'!$J:$J},2,0),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F481" s="88"/>
      <c r="G481" s="92"/>
      <c r="H481" s="185"/>
      <c r="I481" s="121" t="str">
        <f t="shared" si="2"/>
        <v/>
      </c>
      <c r="J481" s="92"/>
      <c r="K481" s="92"/>
    </row>
    <row r="482">
      <c r="B482" s="97"/>
      <c r="C482" s="121" t="str">
        <f t="array" ref="C482">ifs(and(isblank($A482),isblank($B482)),"", not(iserror(vlookup($A482&amp;$B482,'5) Release_Track'!$F:$F&amp;'5) Release_Track'!$G:$G,1,0))),vlookup($A482&amp;$B482,{'5) Release_Track'!$F:$F&amp;'5) Release_Track'!$G:$G,'5) Release_Track'!$H:$H},2,0),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D482" s="121" t="str">
        <f t="array" ref="D482">ifs(and(isblank($A482),isblank($B482)),"", not(iserror(vlookup($A482&amp;$B482,'5) Release_Track'!$F:$F&amp;'5) Release_Track'!$G:$G,1,0))),vlookup($A482&amp;$B482,{'5) Release_Track'!$F:$F&amp;'5) Release_Track'!$G:$G,'5) Release_Track'!$I:$I},2,0),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E482" s="116" t="str">
        <f t="array" ref="E482">ifs(and(isblank($A482),isblank($B482)),"", not(iserror(vlookup($A482&amp;$B482,'5) Release_Track'!$F:$F&amp;'5) Release_Track'!$G:$G,1,0))),vlookup($A482&amp;$B482,{'5) Release_Track'!$F:$F&amp;'5) Release_Track'!$G:$G,'5) Release_Track'!$J:$J},2,0),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F482" s="88"/>
      <c r="G482" s="92"/>
      <c r="H482" s="185"/>
      <c r="I482" s="121" t="str">
        <f t="shared" si="2"/>
        <v/>
      </c>
      <c r="J482" s="92"/>
      <c r="K482" s="92"/>
    </row>
    <row r="483">
      <c r="B483" s="97"/>
      <c r="C483" s="121" t="str">
        <f t="array" ref="C483">ifs(and(isblank($A483),isblank($B483)),"", not(iserror(vlookup($A483&amp;$B483,'5) Release_Track'!$F:$F&amp;'5) Release_Track'!$G:$G,1,0))),vlookup($A483&amp;$B483,{'5) Release_Track'!$F:$F&amp;'5) Release_Track'!$G:$G,'5) Release_Track'!$H:$H},2,0),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D483" s="121" t="str">
        <f t="array" ref="D483">ifs(and(isblank($A483),isblank($B483)),"", not(iserror(vlookup($A483&amp;$B483,'5) Release_Track'!$F:$F&amp;'5) Release_Track'!$G:$G,1,0))),vlookup($A483&amp;$B483,{'5) Release_Track'!$F:$F&amp;'5) Release_Track'!$G:$G,'5) Release_Track'!$I:$I},2,0),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E483" s="116" t="str">
        <f t="array" ref="E483">ifs(and(isblank($A483),isblank($B483)),"", not(iserror(vlookup($A483&amp;$B483,'5) Release_Track'!$F:$F&amp;'5) Release_Track'!$G:$G,1,0))),vlookup($A483&amp;$B483,{'5) Release_Track'!$F:$F&amp;'5) Release_Track'!$G:$G,'5) Release_Track'!$J:$J},2,0),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F483" s="88"/>
      <c r="G483" s="92"/>
      <c r="H483" s="185"/>
      <c r="I483" s="121" t="str">
        <f t="shared" si="2"/>
        <v/>
      </c>
      <c r="J483" s="92"/>
      <c r="K483" s="92"/>
    </row>
    <row r="484">
      <c r="B484" s="97"/>
      <c r="C484" s="121" t="str">
        <f t="array" ref="C484">ifs(and(isblank($A484),isblank($B484)),"", not(iserror(vlookup($A484&amp;$B484,'5) Release_Track'!$F:$F&amp;'5) Release_Track'!$G:$G,1,0))),vlookup($A484&amp;$B484,{'5) Release_Track'!$F:$F&amp;'5) Release_Track'!$G:$G,'5) Release_Track'!$H:$H},2,0),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D484" s="121" t="str">
        <f t="array" ref="D484">ifs(and(isblank($A484),isblank($B484)),"", not(iserror(vlookup($A484&amp;$B484,'5) Release_Track'!$F:$F&amp;'5) Release_Track'!$G:$G,1,0))),vlookup($A484&amp;$B484,{'5) Release_Track'!$F:$F&amp;'5) Release_Track'!$G:$G,'5) Release_Track'!$I:$I},2,0),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E484" s="116" t="str">
        <f t="array" ref="E484">ifs(and(isblank($A484),isblank($B484)),"", not(iserror(vlookup($A484&amp;$B484,'5) Release_Track'!$F:$F&amp;'5) Release_Track'!$G:$G,1,0))),vlookup($A484&amp;$B484,{'5) Release_Track'!$F:$F&amp;'5) Release_Track'!$G:$G,'5) Release_Track'!$J:$J},2,0),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F484" s="88"/>
      <c r="G484" s="92"/>
      <c r="H484" s="185"/>
      <c r="I484" s="121" t="str">
        <f t="shared" si="2"/>
        <v/>
      </c>
      <c r="J484" s="92"/>
      <c r="K484" s="92"/>
    </row>
    <row r="485">
      <c r="B485" s="97"/>
      <c r="C485" s="121" t="str">
        <f t="array" ref="C485">ifs(and(isblank($A485),isblank($B485)),"", not(iserror(vlookup($A485&amp;$B485,'5) Release_Track'!$F:$F&amp;'5) Release_Track'!$G:$G,1,0))),vlookup($A485&amp;$B485,{'5) Release_Track'!$F:$F&amp;'5) Release_Track'!$G:$G,'5) Release_Track'!$H:$H},2,0),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D485" s="121" t="str">
        <f t="array" ref="D485">ifs(and(isblank($A485),isblank($B485)),"", not(iserror(vlookup($A485&amp;$B485,'5) Release_Track'!$F:$F&amp;'5) Release_Track'!$G:$G,1,0))),vlookup($A485&amp;$B485,{'5) Release_Track'!$F:$F&amp;'5) Release_Track'!$G:$G,'5) Release_Track'!$I:$I},2,0),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E485" s="116" t="str">
        <f t="array" ref="E485">ifs(and(isblank($A485),isblank($B485)),"", not(iserror(vlookup($A485&amp;$B485,'5) Release_Track'!$F:$F&amp;'5) Release_Track'!$G:$G,1,0))),vlookup($A485&amp;$B485,{'5) Release_Track'!$F:$F&amp;'5) Release_Track'!$G:$G,'5) Release_Track'!$J:$J},2,0),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F485" s="88"/>
      <c r="G485" s="92"/>
      <c r="H485" s="185"/>
      <c r="I485" s="121" t="str">
        <f t="shared" si="2"/>
        <v/>
      </c>
      <c r="J485" s="92"/>
      <c r="K485" s="92"/>
    </row>
    <row r="486">
      <c r="B486" s="97"/>
      <c r="C486" s="121" t="str">
        <f t="array" ref="C486">ifs(and(isblank($A486),isblank($B486)),"", not(iserror(vlookup($A486&amp;$B486,'5) Release_Track'!$F:$F&amp;'5) Release_Track'!$G:$G,1,0))),vlookup($A486&amp;$B486,{'5) Release_Track'!$F:$F&amp;'5) Release_Track'!$G:$G,'5) Release_Track'!$H:$H},2,0),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D486" s="121" t="str">
        <f t="array" ref="D486">ifs(and(isblank($A486),isblank($B486)),"", not(iserror(vlookup($A486&amp;$B486,'5) Release_Track'!$F:$F&amp;'5) Release_Track'!$G:$G,1,0))),vlookup($A486&amp;$B486,{'5) Release_Track'!$F:$F&amp;'5) Release_Track'!$G:$G,'5) Release_Track'!$I:$I},2,0),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E486" s="116" t="str">
        <f t="array" ref="E486">ifs(and(isblank($A486),isblank($B486)),"", not(iserror(vlookup($A486&amp;$B486,'5) Release_Track'!$F:$F&amp;'5) Release_Track'!$G:$G,1,0))),vlookup($A486&amp;$B486,{'5) Release_Track'!$F:$F&amp;'5) Release_Track'!$G:$G,'5) Release_Track'!$J:$J},2,0),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F486" s="88"/>
      <c r="G486" s="92"/>
      <c r="H486" s="185"/>
      <c r="I486" s="121" t="str">
        <f t="shared" si="2"/>
        <v/>
      </c>
      <c r="J486" s="92"/>
      <c r="K486" s="92"/>
    </row>
    <row r="487">
      <c r="B487" s="97"/>
      <c r="C487" s="121" t="str">
        <f t="array" ref="C487">ifs(and(isblank($A487),isblank($B487)),"", not(iserror(vlookup($A487&amp;$B487,'5) Release_Track'!$F:$F&amp;'5) Release_Track'!$G:$G,1,0))),vlookup($A487&amp;$B487,{'5) Release_Track'!$F:$F&amp;'5) Release_Track'!$G:$G,'5) Release_Track'!$H:$H},2,0),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D487" s="121" t="str">
        <f t="array" ref="D487">ifs(and(isblank($A487),isblank($B487)),"", not(iserror(vlookup($A487&amp;$B487,'5) Release_Track'!$F:$F&amp;'5) Release_Track'!$G:$G,1,0))),vlookup($A487&amp;$B487,{'5) Release_Track'!$F:$F&amp;'5) Release_Track'!$G:$G,'5) Release_Track'!$I:$I},2,0),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E487" s="116" t="str">
        <f t="array" ref="E487">ifs(and(isblank($A487),isblank($B487)),"", not(iserror(vlookup($A487&amp;$B487,'5) Release_Track'!$F:$F&amp;'5) Release_Track'!$G:$G,1,0))),vlookup($A487&amp;$B487,{'5) Release_Track'!$F:$F&amp;'5) Release_Track'!$G:$G,'5) Release_Track'!$J:$J},2,0),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F487" s="88"/>
      <c r="G487" s="92"/>
      <c r="H487" s="185"/>
      <c r="I487" s="121" t="str">
        <f t="shared" si="2"/>
        <v/>
      </c>
      <c r="J487" s="92"/>
      <c r="K487" s="92"/>
    </row>
    <row r="488">
      <c r="B488" s="97"/>
      <c r="C488" s="121" t="str">
        <f t="array" ref="C488">ifs(and(isblank($A488),isblank($B488)),"", not(iserror(vlookup($A488&amp;$B488,'5) Release_Track'!$F:$F&amp;'5) Release_Track'!$G:$G,1,0))),vlookup($A488&amp;$B488,{'5) Release_Track'!$F:$F&amp;'5) Release_Track'!$G:$G,'5) Release_Track'!$H:$H},2,0),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D488" s="121" t="str">
        <f t="array" ref="D488">ifs(and(isblank($A488),isblank($B488)),"", not(iserror(vlookup($A488&amp;$B488,'5) Release_Track'!$F:$F&amp;'5) Release_Track'!$G:$G,1,0))),vlookup($A488&amp;$B488,{'5) Release_Track'!$F:$F&amp;'5) Release_Track'!$G:$G,'5) Release_Track'!$I:$I},2,0),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E488" s="116" t="str">
        <f t="array" ref="E488">ifs(and(isblank($A488),isblank($B488)),"", not(iserror(vlookup($A488&amp;$B488,'5) Release_Track'!$F:$F&amp;'5) Release_Track'!$G:$G,1,0))),vlookup($A488&amp;$B488,{'5) Release_Track'!$F:$F&amp;'5) Release_Track'!$G:$G,'5) Release_Track'!$J:$J},2,0),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F488" s="88"/>
      <c r="G488" s="92"/>
      <c r="H488" s="185"/>
      <c r="I488" s="121" t="str">
        <f t="shared" si="2"/>
        <v/>
      </c>
      <c r="J488" s="92"/>
      <c r="K488" s="92"/>
    </row>
    <row r="489">
      <c r="B489" s="97"/>
      <c r="C489" s="121" t="str">
        <f t="array" ref="C489">ifs(and(isblank($A489),isblank($B489)),"", not(iserror(vlookup($A489&amp;$B489,'5) Release_Track'!$F:$F&amp;'5) Release_Track'!$G:$G,1,0))),vlookup($A489&amp;$B489,{'5) Release_Track'!$F:$F&amp;'5) Release_Track'!$G:$G,'5) Release_Track'!$H:$H},2,0),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D489" s="121" t="str">
        <f t="array" ref="D489">ifs(and(isblank($A489),isblank($B489)),"", not(iserror(vlookup($A489&amp;$B489,'5) Release_Track'!$F:$F&amp;'5) Release_Track'!$G:$G,1,0))),vlookup($A489&amp;$B489,{'5) Release_Track'!$F:$F&amp;'5) Release_Track'!$G:$G,'5) Release_Track'!$I:$I},2,0),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E489" s="116" t="str">
        <f t="array" ref="E489">ifs(and(isblank($A489),isblank($B489)),"", not(iserror(vlookup($A489&amp;$B489,'5) Release_Track'!$F:$F&amp;'5) Release_Track'!$G:$G,1,0))),vlookup($A489&amp;$B489,{'5) Release_Track'!$F:$F&amp;'5) Release_Track'!$G:$G,'5) Release_Track'!$J:$J},2,0),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F489" s="88"/>
      <c r="G489" s="92"/>
      <c r="H489" s="185"/>
      <c r="I489" s="121" t="str">
        <f t="shared" si="2"/>
        <v/>
      </c>
      <c r="J489" s="92"/>
      <c r="K489" s="92"/>
    </row>
    <row r="490">
      <c r="B490" s="97"/>
      <c r="C490" s="121" t="str">
        <f t="array" ref="C490">ifs(and(isblank($A490),isblank($B490)),"", not(iserror(vlookup($A490&amp;$B490,'5) Release_Track'!$F:$F&amp;'5) Release_Track'!$G:$G,1,0))),vlookup($A490&amp;$B490,{'5) Release_Track'!$F:$F&amp;'5) Release_Track'!$G:$G,'5) Release_Track'!$H:$H},2,0),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D490" s="121" t="str">
        <f t="array" ref="D490">ifs(and(isblank($A490),isblank($B490)),"", not(iserror(vlookup($A490&amp;$B490,'5) Release_Track'!$F:$F&amp;'5) Release_Track'!$G:$G,1,0))),vlookup($A490&amp;$B490,{'5) Release_Track'!$F:$F&amp;'5) Release_Track'!$G:$G,'5) Release_Track'!$I:$I},2,0),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E490" s="116" t="str">
        <f t="array" ref="E490">ifs(and(isblank($A490),isblank($B490)),"", not(iserror(vlookup($A490&amp;$B490,'5) Release_Track'!$F:$F&amp;'5) Release_Track'!$G:$G,1,0))),vlookup($A490&amp;$B490,{'5) Release_Track'!$F:$F&amp;'5) Release_Track'!$G:$G,'5) Release_Track'!$J:$J},2,0),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F490" s="88"/>
      <c r="G490" s="92"/>
      <c r="H490" s="185"/>
      <c r="I490" s="121" t="str">
        <f t="shared" si="2"/>
        <v/>
      </c>
      <c r="J490" s="92"/>
      <c r="K490" s="92"/>
    </row>
    <row r="491">
      <c r="B491" s="97"/>
      <c r="C491" s="121" t="str">
        <f t="array" ref="C491">ifs(and(isblank($A491),isblank($B491)),"", not(iserror(vlookup($A491&amp;$B491,'5) Release_Track'!$F:$F&amp;'5) Release_Track'!$G:$G,1,0))),vlookup($A491&amp;$B491,{'5) Release_Track'!$F:$F&amp;'5) Release_Track'!$G:$G,'5) Release_Track'!$H:$H},2,0),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D491" s="121" t="str">
        <f t="array" ref="D491">ifs(and(isblank($A491),isblank($B491)),"", not(iserror(vlookup($A491&amp;$B491,'5) Release_Track'!$F:$F&amp;'5) Release_Track'!$G:$G,1,0))),vlookup($A491&amp;$B491,{'5) Release_Track'!$F:$F&amp;'5) Release_Track'!$G:$G,'5) Release_Track'!$I:$I},2,0),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E491" s="116" t="str">
        <f t="array" ref="E491">ifs(and(isblank($A491),isblank($B491)),"", not(iserror(vlookup($A491&amp;$B491,'5) Release_Track'!$F:$F&amp;'5) Release_Track'!$G:$G,1,0))),vlookup($A491&amp;$B491,{'5) Release_Track'!$F:$F&amp;'5) Release_Track'!$G:$G,'5) Release_Track'!$J:$J},2,0),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F491" s="88"/>
      <c r="G491" s="92"/>
      <c r="H491" s="185"/>
      <c r="I491" s="121" t="str">
        <f t="shared" si="2"/>
        <v/>
      </c>
      <c r="J491" s="92"/>
      <c r="K491" s="92"/>
    </row>
    <row r="492">
      <c r="B492" s="97"/>
      <c r="C492" s="121" t="str">
        <f t="array" ref="C492">ifs(and(isblank($A492),isblank($B492)),"", not(iserror(vlookup($A492&amp;$B492,'5) Release_Track'!$F:$F&amp;'5) Release_Track'!$G:$G,1,0))),vlookup($A492&amp;$B492,{'5) Release_Track'!$F:$F&amp;'5) Release_Track'!$G:$G,'5) Release_Track'!$H:$H},2,0),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D492" s="121" t="str">
        <f t="array" ref="D492">ifs(and(isblank($A492),isblank($B492)),"", not(iserror(vlookup($A492&amp;$B492,'5) Release_Track'!$F:$F&amp;'5) Release_Track'!$G:$G,1,0))),vlookup($A492&amp;$B492,{'5) Release_Track'!$F:$F&amp;'5) Release_Track'!$G:$G,'5) Release_Track'!$I:$I},2,0),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E492" s="116" t="str">
        <f t="array" ref="E492">ifs(and(isblank($A492),isblank($B492)),"", not(iserror(vlookup($A492&amp;$B492,'5) Release_Track'!$F:$F&amp;'5) Release_Track'!$G:$G,1,0))),vlookup($A492&amp;$B492,{'5) Release_Track'!$F:$F&amp;'5) Release_Track'!$G:$G,'5) Release_Track'!$J:$J},2,0),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F492" s="88"/>
      <c r="G492" s="92"/>
      <c r="H492" s="185"/>
      <c r="I492" s="121" t="str">
        <f t="shared" si="2"/>
        <v/>
      </c>
      <c r="J492" s="92"/>
      <c r="K492" s="92"/>
    </row>
    <row r="493">
      <c r="B493" s="97"/>
      <c r="C493" s="121" t="str">
        <f t="array" ref="C493">ifs(and(isblank($A493),isblank($B493)),"", not(iserror(vlookup($A493&amp;$B493,'5) Release_Track'!$F:$F&amp;'5) Release_Track'!$G:$G,1,0))),vlookup($A493&amp;$B493,{'5) Release_Track'!$F:$F&amp;'5) Release_Track'!$G:$G,'5) Release_Track'!$H:$H},2,0),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D493" s="121" t="str">
        <f t="array" ref="D493">ifs(and(isblank($A493),isblank($B493)),"", not(iserror(vlookup($A493&amp;$B493,'5) Release_Track'!$F:$F&amp;'5) Release_Track'!$G:$G,1,0))),vlookup($A493&amp;$B493,{'5) Release_Track'!$F:$F&amp;'5) Release_Track'!$G:$G,'5) Release_Track'!$I:$I},2,0),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E493" s="116" t="str">
        <f t="array" ref="E493">ifs(and(isblank($A493),isblank($B493)),"", not(iserror(vlookup($A493&amp;$B493,'5) Release_Track'!$F:$F&amp;'5) Release_Track'!$G:$G,1,0))),vlookup($A493&amp;$B493,{'5) Release_Track'!$F:$F&amp;'5) Release_Track'!$G:$G,'5) Release_Track'!$J:$J},2,0),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F493" s="88"/>
      <c r="G493" s="92"/>
      <c r="H493" s="185"/>
      <c r="I493" s="121" t="str">
        <f t="shared" si="2"/>
        <v/>
      </c>
      <c r="J493" s="92"/>
      <c r="K493" s="92"/>
    </row>
    <row r="494">
      <c r="B494" s="97"/>
      <c r="C494" s="121" t="str">
        <f t="array" ref="C494">ifs(and(isblank($A494),isblank($B494)),"", not(iserror(vlookup($A494&amp;$B494,'5) Release_Track'!$F:$F&amp;'5) Release_Track'!$G:$G,1,0))),vlookup($A494&amp;$B494,{'5) Release_Track'!$F:$F&amp;'5) Release_Track'!$G:$G,'5) Release_Track'!$H:$H},2,0),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D494" s="121" t="str">
        <f t="array" ref="D494">ifs(and(isblank($A494),isblank($B494)),"", not(iserror(vlookup($A494&amp;$B494,'5) Release_Track'!$F:$F&amp;'5) Release_Track'!$G:$G,1,0))),vlookup($A494&amp;$B494,{'5) Release_Track'!$F:$F&amp;'5) Release_Track'!$G:$G,'5) Release_Track'!$I:$I},2,0),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E494" s="116" t="str">
        <f t="array" ref="E494">ifs(and(isblank($A494),isblank($B494)),"", not(iserror(vlookup($A494&amp;$B494,'5) Release_Track'!$F:$F&amp;'5) Release_Track'!$G:$G,1,0))),vlookup($A494&amp;$B494,{'5) Release_Track'!$F:$F&amp;'5) Release_Track'!$G:$G,'5) Release_Track'!$J:$J},2,0),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F494" s="88"/>
      <c r="G494" s="92"/>
      <c r="H494" s="185"/>
      <c r="I494" s="121" t="str">
        <f t="shared" si="2"/>
        <v/>
      </c>
      <c r="J494" s="92"/>
      <c r="K494" s="92"/>
    </row>
    <row r="495">
      <c r="B495" s="97"/>
      <c r="C495" s="121" t="str">
        <f t="array" ref="C495">ifs(and(isblank($A495),isblank($B495)),"", not(iserror(vlookup($A495&amp;$B495,'5) Release_Track'!$F:$F&amp;'5) Release_Track'!$G:$G,1,0))),vlookup($A495&amp;$B495,{'5) Release_Track'!$F:$F&amp;'5) Release_Track'!$G:$G,'5) Release_Track'!$H:$H},2,0),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D495" s="121" t="str">
        <f t="array" ref="D495">ifs(and(isblank($A495),isblank($B495)),"", not(iserror(vlookup($A495&amp;$B495,'5) Release_Track'!$F:$F&amp;'5) Release_Track'!$G:$G,1,0))),vlookup($A495&amp;$B495,{'5) Release_Track'!$F:$F&amp;'5) Release_Track'!$G:$G,'5) Release_Track'!$I:$I},2,0),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E495" s="116" t="str">
        <f t="array" ref="E495">ifs(and(isblank($A495),isblank($B495)),"", not(iserror(vlookup($A495&amp;$B495,'5) Release_Track'!$F:$F&amp;'5) Release_Track'!$G:$G,1,0))),vlookup($A495&amp;$B495,{'5) Release_Track'!$F:$F&amp;'5) Release_Track'!$G:$G,'5) Release_Track'!$J:$J},2,0),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F495" s="88"/>
      <c r="G495" s="92"/>
      <c r="H495" s="185"/>
      <c r="I495" s="121" t="str">
        <f t="shared" si="2"/>
        <v/>
      </c>
      <c r="J495" s="92"/>
      <c r="K495" s="92"/>
    </row>
    <row r="496">
      <c r="B496" s="97"/>
      <c r="C496" s="121" t="str">
        <f t="array" ref="C496">ifs(and(isblank($A496),isblank($B496)),"", not(iserror(vlookup($A496&amp;$B496,'5) Release_Track'!$F:$F&amp;'5) Release_Track'!$G:$G,1,0))),vlookup($A496&amp;$B496,{'5) Release_Track'!$F:$F&amp;'5) Release_Track'!$G:$G,'5) Release_Track'!$H:$H},2,0),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D496" s="121" t="str">
        <f t="array" ref="D496">ifs(and(isblank($A496),isblank($B496)),"", not(iserror(vlookup($A496&amp;$B496,'5) Release_Track'!$F:$F&amp;'5) Release_Track'!$G:$G,1,0))),vlookup($A496&amp;$B496,{'5) Release_Track'!$F:$F&amp;'5) Release_Track'!$G:$G,'5) Release_Track'!$I:$I},2,0),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E496" s="116" t="str">
        <f t="array" ref="E496">ifs(and(isblank($A496),isblank($B496)),"", not(iserror(vlookup($A496&amp;$B496,'5) Release_Track'!$F:$F&amp;'5) Release_Track'!$G:$G,1,0))),vlookup($A496&amp;$B496,{'5) Release_Track'!$F:$F&amp;'5) Release_Track'!$G:$G,'5) Release_Track'!$J:$J},2,0),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F496" s="88"/>
      <c r="G496" s="92"/>
      <c r="H496" s="185"/>
      <c r="I496" s="121" t="str">
        <f t="shared" si="2"/>
        <v/>
      </c>
      <c r="J496" s="92"/>
      <c r="K496" s="92"/>
    </row>
    <row r="497">
      <c r="B497" s="97"/>
      <c r="C497" s="121" t="str">
        <f t="array" ref="C497">ifs(and(isblank($A497),isblank($B497)),"", not(iserror(vlookup($A497&amp;$B497,'5) Release_Track'!$F:$F&amp;'5) Release_Track'!$G:$G,1,0))),vlookup($A497&amp;$B497,{'5) Release_Track'!$F:$F&amp;'5) Release_Track'!$G:$G,'5) Release_Track'!$H:$H},2,0),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D497" s="121" t="str">
        <f t="array" ref="D497">ifs(and(isblank($A497),isblank($B497)),"", not(iserror(vlookup($A497&amp;$B497,'5) Release_Track'!$F:$F&amp;'5) Release_Track'!$G:$G,1,0))),vlookup($A497&amp;$B497,{'5) Release_Track'!$F:$F&amp;'5) Release_Track'!$G:$G,'5) Release_Track'!$I:$I},2,0),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E497" s="116" t="str">
        <f t="array" ref="E497">ifs(and(isblank($A497),isblank($B497)),"", not(iserror(vlookup($A497&amp;$B497,'5) Release_Track'!$F:$F&amp;'5) Release_Track'!$G:$G,1,0))),vlookup($A497&amp;$B497,{'5) Release_Track'!$F:$F&amp;'5) Release_Track'!$G:$G,'5) Release_Track'!$J:$J},2,0),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F497" s="88"/>
      <c r="G497" s="92"/>
      <c r="H497" s="185"/>
      <c r="I497" s="121" t="str">
        <f t="shared" si="2"/>
        <v/>
      </c>
      <c r="J497" s="92"/>
      <c r="K497" s="92"/>
    </row>
    <row r="498">
      <c r="B498" s="97"/>
      <c r="C498" s="121" t="str">
        <f t="array" ref="C498">ifs(and(isblank($A498),isblank($B498)),"", not(iserror(vlookup($A498&amp;$B498,'5) Release_Track'!$F:$F&amp;'5) Release_Track'!$G:$G,1,0))),vlookup($A498&amp;$B498,{'5) Release_Track'!$F:$F&amp;'5) Release_Track'!$G:$G,'5) Release_Track'!$H:$H},2,0),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D498" s="121" t="str">
        <f t="array" ref="D498">ifs(and(isblank($A498),isblank($B498)),"", not(iserror(vlookup($A498&amp;$B498,'5) Release_Track'!$F:$F&amp;'5) Release_Track'!$G:$G,1,0))),vlookup($A498&amp;$B498,{'5) Release_Track'!$F:$F&amp;'5) Release_Track'!$G:$G,'5) Release_Track'!$I:$I},2,0),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E498" s="116" t="str">
        <f t="array" ref="E498">ifs(and(isblank($A498),isblank($B498)),"", not(iserror(vlookup($A498&amp;$B498,'5) Release_Track'!$F:$F&amp;'5) Release_Track'!$G:$G,1,0))),vlookup($A498&amp;$B498,{'5) Release_Track'!$F:$F&amp;'5) Release_Track'!$G:$G,'5) Release_Track'!$J:$J},2,0),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F498" s="88"/>
      <c r="G498" s="92"/>
      <c r="H498" s="185"/>
      <c r="I498" s="121" t="str">
        <f t="shared" si="2"/>
        <v/>
      </c>
      <c r="J498" s="92"/>
      <c r="K498" s="92"/>
    </row>
    <row r="499">
      <c r="B499" s="97"/>
      <c r="C499" s="121" t="str">
        <f t="array" ref="C499">ifs(and(isblank($A499),isblank($B499)),"", not(iserror(vlookup($A499&amp;$B499,'5) Release_Track'!$F:$F&amp;'5) Release_Track'!$G:$G,1,0))),vlookup($A499&amp;$B499,{'5) Release_Track'!$F:$F&amp;'5) Release_Track'!$G:$G,'5) Release_Track'!$H:$H},2,0),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D499" s="121" t="str">
        <f t="array" ref="D499">ifs(and(isblank($A499),isblank($B499)),"", not(iserror(vlookup($A499&amp;$B499,'5) Release_Track'!$F:$F&amp;'5) Release_Track'!$G:$G,1,0))),vlookup($A499&amp;$B499,{'5) Release_Track'!$F:$F&amp;'5) Release_Track'!$G:$G,'5) Release_Track'!$I:$I},2,0),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E499" s="116" t="str">
        <f t="array" ref="E499">ifs(and(isblank($A499),isblank($B499)),"", not(iserror(vlookup($A499&amp;$B499,'5) Release_Track'!$F:$F&amp;'5) Release_Track'!$G:$G,1,0))),vlookup($A499&amp;$B499,{'5) Release_Track'!$F:$F&amp;'5) Release_Track'!$G:$G,'5) Release_Track'!$J:$J},2,0),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F499" s="88"/>
      <c r="G499" s="92"/>
      <c r="H499" s="185"/>
      <c r="I499" s="121" t="str">
        <f t="shared" si="2"/>
        <v/>
      </c>
      <c r="J499" s="92"/>
      <c r="K499" s="92"/>
    </row>
    <row r="500">
      <c r="B500" s="97"/>
      <c r="C500" s="121" t="str">
        <f t="array" ref="C500">ifs(and(isblank($A500),isblank($B500)),"", not(iserror(vlookup($A500&amp;$B500,'5) Release_Track'!$F:$F&amp;'5) Release_Track'!$G:$G,1,0))),vlookup($A500&amp;$B500,{'5) Release_Track'!$F:$F&amp;'5) Release_Track'!$G:$G,'5) Release_Track'!$H:$H},2,0),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D500" s="121" t="str">
        <f t="array" ref="D500">ifs(and(isblank($A500),isblank($B500)),"", not(iserror(vlookup($A500&amp;$B500,'5) Release_Track'!$F:$F&amp;'5) Release_Track'!$G:$G,1,0))),vlookup($A500&amp;$B500,{'5) Release_Track'!$F:$F&amp;'5) Release_Track'!$G:$G,'5) Release_Track'!$I:$I},2,0),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E500" s="116" t="str">
        <f t="array" ref="E500">ifs(and(isblank($A500),isblank($B500)),"", not(iserror(vlookup($A500&amp;$B500,'5) Release_Track'!$F:$F&amp;'5) Release_Track'!$G:$G,1,0))),vlookup($A500&amp;$B500,{'5) Release_Track'!$F:$F&amp;'5) Release_Track'!$G:$G,'5) Release_Track'!$J:$J},2,0),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F500" s="88"/>
      <c r="G500" s="92"/>
      <c r="H500" s="185"/>
      <c r="I500" s="121" t="str">
        <f t="shared" si="2"/>
        <v/>
      </c>
      <c r="J500" s="92"/>
      <c r="K500" s="92"/>
    </row>
    <row r="501">
      <c r="B501" s="97"/>
      <c r="C501" s="121" t="str">
        <f t="array" ref="C501">ifs(and(isblank($A501),isblank($B501)),"", not(iserror(vlookup($A501&amp;$B501,'5) Release_Track'!$F:$F&amp;'5) Release_Track'!$G:$G,1,0))),vlookup($A501&amp;$B501,{'5) Release_Track'!$F:$F&amp;'5) Release_Track'!$G:$G,'5) Release_Track'!$H:$H},2,0),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D501" s="121" t="str">
        <f t="array" ref="D501">ifs(and(isblank($A501),isblank($B501)),"", not(iserror(vlookup($A501&amp;$B501,'5) Release_Track'!$F:$F&amp;'5) Release_Track'!$G:$G,1,0))),vlookup($A501&amp;$B501,{'5) Release_Track'!$F:$F&amp;'5) Release_Track'!$G:$G,'5) Release_Track'!$I:$I},2,0),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E501" s="116" t="str">
        <f t="array" ref="E501">ifs(and(isblank($A501),isblank($B501)),"", not(iserror(vlookup($A501&amp;$B501,'5) Release_Track'!$F:$F&amp;'5) Release_Track'!$G:$G,1,0))),vlookup($A501&amp;$B501,{'5) Release_Track'!$F:$F&amp;'5) Release_Track'!$G:$G,'5) Release_Track'!$J:$J},2,0),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F501" s="88"/>
      <c r="G501" s="92"/>
      <c r="H501" s="185"/>
      <c r="I501" s="121" t="str">
        <f t="shared" si="2"/>
        <v/>
      </c>
      <c r="J501" s="92"/>
      <c r="K501" s="92"/>
    </row>
    <row r="502">
      <c r="B502" s="97"/>
      <c r="C502" s="121" t="str">
        <f t="array" ref="C502">ifs(and(isblank($A502),isblank($B502)),"", not(iserror(vlookup($A502&amp;$B502,'5) Release_Track'!$F:$F&amp;'5) Release_Track'!$G:$G,1,0))),vlookup($A502&amp;$B502,{'5) Release_Track'!$F:$F&amp;'5) Release_Track'!$G:$G,'5) Release_Track'!$H:$H},2,0),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D502" s="121" t="str">
        <f t="array" ref="D502">ifs(and(isblank($A502),isblank($B502)),"", not(iserror(vlookup($A502&amp;$B502,'5) Release_Track'!$F:$F&amp;'5) Release_Track'!$G:$G,1,0))),vlookup($A502&amp;$B502,{'5) Release_Track'!$F:$F&amp;'5) Release_Track'!$G:$G,'5) Release_Track'!$I:$I},2,0),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E502" s="116" t="str">
        <f t="array" ref="E502">ifs(and(isblank($A502),isblank($B502)),"", not(iserror(vlookup($A502&amp;$B502,'5) Release_Track'!$F:$F&amp;'5) Release_Track'!$G:$G,1,0))),vlookup($A502&amp;$B502,{'5) Release_Track'!$F:$F&amp;'5) Release_Track'!$G:$G,'5) Release_Track'!$J:$J},2,0),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F502" s="88"/>
      <c r="G502" s="92"/>
      <c r="H502" s="185"/>
      <c r="I502" s="121" t="str">
        <f t="shared" si="2"/>
        <v/>
      </c>
      <c r="J502" s="92"/>
      <c r="K502" s="92"/>
    </row>
    <row r="503">
      <c r="B503" s="97"/>
      <c r="C503" s="121" t="str">
        <f t="array" ref="C503">ifs(and(isblank($A503),isblank($B503)),"", not(iserror(vlookup($A503&amp;$B503,'5) Release_Track'!$F:$F&amp;'5) Release_Track'!$G:$G,1,0))),vlookup($A503&amp;$B503,{'5) Release_Track'!$F:$F&amp;'5) Release_Track'!$G:$G,'5) Release_Track'!$H:$H},2,0),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D503" s="121" t="str">
        <f t="array" ref="D503">ifs(and(isblank($A503),isblank($B503)),"", not(iserror(vlookup($A503&amp;$B503,'5) Release_Track'!$F:$F&amp;'5) Release_Track'!$G:$G,1,0))),vlookup($A503&amp;$B503,{'5) Release_Track'!$F:$F&amp;'5) Release_Track'!$G:$G,'5) Release_Track'!$I:$I},2,0),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E503" s="116" t="str">
        <f t="array" ref="E503">ifs(and(isblank($A503),isblank($B503)),"", not(iserror(vlookup($A503&amp;$B503,'5) Release_Track'!$F:$F&amp;'5) Release_Track'!$G:$G,1,0))),vlookup($A503&amp;$B503,{'5) Release_Track'!$F:$F&amp;'5) Release_Track'!$G:$G,'5) Release_Track'!$J:$J},2,0),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F503" s="88"/>
      <c r="G503" s="92"/>
      <c r="H503" s="185"/>
      <c r="I503" s="121" t="str">
        <f t="shared" si="2"/>
        <v/>
      </c>
      <c r="J503" s="92"/>
      <c r="K503" s="92"/>
    </row>
    <row r="504">
      <c r="B504" s="97"/>
      <c r="C504" s="121" t="str">
        <f t="array" ref="C504">ifs(and(isblank($A504),isblank($B504)),"", not(iserror(vlookup($A504&amp;$B504,'5) Release_Track'!$F:$F&amp;'5) Release_Track'!$G:$G,1,0))),vlookup($A504&amp;$B504,{'5) Release_Track'!$F:$F&amp;'5) Release_Track'!$G:$G,'5) Release_Track'!$H:$H},2,0),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D504" s="121" t="str">
        <f t="array" ref="D504">ifs(and(isblank($A504),isblank($B504)),"", not(iserror(vlookup($A504&amp;$B504,'5) Release_Track'!$F:$F&amp;'5) Release_Track'!$G:$G,1,0))),vlookup($A504&amp;$B504,{'5) Release_Track'!$F:$F&amp;'5) Release_Track'!$G:$G,'5) Release_Track'!$I:$I},2,0),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E504" s="116" t="str">
        <f t="array" ref="E504">ifs(and(isblank($A504),isblank($B504)),"", not(iserror(vlookup($A504&amp;$B504,'5) Release_Track'!$F:$F&amp;'5) Release_Track'!$G:$G,1,0))),vlookup($A504&amp;$B504,{'5) Release_Track'!$F:$F&amp;'5) Release_Track'!$G:$G,'5) Release_Track'!$J:$J},2,0),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F504" s="88"/>
      <c r="G504" s="92"/>
      <c r="H504" s="185"/>
      <c r="I504" s="121" t="str">
        <f t="shared" si="2"/>
        <v/>
      </c>
      <c r="J504" s="92"/>
      <c r="K504" s="92"/>
    </row>
    <row r="505">
      <c r="B505" s="97"/>
      <c r="C505" s="121" t="str">
        <f t="array" ref="C505">ifs(and(isblank($A505),isblank($B505)),"", not(iserror(vlookup($A505&amp;$B505,'5) Release_Track'!$F:$F&amp;'5) Release_Track'!$G:$G,1,0))),vlookup($A505&amp;$B505,{'5) Release_Track'!$F:$F&amp;'5) Release_Track'!$G:$G,'5) Release_Track'!$H:$H},2,0),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D505" s="121" t="str">
        <f t="array" ref="D505">ifs(and(isblank($A505),isblank($B505)),"", not(iserror(vlookup($A505&amp;$B505,'5) Release_Track'!$F:$F&amp;'5) Release_Track'!$G:$G,1,0))),vlookup($A505&amp;$B505,{'5) Release_Track'!$F:$F&amp;'5) Release_Track'!$G:$G,'5) Release_Track'!$I:$I},2,0),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E505" s="116" t="str">
        <f t="array" ref="E505">ifs(and(isblank($A505),isblank($B505)),"", not(iserror(vlookup($A505&amp;$B505,'5) Release_Track'!$F:$F&amp;'5) Release_Track'!$G:$G,1,0))),vlookup($A505&amp;$B505,{'5) Release_Track'!$F:$F&amp;'5) Release_Track'!$G:$G,'5) Release_Track'!$J:$J},2,0),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F505" s="88"/>
      <c r="G505" s="92"/>
      <c r="H505" s="185"/>
      <c r="I505" s="121" t="str">
        <f t="shared" si="2"/>
        <v/>
      </c>
      <c r="J505" s="92"/>
      <c r="K505" s="92"/>
    </row>
    <row r="506">
      <c r="B506" s="97"/>
      <c r="C506" s="121" t="str">
        <f t="array" ref="C506">ifs(and(isblank($A506),isblank($B506)),"", not(iserror(vlookup($A506&amp;$B506,'5) Release_Track'!$F:$F&amp;'5) Release_Track'!$G:$G,1,0))),vlookup($A506&amp;$B506,{'5) Release_Track'!$F:$F&amp;'5) Release_Track'!$G:$G,'5) Release_Track'!$H:$H},2,0),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D506" s="121" t="str">
        <f t="array" ref="D506">ifs(and(isblank($A506),isblank($B506)),"", not(iserror(vlookup($A506&amp;$B506,'5) Release_Track'!$F:$F&amp;'5) Release_Track'!$G:$G,1,0))),vlookup($A506&amp;$B506,{'5) Release_Track'!$F:$F&amp;'5) Release_Track'!$G:$G,'5) Release_Track'!$I:$I},2,0),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E506" s="116" t="str">
        <f t="array" ref="E506">ifs(and(isblank($A506),isblank($B506)),"", not(iserror(vlookup($A506&amp;$B506,'5) Release_Track'!$F:$F&amp;'5) Release_Track'!$G:$G,1,0))),vlookup($A506&amp;$B506,{'5) Release_Track'!$F:$F&amp;'5) Release_Track'!$G:$G,'5) Release_Track'!$J:$J},2,0),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F506" s="88"/>
      <c r="G506" s="92"/>
      <c r="H506" s="185"/>
      <c r="I506" s="121" t="str">
        <f t="shared" si="2"/>
        <v/>
      </c>
      <c r="J506" s="92"/>
      <c r="K506" s="92"/>
    </row>
    <row r="507">
      <c r="B507" s="97"/>
      <c r="C507" s="121" t="str">
        <f t="array" ref="C507">ifs(and(isblank($A507),isblank($B507)),"", not(iserror(vlookup($A507&amp;$B507,'5) Release_Track'!$F:$F&amp;'5) Release_Track'!$G:$G,1,0))),vlookup($A507&amp;$B507,{'5) Release_Track'!$F:$F&amp;'5) Release_Track'!$G:$G,'5) Release_Track'!$H:$H},2,0),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D507" s="121" t="str">
        <f t="array" ref="D507">ifs(and(isblank($A507),isblank($B507)),"", not(iserror(vlookup($A507&amp;$B507,'5) Release_Track'!$F:$F&amp;'5) Release_Track'!$G:$G,1,0))),vlookup($A507&amp;$B507,{'5) Release_Track'!$F:$F&amp;'5) Release_Track'!$G:$G,'5) Release_Track'!$I:$I},2,0),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E507" s="116" t="str">
        <f t="array" ref="E507">ifs(and(isblank($A507),isblank($B507)),"", not(iserror(vlookup($A507&amp;$B507,'5) Release_Track'!$F:$F&amp;'5) Release_Track'!$G:$G,1,0))),vlookup($A507&amp;$B507,{'5) Release_Track'!$F:$F&amp;'5) Release_Track'!$G:$G,'5) Release_Track'!$J:$J},2,0),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F507" s="88"/>
      <c r="G507" s="92"/>
      <c r="H507" s="185"/>
      <c r="I507" s="121" t="str">
        <f t="shared" si="2"/>
        <v/>
      </c>
      <c r="J507" s="92"/>
      <c r="K507" s="92"/>
    </row>
    <row r="508">
      <c r="B508" s="97"/>
      <c r="C508" s="121" t="str">
        <f t="array" ref="C508">ifs(and(isblank($A508),isblank($B508)),"", not(iserror(vlookup($A508&amp;$B508,'5) Release_Track'!$F:$F&amp;'5) Release_Track'!$G:$G,1,0))),vlookup($A508&amp;$B508,{'5) Release_Track'!$F:$F&amp;'5) Release_Track'!$G:$G,'5) Release_Track'!$H:$H},2,0),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D508" s="121" t="str">
        <f t="array" ref="D508">ifs(and(isblank($A508),isblank($B508)),"", not(iserror(vlookup($A508&amp;$B508,'5) Release_Track'!$F:$F&amp;'5) Release_Track'!$G:$G,1,0))),vlookup($A508&amp;$B508,{'5) Release_Track'!$F:$F&amp;'5) Release_Track'!$G:$G,'5) Release_Track'!$I:$I},2,0),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E508" s="116" t="str">
        <f t="array" ref="E508">ifs(and(isblank($A508),isblank($B508)),"", not(iserror(vlookup($A508&amp;$B508,'5) Release_Track'!$F:$F&amp;'5) Release_Track'!$G:$G,1,0))),vlookup($A508&amp;$B508,{'5) Release_Track'!$F:$F&amp;'5) Release_Track'!$G:$G,'5) Release_Track'!$J:$J},2,0),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F508" s="88"/>
      <c r="G508" s="92"/>
      <c r="H508" s="185"/>
      <c r="I508" s="121" t="str">
        <f t="shared" si="2"/>
        <v/>
      </c>
      <c r="J508" s="92"/>
      <c r="K508" s="92"/>
    </row>
    <row r="509">
      <c r="B509" s="97"/>
      <c r="C509" s="121" t="str">
        <f t="array" ref="C509">ifs(and(isblank($A509),isblank($B509)),"", not(iserror(vlookup($A509&amp;$B509,'5) Release_Track'!$F:$F&amp;'5) Release_Track'!$G:$G,1,0))),vlookup($A509&amp;$B509,{'5) Release_Track'!$F:$F&amp;'5) Release_Track'!$G:$G,'5) Release_Track'!$H:$H},2,0),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D509" s="121" t="str">
        <f t="array" ref="D509">ifs(and(isblank($A509),isblank($B509)),"", not(iserror(vlookup($A509&amp;$B509,'5) Release_Track'!$F:$F&amp;'5) Release_Track'!$G:$G,1,0))),vlookup($A509&amp;$B509,{'5) Release_Track'!$F:$F&amp;'5) Release_Track'!$G:$G,'5) Release_Track'!$I:$I},2,0),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E509" s="116" t="str">
        <f t="array" ref="E509">ifs(and(isblank($A509),isblank($B509)),"", not(iserror(vlookup($A509&amp;$B509,'5) Release_Track'!$F:$F&amp;'5) Release_Track'!$G:$G,1,0))),vlookup($A509&amp;$B509,{'5) Release_Track'!$F:$F&amp;'5) Release_Track'!$G:$G,'5) Release_Track'!$J:$J},2,0),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F509" s="88"/>
      <c r="G509" s="92"/>
      <c r="H509" s="185"/>
      <c r="I509" s="121" t="str">
        <f t="shared" si="2"/>
        <v/>
      </c>
      <c r="J509" s="92"/>
      <c r="K509" s="92"/>
    </row>
    <row r="510">
      <c r="B510" s="97"/>
      <c r="C510" s="121" t="str">
        <f t="array" ref="C510">ifs(and(isblank($A510),isblank($B510)),"", not(iserror(vlookup($A510&amp;$B510,'5) Release_Track'!$F:$F&amp;'5) Release_Track'!$G:$G,1,0))),vlookup($A510&amp;$B510,{'5) Release_Track'!$F:$F&amp;'5) Release_Track'!$G:$G,'5) Release_Track'!$H:$H},2,0),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D510" s="121" t="str">
        <f t="array" ref="D510">ifs(and(isblank($A510),isblank($B510)),"", not(iserror(vlookup($A510&amp;$B510,'5) Release_Track'!$F:$F&amp;'5) Release_Track'!$G:$G,1,0))),vlookup($A510&amp;$B510,{'5) Release_Track'!$F:$F&amp;'5) Release_Track'!$G:$G,'5) Release_Track'!$I:$I},2,0),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E510" s="116" t="str">
        <f t="array" ref="E510">ifs(and(isblank($A510),isblank($B510)),"", not(iserror(vlookup($A510&amp;$B510,'5) Release_Track'!$F:$F&amp;'5) Release_Track'!$G:$G,1,0))),vlookup($A510&amp;$B510,{'5) Release_Track'!$F:$F&amp;'5) Release_Track'!$G:$G,'5) Release_Track'!$J:$J},2,0),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F510" s="88"/>
      <c r="G510" s="92"/>
      <c r="H510" s="185"/>
      <c r="I510" s="121" t="str">
        <f t="shared" si="2"/>
        <v/>
      </c>
      <c r="J510" s="92"/>
      <c r="K510" s="92"/>
    </row>
    <row r="511">
      <c r="B511" s="97"/>
      <c r="C511" s="121" t="str">
        <f t="array" ref="C511">ifs(and(isblank($A511),isblank($B511)),"", not(iserror(vlookup($A511&amp;$B511,'5) Release_Track'!$F:$F&amp;'5) Release_Track'!$G:$G,1,0))),vlookup($A511&amp;$B511,{'5) Release_Track'!$F:$F&amp;'5) Release_Track'!$G:$G,'5) Release_Track'!$H:$H},2,0),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D511" s="121" t="str">
        <f t="array" ref="D511">ifs(and(isblank($A511),isblank($B511)),"", not(iserror(vlookup($A511&amp;$B511,'5) Release_Track'!$F:$F&amp;'5) Release_Track'!$G:$G,1,0))),vlookup($A511&amp;$B511,{'5) Release_Track'!$F:$F&amp;'5) Release_Track'!$G:$G,'5) Release_Track'!$I:$I},2,0),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E511" s="116" t="str">
        <f t="array" ref="E511">ifs(and(isblank($A511),isblank($B511)),"", not(iserror(vlookup($A511&amp;$B511,'5) Release_Track'!$F:$F&amp;'5) Release_Track'!$G:$G,1,0))),vlookup($A511&amp;$B511,{'5) Release_Track'!$F:$F&amp;'5) Release_Track'!$G:$G,'5) Release_Track'!$J:$J},2,0),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F511" s="88"/>
      <c r="G511" s="92"/>
      <c r="H511" s="185"/>
      <c r="I511" s="121" t="str">
        <f t="shared" si="2"/>
        <v/>
      </c>
      <c r="J511" s="92"/>
      <c r="K511" s="92"/>
    </row>
    <row r="512">
      <c r="B512" s="97"/>
      <c r="C512" s="121" t="str">
        <f t="array" ref="C512">ifs(and(isblank($A512),isblank($B512)),"", not(iserror(vlookup($A512&amp;$B512,'5) Release_Track'!$F:$F&amp;'5) Release_Track'!$G:$G,1,0))),vlookup($A512&amp;$B512,{'5) Release_Track'!$F:$F&amp;'5) Release_Track'!$G:$G,'5) Release_Track'!$H:$H},2,0),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D512" s="121" t="str">
        <f t="array" ref="D512">ifs(and(isblank($A512),isblank($B512)),"", not(iserror(vlookup($A512&amp;$B512,'5) Release_Track'!$F:$F&amp;'5) Release_Track'!$G:$G,1,0))),vlookup($A512&amp;$B512,{'5) Release_Track'!$F:$F&amp;'5) Release_Track'!$G:$G,'5) Release_Track'!$I:$I},2,0),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E512" s="116" t="str">
        <f t="array" ref="E512">ifs(and(isblank($A512),isblank($B512)),"", not(iserror(vlookup($A512&amp;$B512,'5) Release_Track'!$F:$F&amp;'5) Release_Track'!$G:$G,1,0))),vlookup($A512&amp;$B512,{'5) Release_Track'!$F:$F&amp;'5) Release_Track'!$G:$G,'5) Release_Track'!$J:$J},2,0),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F512" s="88"/>
      <c r="G512" s="92"/>
      <c r="H512" s="185"/>
      <c r="I512" s="121" t="str">
        <f t="shared" si="2"/>
        <v/>
      </c>
      <c r="J512" s="92"/>
      <c r="K512" s="92"/>
    </row>
    <row r="513">
      <c r="B513" s="97"/>
      <c r="C513" s="121" t="str">
        <f t="array" ref="C513">ifs(and(isblank($A513),isblank($B513)),"", not(iserror(vlookup($A513&amp;$B513,'5) Release_Track'!$F:$F&amp;'5) Release_Track'!$G:$G,1,0))),vlookup($A513&amp;$B513,{'5) Release_Track'!$F:$F&amp;'5) Release_Track'!$G:$G,'5) Release_Track'!$H:$H},2,0),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D513" s="121" t="str">
        <f t="array" ref="D513">ifs(and(isblank($A513),isblank($B513)),"", not(iserror(vlookup($A513&amp;$B513,'5) Release_Track'!$F:$F&amp;'5) Release_Track'!$G:$G,1,0))),vlookup($A513&amp;$B513,{'5) Release_Track'!$F:$F&amp;'5) Release_Track'!$G:$G,'5) Release_Track'!$I:$I},2,0),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E513" s="116" t="str">
        <f t="array" ref="E513">ifs(and(isblank($A513),isblank($B513)),"", not(iserror(vlookup($A513&amp;$B513,'5) Release_Track'!$F:$F&amp;'5) Release_Track'!$G:$G,1,0))),vlookup($A513&amp;$B513,{'5) Release_Track'!$F:$F&amp;'5) Release_Track'!$G:$G,'5) Release_Track'!$J:$J},2,0),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F513" s="88"/>
      <c r="G513" s="92"/>
      <c r="H513" s="185"/>
      <c r="I513" s="121" t="str">
        <f t="shared" si="2"/>
        <v/>
      </c>
      <c r="J513" s="92"/>
      <c r="K513" s="92"/>
    </row>
    <row r="514">
      <c r="B514" s="97"/>
      <c r="C514" s="121" t="str">
        <f t="array" ref="C514">ifs(and(isblank($A514),isblank($B514)),"", not(iserror(vlookup($A514&amp;$B514,'5) Release_Track'!$F:$F&amp;'5) Release_Track'!$G:$G,1,0))),vlookup($A514&amp;$B514,{'5) Release_Track'!$F:$F&amp;'5) Release_Track'!$G:$G,'5) Release_Track'!$H:$H},2,0),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D514" s="121" t="str">
        <f t="array" ref="D514">ifs(and(isblank($A514),isblank($B514)),"", not(iserror(vlookup($A514&amp;$B514,'5) Release_Track'!$F:$F&amp;'5) Release_Track'!$G:$G,1,0))),vlookup($A514&amp;$B514,{'5) Release_Track'!$F:$F&amp;'5) Release_Track'!$G:$G,'5) Release_Track'!$I:$I},2,0),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E514" s="116" t="str">
        <f t="array" ref="E514">ifs(and(isblank($A514),isblank($B514)),"", not(iserror(vlookup($A514&amp;$B514,'5) Release_Track'!$F:$F&amp;'5) Release_Track'!$G:$G,1,0))),vlookup($A514&amp;$B514,{'5) Release_Track'!$F:$F&amp;'5) Release_Track'!$G:$G,'5) Release_Track'!$J:$J},2,0),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F514" s="88"/>
      <c r="G514" s="92"/>
      <c r="H514" s="185"/>
      <c r="I514" s="121" t="str">
        <f t="shared" si="2"/>
        <v/>
      </c>
      <c r="J514" s="92"/>
      <c r="K514" s="92"/>
    </row>
    <row r="515">
      <c r="B515" s="97"/>
      <c r="C515" s="121" t="str">
        <f t="array" ref="C515">ifs(and(isblank($A515),isblank($B515)),"", not(iserror(vlookup($A515&amp;$B515,'5) Release_Track'!$F:$F&amp;'5) Release_Track'!$G:$G,1,0))),vlookup($A515&amp;$B515,{'5) Release_Track'!$F:$F&amp;'5) Release_Track'!$G:$G,'5) Release_Track'!$H:$H},2,0),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D515" s="121" t="str">
        <f t="array" ref="D515">ifs(and(isblank($A515),isblank($B515)),"", not(iserror(vlookup($A515&amp;$B515,'5) Release_Track'!$F:$F&amp;'5) Release_Track'!$G:$G,1,0))),vlookup($A515&amp;$B515,{'5) Release_Track'!$F:$F&amp;'5) Release_Track'!$G:$G,'5) Release_Track'!$I:$I},2,0),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E515" s="116" t="str">
        <f t="array" ref="E515">ifs(and(isblank($A515),isblank($B515)),"", not(iserror(vlookup($A515&amp;$B515,'5) Release_Track'!$F:$F&amp;'5) Release_Track'!$G:$G,1,0))),vlookup($A515&amp;$B515,{'5) Release_Track'!$F:$F&amp;'5) Release_Track'!$G:$G,'5) Release_Track'!$J:$J},2,0),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F515" s="88"/>
      <c r="G515" s="92"/>
      <c r="H515" s="185"/>
      <c r="I515" s="121" t="str">
        <f t="shared" si="2"/>
        <v/>
      </c>
      <c r="J515" s="92"/>
      <c r="K515" s="92"/>
    </row>
    <row r="516">
      <c r="B516" s="97"/>
      <c r="C516" s="121" t="str">
        <f t="array" ref="C516">ifs(and(isblank($A516),isblank($B516)),"", not(iserror(vlookup($A516&amp;$B516,'5) Release_Track'!$F:$F&amp;'5) Release_Track'!$G:$G,1,0))),vlookup($A516&amp;$B516,{'5) Release_Track'!$F:$F&amp;'5) Release_Track'!$G:$G,'5) Release_Track'!$H:$H},2,0),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D516" s="121" t="str">
        <f t="array" ref="D516">ifs(and(isblank($A516),isblank($B516)),"", not(iserror(vlookup($A516&amp;$B516,'5) Release_Track'!$F:$F&amp;'5) Release_Track'!$G:$G,1,0))),vlookup($A516&amp;$B516,{'5) Release_Track'!$F:$F&amp;'5) Release_Track'!$G:$G,'5) Release_Track'!$I:$I},2,0),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E516" s="116" t="str">
        <f t="array" ref="E516">ifs(and(isblank($A516),isblank($B516)),"", not(iserror(vlookup($A516&amp;$B516,'5) Release_Track'!$F:$F&amp;'5) Release_Track'!$G:$G,1,0))),vlookup($A516&amp;$B516,{'5) Release_Track'!$F:$F&amp;'5) Release_Track'!$G:$G,'5) Release_Track'!$J:$J},2,0),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F516" s="88"/>
      <c r="G516" s="92"/>
      <c r="H516" s="185"/>
      <c r="I516" s="121" t="str">
        <f t="shared" si="2"/>
        <v/>
      </c>
      <c r="J516" s="92"/>
      <c r="K516" s="92"/>
    </row>
    <row r="517">
      <c r="B517" s="97"/>
      <c r="C517" s="121" t="str">
        <f t="array" ref="C517">ifs(and(isblank($A517),isblank($B517)),"", not(iserror(vlookup($A517&amp;$B517,'5) Release_Track'!$F:$F&amp;'5) Release_Track'!$G:$G,1,0))),vlookup($A517&amp;$B517,{'5) Release_Track'!$F:$F&amp;'5) Release_Track'!$G:$G,'5) Release_Track'!$H:$H},2,0),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D517" s="121" t="str">
        <f t="array" ref="D517">ifs(and(isblank($A517),isblank($B517)),"", not(iserror(vlookup($A517&amp;$B517,'5) Release_Track'!$F:$F&amp;'5) Release_Track'!$G:$G,1,0))),vlookup($A517&amp;$B517,{'5) Release_Track'!$F:$F&amp;'5) Release_Track'!$G:$G,'5) Release_Track'!$I:$I},2,0),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E517" s="116" t="str">
        <f t="array" ref="E517">ifs(and(isblank($A517),isblank($B517)),"", not(iserror(vlookup($A517&amp;$B517,'5) Release_Track'!$F:$F&amp;'5) Release_Track'!$G:$G,1,0))),vlookup($A517&amp;$B517,{'5) Release_Track'!$F:$F&amp;'5) Release_Track'!$G:$G,'5) Release_Track'!$J:$J},2,0),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F517" s="88"/>
      <c r="G517" s="92"/>
      <c r="H517" s="185"/>
      <c r="I517" s="121" t="str">
        <f t="shared" si="2"/>
        <v/>
      </c>
      <c r="J517" s="92"/>
      <c r="K517" s="92"/>
    </row>
    <row r="518">
      <c r="B518" s="97"/>
      <c r="C518" s="121" t="str">
        <f t="array" ref="C518">ifs(and(isblank($A518),isblank($B518)),"", not(iserror(vlookup($A518&amp;$B518,'5) Release_Track'!$F:$F&amp;'5) Release_Track'!$G:$G,1,0))),vlookup($A518&amp;$B518,{'5) Release_Track'!$F:$F&amp;'5) Release_Track'!$G:$G,'5) Release_Track'!$H:$H},2,0),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D518" s="121" t="str">
        <f t="array" ref="D518">ifs(and(isblank($A518),isblank($B518)),"", not(iserror(vlookup($A518&amp;$B518,'5) Release_Track'!$F:$F&amp;'5) Release_Track'!$G:$G,1,0))),vlookup($A518&amp;$B518,{'5) Release_Track'!$F:$F&amp;'5) Release_Track'!$G:$G,'5) Release_Track'!$I:$I},2,0),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E518" s="116" t="str">
        <f t="array" ref="E518">ifs(and(isblank($A518),isblank($B518)),"", not(iserror(vlookup($A518&amp;$B518,'5) Release_Track'!$F:$F&amp;'5) Release_Track'!$G:$G,1,0))),vlookup($A518&amp;$B518,{'5) Release_Track'!$F:$F&amp;'5) Release_Track'!$G:$G,'5) Release_Track'!$J:$J},2,0),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F518" s="88"/>
      <c r="G518" s="92"/>
      <c r="H518" s="185"/>
      <c r="I518" s="121" t="str">
        <f t="shared" si="2"/>
        <v/>
      </c>
      <c r="J518" s="92"/>
      <c r="K518" s="92"/>
    </row>
    <row r="519">
      <c r="B519" s="97"/>
      <c r="C519" s="121" t="str">
        <f t="array" ref="C519">ifs(and(isblank($A519),isblank($B519)),"", not(iserror(vlookup($A519&amp;$B519,'5) Release_Track'!$F:$F&amp;'5) Release_Track'!$G:$G,1,0))),vlookup($A519&amp;$B519,{'5) Release_Track'!$F:$F&amp;'5) Release_Track'!$G:$G,'5) Release_Track'!$H:$H},2,0),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D519" s="121" t="str">
        <f t="array" ref="D519">ifs(and(isblank($A519),isblank($B519)),"", not(iserror(vlookup($A519&amp;$B519,'5) Release_Track'!$F:$F&amp;'5) Release_Track'!$G:$G,1,0))),vlookup($A519&amp;$B519,{'5) Release_Track'!$F:$F&amp;'5) Release_Track'!$G:$G,'5) Release_Track'!$I:$I},2,0),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E519" s="116" t="str">
        <f t="array" ref="E519">ifs(and(isblank($A519),isblank($B519)),"", not(iserror(vlookup($A519&amp;$B519,'5) Release_Track'!$F:$F&amp;'5) Release_Track'!$G:$G,1,0))),vlookup($A519&amp;$B519,{'5) Release_Track'!$F:$F&amp;'5) Release_Track'!$G:$G,'5) Release_Track'!$J:$J},2,0),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F519" s="88"/>
      <c r="G519" s="92"/>
      <c r="H519" s="185"/>
      <c r="I519" s="121" t="str">
        <f t="shared" si="2"/>
        <v/>
      </c>
      <c r="J519" s="92"/>
      <c r="K519" s="92"/>
    </row>
    <row r="520">
      <c r="B520" s="97"/>
      <c r="C520" s="121" t="str">
        <f t="array" ref="C520">ifs(and(isblank($A520),isblank($B520)),"", not(iserror(vlookup($A520&amp;$B520,'5) Release_Track'!$F:$F&amp;'5) Release_Track'!$G:$G,1,0))),vlookup($A520&amp;$B520,{'5) Release_Track'!$F:$F&amp;'5) Release_Track'!$G:$G,'5) Release_Track'!$H:$H},2,0),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D520" s="121" t="str">
        <f t="array" ref="D520">ifs(and(isblank($A520),isblank($B520)),"", not(iserror(vlookup($A520&amp;$B520,'5) Release_Track'!$F:$F&amp;'5) Release_Track'!$G:$G,1,0))),vlookup($A520&amp;$B520,{'5) Release_Track'!$F:$F&amp;'5) Release_Track'!$G:$G,'5) Release_Track'!$I:$I},2,0),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E520" s="116" t="str">
        <f t="array" ref="E520">ifs(and(isblank($A520),isblank($B520)),"", not(iserror(vlookup($A520&amp;$B520,'5) Release_Track'!$F:$F&amp;'5) Release_Track'!$G:$G,1,0))),vlookup($A520&amp;$B520,{'5) Release_Track'!$F:$F&amp;'5) Release_Track'!$G:$G,'5) Release_Track'!$J:$J},2,0),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F520" s="88"/>
      <c r="G520" s="92"/>
      <c r="H520" s="185"/>
      <c r="I520" s="121" t="str">
        <f t="shared" si="2"/>
        <v/>
      </c>
      <c r="J520" s="92"/>
      <c r="K520" s="92"/>
    </row>
    <row r="521">
      <c r="B521" s="97"/>
      <c r="C521" s="121" t="str">
        <f t="array" ref="C521">ifs(and(isblank($A521),isblank($B521)),"", not(iserror(vlookup($A521&amp;$B521,'5) Release_Track'!$F:$F&amp;'5) Release_Track'!$G:$G,1,0))),vlookup($A521&amp;$B521,{'5) Release_Track'!$F:$F&amp;'5) Release_Track'!$G:$G,'5) Release_Track'!$H:$H},2,0),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D521" s="121" t="str">
        <f t="array" ref="D521">ifs(and(isblank($A521),isblank($B521)),"", not(iserror(vlookup($A521&amp;$B521,'5) Release_Track'!$F:$F&amp;'5) Release_Track'!$G:$G,1,0))),vlookup($A521&amp;$B521,{'5) Release_Track'!$F:$F&amp;'5) Release_Track'!$G:$G,'5) Release_Track'!$I:$I},2,0),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E521" s="116" t="str">
        <f t="array" ref="E521">ifs(and(isblank($A521),isblank($B521)),"", not(iserror(vlookup($A521&amp;$B521,'5) Release_Track'!$F:$F&amp;'5) Release_Track'!$G:$G,1,0))),vlookup($A521&amp;$B521,{'5) Release_Track'!$F:$F&amp;'5) Release_Track'!$G:$G,'5) Release_Track'!$J:$J},2,0),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F521" s="88"/>
      <c r="G521" s="92"/>
      <c r="H521" s="185"/>
      <c r="I521" s="121" t="str">
        <f t="shared" si="2"/>
        <v/>
      </c>
      <c r="J521" s="92"/>
      <c r="K521" s="92"/>
    </row>
    <row r="522">
      <c r="B522" s="97"/>
      <c r="C522" s="121" t="str">
        <f t="array" ref="C522">ifs(and(isblank($A522),isblank($B522)),"", not(iserror(vlookup($A522&amp;$B522,'5) Release_Track'!$F:$F&amp;'5) Release_Track'!$G:$G,1,0))),vlookup($A522&amp;$B522,{'5) Release_Track'!$F:$F&amp;'5) Release_Track'!$G:$G,'5) Release_Track'!$H:$H},2,0),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D522" s="121" t="str">
        <f t="array" ref="D522">ifs(and(isblank($A522),isblank($B522)),"", not(iserror(vlookup($A522&amp;$B522,'5) Release_Track'!$F:$F&amp;'5) Release_Track'!$G:$G,1,0))),vlookup($A522&amp;$B522,{'5) Release_Track'!$F:$F&amp;'5) Release_Track'!$G:$G,'5) Release_Track'!$I:$I},2,0),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E522" s="116" t="str">
        <f t="array" ref="E522">ifs(and(isblank($A522),isblank($B522)),"", not(iserror(vlookup($A522&amp;$B522,'5) Release_Track'!$F:$F&amp;'5) Release_Track'!$G:$G,1,0))),vlookup($A522&amp;$B522,{'5) Release_Track'!$F:$F&amp;'5) Release_Track'!$G:$G,'5) Release_Track'!$J:$J},2,0),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F522" s="88"/>
      <c r="G522" s="92"/>
      <c r="H522" s="185"/>
      <c r="I522" s="121" t="str">
        <f t="shared" si="2"/>
        <v/>
      </c>
      <c r="J522" s="92"/>
      <c r="K522" s="92"/>
    </row>
    <row r="523">
      <c r="B523" s="97"/>
      <c r="C523" s="121" t="str">
        <f t="array" ref="C523">ifs(and(isblank($A523),isblank($B523)),"", not(iserror(vlookup($A523&amp;$B523,'5) Release_Track'!$F:$F&amp;'5) Release_Track'!$G:$G,1,0))),vlookup($A523&amp;$B523,{'5) Release_Track'!$F:$F&amp;'5) Release_Track'!$G:$G,'5) Release_Track'!$H:$H},2,0),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D523" s="121" t="str">
        <f t="array" ref="D523">ifs(and(isblank($A523),isblank($B523)),"", not(iserror(vlookup($A523&amp;$B523,'5) Release_Track'!$F:$F&amp;'5) Release_Track'!$G:$G,1,0))),vlookup($A523&amp;$B523,{'5) Release_Track'!$F:$F&amp;'5) Release_Track'!$G:$G,'5) Release_Track'!$I:$I},2,0),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E523" s="116" t="str">
        <f t="array" ref="E523">ifs(and(isblank($A523),isblank($B523)),"", not(iserror(vlookup($A523&amp;$B523,'5) Release_Track'!$F:$F&amp;'5) Release_Track'!$G:$G,1,0))),vlookup($A523&amp;$B523,{'5) Release_Track'!$F:$F&amp;'5) Release_Track'!$G:$G,'5) Release_Track'!$J:$J},2,0),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F523" s="88"/>
      <c r="G523" s="92"/>
      <c r="H523" s="185"/>
      <c r="I523" s="121" t="str">
        <f t="shared" si="2"/>
        <v/>
      </c>
      <c r="J523" s="92"/>
      <c r="K523" s="92"/>
    </row>
    <row r="524">
      <c r="B524" s="97"/>
      <c r="C524" s="121" t="str">
        <f t="array" ref="C524">ifs(and(isblank($A524),isblank($B524)),"", not(iserror(vlookup($A524&amp;$B524,'5) Release_Track'!$F:$F&amp;'5) Release_Track'!$G:$G,1,0))),vlookup($A524&amp;$B524,{'5) Release_Track'!$F:$F&amp;'5) Release_Track'!$G:$G,'5) Release_Track'!$H:$H},2,0),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D524" s="121" t="str">
        <f t="array" ref="D524">ifs(and(isblank($A524),isblank($B524)),"", not(iserror(vlookup($A524&amp;$B524,'5) Release_Track'!$F:$F&amp;'5) Release_Track'!$G:$G,1,0))),vlookup($A524&amp;$B524,{'5) Release_Track'!$F:$F&amp;'5) Release_Track'!$G:$G,'5) Release_Track'!$I:$I},2,0),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E524" s="116" t="str">
        <f t="array" ref="E524">ifs(and(isblank($A524),isblank($B524)),"", not(iserror(vlookup($A524&amp;$B524,'5) Release_Track'!$F:$F&amp;'5) Release_Track'!$G:$G,1,0))),vlookup($A524&amp;$B524,{'5) Release_Track'!$F:$F&amp;'5) Release_Track'!$G:$G,'5) Release_Track'!$J:$J},2,0),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F524" s="88"/>
      <c r="G524" s="92"/>
      <c r="H524" s="185"/>
      <c r="I524" s="121" t="str">
        <f t="shared" si="2"/>
        <v/>
      </c>
      <c r="J524" s="92"/>
      <c r="K524" s="92"/>
    </row>
    <row r="525">
      <c r="B525" s="97"/>
      <c r="C525" s="121" t="str">
        <f t="array" ref="C525">ifs(and(isblank($A525),isblank($B525)),"", not(iserror(vlookup($A525&amp;$B525,'5) Release_Track'!$F:$F&amp;'5) Release_Track'!$G:$G,1,0))),vlookup($A525&amp;$B525,{'5) Release_Track'!$F:$F&amp;'5) Release_Track'!$G:$G,'5) Release_Track'!$H:$H},2,0),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D525" s="121" t="str">
        <f t="array" ref="D525">ifs(and(isblank($A525),isblank($B525)),"", not(iserror(vlookup($A525&amp;$B525,'5) Release_Track'!$F:$F&amp;'5) Release_Track'!$G:$G,1,0))),vlookup($A525&amp;$B525,{'5) Release_Track'!$F:$F&amp;'5) Release_Track'!$G:$G,'5) Release_Track'!$I:$I},2,0),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E525" s="116" t="str">
        <f t="array" ref="E525">ifs(and(isblank($A525),isblank($B525)),"", not(iserror(vlookup($A525&amp;$B525,'5) Release_Track'!$F:$F&amp;'5) Release_Track'!$G:$G,1,0))),vlookup($A525&amp;$B525,{'5) Release_Track'!$F:$F&amp;'5) Release_Track'!$G:$G,'5) Release_Track'!$J:$J},2,0),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F525" s="88"/>
      <c r="G525" s="92"/>
      <c r="H525" s="185"/>
      <c r="I525" s="121" t="str">
        <f t="shared" si="2"/>
        <v/>
      </c>
      <c r="J525" s="92"/>
      <c r="K525" s="92"/>
    </row>
    <row r="526">
      <c r="B526" s="97"/>
      <c r="C526" s="121" t="str">
        <f t="array" ref="C526">ifs(and(isblank($A526),isblank($B526)),"", not(iserror(vlookup($A526&amp;$B526,'5) Release_Track'!$F:$F&amp;'5) Release_Track'!$G:$G,1,0))),vlookup($A526&amp;$B526,{'5) Release_Track'!$F:$F&amp;'5) Release_Track'!$G:$G,'5) Release_Track'!$H:$H},2,0),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D526" s="121" t="str">
        <f t="array" ref="D526">ifs(and(isblank($A526),isblank($B526)),"", not(iserror(vlookup($A526&amp;$B526,'5) Release_Track'!$F:$F&amp;'5) Release_Track'!$G:$G,1,0))),vlookup($A526&amp;$B526,{'5) Release_Track'!$F:$F&amp;'5) Release_Track'!$G:$G,'5) Release_Track'!$I:$I},2,0),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E526" s="116" t="str">
        <f t="array" ref="E526">ifs(and(isblank($A526),isblank($B526)),"", not(iserror(vlookup($A526&amp;$B526,'5) Release_Track'!$F:$F&amp;'5) Release_Track'!$G:$G,1,0))),vlookup($A526&amp;$B526,{'5) Release_Track'!$F:$F&amp;'5) Release_Track'!$G:$G,'5) Release_Track'!$J:$J},2,0),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F526" s="88"/>
      <c r="G526" s="92"/>
      <c r="H526" s="185"/>
      <c r="I526" s="121" t="str">
        <f t="shared" si="2"/>
        <v/>
      </c>
      <c r="J526" s="92"/>
      <c r="K526" s="92"/>
    </row>
    <row r="527">
      <c r="B527" s="97"/>
      <c r="C527" s="121" t="str">
        <f t="array" ref="C527">ifs(and(isblank($A527),isblank($B527)),"", not(iserror(vlookup($A527&amp;$B527,'5) Release_Track'!$F:$F&amp;'5) Release_Track'!$G:$G,1,0))),vlookup($A527&amp;$B527,{'5) Release_Track'!$F:$F&amp;'5) Release_Track'!$G:$G,'5) Release_Track'!$H:$H},2,0),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D527" s="121" t="str">
        <f t="array" ref="D527">ifs(and(isblank($A527),isblank($B527)),"", not(iserror(vlookup($A527&amp;$B527,'5) Release_Track'!$F:$F&amp;'5) Release_Track'!$G:$G,1,0))),vlookup($A527&amp;$B527,{'5) Release_Track'!$F:$F&amp;'5) Release_Track'!$G:$G,'5) Release_Track'!$I:$I},2,0),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E527" s="116" t="str">
        <f t="array" ref="E527">ifs(and(isblank($A527),isblank($B527)),"", not(iserror(vlookup($A527&amp;$B527,'5) Release_Track'!$F:$F&amp;'5) Release_Track'!$G:$G,1,0))),vlookup($A527&amp;$B527,{'5) Release_Track'!$F:$F&amp;'5) Release_Track'!$G:$G,'5) Release_Track'!$J:$J},2,0),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F527" s="88"/>
      <c r="G527" s="92"/>
      <c r="H527" s="185"/>
      <c r="I527" s="121" t="str">
        <f t="shared" si="2"/>
        <v/>
      </c>
      <c r="J527" s="92"/>
      <c r="K527" s="92"/>
    </row>
    <row r="528">
      <c r="B528" s="97"/>
      <c r="C528" s="121" t="str">
        <f t="array" ref="C528">ifs(and(isblank($A528),isblank($B528)),"", not(iserror(vlookup($A528&amp;$B528,'5) Release_Track'!$F:$F&amp;'5) Release_Track'!$G:$G,1,0))),vlookup($A528&amp;$B528,{'5) Release_Track'!$F:$F&amp;'5) Release_Track'!$G:$G,'5) Release_Track'!$H:$H},2,0),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D528" s="121" t="str">
        <f t="array" ref="D528">ifs(and(isblank($A528),isblank($B528)),"", not(iserror(vlookup($A528&amp;$B528,'5) Release_Track'!$F:$F&amp;'5) Release_Track'!$G:$G,1,0))),vlookup($A528&amp;$B528,{'5) Release_Track'!$F:$F&amp;'5) Release_Track'!$G:$G,'5) Release_Track'!$I:$I},2,0),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E528" s="116" t="str">
        <f t="array" ref="E528">ifs(and(isblank($A528),isblank($B528)),"", not(iserror(vlookup($A528&amp;$B528,'5) Release_Track'!$F:$F&amp;'5) Release_Track'!$G:$G,1,0))),vlookup($A528&amp;$B528,{'5) Release_Track'!$F:$F&amp;'5) Release_Track'!$G:$G,'5) Release_Track'!$J:$J},2,0),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F528" s="88"/>
      <c r="G528" s="92"/>
      <c r="H528" s="185"/>
      <c r="I528" s="121" t="str">
        <f t="shared" si="2"/>
        <v/>
      </c>
      <c r="J528" s="92"/>
      <c r="K528" s="92"/>
    </row>
    <row r="529">
      <c r="B529" s="97"/>
      <c r="C529" s="121" t="str">
        <f t="array" ref="C529">ifs(and(isblank($A529),isblank($B529)),"", not(iserror(vlookup($A529&amp;$B529,'5) Release_Track'!$F:$F&amp;'5) Release_Track'!$G:$G,1,0))),vlookup($A529&amp;$B529,{'5) Release_Track'!$F:$F&amp;'5) Release_Track'!$G:$G,'5) Release_Track'!$H:$H},2,0),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D529" s="121" t="str">
        <f t="array" ref="D529">ifs(and(isblank($A529),isblank($B529)),"", not(iserror(vlookup($A529&amp;$B529,'5) Release_Track'!$F:$F&amp;'5) Release_Track'!$G:$G,1,0))),vlookup($A529&amp;$B529,{'5) Release_Track'!$F:$F&amp;'5) Release_Track'!$G:$G,'5) Release_Track'!$I:$I},2,0),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E529" s="116" t="str">
        <f t="array" ref="E529">ifs(and(isblank($A529),isblank($B529)),"", not(iserror(vlookup($A529&amp;$B529,'5) Release_Track'!$F:$F&amp;'5) Release_Track'!$G:$G,1,0))),vlookup($A529&amp;$B529,{'5) Release_Track'!$F:$F&amp;'5) Release_Track'!$G:$G,'5) Release_Track'!$J:$J},2,0),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F529" s="88"/>
      <c r="G529" s="92"/>
      <c r="H529" s="185"/>
      <c r="I529" s="121" t="str">
        <f t="shared" si="2"/>
        <v/>
      </c>
      <c r="J529" s="92"/>
      <c r="K529" s="92"/>
    </row>
    <row r="530">
      <c r="B530" s="97"/>
      <c r="C530" s="121" t="str">
        <f t="array" ref="C530">ifs(and(isblank($A530),isblank($B530)),"", not(iserror(vlookup($A530&amp;$B530,'5) Release_Track'!$F:$F&amp;'5) Release_Track'!$G:$G,1,0))),vlookup($A530&amp;$B530,{'5) Release_Track'!$F:$F&amp;'5) Release_Track'!$G:$G,'5) Release_Track'!$H:$H},2,0),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D530" s="121" t="str">
        <f t="array" ref="D530">ifs(and(isblank($A530),isblank($B530)),"", not(iserror(vlookup($A530&amp;$B530,'5) Release_Track'!$F:$F&amp;'5) Release_Track'!$G:$G,1,0))),vlookup($A530&amp;$B530,{'5) Release_Track'!$F:$F&amp;'5) Release_Track'!$G:$G,'5) Release_Track'!$I:$I},2,0),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E530" s="116" t="str">
        <f t="array" ref="E530">ifs(and(isblank($A530),isblank($B530)),"", not(iserror(vlookup($A530&amp;$B530,'5) Release_Track'!$F:$F&amp;'5) Release_Track'!$G:$G,1,0))),vlookup($A530&amp;$B530,{'5) Release_Track'!$F:$F&amp;'5) Release_Track'!$G:$G,'5) Release_Track'!$J:$J},2,0),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F530" s="88"/>
      <c r="G530" s="92"/>
      <c r="H530" s="185"/>
      <c r="I530" s="121" t="str">
        <f t="shared" si="2"/>
        <v/>
      </c>
      <c r="J530" s="92"/>
      <c r="K530" s="92"/>
    </row>
    <row r="531">
      <c r="B531" s="97"/>
      <c r="C531" s="121" t="str">
        <f t="array" ref="C531">ifs(and(isblank($A531),isblank($B531)),"", not(iserror(vlookup($A531&amp;$B531,'5) Release_Track'!$F:$F&amp;'5) Release_Track'!$G:$G,1,0))),vlookup($A531&amp;$B531,{'5) Release_Track'!$F:$F&amp;'5) Release_Track'!$G:$G,'5) Release_Track'!$H:$H},2,0),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D531" s="121" t="str">
        <f t="array" ref="D531">ifs(and(isblank($A531),isblank($B531)),"", not(iserror(vlookup($A531&amp;$B531,'5) Release_Track'!$F:$F&amp;'5) Release_Track'!$G:$G,1,0))),vlookup($A531&amp;$B531,{'5) Release_Track'!$F:$F&amp;'5) Release_Track'!$G:$G,'5) Release_Track'!$I:$I},2,0),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E531" s="116" t="str">
        <f t="array" ref="E531">ifs(and(isblank($A531),isblank($B531)),"", not(iserror(vlookup($A531&amp;$B531,'5) Release_Track'!$F:$F&amp;'5) Release_Track'!$G:$G,1,0))),vlookup($A531&amp;$B531,{'5) Release_Track'!$F:$F&amp;'5) Release_Track'!$G:$G,'5) Release_Track'!$J:$J},2,0),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F531" s="88"/>
      <c r="G531" s="92"/>
      <c r="H531" s="185"/>
      <c r="I531" s="121" t="str">
        <f t="shared" si="2"/>
        <v/>
      </c>
      <c r="J531" s="92"/>
      <c r="K531" s="92"/>
    </row>
    <row r="532">
      <c r="B532" s="97"/>
      <c r="C532" s="121" t="str">
        <f t="array" ref="C532">ifs(and(isblank($A532),isblank($B532)),"", not(iserror(vlookup($A532&amp;$B532,'5) Release_Track'!$F:$F&amp;'5) Release_Track'!$G:$G,1,0))),vlookup($A532&amp;$B532,{'5) Release_Track'!$F:$F&amp;'5) Release_Track'!$G:$G,'5) Release_Track'!$H:$H},2,0),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D532" s="121" t="str">
        <f t="array" ref="D532">ifs(and(isblank($A532),isblank($B532)),"", not(iserror(vlookup($A532&amp;$B532,'5) Release_Track'!$F:$F&amp;'5) Release_Track'!$G:$G,1,0))),vlookup($A532&amp;$B532,{'5) Release_Track'!$F:$F&amp;'5) Release_Track'!$G:$G,'5) Release_Track'!$I:$I},2,0),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E532" s="116" t="str">
        <f t="array" ref="E532">ifs(and(isblank($A532),isblank($B532)),"", not(iserror(vlookup($A532&amp;$B532,'5) Release_Track'!$F:$F&amp;'5) Release_Track'!$G:$G,1,0))),vlookup($A532&amp;$B532,{'5) Release_Track'!$F:$F&amp;'5) Release_Track'!$G:$G,'5) Release_Track'!$J:$J},2,0),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F532" s="88"/>
      <c r="G532" s="92"/>
      <c r="H532" s="185"/>
      <c r="I532" s="121" t="str">
        <f t="shared" si="2"/>
        <v/>
      </c>
      <c r="J532" s="92"/>
      <c r="K532" s="92"/>
    </row>
    <row r="533">
      <c r="B533" s="97"/>
      <c r="C533" s="121" t="str">
        <f t="array" ref="C533">ifs(and(isblank($A533),isblank($B533)),"", not(iserror(vlookup($A533&amp;$B533,'5) Release_Track'!$F:$F&amp;'5) Release_Track'!$G:$G,1,0))),vlookup($A533&amp;$B533,{'5) Release_Track'!$F:$F&amp;'5) Release_Track'!$G:$G,'5) Release_Track'!$H:$H},2,0),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D533" s="121" t="str">
        <f t="array" ref="D533">ifs(and(isblank($A533),isblank($B533)),"", not(iserror(vlookup($A533&amp;$B533,'5) Release_Track'!$F:$F&amp;'5) Release_Track'!$G:$G,1,0))),vlookup($A533&amp;$B533,{'5) Release_Track'!$F:$F&amp;'5) Release_Track'!$G:$G,'5) Release_Track'!$I:$I},2,0),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E533" s="116" t="str">
        <f t="array" ref="E533">ifs(and(isblank($A533),isblank($B533)),"", not(iserror(vlookup($A533&amp;$B533,'5) Release_Track'!$F:$F&amp;'5) Release_Track'!$G:$G,1,0))),vlookup($A533&amp;$B533,{'5) Release_Track'!$F:$F&amp;'5) Release_Track'!$G:$G,'5) Release_Track'!$J:$J},2,0),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F533" s="88"/>
      <c r="G533" s="92"/>
      <c r="H533" s="185"/>
      <c r="I533" s="121" t="str">
        <f t="shared" si="2"/>
        <v/>
      </c>
      <c r="J533" s="92"/>
      <c r="K533" s="92"/>
    </row>
    <row r="534">
      <c r="B534" s="97"/>
      <c r="C534" s="121" t="str">
        <f t="array" ref="C534">ifs(and(isblank($A534),isblank($B534)),"", not(iserror(vlookup($A534&amp;$B534,'5) Release_Track'!$F:$F&amp;'5) Release_Track'!$G:$G,1,0))),vlookup($A534&amp;$B534,{'5) Release_Track'!$F:$F&amp;'5) Release_Track'!$G:$G,'5) Release_Track'!$H:$H},2,0),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D534" s="121" t="str">
        <f t="array" ref="D534">ifs(and(isblank($A534),isblank($B534)),"", not(iserror(vlookup($A534&amp;$B534,'5) Release_Track'!$F:$F&amp;'5) Release_Track'!$G:$G,1,0))),vlookup($A534&amp;$B534,{'5) Release_Track'!$F:$F&amp;'5) Release_Track'!$G:$G,'5) Release_Track'!$I:$I},2,0),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E534" s="116" t="str">
        <f t="array" ref="E534">ifs(and(isblank($A534),isblank($B534)),"", not(iserror(vlookup($A534&amp;$B534,'5) Release_Track'!$F:$F&amp;'5) Release_Track'!$G:$G,1,0))),vlookup($A534&amp;$B534,{'5) Release_Track'!$F:$F&amp;'5) Release_Track'!$G:$G,'5) Release_Track'!$J:$J},2,0),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F534" s="88"/>
      <c r="G534" s="92"/>
      <c r="H534" s="185"/>
      <c r="I534" s="121" t="str">
        <f t="shared" si="2"/>
        <v/>
      </c>
      <c r="J534" s="92"/>
      <c r="K534" s="92"/>
    </row>
    <row r="535">
      <c r="B535" s="97"/>
      <c r="C535" s="121" t="str">
        <f t="array" ref="C535">ifs(and(isblank($A535),isblank($B535)),"", not(iserror(vlookup($A535&amp;$B535,'5) Release_Track'!$F:$F&amp;'5) Release_Track'!$G:$G,1,0))),vlookup($A535&amp;$B535,{'5) Release_Track'!$F:$F&amp;'5) Release_Track'!$G:$G,'5) Release_Track'!$H:$H},2,0),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D535" s="121" t="str">
        <f t="array" ref="D535">ifs(and(isblank($A535),isblank($B535)),"", not(iserror(vlookup($A535&amp;$B535,'5) Release_Track'!$F:$F&amp;'5) Release_Track'!$G:$G,1,0))),vlookup($A535&amp;$B535,{'5) Release_Track'!$F:$F&amp;'5) Release_Track'!$G:$G,'5) Release_Track'!$I:$I},2,0),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E535" s="116" t="str">
        <f t="array" ref="E535">ifs(and(isblank($A535),isblank($B535)),"", not(iserror(vlookup($A535&amp;$B535,'5) Release_Track'!$F:$F&amp;'5) Release_Track'!$G:$G,1,0))),vlookup($A535&amp;$B535,{'5) Release_Track'!$F:$F&amp;'5) Release_Track'!$G:$G,'5) Release_Track'!$J:$J},2,0),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F535" s="88"/>
      <c r="G535" s="92"/>
      <c r="H535" s="185"/>
      <c r="I535" s="121" t="str">
        <f t="shared" si="2"/>
        <v/>
      </c>
      <c r="J535" s="92"/>
      <c r="K535" s="92"/>
    </row>
    <row r="536">
      <c r="B536" s="97"/>
      <c r="C536" s="121" t="str">
        <f t="array" ref="C536">ifs(and(isblank($A536),isblank($B536)),"", not(iserror(vlookup($A536&amp;$B536,'5) Release_Track'!$F:$F&amp;'5) Release_Track'!$G:$G,1,0))),vlookup($A536&amp;$B536,{'5) Release_Track'!$F:$F&amp;'5) Release_Track'!$G:$G,'5) Release_Track'!$H:$H},2,0),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D536" s="121" t="str">
        <f t="array" ref="D536">ifs(and(isblank($A536),isblank($B536)),"", not(iserror(vlookup($A536&amp;$B536,'5) Release_Track'!$F:$F&amp;'5) Release_Track'!$G:$G,1,0))),vlookup($A536&amp;$B536,{'5) Release_Track'!$F:$F&amp;'5) Release_Track'!$G:$G,'5) Release_Track'!$I:$I},2,0),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E536" s="116" t="str">
        <f t="array" ref="E536">ifs(and(isblank($A536),isblank($B536)),"", not(iserror(vlookup($A536&amp;$B536,'5) Release_Track'!$F:$F&amp;'5) Release_Track'!$G:$G,1,0))),vlookup($A536&amp;$B536,{'5) Release_Track'!$F:$F&amp;'5) Release_Track'!$G:$G,'5) Release_Track'!$J:$J},2,0),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F536" s="88"/>
      <c r="G536" s="92"/>
      <c r="H536" s="185"/>
      <c r="I536" s="121" t="str">
        <f t="shared" si="2"/>
        <v/>
      </c>
      <c r="J536" s="92"/>
      <c r="K536" s="92"/>
    </row>
    <row r="537">
      <c r="B537" s="97"/>
      <c r="C537" s="121" t="str">
        <f t="array" ref="C537">ifs(and(isblank($A537),isblank($B537)),"", not(iserror(vlookup($A537&amp;$B537,'5) Release_Track'!$F:$F&amp;'5) Release_Track'!$G:$G,1,0))),vlookup($A537&amp;$B537,{'5) Release_Track'!$F:$F&amp;'5) Release_Track'!$G:$G,'5) Release_Track'!$H:$H},2,0),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D537" s="121" t="str">
        <f t="array" ref="D537">ifs(and(isblank($A537),isblank($B537)),"", not(iserror(vlookup($A537&amp;$B537,'5) Release_Track'!$F:$F&amp;'5) Release_Track'!$G:$G,1,0))),vlookup($A537&amp;$B537,{'5) Release_Track'!$F:$F&amp;'5) Release_Track'!$G:$G,'5) Release_Track'!$I:$I},2,0),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E537" s="116" t="str">
        <f t="array" ref="E537">ifs(and(isblank($A537),isblank($B537)),"", not(iserror(vlookup($A537&amp;$B537,'5) Release_Track'!$F:$F&amp;'5) Release_Track'!$G:$G,1,0))),vlookup($A537&amp;$B537,{'5) Release_Track'!$F:$F&amp;'5) Release_Track'!$G:$G,'5) Release_Track'!$J:$J},2,0),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F537" s="88"/>
      <c r="G537" s="92"/>
      <c r="H537" s="185"/>
      <c r="I537" s="121" t="str">
        <f t="shared" si="2"/>
        <v/>
      </c>
      <c r="J537" s="92"/>
      <c r="K537" s="92"/>
    </row>
    <row r="538">
      <c r="B538" s="97"/>
      <c r="C538" s="121" t="str">
        <f t="array" ref="C538">ifs(and(isblank($A538),isblank($B538)),"", not(iserror(vlookup($A538&amp;$B538,'5) Release_Track'!$F:$F&amp;'5) Release_Track'!$G:$G,1,0))),vlookup($A538&amp;$B538,{'5) Release_Track'!$F:$F&amp;'5) Release_Track'!$G:$G,'5) Release_Track'!$H:$H},2,0),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D538" s="121" t="str">
        <f t="array" ref="D538">ifs(and(isblank($A538),isblank($B538)),"", not(iserror(vlookup($A538&amp;$B538,'5) Release_Track'!$F:$F&amp;'5) Release_Track'!$G:$G,1,0))),vlookup($A538&amp;$B538,{'5) Release_Track'!$F:$F&amp;'5) Release_Track'!$G:$G,'5) Release_Track'!$I:$I},2,0),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E538" s="116" t="str">
        <f t="array" ref="E538">ifs(and(isblank($A538),isblank($B538)),"", not(iserror(vlookup($A538&amp;$B538,'5) Release_Track'!$F:$F&amp;'5) Release_Track'!$G:$G,1,0))),vlookup($A538&amp;$B538,{'5) Release_Track'!$F:$F&amp;'5) Release_Track'!$G:$G,'5) Release_Track'!$J:$J},2,0),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F538" s="88"/>
      <c r="G538" s="92"/>
      <c r="H538" s="185"/>
      <c r="I538" s="121" t="str">
        <f t="shared" si="2"/>
        <v/>
      </c>
      <c r="J538" s="92"/>
      <c r="K538" s="92"/>
    </row>
    <row r="539">
      <c r="B539" s="97"/>
      <c r="C539" s="121" t="str">
        <f t="array" ref="C539">ifs(and(isblank($A539),isblank($B539)),"", not(iserror(vlookup($A539&amp;$B539,'5) Release_Track'!$F:$F&amp;'5) Release_Track'!$G:$G,1,0))),vlookup($A539&amp;$B539,{'5) Release_Track'!$F:$F&amp;'5) Release_Track'!$G:$G,'5) Release_Track'!$H:$H},2,0),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D539" s="121" t="str">
        <f t="array" ref="D539">ifs(and(isblank($A539),isblank($B539)),"", not(iserror(vlookup($A539&amp;$B539,'5) Release_Track'!$F:$F&amp;'5) Release_Track'!$G:$G,1,0))),vlookup($A539&amp;$B539,{'5) Release_Track'!$F:$F&amp;'5) Release_Track'!$G:$G,'5) Release_Track'!$I:$I},2,0),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E539" s="116" t="str">
        <f t="array" ref="E539">ifs(and(isblank($A539),isblank($B539)),"", not(iserror(vlookup($A539&amp;$B539,'5) Release_Track'!$F:$F&amp;'5) Release_Track'!$G:$G,1,0))),vlookup($A539&amp;$B539,{'5) Release_Track'!$F:$F&amp;'5) Release_Track'!$G:$G,'5) Release_Track'!$J:$J},2,0),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F539" s="88"/>
      <c r="G539" s="92"/>
      <c r="H539" s="185"/>
      <c r="I539" s="121" t="str">
        <f t="shared" si="2"/>
        <v/>
      </c>
      <c r="J539" s="92"/>
      <c r="K539" s="92"/>
    </row>
    <row r="540">
      <c r="B540" s="97"/>
      <c r="C540" s="121" t="str">
        <f t="array" ref="C540">ifs(and(isblank($A540),isblank($B540)),"", not(iserror(vlookup($A540&amp;$B540,'5) Release_Track'!$F:$F&amp;'5) Release_Track'!$G:$G,1,0))),vlookup($A540&amp;$B540,{'5) Release_Track'!$F:$F&amp;'5) Release_Track'!$G:$G,'5) Release_Track'!$H:$H},2,0),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D540" s="121" t="str">
        <f t="array" ref="D540">ifs(and(isblank($A540),isblank($B540)),"", not(iserror(vlookup($A540&amp;$B540,'5) Release_Track'!$F:$F&amp;'5) Release_Track'!$G:$G,1,0))),vlookup($A540&amp;$B540,{'5) Release_Track'!$F:$F&amp;'5) Release_Track'!$G:$G,'5) Release_Track'!$I:$I},2,0),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E540" s="116" t="str">
        <f t="array" ref="E540">ifs(and(isblank($A540),isblank($B540)),"", not(iserror(vlookup($A540&amp;$B540,'5) Release_Track'!$F:$F&amp;'5) Release_Track'!$G:$G,1,0))),vlookup($A540&amp;$B540,{'5) Release_Track'!$F:$F&amp;'5) Release_Track'!$G:$G,'5) Release_Track'!$J:$J},2,0),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F540" s="88"/>
      <c r="G540" s="92"/>
      <c r="H540" s="185"/>
      <c r="I540" s="121" t="str">
        <f t="shared" si="2"/>
        <v/>
      </c>
      <c r="J540" s="92"/>
      <c r="K540" s="92"/>
    </row>
    <row r="541">
      <c r="B541" s="97"/>
      <c r="C541" s="121" t="str">
        <f t="array" ref="C541">ifs(and(isblank($A541),isblank($B541)),"", not(iserror(vlookup($A541&amp;$B541,'5) Release_Track'!$F:$F&amp;'5) Release_Track'!$G:$G,1,0))),vlookup($A541&amp;$B541,{'5) Release_Track'!$F:$F&amp;'5) Release_Track'!$G:$G,'5) Release_Track'!$H:$H},2,0),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D541" s="121" t="str">
        <f t="array" ref="D541">ifs(and(isblank($A541),isblank($B541)),"", not(iserror(vlookup($A541&amp;$B541,'5) Release_Track'!$F:$F&amp;'5) Release_Track'!$G:$G,1,0))),vlookup($A541&amp;$B541,{'5) Release_Track'!$F:$F&amp;'5) Release_Track'!$G:$G,'5) Release_Track'!$I:$I},2,0),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E541" s="116" t="str">
        <f t="array" ref="E541">ifs(and(isblank($A541),isblank($B541)),"", not(iserror(vlookup($A541&amp;$B541,'5) Release_Track'!$F:$F&amp;'5) Release_Track'!$G:$G,1,0))),vlookup($A541&amp;$B541,{'5) Release_Track'!$F:$F&amp;'5) Release_Track'!$G:$G,'5) Release_Track'!$J:$J},2,0),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F541" s="88"/>
      <c r="G541" s="92"/>
      <c r="H541" s="185"/>
      <c r="I541" s="121" t="str">
        <f t="shared" si="2"/>
        <v/>
      </c>
      <c r="J541" s="92"/>
      <c r="K541" s="92"/>
    </row>
    <row r="542">
      <c r="B542" s="97"/>
      <c r="C542" s="121" t="str">
        <f t="array" ref="C542">ifs(and(isblank($A542),isblank($B542)),"", not(iserror(vlookup($A542&amp;$B542,'5) Release_Track'!$F:$F&amp;'5) Release_Track'!$G:$G,1,0))),vlookup($A542&amp;$B542,{'5) Release_Track'!$F:$F&amp;'5) Release_Track'!$G:$G,'5) Release_Track'!$H:$H},2,0),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D542" s="121" t="str">
        <f t="array" ref="D542">ifs(and(isblank($A542),isblank($B542)),"", not(iserror(vlookup($A542&amp;$B542,'5) Release_Track'!$F:$F&amp;'5) Release_Track'!$G:$G,1,0))),vlookup($A542&amp;$B542,{'5) Release_Track'!$F:$F&amp;'5) Release_Track'!$G:$G,'5) Release_Track'!$I:$I},2,0),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E542" s="116" t="str">
        <f t="array" ref="E542">ifs(and(isblank($A542),isblank($B542)),"", not(iserror(vlookup($A542&amp;$B542,'5) Release_Track'!$F:$F&amp;'5) Release_Track'!$G:$G,1,0))),vlookup($A542&amp;$B542,{'5) Release_Track'!$F:$F&amp;'5) Release_Track'!$G:$G,'5) Release_Track'!$J:$J},2,0),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F542" s="88"/>
      <c r="G542" s="92"/>
      <c r="H542" s="185"/>
      <c r="I542" s="121" t="str">
        <f t="shared" si="2"/>
        <v/>
      </c>
      <c r="J542" s="92"/>
      <c r="K542" s="92"/>
    </row>
    <row r="543">
      <c r="B543" s="97"/>
      <c r="C543" s="121" t="str">
        <f t="array" ref="C543">ifs(and(isblank($A543),isblank($B543)),"", not(iserror(vlookup($A543&amp;$B543,'5) Release_Track'!$F:$F&amp;'5) Release_Track'!$G:$G,1,0))),vlookup($A543&amp;$B543,{'5) Release_Track'!$F:$F&amp;'5) Release_Track'!$G:$G,'5) Release_Track'!$H:$H},2,0),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D543" s="121" t="str">
        <f t="array" ref="D543">ifs(and(isblank($A543),isblank($B543)),"", not(iserror(vlookup($A543&amp;$B543,'5) Release_Track'!$F:$F&amp;'5) Release_Track'!$G:$G,1,0))),vlookup($A543&amp;$B543,{'5) Release_Track'!$F:$F&amp;'5) Release_Track'!$G:$G,'5) Release_Track'!$I:$I},2,0),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E543" s="116" t="str">
        <f t="array" ref="E543">ifs(and(isblank($A543),isblank($B543)),"", not(iserror(vlookup($A543&amp;$B543,'5) Release_Track'!$F:$F&amp;'5) Release_Track'!$G:$G,1,0))),vlookup($A543&amp;$B543,{'5) Release_Track'!$F:$F&amp;'5) Release_Track'!$G:$G,'5) Release_Track'!$J:$J},2,0),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F543" s="88"/>
      <c r="G543" s="92"/>
      <c r="H543" s="185"/>
      <c r="I543" s="121" t="str">
        <f t="shared" si="2"/>
        <v/>
      </c>
      <c r="J543" s="92"/>
      <c r="K543" s="92"/>
    </row>
    <row r="544">
      <c r="B544" s="97"/>
      <c r="C544" s="121" t="str">
        <f t="array" ref="C544">ifs(and(isblank($A544),isblank($B544)),"", not(iserror(vlookup($A544&amp;$B544,'5) Release_Track'!$F:$F&amp;'5) Release_Track'!$G:$G,1,0))),vlookup($A544&amp;$B544,{'5) Release_Track'!$F:$F&amp;'5) Release_Track'!$G:$G,'5) Release_Track'!$H:$H},2,0),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D544" s="121" t="str">
        <f t="array" ref="D544">ifs(and(isblank($A544),isblank($B544)),"", not(iserror(vlookup($A544&amp;$B544,'5) Release_Track'!$F:$F&amp;'5) Release_Track'!$G:$G,1,0))),vlookup($A544&amp;$B544,{'5) Release_Track'!$F:$F&amp;'5) Release_Track'!$G:$G,'5) Release_Track'!$I:$I},2,0),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E544" s="116" t="str">
        <f t="array" ref="E544">ifs(and(isblank($A544),isblank($B544)),"", not(iserror(vlookup($A544&amp;$B544,'5) Release_Track'!$F:$F&amp;'5) Release_Track'!$G:$G,1,0))),vlookup($A544&amp;$B544,{'5) Release_Track'!$F:$F&amp;'5) Release_Track'!$G:$G,'5) Release_Track'!$J:$J},2,0),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F544" s="88"/>
      <c r="G544" s="92"/>
      <c r="H544" s="185"/>
      <c r="I544" s="121" t="str">
        <f t="shared" si="2"/>
        <v/>
      </c>
      <c r="J544" s="92"/>
      <c r="K544" s="92"/>
    </row>
    <row r="545">
      <c r="B545" s="97"/>
      <c r="C545" s="121" t="str">
        <f t="array" ref="C545">ifs(and(isblank($A545),isblank($B545)),"", not(iserror(vlookup($A545&amp;$B545,'5) Release_Track'!$F:$F&amp;'5) Release_Track'!$G:$G,1,0))),vlookup($A545&amp;$B545,{'5) Release_Track'!$F:$F&amp;'5) Release_Track'!$G:$G,'5) Release_Track'!$H:$H},2,0),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D545" s="121" t="str">
        <f t="array" ref="D545">ifs(and(isblank($A545),isblank($B545)),"", not(iserror(vlookup($A545&amp;$B545,'5) Release_Track'!$F:$F&amp;'5) Release_Track'!$G:$G,1,0))),vlookup($A545&amp;$B545,{'5) Release_Track'!$F:$F&amp;'5) Release_Track'!$G:$G,'5) Release_Track'!$I:$I},2,0),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E545" s="116" t="str">
        <f t="array" ref="E545">ifs(and(isblank($A545),isblank($B545)),"", not(iserror(vlookup($A545&amp;$B545,'5) Release_Track'!$F:$F&amp;'5) Release_Track'!$G:$G,1,0))),vlookup($A545&amp;$B545,{'5) Release_Track'!$F:$F&amp;'5) Release_Track'!$G:$G,'5) Release_Track'!$J:$J},2,0),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F545" s="88"/>
      <c r="G545" s="92"/>
      <c r="H545" s="185"/>
      <c r="I545" s="121" t="str">
        <f t="shared" si="2"/>
        <v/>
      </c>
      <c r="J545" s="92"/>
      <c r="K545" s="92"/>
    </row>
    <row r="546">
      <c r="B546" s="97"/>
      <c r="C546" s="121" t="str">
        <f t="array" ref="C546">ifs(and(isblank($A546),isblank($B546)),"", not(iserror(vlookup($A546&amp;$B546,'5) Release_Track'!$F:$F&amp;'5) Release_Track'!$G:$G,1,0))),vlookup($A546&amp;$B546,{'5) Release_Track'!$F:$F&amp;'5) Release_Track'!$G:$G,'5) Release_Track'!$H:$H},2,0),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D546" s="121" t="str">
        <f t="array" ref="D546">ifs(and(isblank($A546),isblank($B546)),"", not(iserror(vlookup($A546&amp;$B546,'5) Release_Track'!$F:$F&amp;'5) Release_Track'!$G:$G,1,0))),vlookup($A546&amp;$B546,{'5) Release_Track'!$F:$F&amp;'5) Release_Track'!$G:$G,'5) Release_Track'!$I:$I},2,0),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E546" s="116" t="str">
        <f t="array" ref="E546">ifs(and(isblank($A546),isblank($B546)),"", not(iserror(vlookup($A546&amp;$B546,'5) Release_Track'!$F:$F&amp;'5) Release_Track'!$G:$G,1,0))),vlookup($A546&amp;$B546,{'5) Release_Track'!$F:$F&amp;'5) Release_Track'!$G:$G,'5) Release_Track'!$J:$J},2,0),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F546" s="88"/>
      <c r="G546" s="92"/>
      <c r="H546" s="185"/>
      <c r="I546" s="121" t="str">
        <f t="shared" si="2"/>
        <v/>
      </c>
      <c r="J546" s="92"/>
      <c r="K546" s="92"/>
    </row>
    <row r="547">
      <c r="B547" s="97"/>
      <c r="C547" s="121" t="str">
        <f t="array" ref="C547">ifs(and(isblank($A547),isblank($B547)),"", not(iserror(vlookup($A547&amp;$B547,'5) Release_Track'!$F:$F&amp;'5) Release_Track'!$G:$G,1,0))),vlookup($A547&amp;$B547,{'5) Release_Track'!$F:$F&amp;'5) Release_Track'!$G:$G,'5) Release_Track'!$H:$H},2,0),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D547" s="121" t="str">
        <f t="array" ref="D547">ifs(and(isblank($A547),isblank($B547)),"", not(iserror(vlookup($A547&amp;$B547,'5) Release_Track'!$F:$F&amp;'5) Release_Track'!$G:$G,1,0))),vlookup($A547&amp;$B547,{'5) Release_Track'!$F:$F&amp;'5) Release_Track'!$G:$G,'5) Release_Track'!$I:$I},2,0),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E547" s="116" t="str">
        <f t="array" ref="E547">ifs(and(isblank($A547),isblank($B547)),"", not(iserror(vlookup($A547&amp;$B547,'5) Release_Track'!$F:$F&amp;'5) Release_Track'!$G:$G,1,0))),vlookup($A547&amp;$B547,{'5) Release_Track'!$F:$F&amp;'5) Release_Track'!$G:$G,'5) Release_Track'!$J:$J},2,0),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F547" s="88"/>
      <c r="G547" s="92"/>
      <c r="H547" s="185"/>
      <c r="I547" s="121" t="str">
        <f t="shared" si="2"/>
        <v/>
      </c>
      <c r="J547" s="92"/>
      <c r="K547" s="92"/>
    </row>
    <row r="548">
      <c r="B548" s="97"/>
      <c r="C548" s="121" t="str">
        <f t="array" ref="C548">ifs(and(isblank($A548),isblank($B548)),"", not(iserror(vlookup($A548&amp;$B548,'5) Release_Track'!$F:$F&amp;'5) Release_Track'!$G:$G,1,0))),vlookup($A548&amp;$B548,{'5) Release_Track'!$F:$F&amp;'5) Release_Track'!$G:$G,'5) Release_Track'!$H:$H},2,0),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D548" s="121" t="str">
        <f t="array" ref="D548">ifs(and(isblank($A548),isblank($B548)),"", not(iserror(vlookup($A548&amp;$B548,'5) Release_Track'!$F:$F&amp;'5) Release_Track'!$G:$G,1,0))),vlookup($A548&amp;$B548,{'5) Release_Track'!$F:$F&amp;'5) Release_Track'!$G:$G,'5) Release_Track'!$I:$I},2,0),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E548" s="116" t="str">
        <f t="array" ref="E548">ifs(and(isblank($A548),isblank($B548)),"", not(iserror(vlookup($A548&amp;$B548,'5) Release_Track'!$F:$F&amp;'5) Release_Track'!$G:$G,1,0))),vlookup($A548&amp;$B548,{'5) Release_Track'!$F:$F&amp;'5) Release_Track'!$G:$G,'5) Release_Track'!$J:$J},2,0),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F548" s="88"/>
      <c r="G548" s="92"/>
      <c r="H548" s="185"/>
      <c r="I548" s="121" t="str">
        <f t="shared" si="2"/>
        <v/>
      </c>
      <c r="J548" s="92"/>
      <c r="K548" s="92"/>
    </row>
    <row r="549">
      <c r="B549" s="97"/>
      <c r="C549" s="121" t="str">
        <f t="array" ref="C549">ifs(and(isblank($A549),isblank($B549)),"", not(iserror(vlookup($A549&amp;$B549,'5) Release_Track'!$F:$F&amp;'5) Release_Track'!$G:$G,1,0))),vlookup($A549&amp;$B549,{'5) Release_Track'!$F:$F&amp;'5) Release_Track'!$G:$G,'5) Release_Track'!$H:$H},2,0),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D549" s="121" t="str">
        <f t="array" ref="D549">ifs(and(isblank($A549),isblank($B549)),"", not(iserror(vlookup($A549&amp;$B549,'5) Release_Track'!$F:$F&amp;'5) Release_Track'!$G:$G,1,0))),vlookup($A549&amp;$B549,{'5) Release_Track'!$F:$F&amp;'5) Release_Track'!$G:$G,'5) Release_Track'!$I:$I},2,0),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E549" s="116" t="str">
        <f t="array" ref="E549">ifs(and(isblank($A549),isblank($B549)),"", not(iserror(vlookup($A549&amp;$B549,'5) Release_Track'!$F:$F&amp;'5) Release_Track'!$G:$G,1,0))),vlookup($A549&amp;$B549,{'5) Release_Track'!$F:$F&amp;'5) Release_Track'!$G:$G,'5) Release_Track'!$J:$J},2,0),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F549" s="88"/>
      <c r="G549" s="92"/>
      <c r="H549" s="185"/>
      <c r="I549" s="121" t="str">
        <f t="shared" si="2"/>
        <v/>
      </c>
      <c r="J549" s="92"/>
      <c r="K549" s="92"/>
    </row>
    <row r="550">
      <c r="B550" s="97"/>
      <c r="C550" s="121" t="str">
        <f t="array" ref="C550">ifs(and(isblank($A550),isblank($B550)),"", not(iserror(vlookup($A550&amp;$B550,'5) Release_Track'!$F:$F&amp;'5) Release_Track'!$G:$G,1,0))),vlookup($A550&amp;$B550,{'5) Release_Track'!$F:$F&amp;'5) Release_Track'!$G:$G,'5) Release_Track'!$H:$H},2,0),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D550" s="121" t="str">
        <f t="array" ref="D550">ifs(and(isblank($A550),isblank($B550)),"", not(iserror(vlookup($A550&amp;$B550,'5) Release_Track'!$F:$F&amp;'5) Release_Track'!$G:$G,1,0))),vlookup($A550&amp;$B550,{'5) Release_Track'!$F:$F&amp;'5) Release_Track'!$G:$G,'5) Release_Track'!$I:$I},2,0),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E550" s="116" t="str">
        <f t="array" ref="E550">ifs(and(isblank($A550),isblank($B550)),"", not(iserror(vlookup($A550&amp;$B550,'5) Release_Track'!$F:$F&amp;'5) Release_Track'!$G:$G,1,0))),vlookup($A550&amp;$B550,{'5) Release_Track'!$F:$F&amp;'5) Release_Track'!$G:$G,'5) Release_Track'!$J:$J},2,0),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F550" s="88"/>
      <c r="G550" s="92"/>
      <c r="H550" s="185"/>
      <c r="I550" s="121" t="str">
        <f t="shared" si="2"/>
        <v/>
      </c>
      <c r="J550" s="92"/>
      <c r="K550" s="92"/>
    </row>
    <row r="551">
      <c r="B551" s="97"/>
      <c r="C551" s="121" t="str">
        <f t="array" ref="C551">ifs(and(isblank($A551),isblank($B551)),"", not(iserror(vlookup($A551&amp;$B551,'5) Release_Track'!$F:$F&amp;'5) Release_Track'!$G:$G,1,0))),vlookup($A551&amp;$B551,{'5) Release_Track'!$F:$F&amp;'5) Release_Track'!$G:$G,'5) Release_Track'!$H:$H},2,0),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D551" s="121" t="str">
        <f t="array" ref="D551">ifs(and(isblank($A551),isblank($B551)),"", not(iserror(vlookup($A551&amp;$B551,'5) Release_Track'!$F:$F&amp;'5) Release_Track'!$G:$G,1,0))),vlookup($A551&amp;$B551,{'5) Release_Track'!$F:$F&amp;'5) Release_Track'!$G:$G,'5) Release_Track'!$I:$I},2,0),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E551" s="116" t="str">
        <f t="array" ref="E551">ifs(and(isblank($A551),isblank($B551)),"", not(iserror(vlookup($A551&amp;$B551,'5) Release_Track'!$F:$F&amp;'5) Release_Track'!$G:$G,1,0))),vlookup($A551&amp;$B551,{'5) Release_Track'!$F:$F&amp;'5) Release_Track'!$G:$G,'5) Release_Track'!$J:$J},2,0),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F551" s="88"/>
      <c r="G551" s="92"/>
      <c r="H551" s="185"/>
      <c r="I551" s="121" t="str">
        <f t="shared" si="2"/>
        <v/>
      </c>
      <c r="J551" s="92"/>
      <c r="K551" s="92"/>
    </row>
    <row r="552">
      <c r="B552" s="97"/>
      <c r="C552" s="121" t="str">
        <f t="array" ref="C552">ifs(and(isblank($A552),isblank($B552)),"", not(iserror(vlookup($A552&amp;$B552,'5) Release_Track'!$F:$F&amp;'5) Release_Track'!$G:$G,1,0))),vlookup($A552&amp;$B552,{'5) Release_Track'!$F:$F&amp;'5) Release_Track'!$G:$G,'5) Release_Track'!$H:$H},2,0),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D552" s="121" t="str">
        <f t="array" ref="D552">ifs(and(isblank($A552),isblank($B552)),"", not(iserror(vlookup($A552&amp;$B552,'5) Release_Track'!$F:$F&amp;'5) Release_Track'!$G:$G,1,0))),vlookup($A552&amp;$B552,{'5) Release_Track'!$F:$F&amp;'5) Release_Track'!$G:$G,'5) Release_Track'!$I:$I},2,0),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E552" s="116" t="str">
        <f t="array" ref="E552">ifs(and(isblank($A552),isblank($B552)),"", not(iserror(vlookup($A552&amp;$B552,'5) Release_Track'!$F:$F&amp;'5) Release_Track'!$G:$G,1,0))),vlookup($A552&amp;$B552,{'5) Release_Track'!$F:$F&amp;'5) Release_Track'!$G:$G,'5) Release_Track'!$J:$J},2,0),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F552" s="88"/>
      <c r="G552" s="92"/>
      <c r="H552" s="185"/>
      <c r="I552" s="121" t="str">
        <f t="shared" si="2"/>
        <v/>
      </c>
      <c r="J552" s="92"/>
      <c r="K552" s="92"/>
    </row>
    <row r="553">
      <c r="B553" s="97"/>
      <c r="C553" s="121" t="str">
        <f t="array" ref="C553">ifs(and(isblank($A553),isblank($B553)),"", not(iserror(vlookup($A553&amp;$B553,'5) Release_Track'!$F:$F&amp;'5) Release_Track'!$G:$G,1,0))),vlookup($A553&amp;$B553,{'5) Release_Track'!$F:$F&amp;'5) Release_Track'!$G:$G,'5) Release_Track'!$H:$H},2,0),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D553" s="121" t="str">
        <f t="array" ref="D553">ifs(and(isblank($A553),isblank($B553)),"", not(iserror(vlookup($A553&amp;$B553,'5) Release_Track'!$F:$F&amp;'5) Release_Track'!$G:$G,1,0))),vlookup($A553&amp;$B553,{'5) Release_Track'!$F:$F&amp;'5) Release_Track'!$G:$G,'5) Release_Track'!$I:$I},2,0),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E553" s="116" t="str">
        <f t="array" ref="E553">ifs(and(isblank($A553),isblank($B553)),"", not(iserror(vlookup($A553&amp;$B553,'5) Release_Track'!$F:$F&amp;'5) Release_Track'!$G:$G,1,0))),vlookup($A553&amp;$B553,{'5) Release_Track'!$F:$F&amp;'5) Release_Track'!$G:$G,'5) Release_Track'!$J:$J},2,0),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F553" s="88"/>
      <c r="G553" s="92"/>
      <c r="H553" s="185"/>
      <c r="I553" s="121" t="str">
        <f t="shared" si="2"/>
        <v/>
      </c>
      <c r="J553" s="92"/>
      <c r="K553" s="92"/>
    </row>
    <row r="554">
      <c r="B554" s="97"/>
      <c r="C554" s="121" t="str">
        <f t="array" ref="C554">ifs(and(isblank($A554),isblank($B554)),"", not(iserror(vlookup($A554&amp;$B554,'5) Release_Track'!$F:$F&amp;'5) Release_Track'!$G:$G,1,0))),vlookup($A554&amp;$B554,{'5) Release_Track'!$F:$F&amp;'5) Release_Track'!$G:$G,'5) Release_Track'!$H:$H},2,0),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D554" s="121" t="str">
        <f t="array" ref="D554">ifs(and(isblank($A554),isblank($B554)),"", not(iserror(vlookup($A554&amp;$B554,'5) Release_Track'!$F:$F&amp;'5) Release_Track'!$G:$G,1,0))),vlookup($A554&amp;$B554,{'5) Release_Track'!$F:$F&amp;'5) Release_Track'!$G:$G,'5) Release_Track'!$I:$I},2,0),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E554" s="116" t="str">
        <f t="array" ref="E554">ifs(and(isblank($A554),isblank($B554)),"", not(iserror(vlookup($A554&amp;$B554,'5) Release_Track'!$F:$F&amp;'5) Release_Track'!$G:$G,1,0))),vlookup($A554&amp;$B554,{'5) Release_Track'!$F:$F&amp;'5) Release_Track'!$G:$G,'5) Release_Track'!$J:$J},2,0),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F554" s="88"/>
      <c r="G554" s="92"/>
      <c r="H554" s="185"/>
      <c r="I554" s="121" t="str">
        <f t="shared" si="2"/>
        <v/>
      </c>
      <c r="J554" s="92"/>
      <c r="K554" s="92"/>
    </row>
    <row r="555">
      <c r="B555" s="97"/>
      <c r="C555" s="121" t="str">
        <f t="array" ref="C555">ifs(and(isblank($A555),isblank($B555)),"", not(iserror(vlookup($A555&amp;$B555,'5) Release_Track'!$F:$F&amp;'5) Release_Track'!$G:$G,1,0))),vlookup($A555&amp;$B555,{'5) Release_Track'!$F:$F&amp;'5) Release_Track'!$G:$G,'5) Release_Track'!$H:$H},2,0),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D555" s="121" t="str">
        <f t="array" ref="D555">ifs(and(isblank($A555),isblank($B555)),"", not(iserror(vlookup($A555&amp;$B555,'5) Release_Track'!$F:$F&amp;'5) Release_Track'!$G:$G,1,0))),vlookup($A555&amp;$B555,{'5) Release_Track'!$F:$F&amp;'5) Release_Track'!$G:$G,'5) Release_Track'!$I:$I},2,0),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E555" s="116" t="str">
        <f t="array" ref="E555">ifs(and(isblank($A555),isblank($B555)),"", not(iserror(vlookup($A555&amp;$B555,'5) Release_Track'!$F:$F&amp;'5) Release_Track'!$G:$G,1,0))),vlookup($A555&amp;$B555,{'5) Release_Track'!$F:$F&amp;'5) Release_Track'!$G:$G,'5) Release_Track'!$J:$J},2,0),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F555" s="88"/>
      <c r="G555" s="92"/>
      <c r="H555" s="185"/>
      <c r="I555" s="121" t="str">
        <f t="shared" si="2"/>
        <v/>
      </c>
      <c r="J555" s="92"/>
      <c r="K555" s="92"/>
    </row>
    <row r="556">
      <c r="B556" s="97"/>
      <c r="C556" s="121" t="str">
        <f t="array" ref="C556">ifs(and(isblank($A556),isblank($B556)),"", not(iserror(vlookup($A556&amp;$B556,'5) Release_Track'!$F:$F&amp;'5) Release_Track'!$G:$G,1,0))),vlookup($A556&amp;$B556,{'5) Release_Track'!$F:$F&amp;'5) Release_Track'!$G:$G,'5) Release_Track'!$H:$H},2,0),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D556" s="121" t="str">
        <f t="array" ref="D556">ifs(and(isblank($A556),isblank($B556)),"", not(iserror(vlookup($A556&amp;$B556,'5) Release_Track'!$F:$F&amp;'5) Release_Track'!$G:$G,1,0))),vlookup($A556&amp;$B556,{'5) Release_Track'!$F:$F&amp;'5) Release_Track'!$G:$G,'5) Release_Track'!$I:$I},2,0),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E556" s="116" t="str">
        <f t="array" ref="E556">ifs(and(isblank($A556),isblank($B556)),"", not(iserror(vlookup($A556&amp;$B556,'5) Release_Track'!$F:$F&amp;'5) Release_Track'!$G:$G,1,0))),vlookup($A556&amp;$B556,{'5) Release_Track'!$F:$F&amp;'5) Release_Track'!$G:$G,'5) Release_Track'!$J:$J},2,0),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F556" s="88"/>
      <c r="G556" s="92"/>
      <c r="H556" s="185"/>
      <c r="I556" s="121" t="str">
        <f t="shared" si="2"/>
        <v/>
      </c>
      <c r="J556" s="92"/>
      <c r="K556" s="92"/>
    </row>
    <row r="557">
      <c r="B557" s="97"/>
      <c r="C557" s="121" t="str">
        <f t="array" ref="C557">ifs(and(isblank($A557),isblank($B557)),"", not(iserror(vlookup($A557&amp;$B557,'5) Release_Track'!$F:$F&amp;'5) Release_Track'!$G:$G,1,0))),vlookup($A557&amp;$B557,{'5) Release_Track'!$F:$F&amp;'5) Release_Track'!$G:$G,'5) Release_Track'!$H:$H},2,0),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D557" s="121" t="str">
        <f t="array" ref="D557">ifs(and(isblank($A557),isblank($B557)),"", not(iserror(vlookup($A557&amp;$B557,'5) Release_Track'!$F:$F&amp;'5) Release_Track'!$G:$G,1,0))),vlookup($A557&amp;$B557,{'5) Release_Track'!$F:$F&amp;'5) Release_Track'!$G:$G,'5) Release_Track'!$I:$I},2,0),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E557" s="116" t="str">
        <f t="array" ref="E557">ifs(and(isblank($A557),isblank($B557)),"", not(iserror(vlookup($A557&amp;$B557,'5) Release_Track'!$F:$F&amp;'5) Release_Track'!$G:$G,1,0))),vlookup($A557&amp;$B557,{'5) Release_Track'!$F:$F&amp;'5) Release_Track'!$G:$G,'5) Release_Track'!$J:$J},2,0),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F557" s="88"/>
      <c r="G557" s="92"/>
      <c r="H557" s="185"/>
      <c r="I557" s="121" t="str">
        <f t="shared" si="2"/>
        <v/>
      </c>
      <c r="J557" s="92"/>
      <c r="K557" s="92"/>
    </row>
    <row r="558">
      <c r="B558" s="97"/>
      <c r="C558" s="121" t="str">
        <f t="array" ref="C558">ifs(and(isblank($A558),isblank($B558)),"", not(iserror(vlookup($A558&amp;$B558,'5) Release_Track'!$F:$F&amp;'5) Release_Track'!$G:$G,1,0))),vlookup($A558&amp;$B558,{'5) Release_Track'!$F:$F&amp;'5) Release_Track'!$G:$G,'5) Release_Track'!$H:$H},2,0),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D558" s="121" t="str">
        <f t="array" ref="D558">ifs(and(isblank($A558),isblank($B558)),"", not(iserror(vlookup($A558&amp;$B558,'5) Release_Track'!$F:$F&amp;'5) Release_Track'!$G:$G,1,0))),vlookup($A558&amp;$B558,{'5) Release_Track'!$F:$F&amp;'5) Release_Track'!$G:$G,'5) Release_Track'!$I:$I},2,0),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E558" s="116" t="str">
        <f t="array" ref="E558">ifs(and(isblank($A558),isblank($B558)),"", not(iserror(vlookup($A558&amp;$B558,'5) Release_Track'!$F:$F&amp;'5) Release_Track'!$G:$G,1,0))),vlookup($A558&amp;$B558,{'5) Release_Track'!$F:$F&amp;'5) Release_Track'!$G:$G,'5) Release_Track'!$J:$J},2,0),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F558" s="88"/>
      <c r="G558" s="92"/>
      <c r="H558" s="185"/>
      <c r="I558" s="121" t="str">
        <f t="shared" si="2"/>
        <v/>
      </c>
      <c r="J558" s="92"/>
      <c r="K558" s="92"/>
    </row>
    <row r="559">
      <c r="B559" s="97"/>
      <c r="C559" s="121" t="str">
        <f t="array" ref="C559">ifs(and(isblank($A559),isblank($B559)),"", not(iserror(vlookup($A559&amp;$B559,'5) Release_Track'!$F:$F&amp;'5) Release_Track'!$G:$G,1,0))),vlookup($A559&amp;$B559,{'5) Release_Track'!$F:$F&amp;'5) Release_Track'!$G:$G,'5) Release_Track'!$H:$H},2,0),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D559" s="121" t="str">
        <f t="array" ref="D559">ifs(and(isblank($A559),isblank($B559)),"", not(iserror(vlookup($A559&amp;$B559,'5) Release_Track'!$F:$F&amp;'5) Release_Track'!$G:$G,1,0))),vlookup($A559&amp;$B559,{'5) Release_Track'!$F:$F&amp;'5) Release_Track'!$G:$G,'5) Release_Track'!$I:$I},2,0),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E559" s="116" t="str">
        <f t="array" ref="E559">ifs(and(isblank($A559),isblank($B559)),"", not(iserror(vlookup($A559&amp;$B559,'5) Release_Track'!$F:$F&amp;'5) Release_Track'!$G:$G,1,0))),vlookup($A559&amp;$B559,{'5) Release_Track'!$F:$F&amp;'5) Release_Track'!$G:$G,'5) Release_Track'!$J:$J},2,0),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F559" s="88"/>
      <c r="G559" s="92"/>
      <c r="H559" s="185"/>
      <c r="I559" s="121" t="str">
        <f t="shared" si="2"/>
        <v/>
      </c>
      <c r="J559" s="92"/>
      <c r="K559" s="92"/>
    </row>
    <row r="560">
      <c r="B560" s="97"/>
      <c r="C560" s="121" t="str">
        <f t="array" ref="C560">ifs(and(isblank($A560),isblank($B560)),"", not(iserror(vlookup($A560&amp;$B560,'5) Release_Track'!$F:$F&amp;'5) Release_Track'!$G:$G,1,0))),vlookup($A560&amp;$B560,{'5) Release_Track'!$F:$F&amp;'5) Release_Track'!$G:$G,'5) Release_Track'!$H:$H},2,0),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D560" s="121" t="str">
        <f t="array" ref="D560">ifs(and(isblank($A560),isblank($B560)),"", not(iserror(vlookup($A560&amp;$B560,'5) Release_Track'!$F:$F&amp;'5) Release_Track'!$G:$G,1,0))),vlookup($A560&amp;$B560,{'5) Release_Track'!$F:$F&amp;'5) Release_Track'!$G:$G,'5) Release_Track'!$I:$I},2,0),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E560" s="116" t="str">
        <f t="array" ref="E560">ifs(and(isblank($A560),isblank($B560)),"", not(iserror(vlookup($A560&amp;$B560,'5) Release_Track'!$F:$F&amp;'5) Release_Track'!$G:$G,1,0))),vlookup($A560&amp;$B560,{'5) Release_Track'!$F:$F&amp;'5) Release_Track'!$G:$G,'5) Release_Track'!$J:$J},2,0),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F560" s="88"/>
      <c r="G560" s="92"/>
      <c r="H560" s="185"/>
      <c r="I560" s="121" t="str">
        <f t="shared" si="2"/>
        <v/>
      </c>
      <c r="J560" s="92"/>
      <c r="K560" s="92"/>
    </row>
    <row r="561">
      <c r="B561" s="97"/>
      <c r="C561" s="121" t="str">
        <f t="array" ref="C561">ifs(and(isblank($A561),isblank($B561)),"", not(iserror(vlookup($A561&amp;$B561,'5) Release_Track'!$F:$F&amp;'5) Release_Track'!$G:$G,1,0))),vlookup($A561&amp;$B561,{'5) Release_Track'!$F:$F&amp;'5) Release_Track'!$G:$G,'5) Release_Track'!$H:$H},2,0),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D561" s="121" t="str">
        <f t="array" ref="D561">ifs(and(isblank($A561),isblank($B561)),"", not(iserror(vlookup($A561&amp;$B561,'5) Release_Track'!$F:$F&amp;'5) Release_Track'!$G:$G,1,0))),vlookup($A561&amp;$B561,{'5) Release_Track'!$F:$F&amp;'5) Release_Track'!$G:$G,'5) Release_Track'!$I:$I},2,0),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E561" s="116" t="str">
        <f t="array" ref="E561">ifs(and(isblank($A561),isblank($B561)),"", not(iserror(vlookup($A561&amp;$B561,'5) Release_Track'!$F:$F&amp;'5) Release_Track'!$G:$G,1,0))),vlookup($A561&amp;$B561,{'5) Release_Track'!$F:$F&amp;'5) Release_Track'!$G:$G,'5) Release_Track'!$J:$J},2,0),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F561" s="88"/>
      <c r="G561" s="92"/>
      <c r="H561" s="185"/>
      <c r="I561" s="121" t="str">
        <f t="shared" si="2"/>
        <v/>
      </c>
      <c r="J561" s="92"/>
      <c r="K561" s="92"/>
    </row>
    <row r="562">
      <c r="B562" s="97"/>
      <c r="C562" s="121" t="str">
        <f t="array" ref="C562">ifs(and(isblank($A562),isblank($B562)),"", not(iserror(vlookup($A562&amp;$B562,'5) Release_Track'!$F:$F&amp;'5) Release_Track'!$G:$G,1,0))),vlookup($A562&amp;$B562,{'5) Release_Track'!$F:$F&amp;'5) Release_Track'!$G:$G,'5) Release_Track'!$H:$H},2,0),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D562" s="121" t="str">
        <f t="array" ref="D562">ifs(and(isblank($A562),isblank($B562)),"", not(iserror(vlookup($A562&amp;$B562,'5) Release_Track'!$F:$F&amp;'5) Release_Track'!$G:$G,1,0))),vlookup($A562&amp;$B562,{'5) Release_Track'!$F:$F&amp;'5) Release_Track'!$G:$G,'5) Release_Track'!$I:$I},2,0),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E562" s="116" t="str">
        <f t="array" ref="E562">ifs(and(isblank($A562),isblank($B562)),"", not(iserror(vlookup($A562&amp;$B562,'5) Release_Track'!$F:$F&amp;'5) Release_Track'!$G:$G,1,0))),vlookup($A562&amp;$B562,{'5) Release_Track'!$F:$F&amp;'5) Release_Track'!$G:$G,'5) Release_Track'!$J:$J},2,0),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F562" s="88"/>
      <c r="G562" s="92"/>
      <c r="H562" s="185"/>
      <c r="I562" s="121" t="str">
        <f t="shared" si="2"/>
        <v/>
      </c>
      <c r="J562" s="92"/>
      <c r="K562" s="92"/>
    </row>
    <row r="563">
      <c r="B563" s="97"/>
      <c r="C563" s="121" t="str">
        <f t="array" ref="C563">ifs(and(isblank($A563),isblank($B563)),"", not(iserror(vlookup($A563&amp;$B563,'5) Release_Track'!$F:$F&amp;'5) Release_Track'!$G:$G,1,0))),vlookup($A563&amp;$B563,{'5) Release_Track'!$F:$F&amp;'5) Release_Track'!$G:$G,'5) Release_Track'!$H:$H},2,0),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D563" s="121" t="str">
        <f t="array" ref="D563">ifs(and(isblank($A563),isblank($B563)),"", not(iserror(vlookup($A563&amp;$B563,'5) Release_Track'!$F:$F&amp;'5) Release_Track'!$G:$G,1,0))),vlookup($A563&amp;$B563,{'5) Release_Track'!$F:$F&amp;'5) Release_Track'!$G:$G,'5) Release_Track'!$I:$I},2,0),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E563" s="116" t="str">
        <f t="array" ref="E563">ifs(and(isblank($A563),isblank($B563)),"", not(iserror(vlookup($A563&amp;$B563,'5) Release_Track'!$F:$F&amp;'5) Release_Track'!$G:$G,1,0))),vlookup($A563&amp;$B563,{'5) Release_Track'!$F:$F&amp;'5) Release_Track'!$G:$G,'5) Release_Track'!$J:$J},2,0),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F563" s="88"/>
      <c r="G563" s="92"/>
      <c r="H563" s="185"/>
      <c r="I563" s="121" t="str">
        <f t="shared" si="2"/>
        <v/>
      </c>
      <c r="J563" s="92"/>
      <c r="K563" s="92"/>
    </row>
    <row r="564">
      <c r="B564" s="97"/>
      <c r="C564" s="121" t="str">
        <f t="array" ref="C564">ifs(and(isblank($A564),isblank($B564)),"", not(iserror(vlookup($A564&amp;$B564,'5) Release_Track'!$F:$F&amp;'5) Release_Track'!$G:$G,1,0))),vlookup($A564&amp;$B564,{'5) Release_Track'!$F:$F&amp;'5) Release_Track'!$G:$G,'5) Release_Track'!$H:$H},2,0),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D564" s="121" t="str">
        <f t="array" ref="D564">ifs(and(isblank($A564),isblank($B564)),"", not(iserror(vlookup($A564&amp;$B564,'5) Release_Track'!$F:$F&amp;'5) Release_Track'!$G:$G,1,0))),vlookup($A564&amp;$B564,{'5) Release_Track'!$F:$F&amp;'5) Release_Track'!$G:$G,'5) Release_Track'!$I:$I},2,0),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E564" s="116" t="str">
        <f t="array" ref="E564">ifs(and(isblank($A564),isblank($B564)),"", not(iserror(vlookup($A564&amp;$B564,'5) Release_Track'!$F:$F&amp;'5) Release_Track'!$G:$G,1,0))),vlookup($A564&amp;$B564,{'5) Release_Track'!$F:$F&amp;'5) Release_Track'!$G:$G,'5) Release_Track'!$J:$J},2,0),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F564" s="88"/>
      <c r="G564" s="92"/>
      <c r="H564" s="185"/>
      <c r="I564" s="121" t="str">
        <f t="shared" si="2"/>
        <v/>
      </c>
      <c r="J564" s="92"/>
      <c r="K564" s="92"/>
    </row>
    <row r="565">
      <c r="B565" s="97"/>
      <c r="C565" s="121" t="str">
        <f t="array" ref="C565">ifs(and(isblank($A565),isblank($B565)),"", not(iserror(vlookup($A565&amp;$B565,'5) Release_Track'!$F:$F&amp;'5) Release_Track'!$G:$G,1,0))),vlookup($A565&amp;$B565,{'5) Release_Track'!$F:$F&amp;'5) Release_Track'!$G:$G,'5) Release_Track'!$H:$H},2,0),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D565" s="121" t="str">
        <f t="array" ref="D565">ifs(and(isblank($A565),isblank($B565)),"", not(iserror(vlookup($A565&amp;$B565,'5) Release_Track'!$F:$F&amp;'5) Release_Track'!$G:$G,1,0))),vlookup($A565&amp;$B565,{'5) Release_Track'!$F:$F&amp;'5) Release_Track'!$G:$G,'5) Release_Track'!$I:$I},2,0),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E565" s="116" t="str">
        <f t="array" ref="E565">ifs(and(isblank($A565),isblank($B565)),"", not(iserror(vlookup($A565&amp;$B565,'5) Release_Track'!$F:$F&amp;'5) Release_Track'!$G:$G,1,0))),vlookup($A565&amp;$B565,{'5) Release_Track'!$F:$F&amp;'5) Release_Track'!$G:$G,'5) Release_Track'!$J:$J},2,0),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F565" s="88"/>
      <c r="G565" s="92"/>
      <c r="H565" s="185"/>
      <c r="I565" s="121" t="str">
        <f t="shared" si="2"/>
        <v/>
      </c>
      <c r="J565" s="92"/>
      <c r="K565" s="92"/>
    </row>
    <row r="566">
      <c r="B566" s="97"/>
      <c r="C566" s="121" t="str">
        <f t="array" ref="C566">ifs(and(isblank($A566),isblank($B566)),"", not(iserror(vlookup($A566&amp;$B566,'5) Release_Track'!$F:$F&amp;'5) Release_Track'!$G:$G,1,0))),vlookup($A566&amp;$B566,{'5) Release_Track'!$F:$F&amp;'5) Release_Track'!$G:$G,'5) Release_Track'!$H:$H},2,0),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D566" s="121" t="str">
        <f t="array" ref="D566">ifs(and(isblank($A566),isblank($B566)),"", not(iserror(vlookup($A566&amp;$B566,'5) Release_Track'!$F:$F&amp;'5) Release_Track'!$G:$G,1,0))),vlookup($A566&amp;$B566,{'5) Release_Track'!$F:$F&amp;'5) Release_Track'!$G:$G,'5) Release_Track'!$I:$I},2,0),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E566" s="116" t="str">
        <f t="array" ref="E566">ifs(and(isblank($A566),isblank($B566)),"", not(iserror(vlookup($A566&amp;$B566,'5) Release_Track'!$F:$F&amp;'5) Release_Track'!$G:$G,1,0))),vlookup($A566&amp;$B566,{'5) Release_Track'!$F:$F&amp;'5) Release_Track'!$G:$G,'5) Release_Track'!$J:$J},2,0),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F566" s="88"/>
      <c r="G566" s="92"/>
      <c r="H566" s="185"/>
      <c r="I566" s="121" t="str">
        <f t="shared" si="2"/>
        <v/>
      </c>
      <c r="J566" s="92"/>
      <c r="K566" s="92"/>
    </row>
    <row r="567">
      <c r="B567" s="97"/>
      <c r="C567" s="121" t="str">
        <f t="array" ref="C567">ifs(and(isblank($A567),isblank($B567)),"", not(iserror(vlookup($A567&amp;$B567,'5) Release_Track'!$F:$F&amp;'5) Release_Track'!$G:$G,1,0))),vlookup($A567&amp;$B567,{'5) Release_Track'!$F:$F&amp;'5) Release_Track'!$G:$G,'5) Release_Track'!$H:$H},2,0),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D567" s="121" t="str">
        <f t="array" ref="D567">ifs(and(isblank($A567),isblank($B567)),"", not(iserror(vlookup($A567&amp;$B567,'5) Release_Track'!$F:$F&amp;'5) Release_Track'!$G:$G,1,0))),vlookup($A567&amp;$B567,{'5) Release_Track'!$F:$F&amp;'5) Release_Track'!$G:$G,'5) Release_Track'!$I:$I},2,0),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E567" s="116" t="str">
        <f t="array" ref="E567">ifs(and(isblank($A567),isblank($B567)),"", not(iserror(vlookup($A567&amp;$B567,'5) Release_Track'!$F:$F&amp;'5) Release_Track'!$G:$G,1,0))),vlookup($A567&amp;$B567,{'5) Release_Track'!$F:$F&amp;'5) Release_Track'!$G:$G,'5) Release_Track'!$J:$J},2,0),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F567" s="88"/>
      <c r="G567" s="92"/>
      <c r="H567" s="185"/>
      <c r="I567" s="121" t="str">
        <f t="shared" si="2"/>
        <v/>
      </c>
      <c r="J567" s="92"/>
      <c r="K567" s="92"/>
    </row>
    <row r="568">
      <c r="B568" s="97"/>
      <c r="C568" s="121" t="str">
        <f t="array" ref="C568">ifs(and(isblank($A568),isblank($B568)),"", not(iserror(vlookup($A568&amp;$B568,'5) Release_Track'!$F:$F&amp;'5) Release_Track'!$G:$G,1,0))),vlookup($A568&amp;$B568,{'5) Release_Track'!$F:$F&amp;'5) Release_Track'!$G:$G,'5) Release_Track'!$H:$H},2,0),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D568" s="121" t="str">
        <f t="array" ref="D568">ifs(and(isblank($A568),isblank($B568)),"", not(iserror(vlookup($A568&amp;$B568,'5) Release_Track'!$F:$F&amp;'5) Release_Track'!$G:$G,1,0))),vlookup($A568&amp;$B568,{'5) Release_Track'!$F:$F&amp;'5) Release_Track'!$G:$G,'5) Release_Track'!$I:$I},2,0),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E568" s="116" t="str">
        <f t="array" ref="E568">ifs(and(isblank($A568),isblank($B568)),"", not(iserror(vlookup($A568&amp;$B568,'5) Release_Track'!$F:$F&amp;'5) Release_Track'!$G:$G,1,0))),vlookup($A568&amp;$B568,{'5) Release_Track'!$F:$F&amp;'5) Release_Track'!$G:$G,'5) Release_Track'!$J:$J},2,0),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F568" s="88"/>
      <c r="G568" s="92"/>
      <c r="H568" s="185"/>
      <c r="I568" s="121" t="str">
        <f t="shared" si="2"/>
        <v/>
      </c>
      <c r="J568" s="92"/>
      <c r="K568" s="92"/>
    </row>
    <row r="569">
      <c r="B569" s="97"/>
      <c r="C569" s="121" t="str">
        <f t="array" ref="C569">ifs(and(isblank($A569),isblank($B569)),"", not(iserror(vlookup($A569&amp;$B569,'5) Release_Track'!$F:$F&amp;'5) Release_Track'!$G:$G,1,0))),vlookup($A569&amp;$B569,{'5) Release_Track'!$F:$F&amp;'5) Release_Track'!$G:$G,'5) Release_Track'!$H:$H},2,0),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D569" s="121" t="str">
        <f t="array" ref="D569">ifs(and(isblank($A569),isblank($B569)),"", not(iserror(vlookup($A569&amp;$B569,'5) Release_Track'!$F:$F&amp;'5) Release_Track'!$G:$G,1,0))),vlookup($A569&amp;$B569,{'5) Release_Track'!$F:$F&amp;'5) Release_Track'!$G:$G,'5) Release_Track'!$I:$I},2,0),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E569" s="116" t="str">
        <f t="array" ref="E569">ifs(and(isblank($A569),isblank($B569)),"", not(iserror(vlookup($A569&amp;$B569,'5) Release_Track'!$F:$F&amp;'5) Release_Track'!$G:$G,1,0))),vlookup($A569&amp;$B569,{'5) Release_Track'!$F:$F&amp;'5) Release_Track'!$G:$G,'5) Release_Track'!$J:$J},2,0),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F569" s="88"/>
      <c r="G569" s="92"/>
      <c r="H569" s="185"/>
      <c r="I569" s="121" t="str">
        <f t="shared" si="2"/>
        <v/>
      </c>
      <c r="J569" s="92"/>
      <c r="K569" s="92"/>
    </row>
    <row r="570">
      <c r="B570" s="97"/>
      <c r="C570" s="121" t="str">
        <f t="array" ref="C570">ifs(and(isblank($A570),isblank($B570)),"", not(iserror(vlookup($A570&amp;$B570,'5) Release_Track'!$F:$F&amp;'5) Release_Track'!$G:$G,1,0))),vlookup($A570&amp;$B570,{'5) Release_Track'!$F:$F&amp;'5) Release_Track'!$G:$G,'5) Release_Track'!$H:$H},2,0),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D570" s="121" t="str">
        <f t="array" ref="D570">ifs(and(isblank($A570),isblank($B570)),"", not(iserror(vlookup($A570&amp;$B570,'5) Release_Track'!$F:$F&amp;'5) Release_Track'!$G:$G,1,0))),vlookup($A570&amp;$B570,{'5) Release_Track'!$F:$F&amp;'5) Release_Track'!$G:$G,'5) Release_Track'!$I:$I},2,0),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E570" s="116" t="str">
        <f t="array" ref="E570">ifs(and(isblank($A570),isblank($B570)),"", not(iserror(vlookup($A570&amp;$B570,'5) Release_Track'!$F:$F&amp;'5) Release_Track'!$G:$G,1,0))),vlookup($A570&amp;$B570,{'5) Release_Track'!$F:$F&amp;'5) Release_Track'!$G:$G,'5) Release_Track'!$J:$J},2,0),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F570" s="88"/>
      <c r="G570" s="92"/>
      <c r="H570" s="185"/>
      <c r="I570" s="121" t="str">
        <f t="shared" si="2"/>
        <v/>
      </c>
      <c r="J570" s="92"/>
      <c r="K570" s="92"/>
    </row>
    <row r="571">
      <c r="B571" s="97"/>
      <c r="C571" s="121" t="str">
        <f t="array" ref="C571">ifs(and(isblank($A571),isblank($B571)),"", not(iserror(vlookup($A571&amp;$B571,'5) Release_Track'!$F:$F&amp;'5) Release_Track'!$G:$G,1,0))),vlookup($A571&amp;$B571,{'5) Release_Track'!$F:$F&amp;'5) Release_Track'!$G:$G,'5) Release_Track'!$H:$H},2,0),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D571" s="121" t="str">
        <f t="array" ref="D571">ifs(and(isblank($A571),isblank($B571)),"", not(iserror(vlookup($A571&amp;$B571,'5) Release_Track'!$F:$F&amp;'5) Release_Track'!$G:$G,1,0))),vlookup($A571&amp;$B571,{'5) Release_Track'!$F:$F&amp;'5) Release_Track'!$G:$G,'5) Release_Track'!$I:$I},2,0),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E571" s="116" t="str">
        <f t="array" ref="E571">ifs(and(isblank($A571),isblank($B571)),"", not(iserror(vlookup($A571&amp;$B571,'5) Release_Track'!$F:$F&amp;'5) Release_Track'!$G:$G,1,0))),vlookup($A571&amp;$B571,{'5) Release_Track'!$F:$F&amp;'5) Release_Track'!$G:$G,'5) Release_Track'!$J:$J},2,0),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F571" s="88"/>
      <c r="G571" s="92"/>
      <c r="H571" s="185"/>
      <c r="I571" s="121" t="str">
        <f t="shared" si="2"/>
        <v/>
      </c>
      <c r="J571" s="92"/>
      <c r="K571" s="92"/>
    </row>
    <row r="572">
      <c r="B572" s="97"/>
      <c r="C572" s="121" t="str">
        <f t="array" ref="C572">ifs(and(isblank($A572),isblank($B572)),"", not(iserror(vlookup($A572&amp;$B572,'5) Release_Track'!$F:$F&amp;'5) Release_Track'!$G:$G,1,0))),vlookup($A572&amp;$B572,{'5) Release_Track'!$F:$F&amp;'5) Release_Track'!$G:$G,'5) Release_Track'!$H:$H},2,0),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D572" s="121" t="str">
        <f t="array" ref="D572">ifs(and(isblank($A572),isblank($B572)),"", not(iserror(vlookup($A572&amp;$B572,'5) Release_Track'!$F:$F&amp;'5) Release_Track'!$G:$G,1,0))),vlookup($A572&amp;$B572,{'5) Release_Track'!$F:$F&amp;'5) Release_Track'!$G:$G,'5) Release_Track'!$I:$I},2,0),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E572" s="116" t="str">
        <f t="array" ref="E572">ifs(and(isblank($A572),isblank($B572)),"", not(iserror(vlookup($A572&amp;$B572,'5) Release_Track'!$F:$F&amp;'5) Release_Track'!$G:$G,1,0))),vlookup($A572&amp;$B572,{'5) Release_Track'!$F:$F&amp;'5) Release_Track'!$G:$G,'5) Release_Track'!$J:$J},2,0),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F572" s="88"/>
      <c r="G572" s="92"/>
      <c r="H572" s="185"/>
      <c r="I572" s="121" t="str">
        <f t="shared" si="2"/>
        <v/>
      </c>
      <c r="J572" s="92"/>
      <c r="K572" s="92"/>
    </row>
    <row r="573">
      <c r="B573" s="97"/>
      <c r="C573" s="121" t="str">
        <f t="array" ref="C573">ifs(and(isblank($A573),isblank($B573)),"", not(iserror(vlookup($A573&amp;$B573,'5) Release_Track'!$F:$F&amp;'5) Release_Track'!$G:$G,1,0))),vlookup($A573&amp;$B573,{'5) Release_Track'!$F:$F&amp;'5) Release_Track'!$G:$G,'5) Release_Track'!$H:$H},2,0),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D573" s="121" t="str">
        <f t="array" ref="D573">ifs(and(isblank($A573),isblank($B573)),"", not(iserror(vlookup($A573&amp;$B573,'5) Release_Track'!$F:$F&amp;'5) Release_Track'!$G:$G,1,0))),vlookup($A573&amp;$B573,{'5) Release_Track'!$F:$F&amp;'5) Release_Track'!$G:$G,'5) Release_Track'!$I:$I},2,0),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E573" s="116" t="str">
        <f t="array" ref="E573">ifs(and(isblank($A573),isblank($B573)),"", not(iserror(vlookup($A573&amp;$B573,'5) Release_Track'!$F:$F&amp;'5) Release_Track'!$G:$G,1,0))),vlookup($A573&amp;$B573,{'5) Release_Track'!$F:$F&amp;'5) Release_Track'!$G:$G,'5) Release_Track'!$J:$J},2,0),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F573" s="88"/>
      <c r="G573" s="92"/>
      <c r="H573" s="185"/>
      <c r="I573" s="121" t="str">
        <f t="shared" si="2"/>
        <v/>
      </c>
      <c r="J573" s="92"/>
      <c r="K573" s="92"/>
    </row>
    <row r="574">
      <c r="B574" s="97"/>
      <c r="C574" s="121" t="str">
        <f t="array" ref="C574">ifs(and(isblank($A574),isblank($B574)),"", not(iserror(vlookup($A574&amp;$B574,'5) Release_Track'!$F:$F&amp;'5) Release_Track'!$G:$G,1,0))),vlookup($A574&amp;$B574,{'5) Release_Track'!$F:$F&amp;'5) Release_Track'!$G:$G,'5) Release_Track'!$H:$H},2,0),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D574" s="121" t="str">
        <f t="array" ref="D574">ifs(and(isblank($A574),isblank($B574)),"", not(iserror(vlookup($A574&amp;$B574,'5) Release_Track'!$F:$F&amp;'5) Release_Track'!$G:$G,1,0))),vlookup($A574&amp;$B574,{'5) Release_Track'!$F:$F&amp;'5) Release_Track'!$G:$G,'5) Release_Track'!$I:$I},2,0),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E574" s="116" t="str">
        <f t="array" ref="E574">ifs(and(isblank($A574),isblank($B574)),"", not(iserror(vlookup($A574&amp;$B574,'5) Release_Track'!$F:$F&amp;'5) Release_Track'!$G:$G,1,0))),vlookup($A574&amp;$B574,{'5) Release_Track'!$F:$F&amp;'5) Release_Track'!$G:$G,'5) Release_Track'!$J:$J},2,0),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F574" s="88"/>
      <c r="G574" s="92"/>
      <c r="H574" s="185"/>
      <c r="I574" s="121" t="str">
        <f t="shared" si="2"/>
        <v/>
      </c>
      <c r="J574" s="92"/>
      <c r="K574" s="92"/>
    </row>
    <row r="575">
      <c r="B575" s="97"/>
      <c r="C575" s="121" t="str">
        <f t="array" ref="C575">ifs(and(isblank($A575),isblank($B575)),"", not(iserror(vlookup($A575&amp;$B575,'5) Release_Track'!$F:$F&amp;'5) Release_Track'!$G:$G,1,0))),vlookup($A575&amp;$B575,{'5) Release_Track'!$F:$F&amp;'5) Release_Track'!$G:$G,'5) Release_Track'!$H:$H},2,0),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D575" s="121" t="str">
        <f t="array" ref="D575">ifs(and(isblank($A575),isblank($B575)),"", not(iserror(vlookup($A575&amp;$B575,'5) Release_Track'!$F:$F&amp;'5) Release_Track'!$G:$G,1,0))),vlookup($A575&amp;$B575,{'5) Release_Track'!$F:$F&amp;'5) Release_Track'!$G:$G,'5) Release_Track'!$I:$I},2,0),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E575" s="116" t="str">
        <f t="array" ref="E575">ifs(and(isblank($A575),isblank($B575)),"", not(iserror(vlookup($A575&amp;$B575,'5) Release_Track'!$F:$F&amp;'5) Release_Track'!$G:$G,1,0))),vlookup($A575&amp;$B575,{'5) Release_Track'!$F:$F&amp;'5) Release_Track'!$G:$G,'5) Release_Track'!$J:$J},2,0),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F575" s="88"/>
      <c r="G575" s="92"/>
      <c r="H575" s="185"/>
      <c r="I575" s="121" t="str">
        <f t="shared" si="2"/>
        <v/>
      </c>
      <c r="J575" s="92"/>
      <c r="K575" s="92"/>
    </row>
    <row r="576">
      <c r="B576" s="97"/>
      <c r="C576" s="121" t="str">
        <f t="array" ref="C576">ifs(and(isblank($A576),isblank($B576)),"", not(iserror(vlookup($A576&amp;$B576,'5) Release_Track'!$F:$F&amp;'5) Release_Track'!$G:$G,1,0))),vlookup($A576&amp;$B576,{'5) Release_Track'!$F:$F&amp;'5) Release_Track'!$G:$G,'5) Release_Track'!$H:$H},2,0),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D576" s="121" t="str">
        <f t="array" ref="D576">ifs(and(isblank($A576),isblank($B576)),"", not(iserror(vlookup($A576&amp;$B576,'5) Release_Track'!$F:$F&amp;'5) Release_Track'!$G:$G,1,0))),vlookup($A576&amp;$B576,{'5) Release_Track'!$F:$F&amp;'5) Release_Track'!$G:$G,'5) Release_Track'!$I:$I},2,0),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E576" s="116" t="str">
        <f t="array" ref="E576">ifs(and(isblank($A576),isblank($B576)),"", not(iserror(vlookup($A576&amp;$B576,'5) Release_Track'!$F:$F&amp;'5) Release_Track'!$G:$G,1,0))),vlookup($A576&amp;$B576,{'5) Release_Track'!$F:$F&amp;'5) Release_Track'!$G:$G,'5) Release_Track'!$J:$J},2,0),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F576" s="88"/>
      <c r="G576" s="92"/>
      <c r="H576" s="185"/>
      <c r="I576" s="121" t="str">
        <f t="shared" si="2"/>
        <v/>
      </c>
      <c r="J576" s="92"/>
      <c r="K576" s="92"/>
    </row>
    <row r="577">
      <c r="B577" s="97"/>
      <c r="C577" s="121" t="str">
        <f t="array" ref="C577">ifs(and(isblank($A577),isblank($B577)),"", not(iserror(vlookup($A577&amp;$B577,'5) Release_Track'!$F:$F&amp;'5) Release_Track'!$G:$G,1,0))),vlookup($A577&amp;$B577,{'5) Release_Track'!$F:$F&amp;'5) Release_Track'!$G:$G,'5) Release_Track'!$H:$H},2,0),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D577" s="121" t="str">
        <f t="array" ref="D577">ifs(and(isblank($A577),isblank($B577)),"", not(iserror(vlookup($A577&amp;$B577,'5) Release_Track'!$F:$F&amp;'5) Release_Track'!$G:$G,1,0))),vlookup($A577&amp;$B577,{'5) Release_Track'!$F:$F&amp;'5) Release_Track'!$G:$G,'5) Release_Track'!$I:$I},2,0),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E577" s="116" t="str">
        <f t="array" ref="E577">ifs(and(isblank($A577),isblank($B577)),"", not(iserror(vlookup($A577&amp;$B577,'5) Release_Track'!$F:$F&amp;'5) Release_Track'!$G:$G,1,0))),vlookup($A577&amp;$B577,{'5) Release_Track'!$F:$F&amp;'5) Release_Track'!$G:$G,'5) Release_Track'!$J:$J},2,0),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F577" s="88"/>
      <c r="G577" s="92"/>
      <c r="H577" s="185"/>
      <c r="I577" s="121" t="str">
        <f t="shared" si="2"/>
        <v/>
      </c>
      <c r="J577" s="92"/>
      <c r="K577" s="92"/>
    </row>
    <row r="578">
      <c r="B578" s="97"/>
      <c r="C578" s="121" t="str">
        <f t="array" ref="C578">ifs(and(isblank($A578),isblank($B578)),"", not(iserror(vlookup($A578&amp;$B578,'5) Release_Track'!$F:$F&amp;'5) Release_Track'!$G:$G,1,0))),vlookup($A578&amp;$B578,{'5) Release_Track'!$F:$F&amp;'5) Release_Track'!$G:$G,'5) Release_Track'!$H:$H},2,0),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D578" s="121" t="str">
        <f t="array" ref="D578">ifs(and(isblank($A578),isblank($B578)),"", not(iserror(vlookup($A578&amp;$B578,'5) Release_Track'!$F:$F&amp;'5) Release_Track'!$G:$G,1,0))),vlookup($A578&amp;$B578,{'5) Release_Track'!$F:$F&amp;'5) Release_Track'!$G:$G,'5) Release_Track'!$I:$I},2,0),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E578" s="116" t="str">
        <f t="array" ref="E578">ifs(and(isblank($A578),isblank($B578)),"", not(iserror(vlookup($A578&amp;$B578,'5) Release_Track'!$F:$F&amp;'5) Release_Track'!$G:$G,1,0))),vlookup($A578&amp;$B578,{'5) Release_Track'!$F:$F&amp;'5) Release_Track'!$G:$G,'5) Release_Track'!$J:$J},2,0),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F578" s="88"/>
      <c r="G578" s="92"/>
      <c r="H578" s="185"/>
      <c r="I578" s="121" t="str">
        <f t="shared" si="2"/>
        <v/>
      </c>
      <c r="J578" s="92"/>
      <c r="K578" s="92"/>
    </row>
    <row r="579">
      <c r="B579" s="97"/>
      <c r="C579" s="121" t="str">
        <f t="array" ref="C579">ifs(and(isblank($A579),isblank($B579)),"", not(iserror(vlookup($A579&amp;$B579,'5) Release_Track'!$F:$F&amp;'5) Release_Track'!$G:$G,1,0))),vlookup($A579&amp;$B579,{'5) Release_Track'!$F:$F&amp;'5) Release_Track'!$G:$G,'5) Release_Track'!$H:$H},2,0),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D579" s="121" t="str">
        <f t="array" ref="D579">ifs(and(isblank($A579),isblank($B579)),"", not(iserror(vlookup($A579&amp;$B579,'5) Release_Track'!$F:$F&amp;'5) Release_Track'!$G:$G,1,0))),vlookup($A579&amp;$B579,{'5) Release_Track'!$F:$F&amp;'5) Release_Track'!$G:$G,'5) Release_Track'!$I:$I},2,0),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E579" s="116" t="str">
        <f t="array" ref="E579">ifs(and(isblank($A579),isblank($B579)),"", not(iserror(vlookup($A579&amp;$B579,'5) Release_Track'!$F:$F&amp;'5) Release_Track'!$G:$G,1,0))),vlookup($A579&amp;$B579,{'5) Release_Track'!$F:$F&amp;'5) Release_Track'!$G:$G,'5) Release_Track'!$J:$J},2,0),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F579" s="88"/>
      <c r="G579" s="92"/>
      <c r="H579" s="185"/>
      <c r="I579" s="121" t="str">
        <f t="shared" si="2"/>
        <v/>
      </c>
      <c r="J579" s="92"/>
      <c r="K579" s="92"/>
    </row>
    <row r="580">
      <c r="B580" s="97"/>
      <c r="C580" s="121" t="str">
        <f t="array" ref="C580">ifs(and(isblank($A580),isblank($B580)),"", not(iserror(vlookup($A580&amp;$B580,'5) Release_Track'!$F:$F&amp;'5) Release_Track'!$G:$G,1,0))),vlookup($A580&amp;$B580,{'5) Release_Track'!$F:$F&amp;'5) Release_Track'!$G:$G,'5) Release_Track'!$H:$H},2,0),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D580" s="121" t="str">
        <f t="array" ref="D580">ifs(and(isblank($A580),isblank($B580)),"", not(iserror(vlookup($A580&amp;$B580,'5) Release_Track'!$F:$F&amp;'5) Release_Track'!$G:$G,1,0))),vlookup($A580&amp;$B580,{'5) Release_Track'!$F:$F&amp;'5) Release_Track'!$G:$G,'5) Release_Track'!$I:$I},2,0),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E580" s="116" t="str">
        <f t="array" ref="E580">ifs(and(isblank($A580),isblank($B580)),"", not(iserror(vlookup($A580&amp;$B580,'5) Release_Track'!$F:$F&amp;'5) Release_Track'!$G:$G,1,0))),vlookup($A580&amp;$B580,{'5) Release_Track'!$F:$F&amp;'5) Release_Track'!$G:$G,'5) Release_Track'!$J:$J},2,0),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F580" s="88"/>
      <c r="G580" s="92"/>
      <c r="H580" s="185"/>
      <c r="I580" s="121" t="str">
        <f t="shared" si="2"/>
        <v/>
      </c>
      <c r="J580" s="92"/>
      <c r="K580" s="92"/>
    </row>
    <row r="581">
      <c r="B581" s="97"/>
      <c r="C581" s="121" t="str">
        <f t="array" ref="C581">ifs(and(isblank($A581),isblank($B581)),"", not(iserror(vlookup($A581&amp;$B581,'5) Release_Track'!$F:$F&amp;'5) Release_Track'!$G:$G,1,0))),vlookup($A581&amp;$B581,{'5) Release_Track'!$F:$F&amp;'5) Release_Track'!$G:$G,'5) Release_Track'!$H:$H},2,0),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D581" s="121" t="str">
        <f t="array" ref="D581">ifs(and(isblank($A581),isblank($B581)),"", not(iserror(vlookup($A581&amp;$B581,'5) Release_Track'!$F:$F&amp;'5) Release_Track'!$G:$G,1,0))),vlookup($A581&amp;$B581,{'5) Release_Track'!$F:$F&amp;'5) Release_Track'!$G:$G,'5) Release_Track'!$I:$I},2,0),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E581" s="116" t="str">
        <f t="array" ref="E581">ifs(and(isblank($A581),isblank($B581)),"", not(iserror(vlookup($A581&amp;$B581,'5) Release_Track'!$F:$F&amp;'5) Release_Track'!$G:$G,1,0))),vlookup($A581&amp;$B581,{'5) Release_Track'!$F:$F&amp;'5) Release_Track'!$G:$G,'5) Release_Track'!$J:$J},2,0),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F581" s="88"/>
      <c r="G581" s="92"/>
      <c r="H581" s="185"/>
      <c r="I581" s="121" t="str">
        <f t="shared" si="2"/>
        <v/>
      </c>
      <c r="J581" s="92"/>
      <c r="K581" s="92"/>
    </row>
    <row r="582">
      <c r="B582" s="97"/>
      <c r="C582" s="121" t="str">
        <f t="array" ref="C582">ifs(and(isblank($A582),isblank($B582)),"", not(iserror(vlookup($A582&amp;$B582,'5) Release_Track'!$F:$F&amp;'5) Release_Track'!$G:$G,1,0))),vlookup($A582&amp;$B582,{'5) Release_Track'!$F:$F&amp;'5) Release_Track'!$G:$G,'5) Release_Track'!$H:$H},2,0),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D582" s="121" t="str">
        <f t="array" ref="D582">ifs(and(isblank($A582),isblank($B582)),"", not(iserror(vlookup($A582&amp;$B582,'5) Release_Track'!$F:$F&amp;'5) Release_Track'!$G:$G,1,0))),vlookup($A582&amp;$B582,{'5) Release_Track'!$F:$F&amp;'5) Release_Track'!$G:$G,'5) Release_Track'!$I:$I},2,0),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E582" s="116" t="str">
        <f t="array" ref="E582">ifs(and(isblank($A582),isblank($B582)),"", not(iserror(vlookup($A582&amp;$B582,'5) Release_Track'!$F:$F&amp;'5) Release_Track'!$G:$G,1,0))),vlookup($A582&amp;$B582,{'5) Release_Track'!$F:$F&amp;'5) Release_Track'!$G:$G,'5) Release_Track'!$J:$J},2,0),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F582" s="88"/>
      <c r="G582" s="92"/>
      <c r="H582" s="185"/>
      <c r="I582" s="121" t="str">
        <f t="shared" si="2"/>
        <v/>
      </c>
      <c r="J582" s="92"/>
      <c r="K582" s="92"/>
    </row>
    <row r="583">
      <c r="B583" s="97"/>
      <c r="C583" s="121" t="str">
        <f t="array" ref="C583">ifs(and(isblank($A583),isblank($B583)),"", not(iserror(vlookup($A583&amp;$B583,'5) Release_Track'!$F:$F&amp;'5) Release_Track'!$G:$G,1,0))),vlookup($A583&amp;$B583,{'5) Release_Track'!$F:$F&amp;'5) Release_Track'!$G:$G,'5) Release_Track'!$H:$H},2,0),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D583" s="121" t="str">
        <f t="array" ref="D583">ifs(and(isblank($A583),isblank($B583)),"", not(iserror(vlookup($A583&amp;$B583,'5) Release_Track'!$F:$F&amp;'5) Release_Track'!$G:$G,1,0))),vlookup($A583&amp;$B583,{'5) Release_Track'!$F:$F&amp;'5) Release_Track'!$G:$G,'5) Release_Track'!$I:$I},2,0),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E583" s="116" t="str">
        <f t="array" ref="E583">ifs(and(isblank($A583),isblank($B583)),"", not(iserror(vlookup($A583&amp;$B583,'5) Release_Track'!$F:$F&amp;'5) Release_Track'!$G:$G,1,0))),vlookup($A583&amp;$B583,{'5) Release_Track'!$F:$F&amp;'5) Release_Track'!$G:$G,'5) Release_Track'!$J:$J},2,0),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F583" s="88"/>
      <c r="G583" s="92"/>
      <c r="H583" s="185"/>
      <c r="I583" s="121" t="str">
        <f t="shared" si="2"/>
        <v/>
      </c>
      <c r="J583" s="92"/>
      <c r="K583" s="92"/>
    </row>
    <row r="584">
      <c r="B584" s="97"/>
      <c r="C584" s="121" t="str">
        <f t="array" ref="C584">ifs(and(isblank($A584),isblank($B584)),"", not(iserror(vlookup($A584&amp;$B584,'5) Release_Track'!$F:$F&amp;'5) Release_Track'!$G:$G,1,0))),vlookup($A584&amp;$B584,{'5) Release_Track'!$F:$F&amp;'5) Release_Track'!$G:$G,'5) Release_Track'!$H:$H},2,0),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D584" s="121" t="str">
        <f t="array" ref="D584">ifs(and(isblank($A584),isblank($B584)),"", not(iserror(vlookup($A584&amp;$B584,'5) Release_Track'!$F:$F&amp;'5) Release_Track'!$G:$G,1,0))),vlookup($A584&amp;$B584,{'5) Release_Track'!$F:$F&amp;'5) Release_Track'!$G:$G,'5) Release_Track'!$I:$I},2,0),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E584" s="116" t="str">
        <f t="array" ref="E584">ifs(and(isblank($A584),isblank($B584)),"", not(iserror(vlookup($A584&amp;$B584,'5) Release_Track'!$F:$F&amp;'5) Release_Track'!$G:$G,1,0))),vlookup($A584&amp;$B584,{'5) Release_Track'!$F:$F&amp;'5) Release_Track'!$G:$G,'5) Release_Track'!$J:$J},2,0),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F584" s="88"/>
      <c r="G584" s="92"/>
      <c r="H584" s="185"/>
      <c r="I584" s="121" t="str">
        <f t="shared" si="2"/>
        <v/>
      </c>
      <c r="J584" s="92"/>
      <c r="K584" s="92"/>
    </row>
    <row r="585">
      <c r="B585" s="97"/>
      <c r="C585" s="121" t="str">
        <f t="array" ref="C585">ifs(and(isblank($A585),isblank($B585)),"", not(iserror(vlookup($A585&amp;$B585,'5) Release_Track'!$F:$F&amp;'5) Release_Track'!$G:$G,1,0))),vlookup($A585&amp;$B585,{'5) Release_Track'!$F:$F&amp;'5) Release_Track'!$G:$G,'5) Release_Track'!$H:$H},2,0),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D585" s="121" t="str">
        <f t="array" ref="D585">ifs(and(isblank($A585),isblank($B585)),"", not(iserror(vlookup($A585&amp;$B585,'5) Release_Track'!$F:$F&amp;'5) Release_Track'!$G:$G,1,0))),vlookup($A585&amp;$B585,{'5) Release_Track'!$F:$F&amp;'5) Release_Track'!$G:$G,'5) Release_Track'!$I:$I},2,0),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E585" s="116" t="str">
        <f t="array" ref="E585">ifs(and(isblank($A585),isblank($B585)),"", not(iserror(vlookup($A585&amp;$B585,'5) Release_Track'!$F:$F&amp;'5) Release_Track'!$G:$G,1,0))),vlookup($A585&amp;$B585,{'5) Release_Track'!$F:$F&amp;'5) Release_Track'!$G:$G,'5) Release_Track'!$J:$J},2,0),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F585" s="88"/>
      <c r="G585" s="92"/>
      <c r="H585" s="185"/>
      <c r="I585" s="121" t="str">
        <f t="shared" si="2"/>
        <v/>
      </c>
      <c r="J585" s="92"/>
      <c r="K585" s="92"/>
    </row>
    <row r="586">
      <c r="B586" s="97"/>
      <c r="C586" s="121" t="str">
        <f t="array" ref="C586">ifs(and(isblank($A586),isblank($B586)),"", not(iserror(vlookup($A586&amp;$B586,'5) Release_Track'!$F:$F&amp;'5) Release_Track'!$G:$G,1,0))),vlookup($A586&amp;$B586,{'5) Release_Track'!$F:$F&amp;'5) Release_Track'!$G:$G,'5) Release_Track'!$H:$H},2,0),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D586" s="121" t="str">
        <f t="array" ref="D586">ifs(and(isblank($A586),isblank($B586)),"", not(iserror(vlookup($A586&amp;$B586,'5) Release_Track'!$F:$F&amp;'5) Release_Track'!$G:$G,1,0))),vlookup($A586&amp;$B586,{'5) Release_Track'!$F:$F&amp;'5) Release_Track'!$G:$G,'5) Release_Track'!$I:$I},2,0),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E586" s="116" t="str">
        <f t="array" ref="E586">ifs(and(isblank($A586),isblank($B586)),"", not(iserror(vlookup($A586&amp;$B586,'5) Release_Track'!$F:$F&amp;'5) Release_Track'!$G:$G,1,0))),vlookup($A586&amp;$B586,{'5) Release_Track'!$F:$F&amp;'5) Release_Track'!$G:$G,'5) Release_Track'!$J:$J},2,0),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F586" s="88"/>
      <c r="G586" s="92"/>
      <c r="H586" s="185"/>
      <c r="I586" s="121" t="str">
        <f t="shared" si="2"/>
        <v/>
      </c>
      <c r="J586" s="92"/>
      <c r="K586" s="92"/>
    </row>
    <row r="587">
      <c r="B587" s="97"/>
      <c r="C587" s="121" t="str">
        <f t="array" ref="C587">ifs(and(isblank($A587),isblank($B587)),"", not(iserror(vlookup($A587&amp;$B587,'5) Release_Track'!$F:$F&amp;'5) Release_Track'!$G:$G,1,0))),vlookup($A587&amp;$B587,{'5) Release_Track'!$F:$F&amp;'5) Release_Track'!$G:$G,'5) Release_Track'!$H:$H},2,0),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D587" s="121" t="str">
        <f t="array" ref="D587">ifs(and(isblank($A587),isblank($B587)),"", not(iserror(vlookup($A587&amp;$B587,'5) Release_Track'!$F:$F&amp;'5) Release_Track'!$G:$G,1,0))),vlookup($A587&amp;$B587,{'5) Release_Track'!$F:$F&amp;'5) Release_Track'!$G:$G,'5) Release_Track'!$I:$I},2,0),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E587" s="116" t="str">
        <f t="array" ref="E587">ifs(and(isblank($A587),isblank($B587)),"", not(iserror(vlookup($A587&amp;$B587,'5) Release_Track'!$F:$F&amp;'5) Release_Track'!$G:$G,1,0))),vlookup($A587&amp;$B587,{'5) Release_Track'!$F:$F&amp;'5) Release_Track'!$G:$G,'5) Release_Track'!$J:$J},2,0),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F587" s="88"/>
      <c r="G587" s="92"/>
      <c r="H587" s="185"/>
      <c r="I587" s="121" t="str">
        <f t="shared" si="2"/>
        <v/>
      </c>
      <c r="J587" s="92"/>
      <c r="K587" s="92"/>
    </row>
    <row r="588">
      <c r="B588" s="97"/>
      <c r="C588" s="121" t="str">
        <f t="array" ref="C588">ifs(and(isblank($A588),isblank($B588)),"", not(iserror(vlookup($A588&amp;$B588,'5) Release_Track'!$F:$F&amp;'5) Release_Track'!$G:$G,1,0))),vlookup($A588&amp;$B588,{'5) Release_Track'!$F:$F&amp;'5) Release_Track'!$G:$G,'5) Release_Track'!$H:$H},2,0),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D588" s="121" t="str">
        <f t="array" ref="D588">ifs(and(isblank($A588),isblank($B588)),"", not(iserror(vlookup($A588&amp;$B588,'5) Release_Track'!$F:$F&amp;'5) Release_Track'!$G:$G,1,0))),vlookup($A588&amp;$B588,{'5) Release_Track'!$F:$F&amp;'5) Release_Track'!$G:$G,'5) Release_Track'!$I:$I},2,0),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E588" s="116" t="str">
        <f t="array" ref="E588">ifs(and(isblank($A588),isblank($B588)),"", not(iserror(vlookup($A588&amp;$B588,'5) Release_Track'!$F:$F&amp;'5) Release_Track'!$G:$G,1,0))),vlookup($A588&amp;$B588,{'5) Release_Track'!$F:$F&amp;'5) Release_Track'!$G:$G,'5) Release_Track'!$J:$J},2,0),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F588" s="88"/>
      <c r="G588" s="92"/>
      <c r="H588" s="185"/>
      <c r="I588" s="121" t="str">
        <f t="shared" si="2"/>
        <v/>
      </c>
      <c r="J588" s="92"/>
      <c r="K588" s="92"/>
    </row>
    <row r="589">
      <c r="B589" s="97"/>
      <c r="C589" s="121" t="str">
        <f t="array" ref="C589">ifs(and(isblank($A589),isblank($B589)),"", not(iserror(vlookup($A589&amp;$B589,'5) Release_Track'!$F:$F&amp;'5) Release_Track'!$G:$G,1,0))),vlookup($A589&amp;$B589,{'5) Release_Track'!$F:$F&amp;'5) Release_Track'!$G:$G,'5) Release_Track'!$H:$H},2,0),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D589" s="121" t="str">
        <f t="array" ref="D589">ifs(and(isblank($A589),isblank($B589)),"", not(iserror(vlookup($A589&amp;$B589,'5) Release_Track'!$F:$F&amp;'5) Release_Track'!$G:$G,1,0))),vlookup($A589&amp;$B589,{'5) Release_Track'!$F:$F&amp;'5) Release_Track'!$G:$G,'5) Release_Track'!$I:$I},2,0),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E589" s="116" t="str">
        <f t="array" ref="E589">ifs(and(isblank($A589),isblank($B589)),"", not(iserror(vlookup($A589&amp;$B589,'5) Release_Track'!$F:$F&amp;'5) Release_Track'!$G:$G,1,0))),vlookup($A589&amp;$B589,{'5) Release_Track'!$F:$F&amp;'5) Release_Track'!$G:$G,'5) Release_Track'!$J:$J},2,0),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F589" s="88"/>
      <c r="G589" s="92"/>
      <c r="H589" s="185"/>
      <c r="I589" s="121" t="str">
        <f t="shared" si="2"/>
        <v/>
      </c>
      <c r="J589" s="92"/>
      <c r="K589" s="92"/>
    </row>
    <row r="590">
      <c r="B590" s="97"/>
      <c r="C590" s="121" t="str">
        <f t="array" ref="C590">ifs(and(isblank($A590),isblank($B590)),"", not(iserror(vlookup($A590&amp;$B590,'5) Release_Track'!$F:$F&amp;'5) Release_Track'!$G:$G,1,0))),vlookup($A590&amp;$B590,{'5) Release_Track'!$F:$F&amp;'5) Release_Track'!$G:$G,'5) Release_Track'!$H:$H},2,0),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D590" s="121" t="str">
        <f t="array" ref="D590">ifs(and(isblank($A590),isblank($B590)),"", not(iserror(vlookup($A590&amp;$B590,'5) Release_Track'!$F:$F&amp;'5) Release_Track'!$G:$G,1,0))),vlookup($A590&amp;$B590,{'5) Release_Track'!$F:$F&amp;'5) Release_Track'!$G:$G,'5) Release_Track'!$I:$I},2,0),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E590" s="116" t="str">
        <f t="array" ref="E590">ifs(and(isblank($A590),isblank($B590)),"", not(iserror(vlookup($A590&amp;$B590,'5) Release_Track'!$F:$F&amp;'5) Release_Track'!$G:$G,1,0))),vlookup($A590&amp;$B590,{'5) Release_Track'!$F:$F&amp;'5) Release_Track'!$G:$G,'5) Release_Track'!$J:$J},2,0),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F590" s="88"/>
      <c r="G590" s="92"/>
      <c r="H590" s="185"/>
      <c r="I590" s="121" t="str">
        <f t="shared" si="2"/>
        <v/>
      </c>
      <c r="J590" s="92"/>
      <c r="K590" s="92"/>
    </row>
    <row r="591">
      <c r="B591" s="97"/>
      <c r="C591" s="121" t="str">
        <f t="array" ref="C591">ifs(and(isblank($A591),isblank($B591)),"", not(iserror(vlookup($A591&amp;$B591,'5) Release_Track'!$F:$F&amp;'5) Release_Track'!$G:$G,1,0))),vlookup($A591&amp;$B591,{'5) Release_Track'!$F:$F&amp;'5) Release_Track'!$G:$G,'5) Release_Track'!$H:$H},2,0),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D591" s="121" t="str">
        <f t="array" ref="D591">ifs(and(isblank($A591),isblank($B591)),"", not(iserror(vlookup($A591&amp;$B591,'5) Release_Track'!$F:$F&amp;'5) Release_Track'!$G:$G,1,0))),vlookup($A591&amp;$B591,{'5) Release_Track'!$F:$F&amp;'5) Release_Track'!$G:$G,'5) Release_Track'!$I:$I},2,0),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E591" s="116" t="str">
        <f t="array" ref="E591">ifs(and(isblank($A591),isblank($B591)),"", not(iserror(vlookup($A591&amp;$B591,'5) Release_Track'!$F:$F&amp;'5) Release_Track'!$G:$G,1,0))),vlookup($A591&amp;$B591,{'5) Release_Track'!$F:$F&amp;'5) Release_Track'!$G:$G,'5) Release_Track'!$J:$J},2,0),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F591" s="88"/>
      <c r="G591" s="92"/>
      <c r="H591" s="185"/>
      <c r="I591" s="121" t="str">
        <f t="shared" si="2"/>
        <v/>
      </c>
      <c r="J591" s="92"/>
      <c r="K591" s="92"/>
    </row>
    <row r="592">
      <c r="B592" s="97"/>
      <c r="C592" s="121" t="str">
        <f t="array" ref="C592">ifs(and(isblank($A592),isblank($B592)),"", not(iserror(vlookup($A592&amp;$B592,'5) Release_Track'!$F:$F&amp;'5) Release_Track'!$G:$G,1,0))),vlookup($A592&amp;$B592,{'5) Release_Track'!$F:$F&amp;'5) Release_Track'!$G:$G,'5) Release_Track'!$H:$H},2,0),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D592" s="121" t="str">
        <f t="array" ref="D592">ifs(and(isblank($A592),isblank($B592)),"", not(iserror(vlookup($A592&amp;$B592,'5) Release_Track'!$F:$F&amp;'5) Release_Track'!$G:$G,1,0))),vlookup($A592&amp;$B592,{'5) Release_Track'!$F:$F&amp;'5) Release_Track'!$G:$G,'5) Release_Track'!$I:$I},2,0),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E592" s="116" t="str">
        <f t="array" ref="E592">ifs(and(isblank($A592),isblank($B592)),"", not(iserror(vlookup($A592&amp;$B592,'5) Release_Track'!$F:$F&amp;'5) Release_Track'!$G:$G,1,0))),vlookup($A592&amp;$B592,{'5) Release_Track'!$F:$F&amp;'5) Release_Track'!$G:$G,'5) Release_Track'!$J:$J},2,0),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F592" s="88"/>
      <c r="G592" s="92"/>
      <c r="H592" s="185"/>
      <c r="I592" s="121" t="str">
        <f t="shared" si="2"/>
        <v/>
      </c>
      <c r="J592" s="92"/>
      <c r="K592" s="92"/>
    </row>
    <row r="593">
      <c r="B593" s="97"/>
      <c r="C593" s="121" t="str">
        <f t="array" ref="C593">ifs(and(isblank($A593),isblank($B593)),"", not(iserror(vlookup($A593&amp;$B593,'5) Release_Track'!$F:$F&amp;'5) Release_Track'!$G:$G,1,0))),vlookup($A593&amp;$B593,{'5) Release_Track'!$F:$F&amp;'5) Release_Track'!$G:$G,'5) Release_Track'!$H:$H},2,0),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D593" s="121" t="str">
        <f t="array" ref="D593">ifs(and(isblank($A593),isblank($B593)),"", not(iserror(vlookup($A593&amp;$B593,'5) Release_Track'!$F:$F&amp;'5) Release_Track'!$G:$G,1,0))),vlookup($A593&amp;$B593,{'5) Release_Track'!$F:$F&amp;'5) Release_Track'!$G:$G,'5) Release_Track'!$I:$I},2,0),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E593" s="116" t="str">
        <f t="array" ref="E593">ifs(and(isblank($A593),isblank($B593)),"", not(iserror(vlookup($A593&amp;$B593,'5) Release_Track'!$F:$F&amp;'5) Release_Track'!$G:$G,1,0))),vlookup($A593&amp;$B593,{'5) Release_Track'!$F:$F&amp;'5) Release_Track'!$G:$G,'5) Release_Track'!$J:$J},2,0),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F593" s="88"/>
      <c r="G593" s="92"/>
      <c r="H593" s="185"/>
      <c r="I593" s="121" t="str">
        <f t="shared" si="2"/>
        <v/>
      </c>
      <c r="J593" s="92"/>
      <c r="K593" s="92"/>
    </row>
    <row r="594">
      <c r="B594" s="97"/>
      <c r="C594" s="121" t="str">
        <f t="array" ref="C594">ifs(and(isblank($A594),isblank($B594)),"", not(iserror(vlookup($A594&amp;$B594,'5) Release_Track'!$F:$F&amp;'5) Release_Track'!$G:$G,1,0))),vlookup($A594&amp;$B594,{'5) Release_Track'!$F:$F&amp;'5) Release_Track'!$G:$G,'5) Release_Track'!$H:$H},2,0),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D594" s="121" t="str">
        <f t="array" ref="D594">ifs(and(isblank($A594),isblank($B594)),"", not(iserror(vlookup($A594&amp;$B594,'5) Release_Track'!$F:$F&amp;'5) Release_Track'!$G:$G,1,0))),vlookup($A594&amp;$B594,{'5) Release_Track'!$F:$F&amp;'5) Release_Track'!$G:$G,'5) Release_Track'!$I:$I},2,0),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E594" s="116" t="str">
        <f t="array" ref="E594">ifs(and(isblank($A594),isblank($B594)),"", not(iserror(vlookup($A594&amp;$B594,'5) Release_Track'!$F:$F&amp;'5) Release_Track'!$G:$G,1,0))),vlookup($A594&amp;$B594,{'5) Release_Track'!$F:$F&amp;'5) Release_Track'!$G:$G,'5) Release_Track'!$J:$J},2,0),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F594" s="88"/>
      <c r="G594" s="92"/>
      <c r="H594" s="185"/>
      <c r="I594" s="121" t="str">
        <f t="shared" si="2"/>
        <v/>
      </c>
      <c r="J594" s="92"/>
      <c r="K594" s="92"/>
    </row>
    <row r="595">
      <c r="B595" s="97"/>
      <c r="C595" s="121" t="str">
        <f t="array" ref="C595">ifs(and(isblank($A595),isblank($B595)),"", not(iserror(vlookup($A595&amp;$B595,'5) Release_Track'!$F:$F&amp;'5) Release_Track'!$G:$G,1,0))),vlookup($A595&amp;$B595,{'5) Release_Track'!$F:$F&amp;'5) Release_Track'!$G:$G,'5) Release_Track'!$H:$H},2,0),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D595" s="121" t="str">
        <f t="array" ref="D595">ifs(and(isblank($A595),isblank($B595)),"", not(iserror(vlookup($A595&amp;$B595,'5) Release_Track'!$F:$F&amp;'5) Release_Track'!$G:$G,1,0))),vlookup($A595&amp;$B595,{'5) Release_Track'!$F:$F&amp;'5) Release_Track'!$G:$G,'5) Release_Track'!$I:$I},2,0),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E595" s="116" t="str">
        <f t="array" ref="E595">ifs(and(isblank($A595),isblank($B595)),"", not(iserror(vlookup($A595&amp;$B595,'5) Release_Track'!$F:$F&amp;'5) Release_Track'!$G:$G,1,0))),vlookup($A595&amp;$B595,{'5) Release_Track'!$F:$F&amp;'5) Release_Track'!$G:$G,'5) Release_Track'!$J:$J},2,0),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F595" s="88"/>
      <c r="G595" s="92"/>
      <c r="H595" s="185"/>
      <c r="I595" s="121" t="str">
        <f t="shared" si="2"/>
        <v/>
      </c>
      <c r="J595" s="92"/>
      <c r="K595" s="92"/>
    </row>
    <row r="596">
      <c r="B596" s="97"/>
      <c r="C596" s="121" t="str">
        <f t="array" ref="C596">ifs(and(isblank($A596),isblank($B596)),"", not(iserror(vlookup($A596&amp;$B596,'5) Release_Track'!$F:$F&amp;'5) Release_Track'!$G:$G,1,0))),vlookup($A596&amp;$B596,{'5) Release_Track'!$F:$F&amp;'5) Release_Track'!$G:$G,'5) Release_Track'!$H:$H},2,0),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D596" s="121" t="str">
        <f t="array" ref="D596">ifs(and(isblank($A596),isblank($B596)),"", not(iserror(vlookup($A596&amp;$B596,'5) Release_Track'!$F:$F&amp;'5) Release_Track'!$G:$G,1,0))),vlookup($A596&amp;$B596,{'5) Release_Track'!$F:$F&amp;'5) Release_Track'!$G:$G,'5) Release_Track'!$I:$I},2,0),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E596" s="116" t="str">
        <f t="array" ref="E596">ifs(and(isblank($A596),isblank($B596)),"", not(iserror(vlookup($A596&amp;$B596,'5) Release_Track'!$F:$F&amp;'5) Release_Track'!$G:$G,1,0))),vlookup($A596&amp;$B596,{'5) Release_Track'!$F:$F&amp;'5) Release_Track'!$G:$G,'5) Release_Track'!$J:$J},2,0),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F596" s="88"/>
      <c r="G596" s="92"/>
      <c r="H596" s="185"/>
      <c r="I596" s="121" t="str">
        <f t="shared" si="2"/>
        <v/>
      </c>
      <c r="J596" s="92"/>
      <c r="K596" s="92"/>
    </row>
    <row r="597">
      <c r="B597" s="97"/>
      <c r="C597" s="121" t="str">
        <f t="array" ref="C597">ifs(and(isblank($A597),isblank($B597)),"", not(iserror(vlookup($A597&amp;$B597,'5) Release_Track'!$F:$F&amp;'5) Release_Track'!$G:$G,1,0))),vlookup($A597&amp;$B597,{'5) Release_Track'!$F:$F&amp;'5) Release_Track'!$G:$G,'5) Release_Track'!$H:$H},2,0),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D597" s="121" t="str">
        <f t="array" ref="D597">ifs(and(isblank($A597),isblank($B597)),"", not(iserror(vlookup($A597&amp;$B597,'5) Release_Track'!$F:$F&amp;'5) Release_Track'!$G:$G,1,0))),vlookup($A597&amp;$B597,{'5) Release_Track'!$F:$F&amp;'5) Release_Track'!$G:$G,'5) Release_Track'!$I:$I},2,0),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E597" s="116" t="str">
        <f t="array" ref="E597">ifs(and(isblank($A597),isblank($B597)),"", not(iserror(vlookup($A597&amp;$B597,'5) Release_Track'!$F:$F&amp;'5) Release_Track'!$G:$G,1,0))),vlookup($A597&amp;$B597,{'5) Release_Track'!$F:$F&amp;'5) Release_Track'!$G:$G,'5) Release_Track'!$J:$J},2,0),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F597" s="88"/>
      <c r="G597" s="92"/>
      <c r="H597" s="185"/>
      <c r="I597" s="121" t="str">
        <f t="shared" si="2"/>
        <v/>
      </c>
      <c r="J597" s="92"/>
      <c r="K597" s="92"/>
    </row>
    <row r="598">
      <c r="B598" s="97"/>
      <c r="C598" s="121" t="str">
        <f t="array" ref="C598">ifs(and(isblank($A598),isblank($B598)),"", not(iserror(vlookup($A598&amp;$B598,'5) Release_Track'!$F:$F&amp;'5) Release_Track'!$G:$G,1,0))),vlookup($A598&amp;$B598,{'5) Release_Track'!$F:$F&amp;'5) Release_Track'!$G:$G,'5) Release_Track'!$H:$H},2,0),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D598" s="121" t="str">
        <f t="array" ref="D598">ifs(and(isblank($A598),isblank($B598)),"", not(iserror(vlookup($A598&amp;$B598,'5) Release_Track'!$F:$F&amp;'5) Release_Track'!$G:$G,1,0))),vlookup($A598&amp;$B598,{'5) Release_Track'!$F:$F&amp;'5) Release_Track'!$G:$G,'5) Release_Track'!$I:$I},2,0),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E598" s="116" t="str">
        <f t="array" ref="E598">ifs(and(isblank($A598),isblank($B598)),"", not(iserror(vlookup($A598&amp;$B598,'5) Release_Track'!$F:$F&amp;'5) Release_Track'!$G:$G,1,0))),vlookup($A598&amp;$B598,{'5) Release_Track'!$F:$F&amp;'5) Release_Track'!$G:$G,'5) Release_Track'!$J:$J},2,0),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F598" s="88"/>
      <c r="G598" s="92"/>
      <c r="H598" s="185"/>
      <c r="I598" s="121" t="str">
        <f t="shared" si="2"/>
        <v/>
      </c>
      <c r="J598" s="92"/>
      <c r="K598" s="92"/>
    </row>
    <row r="599">
      <c r="B599" s="97"/>
      <c r="C599" s="121" t="str">
        <f t="array" ref="C599">ifs(and(isblank($A599),isblank($B599)),"", not(iserror(vlookup($A599&amp;$B599,'5) Release_Track'!$F:$F&amp;'5) Release_Track'!$G:$G,1,0))),vlookup($A599&amp;$B599,{'5) Release_Track'!$F:$F&amp;'5) Release_Track'!$G:$G,'5) Release_Track'!$H:$H},2,0),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D599" s="121" t="str">
        <f t="array" ref="D599">ifs(and(isblank($A599),isblank($B599)),"", not(iserror(vlookup($A599&amp;$B599,'5) Release_Track'!$F:$F&amp;'5) Release_Track'!$G:$G,1,0))),vlookup($A599&amp;$B599,{'5) Release_Track'!$F:$F&amp;'5) Release_Track'!$G:$G,'5) Release_Track'!$I:$I},2,0),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E599" s="116" t="str">
        <f t="array" ref="E599">ifs(and(isblank($A599),isblank($B599)),"", not(iserror(vlookup($A599&amp;$B599,'5) Release_Track'!$F:$F&amp;'5) Release_Track'!$G:$G,1,0))),vlookup($A599&amp;$B599,{'5) Release_Track'!$F:$F&amp;'5) Release_Track'!$G:$G,'5) Release_Track'!$J:$J},2,0),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F599" s="88"/>
      <c r="G599" s="92"/>
      <c r="H599" s="185"/>
      <c r="I599" s="121" t="str">
        <f t="shared" si="2"/>
        <v/>
      </c>
      <c r="J599" s="92"/>
      <c r="K599" s="92"/>
    </row>
    <row r="600">
      <c r="B600" s="97"/>
      <c r="C600" s="121" t="str">
        <f t="array" ref="C600">ifs(and(isblank($A600),isblank($B600)),"", not(iserror(vlookup($A600&amp;$B600,'5) Release_Track'!$F:$F&amp;'5) Release_Track'!$G:$G,1,0))),vlookup($A600&amp;$B600,{'5) Release_Track'!$F:$F&amp;'5) Release_Track'!$G:$G,'5) Release_Track'!$H:$H},2,0),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D600" s="121" t="str">
        <f t="array" ref="D600">ifs(and(isblank($A600),isblank($B600)),"", not(iserror(vlookup($A600&amp;$B600,'5) Release_Track'!$F:$F&amp;'5) Release_Track'!$G:$G,1,0))),vlookup($A600&amp;$B600,{'5) Release_Track'!$F:$F&amp;'5) Release_Track'!$G:$G,'5) Release_Track'!$I:$I},2,0),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E600" s="116" t="str">
        <f t="array" ref="E600">ifs(and(isblank($A600),isblank($B600)),"", not(iserror(vlookup($A600&amp;$B600,'5) Release_Track'!$F:$F&amp;'5) Release_Track'!$G:$G,1,0))),vlookup($A600&amp;$B600,{'5) Release_Track'!$F:$F&amp;'5) Release_Track'!$G:$G,'5) Release_Track'!$J:$J},2,0),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F600" s="88"/>
      <c r="G600" s="92"/>
      <c r="H600" s="185"/>
      <c r="I600" s="121" t="str">
        <f t="shared" si="2"/>
        <v/>
      </c>
      <c r="J600" s="92"/>
      <c r="K600" s="92"/>
    </row>
    <row r="601">
      <c r="B601" s="97"/>
      <c r="C601" s="121" t="str">
        <f t="array" ref="C601">ifs(and(isblank($A601),isblank($B601)),"", not(iserror(vlookup($A601&amp;$B601,'5) Release_Track'!$F:$F&amp;'5) Release_Track'!$G:$G,1,0))),vlookup($A601&amp;$B601,{'5) Release_Track'!$F:$F&amp;'5) Release_Track'!$G:$G,'5) Release_Track'!$H:$H},2,0),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D601" s="121" t="str">
        <f t="array" ref="D601">ifs(and(isblank($A601),isblank($B601)),"", not(iserror(vlookup($A601&amp;$B601,'5) Release_Track'!$F:$F&amp;'5) Release_Track'!$G:$G,1,0))),vlookup($A601&amp;$B601,{'5) Release_Track'!$F:$F&amp;'5) Release_Track'!$G:$G,'5) Release_Track'!$I:$I},2,0),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E601" s="116" t="str">
        <f t="array" ref="E601">ifs(and(isblank($A601),isblank($B601)),"", not(iserror(vlookup($A601&amp;$B601,'5) Release_Track'!$F:$F&amp;'5) Release_Track'!$G:$G,1,0))),vlookup($A601&amp;$B601,{'5) Release_Track'!$F:$F&amp;'5) Release_Track'!$G:$G,'5) Release_Track'!$J:$J},2,0),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F601" s="88"/>
      <c r="G601" s="92"/>
      <c r="H601" s="185"/>
      <c r="I601" s="121" t="str">
        <f t="shared" si="2"/>
        <v/>
      </c>
      <c r="J601" s="92"/>
      <c r="K601" s="92"/>
    </row>
    <row r="602">
      <c r="B602" s="97"/>
      <c r="C602" s="121" t="str">
        <f t="array" ref="C602">ifs(and(isblank($A602),isblank($B602)),"", not(iserror(vlookup($A602&amp;$B602,'5) Release_Track'!$F:$F&amp;'5) Release_Track'!$G:$G,1,0))),vlookup($A602&amp;$B602,{'5) Release_Track'!$F:$F&amp;'5) Release_Track'!$G:$G,'5) Release_Track'!$H:$H},2,0),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D602" s="121" t="str">
        <f t="array" ref="D602">ifs(and(isblank($A602),isblank($B602)),"", not(iserror(vlookup($A602&amp;$B602,'5) Release_Track'!$F:$F&amp;'5) Release_Track'!$G:$G,1,0))),vlookup($A602&amp;$B602,{'5) Release_Track'!$F:$F&amp;'5) Release_Track'!$G:$G,'5) Release_Track'!$I:$I},2,0),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E602" s="116" t="str">
        <f t="array" ref="E602">ifs(and(isblank($A602),isblank($B602)),"", not(iserror(vlookup($A602&amp;$B602,'5) Release_Track'!$F:$F&amp;'5) Release_Track'!$G:$G,1,0))),vlookup($A602&amp;$B602,{'5) Release_Track'!$F:$F&amp;'5) Release_Track'!$G:$G,'5) Release_Track'!$J:$J},2,0),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F602" s="88"/>
      <c r="G602" s="92"/>
      <c r="H602" s="185"/>
      <c r="I602" s="121" t="str">
        <f t="shared" si="2"/>
        <v/>
      </c>
      <c r="J602" s="92"/>
      <c r="K602" s="92"/>
    </row>
    <row r="603">
      <c r="B603" s="97"/>
      <c r="C603" s="121" t="str">
        <f t="array" ref="C603">ifs(and(isblank($A603),isblank($B603)),"", not(iserror(vlookup($A603&amp;$B603,'5) Release_Track'!$F:$F&amp;'5) Release_Track'!$G:$G,1,0))),vlookup($A603&amp;$B603,{'5) Release_Track'!$F:$F&amp;'5) Release_Track'!$G:$G,'5) Release_Track'!$H:$H},2,0),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D603" s="121" t="str">
        <f t="array" ref="D603">ifs(and(isblank($A603),isblank($B603)),"", not(iserror(vlookup($A603&amp;$B603,'5) Release_Track'!$F:$F&amp;'5) Release_Track'!$G:$G,1,0))),vlookup($A603&amp;$B603,{'5) Release_Track'!$F:$F&amp;'5) Release_Track'!$G:$G,'5) Release_Track'!$I:$I},2,0),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E603" s="116" t="str">
        <f t="array" ref="E603">ifs(and(isblank($A603),isblank($B603)),"", not(iserror(vlookup($A603&amp;$B603,'5) Release_Track'!$F:$F&amp;'5) Release_Track'!$G:$G,1,0))),vlookup($A603&amp;$B603,{'5) Release_Track'!$F:$F&amp;'5) Release_Track'!$G:$G,'5) Release_Track'!$J:$J},2,0),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F603" s="88"/>
      <c r="G603" s="92"/>
      <c r="H603" s="185"/>
      <c r="I603" s="121" t="str">
        <f t="shared" si="2"/>
        <v/>
      </c>
      <c r="J603" s="92"/>
      <c r="K603" s="92"/>
    </row>
    <row r="604">
      <c r="B604" s="97"/>
      <c r="C604" s="121" t="str">
        <f t="array" ref="C604">ifs(and(isblank($A604),isblank($B604)),"", not(iserror(vlookup($A604&amp;$B604,'5) Release_Track'!$F:$F&amp;'5) Release_Track'!$G:$G,1,0))),vlookup($A604&amp;$B604,{'5) Release_Track'!$F:$F&amp;'5) Release_Track'!$G:$G,'5) Release_Track'!$H:$H},2,0),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D604" s="121" t="str">
        <f t="array" ref="D604">ifs(and(isblank($A604),isblank($B604)),"", not(iserror(vlookup($A604&amp;$B604,'5) Release_Track'!$F:$F&amp;'5) Release_Track'!$G:$G,1,0))),vlookup($A604&amp;$B604,{'5) Release_Track'!$F:$F&amp;'5) Release_Track'!$G:$G,'5) Release_Track'!$I:$I},2,0),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E604" s="116" t="str">
        <f t="array" ref="E604">ifs(and(isblank($A604),isblank($B604)),"", not(iserror(vlookup($A604&amp;$B604,'5) Release_Track'!$F:$F&amp;'5) Release_Track'!$G:$G,1,0))),vlookup($A604&amp;$B604,{'5) Release_Track'!$F:$F&amp;'5) Release_Track'!$G:$G,'5) Release_Track'!$J:$J},2,0),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F604" s="88"/>
      <c r="G604" s="92"/>
      <c r="H604" s="185"/>
      <c r="I604" s="121" t="str">
        <f t="shared" si="2"/>
        <v/>
      </c>
      <c r="J604" s="92"/>
      <c r="K604" s="92"/>
    </row>
    <row r="605">
      <c r="B605" s="97"/>
      <c r="C605" s="121" t="str">
        <f t="array" ref="C605">ifs(and(isblank($A605),isblank($B605)),"", not(iserror(vlookup($A605&amp;$B605,'5) Release_Track'!$F:$F&amp;'5) Release_Track'!$G:$G,1,0))),vlookup($A605&amp;$B605,{'5) Release_Track'!$F:$F&amp;'5) Release_Track'!$G:$G,'5) Release_Track'!$H:$H},2,0),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D605" s="121" t="str">
        <f t="array" ref="D605">ifs(and(isblank($A605),isblank($B605)),"", not(iserror(vlookup($A605&amp;$B605,'5) Release_Track'!$F:$F&amp;'5) Release_Track'!$G:$G,1,0))),vlookup($A605&amp;$B605,{'5) Release_Track'!$F:$F&amp;'5) Release_Track'!$G:$G,'5) Release_Track'!$I:$I},2,0),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E605" s="116" t="str">
        <f t="array" ref="E605">ifs(and(isblank($A605),isblank($B605)),"", not(iserror(vlookup($A605&amp;$B605,'5) Release_Track'!$F:$F&amp;'5) Release_Track'!$G:$G,1,0))),vlookup($A605&amp;$B605,{'5) Release_Track'!$F:$F&amp;'5) Release_Track'!$G:$G,'5) Release_Track'!$J:$J},2,0),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F605" s="88"/>
      <c r="G605" s="92"/>
      <c r="H605" s="185"/>
      <c r="I605" s="121" t="str">
        <f t="shared" si="2"/>
        <v/>
      </c>
      <c r="J605" s="92"/>
      <c r="K605" s="92"/>
    </row>
    <row r="606">
      <c r="B606" s="97"/>
      <c r="C606" s="121" t="str">
        <f t="array" ref="C606">ifs(and(isblank($A606),isblank($B606)),"", not(iserror(vlookup($A606&amp;$B606,'5) Release_Track'!$F:$F&amp;'5) Release_Track'!$G:$G,1,0))),vlookup($A606&amp;$B606,{'5) Release_Track'!$F:$F&amp;'5) Release_Track'!$G:$G,'5) Release_Track'!$H:$H},2,0),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D606" s="121" t="str">
        <f t="array" ref="D606">ifs(and(isblank($A606),isblank($B606)),"", not(iserror(vlookup($A606&amp;$B606,'5) Release_Track'!$F:$F&amp;'5) Release_Track'!$G:$G,1,0))),vlookup($A606&amp;$B606,{'5) Release_Track'!$F:$F&amp;'5) Release_Track'!$G:$G,'5) Release_Track'!$I:$I},2,0),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E606" s="116" t="str">
        <f t="array" ref="E606">ifs(and(isblank($A606),isblank($B606)),"", not(iserror(vlookup($A606&amp;$B606,'5) Release_Track'!$F:$F&amp;'5) Release_Track'!$G:$G,1,0))),vlookup($A606&amp;$B606,{'5) Release_Track'!$F:$F&amp;'5) Release_Track'!$G:$G,'5) Release_Track'!$J:$J},2,0),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F606" s="88"/>
      <c r="G606" s="92"/>
      <c r="H606" s="185"/>
      <c r="I606" s="121" t="str">
        <f t="shared" si="2"/>
        <v/>
      </c>
      <c r="J606" s="92"/>
      <c r="K606" s="92"/>
    </row>
    <row r="607">
      <c r="B607" s="97"/>
      <c r="C607" s="121" t="str">
        <f t="array" ref="C607">ifs(and(isblank($A607),isblank($B607)),"", not(iserror(vlookup($A607&amp;$B607,'5) Release_Track'!$F:$F&amp;'5) Release_Track'!$G:$G,1,0))),vlookup($A607&amp;$B607,{'5) Release_Track'!$F:$F&amp;'5) Release_Track'!$G:$G,'5) Release_Track'!$H:$H},2,0),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D607" s="121" t="str">
        <f t="array" ref="D607">ifs(and(isblank($A607),isblank($B607)),"", not(iserror(vlookup($A607&amp;$B607,'5) Release_Track'!$F:$F&amp;'5) Release_Track'!$G:$G,1,0))),vlookup($A607&amp;$B607,{'5) Release_Track'!$F:$F&amp;'5) Release_Track'!$G:$G,'5) Release_Track'!$I:$I},2,0),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E607" s="116" t="str">
        <f t="array" ref="E607">ifs(and(isblank($A607),isblank($B607)),"", not(iserror(vlookup($A607&amp;$B607,'5) Release_Track'!$F:$F&amp;'5) Release_Track'!$G:$G,1,0))),vlookup($A607&amp;$B607,{'5) Release_Track'!$F:$F&amp;'5) Release_Track'!$G:$G,'5) Release_Track'!$J:$J},2,0),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F607" s="88"/>
      <c r="G607" s="92"/>
      <c r="H607" s="185"/>
      <c r="I607" s="121" t="str">
        <f t="shared" si="2"/>
        <v/>
      </c>
      <c r="J607" s="92"/>
      <c r="K607" s="92"/>
    </row>
    <row r="608">
      <c r="B608" s="97"/>
      <c r="C608" s="121" t="str">
        <f t="array" ref="C608">ifs(and(isblank($A608),isblank($B608)),"", not(iserror(vlookup($A608&amp;$B608,'5) Release_Track'!$F:$F&amp;'5) Release_Track'!$G:$G,1,0))),vlookup($A608&amp;$B608,{'5) Release_Track'!$F:$F&amp;'5) Release_Track'!$G:$G,'5) Release_Track'!$H:$H},2,0),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D608" s="121" t="str">
        <f t="array" ref="D608">ifs(and(isblank($A608),isblank($B608)),"", not(iserror(vlookup($A608&amp;$B608,'5) Release_Track'!$F:$F&amp;'5) Release_Track'!$G:$G,1,0))),vlookup($A608&amp;$B608,{'5) Release_Track'!$F:$F&amp;'5) Release_Track'!$G:$G,'5) Release_Track'!$I:$I},2,0),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E608" s="116" t="str">
        <f t="array" ref="E608">ifs(and(isblank($A608),isblank($B608)),"", not(iserror(vlookup($A608&amp;$B608,'5) Release_Track'!$F:$F&amp;'5) Release_Track'!$G:$G,1,0))),vlookup($A608&amp;$B608,{'5) Release_Track'!$F:$F&amp;'5) Release_Track'!$G:$G,'5) Release_Track'!$J:$J},2,0),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F608" s="88"/>
      <c r="G608" s="92"/>
      <c r="H608" s="185"/>
      <c r="I608" s="121" t="str">
        <f t="shared" si="2"/>
        <v/>
      </c>
      <c r="J608" s="92"/>
      <c r="K608" s="92"/>
    </row>
    <row r="609">
      <c r="B609" s="97"/>
      <c r="C609" s="121" t="str">
        <f t="array" ref="C609">ifs(and(isblank($A609),isblank($B609)),"", not(iserror(vlookup($A609&amp;$B609,'5) Release_Track'!$F:$F&amp;'5) Release_Track'!$G:$G,1,0))),vlookup($A609&amp;$B609,{'5) Release_Track'!$F:$F&amp;'5) Release_Track'!$G:$G,'5) Release_Track'!$H:$H},2,0),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D609" s="121" t="str">
        <f t="array" ref="D609">ifs(and(isblank($A609),isblank($B609)),"", not(iserror(vlookup($A609&amp;$B609,'5) Release_Track'!$F:$F&amp;'5) Release_Track'!$G:$G,1,0))),vlookup($A609&amp;$B609,{'5) Release_Track'!$F:$F&amp;'5) Release_Track'!$G:$G,'5) Release_Track'!$I:$I},2,0),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E609" s="116" t="str">
        <f t="array" ref="E609">ifs(and(isblank($A609),isblank($B609)),"", not(iserror(vlookup($A609&amp;$B609,'5) Release_Track'!$F:$F&amp;'5) Release_Track'!$G:$G,1,0))),vlookup($A609&amp;$B609,{'5) Release_Track'!$F:$F&amp;'5) Release_Track'!$G:$G,'5) Release_Track'!$J:$J},2,0),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F609" s="88"/>
      <c r="G609" s="92"/>
      <c r="H609" s="185"/>
      <c r="I609" s="121" t="str">
        <f t="shared" si="2"/>
        <v/>
      </c>
      <c r="J609" s="92"/>
      <c r="K609" s="92"/>
    </row>
    <row r="610">
      <c r="B610" s="97"/>
      <c r="C610" s="121" t="str">
        <f t="array" ref="C610">ifs(and(isblank($A610),isblank($B610)),"", not(iserror(vlookup($A610&amp;$B610,'5) Release_Track'!$F:$F&amp;'5) Release_Track'!$G:$G,1,0))),vlookup($A610&amp;$B610,{'5) Release_Track'!$F:$F&amp;'5) Release_Track'!$G:$G,'5) Release_Track'!$H:$H},2,0),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D610" s="121" t="str">
        <f t="array" ref="D610">ifs(and(isblank($A610),isblank($B610)),"", not(iserror(vlookup($A610&amp;$B610,'5) Release_Track'!$F:$F&amp;'5) Release_Track'!$G:$G,1,0))),vlookup($A610&amp;$B610,{'5) Release_Track'!$F:$F&amp;'5) Release_Track'!$G:$G,'5) Release_Track'!$I:$I},2,0),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E610" s="116" t="str">
        <f t="array" ref="E610">ifs(and(isblank($A610),isblank($B610)),"", not(iserror(vlookup($A610&amp;$B610,'5) Release_Track'!$F:$F&amp;'5) Release_Track'!$G:$G,1,0))),vlookup($A610&amp;$B610,{'5) Release_Track'!$F:$F&amp;'5) Release_Track'!$G:$G,'5) Release_Track'!$J:$J},2,0),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F610" s="88"/>
      <c r="G610" s="92"/>
      <c r="H610" s="185"/>
      <c r="I610" s="121" t="str">
        <f t="shared" si="2"/>
        <v/>
      </c>
      <c r="J610" s="92"/>
      <c r="K610" s="92"/>
    </row>
    <row r="611">
      <c r="B611" s="97"/>
      <c r="C611" s="121" t="str">
        <f t="array" ref="C611">ifs(and(isblank($A611),isblank($B611)),"", not(iserror(vlookup($A611&amp;$B611,'5) Release_Track'!$F:$F&amp;'5) Release_Track'!$G:$G,1,0))),vlookup($A611&amp;$B611,{'5) Release_Track'!$F:$F&amp;'5) Release_Track'!$G:$G,'5) Release_Track'!$H:$H},2,0),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D611" s="121" t="str">
        <f t="array" ref="D611">ifs(and(isblank($A611),isblank($B611)),"", not(iserror(vlookup($A611&amp;$B611,'5) Release_Track'!$F:$F&amp;'5) Release_Track'!$G:$G,1,0))),vlookup($A611&amp;$B611,{'5) Release_Track'!$F:$F&amp;'5) Release_Track'!$G:$G,'5) Release_Track'!$I:$I},2,0),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E611" s="116" t="str">
        <f t="array" ref="E611">ifs(and(isblank($A611),isblank($B611)),"", not(iserror(vlookup($A611&amp;$B611,'5) Release_Track'!$F:$F&amp;'5) Release_Track'!$G:$G,1,0))),vlookup($A611&amp;$B611,{'5) Release_Track'!$F:$F&amp;'5) Release_Track'!$G:$G,'5) Release_Track'!$J:$J},2,0),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F611" s="88"/>
      <c r="G611" s="92"/>
      <c r="H611" s="185"/>
      <c r="I611" s="121" t="str">
        <f t="shared" si="2"/>
        <v/>
      </c>
      <c r="J611" s="92"/>
      <c r="K611" s="92"/>
    </row>
    <row r="612">
      <c r="B612" s="97"/>
      <c r="C612" s="121" t="str">
        <f t="array" ref="C612">ifs(and(isblank($A612),isblank($B612)),"", not(iserror(vlookup($A612&amp;$B612,'5) Release_Track'!$F:$F&amp;'5) Release_Track'!$G:$G,1,0))),vlookup($A612&amp;$B612,{'5) Release_Track'!$F:$F&amp;'5) Release_Track'!$G:$G,'5) Release_Track'!$H:$H},2,0),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D612" s="121" t="str">
        <f t="array" ref="D612">ifs(and(isblank($A612),isblank($B612)),"", not(iserror(vlookup($A612&amp;$B612,'5) Release_Track'!$F:$F&amp;'5) Release_Track'!$G:$G,1,0))),vlookup($A612&amp;$B612,{'5) Release_Track'!$F:$F&amp;'5) Release_Track'!$G:$G,'5) Release_Track'!$I:$I},2,0),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E612" s="116" t="str">
        <f t="array" ref="E612">ifs(and(isblank($A612),isblank($B612)),"", not(iserror(vlookup($A612&amp;$B612,'5) Release_Track'!$F:$F&amp;'5) Release_Track'!$G:$G,1,0))),vlookup($A612&amp;$B612,{'5) Release_Track'!$F:$F&amp;'5) Release_Track'!$G:$G,'5) Release_Track'!$J:$J},2,0),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F612" s="88"/>
      <c r="G612" s="92"/>
      <c r="H612" s="185"/>
      <c r="I612" s="121" t="str">
        <f t="shared" si="2"/>
        <v/>
      </c>
      <c r="J612" s="92"/>
      <c r="K612" s="92"/>
    </row>
    <row r="613">
      <c r="B613" s="97"/>
      <c r="C613" s="121" t="str">
        <f t="array" ref="C613">ifs(and(isblank($A613),isblank($B613)),"", not(iserror(vlookup($A613&amp;$B613,'5) Release_Track'!$F:$F&amp;'5) Release_Track'!$G:$G,1,0))),vlookup($A613&amp;$B613,{'5) Release_Track'!$F:$F&amp;'5) Release_Track'!$G:$G,'5) Release_Track'!$H:$H},2,0),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D613" s="121" t="str">
        <f t="array" ref="D613">ifs(and(isblank($A613),isblank($B613)),"", not(iserror(vlookup($A613&amp;$B613,'5) Release_Track'!$F:$F&amp;'5) Release_Track'!$G:$G,1,0))),vlookup($A613&amp;$B613,{'5) Release_Track'!$F:$F&amp;'5) Release_Track'!$G:$G,'5) Release_Track'!$I:$I},2,0),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E613" s="116" t="str">
        <f t="array" ref="E613">ifs(and(isblank($A613),isblank($B613)),"", not(iserror(vlookup($A613&amp;$B613,'5) Release_Track'!$F:$F&amp;'5) Release_Track'!$G:$G,1,0))),vlookup($A613&amp;$B613,{'5) Release_Track'!$F:$F&amp;'5) Release_Track'!$G:$G,'5) Release_Track'!$J:$J},2,0),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F613" s="88"/>
      <c r="G613" s="92"/>
      <c r="H613" s="185"/>
      <c r="I613" s="121" t="str">
        <f t="shared" si="2"/>
        <v/>
      </c>
      <c r="J613" s="92"/>
      <c r="K613" s="92"/>
    </row>
    <row r="614">
      <c r="B614" s="97"/>
      <c r="C614" s="121" t="str">
        <f t="array" ref="C614">ifs(and(isblank($A614),isblank($B614)),"", not(iserror(vlookup($A614&amp;$B614,'5) Release_Track'!$F:$F&amp;'5) Release_Track'!$G:$G,1,0))),vlookup($A614&amp;$B614,{'5) Release_Track'!$F:$F&amp;'5) Release_Track'!$G:$G,'5) Release_Track'!$H:$H},2,0),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D614" s="121" t="str">
        <f t="array" ref="D614">ifs(and(isblank($A614),isblank($B614)),"", not(iserror(vlookup($A614&amp;$B614,'5) Release_Track'!$F:$F&amp;'5) Release_Track'!$G:$G,1,0))),vlookup($A614&amp;$B614,{'5) Release_Track'!$F:$F&amp;'5) Release_Track'!$G:$G,'5) Release_Track'!$I:$I},2,0),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E614" s="116" t="str">
        <f t="array" ref="E614">ifs(and(isblank($A614),isblank($B614)),"", not(iserror(vlookup($A614&amp;$B614,'5) Release_Track'!$F:$F&amp;'5) Release_Track'!$G:$G,1,0))),vlookup($A614&amp;$B614,{'5) Release_Track'!$F:$F&amp;'5) Release_Track'!$G:$G,'5) Release_Track'!$J:$J},2,0),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F614" s="88"/>
      <c r="G614" s="92"/>
      <c r="H614" s="185"/>
      <c r="I614" s="121" t="str">
        <f t="shared" si="2"/>
        <v/>
      </c>
      <c r="J614" s="92"/>
      <c r="K614" s="92"/>
    </row>
    <row r="615">
      <c r="B615" s="97"/>
      <c r="C615" s="121" t="str">
        <f t="array" ref="C615">ifs(and(isblank($A615),isblank($B615)),"", not(iserror(vlookup($A615&amp;$B615,'5) Release_Track'!$F:$F&amp;'5) Release_Track'!$G:$G,1,0))),vlookup($A615&amp;$B615,{'5) Release_Track'!$F:$F&amp;'5) Release_Track'!$G:$G,'5) Release_Track'!$H:$H},2,0),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D615" s="121" t="str">
        <f t="array" ref="D615">ifs(and(isblank($A615),isblank($B615)),"", not(iserror(vlookup($A615&amp;$B615,'5) Release_Track'!$F:$F&amp;'5) Release_Track'!$G:$G,1,0))),vlookup($A615&amp;$B615,{'5) Release_Track'!$F:$F&amp;'5) Release_Track'!$G:$G,'5) Release_Track'!$I:$I},2,0),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E615" s="116" t="str">
        <f t="array" ref="E615">ifs(and(isblank($A615),isblank($B615)),"", not(iserror(vlookup($A615&amp;$B615,'5) Release_Track'!$F:$F&amp;'5) Release_Track'!$G:$G,1,0))),vlookup($A615&amp;$B615,{'5) Release_Track'!$F:$F&amp;'5) Release_Track'!$G:$G,'5) Release_Track'!$J:$J},2,0),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F615" s="88"/>
      <c r="G615" s="92"/>
      <c r="H615" s="185"/>
      <c r="I615" s="121" t="str">
        <f t="shared" si="2"/>
        <v/>
      </c>
      <c r="J615" s="92"/>
      <c r="K615" s="92"/>
    </row>
    <row r="616">
      <c r="B616" s="97"/>
      <c r="C616" s="121" t="str">
        <f t="array" ref="C616">ifs(and(isblank($A616),isblank($B616)),"", not(iserror(vlookup($A616&amp;$B616,'5) Release_Track'!$F:$F&amp;'5) Release_Track'!$G:$G,1,0))),vlookup($A616&amp;$B616,{'5) Release_Track'!$F:$F&amp;'5) Release_Track'!$G:$G,'5) Release_Track'!$H:$H},2,0),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D616" s="121" t="str">
        <f t="array" ref="D616">ifs(and(isblank($A616),isblank($B616)),"", not(iserror(vlookup($A616&amp;$B616,'5) Release_Track'!$F:$F&amp;'5) Release_Track'!$G:$G,1,0))),vlookup($A616&amp;$B616,{'5) Release_Track'!$F:$F&amp;'5) Release_Track'!$G:$G,'5) Release_Track'!$I:$I},2,0),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E616" s="116" t="str">
        <f t="array" ref="E616">ifs(and(isblank($A616),isblank($B616)),"", not(iserror(vlookup($A616&amp;$B616,'5) Release_Track'!$F:$F&amp;'5) Release_Track'!$G:$G,1,0))),vlookup($A616&amp;$B616,{'5) Release_Track'!$F:$F&amp;'5) Release_Track'!$G:$G,'5) Release_Track'!$J:$J},2,0),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F616" s="88"/>
      <c r="G616" s="92"/>
      <c r="H616" s="185"/>
      <c r="I616" s="121" t="str">
        <f t="shared" si="2"/>
        <v/>
      </c>
      <c r="J616" s="92"/>
      <c r="K616" s="92"/>
    </row>
    <row r="617">
      <c r="B617" s="97"/>
      <c r="C617" s="121" t="str">
        <f t="array" ref="C617">ifs(and(isblank($A617),isblank($B617)),"", not(iserror(vlookup($A617&amp;$B617,'5) Release_Track'!$F:$F&amp;'5) Release_Track'!$G:$G,1,0))),vlookup($A617&amp;$B617,{'5) Release_Track'!$F:$F&amp;'5) Release_Track'!$G:$G,'5) Release_Track'!$H:$H},2,0),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D617" s="121" t="str">
        <f t="array" ref="D617">ifs(and(isblank($A617),isblank($B617)),"", not(iserror(vlookup($A617&amp;$B617,'5) Release_Track'!$F:$F&amp;'5) Release_Track'!$G:$G,1,0))),vlookup($A617&amp;$B617,{'5) Release_Track'!$F:$F&amp;'5) Release_Track'!$G:$G,'5) Release_Track'!$I:$I},2,0),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E617" s="116" t="str">
        <f t="array" ref="E617">ifs(and(isblank($A617),isblank($B617)),"", not(iserror(vlookup($A617&amp;$B617,'5) Release_Track'!$F:$F&amp;'5) Release_Track'!$G:$G,1,0))),vlookup($A617&amp;$B617,{'5) Release_Track'!$F:$F&amp;'5) Release_Track'!$G:$G,'5) Release_Track'!$J:$J},2,0),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F617" s="88"/>
      <c r="G617" s="92"/>
      <c r="H617" s="185"/>
      <c r="I617" s="121" t="str">
        <f t="shared" si="2"/>
        <v/>
      </c>
      <c r="J617" s="92"/>
      <c r="K617" s="92"/>
    </row>
    <row r="618">
      <c r="B618" s="97"/>
      <c r="C618" s="121" t="str">
        <f t="array" ref="C618">ifs(and(isblank($A618),isblank($B618)),"", not(iserror(vlookup($A618&amp;$B618,'5) Release_Track'!$F:$F&amp;'5) Release_Track'!$G:$G,1,0))),vlookup($A618&amp;$B618,{'5) Release_Track'!$F:$F&amp;'5) Release_Track'!$G:$G,'5) Release_Track'!$H:$H},2,0),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D618" s="121" t="str">
        <f t="array" ref="D618">ifs(and(isblank($A618),isblank($B618)),"", not(iserror(vlookup($A618&amp;$B618,'5) Release_Track'!$F:$F&amp;'5) Release_Track'!$G:$G,1,0))),vlookup($A618&amp;$B618,{'5) Release_Track'!$F:$F&amp;'5) Release_Track'!$G:$G,'5) Release_Track'!$I:$I},2,0),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E618" s="116" t="str">
        <f t="array" ref="E618">ifs(and(isblank($A618),isblank($B618)),"", not(iserror(vlookup($A618&amp;$B618,'5) Release_Track'!$F:$F&amp;'5) Release_Track'!$G:$G,1,0))),vlookup($A618&amp;$B618,{'5) Release_Track'!$F:$F&amp;'5) Release_Track'!$G:$G,'5) Release_Track'!$J:$J},2,0),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F618" s="88"/>
      <c r="G618" s="92"/>
      <c r="H618" s="185"/>
      <c r="I618" s="121" t="str">
        <f t="shared" si="2"/>
        <v/>
      </c>
      <c r="J618" s="92"/>
      <c r="K618" s="92"/>
    </row>
    <row r="619">
      <c r="B619" s="97"/>
      <c r="C619" s="121" t="str">
        <f t="array" ref="C619">ifs(and(isblank($A619),isblank($B619)),"", not(iserror(vlookup($A619&amp;$B619,'5) Release_Track'!$F:$F&amp;'5) Release_Track'!$G:$G,1,0))),vlookup($A619&amp;$B619,{'5) Release_Track'!$F:$F&amp;'5) Release_Track'!$G:$G,'5) Release_Track'!$H:$H},2,0),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D619" s="121" t="str">
        <f t="array" ref="D619">ifs(and(isblank($A619),isblank($B619)),"", not(iserror(vlookup($A619&amp;$B619,'5) Release_Track'!$F:$F&amp;'5) Release_Track'!$G:$G,1,0))),vlookup($A619&amp;$B619,{'5) Release_Track'!$F:$F&amp;'5) Release_Track'!$G:$G,'5) Release_Track'!$I:$I},2,0),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E619" s="116" t="str">
        <f t="array" ref="E619">ifs(and(isblank($A619),isblank($B619)),"", not(iserror(vlookup($A619&amp;$B619,'5) Release_Track'!$F:$F&amp;'5) Release_Track'!$G:$G,1,0))),vlookup($A619&amp;$B619,{'5) Release_Track'!$F:$F&amp;'5) Release_Track'!$G:$G,'5) Release_Track'!$J:$J},2,0),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F619" s="88"/>
      <c r="G619" s="92"/>
      <c r="H619" s="185"/>
      <c r="I619" s="121" t="str">
        <f t="shared" si="2"/>
        <v/>
      </c>
      <c r="J619" s="92"/>
      <c r="K619" s="92"/>
    </row>
    <row r="620">
      <c r="B620" s="97"/>
      <c r="C620" s="121" t="str">
        <f t="array" ref="C620">ifs(and(isblank($A620),isblank($B620)),"", not(iserror(vlookup($A620&amp;$B620,'5) Release_Track'!$F:$F&amp;'5) Release_Track'!$G:$G,1,0))),vlookup($A620&amp;$B620,{'5) Release_Track'!$F:$F&amp;'5) Release_Track'!$G:$G,'5) Release_Track'!$H:$H},2,0),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D620" s="121" t="str">
        <f t="array" ref="D620">ifs(and(isblank($A620),isblank($B620)),"", not(iserror(vlookup($A620&amp;$B620,'5) Release_Track'!$F:$F&amp;'5) Release_Track'!$G:$G,1,0))),vlookup($A620&amp;$B620,{'5) Release_Track'!$F:$F&amp;'5) Release_Track'!$G:$G,'5) Release_Track'!$I:$I},2,0),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E620" s="116" t="str">
        <f t="array" ref="E620">ifs(and(isblank($A620),isblank($B620)),"", not(iserror(vlookup($A620&amp;$B620,'5) Release_Track'!$F:$F&amp;'5) Release_Track'!$G:$G,1,0))),vlookup($A620&amp;$B620,{'5) Release_Track'!$F:$F&amp;'5) Release_Track'!$G:$G,'5) Release_Track'!$J:$J},2,0),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F620" s="88"/>
      <c r="G620" s="92"/>
      <c r="H620" s="185"/>
      <c r="I620" s="121" t="str">
        <f t="shared" si="2"/>
        <v/>
      </c>
      <c r="J620" s="92"/>
      <c r="K620" s="92"/>
    </row>
    <row r="621">
      <c r="B621" s="97"/>
      <c r="C621" s="121" t="str">
        <f t="array" ref="C621">ifs(and(isblank($A621),isblank($B621)),"", not(iserror(vlookup($A621&amp;$B621,'5) Release_Track'!$F:$F&amp;'5) Release_Track'!$G:$G,1,0))),vlookup($A621&amp;$B621,{'5) Release_Track'!$F:$F&amp;'5) Release_Track'!$G:$G,'5) Release_Track'!$H:$H},2,0),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D621" s="121" t="str">
        <f t="array" ref="D621">ifs(and(isblank($A621),isblank($B621)),"", not(iserror(vlookup($A621&amp;$B621,'5) Release_Track'!$F:$F&amp;'5) Release_Track'!$G:$G,1,0))),vlookup($A621&amp;$B621,{'5) Release_Track'!$F:$F&amp;'5) Release_Track'!$G:$G,'5) Release_Track'!$I:$I},2,0),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E621" s="116" t="str">
        <f t="array" ref="E621">ifs(and(isblank($A621),isblank($B621)),"", not(iserror(vlookup($A621&amp;$B621,'5) Release_Track'!$F:$F&amp;'5) Release_Track'!$G:$G,1,0))),vlookup($A621&amp;$B621,{'5) Release_Track'!$F:$F&amp;'5) Release_Track'!$G:$G,'5) Release_Track'!$J:$J},2,0),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F621" s="88"/>
      <c r="G621" s="92"/>
      <c r="H621" s="185"/>
      <c r="I621" s="121" t="str">
        <f t="shared" si="2"/>
        <v/>
      </c>
      <c r="J621" s="92"/>
      <c r="K621" s="92"/>
    </row>
    <row r="622">
      <c r="B622" s="97"/>
      <c r="C622" s="121" t="str">
        <f t="array" ref="C622">ifs(and(isblank($A622),isblank($B622)),"", not(iserror(vlookup($A622&amp;$B622,'5) Release_Track'!$F:$F&amp;'5) Release_Track'!$G:$G,1,0))),vlookup($A622&amp;$B622,{'5) Release_Track'!$F:$F&amp;'5) Release_Track'!$G:$G,'5) Release_Track'!$H:$H},2,0),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D622" s="121" t="str">
        <f t="array" ref="D622">ifs(and(isblank($A622),isblank($B622)),"", not(iserror(vlookup($A622&amp;$B622,'5) Release_Track'!$F:$F&amp;'5) Release_Track'!$G:$G,1,0))),vlookup($A622&amp;$B622,{'5) Release_Track'!$F:$F&amp;'5) Release_Track'!$G:$G,'5) Release_Track'!$I:$I},2,0),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E622" s="116" t="str">
        <f t="array" ref="E622">ifs(and(isblank($A622),isblank($B622)),"", not(iserror(vlookup($A622&amp;$B622,'5) Release_Track'!$F:$F&amp;'5) Release_Track'!$G:$G,1,0))),vlookup($A622&amp;$B622,{'5) Release_Track'!$F:$F&amp;'5) Release_Track'!$G:$G,'5) Release_Track'!$J:$J},2,0),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F622" s="88"/>
      <c r="G622" s="92"/>
      <c r="H622" s="185"/>
      <c r="I622" s="121" t="str">
        <f t="shared" si="2"/>
        <v/>
      </c>
      <c r="J622" s="92"/>
      <c r="K622" s="92"/>
    </row>
    <row r="623">
      <c r="B623" s="97"/>
      <c r="C623" s="121" t="str">
        <f t="array" ref="C623">ifs(and(isblank($A623),isblank($B623)),"", not(iserror(vlookup($A623&amp;$B623,'5) Release_Track'!$F:$F&amp;'5) Release_Track'!$G:$G,1,0))),vlookup($A623&amp;$B623,{'5) Release_Track'!$F:$F&amp;'5) Release_Track'!$G:$G,'5) Release_Track'!$H:$H},2,0),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D623" s="121" t="str">
        <f t="array" ref="D623">ifs(and(isblank($A623),isblank($B623)),"", not(iserror(vlookup($A623&amp;$B623,'5) Release_Track'!$F:$F&amp;'5) Release_Track'!$G:$G,1,0))),vlookup($A623&amp;$B623,{'5) Release_Track'!$F:$F&amp;'5) Release_Track'!$G:$G,'5) Release_Track'!$I:$I},2,0),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E623" s="116" t="str">
        <f t="array" ref="E623">ifs(and(isblank($A623),isblank($B623)),"", not(iserror(vlookup($A623&amp;$B623,'5) Release_Track'!$F:$F&amp;'5) Release_Track'!$G:$G,1,0))),vlookup($A623&amp;$B623,{'5) Release_Track'!$F:$F&amp;'5) Release_Track'!$G:$G,'5) Release_Track'!$J:$J},2,0),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F623" s="88"/>
      <c r="G623" s="92"/>
      <c r="H623" s="185"/>
      <c r="I623" s="121" t="str">
        <f t="shared" si="2"/>
        <v/>
      </c>
      <c r="J623" s="92"/>
      <c r="K623" s="92"/>
    </row>
    <row r="624">
      <c r="B624" s="97"/>
      <c r="C624" s="121" t="str">
        <f t="array" ref="C624">ifs(and(isblank($A624),isblank($B624)),"", not(iserror(vlookup($A624&amp;$B624,'5) Release_Track'!$F:$F&amp;'5) Release_Track'!$G:$G,1,0))),vlookup($A624&amp;$B624,{'5) Release_Track'!$F:$F&amp;'5) Release_Track'!$G:$G,'5) Release_Track'!$H:$H},2,0),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D624" s="121" t="str">
        <f t="array" ref="D624">ifs(and(isblank($A624),isblank($B624)),"", not(iserror(vlookup($A624&amp;$B624,'5) Release_Track'!$F:$F&amp;'5) Release_Track'!$G:$G,1,0))),vlookup($A624&amp;$B624,{'5) Release_Track'!$F:$F&amp;'5) Release_Track'!$G:$G,'5) Release_Track'!$I:$I},2,0),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E624" s="116" t="str">
        <f t="array" ref="E624">ifs(and(isblank($A624),isblank($B624)),"", not(iserror(vlookup($A624&amp;$B624,'5) Release_Track'!$F:$F&amp;'5) Release_Track'!$G:$G,1,0))),vlookup($A624&amp;$B624,{'5) Release_Track'!$F:$F&amp;'5) Release_Track'!$G:$G,'5) Release_Track'!$J:$J},2,0),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F624" s="88"/>
      <c r="G624" s="92"/>
      <c r="H624" s="185"/>
      <c r="I624" s="121" t="str">
        <f t="shared" si="2"/>
        <v/>
      </c>
      <c r="J624" s="92"/>
      <c r="K624" s="92"/>
    </row>
    <row r="625">
      <c r="B625" s="97"/>
      <c r="C625" s="121" t="str">
        <f t="array" ref="C625">ifs(and(isblank($A625),isblank($B625)),"", not(iserror(vlookup($A625&amp;$B625,'5) Release_Track'!$F:$F&amp;'5) Release_Track'!$G:$G,1,0))),vlookup($A625&amp;$B625,{'5) Release_Track'!$F:$F&amp;'5) Release_Track'!$G:$G,'5) Release_Track'!$H:$H},2,0),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D625" s="121" t="str">
        <f t="array" ref="D625">ifs(and(isblank($A625),isblank($B625)),"", not(iserror(vlookup($A625&amp;$B625,'5) Release_Track'!$F:$F&amp;'5) Release_Track'!$G:$G,1,0))),vlookup($A625&amp;$B625,{'5) Release_Track'!$F:$F&amp;'5) Release_Track'!$G:$G,'5) Release_Track'!$I:$I},2,0),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E625" s="116" t="str">
        <f t="array" ref="E625">ifs(and(isblank($A625),isblank($B625)),"", not(iserror(vlookup($A625&amp;$B625,'5) Release_Track'!$F:$F&amp;'5) Release_Track'!$G:$G,1,0))),vlookup($A625&amp;$B625,{'5) Release_Track'!$F:$F&amp;'5) Release_Track'!$G:$G,'5) Release_Track'!$J:$J},2,0),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F625" s="88"/>
      <c r="G625" s="92"/>
      <c r="H625" s="185"/>
      <c r="I625" s="121" t="str">
        <f t="shared" si="2"/>
        <v/>
      </c>
      <c r="J625" s="92"/>
      <c r="K625" s="92"/>
    </row>
    <row r="626">
      <c r="B626" s="97"/>
      <c r="C626" s="121" t="str">
        <f t="array" ref="C626">ifs(and(isblank($A626),isblank($B626)),"", not(iserror(vlookup($A626&amp;$B626,'5) Release_Track'!$F:$F&amp;'5) Release_Track'!$G:$G,1,0))),vlookup($A626&amp;$B626,{'5) Release_Track'!$F:$F&amp;'5) Release_Track'!$G:$G,'5) Release_Track'!$H:$H},2,0),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D626" s="121" t="str">
        <f t="array" ref="D626">ifs(and(isblank($A626),isblank($B626)),"", not(iserror(vlookup($A626&amp;$B626,'5) Release_Track'!$F:$F&amp;'5) Release_Track'!$G:$G,1,0))),vlookup($A626&amp;$B626,{'5) Release_Track'!$F:$F&amp;'5) Release_Track'!$G:$G,'5) Release_Track'!$I:$I},2,0),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E626" s="116" t="str">
        <f t="array" ref="E626">ifs(and(isblank($A626),isblank($B626)),"", not(iserror(vlookup($A626&amp;$B626,'5) Release_Track'!$F:$F&amp;'5) Release_Track'!$G:$G,1,0))),vlookup($A626&amp;$B626,{'5) Release_Track'!$F:$F&amp;'5) Release_Track'!$G:$G,'5) Release_Track'!$J:$J},2,0),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F626" s="88"/>
      <c r="G626" s="92"/>
      <c r="H626" s="185"/>
      <c r="I626" s="121" t="str">
        <f t="shared" si="2"/>
        <v/>
      </c>
      <c r="J626" s="92"/>
      <c r="K626" s="92"/>
    </row>
    <row r="627">
      <c r="B627" s="97"/>
      <c r="C627" s="121" t="str">
        <f t="array" ref="C627">ifs(and(isblank($A627),isblank($B627)),"", not(iserror(vlookup($A627&amp;$B627,'5) Release_Track'!$F:$F&amp;'5) Release_Track'!$G:$G,1,0))),vlookup($A627&amp;$B627,{'5) Release_Track'!$F:$F&amp;'5) Release_Track'!$G:$G,'5) Release_Track'!$H:$H},2,0),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D627" s="121" t="str">
        <f t="array" ref="D627">ifs(and(isblank($A627),isblank($B627)),"", not(iserror(vlookup($A627&amp;$B627,'5) Release_Track'!$F:$F&amp;'5) Release_Track'!$G:$G,1,0))),vlookup($A627&amp;$B627,{'5) Release_Track'!$F:$F&amp;'5) Release_Track'!$G:$G,'5) Release_Track'!$I:$I},2,0),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E627" s="116" t="str">
        <f t="array" ref="E627">ifs(and(isblank($A627),isblank($B627)),"", not(iserror(vlookup($A627&amp;$B627,'5) Release_Track'!$F:$F&amp;'5) Release_Track'!$G:$G,1,0))),vlookup($A627&amp;$B627,{'5) Release_Track'!$F:$F&amp;'5) Release_Track'!$G:$G,'5) Release_Track'!$J:$J},2,0),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F627" s="88"/>
      <c r="G627" s="92"/>
      <c r="H627" s="185"/>
      <c r="I627" s="121" t="str">
        <f t="shared" si="2"/>
        <v/>
      </c>
      <c r="J627" s="92"/>
      <c r="K627" s="92"/>
    </row>
    <row r="628">
      <c r="B628" s="97"/>
      <c r="C628" s="121" t="str">
        <f t="array" ref="C628">ifs(and(isblank($A628),isblank($B628)),"", not(iserror(vlookup($A628&amp;$B628,'5) Release_Track'!$F:$F&amp;'5) Release_Track'!$G:$G,1,0))),vlookup($A628&amp;$B628,{'5) Release_Track'!$F:$F&amp;'5) Release_Track'!$G:$G,'5) Release_Track'!$H:$H},2,0),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D628" s="121" t="str">
        <f t="array" ref="D628">ifs(and(isblank($A628),isblank($B628)),"", not(iserror(vlookup($A628&amp;$B628,'5) Release_Track'!$F:$F&amp;'5) Release_Track'!$G:$G,1,0))),vlookup($A628&amp;$B628,{'5) Release_Track'!$F:$F&amp;'5) Release_Track'!$G:$G,'5) Release_Track'!$I:$I},2,0),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E628" s="116" t="str">
        <f t="array" ref="E628">ifs(and(isblank($A628),isblank($B628)),"", not(iserror(vlookup($A628&amp;$B628,'5) Release_Track'!$F:$F&amp;'5) Release_Track'!$G:$G,1,0))),vlookup($A628&amp;$B628,{'5) Release_Track'!$F:$F&amp;'5) Release_Track'!$G:$G,'5) Release_Track'!$J:$J},2,0),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F628" s="88"/>
      <c r="G628" s="92"/>
      <c r="H628" s="185"/>
      <c r="I628" s="121" t="str">
        <f t="shared" si="2"/>
        <v/>
      </c>
      <c r="J628" s="92"/>
      <c r="K628" s="92"/>
    </row>
    <row r="629">
      <c r="B629" s="97"/>
      <c r="C629" s="121" t="str">
        <f t="array" ref="C629">ifs(and(isblank($A629),isblank($B629)),"", not(iserror(vlookup($A629&amp;$B629,'5) Release_Track'!$F:$F&amp;'5) Release_Track'!$G:$G,1,0))),vlookup($A629&amp;$B629,{'5) Release_Track'!$F:$F&amp;'5) Release_Track'!$G:$G,'5) Release_Track'!$H:$H},2,0),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D629" s="121" t="str">
        <f t="array" ref="D629">ifs(and(isblank($A629),isblank($B629)),"", not(iserror(vlookup($A629&amp;$B629,'5) Release_Track'!$F:$F&amp;'5) Release_Track'!$G:$G,1,0))),vlookup($A629&amp;$B629,{'5) Release_Track'!$F:$F&amp;'5) Release_Track'!$G:$G,'5) Release_Track'!$I:$I},2,0),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E629" s="116" t="str">
        <f t="array" ref="E629">ifs(and(isblank($A629),isblank($B629)),"", not(iserror(vlookup($A629&amp;$B629,'5) Release_Track'!$F:$F&amp;'5) Release_Track'!$G:$G,1,0))),vlookup($A629&amp;$B629,{'5) Release_Track'!$F:$F&amp;'5) Release_Track'!$G:$G,'5) Release_Track'!$J:$J},2,0),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F629" s="88"/>
      <c r="G629" s="92"/>
      <c r="H629" s="185"/>
      <c r="I629" s="121" t="str">
        <f t="shared" si="2"/>
        <v/>
      </c>
      <c r="J629" s="92"/>
      <c r="K629" s="92"/>
    </row>
    <row r="630">
      <c r="B630" s="97"/>
      <c r="C630" s="121" t="str">
        <f t="array" ref="C630">ifs(and(isblank($A630),isblank($B630)),"", not(iserror(vlookup($A630&amp;$B630,'5) Release_Track'!$F:$F&amp;'5) Release_Track'!$G:$G,1,0))),vlookup($A630&amp;$B630,{'5) Release_Track'!$F:$F&amp;'5) Release_Track'!$G:$G,'5) Release_Track'!$H:$H},2,0),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D630" s="121" t="str">
        <f t="array" ref="D630">ifs(and(isblank($A630),isblank($B630)),"", not(iserror(vlookup($A630&amp;$B630,'5) Release_Track'!$F:$F&amp;'5) Release_Track'!$G:$G,1,0))),vlookup($A630&amp;$B630,{'5) Release_Track'!$F:$F&amp;'5) Release_Track'!$G:$G,'5) Release_Track'!$I:$I},2,0),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E630" s="116" t="str">
        <f t="array" ref="E630">ifs(and(isblank($A630),isblank($B630)),"", not(iserror(vlookup($A630&amp;$B630,'5) Release_Track'!$F:$F&amp;'5) Release_Track'!$G:$G,1,0))),vlookup($A630&amp;$B630,{'5) Release_Track'!$F:$F&amp;'5) Release_Track'!$G:$G,'5) Release_Track'!$J:$J},2,0),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F630" s="88"/>
      <c r="G630" s="92"/>
      <c r="H630" s="185"/>
      <c r="I630" s="121" t="str">
        <f t="shared" si="2"/>
        <v/>
      </c>
      <c r="J630" s="92"/>
      <c r="K630" s="92"/>
    </row>
    <row r="631">
      <c r="B631" s="97"/>
      <c r="C631" s="121" t="str">
        <f t="array" ref="C631">ifs(and(isblank($A631),isblank($B631)),"", not(iserror(vlookup($A631&amp;$B631,'5) Release_Track'!$F:$F&amp;'5) Release_Track'!$G:$G,1,0))),vlookup($A631&amp;$B631,{'5) Release_Track'!$F:$F&amp;'5) Release_Track'!$G:$G,'5) Release_Track'!$H:$H},2,0),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D631" s="121" t="str">
        <f t="array" ref="D631">ifs(and(isblank($A631),isblank($B631)),"", not(iserror(vlookup($A631&amp;$B631,'5) Release_Track'!$F:$F&amp;'5) Release_Track'!$G:$G,1,0))),vlookup($A631&amp;$B631,{'5) Release_Track'!$F:$F&amp;'5) Release_Track'!$G:$G,'5) Release_Track'!$I:$I},2,0),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E631" s="116" t="str">
        <f t="array" ref="E631">ifs(and(isblank($A631),isblank($B631)),"", not(iserror(vlookup($A631&amp;$B631,'5) Release_Track'!$F:$F&amp;'5) Release_Track'!$G:$G,1,0))),vlookup($A631&amp;$B631,{'5) Release_Track'!$F:$F&amp;'5) Release_Track'!$G:$G,'5) Release_Track'!$J:$J},2,0),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F631" s="88"/>
      <c r="G631" s="92"/>
      <c r="H631" s="185"/>
      <c r="I631" s="121" t="str">
        <f t="shared" si="2"/>
        <v/>
      </c>
      <c r="J631" s="92"/>
      <c r="K631" s="92"/>
    </row>
    <row r="632">
      <c r="B632" s="97"/>
      <c r="C632" s="121" t="str">
        <f t="array" ref="C632">ifs(and(isblank($A632),isblank($B632)),"", not(iserror(vlookup($A632&amp;$B632,'5) Release_Track'!$F:$F&amp;'5) Release_Track'!$G:$G,1,0))),vlookup($A632&amp;$B632,{'5) Release_Track'!$F:$F&amp;'5) Release_Track'!$G:$G,'5) Release_Track'!$H:$H},2,0),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D632" s="121" t="str">
        <f t="array" ref="D632">ifs(and(isblank($A632),isblank($B632)),"", not(iserror(vlookup($A632&amp;$B632,'5) Release_Track'!$F:$F&amp;'5) Release_Track'!$G:$G,1,0))),vlookup($A632&amp;$B632,{'5) Release_Track'!$F:$F&amp;'5) Release_Track'!$G:$G,'5) Release_Track'!$I:$I},2,0),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E632" s="116" t="str">
        <f t="array" ref="E632">ifs(and(isblank($A632),isblank($B632)),"", not(iserror(vlookup($A632&amp;$B632,'5) Release_Track'!$F:$F&amp;'5) Release_Track'!$G:$G,1,0))),vlookup($A632&amp;$B632,{'5) Release_Track'!$F:$F&amp;'5) Release_Track'!$G:$G,'5) Release_Track'!$J:$J},2,0),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F632" s="88"/>
      <c r="G632" s="92"/>
      <c r="H632" s="185"/>
      <c r="I632" s="121" t="str">
        <f t="shared" si="2"/>
        <v/>
      </c>
      <c r="J632" s="92"/>
      <c r="K632" s="92"/>
    </row>
    <row r="633">
      <c r="B633" s="97"/>
      <c r="C633" s="121" t="str">
        <f t="array" ref="C633">ifs(and(isblank($A633),isblank($B633)),"", not(iserror(vlookup($A633&amp;$B633,'5) Release_Track'!$F:$F&amp;'5) Release_Track'!$G:$G,1,0))),vlookup($A633&amp;$B633,{'5) Release_Track'!$F:$F&amp;'5) Release_Track'!$G:$G,'5) Release_Track'!$H:$H},2,0),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D633" s="121" t="str">
        <f t="array" ref="D633">ifs(and(isblank($A633),isblank($B633)),"", not(iserror(vlookup($A633&amp;$B633,'5) Release_Track'!$F:$F&amp;'5) Release_Track'!$G:$G,1,0))),vlookup($A633&amp;$B633,{'5) Release_Track'!$F:$F&amp;'5) Release_Track'!$G:$G,'5) Release_Track'!$I:$I},2,0),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E633" s="116" t="str">
        <f t="array" ref="E633">ifs(and(isblank($A633),isblank($B633)),"", not(iserror(vlookup($A633&amp;$B633,'5) Release_Track'!$F:$F&amp;'5) Release_Track'!$G:$G,1,0))),vlookup($A633&amp;$B633,{'5) Release_Track'!$F:$F&amp;'5) Release_Track'!$G:$G,'5) Release_Track'!$J:$J},2,0),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F633" s="88"/>
      <c r="G633" s="92"/>
      <c r="H633" s="185"/>
      <c r="I633" s="121" t="str">
        <f t="shared" si="2"/>
        <v/>
      </c>
      <c r="J633" s="92"/>
      <c r="K633" s="92"/>
    </row>
    <row r="634">
      <c r="B634" s="97"/>
      <c r="C634" s="121" t="str">
        <f t="array" ref="C634">ifs(and(isblank($A634),isblank($B634)),"", not(iserror(vlookup($A634&amp;$B634,'5) Release_Track'!$F:$F&amp;'5) Release_Track'!$G:$G,1,0))),vlookup($A634&amp;$B634,{'5) Release_Track'!$F:$F&amp;'5) Release_Track'!$G:$G,'5) Release_Track'!$H:$H},2,0),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D634" s="121" t="str">
        <f t="array" ref="D634">ifs(and(isblank($A634),isblank($B634)),"", not(iserror(vlookup($A634&amp;$B634,'5) Release_Track'!$F:$F&amp;'5) Release_Track'!$G:$G,1,0))),vlookup($A634&amp;$B634,{'5) Release_Track'!$F:$F&amp;'5) Release_Track'!$G:$G,'5) Release_Track'!$I:$I},2,0),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E634" s="116" t="str">
        <f t="array" ref="E634">ifs(and(isblank($A634),isblank($B634)),"", not(iserror(vlookup($A634&amp;$B634,'5) Release_Track'!$F:$F&amp;'5) Release_Track'!$G:$G,1,0))),vlookup($A634&amp;$B634,{'5) Release_Track'!$F:$F&amp;'5) Release_Track'!$G:$G,'5) Release_Track'!$J:$J},2,0),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F634" s="88"/>
      <c r="G634" s="92"/>
      <c r="H634" s="185"/>
      <c r="I634" s="121" t="str">
        <f t="shared" si="2"/>
        <v/>
      </c>
      <c r="J634" s="92"/>
      <c r="K634" s="92"/>
    </row>
    <row r="635">
      <c r="B635" s="97"/>
      <c r="C635" s="121" t="str">
        <f t="array" ref="C635">ifs(and(isblank($A635),isblank($B635)),"", not(iserror(vlookup($A635&amp;$B635,'5) Release_Track'!$F:$F&amp;'5) Release_Track'!$G:$G,1,0))),vlookup($A635&amp;$B635,{'5) Release_Track'!$F:$F&amp;'5) Release_Track'!$G:$G,'5) Release_Track'!$H:$H},2,0),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D635" s="121" t="str">
        <f t="array" ref="D635">ifs(and(isblank($A635),isblank($B635)),"", not(iserror(vlookup($A635&amp;$B635,'5) Release_Track'!$F:$F&amp;'5) Release_Track'!$G:$G,1,0))),vlookup($A635&amp;$B635,{'5) Release_Track'!$F:$F&amp;'5) Release_Track'!$G:$G,'5) Release_Track'!$I:$I},2,0),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E635" s="116" t="str">
        <f t="array" ref="E635">ifs(and(isblank($A635),isblank($B635)),"", not(iserror(vlookup($A635&amp;$B635,'5) Release_Track'!$F:$F&amp;'5) Release_Track'!$G:$G,1,0))),vlookup($A635&amp;$B635,{'5) Release_Track'!$F:$F&amp;'5) Release_Track'!$G:$G,'5) Release_Track'!$J:$J},2,0),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F635" s="88"/>
      <c r="G635" s="92"/>
      <c r="H635" s="185"/>
      <c r="I635" s="121" t="str">
        <f t="shared" si="2"/>
        <v/>
      </c>
      <c r="J635" s="92"/>
      <c r="K635" s="92"/>
    </row>
    <row r="636">
      <c r="B636" s="97"/>
      <c r="C636" s="121" t="str">
        <f t="array" ref="C636">ifs(and(isblank($A636),isblank($B636)),"", not(iserror(vlookup($A636&amp;$B636,'5) Release_Track'!$F:$F&amp;'5) Release_Track'!$G:$G,1,0))),vlookup($A636&amp;$B636,{'5) Release_Track'!$F:$F&amp;'5) Release_Track'!$G:$G,'5) Release_Track'!$H:$H},2,0),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D636" s="121" t="str">
        <f t="array" ref="D636">ifs(and(isblank($A636),isblank($B636)),"", not(iserror(vlookup($A636&amp;$B636,'5) Release_Track'!$F:$F&amp;'5) Release_Track'!$G:$G,1,0))),vlookup($A636&amp;$B636,{'5) Release_Track'!$F:$F&amp;'5) Release_Track'!$G:$G,'5) Release_Track'!$I:$I},2,0),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E636" s="116" t="str">
        <f t="array" ref="E636">ifs(and(isblank($A636),isblank($B636)),"", not(iserror(vlookup($A636&amp;$B636,'5) Release_Track'!$F:$F&amp;'5) Release_Track'!$G:$G,1,0))),vlookup($A636&amp;$B636,{'5) Release_Track'!$F:$F&amp;'5) Release_Track'!$G:$G,'5) Release_Track'!$J:$J},2,0),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F636" s="88"/>
      <c r="G636" s="92"/>
      <c r="H636" s="185"/>
      <c r="I636" s="121" t="str">
        <f t="shared" si="2"/>
        <v/>
      </c>
      <c r="J636" s="92"/>
      <c r="K636" s="92"/>
    </row>
    <row r="637">
      <c r="B637" s="97"/>
      <c r="C637" s="121" t="str">
        <f t="array" ref="C637">ifs(and(isblank($A637),isblank($B637)),"", not(iserror(vlookup($A637&amp;$B637,'5) Release_Track'!$F:$F&amp;'5) Release_Track'!$G:$G,1,0))),vlookup($A637&amp;$B637,{'5) Release_Track'!$F:$F&amp;'5) Release_Track'!$G:$G,'5) Release_Track'!$H:$H},2,0),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D637" s="121" t="str">
        <f t="array" ref="D637">ifs(and(isblank($A637),isblank($B637)),"", not(iserror(vlookup($A637&amp;$B637,'5) Release_Track'!$F:$F&amp;'5) Release_Track'!$G:$G,1,0))),vlookup($A637&amp;$B637,{'5) Release_Track'!$F:$F&amp;'5) Release_Track'!$G:$G,'5) Release_Track'!$I:$I},2,0),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E637" s="116" t="str">
        <f t="array" ref="E637">ifs(and(isblank($A637),isblank($B637)),"", not(iserror(vlookup($A637&amp;$B637,'5) Release_Track'!$F:$F&amp;'5) Release_Track'!$G:$G,1,0))),vlookup($A637&amp;$B637,{'5) Release_Track'!$F:$F&amp;'5) Release_Track'!$G:$G,'5) Release_Track'!$J:$J},2,0),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F637" s="88"/>
      <c r="G637" s="92"/>
      <c r="H637" s="185"/>
      <c r="I637" s="121" t="str">
        <f t="shared" si="2"/>
        <v/>
      </c>
      <c r="J637" s="92"/>
      <c r="K637" s="92"/>
    </row>
    <row r="638">
      <c r="B638" s="97"/>
      <c r="C638" s="121" t="str">
        <f t="array" ref="C638">ifs(and(isblank($A638),isblank($B638)),"", not(iserror(vlookup($A638&amp;$B638,'5) Release_Track'!$F:$F&amp;'5) Release_Track'!$G:$G,1,0))),vlookup($A638&amp;$B638,{'5) Release_Track'!$F:$F&amp;'5) Release_Track'!$G:$G,'5) Release_Track'!$H:$H},2,0),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D638" s="121" t="str">
        <f t="array" ref="D638">ifs(and(isblank($A638),isblank($B638)),"", not(iserror(vlookup($A638&amp;$B638,'5) Release_Track'!$F:$F&amp;'5) Release_Track'!$G:$G,1,0))),vlookup($A638&amp;$B638,{'5) Release_Track'!$F:$F&amp;'5) Release_Track'!$G:$G,'5) Release_Track'!$I:$I},2,0),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E638" s="116" t="str">
        <f t="array" ref="E638">ifs(and(isblank($A638),isblank($B638)),"", not(iserror(vlookup($A638&amp;$B638,'5) Release_Track'!$F:$F&amp;'5) Release_Track'!$G:$G,1,0))),vlookup($A638&amp;$B638,{'5) Release_Track'!$F:$F&amp;'5) Release_Track'!$G:$G,'5) Release_Track'!$J:$J},2,0),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F638" s="88"/>
      <c r="G638" s="92"/>
      <c r="H638" s="185"/>
      <c r="I638" s="121" t="str">
        <f t="shared" si="2"/>
        <v/>
      </c>
      <c r="J638" s="92"/>
      <c r="K638" s="92"/>
    </row>
    <row r="639">
      <c r="B639" s="97"/>
      <c r="C639" s="121" t="str">
        <f t="array" ref="C639">ifs(and(isblank($A639),isblank($B639)),"", not(iserror(vlookup($A639&amp;$B639,'5) Release_Track'!$F:$F&amp;'5) Release_Track'!$G:$G,1,0))),vlookup($A639&amp;$B639,{'5) Release_Track'!$F:$F&amp;'5) Release_Track'!$G:$G,'5) Release_Track'!$H:$H},2,0),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D639" s="121" t="str">
        <f t="array" ref="D639">ifs(and(isblank($A639),isblank($B639)),"", not(iserror(vlookup($A639&amp;$B639,'5) Release_Track'!$F:$F&amp;'5) Release_Track'!$G:$G,1,0))),vlookup($A639&amp;$B639,{'5) Release_Track'!$F:$F&amp;'5) Release_Track'!$G:$G,'5) Release_Track'!$I:$I},2,0),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E639" s="116" t="str">
        <f t="array" ref="E639">ifs(and(isblank($A639),isblank($B639)),"", not(iserror(vlookup($A639&amp;$B639,'5) Release_Track'!$F:$F&amp;'5) Release_Track'!$G:$G,1,0))),vlookup($A639&amp;$B639,{'5) Release_Track'!$F:$F&amp;'5) Release_Track'!$G:$G,'5) Release_Track'!$J:$J},2,0),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F639" s="88"/>
      <c r="G639" s="92"/>
      <c r="H639" s="185"/>
      <c r="I639" s="121" t="str">
        <f t="shared" si="2"/>
        <v/>
      </c>
      <c r="J639" s="92"/>
      <c r="K639" s="92"/>
    </row>
    <row r="640">
      <c r="B640" s="97"/>
      <c r="C640" s="121" t="str">
        <f t="array" ref="C640">ifs(and(isblank($A640),isblank($B640)),"", not(iserror(vlookup($A640&amp;$B640,'5) Release_Track'!$F:$F&amp;'5) Release_Track'!$G:$G,1,0))),vlookup($A640&amp;$B640,{'5) Release_Track'!$F:$F&amp;'5) Release_Track'!$G:$G,'5) Release_Track'!$H:$H},2,0),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D640" s="121" t="str">
        <f t="array" ref="D640">ifs(and(isblank($A640),isblank($B640)),"", not(iserror(vlookup($A640&amp;$B640,'5) Release_Track'!$F:$F&amp;'5) Release_Track'!$G:$G,1,0))),vlookup($A640&amp;$B640,{'5) Release_Track'!$F:$F&amp;'5) Release_Track'!$G:$G,'5) Release_Track'!$I:$I},2,0),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E640" s="116" t="str">
        <f t="array" ref="E640">ifs(and(isblank($A640),isblank($B640)),"", not(iserror(vlookup($A640&amp;$B640,'5) Release_Track'!$F:$F&amp;'5) Release_Track'!$G:$G,1,0))),vlookup($A640&amp;$B640,{'5) Release_Track'!$F:$F&amp;'5) Release_Track'!$G:$G,'5) Release_Track'!$J:$J},2,0),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F640" s="88"/>
      <c r="G640" s="92"/>
      <c r="H640" s="185"/>
      <c r="I640" s="121" t="str">
        <f t="shared" si="2"/>
        <v/>
      </c>
      <c r="J640" s="92"/>
      <c r="K640" s="92"/>
    </row>
    <row r="641">
      <c r="B641" s="97"/>
      <c r="C641" s="121" t="str">
        <f t="array" ref="C641">ifs(and(isblank($A641),isblank($B641)),"", not(iserror(vlookup($A641&amp;$B641,'5) Release_Track'!$F:$F&amp;'5) Release_Track'!$G:$G,1,0))),vlookup($A641&amp;$B641,{'5) Release_Track'!$F:$F&amp;'5) Release_Track'!$G:$G,'5) Release_Track'!$H:$H},2,0),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D641" s="121" t="str">
        <f t="array" ref="D641">ifs(and(isblank($A641),isblank($B641)),"", not(iserror(vlookup($A641&amp;$B641,'5) Release_Track'!$F:$F&amp;'5) Release_Track'!$G:$G,1,0))),vlookup($A641&amp;$B641,{'5) Release_Track'!$F:$F&amp;'5) Release_Track'!$G:$G,'5) Release_Track'!$I:$I},2,0),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E641" s="116" t="str">
        <f t="array" ref="E641">ifs(and(isblank($A641),isblank($B641)),"", not(iserror(vlookup($A641&amp;$B641,'5) Release_Track'!$F:$F&amp;'5) Release_Track'!$G:$G,1,0))),vlookup($A641&amp;$B641,{'5) Release_Track'!$F:$F&amp;'5) Release_Track'!$G:$G,'5) Release_Track'!$J:$J},2,0),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F641" s="88"/>
      <c r="G641" s="92"/>
      <c r="H641" s="185"/>
      <c r="I641" s="121" t="str">
        <f t="shared" si="2"/>
        <v/>
      </c>
      <c r="J641" s="92"/>
      <c r="K641" s="92"/>
    </row>
    <row r="642">
      <c r="B642" s="97"/>
      <c r="C642" s="121" t="str">
        <f t="array" ref="C642">ifs(and(isblank($A642),isblank($B642)),"", not(iserror(vlookup($A642&amp;$B642,'5) Release_Track'!$F:$F&amp;'5) Release_Track'!$G:$G,1,0))),vlookup($A642&amp;$B642,{'5) Release_Track'!$F:$F&amp;'5) Release_Track'!$G:$G,'5) Release_Track'!$H:$H},2,0),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D642" s="121" t="str">
        <f t="array" ref="D642">ifs(and(isblank($A642),isblank($B642)),"", not(iserror(vlookup($A642&amp;$B642,'5) Release_Track'!$F:$F&amp;'5) Release_Track'!$G:$G,1,0))),vlookup($A642&amp;$B642,{'5) Release_Track'!$F:$F&amp;'5) Release_Track'!$G:$G,'5) Release_Track'!$I:$I},2,0),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E642" s="116" t="str">
        <f t="array" ref="E642">ifs(and(isblank($A642),isblank($B642)),"", not(iserror(vlookup($A642&amp;$B642,'5) Release_Track'!$F:$F&amp;'5) Release_Track'!$G:$G,1,0))),vlookup($A642&amp;$B642,{'5) Release_Track'!$F:$F&amp;'5) Release_Track'!$G:$G,'5) Release_Track'!$J:$J},2,0),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F642" s="88"/>
      <c r="G642" s="92"/>
      <c r="H642" s="185"/>
      <c r="I642" s="121" t="str">
        <f t="shared" si="2"/>
        <v/>
      </c>
      <c r="J642" s="92"/>
      <c r="K642" s="92"/>
    </row>
    <row r="643">
      <c r="B643" s="97"/>
      <c r="C643" s="121" t="str">
        <f t="array" ref="C643">ifs(and(isblank($A643),isblank($B643)),"", not(iserror(vlookup($A643&amp;$B643,'5) Release_Track'!$F:$F&amp;'5) Release_Track'!$G:$G,1,0))),vlookup($A643&amp;$B643,{'5) Release_Track'!$F:$F&amp;'5) Release_Track'!$G:$G,'5) Release_Track'!$H:$H},2,0),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D643" s="121" t="str">
        <f t="array" ref="D643">ifs(and(isblank($A643),isblank($B643)),"", not(iserror(vlookup($A643&amp;$B643,'5) Release_Track'!$F:$F&amp;'5) Release_Track'!$G:$G,1,0))),vlookup($A643&amp;$B643,{'5) Release_Track'!$F:$F&amp;'5) Release_Track'!$G:$G,'5) Release_Track'!$I:$I},2,0),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E643" s="116" t="str">
        <f t="array" ref="E643">ifs(and(isblank($A643),isblank($B643)),"", not(iserror(vlookup($A643&amp;$B643,'5) Release_Track'!$F:$F&amp;'5) Release_Track'!$G:$G,1,0))),vlookup($A643&amp;$B643,{'5) Release_Track'!$F:$F&amp;'5) Release_Track'!$G:$G,'5) Release_Track'!$J:$J},2,0),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F643" s="88"/>
      <c r="G643" s="92"/>
      <c r="H643" s="185"/>
      <c r="I643" s="121" t="str">
        <f t="shared" si="2"/>
        <v/>
      </c>
      <c r="J643" s="92"/>
      <c r="K643" s="92"/>
    </row>
    <row r="644">
      <c r="B644" s="97"/>
      <c r="C644" s="121" t="str">
        <f t="array" ref="C644">ifs(and(isblank($A644),isblank($B644)),"", not(iserror(vlookup($A644&amp;$B644,'5) Release_Track'!$F:$F&amp;'5) Release_Track'!$G:$G,1,0))),vlookup($A644&amp;$B644,{'5) Release_Track'!$F:$F&amp;'5) Release_Track'!$G:$G,'5) Release_Track'!$H:$H},2,0),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D644" s="121" t="str">
        <f t="array" ref="D644">ifs(and(isblank($A644),isblank($B644)),"", not(iserror(vlookup($A644&amp;$B644,'5) Release_Track'!$F:$F&amp;'5) Release_Track'!$G:$G,1,0))),vlookup($A644&amp;$B644,{'5) Release_Track'!$F:$F&amp;'5) Release_Track'!$G:$G,'5) Release_Track'!$I:$I},2,0),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E644" s="116" t="str">
        <f t="array" ref="E644">ifs(and(isblank($A644),isblank($B644)),"", not(iserror(vlookup($A644&amp;$B644,'5) Release_Track'!$F:$F&amp;'5) Release_Track'!$G:$G,1,0))),vlookup($A644&amp;$B644,{'5) Release_Track'!$F:$F&amp;'5) Release_Track'!$G:$G,'5) Release_Track'!$J:$J},2,0),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F644" s="88"/>
      <c r="G644" s="92"/>
      <c r="H644" s="185"/>
      <c r="I644" s="121" t="str">
        <f t="shared" si="2"/>
        <v/>
      </c>
      <c r="J644" s="92"/>
      <c r="K644" s="92"/>
    </row>
    <row r="645">
      <c r="B645" s="97"/>
      <c r="C645" s="121" t="str">
        <f t="array" ref="C645">ifs(and(isblank($A645),isblank($B645)),"", not(iserror(vlookup($A645&amp;$B645,'5) Release_Track'!$F:$F&amp;'5) Release_Track'!$G:$G,1,0))),vlookup($A645&amp;$B645,{'5) Release_Track'!$F:$F&amp;'5) Release_Track'!$G:$G,'5) Release_Track'!$H:$H},2,0),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D645" s="121" t="str">
        <f t="array" ref="D645">ifs(and(isblank($A645),isblank($B645)),"", not(iserror(vlookup($A645&amp;$B645,'5) Release_Track'!$F:$F&amp;'5) Release_Track'!$G:$G,1,0))),vlookup($A645&amp;$B645,{'5) Release_Track'!$F:$F&amp;'5) Release_Track'!$G:$G,'5) Release_Track'!$I:$I},2,0),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E645" s="116" t="str">
        <f t="array" ref="E645">ifs(and(isblank($A645),isblank($B645)),"", not(iserror(vlookup($A645&amp;$B645,'5) Release_Track'!$F:$F&amp;'5) Release_Track'!$G:$G,1,0))),vlookup($A645&amp;$B645,{'5) Release_Track'!$F:$F&amp;'5) Release_Track'!$G:$G,'5) Release_Track'!$J:$J},2,0),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F645" s="88"/>
      <c r="G645" s="92"/>
      <c r="H645" s="185"/>
      <c r="I645" s="121" t="str">
        <f t="shared" si="2"/>
        <v/>
      </c>
      <c r="J645" s="92"/>
      <c r="K645" s="92"/>
    </row>
    <row r="646">
      <c r="B646" s="97"/>
      <c r="C646" s="121" t="str">
        <f t="array" ref="C646">ifs(and(isblank($A646),isblank($B646)),"", not(iserror(vlookup($A646&amp;$B646,'5) Release_Track'!$F:$F&amp;'5) Release_Track'!$G:$G,1,0))),vlookup($A646&amp;$B646,{'5) Release_Track'!$F:$F&amp;'5) Release_Track'!$G:$G,'5) Release_Track'!$H:$H},2,0),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D646" s="121" t="str">
        <f t="array" ref="D646">ifs(and(isblank($A646),isblank($B646)),"", not(iserror(vlookup($A646&amp;$B646,'5) Release_Track'!$F:$F&amp;'5) Release_Track'!$G:$G,1,0))),vlookup($A646&amp;$B646,{'5) Release_Track'!$F:$F&amp;'5) Release_Track'!$G:$G,'5) Release_Track'!$I:$I},2,0),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E646" s="116" t="str">
        <f t="array" ref="E646">ifs(and(isblank($A646),isblank($B646)),"", not(iserror(vlookup($A646&amp;$B646,'5) Release_Track'!$F:$F&amp;'5) Release_Track'!$G:$G,1,0))),vlookup($A646&amp;$B646,{'5) Release_Track'!$F:$F&amp;'5) Release_Track'!$G:$G,'5) Release_Track'!$J:$J},2,0),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F646" s="88"/>
      <c r="G646" s="92"/>
      <c r="H646" s="185"/>
      <c r="I646" s="121" t="str">
        <f t="shared" si="2"/>
        <v/>
      </c>
      <c r="J646" s="92"/>
      <c r="K646" s="92"/>
    </row>
    <row r="647">
      <c r="B647" s="97"/>
      <c r="C647" s="121" t="str">
        <f t="array" ref="C647">ifs(and(isblank($A647),isblank($B647)),"", not(iserror(vlookup($A647&amp;$B647,'5) Release_Track'!$F:$F&amp;'5) Release_Track'!$G:$G,1,0))),vlookup($A647&amp;$B647,{'5) Release_Track'!$F:$F&amp;'5) Release_Track'!$G:$G,'5) Release_Track'!$H:$H},2,0),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D647" s="121" t="str">
        <f t="array" ref="D647">ifs(and(isblank($A647),isblank($B647)),"", not(iserror(vlookup($A647&amp;$B647,'5) Release_Track'!$F:$F&amp;'5) Release_Track'!$G:$G,1,0))),vlookup($A647&amp;$B647,{'5) Release_Track'!$F:$F&amp;'5) Release_Track'!$G:$G,'5) Release_Track'!$I:$I},2,0),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E647" s="116" t="str">
        <f t="array" ref="E647">ifs(and(isblank($A647),isblank($B647)),"", not(iserror(vlookup($A647&amp;$B647,'5) Release_Track'!$F:$F&amp;'5) Release_Track'!$G:$G,1,0))),vlookup($A647&amp;$B647,{'5) Release_Track'!$F:$F&amp;'5) Release_Track'!$G:$G,'5) Release_Track'!$J:$J},2,0),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F647" s="88"/>
      <c r="G647" s="92"/>
      <c r="H647" s="185"/>
      <c r="I647" s="121" t="str">
        <f t="shared" si="2"/>
        <v/>
      </c>
      <c r="J647" s="92"/>
      <c r="K647" s="92"/>
    </row>
    <row r="648">
      <c r="B648" s="97"/>
      <c r="C648" s="121" t="str">
        <f t="array" ref="C648">ifs(and(isblank($A648),isblank($B648)),"", not(iserror(vlookup($A648&amp;$B648,'5) Release_Track'!$F:$F&amp;'5) Release_Track'!$G:$G,1,0))),vlookup($A648&amp;$B648,{'5) Release_Track'!$F:$F&amp;'5) Release_Track'!$G:$G,'5) Release_Track'!$H:$H},2,0),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D648" s="121" t="str">
        <f t="array" ref="D648">ifs(and(isblank($A648),isblank($B648)),"", not(iserror(vlookup($A648&amp;$B648,'5) Release_Track'!$F:$F&amp;'5) Release_Track'!$G:$G,1,0))),vlookup($A648&amp;$B648,{'5) Release_Track'!$F:$F&amp;'5) Release_Track'!$G:$G,'5) Release_Track'!$I:$I},2,0),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E648" s="116" t="str">
        <f t="array" ref="E648">ifs(and(isblank($A648),isblank($B648)),"", not(iserror(vlookup($A648&amp;$B648,'5) Release_Track'!$F:$F&amp;'5) Release_Track'!$G:$G,1,0))),vlookup($A648&amp;$B648,{'5) Release_Track'!$F:$F&amp;'5) Release_Track'!$G:$G,'5) Release_Track'!$J:$J},2,0),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F648" s="88"/>
      <c r="G648" s="92"/>
      <c r="H648" s="185"/>
      <c r="I648" s="121" t="str">
        <f t="shared" si="2"/>
        <v/>
      </c>
      <c r="J648" s="92"/>
      <c r="K648" s="92"/>
    </row>
    <row r="649">
      <c r="B649" s="97"/>
      <c r="C649" s="121" t="str">
        <f t="array" ref="C649">ifs(and(isblank($A649),isblank($B649)),"", not(iserror(vlookup($A649&amp;$B649,'5) Release_Track'!$F:$F&amp;'5) Release_Track'!$G:$G,1,0))),vlookup($A649&amp;$B649,{'5) Release_Track'!$F:$F&amp;'5) Release_Track'!$G:$G,'5) Release_Track'!$H:$H},2,0),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D649" s="121" t="str">
        <f t="array" ref="D649">ifs(and(isblank($A649),isblank($B649)),"", not(iserror(vlookup($A649&amp;$B649,'5) Release_Track'!$F:$F&amp;'5) Release_Track'!$G:$G,1,0))),vlookup($A649&amp;$B649,{'5) Release_Track'!$F:$F&amp;'5) Release_Track'!$G:$G,'5) Release_Track'!$I:$I},2,0),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E649" s="116" t="str">
        <f t="array" ref="E649">ifs(and(isblank($A649),isblank($B649)),"", not(iserror(vlookup($A649&amp;$B649,'5) Release_Track'!$F:$F&amp;'5) Release_Track'!$G:$G,1,0))),vlookup($A649&amp;$B649,{'5) Release_Track'!$F:$F&amp;'5) Release_Track'!$G:$G,'5) Release_Track'!$J:$J},2,0),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F649" s="88"/>
      <c r="G649" s="92"/>
      <c r="H649" s="185"/>
      <c r="I649" s="121" t="str">
        <f t="shared" si="2"/>
        <v/>
      </c>
      <c r="J649" s="92"/>
      <c r="K649" s="92"/>
    </row>
    <row r="650">
      <c r="B650" s="97"/>
      <c r="C650" s="121" t="str">
        <f t="array" ref="C650">ifs(and(isblank($A650),isblank($B650)),"", not(iserror(vlookup($A650&amp;$B650,'5) Release_Track'!$F:$F&amp;'5) Release_Track'!$G:$G,1,0))),vlookup($A650&amp;$B650,{'5) Release_Track'!$F:$F&amp;'5) Release_Track'!$G:$G,'5) Release_Track'!$H:$H},2,0),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D650" s="121" t="str">
        <f t="array" ref="D650">ifs(and(isblank($A650),isblank($B650)),"", not(iserror(vlookup($A650&amp;$B650,'5) Release_Track'!$F:$F&amp;'5) Release_Track'!$G:$G,1,0))),vlookup($A650&amp;$B650,{'5) Release_Track'!$F:$F&amp;'5) Release_Track'!$G:$G,'5) Release_Track'!$I:$I},2,0),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E650" s="116" t="str">
        <f t="array" ref="E650">ifs(and(isblank($A650),isblank($B650)),"", not(iserror(vlookup($A650&amp;$B650,'5) Release_Track'!$F:$F&amp;'5) Release_Track'!$G:$G,1,0))),vlookup($A650&amp;$B650,{'5) Release_Track'!$F:$F&amp;'5) Release_Track'!$G:$G,'5) Release_Track'!$J:$J},2,0),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F650" s="88"/>
      <c r="G650" s="92"/>
      <c r="H650" s="185"/>
      <c r="I650" s="121" t="str">
        <f t="shared" si="2"/>
        <v/>
      </c>
      <c r="J650" s="92"/>
      <c r="K650" s="92"/>
    </row>
    <row r="651">
      <c r="B651" s="97"/>
      <c r="C651" s="121" t="str">
        <f t="array" ref="C651">ifs(and(isblank($A651),isblank($B651)),"", not(iserror(vlookup($A651&amp;$B651,'5) Release_Track'!$F:$F&amp;'5) Release_Track'!$G:$G,1,0))),vlookup($A651&amp;$B651,{'5) Release_Track'!$F:$F&amp;'5) Release_Track'!$G:$G,'5) Release_Track'!$H:$H},2,0),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D651" s="121" t="str">
        <f t="array" ref="D651">ifs(and(isblank($A651),isblank($B651)),"", not(iserror(vlookup($A651&amp;$B651,'5) Release_Track'!$F:$F&amp;'5) Release_Track'!$G:$G,1,0))),vlookup($A651&amp;$B651,{'5) Release_Track'!$F:$F&amp;'5) Release_Track'!$G:$G,'5) Release_Track'!$I:$I},2,0),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E651" s="116" t="str">
        <f t="array" ref="E651">ifs(and(isblank($A651),isblank($B651)),"", not(iserror(vlookup($A651&amp;$B651,'5) Release_Track'!$F:$F&amp;'5) Release_Track'!$G:$G,1,0))),vlookup($A651&amp;$B651,{'5) Release_Track'!$F:$F&amp;'5) Release_Track'!$G:$G,'5) Release_Track'!$J:$J},2,0),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F651" s="88"/>
      <c r="G651" s="92"/>
      <c r="H651" s="185"/>
      <c r="I651" s="121" t="str">
        <f t="shared" si="2"/>
        <v/>
      </c>
      <c r="J651" s="92"/>
      <c r="K651" s="92"/>
    </row>
    <row r="652">
      <c r="B652" s="97"/>
      <c r="C652" s="121" t="str">
        <f t="array" ref="C652">ifs(and(isblank($A652),isblank($B652)),"", not(iserror(vlookup($A652&amp;$B652,'5) Release_Track'!$F:$F&amp;'5) Release_Track'!$G:$G,1,0))),vlookup($A652&amp;$B652,{'5) Release_Track'!$F:$F&amp;'5) Release_Track'!$G:$G,'5) Release_Track'!$H:$H},2,0),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D652" s="121" t="str">
        <f t="array" ref="D652">ifs(and(isblank($A652),isblank($B652)),"", not(iserror(vlookup($A652&amp;$B652,'5) Release_Track'!$F:$F&amp;'5) Release_Track'!$G:$G,1,0))),vlookup($A652&amp;$B652,{'5) Release_Track'!$F:$F&amp;'5) Release_Track'!$G:$G,'5) Release_Track'!$I:$I},2,0),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E652" s="116" t="str">
        <f t="array" ref="E652">ifs(and(isblank($A652),isblank($B652)),"", not(iserror(vlookup($A652&amp;$B652,'5) Release_Track'!$F:$F&amp;'5) Release_Track'!$G:$G,1,0))),vlookup($A652&amp;$B652,{'5) Release_Track'!$F:$F&amp;'5) Release_Track'!$G:$G,'5) Release_Track'!$J:$J},2,0),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F652" s="88"/>
      <c r="G652" s="92"/>
      <c r="H652" s="185"/>
      <c r="I652" s="121" t="str">
        <f t="shared" si="2"/>
        <v/>
      </c>
      <c r="J652" s="92"/>
      <c r="K652" s="92"/>
    </row>
    <row r="653">
      <c r="B653" s="97"/>
      <c r="C653" s="121" t="str">
        <f t="array" ref="C653">ifs(and(isblank($A653),isblank($B653)),"", not(iserror(vlookup($A653&amp;$B653,'5) Release_Track'!$F:$F&amp;'5) Release_Track'!$G:$G,1,0))),vlookup($A653&amp;$B653,{'5) Release_Track'!$F:$F&amp;'5) Release_Track'!$G:$G,'5) Release_Track'!$H:$H},2,0),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D653" s="121" t="str">
        <f t="array" ref="D653">ifs(and(isblank($A653),isblank($B653)),"", not(iserror(vlookup($A653&amp;$B653,'5) Release_Track'!$F:$F&amp;'5) Release_Track'!$G:$G,1,0))),vlookup($A653&amp;$B653,{'5) Release_Track'!$F:$F&amp;'5) Release_Track'!$G:$G,'5) Release_Track'!$I:$I},2,0),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E653" s="116" t="str">
        <f t="array" ref="E653">ifs(and(isblank($A653),isblank($B653)),"", not(iserror(vlookup($A653&amp;$B653,'5) Release_Track'!$F:$F&amp;'5) Release_Track'!$G:$G,1,0))),vlookup($A653&amp;$B653,{'5) Release_Track'!$F:$F&amp;'5) Release_Track'!$G:$G,'5) Release_Track'!$J:$J},2,0),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F653" s="88"/>
      <c r="G653" s="92"/>
      <c r="H653" s="185"/>
      <c r="I653" s="121" t="str">
        <f t="shared" si="2"/>
        <v/>
      </c>
      <c r="J653" s="92"/>
      <c r="K653" s="92"/>
    </row>
    <row r="654">
      <c r="B654" s="97"/>
      <c r="C654" s="121" t="str">
        <f t="array" ref="C654">ifs(and(isblank($A654),isblank($B654)),"", not(iserror(vlookup($A654&amp;$B654,'5) Release_Track'!$F:$F&amp;'5) Release_Track'!$G:$G,1,0))),vlookup($A654&amp;$B654,{'5) Release_Track'!$F:$F&amp;'5) Release_Track'!$G:$G,'5) Release_Track'!$H:$H},2,0),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D654" s="121" t="str">
        <f t="array" ref="D654">ifs(and(isblank($A654),isblank($B654)),"", not(iserror(vlookup($A654&amp;$B654,'5) Release_Track'!$F:$F&amp;'5) Release_Track'!$G:$G,1,0))),vlookup($A654&amp;$B654,{'5) Release_Track'!$F:$F&amp;'5) Release_Track'!$G:$G,'5) Release_Track'!$I:$I},2,0),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E654" s="116" t="str">
        <f t="array" ref="E654">ifs(and(isblank($A654),isblank($B654)),"", not(iserror(vlookup($A654&amp;$B654,'5) Release_Track'!$F:$F&amp;'5) Release_Track'!$G:$G,1,0))),vlookup($A654&amp;$B654,{'5) Release_Track'!$F:$F&amp;'5) Release_Track'!$G:$G,'5) Release_Track'!$J:$J},2,0),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F654" s="88"/>
      <c r="G654" s="92"/>
      <c r="H654" s="185"/>
      <c r="I654" s="121" t="str">
        <f t="shared" si="2"/>
        <v/>
      </c>
      <c r="J654" s="92"/>
      <c r="K654" s="92"/>
    </row>
    <row r="655">
      <c r="B655" s="97"/>
      <c r="C655" s="121" t="str">
        <f t="array" ref="C655">ifs(and(isblank($A655),isblank($B655)),"", not(iserror(vlookup($A655&amp;$B655,'5) Release_Track'!$F:$F&amp;'5) Release_Track'!$G:$G,1,0))),vlookup($A655&amp;$B655,{'5) Release_Track'!$F:$F&amp;'5) Release_Track'!$G:$G,'5) Release_Track'!$H:$H},2,0),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D655" s="121" t="str">
        <f t="array" ref="D655">ifs(and(isblank($A655),isblank($B655)),"", not(iserror(vlookup($A655&amp;$B655,'5) Release_Track'!$F:$F&amp;'5) Release_Track'!$G:$G,1,0))),vlookup($A655&amp;$B655,{'5) Release_Track'!$F:$F&amp;'5) Release_Track'!$G:$G,'5) Release_Track'!$I:$I},2,0),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E655" s="116" t="str">
        <f t="array" ref="E655">ifs(and(isblank($A655),isblank($B655)),"", not(iserror(vlookup($A655&amp;$B655,'5) Release_Track'!$F:$F&amp;'5) Release_Track'!$G:$G,1,0))),vlookup($A655&amp;$B655,{'5) Release_Track'!$F:$F&amp;'5) Release_Track'!$G:$G,'5) Release_Track'!$J:$J},2,0),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F655" s="88"/>
      <c r="G655" s="92"/>
      <c r="H655" s="185"/>
      <c r="I655" s="121" t="str">
        <f t="shared" si="2"/>
        <v/>
      </c>
      <c r="J655" s="92"/>
      <c r="K655" s="92"/>
    </row>
    <row r="656">
      <c r="B656" s="97"/>
      <c r="C656" s="121" t="str">
        <f t="array" ref="C656">ifs(and(isblank($A656),isblank($B656)),"", not(iserror(vlookup($A656&amp;$B656,'5) Release_Track'!$F:$F&amp;'5) Release_Track'!$G:$G,1,0))),vlookup($A656&amp;$B656,{'5) Release_Track'!$F:$F&amp;'5) Release_Track'!$G:$G,'5) Release_Track'!$H:$H},2,0),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D656" s="121" t="str">
        <f t="array" ref="D656">ifs(and(isblank($A656),isblank($B656)),"", not(iserror(vlookup($A656&amp;$B656,'5) Release_Track'!$F:$F&amp;'5) Release_Track'!$G:$G,1,0))),vlookup($A656&amp;$B656,{'5) Release_Track'!$F:$F&amp;'5) Release_Track'!$G:$G,'5) Release_Track'!$I:$I},2,0),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E656" s="116" t="str">
        <f t="array" ref="E656">ifs(and(isblank($A656),isblank($B656)),"", not(iserror(vlookup($A656&amp;$B656,'5) Release_Track'!$F:$F&amp;'5) Release_Track'!$G:$G,1,0))),vlookup($A656&amp;$B656,{'5) Release_Track'!$F:$F&amp;'5) Release_Track'!$G:$G,'5) Release_Track'!$J:$J},2,0),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F656" s="88"/>
      <c r="G656" s="92"/>
      <c r="H656" s="185"/>
      <c r="I656" s="121" t="str">
        <f t="shared" si="2"/>
        <v/>
      </c>
      <c r="J656" s="92"/>
      <c r="K656" s="92"/>
    </row>
    <row r="657">
      <c r="B657" s="97"/>
      <c r="C657" s="121" t="str">
        <f t="array" ref="C657">ifs(and(isblank($A657),isblank($B657)),"", not(iserror(vlookup($A657&amp;$B657,'5) Release_Track'!$F:$F&amp;'5) Release_Track'!$G:$G,1,0))),vlookup($A657&amp;$B657,{'5) Release_Track'!$F:$F&amp;'5) Release_Track'!$G:$G,'5) Release_Track'!$H:$H},2,0),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D657" s="121" t="str">
        <f t="array" ref="D657">ifs(and(isblank($A657),isblank($B657)),"", not(iserror(vlookup($A657&amp;$B657,'5) Release_Track'!$F:$F&amp;'5) Release_Track'!$G:$G,1,0))),vlookup($A657&amp;$B657,{'5) Release_Track'!$F:$F&amp;'5) Release_Track'!$G:$G,'5) Release_Track'!$I:$I},2,0),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E657" s="116" t="str">
        <f t="array" ref="E657">ifs(and(isblank($A657),isblank($B657)),"", not(iserror(vlookup($A657&amp;$B657,'5) Release_Track'!$F:$F&amp;'5) Release_Track'!$G:$G,1,0))),vlookup($A657&amp;$B657,{'5) Release_Track'!$F:$F&amp;'5) Release_Track'!$G:$G,'5) Release_Track'!$J:$J},2,0),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F657" s="88"/>
      <c r="G657" s="92"/>
      <c r="H657" s="185"/>
      <c r="I657" s="121" t="str">
        <f t="shared" si="2"/>
        <v/>
      </c>
      <c r="J657" s="92"/>
      <c r="K657" s="92"/>
    </row>
    <row r="658">
      <c r="B658" s="97"/>
      <c r="C658" s="121" t="str">
        <f t="array" ref="C658">ifs(and(isblank($A658),isblank($B658)),"", not(iserror(vlookup($A658&amp;$B658,'5) Release_Track'!$F:$F&amp;'5) Release_Track'!$G:$G,1,0))),vlookup($A658&amp;$B658,{'5) Release_Track'!$F:$F&amp;'5) Release_Track'!$G:$G,'5) Release_Track'!$H:$H},2,0),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D658" s="121" t="str">
        <f t="array" ref="D658">ifs(and(isblank($A658),isblank($B658)),"", not(iserror(vlookup($A658&amp;$B658,'5) Release_Track'!$F:$F&amp;'5) Release_Track'!$G:$G,1,0))),vlookup($A658&amp;$B658,{'5) Release_Track'!$F:$F&amp;'5) Release_Track'!$G:$G,'5) Release_Track'!$I:$I},2,0),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E658" s="116" t="str">
        <f t="array" ref="E658">ifs(and(isblank($A658),isblank($B658)),"", not(iserror(vlookup($A658&amp;$B658,'5) Release_Track'!$F:$F&amp;'5) Release_Track'!$G:$G,1,0))),vlookup($A658&amp;$B658,{'5) Release_Track'!$F:$F&amp;'5) Release_Track'!$G:$G,'5) Release_Track'!$J:$J},2,0),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F658" s="88"/>
      <c r="G658" s="92"/>
      <c r="H658" s="185"/>
      <c r="I658" s="121" t="str">
        <f t="shared" si="2"/>
        <v/>
      </c>
      <c r="J658" s="92"/>
      <c r="K658" s="92"/>
    </row>
    <row r="659">
      <c r="B659" s="97"/>
      <c r="C659" s="121" t="str">
        <f t="array" ref="C659">ifs(and(isblank($A659),isblank($B659)),"", not(iserror(vlookup($A659&amp;$B659,'5) Release_Track'!$F:$F&amp;'5) Release_Track'!$G:$G,1,0))),vlookup($A659&amp;$B659,{'5) Release_Track'!$F:$F&amp;'5) Release_Track'!$G:$G,'5) Release_Track'!$H:$H},2,0),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D659" s="121" t="str">
        <f t="array" ref="D659">ifs(and(isblank($A659),isblank($B659)),"", not(iserror(vlookup($A659&amp;$B659,'5) Release_Track'!$F:$F&amp;'5) Release_Track'!$G:$G,1,0))),vlookup($A659&amp;$B659,{'5) Release_Track'!$F:$F&amp;'5) Release_Track'!$G:$G,'5) Release_Track'!$I:$I},2,0),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E659" s="116" t="str">
        <f t="array" ref="E659">ifs(and(isblank($A659),isblank($B659)),"", not(iserror(vlookup($A659&amp;$B659,'5) Release_Track'!$F:$F&amp;'5) Release_Track'!$G:$G,1,0))),vlookup($A659&amp;$B659,{'5) Release_Track'!$F:$F&amp;'5) Release_Track'!$G:$G,'5) Release_Track'!$J:$J},2,0),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F659" s="88"/>
      <c r="G659" s="92"/>
      <c r="H659" s="185"/>
      <c r="I659" s="121" t="str">
        <f t="shared" si="2"/>
        <v/>
      </c>
      <c r="J659" s="92"/>
      <c r="K659" s="92"/>
    </row>
    <row r="660">
      <c r="B660" s="97"/>
      <c r="C660" s="121" t="str">
        <f t="array" ref="C660">ifs(and(isblank($A660),isblank($B660)),"", not(iserror(vlookup($A660&amp;$B660,'5) Release_Track'!$F:$F&amp;'5) Release_Track'!$G:$G,1,0))),vlookup($A660&amp;$B660,{'5) Release_Track'!$F:$F&amp;'5) Release_Track'!$G:$G,'5) Release_Track'!$H:$H},2,0),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D660" s="121" t="str">
        <f t="array" ref="D660">ifs(and(isblank($A660),isblank($B660)),"", not(iserror(vlookup($A660&amp;$B660,'5) Release_Track'!$F:$F&amp;'5) Release_Track'!$G:$G,1,0))),vlookup($A660&amp;$B660,{'5) Release_Track'!$F:$F&amp;'5) Release_Track'!$G:$G,'5) Release_Track'!$I:$I},2,0),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E660" s="116" t="str">
        <f t="array" ref="E660">ifs(and(isblank($A660),isblank($B660)),"", not(iserror(vlookup($A660&amp;$B660,'5) Release_Track'!$F:$F&amp;'5) Release_Track'!$G:$G,1,0))),vlookup($A660&amp;$B660,{'5) Release_Track'!$F:$F&amp;'5) Release_Track'!$G:$G,'5) Release_Track'!$J:$J},2,0),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F660" s="88"/>
      <c r="G660" s="92"/>
      <c r="H660" s="185"/>
      <c r="I660" s="121" t="str">
        <f t="shared" si="2"/>
        <v/>
      </c>
      <c r="J660" s="92"/>
      <c r="K660" s="92"/>
    </row>
    <row r="661">
      <c r="B661" s="97"/>
      <c r="C661" s="121" t="str">
        <f t="array" ref="C661">ifs(and(isblank($A661),isblank($B661)),"", not(iserror(vlookup($A661&amp;$B661,'5) Release_Track'!$F:$F&amp;'5) Release_Track'!$G:$G,1,0))),vlookup($A661&amp;$B661,{'5) Release_Track'!$F:$F&amp;'5) Release_Track'!$G:$G,'5) Release_Track'!$H:$H},2,0),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D661" s="121" t="str">
        <f t="array" ref="D661">ifs(and(isblank($A661),isblank($B661)),"", not(iserror(vlookup($A661&amp;$B661,'5) Release_Track'!$F:$F&amp;'5) Release_Track'!$G:$G,1,0))),vlookup($A661&amp;$B661,{'5) Release_Track'!$F:$F&amp;'5) Release_Track'!$G:$G,'5) Release_Track'!$I:$I},2,0),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E661" s="116" t="str">
        <f t="array" ref="E661">ifs(and(isblank($A661),isblank($B661)),"", not(iserror(vlookup($A661&amp;$B661,'5) Release_Track'!$F:$F&amp;'5) Release_Track'!$G:$G,1,0))),vlookup($A661&amp;$B661,{'5) Release_Track'!$F:$F&amp;'5) Release_Track'!$G:$G,'5) Release_Track'!$J:$J},2,0),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F661" s="88"/>
      <c r="G661" s="92"/>
      <c r="H661" s="185"/>
      <c r="I661" s="121" t="str">
        <f t="shared" si="2"/>
        <v/>
      </c>
      <c r="J661" s="92"/>
      <c r="K661" s="92"/>
    </row>
    <row r="662">
      <c r="B662" s="97"/>
      <c r="C662" s="121" t="str">
        <f t="array" ref="C662">ifs(and(isblank($A662),isblank($B662)),"", not(iserror(vlookup($A662&amp;$B662,'5) Release_Track'!$F:$F&amp;'5) Release_Track'!$G:$G,1,0))),vlookup($A662&amp;$B662,{'5) Release_Track'!$F:$F&amp;'5) Release_Track'!$G:$G,'5) Release_Track'!$H:$H},2,0),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D662" s="121" t="str">
        <f t="array" ref="D662">ifs(and(isblank($A662),isblank($B662)),"", not(iserror(vlookup($A662&amp;$B662,'5) Release_Track'!$F:$F&amp;'5) Release_Track'!$G:$G,1,0))),vlookup($A662&amp;$B662,{'5) Release_Track'!$F:$F&amp;'5) Release_Track'!$G:$G,'5) Release_Track'!$I:$I},2,0),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E662" s="116" t="str">
        <f t="array" ref="E662">ifs(and(isblank($A662),isblank($B662)),"", not(iserror(vlookup($A662&amp;$B662,'5) Release_Track'!$F:$F&amp;'5) Release_Track'!$G:$G,1,0))),vlookup($A662&amp;$B662,{'5) Release_Track'!$F:$F&amp;'5) Release_Track'!$G:$G,'5) Release_Track'!$J:$J},2,0),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F662" s="88"/>
      <c r="G662" s="92"/>
      <c r="H662" s="185"/>
      <c r="I662" s="121" t="str">
        <f t="shared" si="2"/>
        <v/>
      </c>
      <c r="J662" s="92"/>
      <c r="K662" s="92"/>
    </row>
    <row r="663">
      <c r="B663" s="97"/>
      <c r="C663" s="121" t="str">
        <f t="array" ref="C663">ifs(and(isblank($A663),isblank($B663)),"", not(iserror(vlookup($A663&amp;$B663,'5) Release_Track'!$F:$F&amp;'5) Release_Track'!$G:$G,1,0))),vlookup($A663&amp;$B663,{'5) Release_Track'!$F:$F&amp;'5) Release_Track'!$G:$G,'5) Release_Track'!$H:$H},2,0),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D663" s="121" t="str">
        <f t="array" ref="D663">ifs(and(isblank($A663),isblank($B663)),"", not(iserror(vlookup($A663&amp;$B663,'5) Release_Track'!$F:$F&amp;'5) Release_Track'!$G:$G,1,0))),vlookup($A663&amp;$B663,{'5) Release_Track'!$F:$F&amp;'5) Release_Track'!$G:$G,'5) Release_Track'!$I:$I},2,0),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E663" s="116" t="str">
        <f t="array" ref="E663">ifs(and(isblank($A663),isblank($B663)),"", not(iserror(vlookup($A663&amp;$B663,'5) Release_Track'!$F:$F&amp;'5) Release_Track'!$G:$G,1,0))),vlookup($A663&amp;$B663,{'5) Release_Track'!$F:$F&amp;'5) Release_Track'!$G:$G,'5) Release_Track'!$J:$J},2,0),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F663" s="88"/>
      <c r="G663" s="92"/>
      <c r="H663" s="185"/>
      <c r="I663" s="121" t="str">
        <f t="shared" si="2"/>
        <v/>
      </c>
      <c r="J663" s="92"/>
      <c r="K663" s="92"/>
    </row>
    <row r="664">
      <c r="B664" s="97"/>
      <c r="C664" s="121" t="str">
        <f t="array" ref="C664">ifs(and(isblank($A664),isblank($B664)),"", not(iserror(vlookup($A664&amp;$B664,'5) Release_Track'!$F:$F&amp;'5) Release_Track'!$G:$G,1,0))),vlookup($A664&amp;$B664,{'5) Release_Track'!$F:$F&amp;'5) Release_Track'!$G:$G,'5) Release_Track'!$H:$H},2,0),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D664" s="121" t="str">
        <f t="array" ref="D664">ifs(and(isblank($A664),isblank($B664)),"", not(iserror(vlookup($A664&amp;$B664,'5) Release_Track'!$F:$F&amp;'5) Release_Track'!$G:$G,1,0))),vlookup($A664&amp;$B664,{'5) Release_Track'!$F:$F&amp;'5) Release_Track'!$G:$G,'5) Release_Track'!$I:$I},2,0),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E664" s="116" t="str">
        <f t="array" ref="E664">ifs(and(isblank($A664),isblank($B664)),"", not(iserror(vlookup($A664&amp;$B664,'5) Release_Track'!$F:$F&amp;'5) Release_Track'!$G:$G,1,0))),vlookup($A664&amp;$B664,{'5) Release_Track'!$F:$F&amp;'5) Release_Track'!$G:$G,'5) Release_Track'!$J:$J},2,0),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F664" s="88"/>
      <c r="G664" s="92"/>
      <c r="H664" s="185"/>
      <c r="I664" s="121" t="str">
        <f t="shared" si="2"/>
        <v/>
      </c>
      <c r="J664" s="92"/>
      <c r="K664" s="92"/>
    </row>
    <row r="665">
      <c r="B665" s="97"/>
      <c r="C665" s="121" t="str">
        <f t="array" ref="C665">ifs(and(isblank($A665),isblank($B665)),"", not(iserror(vlookup($A665&amp;$B665,'5) Release_Track'!$F:$F&amp;'5) Release_Track'!$G:$G,1,0))),vlookup($A665&amp;$B665,{'5) Release_Track'!$F:$F&amp;'5) Release_Track'!$G:$G,'5) Release_Track'!$H:$H},2,0),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D665" s="121" t="str">
        <f t="array" ref="D665">ifs(and(isblank($A665),isblank($B665)),"", not(iserror(vlookup($A665&amp;$B665,'5) Release_Track'!$F:$F&amp;'5) Release_Track'!$G:$G,1,0))),vlookup($A665&amp;$B665,{'5) Release_Track'!$F:$F&amp;'5) Release_Track'!$G:$G,'5) Release_Track'!$I:$I},2,0),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E665" s="116" t="str">
        <f t="array" ref="E665">ifs(and(isblank($A665),isblank($B665)),"", not(iserror(vlookup($A665&amp;$B665,'5) Release_Track'!$F:$F&amp;'5) Release_Track'!$G:$G,1,0))),vlookup($A665&amp;$B665,{'5) Release_Track'!$F:$F&amp;'5) Release_Track'!$G:$G,'5) Release_Track'!$J:$J},2,0),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F665" s="88"/>
      <c r="G665" s="92"/>
      <c r="H665" s="185"/>
      <c r="I665" s="121" t="str">
        <f t="shared" si="2"/>
        <v/>
      </c>
      <c r="J665" s="92"/>
      <c r="K665" s="92"/>
    </row>
    <row r="666">
      <c r="B666" s="97"/>
      <c r="C666" s="121" t="str">
        <f t="array" ref="C666">ifs(and(isblank($A666),isblank($B666)),"", not(iserror(vlookup($A666&amp;$B666,'5) Release_Track'!$F:$F&amp;'5) Release_Track'!$G:$G,1,0))),vlookup($A666&amp;$B666,{'5) Release_Track'!$F:$F&amp;'5) Release_Track'!$G:$G,'5) Release_Track'!$H:$H},2,0),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D666" s="121" t="str">
        <f t="array" ref="D666">ifs(and(isblank($A666),isblank($B666)),"", not(iserror(vlookup($A666&amp;$B666,'5) Release_Track'!$F:$F&amp;'5) Release_Track'!$G:$G,1,0))),vlookup($A666&amp;$B666,{'5) Release_Track'!$F:$F&amp;'5) Release_Track'!$G:$G,'5) Release_Track'!$I:$I},2,0),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E666" s="116" t="str">
        <f t="array" ref="E666">ifs(and(isblank($A666),isblank($B666)),"", not(iserror(vlookup($A666&amp;$B666,'5) Release_Track'!$F:$F&amp;'5) Release_Track'!$G:$G,1,0))),vlookup($A666&amp;$B666,{'5) Release_Track'!$F:$F&amp;'5) Release_Track'!$G:$G,'5) Release_Track'!$J:$J},2,0),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F666" s="88"/>
      <c r="G666" s="92"/>
      <c r="H666" s="185"/>
      <c r="I666" s="121" t="str">
        <f t="shared" si="2"/>
        <v/>
      </c>
      <c r="J666" s="92"/>
      <c r="K666" s="92"/>
    </row>
    <row r="667">
      <c r="B667" s="97"/>
      <c r="C667" s="121" t="str">
        <f t="array" ref="C667">ifs(and(isblank($A667),isblank($B667)),"", not(iserror(vlookup($A667&amp;$B667,'5) Release_Track'!$F:$F&amp;'5) Release_Track'!$G:$G,1,0))),vlookup($A667&amp;$B667,{'5) Release_Track'!$F:$F&amp;'5) Release_Track'!$G:$G,'5) Release_Track'!$H:$H},2,0),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D667" s="121" t="str">
        <f t="array" ref="D667">ifs(and(isblank($A667),isblank($B667)),"", not(iserror(vlookup($A667&amp;$B667,'5) Release_Track'!$F:$F&amp;'5) Release_Track'!$G:$G,1,0))),vlookup($A667&amp;$B667,{'5) Release_Track'!$F:$F&amp;'5) Release_Track'!$G:$G,'5) Release_Track'!$I:$I},2,0),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E667" s="116" t="str">
        <f t="array" ref="E667">ifs(and(isblank($A667),isblank($B667)),"", not(iserror(vlookup($A667&amp;$B667,'5) Release_Track'!$F:$F&amp;'5) Release_Track'!$G:$G,1,0))),vlookup($A667&amp;$B667,{'5) Release_Track'!$F:$F&amp;'5) Release_Track'!$G:$G,'5) Release_Track'!$J:$J},2,0),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F667" s="88"/>
      <c r="G667" s="92"/>
      <c r="H667" s="185"/>
      <c r="I667" s="121" t="str">
        <f t="shared" si="2"/>
        <v/>
      </c>
      <c r="J667" s="92"/>
      <c r="K667" s="92"/>
    </row>
    <row r="668">
      <c r="B668" s="97"/>
      <c r="C668" s="121" t="str">
        <f t="array" ref="C668">ifs(and(isblank($A668),isblank($B668)),"", not(iserror(vlookup($A668&amp;$B668,'5) Release_Track'!$F:$F&amp;'5) Release_Track'!$G:$G,1,0))),vlookup($A668&amp;$B668,{'5) Release_Track'!$F:$F&amp;'5) Release_Track'!$G:$G,'5) Release_Track'!$H:$H},2,0),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D668" s="121" t="str">
        <f t="array" ref="D668">ifs(and(isblank($A668),isblank($B668)),"", not(iserror(vlookup($A668&amp;$B668,'5) Release_Track'!$F:$F&amp;'5) Release_Track'!$G:$G,1,0))),vlookup($A668&amp;$B668,{'5) Release_Track'!$F:$F&amp;'5) Release_Track'!$G:$G,'5) Release_Track'!$I:$I},2,0),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E668" s="116" t="str">
        <f t="array" ref="E668">ifs(and(isblank($A668),isblank($B668)),"", not(iserror(vlookup($A668&amp;$B668,'5) Release_Track'!$F:$F&amp;'5) Release_Track'!$G:$G,1,0))),vlookup($A668&amp;$B668,{'5) Release_Track'!$F:$F&amp;'5) Release_Track'!$G:$G,'5) Release_Track'!$J:$J},2,0),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F668" s="88"/>
      <c r="G668" s="92"/>
      <c r="H668" s="185"/>
      <c r="I668" s="121" t="str">
        <f t="shared" si="2"/>
        <v/>
      </c>
      <c r="J668" s="92"/>
      <c r="K668" s="92"/>
    </row>
    <row r="669">
      <c r="B669" s="97"/>
      <c r="C669" s="121" t="str">
        <f t="array" ref="C669">ifs(and(isblank($A669),isblank($B669)),"", not(iserror(vlookup($A669&amp;$B669,'5) Release_Track'!$F:$F&amp;'5) Release_Track'!$G:$G,1,0))),vlookup($A669&amp;$B669,{'5) Release_Track'!$F:$F&amp;'5) Release_Track'!$G:$G,'5) Release_Track'!$H:$H},2,0),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D669" s="121" t="str">
        <f t="array" ref="D669">ifs(and(isblank($A669),isblank($B669)),"", not(iserror(vlookup($A669&amp;$B669,'5) Release_Track'!$F:$F&amp;'5) Release_Track'!$G:$G,1,0))),vlookup($A669&amp;$B669,{'5) Release_Track'!$F:$F&amp;'5) Release_Track'!$G:$G,'5) Release_Track'!$I:$I},2,0),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E669" s="116" t="str">
        <f t="array" ref="E669">ifs(and(isblank($A669),isblank($B669)),"", not(iserror(vlookup($A669&amp;$B669,'5) Release_Track'!$F:$F&amp;'5) Release_Track'!$G:$G,1,0))),vlookup($A669&amp;$B669,{'5) Release_Track'!$F:$F&amp;'5) Release_Track'!$G:$G,'5) Release_Track'!$J:$J},2,0),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F669" s="88"/>
      <c r="G669" s="92"/>
      <c r="H669" s="185"/>
      <c r="I669" s="121" t="str">
        <f t="shared" si="2"/>
        <v/>
      </c>
      <c r="J669" s="92"/>
      <c r="K669" s="92"/>
    </row>
    <row r="670">
      <c r="B670" s="97"/>
      <c r="C670" s="121" t="str">
        <f t="array" ref="C670">ifs(and(isblank($A670),isblank($B670)),"", not(iserror(vlookup($A670&amp;$B670,'5) Release_Track'!$F:$F&amp;'5) Release_Track'!$G:$G,1,0))),vlookup($A670&amp;$B670,{'5) Release_Track'!$F:$F&amp;'5) Release_Track'!$G:$G,'5) Release_Track'!$H:$H},2,0),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D670" s="121" t="str">
        <f t="array" ref="D670">ifs(and(isblank($A670),isblank($B670)),"", not(iserror(vlookup($A670&amp;$B670,'5) Release_Track'!$F:$F&amp;'5) Release_Track'!$G:$G,1,0))),vlookup($A670&amp;$B670,{'5) Release_Track'!$F:$F&amp;'5) Release_Track'!$G:$G,'5) Release_Track'!$I:$I},2,0),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E670" s="116" t="str">
        <f t="array" ref="E670">ifs(and(isblank($A670),isblank($B670)),"", not(iserror(vlookup($A670&amp;$B670,'5) Release_Track'!$F:$F&amp;'5) Release_Track'!$G:$G,1,0))),vlookup($A670&amp;$B670,{'5) Release_Track'!$F:$F&amp;'5) Release_Track'!$G:$G,'5) Release_Track'!$J:$J},2,0),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F670" s="88"/>
      <c r="G670" s="92"/>
      <c r="H670" s="185"/>
      <c r="I670" s="121" t="str">
        <f t="shared" si="2"/>
        <v/>
      </c>
      <c r="J670" s="92"/>
      <c r="K670" s="92"/>
    </row>
    <row r="671">
      <c r="B671" s="97"/>
      <c r="C671" s="121" t="str">
        <f t="array" ref="C671">ifs(and(isblank($A671),isblank($B671)),"", not(iserror(vlookup($A671&amp;$B671,'5) Release_Track'!$F:$F&amp;'5) Release_Track'!$G:$G,1,0))),vlookup($A671&amp;$B671,{'5) Release_Track'!$F:$F&amp;'5) Release_Track'!$G:$G,'5) Release_Track'!$H:$H},2,0),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D671" s="121" t="str">
        <f t="array" ref="D671">ifs(and(isblank($A671),isblank($B671)),"", not(iserror(vlookup($A671&amp;$B671,'5) Release_Track'!$F:$F&amp;'5) Release_Track'!$G:$G,1,0))),vlookup($A671&amp;$B671,{'5) Release_Track'!$F:$F&amp;'5) Release_Track'!$G:$G,'5) Release_Track'!$I:$I},2,0),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E671" s="116" t="str">
        <f t="array" ref="E671">ifs(and(isblank($A671),isblank($B671)),"", not(iserror(vlookup($A671&amp;$B671,'5) Release_Track'!$F:$F&amp;'5) Release_Track'!$G:$G,1,0))),vlookup($A671&amp;$B671,{'5) Release_Track'!$F:$F&amp;'5) Release_Track'!$G:$G,'5) Release_Track'!$J:$J},2,0),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F671" s="88"/>
      <c r="G671" s="92"/>
      <c r="H671" s="185"/>
      <c r="I671" s="121" t="str">
        <f t="shared" si="2"/>
        <v/>
      </c>
      <c r="J671" s="92"/>
      <c r="K671" s="92"/>
    </row>
    <row r="672">
      <c r="B672" s="97"/>
      <c r="C672" s="121" t="str">
        <f t="array" ref="C672">ifs(and(isblank($A672),isblank($B672)),"", not(iserror(vlookup($A672&amp;$B672,'5) Release_Track'!$F:$F&amp;'5) Release_Track'!$G:$G,1,0))),vlookup($A672&amp;$B672,{'5) Release_Track'!$F:$F&amp;'5) Release_Track'!$G:$G,'5) Release_Track'!$H:$H},2,0),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D672" s="121" t="str">
        <f t="array" ref="D672">ifs(and(isblank($A672),isblank($B672)),"", not(iserror(vlookup($A672&amp;$B672,'5) Release_Track'!$F:$F&amp;'5) Release_Track'!$G:$G,1,0))),vlookup($A672&amp;$B672,{'5) Release_Track'!$F:$F&amp;'5) Release_Track'!$G:$G,'5) Release_Track'!$I:$I},2,0),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E672" s="116" t="str">
        <f t="array" ref="E672">ifs(and(isblank($A672),isblank($B672)),"", not(iserror(vlookup($A672&amp;$B672,'5) Release_Track'!$F:$F&amp;'5) Release_Track'!$G:$G,1,0))),vlookup($A672&amp;$B672,{'5) Release_Track'!$F:$F&amp;'5) Release_Track'!$G:$G,'5) Release_Track'!$J:$J},2,0),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F672" s="88"/>
      <c r="G672" s="92"/>
      <c r="H672" s="185"/>
      <c r="I672" s="121" t="str">
        <f t="shared" si="2"/>
        <v/>
      </c>
      <c r="J672" s="92"/>
      <c r="K672" s="92"/>
    </row>
    <row r="673">
      <c r="B673" s="97"/>
      <c r="C673" s="121" t="str">
        <f t="array" ref="C673">ifs(and(isblank($A673),isblank($B673)),"", not(iserror(vlookup($A673&amp;$B673,'5) Release_Track'!$F:$F&amp;'5) Release_Track'!$G:$G,1,0))),vlookup($A673&amp;$B673,{'5) Release_Track'!$F:$F&amp;'5) Release_Track'!$G:$G,'5) Release_Track'!$H:$H},2,0),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D673" s="121" t="str">
        <f t="array" ref="D673">ifs(and(isblank($A673),isblank($B673)),"", not(iserror(vlookup($A673&amp;$B673,'5) Release_Track'!$F:$F&amp;'5) Release_Track'!$G:$G,1,0))),vlookup($A673&amp;$B673,{'5) Release_Track'!$F:$F&amp;'5) Release_Track'!$G:$G,'5) Release_Track'!$I:$I},2,0),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E673" s="116" t="str">
        <f t="array" ref="E673">ifs(and(isblank($A673),isblank($B673)),"", not(iserror(vlookup($A673&amp;$B673,'5) Release_Track'!$F:$F&amp;'5) Release_Track'!$G:$G,1,0))),vlookup($A673&amp;$B673,{'5) Release_Track'!$F:$F&amp;'5) Release_Track'!$G:$G,'5) Release_Track'!$J:$J},2,0),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F673" s="88"/>
      <c r="G673" s="92"/>
      <c r="H673" s="185"/>
      <c r="I673" s="121" t="str">
        <f t="shared" si="2"/>
        <v/>
      </c>
      <c r="J673" s="92"/>
      <c r="K673" s="92"/>
    </row>
    <row r="674">
      <c r="B674" s="97"/>
      <c r="C674" s="121" t="str">
        <f t="array" ref="C674">ifs(and(isblank($A674),isblank($B674)),"", not(iserror(vlookup($A674&amp;$B674,'5) Release_Track'!$F:$F&amp;'5) Release_Track'!$G:$G,1,0))),vlookup($A674&amp;$B674,{'5) Release_Track'!$F:$F&amp;'5) Release_Track'!$G:$G,'5) Release_Track'!$H:$H},2,0),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D674" s="121" t="str">
        <f t="array" ref="D674">ifs(and(isblank($A674),isblank($B674)),"", not(iserror(vlookup($A674&amp;$B674,'5) Release_Track'!$F:$F&amp;'5) Release_Track'!$G:$G,1,0))),vlookup($A674&amp;$B674,{'5) Release_Track'!$F:$F&amp;'5) Release_Track'!$G:$G,'5) Release_Track'!$I:$I},2,0),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E674" s="116" t="str">
        <f t="array" ref="E674">ifs(and(isblank($A674),isblank($B674)),"", not(iserror(vlookup($A674&amp;$B674,'5) Release_Track'!$F:$F&amp;'5) Release_Track'!$G:$G,1,0))),vlookup($A674&amp;$B674,{'5) Release_Track'!$F:$F&amp;'5) Release_Track'!$G:$G,'5) Release_Track'!$J:$J},2,0),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F674" s="88"/>
      <c r="G674" s="92"/>
      <c r="H674" s="185"/>
      <c r="I674" s="121" t="str">
        <f t="shared" si="2"/>
        <v/>
      </c>
      <c r="J674" s="92"/>
      <c r="K674" s="92"/>
    </row>
    <row r="675">
      <c r="B675" s="97"/>
      <c r="C675" s="121" t="str">
        <f t="array" ref="C675">ifs(and(isblank($A675),isblank($B675)),"", not(iserror(vlookup($A675&amp;$B675,'5) Release_Track'!$F:$F&amp;'5) Release_Track'!$G:$G,1,0))),vlookup($A675&amp;$B675,{'5) Release_Track'!$F:$F&amp;'5) Release_Track'!$G:$G,'5) Release_Track'!$H:$H},2,0),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D675" s="121" t="str">
        <f t="array" ref="D675">ifs(and(isblank($A675),isblank($B675)),"", not(iserror(vlookup($A675&amp;$B675,'5) Release_Track'!$F:$F&amp;'5) Release_Track'!$G:$G,1,0))),vlookup($A675&amp;$B675,{'5) Release_Track'!$F:$F&amp;'5) Release_Track'!$G:$G,'5) Release_Track'!$I:$I},2,0),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E675" s="116" t="str">
        <f t="array" ref="E675">ifs(and(isblank($A675),isblank($B675)),"", not(iserror(vlookup($A675&amp;$B675,'5) Release_Track'!$F:$F&amp;'5) Release_Track'!$G:$G,1,0))),vlookup($A675&amp;$B675,{'5) Release_Track'!$F:$F&amp;'5) Release_Track'!$G:$G,'5) Release_Track'!$J:$J},2,0),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F675" s="88"/>
      <c r="G675" s="92"/>
      <c r="H675" s="185"/>
      <c r="I675" s="121" t="str">
        <f t="shared" si="2"/>
        <v/>
      </c>
      <c r="J675" s="92"/>
      <c r="K675" s="92"/>
    </row>
    <row r="676">
      <c r="B676" s="97"/>
      <c r="C676" s="121" t="str">
        <f t="array" ref="C676">ifs(and(isblank($A676),isblank($B676)),"", not(iserror(vlookup($A676&amp;$B676,'5) Release_Track'!$F:$F&amp;'5) Release_Track'!$G:$G,1,0))),vlookup($A676&amp;$B676,{'5) Release_Track'!$F:$F&amp;'5) Release_Track'!$G:$G,'5) Release_Track'!$H:$H},2,0),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D676" s="121" t="str">
        <f t="array" ref="D676">ifs(and(isblank($A676),isblank($B676)),"", not(iserror(vlookup($A676&amp;$B676,'5) Release_Track'!$F:$F&amp;'5) Release_Track'!$G:$G,1,0))),vlookup($A676&amp;$B676,{'5) Release_Track'!$F:$F&amp;'5) Release_Track'!$G:$G,'5) Release_Track'!$I:$I},2,0),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E676" s="116" t="str">
        <f t="array" ref="E676">ifs(and(isblank($A676),isblank($B676)),"", not(iserror(vlookup($A676&amp;$B676,'5) Release_Track'!$F:$F&amp;'5) Release_Track'!$G:$G,1,0))),vlookup($A676&amp;$B676,{'5) Release_Track'!$F:$F&amp;'5) Release_Track'!$G:$G,'5) Release_Track'!$J:$J},2,0),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F676" s="88"/>
      <c r="G676" s="92"/>
      <c r="H676" s="185"/>
      <c r="I676" s="121" t="str">
        <f t="shared" si="2"/>
        <v/>
      </c>
      <c r="J676" s="92"/>
      <c r="K676" s="92"/>
    </row>
    <row r="677">
      <c r="B677" s="97"/>
      <c r="C677" s="121" t="str">
        <f t="array" ref="C677">ifs(and(isblank($A677),isblank($B677)),"", not(iserror(vlookup($A677&amp;$B677,'5) Release_Track'!$F:$F&amp;'5) Release_Track'!$G:$G,1,0))),vlookup($A677&amp;$B677,{'5) Release_Track'!$F:$F&amp;'5) Release_Track'!$G:$G,'5) Release_Track'!$H:$H},2,0),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D677" s="121" t="str">
        <f t="array" ref="D677">ifs(and(isblank($A677),isblank($B677)),"", not(iserror(vlookup($A677&amp;$B677,'5) Release_Track'!$F:$F&amp;'5) Release_Track'!$G:$G,1,0))),vlookup($A677&amp;$B677,{'5) Release_Track'!$F:$F&amp;'5) Release_Track'!$G:$G,'5) Release_Track'!$I:$I},2,0),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E677" s="116" t="str">
        <f t="array" ref="E677">ifs(and(isblank($A677),isblank($B677)),"", not(iserror(vlookup($A677&amp;$B677,'5) Release_Track'!$F:$F&amp;'5) Release_Track'!$G:$G,1,0))),vlookup($A677&amp;$B677,{'5) Release_Track'!$F:$F&amp;'5) Release_Track'!$G:$G,'5) Release_Track'!$J:$J},2,0),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F677" s="88"/>
      <c r="G677" s="92"/>
      <c r="H677" s="185"/>
      <c r="I677" s="121" t="str">
        <f t="shared" si="2"/>
        <v/>
      </c>
      <c r="J677" s="92"/>
      <c r="K677" s="92"/>
    </row>
    <row r="678">
      <c r="B678" s="97"/>
      <c r="C678" s="121" t="str">
        <f t="array" ref="C678">ifs(and(isblank($A678),isblank($B678)),"", not(iserror(vlookup($A678&amp;$B678,'5) Release_Track'!$F:$F&amp;'5) Release_Track'!$G:$G,1,0))),vlookup($A678&amp;$B678,{'5) Release_Track'!$F:$F&amp;'5) Release_Track'!$G:$G,'5) Release_Track'!$H:$H},2,0),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D678" s="121" t="str">
        <f t="array" ref="D678">ifs(and(isblank($A678),isblank($B678)),"", not(iserror(vlookup($A678&amp;$B678,'5) Release_Track'!$F:$F&amp;'5) Release_Track'!$G:$G,1,0))),vlookup($A678&amp;$B678,{'5) Release_Track'!$F:$F&amp;'5) Release_Track'!$G:$G,'5) Release_Track'!$I:$I},2,0),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E678" s="116" t="str">
        <f t="array" ref="E678">ifs(and(isblank($A678),isblank($B678)),"", not(iserror(vlookup($A678&amp;$B678,'5) Release_Track'!$F:$F&amp;'5) Release_Track'!$G:$G,1,0))),vlookup($A678&amp;$B678,{'5) Release_Track'!$F:$F&amp;'5) Release_Track'!$G:$G,'5) Release_Track'!$J:$J},2,0),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F678" s="88"/>
      <c r="G678" s="92"/>
      <c r="H678" s="185"/>
      <c r="I678" s="121" t="str">
        <f t="shared" si="2"/>
        <v/>
      </c>
      <c r="J678" s="92"/>
      <c r="K678" s="92"/>
    </row>
    <row r="679">
      <c r="B679" s="97"/>
      <c r="C679" s="121" t="str">
        <f t="array" ref="C679">ifs(and(isblank($A679),isblank($B679)),"", not(iserror(vlookup($A679&amp;$B679,'5) Release_Track'!$F:$F&amp;'5) Release_Track'!$G:$G,1,0))),vlookup($A679&amp;$B679,{'5) Release_Track'!$F:$F&amp;'5) Release_Track'!$G:$G,'5) Release_Track'!$H:$H},2,0),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D679" s="121" t="str">
        <f t="array" ref="D679">ifs(and(isblank($A679),isblank($B679)),"", not(iserror(vlookup($A679&amp;$B679,'5) Release_Track'!$F:$F&amp;'5) Release_Track'!$G:$G,1,0))),vlookup($A679&amp;$B679,{'5) Release_Track'!$F:$F&amp;'5) Release_Track'!$G:$G,'5) Release_Track'!$I:$I},2,0),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E679" s="116" t="str">
        <f t="array" ref="E679">ifs(and(isblank($A679),isblank($B679)),"", not(iserror(vlookup($A679&amp;$B679,'5) Release_Track'!$F:$F&amp;'5) Release_Track'!$G:$G,1,0))),vlookup($A679&amp;$B679,{'5) Release_Track'!$F:$F&amp;'5) Release_Track'!$G:$G,'5) Release_Track'!$J:$J},2,0),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F679" s="88"/>
      <c r="G679" s="92"/>
      <c r="H679" s="185"/>
      <c r="I679" s="121" t="str">
        <f t="shared" si="2"/>
        <v/>
      </c>
      <c r="J679" s="92"/>
      <c r="K679" s="92"/>
    </row>
    <row r="680">
      <c r="B680" s="97"/>
      <c r="C680" s="121" t="str">
        <f t="array" ref="C680">ifs(and(isblank($A680),isblank($B680)),"", not(iserror(vlookup($A680&amp;$B680,'5) Release_Track'!$F:$F&amp;'5) Release_Track'!$G:$G,1,0))),vlookup($A680&amp;$B680,{'5) Release_Track'!$F:$F&amp;'5) Release_Track'!$G:$G,'5) Release_Track'!$H:$H},2,0),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D680" s="121" t="str">
        <f t="array" ref="D680">ifs(and(isblank($A680),isblank($B680)),"", not(iserror(vlookup($A680&amp;$B680,'5) Release_Track'!$F:$F&amp;'5) Release_Track'!$G:$G,1,0))),vlookup($A680&amp;$B680,{'5) Release_Track'!$F:$F&amp;'5) Release_Track'!$G:$G,'5) Release_Track'!$I:$I},2,0),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E680" s="116" t="str">
        <f t="array" ref="E680">ifs(and(isblank($A680),isblank($B680)),"", not(iserror(vlookup($A680&amp;$B680,'5) Release_Track'!$F:$F&amp;'5) Release_Track'!$G:$G,1,0))),vlookup($A680&amp;$B680,{'5) Release_Track'!$F:$F&amp;'5) Release_Track'!$G:$G,'5) Release_Track'!$J:$J},2,0),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F680" s="88"/>
      <c r="G680" s="92"/>
      <c r="H680" s="185"/>
      <c r="I680" s="121" t="str">
        <f t="shared" si="2"/>
        <v/>
      </c>
      <c r="J680" s="92"/>
      <c r="K680" s="92"/>
    </row>
    <row r="681">
      <c r="B681" s="97"/>
      <c r="C681" s="121" t="str">
        <f t="array" ref="C681">ifs(and(isblank($A681),isblank($B681)),"", not(iserror(vlookup($A681&amp;$B681,'5) Release_Track'!$F:$F&amp;'5) Release_Track'!$G:$G,1,0))),vlookup($A681&amp;$B681,{'5) Release_Track'!$F:$F&amp;'5) Release_Track'!$G:$G,'5) Release_Track'!$H:$H},2,0),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D681" s="121" t="str">
        <f t="array" ref="D681">ifs(and(isblank($A681),isblank($B681)),"", not(iserror(vlookup($A681&amp;$B681,'5) Release_Track'!$F:$F&amp;'5) Release_Track'!$G:$G,1,0))),vlookup($A681&amp;$B681,{'5) Release_Track'!$F:$F&amp;'5) Release_Track'!$G:$G,'5) Release_Track'!$I:$I},2,0),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E681" s="116" t="str">
        <f t="array" ref="E681">ifs(and(isblank($A681),isblank($B681)),"", not(iserror(vlookup($A681&amp;$B681,'5) Release_Track'!$F:$F&amp;'5) Release_Track'!$G:$G,1,0))),vlookup($A681&amp;$B681,{'5) Release_Track'!$F:$F&amp;'5) Release_Track'!$G:$G,'5) Release_Track'!$J:$J},2,0),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F681" s="88"/>
      <c r="G681" s="92"/>
      <c r="H681" s="185"/>
      <c r="I681" s="121" t="str">
        <f t="shared" si="2"/>
        <v/>
      </c>
      <c r="J681" s="92"/>
      <c r="K681" s="92"/>
    </row>
    <row r="682">
      <c r="B682" s="97"/>
      <c r="C682" s="121" t="str">
        <f t="array" ref="C682">ifs(and(isblank($A682),isblank($B682)),"", not(iserror(vlookup($A682&amp;$B682,'5) Release_Track'!$F:$F&amp;'5) Release_Track'!$G:$G,1,0))),vlookup($A682&amp;$B682,{'5) Release_Track'!$F:$F&amp;'5) Release_Track'!$G:$G,'5) Release_Track'!$H:$H},2,0),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D682" s="121" t="str">
        <f t="array" ref="D682">ifs(and(isblank($A682),isblank($B682)),"", not(iserror(vlookup($A682&amp;$B682,'5) Release_Track'!$F:$F&amp;'5) Release_Track'!$G:$G,1,0))),vlookup($A682&amp;$B682,{'5) Release_Track'!$F:$F&amp;'5) Release_Track'!$G:$G,'5) Release_Track'!$I:$I},2,0),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E682" s="116" t="str">
        <f t="array" ref="E682">ifs(and(isblank($A682),isblank($B682)),"", not(iserror(vlookup($A682&amp;$B682,'5) Release_Track'!$F:$F&amp;'5) Release_Track'!$G:$G,1,0))),vlookup($A682&amp;$B682,{'5) Release_Track'!$F:$F&amp;'5) Release_Track'!$G:$G,'5) Release_Track'!$J:$J},2,0),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F682" s="88"/>
      <c r="G682" s="92"/>
      <c r="H682" s="185"/>
      <c r="I682" s="121" t="str">
        <f t="shared" si="2"/>
        <v/>
      </c>
      <c r="J682" s="92"/>
      <c r="K682" s="92"/>
    </row>
    <row r="683">
      <c r="B683" s="97"/>
      <c r="C683" s="121" t="str">
        <f t="array" ref="C683">ifs(and(isblank($A683),isblank($B683)),"", not(iserror(vlookup($A683&amp;$B683,'5) Release_Track'!$F:$F&amp;'5) Release_Track'!$G:$G,1,0))),vlookup($A683&amp;$B683,{'5) Release_Track'!$F:$F&amp;'5) Release_Track'!$G:$G,'5) Release_Track'!$H:$H},2,0),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D683" s="121" t="str">
        <f t="array" ref="D683">ifs(and(isblank($A683),isblank($B683)),"", not(iserror(vlookup($A683&amp;$B683,'5) Release_Track'!$F:$F&amp;'5) Release_Track'!$G:$G,1,0))),vlookup($A683&amp;$B683,{'5) Release_Track'!$F:$F&amp;'5) Release_Track'!$G:$G,'5) Release_Track'!$I:$I},2,0),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E683" s="116" t="str">
        <f t="array" ref="E683">ifs(and(isblank($A683),isblank($B683)),"", not(iserror(vlookup($A683&amp;$B683,'5) Release_Track'!$F:$F&amp;'5) Release_Track'!$G:$G,1,0))),vlookup($A683&amp;$B683,{'5) Release_Track'!$F:$F&amp;'5) Release_Track'!$G:$G,'5) Release_Track'!$J:$J},2,0),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F683" s="88"/>
      <c r="G683" s="92"/>
      <c r="H683" s="185"/>
      <c r="I683" s="121" t="str">
        <f t="shared" si="2"/>
        <v/>
      </c>
      <c r="J683" s="92"/>
      <c r="K683" s="92"/>
    </row>
    <row r="684">
      <c r="B684" s="97"/>
      <c r="C684" s="121" t="str">
        <f t="array" ref="C684">ifs(and(isblank($A684),isblank($B684)),"", not(iserror(vlookup($A684&amp;$B684,'5) Release_Track'!$F:$F&amp;'5) Release_Track'!$G:$G,1,0))),vlookup($A684&amp;$B684,{'5) Release_Track'!$F:$F&amp;'5) Release_Track'!$G:$G,'5) Release_Track'!$H:$H},2,0),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D684" s="121" t="str">
        <f t="array" ref="D684">ifs(and(isblank($A684),isblank($B684)),"", not(iserror(vlookup($A684&amp;$B684,'5) Release_Track'!$F:$F&amp;'5) Release_Track'!$G:$G,1,0))),vlookup($A684&amp;$B684,{'5) Release_Track'!$F:$F&amp;'5) Release_Track'!$G:$G,'5) Release_Track'!$I:$I},2,0),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E684" s="116" t="str">
        <f t="array" ref="E684">ifs(and(isblank($A684),isblank($B684)),"", not(iserror(vlookup($A684&amp;$B684,'5) Release_Track'!$F:$F&amp;'5) Release_Track'!$G:$G,1,0))),vlookup($A684&amp;$B684,{'5) Release_Track'!$F:$F&amp;'5) Release_Track'!$G:$G,'5) Release_Track'!$J:$J},2,0),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F684" s="88"/>
      <c r="G684" s="92"/>
      <c r="H684" s="185"/>
      <c r="I684" s="121" t="str">
        <f t="shared" si="2"/>
        <v/>
      </c>
      <c r="J684" s="92"/>
      <c r="K684" s="92"/>
    </row>
    <row r="685">
      <c r="B685" s="97"/>
      <c r="C685" s="121" t="str">
        <f t="array" ref="C685">ifs(and(isblank($A685),isblank($B685)),"", not(iserror(vlookup($A685&amp;$B685,'5) Release_Track'!$F:$F&amp;'5) Release_Track'!$G:$G,1,0))),vlookup($A685&amp;$B685,{'5) Release_Track'!$F:$F&amp;'5) Release_Track'!$G:$G,'5) Release_Track'!$H:$H},2,0),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D685" s="121" t="str">
        <f t="array" ref="D685">ifs(and(isblank($A685),isblank($B685)),"", not(iserror(vlookup($A685&amp;$B685,'5) Release_Track'!$F:$F&amp;'5) Release_Track'!$G:$G,1,0))),vlookup($A685&amp;$B685,{'5) Release_Track'!$F:$F&amp;'5) Release_Track'!$G:$G,'5) Release_Track'!$I:$I},2,0),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E685" s="116" t="str">
        <f t="array" ref="E685">ifs(and(isblank($A685),isblank($B685)),"", not(iserror(vlookup($A685&amp;$B685,'5) Release_Track'!$F:$F&amp;'5) Release_Track'!$G:$G,1,0))),vlookup($A685&amp;$B685,{'5) Release_Track'!$F:$F&amp;'5) Release_Track'!$G:$G,'5) Release_Track'!$J:$J},2,0),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F685" s="88"/>
      <c r="G685" s="92"/>
      <c r="H685" s="185"/>
      <c r="I685" s="121" t="str">
        <f t="shared" si="2"/>
        <v/>
      </c>
      <c r="J685" s="92"/>
      <c r="K685" s="92"/>
    </row>
    <row r="686">
      <c r="B686" s="97"/>
      <c r="C686" s="121" t="str">
        <f t="array" ref="C686">ifs(and(isblank($A686),isblank($B686)),"", not(iserror(vlookup($A686&amp;$B686,'5) Release_Track'!$F:$F&amp;'5) Release_Track'!$G:$G,1,0))),vlookup($A686&amp;$B686,{'5) Release_Track'!$F:$F&amp;'5) Release_Track'!$G:$G,'5) Release_Track'!$H:$H},2,0),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D686" s="121" t="str">
        <f t="array" ref="D686">ifs(and(isblank($A686),isblank($B686)),"", not(iserror(vlookup($A686&amp;$B686,'5) Release_Track'!$F:$F&amp;'5) Release_Track'!$G:$G,1,0))),vlookup($A686&amp;$B686,{'5) Release_Track'!$F:$F&amp;'5) Release_Track'!$G:$G,'5) Release_Track'!$I:$I},2,0),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E686" s="116" t="str">
        <f t="array" ref="E686">ifs(and(isblank($A686),isblank($B686)),"", not(iserror(vlookup($A686&amp;$B686,'5) Release_Track'!$F:$F&amp;'5) Release_Track'!$G:$G,1,0))),vlookup($A686&amp;$B686,{'5) Release_Track'!$F:$F&amp;'5) Release_Track'!$G:$G,'5) Release_Track'!$J:$J},2,0),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F686" s="88"/>
      <c r="G686" s="92"/>
      <c r="H686" s="185"/>
      <c r="I686" s="121" t="str">
        <f t="shared" si="2"/>
        <v/>
      </c>
      <c r="J686" s="92"/>
      <c r="K686" s="92"/>
    </row>
    <row r="687">
      <c r="B687" s="97"/>
      <c r="C687" s="121" t="str">
        <f t="array" ref="C687">ifs(and(isblank($A687),isblank($B687)),"", not(iserror(vlookup($A687&amp;$B687,'5) Release_Track'!$F:$F&amp;'5) Release_Track'!$G:$G,1,0))),vlookup($A687&amp;$B687,{'5) Release_Track'!$F:$F&amp;'5) Release_Track'!$G:$G,'5) Release_Track'!$H:$H},2,0),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D687" s="121" t="str">
        <f t="array" ref="D687">ifs(and(isblank($A687),isblank($B687)),"", not(iserror(vlookup($A687&amp;$B687,'5) Release_Track'!$F:$F&amp;'5) Release_Track'!$G:$G,1,0))),vlookup($A687&amp;$B687,{'5) Release_Track'!$F:$F&amp;'5) Release_Track'!$G:$G,'5) Release_Track'!$I:$I},2,0),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E687" s="116" t="str">
        <f t="array" ref="E687">ifs(and(isblank($A687),isblank($B687)),"", not(iserror(vlookup($A687&amp;$B687,'5) Release_Track'!$F:$F&amp;'5) Release_Track'!$G:$G,1,0))),vlookup($A687&amp;$B687,{'5) Release_Track'!$F:$F&amp;'5) Release_Track'!$G:$G,'5) Release_Track'!$J:$J},2,0),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F687" s="88"/>
      <c r="G687" s="92"/>
      <c r="H687" s="185"/>
      <c r="I687" s="121" t="str">
        <f t="shared" si="2"/>
        <v/>
      </c>
      <c r="J687" s="92"/>
      <c r="K687" s="92"/>
    </row>
    <row r="688">
      <c r="B688" s="97"/>
      <c r="C688" s="121" t="str">
        <f t="array" ref="C688">ifs(and(isblank($A688),isblank($B688)),"", not(iserror(vlookup($A688&amp;$B688,'5) Release_Track'!$F:$F&amp;'5) Release_Track'!$G:$G,1,0))),vlookup($A688&amp;$B688,{'5) Release_Track'!$F:$F&amp;'5) Release_Track'!$G:$G,'5) Release_Track'!$H:$H},2,0),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D688" s="121" t="str">
        <f t="array" ref="D688">ifs(and(isblank($A688),isblank($B688)),"", not(iserror(vlookup($A688&amp;$B688,'5) Release_Track'!$F:$F&amp;'5) Release_Track'!$G:$G,1,0))),vlookup($A688&amp;$B688,{'5) Release_Track'!$F:$F&amp;'5) Release_Track'!$G:$G,'5) Release_Track'!$I:$I},2,0),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E688" s="116" t="str">
        <f t="array" ref="E688">ifs(and(isblank($A688),isblank($B688)),"", not(iserror(vlookup($A688&amp;$B688,'5) Release_Track'!$F:$F&amp;'5) Release_Track'!$G:$G,1,0))),vlookup($A688&amp;$B688,{'5) Release_Track'!$F:$F&amp;'5) Release_Track'!$G:$G,'5) Release_Track'!$J:$J},2,0),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F688" s="88"/>
      <c r="G688" s="92"/>
      <c r="H688" s="185"/>
      <c r="I688" s="121" t="str">
        <f t="shared" si="2"/>
        <v/>
      </c>
      <c r="J688" s="92"/>
      <c r="K688" s="92"/>
    </row>
    <row r="689">
      <c r="B689" s="97"/>
      <c r="C689" s="121" t="str">
        <f t="array" ref="C689">ifs(and(isblank($A689),isblank($B689)),"", not(iserror(vlookup($A689&amp;$B689,'5) Release_Track'!$F:$F&amp;'5) Release_Track'!$G:$G,1,0))),vlookup($A689&amp;$B689,{'5) Release_Track'!$F:$F&amp;'5) Release_Track'!$G:$G,'5) Release_Track'!$H:$H},2,0),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D689" s="121" t="str">
        <f t="array" ref="D689">ifs(and(isblank($A689),isblank($B689)),"", not(iserror(vlookup($A689&amp;$B689,'5) Release_Track'!$F:$F&amp;'5) Release_Track'!$G:$G,1,0))),vlookup($A689&amp;$B689,{'5) Release_Track'!$F:$F&amp;'5) Release_Track'!$G:$G,'5) Release_Track'!$I:$I},2,0),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E689" s="116" t="str">
        <f t="array" ref="E689">ifs(and(isblank($A689),isblank($B689)),"", not(iserror(vlookup($A689&amp;$B689,'5) Release_Track'!$F:$F&amp;'5) Release_Track'!$G:$G,1,0))),vlookup($A689&amp;$B689,{'5) Release_Track'!$F:$F&amp;'5) Release_Track'!$G:$G,'5) Release_Track'!$J:$J},2,0),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F689" s="88"/>
      <c r="G689" s="92"/>
      <c r="H689" s="185"/>
      <c r="I689" s="121" t="str">
        <f t="shared" si="2"/>
        <v/>
      </c>
      <c r="J689" s="92"/>
      <c r="K689" s="92"/>
    </row>
    <row r="690">
      <c r="B690" s="97"/>
      <c r="C690" s="121" t="str">
        <f t="array" ref="C690">ifs(and(isblank($A690),isblank($B690)),"", not(iserror(vlookup($A690&amp;$B690,'5) Release_Track'!$F:$F&amp;'5) Release_Track'!$G:$G,1,0))),vlookup($A690&amp;$B690,{'5) Release_Track'!$F:$F&amp;'5) Release_Track'!$G:$G,'5) Release_Track'!$H:$H},2,0),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D690" s="121" t="str">
        <f t="array" ref="D690">ifs(and(isblank($A690),isblank($B690)),"", not(iserror(vlookup($A690&amp;$B690,'5) Release_Track'!$F:$F&amp;'5) Release_Track'!$G:$G,1,0))),vlookup($A690&amp;$B690,{'5) Release_Track'!$F:$F&amp;'5) Release_Track'!$G:$G,'5) Release_Track'!$I:$I},2,0),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E690" s="116" t="str">
        <f t="array" ref="E690">ifs(and(isblank($A690),isblank($B690)),"", not(iserror(vlookup($A690&amp;$B690,'5) Release_Track'!$F:$F&amp;'5) Release_Track'!$G:$G,1,0))),vlookup($A690&amp;$B690,{'5) Release_Track'!$F:$F&amp;'5) Release_Track'!$G:$G,'5) Release_Track'!$J:$J},2,0),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F690" s="88"/>
      <c r="G690" s="92"/>
      <c r="H690" s="185"/>
      <c r="I690" s="121" t="str">
        <f t="shared" si="2"/>
        <v/>
      </c>
      <c r="J690" s="92"/>
      <c r="K690" s="92"/>
    </row>
    <row r="691">
      <c r="B691" s="97"/>
      <c r="C691" s="121" t="str">
        <f t="array" ref="C691">ifs(and(isblank($A691),isblank($B691)),"", not(iserror(vlookup($A691&amp;$B691,'5) Release_Track'!$F:$F&amp;'5) Release_Track'!$G:$G,1,0))),vlookup($A691&amp;$B691,{'5) Release_Track'!$F:$F&amp;'5) Release_Track'!$G:$G,'5) Release_Track'!$H:$H},2,0),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D691" s="121" t="str">
        <f t="array" ref="D691">ifs(and(isblank($A691),isblank($B691)),"", not(iserror(vlookup($A691&amp;$B691,'5) Release_Track'!$F:$F&amp;'5) Release_Track'!$G:$G,1,0))),vlookup($A691&amp;$B691,{'5) Release_Track'!$F:$F&amp;'5) Release_Track'!$G:$G,'5) Release_Track'!$I:$I},2,0),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E691" s="116" t="str">
        <f t="array" ref="E691">ifs(and(isblank($A691),isblank($B691)),"", not(iserror(vlookup($A691&amp;$B691,'5) Release_Track'!$F:$F&amp;'5) Release_Track'!$G:$G,1,0))),vlookup($A691&amp;$B691,{'5) Release_Track'!$F:$F&amp;'5) Release_Track'!$G:$G,'5) Release_Track'!$J:$J},2,0),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F691" s="88"/>
      <c r="G691" s="92"/>
      <c r="H691" s="185"/>
      <c r="I691" s="121" t="str">
        <f t="shared" si="2"/>
        <v/>
      </c>
      <c r="J691" s="92"/>
      <c r="K691" s="92"/>
    </row>
    <row r="692">
      <c r="B692" s="97"/>
      <c r="C692" s="121" t="str">
        <f t="array" ref="C692">ifs(and(isblank($A692),isblank($B692)),"", not(iserror(vlookup($A692&amp;$B692,'5) Release_Track'!$F:$F&amp;'5) Release_Track'!$G:$G,1,0))),vlookup($A692&amp;$B692,{'5) Release_Track'!$F:$F&amp;'5) Release_Track'!$G:$G,'5) Release_Track'!$H:$H},2,0),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D692" s="121" t="str">
        <f t="array" ref="D692">ifs(and(isblank($A692),isblank($B692)),"", not(iserror(vlookup($A692&amp;$B692,'5) Release_Track'!$F:$F&amp;'5) Release_Track'!$G:$G,1,0))),vlookup($A692&amp;$B692,{'5) Release_Track'!$F:$F&amp;'5) Release_Track'!$G:$G,'5) Release_Track'!$I:$I},2,0),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E692" s="116" t="str">
        <f t="array" ref="E692">ifs(and(isblank($A692),isblank($B692)),"", not(iserror(vlookup($A692&amp;$B692,'5) Release_Track'!$F:$F&amp;'5) Release_Track'!$G:$G,1,0))),vlookup($A692&amp;$B692,{'5) Release_Track'!$F:$F&amp;'5) Release_Track'!$G:$G,'5) Release_Track'!$J:$J},2,0),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F692" s="88"/>
      <c r="G692" s="92"/>
      <c r="H692" s="185"/>
      <c r="I692" s="121" t="str">
        <f t="shared" si="2"/>
        <v/>
      </c>
      <c r="J692" s="92"/>
      <c r="K692" s="92"/>
    </row>
    <row r="693">
      <c r="B693" s="97"/>
      <c r="C693" s="121" t="str">
        <f t="array" ref="C693">ifs(and(isblank($A693),isblank($B693)),"", not(iserror(vlookup($A693&amp;$B693,'5) Release_Track'!$F:$F&amp;'5) Release_Track'!$G:$G,1,0))),vlookup($A693&amp;$B693,{'5) Release_Track'!$F:$F&amp;'5) Release_Track'!$G:$G,'5) Release_Track'!$H:$H},2,0),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D693" s="121" t="str">
        <f t="array" ref="D693">ifs(and(isblank($A693),isblank($B693)),"", not(iserror(vlookup($A693&amp;$B693,'5) Release_Track'!$F:$F&amp;'5) Release_Track'!$G:$G,1,0))),vlookup($A693&amp;$B693,{'5) Release_Track'!$F:$F&amp;'5) Release_Track'!$G:$G,'5) Release_Track'!$I:$I},2,0),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E693" s="116" t="str">
        <f t="array" ref="E693">ifs(and(isblank($A693),isblank($B693)),"", not(iserror(vlookup($A693&amp;$B693,'5) Release_Track'!$F:$F&amp;'5) Release_Track'!$G:$G,1,0))),vlookup($A693&amp;$B693,{'5) Release_Track'!$F:$F&amp;'5) Release_Track'!$G:$G,'5) Release_Track'!$J:$J},2,0),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F693" s="88"/>
      <c r="G693" s="92"/>
      <c r="H693" s="185"/>
      <c r="I693" s="121" t="str">
        <f t="shared" si="2"/>
        <v/>
      </c>
      <c r="J693" s="92"/>
      <c r="K693" s="92"/>
    </row>
    <row r="694">
      <c r="B694" s="97"/>
      <c r="C694" s="121" t="str">
        <f t="array" ref="C694">ifs(and(isblank($A694),isblank($B694)),"", not(iserror(vlookup($A694&amp;$B694,'5) Release_Track'!$F:$F&amp;'5) Release_Track'!$G:$G,1,0))),vlookup($A694&amp;$B694,{'5) Release_Track'!$F:$F&amp;'5) Release_Track'!$G:$G,'5) Release_Track'!$H:$H},2,0),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D694" s="121" t="str">
        <f t="array" ref="D694">ifs(and(isblank($A694),isblank($B694)),"", not(iserror(vlookup($A694&amp;$B694,'5) Release_Track'!$F:$F&amp;'5) Release_Track'!$G:$G,1,0))),vlookup($A694&amp;$B694,{'5) Release_Track'!$F:$F&amp;'5) Release_Track'!$G:$G,'5) Release_Track'!$I:$I},2,0),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E694" s="116" t="str">
        <f t="array" ref="E694">ifs(and(isblank($A694),isblank($B694)),"", not(iserror(vlookup($A694&amp;$B694,'5) Release_Track'!$F:$F&amp;'5) Release_Track'!$G:$G,1,0))),vlookup($A694&amp;$B694,{'5) Release_Track'!$F:$F&amp;'5) Release_Track'!$G:$G,'5) Release_Track'!$J:$J},2,0),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F694" s="88"/>
      <c r="G694" s="92"/>
      <c r="H694" s="185"/>
      <c r="I694" s="121" t="str">
        <f t="shared" si="2"/>
        <v/>
      </c>
      <c r="J694" s="92"/>
      <c r="K694" s="92"/>
    </row>
    <row r="695">
      <c r="B695" s="97"/>
      <c r="C695" s="121" t="str">
        <f t="array" ref="C695">ifs(and(isblank($A695),isblank($B695)),"", not(iserror(vlookup($A695&amp;$B695,'5) Release_Track'!$F:$F&amp;'5) Release_Track'!$G:$G,1,0))),vlookup($A695&amp;$B695,{'5) Release_Track'!$F:$F&amp;'5) Release_Track'!$G:$G,'5) Release_Track'!$H:$H},2,0),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D695" s="121" t="str">
        <f t="array" ref="D695">ifs(and(isblank($A695),isblank($B695)),"", not(iserror(vlookup($A695&amp;$B695,'5) Release_Track'!$F:$F&amp;'5) Release_Track'!$G:$G,1,0))),vlookup($A695&amp;$B695,{'5) Release_Track'!$F:$F&amp;'5) Release_Track'!$G:$G,'5) Release_Track'!$I:$I},2,0),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E695" s="116" t="str">
        <f t="array" ref="E695">ifs(and(isblank($A695),isblank($B695)),"", not(iserror(vlookup($A695&amp;$B695,'5) Release_Track'!$F:$F&amp;'5) Release_Track'!$G:$G,1,0))),vlookup($A695&amp;$B695,{'5) Release_Track'!$F:$F&amp;'5) Release_Track'!$G:$G,'5) Release_Track'!$J:$J},2,0),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F695" s="88"/>
      <c r="G695" s="92"/>
      <c r="H695" s="185"/>
      <c r="I695" s="121" t="str">
        <f t="shared" si="2"/>
        <v/>
      </c>
      <c r="J695" s="92"/>
      <c r="K695" s="92"/>
    </row>
    <row r="696">
      <c r="B696" s="97"/>
      <c r="C696" s="121" t="str">
        <f t="array" ref="C696">ifs(and(isblank($A696),isblank($B696)),"", not(iserror(vlookup($A696&amp;$B696,'5) Release_Track'!$F:$F&amp;'5) Release_Track'!$G:$G,1,0))),vlookup($A696&amp;$B696,{'5) Release_Track'!$F:$F&amp;'5) Release_Track'!$G:$G,'5) Release_Track'!$H:$H},2,0),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D696" s="121" t="str">
        <f t="array" ref="D696">ifs(and(isblank($A696),isblank($B696)),"", not(iserror(vlookup($A696&amp;$B696,'5) Release_Track'!$F:$F&amp;'5) Release_Track'!$G:$G,1,0))),vlookup($A696&amp;$B696,{'5) Release_Track'!$F:$F&amp;'5) Release_Track'!$G:$G,'5) Release_Track'!$I:$I},2,0),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E696" s="116" t="str">
        <f t="array" ref="E696">ifs(and(isblank($A696),isblank($B696)),"", not(iserror(vlookup($A696&amp;$B696,'5) Release_Track'!$F:$F&amp;'5) Release_Track'!$G:$G,1,0))),vlookup($A696&amp;$B696,{'5) Release_Track'!$F:$F&amp;'5) Release_Track'!$G:$G,'5) Release_Track'!$J:$J},2,0),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F696" s="88"/>
      <c r="G696" s="92"/>
      <c r="H696" s="185"/>
      <c r="I696" s="121" t="str">
        <f t="shared" si="2"/>
        <v/>
      </c>
      <c r="J696" s="92"/>
      <c r="K696" s="92"/>
    </row>
    <row r="697">
      <c r="B697" s="97"/>
      <c r="C697" s="121" t="str">
        <f t="array" ref="C697">ifs(and(isblank($A697),isblank($B697)),"", not(iserror(vlookup($A697&amp;$B697,'5) Release_Track'!$F:$F&amp;'5) Release_Track'!$G:$G,1,0))),vlookup($A697&amp;$B697,{'5) Release_Track'!$F:$F&amp;'5) Release_Track'!$G:$G,'5) Release_Track'!$H:$H},2,0),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D697" s="121" t="str">
        <f t="array" ref="D697">ifs(and(isblank($A697),isblank($B697)),"", not(iserror(vlookup($A697&amp;$B697,'5) Release_Track'!$F:$F&amp;'5) Release_Track'!$G:$G,1,0))),vlookup($A697&amp;$B697,{'5) Release_Track'!$F:$F&amp;'5) Release_Track'!$G:$G,'5) Release_Track'!$I:$I},2,0),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E697" s="116" t="str">
        <f t="array" ref="E697">ifs(and(isblank($A697),isblank($B697)),"", not(iserror(vlookup($A697&amp;$B697,'5) Release_Track'!$F:$F&amp;'5) Release_Track'!$G:$G,1,0))),vlookup($A697&amp;$B697,{'5) Release_Track'!$F:$F&amp;'5) Release_Track'!$G:$G,'5) Release_Track'!$J:$J},2,0),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F697" s="88"/>
      <c r="G697" s="92"/>
      <c r="H697" s="185"/>
      <c r="I697" s="121" t="str">
        <f t="shared" si="2"/>
        <v/>
      </c>
      <c r="J697" s="92"/>
      <c r="K697" s="92"/>
    </row>
    <row r="698">
      <c r="B698" s="97"/>
      <c r="C698" s="121" t="str">
        <f t="array" ref="C698">ifs(and(isblank($A698),isblank($B698)),"", not(iserror(vlookup($A698&amp;$B698,'5) Release_Track'!$F:$F&amp;'5) Release_Track'!$G:$G,1,0))),vlookup($A698&amp;$B698,{'5) Release_Track'!$F:$F&amp;'5) Release_Track'!$G:$G,'5) Release_Track'!$H:$H},2,0),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D698" s="121" t="str">
        <f t="array" ref="D698">ifs(and(isblank($A698),isblank($B698)),"", not(iserror(vlookup($A698&amp;$B698,'5) Release_Track'!$F:$F&amp;'5) Release_Track'!$G:$G,1,0))),vlookup($A698&amp;$B698,{'5) Release_Track'!$F:$F&amp;'5) Release_Track'!$G:$G,'5) Release_Track'!$I:$I},2,0),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E698" s="116" t="str">
        <f t="array" ref="E698">ifs(and(isblank($A698),isblank($B698)),"", not(iserror(vlookup($A698&amp;$B698,'5) Release_Track'!$F:$F&amp;'5) Release_Track'!$G:$G,1,0))),vlookup($A698&amp;$B698,{'5) Release_Track'!$F:$F&amp;'5) Release_Track'!$G:$G,'5) Release_Track'!$J:$J},2,0),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F698" s="88"/>
      <c r="G698" s="92"/>
      <c r="H698" s="185"/>
      <c r="I698" s="121" t="str">
        <f t="shared" si="2"/>
        <v/>
      </c>
      <c r="J698" s="92"/>
      <c r="K698" s="92"/>
    </row>
    <row r="699">
      <c r="B699" s="97"/>
      <c r="C699" s="121" t="str">
        <f t="array" ref="C699">ifs(and(isblank($A699),isblank($B699)),"", not(iserror(vlookup($A699&amp;$B699,'5) Release_Track'!$F:$F&amp;'5) Release_Track'!$G:$G,1,0))),vlookup($A699&amp;$B699,{'5) Release_Track'!$F:$F&amp;'5) Release_Track'!$G:$G,'5) Release_Track'!$H:$H},2,0),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D699" s="121" t="str">
        <f t="array" ref="D699">ifs(and(isblank($A699),isblank($B699)),"", not(iserror(vlookup($A699&amp;$B699,'5) Release_Track'!$F:$F&amp;'5) Release_Track'!$G:$G,1,0))),vlookup($A699&amp;$B699,{'5) Release_Track'!$F:$F&amp;'5) Release_Track'!$G:$G,'5) Release_Track'!$I:$I},2,0),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E699" s="116" t="str">
        <f t="array" ref="E699">ifs(and(isblank($A699),isblank($B699)),"", not(iserror(vlookup($A699&amp;$B699,'5) Release_Track'!$F:$F&amp;'5) Release_Track'!$G:$G,1,0))),vlookup($A699&amp;$B699,{'5) Release_Track'!$F:$F&amp;'5) Release_Track'!$G:$G,'5) Release_Track'!$J:$J},2,0),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F699" s="88"/>
      <c r="G699" s="92"/>
      <c r="H699" s="185"/>
      <c r="I699" s="121" t="str">
        <f t="shared" si="2"/>
        <v/>
      </c>
      <c r="J699" s="92"/>
      <c r="K699" s="92"/>
    </row>
    <row r="700">
      <c r="B700" s="97"/>
      <c r="C700" s="121" t="str">
        <f t="array" ref="C700">ifs(and(isblank($A700),isblank($B700)),"", not(iserror(vlookup($A700&amp;$B700,'5) Release_Track'!$F:$F&amp;'5) Release_Track'!$G:$G,1,0))),vlookup($A700&amp;$B700,{'5) Release_Track'!$F:$F&amp;'5) Release_Track'!$G:$G,'5) Release_Track'!$H:$H},2,0),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D700" s="121" t="str">
        <f t="array" ref="D700">ifs(and(isblank($A700),isblank($B700)),"", not(iserror(vlookup($A700&amp;$B700,'5) Release_Track'!$F:$F&amp;'5) Release_Track'!$G:$G,1,0))),vlookup($A700&amp;$B700,{'5) Release_Track'!$F:$F&amp;'5) Release_Track'!$G:$G,'5) Release_Track'!$I:$I},2,0),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E700" s="116" t="str">
        <f t="array" ref="E700">ifs(and(isblank($A700),isblank($B700)),"", not(iserror(vlookup($A700&amp;$B700,'5) Release_Track'!$F:$F&amp;'5) Release_Track'!$G:$G,1,0))),vlookup($A700&amp;$B700,{'5) Release_Track'!$F:$F&amp;'5) Release_Track'!$G:$G,'5) Release_Track'!$J:$J},2,0),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F700" s="88"/>
      <c r="G700" s="92"/>
      <c r="H700" s="185"/>
      <c r="I700" s="121" t="str">
        <f t="shared" si="2"/>
        <v/>
      </c>
      <c r="J700" s="92"/>
      <c r="K700" s="92"/>
    </row>
    <row r="701">
      <c r="B701" s="97"/>
      <c r="C701" s="121" t="str">
        <f t="array" ref="C701">ifs(and(isblank($A701),isblank($B701)),"", not(iserror(vlookup($A701&amp;$B701,'5) Release_Track'!$F:$F&amp;'5) Release_Track'!$G:$G,1,0))),vlookup($A701&amp;$B701,{'5) Release_Track'!$F:$F&amp;'5) Release_Track'!$G:$G,'5) Release_Track'!$H:$H},2,0),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D701" s="121" t="str">
        <f t="array" ref="D701">ifs(and(isblank($A701),isblank($B701)),"", not(iserror(vlookup($A701&amp;$B701,'5) Release_Track'!$F:$F&amp;'5) Release_Track'!$G:$G,1,0))),vlookup($A701&amp;$B701,{'5) Release_Track'!$F:$F&amp;'5) Release_Track'!$G:$G,'5) Release_Track'!$I:$I},2,0),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E701" s="116" t="str">
        <f t="array" ref="E701">ifs(and(isblank($A701),isblank($B701)),"", not(iserror(vlookup($A701&amp;$B701,'5) Release_Track'!$F:$F&amp;'5) Release_Track'!$G:$G,1,0))),vlookup($A701&amp;$B701,{'5) Release_Track'!$F:$F&amp;'5) Release_Track'!$G:$G,'5) Release_Track'!$J:$J},2,0),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F701" s="88"/>
      <c r="G701" s="92"/>
      <c r="H701" s="185"/>
      <c r="I701" s="121" t="str">
        <f t="shared" si="2"/>
        <v/>
      </c>
      <c r="J701" s="92"/>
      <c r="K701" s="92"/>
    </row>
    <row r="702">
      <c r="B702" s="97"/>
      <c r="C702" s="121" t="str">
        <f t="array" ref="C702">ifs(and(isblank($A702),isblank($B702)),"", not(iserror(vlookup($A702&amp;$B702,'5) Release_Track'!$F:$F&amp;'5) Release_Track'!$G:$G,1,0))),vlookup($A702&amp;$B702,{'5) Release_Track'!$F:$F&amp;'5) Release_Track'!$G:$G,'5) Release_Track'!$H:$H},2,0),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D702" s="121" t="str">
        <f t="array" ref="D702">ifs(and(isblank($A702),isblank($B702)),"", not(iserror(vlookup($A702&amp;$B702,'5) Release_Track'!$F:$F&amp;'5) Release_Track'!$G:$G,1,0))),vlookup($A702&amp;$B702,{'5) Release_Track'!$F:$F&amp;'5) Release_Track'!$G:$G,'5) Release_Track'!$I:$I},2,0),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E702" s="116" t="str">
        <f t="array" ref="E702">ifs(and(isblank($A702),isblank($B702)),"", not(iserror(vlookup($A702&amp;$B702,'5) Release_Track'!$F:$F&amp;'5) Release_Track'!$G:$G,1,0))),vlookup($A702&amp;$B702,{'5) Release_Track'!$F:$F&amp;'5) Release_Track'!$G:$G,'5) Release_Track'!$J:$J},2,0),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F702" s="88"/>
      <c r="G702" s="92"/>
      <c r="H702" s="185"/>
      <c r="I702" s="121" t="str">
        <f t="shared" si="2"/>
        <v/>
      </c>
      <c r="J702" s="92"/>
      <c r="K702" s="92"/>
    </row>
    <row r="703">
      <c r="B703" s="97"/>
      <c r="C703" s="121" t="str">
        <f t="array" ref="C703">ifs(and(isblank($A703),isblank($B703)),"", not(iserror(vlookup($A703&amp;$B703,'5) Release_Track'!$F:$F&amp;'5) Release_Track'!$G:$G,1,0))),vlookup($A703&amp;$B703,{'5) Release_Track'!$F:$F&amp;'5) Release_Track'!$G:$G,'5) Release_Track'!$H:$H},2,0),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D703" s="121" t="str">
        <f t="array" ref="D703">ifs(and(isblank($A703),isblank($B703)),"", not(iserror(vlookup($A703&amp;$B703,'5) Release_Track'!$F:$F&amp;'5) Release_Track'!$G:$G,1,0))),vlookup($A703&amp;$B703,{'5) Release_Track'!$F:$F&amp;'5) Release_Track'!$G:$G,'5) Release_Track'!$I:$I},2,0),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E703" s="116" t="str">
        <f t="array" ref="E703">ifs(and(isblank($A703),isblank($B703)),"", not(iserror(vlookup($A703&amp;$B703,'5) Release_Track'!$F:$F&amp;'5) Release_Track'!$G:$G,1,0))),vlookup($A703&amp;$B703,{'5) Release_Track'!$F:$F&amp;'5) Release_Track'!$G:$G,'5) Release_Track'!$J:$J},2,0),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F703" s="88"/>
      <c r="G703" s="92"/>
      <c r="H703" s="185"/>
      <c r="I703" s="121" t="str">
        <f t="shared" si="2"/>
        <v/>
      </c>
      <c r="J703" s="92"/>
      <c r="K703" s="92"/>
    </row>
    <row r="704">
      <c r="B704" s="97"/>
      <c r="C704" s="121" t="str">
        <f t="array" ref="C704">ifs(and(isblank($A704),isblank($B704)),"", not(iserror(vlookup($A704&amp;$B704,'5) Release_Track'!$F:$F&amp;'5) Release_Track'!$G:$G,1,0))),vlookup($A704&amp;$B704,{'5) Release_Track'!$F:$F&amp;'5) Release_Track'!$G:$G,'5) Release_Track'!$H:$H},2,0),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D704" s="121" t="str">
        <f t="array" ref="D704">ifs(and(isblank($A704),isblank($B704)),"", not(iserror(vlookup($A704&amp;$B704,'5) Release_Track'!$F:$F&amp;'5) Release_Track'!$G:$G,1,0))),vlookup($A704&amp;$B704,{'5) Release_Track'!$F:$F&amp;'5) Release_Track'!$G:$G,'5) Release_Track'!$I:$I},2,0),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E704" s="116" t="str">
        <f t="array" ref="E704">ifs(and(isblank($A704),isblank($B704)),"", not(iserror(vlookup($A704&amp;$B704,'5) Release_Track'!$F:$F&amp;'5) Release_Track'!$G:$G,1,0))),vlookup($A704&amp;$B704,{'5) Release_Track'!$F:$F&amp;'5) Release_Track'!$G:$G,'5) Release_Track'!$J:$J},2,0),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F704" s="88"/>
      <c r="G704" s="92"/>
      <c r="H704" s="185"/>
      <c r="I704" s="121" t="str">
        <f t="shared" si="2"/>
        <v/>
      </c>
      <c r="J704" s="92"/>
      <c r="K704" s="92"/>
    </row>
    <row r="705">
      <c r="B705" s="97"/>
      <c r="C705" s="121" t="str">
        <f t="array" ref="C705">ifs(and(isblank($A705),isblank($B705)),"", not(iserror(vlookup($A705&amp;$B705,'5) Release_Track'!$F:$F&amp;'5) Release_Track'!$G:$G,1,0))),vlookup($A705&amp;$B705,{'5) Release_Track'!$F:$F&amp;'5) Release_Track'!$G:$G,'5) Release_Track'!$H:$H},2,0),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D705" s="121" t="str">
        <f t="array" ref="D705">ifs(and(isblank($A705),isblank($B705)),"", not(iserror(vlookup($A705&amp;$B705,'5) Release_Track'!$F:$F&amp;'5) Release_Track'!$G:$G,1,0))),vlookup($A705&amp;$B705,{'5) Release_Track'!$F:$F&amp;'5) Release_Track'!$G:$G,'5) Release_Track'!$I:$I},2,0),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E705" s="116" t="str">
        <f t="array" ref="E705">ifs(and(isblank($A705),isblank($B705)),"", not(iserror(vlookup($A705&amp;$B705,'5) Release_Track'!$F:$F&amp;'5) Release_Track'!$G:$G,1,0))),vlookup($A705&amp;$B705,{'5) Release_Track'!$F:$F&amp;'5) Release_Track'!$G:$G,'5) Release_Track'!$J:$J},2,0),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F705" s="88"/>
      <c r="G705" s="92"/>
      <c r="H705" s="185"/>
      <c r="I705" s="121" t="str">
        <f t="shared" si="2"/>
        <v/>
      </c>
      <c r="J705" s="92"/>
      <c r="K705" s="92"/>
    </row>
    <row r="706">
      <c r="B706" s="97"/>
      <c r="C706" s="121" t="str">
        <f t="array" ref="C706">ifs(and(isblank($A706),isblank($B706)),"", not(iserror(vlookup($A706&amp;$B706,'5) Release_Track'!$F:$F&amp;'5) Release_Track'!$G:$G,1,0))),vlookup($A706&amp;$B706,{'5) Release_Track'!$F:$F&amp;'5) Release_Track'!$G:$G,'5) Release_Track'!$H:$H},2,0),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D706" s="121" t="str">
        <f t="array" ref="D706">ifs(and(isblank($A706),isblank($B706)),"", not(iserror(vlookup($A706&amp;$B706,'5) Release_Track'!$F:$F&amp;'5) Release_Track'!$G:$G,1,0))),vlookup($A706&amp;$B706,{'5) Release_Track'!$F:$F&amp;'5) Release_Track'!$G:$G,'5) Release_Track'!$I:$I},2,0),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E706" s="116" t="str">
        <f t="array" ref="E706">ifs(and(isblank($A706),isblank($B706)),"", not(iserror(vlookup($A706&amp;$B706,'5) Release_Track'!$F:$F&amp;'5) Release_Track'!$G:$G,1,0))),vlookup($A706&amp;$B706,{'5) Release_Track'!$F:$F&amp;'5) Release_Track'!$G:$G,'5) Release_Track'!$J:$J},2,0),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F706" s="88"/>
      <c r="G706" s="92"/>
      <c r="H706" s="185"/>
      <c r="I706" s="121" t="str">
        <f t="shared" si="2"/>
        <v/>
      </c>
      <c r="J706" s="92"/>
      <c r="K706" s="92"/>
    </row>
    <row r="707">
      <c r="B707" s="97"/>
      <c r="C707" s="121" t="str">
        <f t="array" ref="C707">ifs(and(isblank($A707),isblank($B707)),"", not(iserror(vlookup($A707&amp;$B707,'5) Release_Track'!$F:$F&amp;'5) Release_Track'!$G:$G,1,0))),vlookup($A707&amp;$B707,{'5) Release_Track'!$F:$F&amp;'5) Release_Track'!$G:$G,'5) Release_Track'!$H:$H},2,0),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D707" s="121" t="str">
        <f t="array" ref="D707">ifs(and(isblank($A707),isblank($B707)),"", not(iserror(vlookup($A707&amp;$B707,'5) Release_Track'!$F:$F&amp;'5) Release_Track'!$G:$G,1,0))),vlookup($A707&amp;$B707,{'5) Release_Track'!$F:$F&amp;'5) Release_Track'!$G:$G,'5) Release_Track'!$I:$I},2,0),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E707" s="116" t="str">
        <f t="array" ref="E707">ifs(and(isblank($A707),isblank($B707)),"", not(iserror(vlookup($A707&amp;$B707,'5) Release_Track'!$F:$F&amp;'5) Release_Track'!$G:$G,1,0))),vlookup($A707&amp;$B707,{'5) Release_Track'!$F:$F&amp;'5) Release_Track'!$G:$G,'5) Release_Track'!$J:$J},2,0),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F707" s="88"/>
      <c r="G707" s="92"/>
      <c r="H707" s="185"/>
      <c r="I707" s="121" t="str">
        <f t="shared" si="2"/>
        <v/>
      </c>
      <c r="J707" s="92"/>
      <c r="K707" s="92"/>
    </row>
    <row r="708">
      <c r="B708" s="97"/>
      <c r="C708" s="121" t="str">
        <f t="array" ref="C708">ifs(and(isblank($A708),isblank($B708)),"", not(iserror(vlookup($A708&amp;$B708,'5) Release_Track'!$F:$F&amp;'5) Release_Track'!$G:$G,1,0))),vlookup($A708&amp;$B708,{'5) Release_Track'!$F:$F&amp;'5) Release_Track'!$G:$G,'5) Release_Track'!$H:$H},2,0),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D708" s="121" t="str">
        <f t="array" ref="D708">ifs(and(isblank($A708),isblank($B708)),"", not(iserror(vlookup($A708&amp;$B708,'5) Release_Track'!$F:$F&amp;'5) Release_Track'!$G:$G,1,0))),vlookup($A708&amp;$B708,{'5) Release_Track'!$F:$F&amp;'5) Release_Track'!$G:$G,'5) Release_Track'!$I:$I},2,0),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E708" s="116" t="str">
        <f t="array" ref="E708">ifs(and(isblank($A708),isblank($B708)),"", not(iserror(vlookup($A708&amp;$B708,'5) Release_Track'!$F:$F&amp;'5) Release_Track'!$G:$G,1,0))),vlookup($A708&amp;$B708,{'5) Release_Track'!$F:$F&amp;'5) Release_Track'!$G:$G,'5) Release_Track'!$J:$J},2,0),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F708" s="88"/>
      <c r="G708" s="92"/>
      <c r="H708" s="185"/>
      <c r="I708" s="121" t="str">
        <f t="shared" si="2"/>
        <v/>
      </c>
      <c r="J708" s="92"/>
      <c r="K708" s="92"/>
    </row>
    <row r="709">
      <c r="B709" s="97"/>
      <c r="C709" s="121" t="str">
        <f t="array" ref="C709">ifs(and(isblank($A709),isblank($B709)),"", not(iserror(vlookup($A709&amp;$B709,'5) Release_Track'!$F:$F&amp;'5) Release_Track'!$G:$G,1,0))),vlookup($A709&amp;$B709,{'5) Release_Track'!$F:$F&amp;'5) Release_Track'!$G:$G,'5) Release_Track'!$H:$H},2,0),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D709" s="121" t="str">
        <f t="array" ref="D709">ifs(and(isblank($A709),isblank($B709)),"", not(iserror(vlookup($A709&amp;$B709,'5) Release_Track'!$F:$F&amp;'5) Release_Track'!$G:$G,1,0))),vlookup($A709&amp;$B709,{'5) Release_Track'!$F:$F&amp;'5) Release_Track'!$G:$G,'5) Release_Track'!$I:$I},2,0),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E709" s="116" t="str">
        <f t="array" ref="E709">ifs(and(isblank($A709),isblank($B709)),"", not(iserror(vlookup($A709&amp;$B709,'5) Release_Track'!$F:$F&amp;'5) Release_Track'!$G:$G,1,0))),vlookup($A709&amp;$B709,{'5) Release_Track'!$F:$F&amp;'5) Release_Track'!$G:$G,'5) Release_Track'!$J:$J},2,0),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F709" s="88"/>
      <c r="G709" s="92"/>
      <c r="H709" s="185"/>
      <c r="I709" s="121" t="str">
        <f t="shared" si="2"/>
        <v/>
      </c>
      <c r="J709" s="92"/>
      <c r="K709" s="92"/>
    </row>
    <row r="710">
      <c r="B710" s="97"/>
      <c r="C710" s="121" t="str">
        <f t="array" ref="C710">ifs(and(isblank($A710),isblank($B710)),"", not(iserror(vlookup($A710&amp;$B710,'5) Release_Track'!$F:$F&amp;'5) Release_Track'!$G:$G,1,0))),vlookup($A710&amp;$B710,{'5) Release_Track'!$F:$F&amp;'5) Release_Track'!$G:$G,'5) Release_Track'!$H:$H},2,0),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D710" s="121" t="str">
        <f t="array" ref="D710">ifs(and(isblank($A710),isblank($B710)),"", not(iserror(vlookup($A710&amp;$B710,'5) Release_Track'!$F:$F&amp;'5) Release_Track'!$G:$G,1,0))),vlookup($A710&amp;$B710,{'5) Release_Track'!$F:$F&amp;'5) Release_Track'!$G:$G,'5) Release_Track'!$I:$I},2,0),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E710" s="116" t="str">
        <f t="array" ref="E710">ifs(and(isblank($A710),isblank($B710)),"", not(iserror(vlookup($A710&amp;$B710,'5) Release_Track'!$F:$F&amp;'5) Release_Track'!$G:$G,1,0))),vlookup($A710&amp;$B710,{'5) Release_Track'!$F:$F&amp;'5) Release_Track'!$G:$G,'5) Release_Track'!$J:$J},2,0),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F710" s="88"/>
      <c r="G710" s="92"/>
      <c r="H710" s="185"/>
      <c r="I710" s="121" t="str">
        <f t="shared" si="2"/>
        <v/>
      </c>
      <c r="J710" s="92"/>
      <c r="K710" s="92"/>
    </row>
    <row r="711">
      <c r="B711" s="97"/>
      <c r="C711" s="121" t="str">
        <f t="array" ref="C711">ifs(and(isblank($A711),isblank($B711)),"", not(iserror(vlookup($A711&amp;$B711,'5) Release_Track'!$F:$F&amp;'5) Release_Track'!$G:$G,1,0))),vlookup($A711&amp;$B711,{'5) Release_Track'!$F:$F&amp;'5) Release_Track'!$G:$G,'5) Release_Track'!$H:$H},2,0),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D711" s="121" t="str">
        <f t="array" ref="D711">ifs(and(isblank($A711),isblank($B711)),"", not(iserror(vlookup($A711&amp;$B711,'5) Release_Track'!$F:$F&amp;'5) Release_Track'!$G:$G,1,0))),vlookup($A711&amp;$B711,{'5) Release_Track'!$F:$F&amp;'5) Release_Track'!$G:$G,'5) Release_Track'!$I:$I},2,0),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E711" s="116" t="str">
        <f t="array" ref="E711">ifs(and(isblank($A711),isblank($B711)),"", not(iserror(vlookup($A711&amp;$B711,'5) Release_Track'!$F:$F&amp;'5) Release_Track'!$G:$G,1,0))),vlookup($A711&amp;$B711,{'5) Release_Track'!$F:$F&amp;'5) Release_Track'!$G:$G,'5) Release_Track'!$J:$J},2,0),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F711" s="88"/>
      <c r="G711" s="92"/>
      <c r="H711" s="185"/>
      <c r="I711" s="121" t="str">
        <f t="shared" si="2"/>
        <v/>
      </c>
      <c r="J711" s="92"/>
      <c r="K711" s="92"/>
    </row>
    <row r="712">
      <c r="B712" s="97"/>
      <c r="C712" s="121" t="str">
        <f t="array" ref="C712">ifs(and(isblank($A712),isblank($B712)),"", not(iserror(vlookup($A712&amp;$B712,'5) Release_Track'!$F:$F&amp;'5) Release_Track'!$G:$G,1,0))),vlookup($A712&amp;$B712,{'5) Release_Track'!$F:$F&amp;'5) Release_Track'!$G:$G,'5) Release_Track'!$H:$H},2,0),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D712" s="121" t="str">
        <f t="array" ref="D712">ifs(and(isblank($A712),isblank($B712)),"", not(iserror(vlookup($A712&amp;$B712,'5) Release_Track'!$F:$F&amp;'5) Release_Track'!$G:$G,1,0))),vlookup($A712&amp;$B712,{'5) Release_Track'!$F:$F&amp;'5) Release_Track'!$G:$G,'5) Release_Track'!$I:$I},2,0),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E712" s="116" t="str">
        <f t="array" ref="E712">ifs(and(isblank($A712),isblank($B712)),"", not(iserror(vlookup($A712&amp;$B712,'5) Release_Track'!$F:$F&amp;'5) Release_Track'!$G:$G,1,0))),vlookup($A712&amp;$B712,{'5) Release_Track'!$F:$F&amp;'5) Release_Track'!$G:$G,'5) Release_Track'!$J:$J},2,0),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F712" s="88"/>
      <c r="G712" s="92"/>
      <c r="H712" s="185"/>
      <c r="I712" s="121" t="str">
        <f t="shared" si="2"/>
        <v/>
      </c>
      <c r="J712" s="92"/>
      <c r="K712" s="92"/>
    </row>
    <row r="713">
      <c r="B713" s="97"/>
      <c r="C713" s="121" t="str">
        <f t="array" ref="C713">ifs(and(isblank($A713),isblank($B713)),"", not(iserror(vlookup($A713&amp;$B713,'5) Release_Track'!$F:$F&amp;'5) Release_Track'!$G:$G,1,0))),vlookup($A713&amp;$B713,{'5) Release_Track'!$F:$F&amp;'5) Release_Track'!$G:$G,'5) Release_Track'!$H:$H},2,0),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D713" s="121" t="str">
        <f t="array" ref="D713">ifs(and(isblank($A713),isblank($B713)),"", not(iserror(vlookup($A713&amp;$B713,'5) Release_Track'!$F:$F&amp;'5) Release_Track'!$G:$G,1,0))),vlookup($A713&amp;$B713,{'5) Release_Track'!$F:$F&amp;'5) Release_Track'!$G:$G,'5) Release_Track'!$I:$I},2,0),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E713" s="116" t="str">
        <f t="array" ref="E713">ifs(and(isblank($A713),isblank($B713)),"", not(iserror(vlookup($A713&amp;$B713,'5) Release_Track'!$F:$F&amp;'5) Release_Track'!$G:$G,1,0))),vlookup($A713&amp;$B713,{'5) Release_Track'!$F:$F&amp;'5) Release_Track'!$G:$G,'5) Release_Track'!$J:$J},2,0),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F713" s="88"/>
      <c r="G713" s="92"/>
      <c r="H713" s="185"/>
      <c r="I713" s="121" t="str">
        <f t="shared" si="2"/>
        <v/>
      </c>
      <c r="J713" s="92"/>
      <c r="K713" s="92"/>
    </row>
    <row r="714">
      <c r="B714" s="97"/>
      <c r="C714" s="121" t="str">
        <f t="array" ref="C714">ifs(and(isblank($A714),isblank($B714)),"", not(iserror(vlookup($A714&amp;$B714,'5) Release_Track'!$F:$F&amp;'5) Release_Track'!$G:$G,1,0))),vlookup($A714&amp;$B714,{'5) Release_Track'!$F:$F&amp;'5) Release_Track'!$G:$G,'5) Release_Track'!$H:$H},2,0),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D714" s="121" t="str">
        <f t="array" ref="D714">ifs(and(isblank($A714),isblank($B714)),"", not(iserror(vlookup($A714&amp;$B714,'5) Release_Track'!$F:$F&amp;'5) Release_Track'!$G:$G,1,0))),vlookup($A714&amp;$B714,{'5) Release_Track'!$F:$F&amp;'5) Release_Track'!$G:$G,'5) Release_Track'!$I:$I},2,0),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E714" s="116" t="str">
        <f t="array" ref="E714">ifs(and(isblank($A714),isblank($B714)),"", not(iserror(vlookup($A714&amp;$B714,'5) Release_Track'!$F:$F&amp;'5) Release_Track'!$G:$G,1,0))),vlookup($A714&amp;$B714,{'5) Release_Track'!$F:$F&amp;'5) Release_Track'!$G:$G,'5) Release_Track'!$J:$J},2,0),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F714" s="88"/>
      <c r="G714" s="92"/>
      <c r="H714" s="185"/>
      <c r="I714" s="121" t="str">
        <f t="shared" si="2"/>
        <v/>
      </c>
      <c r="J714" s="92"/>
      <c r="K714" s="92"/>
    </row>
    <row r="715">
      <c r="B715" s="97"/>
      <c r="C715" s="121" t="str">
        <f t="array" ref="C715">ifs(and(isblank($A715),isblank($B715)),"", not(iserror(vlookup($A715&amp;$B715,'5) Release_Track'!$F:$F&amp;'5) Release_Track'!$G:$G,1,0))),vlookup($A715&amp;$B715,{'5) Release_Track'!$F:$F&amp;'5) Release_Track'!$G:$G,'5) Release_Track'!$H:$H},2,0),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D715" s="121" t="str">
        <f t="array" ref="D715">ifs(and(isblank($A715),isblank($B715)),"", not(iserror(vlookup($A715&amp;$B715,'5) Release_Track'!$F:$F&amp;'5) Release_Track'!$G:$G,1,0))),vlookup($A715&amp;$B715,{'5) Release_Track'!$F:$F&amp;'5) Release_Track'!$G:$G,'5) Release_Track'!$I:$I},2,0),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E715" s="116" t="str">
        <f t="array" ref="E715">ifs(and(isblank($A715),isblank($B715)),"", not(iserror(vlookup($A715&amp;$B715,'5) Release_Track'!$F:$F&amp;'5) Release_Track'!$G:$G,1,0))),vlookup($A715&amp;$B715,{'5) Release_Track'!$F:$F&amp;'5) Release_Track'!$G:$G,'5) Release_Track'!$J:$J},2,0),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F715" s="88"/>
      <c r="G715" s="92"/>
      <c r="H715" s="185"/>
      <c r="I715" s="121" t="str">
        <f t="shared" si="2"/>
        <v/>
      </c>
      <c r="J715" s="92"/>
      <c r="K715" s="92"/>
    </row>
    <row r="716">
      <c r="B716" s="97"/>
      <c r="C716" s="121" t="str">
        <f t="array" ref="C716">ifs(and(isblank($A716),isblank($B716)),"", not(iserror(vlookup($A716&amp;$B716,'5) Release_Track'!$F:$F&amp;'5) Release_Track'!$G:$G,1,0))),vlookup($A716&amp;$B716,{'5) Release_Track'!$F:$F&amp;'5) Release_Track'!$G:$G,'5) Release_Track'!$H:$H},2,0),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D716" s="121" t="str">
        <f t="array" ref="D716">ifs(and(isblank($A716),isblank($B716)),"", not(iserror(vlookup($A716&amp;$B716,'5) Release_Track'!$F:$F&amp;'5) Release_Track'!$G:$G,1,0))),vlookup($A716&amp;$B716,{'5) Release_Track'!$F:$F&amp;'5) Release_Track'!$G:$G,'5) Release_Track'!$I:$I},2,0),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E716" s="116" t="str">
        <f t="array" ref="E716">ifs(and(isblank($A716),isblank($B716)),"", not(iserror(vlookup($A716&amp;$B716,'5) Release_Track'!$F:$F&amp;'5) Release_Track'!$G:$G,1,0))),vlookup($A716&amp;$B716,{'5) Release_Track'!$F:$F&amp;'5) Release_Track'!$G:$G,'5) Release_Track'!$J:$J},2,0),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F716" s="88"/>
      <c r="G716" s="92"/>
      <c r="H716" s="185"/>
      <c r="I716" s="121" t="str">
        <f t="shared" si="2"/>
        <v/>
      </c>
      <c r="J716" s="92"/>
      <c r="K716" s="92"/>
    </row>
    <row r="717">
      <c r="B717" s="97"/>
      <c r="C717" s="121" t="str">
        <f t="array" ref="C717">ifs(and(isblank($A717),isblank($B717)),"", not(iserror(vlookup($A717&amp;$B717,'5) Release_Track'!$F:$F&amp;'5) Release_Track'!$G:$G,1,0))),vlookup($A717&amp;$B717,{'5) Release_Track'!$F:$F&amp;'5) Release_Track'!$G:$G,'5) Release_Track'!$H:$H},2,0),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D717" s="121" t="str">
        <f t="array" ref="D717">ifs(and(isblank($A717),isblank($B717)),"", not(iserror(vlookup($A717&amp;$B717,'5) Release_Track'!$F:$F&amp;'5) Release_Track'!$G:$G,1,0))),vlookup($A717&amp;$B717,{'5) Release_Track'!$F:$F&amp;'5) Release_Track'!$G:$G,'5) Release_Track'!$I:$I},2,0),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E717" s="116" t="str">
        <f t="array" ref="E717">ifs(and(isblank($A717),isblank($B717)),"", not(iserror(vlookup($A717&amp;$B717,'5) Release_Track'!$F:$F&amp;'5) Release_Track'!$G:$G,1,0))),vlookup($A717&amp;$B717,{'5) Release_Track'!$F:$F&amp;'5) Release_Track'!$G:$G,'5) Release_Track'!$J:$J},2,0),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F717" s="88"/>
      <c r="G717" s="92"/>
      <c r="H717" s="185"/>
      <c r="I717" s="121" t="str">
        <f t="shared" si="2"/>
        <v/>
      </c>
      <c r="J717" s="92"/>
      <c r="K717" s="92"/>
    </row>
    <row r="718">
      <c r="B718" s="97"/>
      <c r="C718" s="121" t="str">
        <f t="array" ref="C718">ifs(and(isblank($A718),isblank($B718)),"", not(iserror(vlookup($A718&amp;$B718,'5) Release_Track'!$F:$F&amp;'5) Release_Track'!$G:$G,1,0))),vlookup($A718&amp;$B718,{'5) Release_Track'!$F:$F&amp;'5) Release_Track'!$G:$G,'5) Release_Track'!$H:$H},2,0),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D718" s="121" t="str">
        <f t="array" ref="D718">ifs(and(isblank($A718),isblank($B718)),"", not(iserror(vlookup($A718&amp;$B718,'5) Release_Track'!$F:$F&amp;'5) Release_Track'!$G:$G,1,0))),vlookup($A718&amp;$B718,{'5) Release_Track'!$F:$F&amp;'5) Release_Track'!$G:$G,'5) Release_Track'!$I:$I},2,0),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E718" s="116" t="str">
        <f t="array" ref="E718">ifs(and(isblank($A718),isblank($B718)),"", not(iserror(vlookup($A718&amp;$B718,'5) Release_Track'!$F:$F&amp;'5) Release_Track'!$G:$G,1,0))),vlookup($A718&amp;$B718,{'5) Release_Track'!$F:$F&amp;'5) Release_Track'!$G:$G,'5) Release_Track'!$J:$J},2,0),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F718" s="88"/>
      <c r="G718" s="92"/>
      <c r="H718" s="185"/>
      <c r="I718" s="121" t="str">
        <f t="shared" si="2"/>
        <v/>
      </c>
      <c r="J718" s="92"/>
      <c r="K718" s="92"/>
    </row>
    <row r="719">
      <c r="B719" s="97"/>
      <c r="C719" s="121" t="str">
        <f t="array" ref="C719">ifs(and(isblank($A719),isblank($B719)),"", not(iserror(vlookup($A719&amp;$B719,'5) Release_Track'!$F:$F&amp;'5) Release_Track'!$G:$G,1,0))),vlookup($A719&amp;$B719,{'5) Release_Track'!$F:$F&amp;'5) Release_Track'!$G:$G,'5) Release_Track'!$H:$H},2,0),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D719" s="121" t="str">
        <f t="array" ref="D719">ifs(and(isblank($A719),isblank($B719)),"", not(iserror(vlookup($A719&amp;$B719,'5) Release_Track'!$F:$F&amp;'5) Release_Track'!$G:$G,1,0))),vlookup($A719&amp;$B719,{'5) Release_Track'!$F:$F&amp;'5) Release_Track'!$G:$G,'5) Release_Track'!$I:$I},2,0),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E719" s="116" t="str">
        <f t="array" ref="E719">ifs(and(isblank($A719),isblank($B719)),"", not(iserror(vlookup($A719&amp;$B719,'5) Release_Track'!$F:$F&amp;'5) Release_Track'!$G:$G,1,0))),vlookup($A719&amp;$B719,{'5) Release_Track'!$F:$F&amp;'5) Release_Track'!$G:$G,'5) Release_Track'!$J:$J},2,0),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F719" s="88"/>
      <c r="G719" s="92"/>
      <c r="H719" s="185"/>
      <c r="I719" s="121" t="str">
        <f t="shared" si="2"/>
        <v/>
      </c>
      <c r="J719" s="92"/>
      <c r="K719" s="92"/>
    </row>
    <row r="720">
      <c r="B720" s="97"/>
      <c r="C720" s="121" t="str">
        <f t="array" ref="C720">ifs(and(isblank($A720),isblank($B720)),"", not(iserror(vlookup($A720&amp;$B720,'5) Release_Track'!$F:$F&amp;'5) Release_Track'!$G:$G,1,0))),vlookup($A720&amp;$B720,{'5) Release_Track'!$F:$F&amp;'5) Release_Track'!$G:$G,'5) Release_Track'!$H:$H},2,0),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D720" s="121" t="str">
        <f t="array" ref="D720">ifs(and(isblank($A720),isblank($B720)),"", not(iserror(vlookup($A720&amp;$B720,'5) Release_Track'!$F:$F&amp;'5) Release_Track'!$G:$G,1,0))),vlookup($A720&amp;$B720,{'5) Release_Track'!$F:$F&amp;'5) Release_Track'!$G:$G,'5) Release_Track'!$I:$I},2,0),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E720" s="116" t="str">
        <f t="array" ref="E720">ifs(and(isblank($A720),isblank($B720)),"", not(iserror(vlookup($A720&amp;$B720,'5) Release_Track'!$F:$F&amp;'5) Release_Track'!$G:$G,1,0))),vlookup($A720&amp;$B720,{'5) Release_Track'!$F:$F&amp;'5) Release_Track'!$G:$G,'5) Release_Track'!$J:$J},2,0),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F720" s="88"/>
      <c r="G720" s="92"/>
      <c r="H720" s="185"/>
      <c r="I720" s="121" t="str">
        <f t="shared" si="2"/>
        <v/>
      </c>
      <c r="J720" s="92"/>
      <c r="K720" s="92"/>
    </row>
    <row r="721">
      <c r="B721" s="97"/>
      <c r="C721" s="121" t="str">
        <f t="array" ref="C721">ifs(and(isblank($A721),isblank($B721)),"", not(iserror(vlookup($A721&amp;$B721,'5) Release_Track'!$F:$F&amp;'5) Release_Track'!$G:$G,1,0))),vlookup($A721&amp;$B721,{'5) Release_Track'!$F:$F&amp;'5) Release_Track'!$G:$G,'5) Release_Track'!$H:$H},2,0),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D721" s="121" t="str">
        <f t="array" ref="D721">ifs(and(isblank($A721),isblank($B721)),"", not(iserror(vlookup($A721&amp;$B721,'5) Release_Track'!$F:$F&amp;'5) Release_Track'!$G:$G,1,0))),vlookup($A721&amp;$B721,{'5) Release_Track'!$F:$F&amp;'5) Release_Track'!$G:$G,'5) Release_Track'!$I:$I},2,0),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E721" s="116" t="str">
        <f t="array" ref="E721">ifs(and(isblank($A721),isblank($B721)),"", not(iserror(vlookup($A721&amp;$B721,'5) Release_Track'!$F:$F&amp;'5) Release_Track'!$G:$G,1,0))),vlookup($A721&amp;$B721,{'5) Release_Track'!$F:$F&amp;'5) Release_Track'!$G:$G,'5) Release_Track'!$J:$J},2,0),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F721" s="88"/>
      <c r="G721" s="92"/>
      <c r="H721" s="185"/>
      <c r="I721" s="121" t="str">
        <f t="shared" si="2"/>
        <v/>
      </c>
      <c r="J721" s="92"/>
      <c r="K721" s="92"/>
    </row>
    <row r="722">
      <c r="B722" s="97"/>
      <c r="C722" s="121" t="str">
        <f t="array" ref="C722">ifs(and(isblank($A722),isblank($B722)),"", not(iserror(vlookup($A722&amp;$B722,'5) Release_Track'!$F:$F&amp;'5) Release_Track'!$G:$G,1,0))),vlookup($A722&amp;$B722,{'5) Release_Track'!$F:$F&amp;'5) Release_Track'!$G:$G,'5) Release_Track'!$H:$H},2,0),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D722" s="121" t="str">
        <f t="array" ref="D722">ifs(and(isblank($A722),isblank($B722)),"", not(iserror(vlookup($A722&amp;$B722,'5) Release_Track'!$F:$F&amp;'5) Release_Track'!$G:$G,1,0))),vlookup($A722&amp;$B722,{'5) Release_Track'!$F:$F&amp;'5) Release_Track'!$G:$G,'5) Release_Track'!$I:$I},2,0),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E722" s="116" t="str">
        <f t="array" ref="E722">ifs(and(isblank($A722),isblank($B722)),"", not(iserror(vlookup($A722&amp;$B722,'5) Release_Track'!$F:$F&amp;'5) Release_Track'!$G:$G,1,0))),vlookup($A722&amp;$B722,{'5) Release_Track'!$F:$F&amp;'5) Release_Track'!$G:$G,'5) Release_Track'!$J:$J},2,0),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F722" s="88"/>
      <c r="G722" s="92"/>
      <c r="H722" s="185"/>
      <c r="I722" s="121" t="str">
        <f t="shared" si="2"/>
        <v/>
      </c>
      <c r="J722" s="92"/>
      <c r="K722" s="92"/>
    </row>
    <row r="723">
      <c r="B723" s="97"/>
      <c r="C723" s="121" t="str">
        <f t="array" ref="C723">ifs(and(isblank($A723),isblank($B723)),"", not(iserror(vlookup($A723&amp;$B723,'5) Release_Track'!$F:$F&amp;'5) Release_Track'!$G:$G,1,0))),vlookup($A723&amp;$B723,{'5) Release_Track'!$F:$F&amp;'5) Release_Track'!$G:$G,'5) Release_Track'!$H:$H},2,0),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D723" s="121" t="str">
        <f t="array" ref="D723">ifs(and(isblank($A723),isblank($B723)),"", not(iserror(vlookup($A723&amp;$B723,'5) Release_Track'!$F:$F&amp;'5) Release_Track'!$G:$G,1,0))),vlookup($A723&amp;$B723,{'5) Release_Track'!$F:$F&amp;'5) Release_Track'!$G:$G,'5) Release_Track'!$I:$I},2,0),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E723" s="116" t="str">
        <f t="array" ref="E723">ifs(and(isblank($A723),isblank($B723)),"", not(iserror(vlookup($A723&amp;$B723,'5) Release_Track'!$F:$F&amp;'5) Release_Track'!$G:$G,1,0))),vlookup($A723&amp;$B723,{'5) Release_Track'!$F:$F&amp;'5) Release_Track'!$G:$G,'5) Release_Track'!$J:$J},2,0),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F723" s="88"/>
      <c r="G723" s="92"/>
      <c r="H723" s="185"/>
      <c r="I723" s="121" t="str">
        <f t="shared" si="2"/>
        <v/>
      </c>
      <c r="J723" s="92"/>
      <c r="K723" s="92"/>
    </row>
    <row r="724">
      <c r="B724" s="97"/>
      <c r="C724" s="121" t="str">
        <f t="array" ref="C724">ifs(and(isblank($A724),isblank($B724)),"", not(iserror(vlookup($A724&amp;$B724,'5) Release_Track'!$F:$F&amp;'5) Release_Track'!$G:$G,1,0))),vlookup($A724&amp;$B724,{'5) Release_Track'!$F:$F&amp;'5) Release_Track'!$G:$G,'5) Release_Track'!$H:$H},2,0),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D724" s="121" t="str">
        <f t="array" ref="D724">ifs(and(isblank($A724),isblank($B724)),"", not(iserror(vlookup($A724&amp;$B724,'5) Release_Track'!$F:$F&amp;'5) Release_Track'!$G:$G,1,0))),vlookup($A724&amp;$B724,{'5) Release_Track'!$F:$F&amp;'5) Release_Track'!$G:$G,'5) Release_Track'!$I:$I},2,0),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E724" s="116" t="str">
        <f t="array" ref="E724">ifs(and(isblank($A724),isblank($B724)),"", not(iserror(vlookup($A724&amp;$B724,'5) Release_Track'!$F:$F&amp;'5) Release_Track'!$G:$G,1,0))),vlookup($A724&amp;$B724,{'5) Release_Track'!$F:$F&amp;'5) Release_Track'!$G:$G,'5) Release_Track'!$J:$J},2,0),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F724" s="88"/>
      <c r="G724" s="92"/>
      <c r="H724" s="185"/>
      <c r="I724" s="121" t="str">
        <f t="shared" si="2"/>
        <v/>
      </c>
      <c r="J724" s="92"/>
      <c r="K724" s="92"/>
    </row>
    <row r="725">
      <c r="B725" s="97"/>
      <c r="C725" s="121" t="str">
        <f t="array" ref="C725">ifs(and(isblank($A725),isblank($B725)),"", not(iserror(vlookup($A725&amp;$B725,'5) Release_Track'!$F:$F&amp;'5) Release_Track'!$G:$G,1,0))),vlookup($A725&amp;$B725,{'5) Release_Track'!$F:$F&amp;'5) Release_Track'!$G:$G,'5) Release_Track'!$H:$H},2,0),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D725" s="121" t="str">
        <f t="array" ref="D725">ifs(and(isblank($A725),isblank($B725)),"", not(iserror(vlookup($A725&amp;$B725,'5) Release_Track'!$F:$F&amp;'5) Release_Track'!$G:$G,1,0))),vlookup($A725&amp;$B725,{'5) Release_Track'!$F:$F&amp;'5) Release_Track'!$G:$G,'5) Release_Track'!$I:$I},2,0),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E725" s="116" t="str">
        <f t="array" ref="E725">ifs(and(isblank($A725),isblank($B725)),"", not(iserror(vlookup($A725&amp;$B725,'5) Release_Track'!$F:$F&amp;'5) Release_Track'!$G:$G,1,0))),vlookup($A725&amp;$B725,{'5) Release_Track'!$F:$F&amp;'5) Release_Track'!$G:$G,'5) Release_Track'!$J:$J},2,0),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F725" s="88"/>
      <c r="G725" s="92"/>
      <c r="H725" s="185"/>
      <c r="I725" s="121" t="str">
        <f t="shared" si="2"/>
        <v/>
      </c>
      <c r="J725" s="92"/>
      <c r="K725" s="92"/>
    </row>
    <row r="726">
      <c r="B726" s="97"/>
      <c r="C726" s="121" t="str">
        <f t="array" ref="C726">ifs(and(isblank($A726),isblank($B726)),"", not(iserror(vlookup($A726&amp;$B726,'5) Release_Track'!$F:$F&amp;'5) Release_Track'!$G:$G,1,0))),vlookup($A726&amp;$B726,{'5) Release_Track'!$F:$F&amp;'5) Release_Track'!$G:$G,'5) Release_Track'!$H:$H},2,0),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D726" s="121" t="str">
        <f t="array" ref="D726">ifs(and(isblank($A726),isblank($B726)),"", not(iserror(vlookup($A726&amp;$B726,'5) Release_Track'!$F:$F&amp;'5) Release_Track'!$G:$G,1,0))),vlookup($A726&amp;$B726,{'5) Release_Track'!$F:$F&amp;'5) Release_Track'!$G:$G,'5) Release_Track'!$I:$I},2,0),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E726" s="116" t="str">
        <f t="array" ref="E726">ifs(and(isblank($A726),isblank($B726)),"", not(iserror(vlookup($A726&amp;$B726,'5) Release_Track'!$F:$F&amp;'5) Release_Track'!$G:$G,1,0))),vlookup($A726&amp;$B726,{'5) Release_Track'!$F:$F&amp;'5) Release_Track'!$G:$G,'5) Release_Track'!$J:$J},2,0),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F726" s="88"/>
      <c r="G726" s="92"/>
      <c r="H726" s="185"/>
      <c r="I726" s="121" t="str">
        <f t="shared" si="2"/>
        <v/>
      </c>
      <c r="J726" s="92"/>
      <c r="K726" s="92"/>
    </row>
    <row r="727">
      <c r="B727" s="97"/>
      <c r="C727" s="121" t="str">
        <f t="array" ref="C727">ifs(and(isblank($A727),isblank($B727)),"", not(iserror(vlookup($A727&amp;$B727,'5) Release_Track'!$F:$F&amp;'5) Release_Track'!$G:$G,1,0))),vlookup($A727&amp;$B727,{'5) Release_Track'!$F:$F&amp;'5) Release_Track'!$G:$G,'5) Release_Track'!$H:$H},2,0),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D727" s="121" t="str">
        <f t="array" ref="D727">ifs(and(isblank($A727),isblank($B727)),"", not(iserror(vlookup($A727&amp;$B727,'5) Release_Track'!$F:$F&amp;'5) Release_Track'!$G:$G,1,0))),vlookup($A727&amp;$B727,{'5) Release_Track'!$F:$F&amp;'5) Release_Track'!$G:$G,'5) Release_Track'!$I:$I},2,0),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E727" s="116" t="str">
        <f t="array" ref="E727">ifs(and(isblank($A727),isblank($B727)),"", not(iserror(vlookup($A727&amp;$B727,'5) Release_Track'!$F:$F&amp;'5) Release_Track'!$G:$G,1,0))),vlookup($A727&amp;$B727,{'5) Release_Track'!$F:$F&amp;'5) Release_Track'!$G:$G,'5) Release_Track'!$J:$J},2,0),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F727" s="88"/>
      <c r="G727" s="92"/>
      <c r="H727" s="185"/>
      <c r="I727" s="121" t="str">
        <f t="shared" si="2"/>
        <v/>
      </c>
      <c r="J727" s="92"/>
      <c r="K727" s="92"/>
    </row>
    <row r="728">
      <c r="B728" s="97"/>
      <c r="C728" s="121" t="str">
        <f t="array" ref="C728">ifs(and(isblank($A728),isblank($B728)),"", not(iserror(vlookup($A728&amp;$B728,'5) Release_Track'!$F:$F&amp;'5) Release_Track'!$G:$G,1,0))),vlookup($A728&amp;$B728,{'5) Release_Track'!$F:$F&amp;'5) Release_Track'!$G:$G,'5) Release_Track'!$H:$H},2,0),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D728" s="121" t="str">
        <f t="array" ref="D728">ifs(and(isblank($A728),isblank($B728)),"", not(iserror(vlookup($A728&amp;$B728,'5) Release_Track'!$F:$F&amp;'5) Release_Track'!$G:$G,1,0))),vlookup($A728&amp;$B728,{'5) Release_Track'!$F:$F&amp;'5) Release_Track'!$G:$G,'5) Release_Track'!$I:$I},2,0),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E728" s="116" t="str">
        <f t="array" ref="E728">ifs(and(isblank($A728),isblank($B728)),"", not(iserror(vlookup($A728&amp;$B728,'5) Release_Track'!$F:$F&amp;'5) Release_Track'!$G:$G,1,0))),vlookup($A728&amp;$B728,{'5) Release_Track'!$F:$F&amp;'5) Release_Track'!$G:$G,'5) Release_Track'!$J:$J},2,0),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F728" s="88"/>
      <c r="G728" s="92"/>
      <c r="H728" s="185"/>
      <c r="I728" s="121" t="str">
        <f t="shared" si="2"/>
        <v/>
      </c>
      <c r="J728" s="92"/>
      <c r="K728" s="92"/>
    </row>
    <row r="729">
      <c r="B729" s="97"/>
      <c r="C729" s="121" t="str">
        <f t="array" ref="C729">ifs(and(isblank($A729),isblank($B729)),"", not(iserror(vlookup($A729&amp;$B729,'5) Release_Track'!$F:$F&amp;'5) Release_Track'!$G:$G,1,0))),vlookup($A729&amp;$B729,{'5) Release_Track'!$F:$F&amp;'5) Release_Track'!$G:$G,'5) Release_Track'!$H:$H},2,0),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D729" s="121" t="str">
        <f t="array" ref="D729">ifs(and(isblank($A729),isblank($B729)),"", not(iserror(vlookup($A729&amp;$B729,'5) Release_Track'!$F:$F&amp;'5) Release_Track'!$G:$G,1,0))),vlookup($A729&amp;$B729,{'5) Release_Track'!$F:$F&amp;'5) Release_Track'!$G:$G,'5) Release_Track'!$I:$I},2,0),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E729" s="116" t="str">
        <f t="array" ref="E729">ifs(and(isblank($A729),isblank($B729)),"", not(iserror(vlookup($A729&amp;$B729,'5) Release_Track'!$F:$F&amp;'5) Release_Track'!$G:$G,1,0))),vlookup($A729&amp;$B729,{'5) Release_Track'!$F:$F&amp;'5) Release_Track'!$G:$G,'5) Release_Track'!$J:$J},2,0),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F729" s="88"/>
      <c r="G729" s="92"/>
      <c r="H729" s="185"/>
      <c r="I729" s="121" t="str">
        <f t="shared" si="2"/>
        <v/>
      </c>
      <c r="J729" s="92"/>
      <c r="K729" s="92"/>
    </row>
    <row r="730">
      <c r="B730" s="97"/>
      <c r="C730" s="121" t="str">
        <f t="array" ref="C730">ifs(and(isblank($A730),isblank($B730)),"", not(iserror(vlookup($A730&amp;$B730,'5) Release_Track'!$F:$F&amp;'5) Release_Track'!$G:$G,1,0))),vlookup($A730&amp;$B730,{'5) Release_Track'!$F:$F&amp;'5) Release_Track'!$G:$G,'5) Release_Track'!$H:$H},2,0),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D730" s="121" t="str">
        <f t="array" ref="D730">ifs(and(isblank($A730),isblank($B730)),"", not(iserror(vlookup($A730&amp;$B730,'5) Release_Track'!$F:$F&amp;'5) Release_Track'!$G:$G,1,0))),vlookup($A730&amp;$B730,{'5) Release_Track'!$F:$F&amp;'5) Release_Track'!$G:$G,'5) Release_Track'!$I:$I},2,0),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E730" s="116" t="str">
        <f t="array" ref="E730">ifs(and(isblank($A730),isblank($B730)),"", not(iserror(vlookup($A730&amp;$B730,'5) Release_Track'!$F:$F&amp;'5) Release_Track'!$G:$G,1,0))),vlookup($A730&amp;$B730,{'5) Release_Track'!$F:$F&amp;'5) Release_Track'!$G:$G,'5) Release_Track'!$J:$J},2,0),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F730" s="88"/>
      <c r="G730" s="92"/>
      <c r="H730" s="185"/>
      <c r="I730" s="121" t="str">
        <f t="shared" si="2"/>
        <v/>
      </c>
      <c r="J730" s="92"/>
      <c r="K730" s="92"/>
    </row>
    <row r="731">
      <c r="B731" s="97"/>
      <c r="C731" s="121" t="str">
        <f t="array" ref="C731">ifs(and(isblank($A731),isblank($B731)),"", not(iserror(vlookup($A731&amp;$B731,'5) Release_Track'!$F:$F&amp;'5) Release_Track'!$G:$G,1,0))),vlookup($A731&amp;$B731,{'5) Release_Track'!$F:$F&amp;'5) Release_Track'!$G:$G,'5) Release_Track'!$H:$H},2,0),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D731" s="121" t="str">
        <f t="array" ref="D731">ifs(and(isblank($A731),isblank($B731)),"", not(iserror(vlookup($A731&amp;$B731,'5) Release_Track'!$F:$F&amp;'5) Release_Track'!$G:$G,1,0))),vlookup($A731&amp;$B731,{'5) Release_Track'!$F:$F&amp;'5) Release_Track'!$G:$G,'5) Release_Track'!$I:$I},2,0),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E731" s="116" t="str">
        <f t="array" ref="E731">ifs(and(isblank($A731),isblank($B731)),"", not(iserror(vlookup($A731&amp;$B731,'5) Release_Track'!$F:$F&amp;'5) Release_Track'!$G:$G,1,0))),vlookup($A731&amp;$B731,{'5) Release_Track'!$F:$F&amp;'5) Release_Track'!$G:$G,'5) Release_Track'!$J:$J},2,0),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F731" s="88"/>
      <c r="G731" s="92"/>
      <c r="H731" s="185"/>
      <c r="I731" s="121" t="str">
        <f t="shared" si="2"/>
        <v/>
      </c>
      <c r="J731" s="92"/>
      <c r="K731" s="92"/>
    </row>
    <row r="732">
      <c r="B732" s="97"/>
      <c r="C732" s="121" t="str">
        <f t="array" ref="C732">ifs(and(isblank($A732),isblank($B732)),"", not(iserror(vlookup($A732&amp;$B732,'5) Release_Track'!$F:$F&amp;'5) Release_Track'!$G:$G,1,0))),vlookup($A732&amp;$B732,{'5) Release_Track'!$F:$F&amp;'5) Release_Track'!$G:$G,'5) Release_Track'!$H:$H},2,0),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D732" s="121" t="str">
        <f t="array" ref="D732">ifs(and(isblank($A732),isblank($B732)),"", not(iserror(vlookup($A732&amp;$B732,'5) Release_Track'!$F:$F&amp;'5) Release_Track'!$G:$G,1,0))),vlookup($A732&amp;$B732,{'5) Release_Track'!$F:$F&amp;'5) Release_Track'!$G:$G,'5) Release_Track'!$I:$I},2,0),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E732" s="116" t="str">
        <f t="array" ref="E732">ifs(and(isblank($A732),isblank($B732)),"", not(iserror(vlookup($A732&amp;$B732,'5) Release_Track'!$F:$F&amp;'5) Release_Track'!$G:$G,1,0))),vlookup($A732&amp;$B732,{'5) Release_Track'!$F:$F&amp;'5) Release_Track'!$G:$G,'5) Release_Track'!$J:$J},2,0),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F732" s="88"/>
      <c r="G732" s="92"/>
      <c r="H732" s="185"/>
      <c r="I732" s="121" t="str">
        <f t="shared" si="2"/>
        <v/>
      </c>
      <c r="J732" s="92"/>
      <c r="K732" s="92"/>
    </row>
    <row r="733">
      <c r="B733" s="97"/>
      <c r="C733" s="121" t="str">
        <f t="array" ref="C733">ifs(and(isblank($A733),isblank($B733)),"", not(iserror(vlookup($A733&amp;$B733,'5) Release_Track'!$F:$F&amp;'5) Release_Track'!$G:$G,1,0))),vlookup($A733&amp;$B733,{'5) Release_Track'!$F:$F&amp;'5) Release_Track'!$G:$G,'5) Release_Track'!$H:$H},2,0),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D733" s="121" t="str">
        <f t="array" ref="D733">ifs(and(isblank($A733),isblank($B733)),"", not(iserror(vlookup($A733&amp;$B733,'5) Release_Track'!$F:$F&amp;'5) Release_Track'!$G:$G,1,0))),vlookup($A733&amp;$B733,{'5) Release_Track'!$F:$F&amp;'5) Release_Track'!$G:$G,'5) Release_Track'!$I:$I},2,0),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E733" s="116" t="str">
        <f t="array" ref="E733">ifs(and(isblank($A733),isblank($B733)),"", not(iserror(vlookup($A733&amp;$B733,'5) Release_Track'!$F:$F&amp;'5) Release_Track'!$G:$G,1,0))),vlookup($A733&amp;$B733,{'5) Release_Track'!$F:$F&amp;'5) Release_Track'!$G:$G,'5) Release_Track'!$J:$J},2,0),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F733" s="88"/>
      <c r="G733" s="92"/>
      <c r="H733" s="185"/>
      <c r="I733" s="121" t="str">
        <f t="shared" si="2"/>
        <v/>
      </c>
      <c r="J733" s="92"/>
      <c r="K733" s="92"/>
    </row>
    <row r="734">
      <c r="B734" s="97"/>
      <c r="C734" s="121" t="str">
        <f t="array" ref="C734">ifs(and(isblank($A734),isblank($B734)),"", not(iserror(vlookup($A734&amp;$B734,'5) Release_Track'!$F:$F&amp;'5) Release_Track'!$G:$G,1,0))),vlookup($A734&amp;$B734,{'5) Release_Track'!$F:$F&amp;'5) Release_Track'!$G:$G,'5) Release_Track'!$H:$H},2,0),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D734" s="121" t="str">
        <f t="array" ref="D734">ifs(and(isblank($A734),isblank($B734)),"", not(iserror(vlookup($A734&amp;$B734,'5) Release_Track'!$F:$F&amp;'5) Release_Track'!$G:$G,1,0))),vlookup($A734&amp;$B734,{'5) Release_Track'!$F:$F&amp;'5) Release_Track'!$G:$G,'5) Release_Track'!$I:$I},2,0),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E734" s="116" t="str">
        <f t="array" ref="E734">ifs(and(isblank($A734),isblank($B734)),"", not(iserror(vlookup($A734&amp;$B734,'5) Release_Track'!$F:$F&amp;'5) Release_Track'!$G:$G,1,0))),vlookup($A734&amp;$B734,{'5) Release_Track'!$F:$F&amp;'5) Release_Track'!$G:$G,'5) Release_Track'!$J:$J},2,0),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F734" s="88"/>
      <c r="G734" s="92"/>
      <c r="H734" s="185"/>
      <c r="I734" s="121" t="str">
        <f t="shared" si="2"/>
        <v/>
      </c>
      <c r="J734" s="92"/>
      <c r="K734" s="92"/>
    </row>
    <row r="735">
      <c r="B735" s="97"/>
      <c r="C735" s="121" t="str">
        <f t="array" ref="C735">ifs(and(isblank($A735),isblank($B735)),"", not(iserror(vlookup($A735&amp;$B735,'5) Release_Track'!$F:$F&amp;'5) Release_Track'!$G:$G,1,0))),vlookup($A735&amp;$B735,{'5) Release_Track'!$F:$F&amp;'5) Release_Track'!$G:$G,'5) Release_Track'!$H:$H},2,0),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D735" s="121" t="str">
        <f t="array" ref="D735">ifs(and(isblank($A735),isblank($B735)),"", not(iserror(vlookup($A735&amp;$B735,'5) Release_Track'!$F:$F&amp;'5) Release_Track'!$G:$G,1,0))),vlookup($A735&amp;$B735,{'5) Release_Track'!$F:$F&amp;'5) Release_Track'!$G:$G,'5) Release_Track'!$I:$I},2,0),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E735" s="116" t="str">
        <f t="array" ref="E735">ifs(and(isblank($A735),isblank($B735)),"", not(iserror(vlookup($A735&amp;$B735,'5) Release_Track'!$F:$F&amp;'5) Release_Track'!$G:$G,1,0))),vlookup($A735&amp;$B735,{'5) Release_Track'!$F:$F&amp;'5) Release_Track'!$G:$G,'5) Release_Track'!$J:$J},2,0),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F735" s="88"/>
      <c r="G735" s="92"/>
      <c r="H735" s="185"/>
      <c r="I735" s="121" t="str">
        <f t="shared" si="2"/>
        <v/>
      </c>
      <c r="J735" s="92"/>
      <c r="K735" s="92"/>
    </row>
    <row r="736">
      <c r="B736" s="97"/>
      <c r="C736" s="121" t="str">
        <f t="array" ref="C736">ifs(and(isblank($A736),isblank($B736)),"", not(iserror(vlookup($A736&amp;$B736,'5) Release_Track'!$F:$F&amp;'5) Release_Track'!$G:$G,1,0))),vlookup($A736&amp;$B736,{'5) Release_Track'!$F:$F&amp;'5) Release_Track'!$G:$G,'5) Release_Track'!$H:$H},2,0),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D736" s="121" t="str">
        <f t="array" ref="D736">ifs(and(isblank($A736),isblank($B736)),"", not(iserror(vlookup($A736&amp;$B736,'5) Release_Track'!$F:$F&amp;'5) Release_Track'!$G:$G,1,0))),vlookup($A736&amp;$B736,{'5) Release_Track'!$F:$F&amp;'5) Release_Track'!$G:$G,'5) Release_Track'!$I:$I},2,0),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E736" s="116" t="str">
        <f t="array" ref="E736">ifs(and(isblank($A736),isblank($B736)),"", not(iserror(vlookup($A736&amp;$B736,'5) Release_Track'!$F:$F&amp;'5) Release_Track'!$G:$G,1,0))),vlookup($A736&amp;$B736,{'5) Release_Track'!$F:$F&amp;'5) Release_Track'!$G:$G,'5) Release_Track'!$J:$J},2,0),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F736" s="88"/>
      <c r="G736" s="92"/>
      <c r="H736" s="185"/>
      <c r="I736" s="121" t="str">
        <f t="shared" si="2"/>
        <v/>
      </c>
      <c r="J736" s="92"/>
      <c r="K736" s="92"/>
    </row>
    <row r="737">
      <c r="B737" s="97"/>
      <c r="C737" s="121" t="str">
        <f t="array" ref="C737">ifs(and(isblank($A737),isblank($B737)),"", not(iserror(vlookup($A737&amp;$B737,'5) Release_Track'!$F:$F&amp;'5) Release_Track'!$G:$G,1,0))),vlookup($A737&amp;$B737,{'5) Release_Track'!$F:$F&amp;'5) Release_Track'!$G:$G,'5) Release_Track'!$H:$H},2,0),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D737" s="121" t="str">
        <f t="array" ref="D737">ifs(and(isblank($A737),isblank($B737)),"", not(iserror(vlookup($A737&amp;$B737,'5) Release_Track'!$F:$F&amp;'5) Release_Track'!$G:$G,1,0))),vlookup($A737&amp;$B737,{'5) Release_Track'!$F:$F&amp;'5) Release_Track'!$G:$G,'5) Release_Track'!$I:$I},2,0),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E737" s="116" t="str">
        <f t="array" ref="E737">ifs(and(isblank($A737),isblank($B737)),"", not(iserror(vlookup($A737&amp;$B737,'5) Release_Track'!$F:$F&amp;'5) Release_Track'!$G:$G,1,0))),vlookup($A737&amp;$B737,{'5) Release_Track'!$F:$F&amp;'5) Release_Track'!$G:$G,'5) Release_Track'!$J:$J},2,0),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F737" s="88"/>
      <c r="G737" s="92"/>
      <c r="H737" s="185"/>
      <c r="I737" s="121" t="str">
        <f t="shared" si="2"/>
        <v/>
      </c>
      <c r="J737" s="92"/>
      <c r="K737" s="92"/>
    </row>
    <row r="738">
      <c r="B738" s="97"/>
      <c r="C738" s="121" t="str">
        <f t="array" ref="C738">ifs(and(isblank($A738),isblank($B738)),"", not(iserror(vlookup($A738&amp;$B738,'5) Release_Track'!$F:$F&amp;'5) Release_Track'!$G:$G,1,0))),vlookup($A738&amp;$B738,{'5) Release_Track'!$F:$F&amp;'5) Release_Track'!$G:$G,'5) Release_Track'!$H:$H},2,0),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D738" s="121" t="str">
        <f t="array" ref="D738">ifs(and(isblank($A738),isblank($B738)),"", not(iserror(vlookup($A738&amp;$B738,'5) Release_Track'!$F:$F&amp;'5) Release_Track'!$G:$G,1,0))),vlookup($A738&amp;$B738,{'5) Release_Track'!$F:$F&amp;'5) Release_Track'!$G:$G,'5) Release_Track'!$I:$I},2,0),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E738" s="116" t="str">
        <f t="array" ref="E738">ifs(and(isblank($A738),isblank($B738)),"", not(iserror(vlookup($A738&amp;$B738,'5) Release_Track'!$F:$F&amp;'5) Release_Track'!$G:$G,1,0))),vlookup($A738&amp;$B738,{'5) Release_Track'!$F:$F&amp;'5) Release_Track'!$G:$G,'5) Release_Track'!$J:$J},2,0),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F738" s="88"/>
      <c r="G738" s="92"/>
      <c r="H738" s="185"/>
      <c r="I738" s="121" t="str">
        <f t="shared" si="2"/>
        <v/>
      </c>
      <c r="J738" s="92"/>
      <c r="K738" s="92"/>
    </row>
    <row r="739">
      <c r="B739" s="97"/>
      <c r="C739" s="121" t="str">
        <f t="array" ref="C739">ifs(and(isblank($A739),isblank($B739)),"", not(iserror(vlookup($A739&amp;$B739,'5) Release_Track'!$F:$F&amp;'5) Release_Track'!$G:$G,1,0))),vlookup($A739&amp;$B739,{'5) Release_Track'!$F:$F&amp;'5) Release_Track'!$G:$G,'5) Release_Track'!$H:$H},2,0),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D739" s="121" t="str">
        <f t="array" ref="D739">ifs(and(isblank($A739),isblank($B739)),"", not(iserror(vlookup($A739&amp;$B739,'5) Release_Track'!$F:$F&amp;'5) Release_Track'!$G:$G,1,0))),vlookup($A739&amp;$B739,{'5) Release_Track'!$F:$F&amp;'5) Release_Track'!$G:$G,'5) Release_Track'!$I:$I},2,0),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E739" s="116" t="str">
        <f t="array" ref="E739">ifs(and(isblank($A739),isblank($B739)),"", not(iserror(vlookup($A739&amp;$B739,'5) Release_Track'!$F:$F&amp;'5) Release_Track'!$G:$G,1,0))),vlookup($A739&amp;$B739,{'5) Release_Track'!$F:$F&amp;'5) Release_Track'!$G:$G,'5) Release_Track'!$J:$J},2,0),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F739" s="88"/>
      <c r="G739" s="92"/>
      <c r="H739" s="185"/>
      <c r="I739" s="121" t="str">
        <f t="shared" si="2"/>
        <v/>
      </c>
      <c r="J739" s="92"/>
      <c r="K739" s="92"/>
    </row>
    <row r="740">
      <c r="B740" s="97"/>
      <c r="C740" s="121" t="str">
        <f t="array" ref="C740">ifs(and(isblank($A740),isblank($B740)),"", not(iserror(vlookup($A740&amp;$B740,'5) Release_Track'!$F:$F&amp;'5) Release_Track'!$G:$G,1,0))),vlookup($A740&amp;$B740,{'5) Release_Track'!$F:$F&amp;'5) Release_Track'!$G:$G,'5) Release_Track'!$H:$H},2,0),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D740" s="121" t="str">
        <f t="array" ref="D740">ifs(and(isblank($A740),isblank($B740)),"", not(iserror(vlookup($A740&amp;$B740,'5) Release_Track'!$F:$F&amp;'5) Release_Track'!$G:$G,1,0))),vlookup($A740&amp;$B740,{'5) Release_Track'!$F:$F&amp;'5) Release_Track'!$G:$G,'5) Release_Track'!$I:$I},2,0),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E740" s="116" t="str">
        <f t="array" ref="E740">ifs(and(isblank($A740),isblank($B740)),"", not(iserror(vlookup($A740&amp;$B740,'5) Release_Track'!$F:$F&amp;'5) Release_Track'!$G:$G,1,0))),vlookup($A740&amp;$B740,{'5) Release_Track'!$F:$F&amp;'5) Release_Track'!$G:$G,'5) Release_Track'!$J:$J},2,0),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F740" s="88"/>
      <c r="G740" s="92"/>
      <c r="H740" s="185"/>
      <c r="I740" s="121" t="str">
        <f t="shared" si="2"/>
        <v/>
      </c>
      <c r="J740" s="92"/>
      <c r="K740" s="92"/>
    </row>
    <row r="741">
      <c r="B741" s="97"/>
      <c r="C741" s="121" t="str">
        <f t="array" ref="C741">ifs(and(isblank($A741),isblank($B741)),"", not(iserror(vlookup($A741&amp;$B741,'5) Release_Track'!$F:$F&amp;'5) Release_Track'!$G:$G,1,0))),vlookup($A741&amp;$B741,{'5) Release_Track'!$F:$F&amp;'5) Release_Track'!$G:$G,'5) Release_Track'!$H:$H},2,0),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D741" s="121" t="str">
        <f t="array" ref="D741">ifs(and(isblank($A741),isblank($B741)),"", not(iserror(vlookup($A741&amp;$B741,'5) Release_Track'!$F:$F&amp;'5) Release_Track'!$G:$G,1,0))),vlookup($A741&amp;$B741,{'5) Release_Track'!$F:$F&amp;'5) Release_Track'!$G:$G,'5) Release_Track'!$I:$I},2,0),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E741" s="116" t="str">
        <f t="array" ref="E741">ifs(and(isblank($A741),isblank($B741)),"", not(iserror(vlookup($A741&amp;$B741,'5) Release_Track'!$F:$F&amp;'5) Release_Track'!$G:$G,1,0))),vlookup($A741&amp;$B741,{'5) Release_Track'!$F:$F&amp;'5) Release_Track'!$G:$G,'5) Release_Track'!$J:$J},2,0),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F741" s="88"/>
      <c r="G741" s="92"/>
      <c r="H741" s="185"/>
      <c r="I741" s="121" t="str">
        <f t="shared" si="2"/>
        <v/>
      </c>
      <c r="J741" s="92"/>
      <c r="K741" s="92"/>
    </row>
    <row r="742">
      <c r="B742" s="97"/>
      <c r="C742" s="121" t="str">
        <f t="array" ref="C742">ifs(and(isblank($A742),isblank($B742)),"", not(iserror(vlookup($A742&amp;$B742,'5) Release_Track'!$F:$F&amp;'5) Release_Track'!$G:$G,1,0))),vlookup($A742&amp;$B742,{'5) Release_Track'!$F:$F&amp;'5) Release_Track'!$G:$G,'5) Release_Track'!$H:$H},2,0),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D742" s="121" t="str">
        <f t="array" ref="D742">ifs(and(isblank($A742),isblank($B742)),"", not(iserror(vlookup($A742&amp;$B742,'5) Release_Track'!$F:$F&amp;'5) Release_Track'!$G:$G,1,0))),vlookup($A742&amp;$B742,{'5) Release_Track'!$F:$F&amp;'5) Release_Track'!$G:$G,'5) Release_Track'!$I:$I},2,0),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E742" s="116" t="str">
        <f t="array" ref="E742">ifs(and(isblank($A742),isblank($B742)),"", not(iserror(vlookup($A742&amp;$B742,'5) Release_Track'!$F:$F&amp;'5) Release_Track'!$G:$G,1,0))),vlookup($A742&amp;$B742,{'5) Release_Track'!$F:$F&amp;'5) Release_Track'!$G:$G,'5) Release_Track'!$J:$J},2,0),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F742" s="88"/>
      <c r="G742" s="92"/>
      <c r="H742" s="185"/>
      <c r="I742" s="121" t="str">
        <f t="shared" si="2"/>
        <v/>
      </c>
      <c r="J742" s="92"/>
      <c r="K742" s="92"/>
    </row>
    <row r="743">
      <c r="B743" s="97"/>
      <c r="C743" s="121" t="str">
        <f t="array" ref="C743">ifs(and(isblank($A743),isblank($B743)),"", not(iserror(vlookup($A743&amp;$B743,'5) Release_Track'!$F:$F&amp;'5) Release_Track'!$G:$G,1,0))),vlookup($A743&amp;$B743,{'5) Release_Track'!$F:$F&amp;'5) Release_Track'!$G:$G,'5) Release_Track'!$H:$H},2,0),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D743" s="121" t="str">
        <f t="array" ref="D743">ifs(and(isblank($A743),isblank($B743)),"", not(iserror(vlookup($A743&amp;$B743,'5) Release_Track'!$F:$F&amp;'5) Release_Track'!$G:$G,1,0))),vlookup($A743&amp;$B743,{'5) Release_Track'!$F:$F&amp;'5) Release_Track'!$G:$G,'5) Release_Track'!$I:$I},2,0),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E743" s="116" t="str">
        <f t="array" ref="E743">ifs(and(isblank($A743),isblank($B743)),"", not(iserror(vlookup($A743&amp;$B743,'5) Release_Track'!$F:$F&amp;'5) Release_Track'!$G:$G,1,0))),vlookup($A743&amp;$B743,{'5) Release_Track'!$F:$F&amp;'5) Release_Track'!$G:$G,'5) Release_Track'!$J:$J},2,0),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F743" s="88"/>
      <c r="G743" s="92"/>
      <c r="H743" s="185"/>
      <c r="I743" s="121" t="str">
        <f t="shared" si="2"/>
        <v/>
      </c>
      <c r="J743" s="92"/>
      <c r="K743" s="92"/>
    </row>
    <row r="744">
      <c r="B744" s="97"/>
      <c r="C744" s="121" t="str">
        <f t="array" ref="C744">ifs(and(isblank($A744),isblank($B744)),"", not(iserror(vlookup($A744&amp;$B744,'5) Release_Track'!$F:$F&amp;'5) Release_Track'!$G:$G,1,0))),vlookup($A744&amp;$B744,{'5) Release_Track'!$F:$F&amp;'5) Release_Track'!$G:$G,'5) Release_Track'!$H:$H},2,0),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D744" s="121" t="str">
        <f t="array" ref="D744">ifs(and(isblank($A744),isblank($B744)),"", not(iserror(vlookup($A744&amp;$B744,'5) Release_Track'!$F:$F&amp;'5) Release_Track'!$G:$G,1,0))),vlookup($A744&amp;$B744,{'5) Release_Track'!$F:$F&amp;'5) Release_Track'!$G:$G,'5) Release_Track'!$I:$I},2,0),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E744" s="116" t="str">
        <f t="array" ref="E744">ifs(and(isblank($A744),isblank($B744)),"", not(iserror(vlookup($A744&amp;$B744,'5) Release_Track'!$F:$F&amp;'5) Release_Track'!$G:$G,1,0))),vlookup($A744&amp;$B744,{'5) Release_Track'!$F:$F&amp;'5) Release_Track'!$G:$G,'5) Release_Track'!$J:$J},2,0),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F744" s="88"/>
      <c r="G744" s="92"/>
      <c r="H744" s="185"/>
      <c r="I744" s="121" t="str">
        <f t="shared" si="2"/>
        <v/>
      </c>
      <c r="J744" s="92"/>
      <c r="K744" s="92"/>
    </row>
    <row r="745">
      <c r="B745" s="97"/>
      <c r="C745" s="121" t="str">
        <f t="array" ref="C745">ifs(and(isblank($A745),isblank($B745)),"", not(iserror(vlookup($A745&amp;$B745,'5) Release_Track'!$F:$F&amp;'5) Release_Track'!$G:$G,1,0))),vlookup($A745&amp;$B745,{'5) Release_Track'!$F:$F&amp;'5) Release_Track'!$G:$G,'5) Release_Track'!$H:$H},2,0),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D745" s="121" t="str">
        <f t="array" ref="D745">ifs(and(isblank($A745),isblank($B745)),"", not(iserror(vlookup($A745&amp;$B745,'5) Release_Track'!$F:$F&amp;'5) Release_Track'!$G:$G,1,0))),vlookup($A745&amp;$B745,{'5) Release_Track'!$F:$F&amp;'5) Release_Track'!$G:$G,'5) Release_Track'!$I:$I},2,0),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E745" s="116" t="str">
        <f t="array" ref="E745">ifs(and(isblank($A745),isblank($B745)),"", not(iserror(vlookup($A745&amp;$B745,'5) Release_Track'!$F:$F&amp;'5) Release_Track'!$G:$G,1,0))),vlookup($A745&amp;$B745,{'5) Release_Track'!$F:$F&amp;'5) Release_Track'!$G:$G,'5) Release_Track'!$J:$J},2,0),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F745" s="88"/>
      <c r="G745" s="92"/>
      <c r="H745" s="185"/>
      <c r="I745" s="121" t="str">
        <f t="shared" si="2"/>
        <v/>
      </c>
      <c r="J745" s="92"/>
      <c r="K745" s="92"/>
    </row>
    <row r="746">
      <c r="B746" s="97"/>
      <c r="C746" s="121" t="str">
        <f t="array" ref="C746">ifs(and(isblank($A746),isblank($B746)),"", not(iserror(vlookup($A746&amp;$B746,'5) Release_Track'!$F:$F&amp;'5) Release_Track'!$G:$G,1,0))),vlookup($A746&amp;$B746,{'5) Release_Track'!$F:$F&amp;'5) Release_Track'!$G:$G,'5) Release_Track'!$H:$H},2,0),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D746" s="121" t="str">
        <f t="array" ref="D746">ifs(and(isblank($A746),isblank($B746)),"", not(iserror(vlookup($A746&amp;$B746,'5) Release_Track'!$F:$F&amp;'5) Release_Track'!$G:$G,1,0))),vlookup($A746&amp;$B746,{'5) Release_Track'!$F:$F&amp;'5) Release_Track'!$G:$G,'5) Release_Track'!$I:$I},2,0),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E746" s="116" t="str">
        <f t="array" ref="E746">ifs(and(isblank($A746),isblank($B746)),"", not(iserror(vlookup($A746&amp;$B746,'5) Release_Track'!$F:$F&amp;'5) Release_Track'!$G:$G,1,0))),vlookup($A746&amp;$B746,{'5) Release_Track'!$F:$F&amp;'5) Release_Track'!$G:$G,'5) Release_Track'!$J:$J},2,0),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F746" s="88"/>
      <c r="G746" s="92"/>
      <c r="H746" s="185"/>
      <c r="I746" s="121" t="str">
        <f t="shared" si="2"/>
        <v/>
      </c>
      <c r="J746" s="92"/>
      <c r="K746" s="92"/>
    </row>
    <row r="747">
      <c r="B747" s="97"/>
      <c r="C747" s="121" t="str">
        <f t="array" ref="C747">ifs(and(isblank($A747),isblank($B747)),"", not(iserror(vlookup($A747&amp;$B747,'5) Release_Track'!$F:$F&amp;'5) Release_Track'!$G:$G,1,0))),vlookup($A747&amp;$B747,{'5) Release_Track'!$F:$F&amp;'5) Release_Track'!$G:$G,'5) Release_Track'!$H:$H},2,0),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D747" s="121" t="str">
        <f t="array" ref="D747">ifs(and(isblank($A747),isblank($B747)),"", not(iserror(vlookup($A747&amp;$B747,'5) Release_Track'!$F:$F&amp;'5) Release_Track'!$G:$G,1,0))),vlookup($A747&amp;$B747,{'5) Release_Track'!$F:$F&amp;'5) Release_Track'!$G:$G,'5) Release_Track'!$I:$I},2,0),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E747" s="116" t="str">
        <f t="array" ref="E747">ifs(and(isblank($A747),isblank($B747)),"", not(iserror(vlookup($A747&amp;$B747,'5) Release_Track'!$F:$F&amp;'5) Release_Track'!$G:$G,1,0))),vlookup($A747&amp;$B747,{'5) Release_Track'!$F:$F&amp;'5) Release_Track'!$G:$G,'5) Release_Track'!$J:$J},2,0),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F747" s="88"/>
      <c r="G747" s="92"/>
      <c r="H747" s="185"/>
      <c r="I747" s="121" t="str">
        <f t="shared" si="2"/>
        <v/>
      </c>
      <c r="J747" s="92"/>
      <c r="K747" s="92"/>
    </row>
    <row r="748">
      <c r="B748" s="97"/>
      <c r="C748" s="121" t="str">
        <f t="array" ref="C748">ifs(and(isblank($A748),isblank($B748)),"", not(iserror(vlookup($A748&amp;$B748,'5) Release_Track'!$F:$F&amp;'5) Release_Track'!$G:$G,1,0))),vlookup($A748&amp;$B748,{'5) Release_Track'!$F:$F&amp;'5) Release_Track'!$G:$G,'5) Release_Track'!$H:$H},2,0),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D748" s="121" t="str">
        <f t="array" ref="D748">ifs(and(isblank($A748),isblank($B748)),"", not(iserror(vlookup($A748&amp;$B748,'5) Release_Track'!$F:$F&amp;'5) Release_Track'!$G:$G,1,0))),vlookup($A748&amp;$B748,{'5) Release_Track'!$F:$F&amp;'5) Release_Track'!$G:$G,'5) Release_Track'!$I:$I},2,0),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E748" s="116" t="str">
        <f t="array" ref="E748">ifs(and(isblank($A748),isblank($B748)),"", not(iserror(vlookup($A748&amp;$B748,'5) Release_Track'!$F:$F&amp;'5) Release_Track'!$G:$G,1,0))),vlookup($A748&amp;$B748,{'5) Release_Track'!$F:$F&amp;'5) Release_Track'!$G:$G,'5) Release_Track'!$J:$J},2,0),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F748" s="88"/>
      <c r="G748" s="92"/>
      <c r="H748" s="185"/>
      <c r="I748" s="121" t="str">
        <f t="shared" si="2"/>
        <v/>
      </c>
      <c r="J748" s="92"/>
      <c r="K748" s="92"/>
    </row>
    <row r="749">
      <c r="B749" s="97"/>
      <c r="C749" s="121" t="str">
        <f t="array" ref="C749">ifs(and(isblank($A749),isblank($B749)),"", not(iserror(vlookup($A749&amp;$B749,'5) Release_Track'!$F:$F&amp;'5) Release_Track'!$G:$G,1,0))),vlookup($A749&amp;$B749,{'5) Release_Track'!$F:$F&amp;'5) Release_Track'!$G:$G,'5) Release_Track'!$H:$H},2,0),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D749" s="121" t="str">
        <f t="array" ref="D749">ifs(and(isblank($A749),isblank($B749)),"", not(iserror(vlookup($A749&amp;$B749,'5) Release_Track'!$F:$F&amp;'5) Release_Track'!$G:$G,1,0))),vlookup($A749&amp;$B749,{'5) Release_Track'!$F:$F&amp;'5) Release_Track'!$G:$G,'5) Release_Track'!$I:$I},2,0),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E749" s="116" t="str">
        <f t="array" ref="E749">ifs(and(isblank($A749),isblank($B749)),"", not(iserror(vlookup($A749&amp;$B749,'5) Release_Track'!$F:$F&amp;'5) Release_Track'!$G:$G,1,0))),vlookup($A749&amp;$B749,{'5) Release_Track'!$F:$F&amp;'5) Release_Track'!$G:$G,'5) Release_Track'!$J:$J},2,0),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F749" s="88"/>
      <c r="G749" s="92"/>
      <c r="H749" s="185"/>
      <c r="I749" s="121" t="str">
        <f t="shared" si="2"/>
        <v/>
      </c>
      <c r="J749" s="92"/>
      <c r="K749" s="92"/>
    </row>
    <row r="750">
      <c r="B750" s="97"/>
      <c r="C750" s="121" t="str">
        <f t="array" ref="C750">ifs(and(isblank($A750),isblank($B750)),"", not(iserror(vlookup($A750&amp;$B750,'5) Release_Track'!$F:$F&amp;'5) Release_Track'!$G:$G,1,0))),vlookup($A750&amp;$B750,{'5) Release_Track'!$F:$F&amp;'5) Release_Track'!$G:$G,'5) Release_Track'!$H:$H},2,0),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D750" s="121" t="str">
        <f t="array" ref="D750">ifs(and(isblank($A750),isblank($B750)),"", not(iserror(vlookup($A750&amp;$B750,'5) Release_Track'!$F:$F&amp;'5) Release_Track'!$G:$G,1,0))),vlookup($A750&amp;$B750,{'5) Release_Track'!$F:$F&amp;'5) Release_Track'!$G:$G,'5) Release_Track'!$I:$I},2,0),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E750" s="116" t="str">
        <f t="array" ref="E750">ifs(and(isblank($A750),isblank($B750)),"", not(iserror(vlookup($A750&amp;$B750,'5) Release_Track'!$F:$F&amp;'5) Release_Track'!$G:$G,1,0))),vlookup($A750&amp;$B750,{'5) Release_Track'!$F:$F&amp;'5) Release_Track'!$G:$G,'5) Release_Track'!$J:$J},2,0),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F750" s="88"/>
      <c r="G750" s="92"/>
      <c r="H750" s="185"/>
      <c r="I750" s="121" t="str">
        <f t="shared" si="2"/>
        <v/>
      </c>
      <c r="J750" s="92"/>
      <c r="K750" s="92"/>
    </row>
    <row r="751">
      <c r="B751" s="97"/>
      <c r="C751" s="121" t="str">
        <f t="array" ref="C751">ifs(and(isblank($A751),isblank($B751)),"", not(iserror(vlookup($A751&amp;$B751,'5) Release_Track'!$F:$F&amp;'5) Release_Track'!$G:$G,1,0))),vlookup($A751&amp;$B751,{'5) Release_Track'!$F:$F&amp;'5) Release_Track'!$G:$G,'5) Release_Track'!$H:$H},2,0),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D751" s="121" t="str">
        <f t="array" ref="D751">ifs(and(isblank($A751),isblank($B751)),"", not(iserror(vlookup($A751&amp;$B751,'5) Release_Track'!$F:$F&amp;'5) Release_Track'!$G:$G,1,0))),vlookup($A751&amp;$B751,{'5) Release_Track'!$F:$F&amp;'5) Release_Track'!$G:$G,'5) Release_Track'!$I:$I},2,0),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E751" s="116" t="str">
        <f t="array" ref="E751">ifs(and(isblank($A751),isblank($B751)),"", not(iserror(vlookup($A751&amp;$B751,'5) Release_Track'!$F:$F&amp;'5) Release_Track'!$G:$G,1,0))),vlookup($A751&amp;$B751,{'5) Release_Track'!$F:$F&amp;'5) Release_Track'!$G:$G,'5) Release_Track'!$J:$J},2,0),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F751" s="88"/>
      <c r="G751" s="92"/>
      <c r="H751" s="185"/>
      <c r="I751" s="121" t="str">
        <f t="shared" si="2"/>
        <v/>
      </c>
      <c r="J751" s="92"/>
      <c r="K751" s="92"/>
    </row>
    <row r="752">
      <c r="B752" s="97"/>
      <c r="C752" s="121" t="str">
        <f t="array" ref="C752">ifs(and(isblank($A752),isblank($B752)),"", not(iserror(vlookup($A752&amp;$B752,'5) Release_Track'!$F:$F&amp;'5) Release_Track'!$G:$G,1,0))),vlookup($A752&amp;$B752,{'5) Release_Track'!$F:$F&amp;'5) Release_Track'!$G:$G,'5) Release_Track'!$H:$H},2,0),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D752" s="121" t="str">
        <f t="array" ref="D752">ifs(and(isblank($A752),isblank($B752)),"", not(iserror(vlookup($A752&amp;$B752,'5) Release_Track'!$F:$F&amp;'5) Release_Track'!$G:$G,1,0))),vlookup($A752&amp;$B752,{'5) Release_Track'!$F:$F&amp;'5) Release_Track'!$G:$G,'5) Release_Track'!$I:$I},2,0),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E752" s="116" t="str">
        <f t="array" ref="E752">ifs(and(isblank($A752),isblank($B752)),"", not(iserror(vlookup($A752&amp;$B752,'5) Release_Track'!$F:$F&amp;'5) Release_Track'!$G:$G,1,0))),vlookup($A752&amp;$B752,{'5) Release_Track'!$F:$F&amp;'5) Release_Track'!$G:$G,'5) Release_Track'!$J:$J},2,0),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F752" s="88"/>
      <c r="G752" s="92"/>
      <c r="H752" s="185"/>
      <c r="I752" s="121" t="str">
        <f t="shared" si="2"/>
        <v/>
      </c>
      <c r="J752" s="92"/>
      <c r="K752" s="92"/>
    </row>
    <row r="753">
      <c r="B753" s="97"/>
      <c r="C753" s="121" t="str">
        <f t="array" ref="C753">ifs(and(isblank($A753),isblank($B753)),"", not(iserror(vlookup($A753&amp;$B753,'5) Release_Track'!$F:$F&amp;'5) Release_Track'!$G:$G,1,0))),vlookup($A753&amp;$B753,{'5) Release_Track'!$F:$F&amp;'5) Release_Track'!$G:$G,'5) Release_Track'!$H:$H},2,0),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D753" s="121" t="str">
        <f t="array" ref="D753">ifs(and(isblank($A753),isblank($B753)),"", not(iserror(vlookup($A753&amp;$B753,'5) Release_Track'!$F:$F&amp;'5) Release_Track'!$G:$G,1,0))),vlookup($A753&amp;$B753,{'5) Release_Track'!$F:$F&amp;'5) Release_Track'!$G:$G,'5) Release_Track'!$I:$I},2,0),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E753" s="116" t="str">
        <f t="array" ref="E753">ifs(and(isblank($A753),isblank($B753)),"", not(iserror(vlookup($A753&amp;$B753,'5) Release_Track'!$F:$F&amp;'5) Release_Track'!$G:$G,1,0))),vlookup($A753&amp;$B753,{'5) Release_Track'!$F:$F&amp;'5) Release_Track'!$G:$G,'5) Release_Track'!$J:$J},2,0),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F753" s="88"/>
      <c r="G753" s="92"/>
      <c r="H753" s="185"/>
      <c r="I753" s="121" t="str">
        <f t="shared" si="2"/>
        <v/>
      </c>
      <c r="J753" s="92"/>
      <c r="K753" s="92"/>
    </row>
    <row r="754">
      <c r="B754" s="97"/>
      <c r="C754" s="121" t="str">
        <f t="array" ref="C754">ifs(and(isblank($A754),isblank($B754)),"", not(iserror(vlookup($A754&amp;$B754,'5) Release_Track'!$F:$F&amp;'5) Release_Track'!$G:$G,1,0))),vlookup($A754&amp;$B754,{'5) Release_Track'!$F:$F&amp;'5) Release_Track'!$G:$G,'5) Release_Track'!$H:$H},2,0),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D754" s="121" t="str">
        <f t="array" ref="D754">ifs(and(isblank($A754),isblank($B754)),"", not(iserror(vlookup($A754&amp;$B754,'5) Release_Track'!$F:$F&amp;'5) Release_Track'!$G:$G,1,0))),vlookup($A754&amp;$B754,{'5) Release_Track'!$F:$F&amp;'5) Release_Track'!$G:$G,'5) Release_Track'!$I:$I},2,0),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E754" s="116" t="str">
        <f t="array" ref="E754">ifs(and(isblank($A754),isblank($B754)),"", not(iserror(vlookup($A754&amp;$B754,'5) Release_Track'!$F:$F&amp;'5) Release_Track'!$G:$G,1,0))),vlookup($A754&amp;$B754,{'5) Release_Track'!$F:$F&amp;'5) Release_Track'!$G:$G,'5) Release_Track'!$J:$J},2,0),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F754" s="88"/>
      <c r="G754" s="92"/>
      <c r="H754" s="185"/>
      <c r="I754" s="121" t="str">
        <f t="shared" si="2"/>
        <v/>
      </c>
      <c r="J754" s="92"/>
      <c r="K754" s="92"/>
    </row>
    <row r="755">
      <c r="B755" s="97"/>
      <c r="C755" s="121" t="str">
        <f t="array" ref="C755">ifs(and(isblank($A755),isblank($B755)),"", not(iserror(vlookup($A755&amp;$B755,'5) Release_Track'!$F:$F&amp;'5) Release_Track'!$G:$G,1,0))),vlookup($A755&amp;$B755,{'5) Release_Track'!$F:$F&amp;'5) Release_Track'!$G:$G,'5) Release_Track'!$H:$H},2,0),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D755" s="121" t="str">
        <f t="array" ref="D755">ifs(and(isblank($A755),isblank($B755)),"", not(iserror(vlookup($A755&amp;$B755,'5) Release_Track'!$F:$F&amp;'5) Release_Track'!$G:$G,1,0))),vlookup($A755&amp;$B755,{'5) Release_Track'!$F:$F&amp;'5) Release_Track'!$G:$G,'5) Release_Track'!$I:$I},2,0),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E755" s="116" t="str">
        <f t="array" ref="E755">ifs(and(isblank($A755),isblank($B755)),"", not(iserror(vlookup($A755&amp;$B755,'5) Release_Track'!$F:$F&amp;'5) Release_Track'!$G:$G,1,0))),vlookup($A755&amp;$B755,{'5) Release_Track'!$F:$F&amp;'5) Release_Track'!$G:$G,'5) Release_Track'!$J:$J},2,0),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F755" s="88"/>
      <c r="G755" s="92"/>
      <c r="H755" s="185"/>
      <c r="I755" s="121" t="str">
        <f t="shared" si="2"/>
        <v/>
      </c>
      <c r="J755" s="92"/>
      <c r="K755" s="92"/>
    </row>
    <row r="756">
      <c r="B756" s="97"/>
      <c r="C756" s="121" t="str">
        <f t="array" ref="C756">ifs(and(isblank($A756),isblank($B756)),"", not(iserror(vlookup($A756&amp;$B756,'5) Release_Track'!$F:$F&amp;'5) Release_Track'!$G:$G,1,0))),vlookup($A756&amp;$B756,{'5) Release_Track'!$F:$F&amp;'5) Release_Track'!$G:$G,'5) Release_Track'!$H:$H},2,0),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D756" s="121" t="str">
        <f t="array" ref="D756">ifs(and(isblank($A756),isblank($B756)),"", not(iserror(vlookup($A756&amp;$B756,'5) Release_Track'!$F:$F&amp;'5) Release_Track'!$G:$G,1,0))),vlookup($A756&amp;$B756,{'5) Release_Track'!$F:$F&amp;'5) Release_Track'!$G:$G,'5) Release_Track'!$I:$I},2,0),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E756" s="116" t="str">
        <f t="array" ref="E756">ifs(and(isblank($A756),isblank($B756)),"", not(iserror(vlookup($A756&amp;$B756,'5) Release_Track'!$F:$F&amp;'5) Release_Track'!$G:$G,1,0))),vlookup($A756&amp;$B756,{'5) Release_Track'!$F:$F&amp;'5) Release_Track'!$G:$G,'5) Release_Track'!$J:$J},2,0),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F756" s="88"/>
      <c r="G756" s="92"/>
      <c r="H756" s="185"/>
      <c r="I756" s="121" t="str">
        <f t="shared" si="2"/>
        <v/>
      </c>
      <c r="J756" s="92"/>
      <c r="K756" s="92"/>
    </row>
    <row r="757">
      <c r="B757" s="97"/>
      <c r="C757" s="121" t="str">
        <f t="array" ref="C757">ifs(and(isblank($A757),isblank($B757)),"", not(iserror(vlookup($A757&amp;$B757,'5) Release_Track'!$F:$F&amp;'5) Release_Track'!$G:$G,1,0))),vlookup($A757&amp;$B757,{'5) Release_Track'!$F:$F&amp;'5) Release_Track'!$G:$G,'5) Release_Track'!$H:$H},2,0),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D757" s="121" t="str">
        <f t="array" ref="D757">ifs(and(isblank($A757),isblank($B757)),"", not(iserror(vlookup($A757&amp;$B757,'5) Release_Track'!$F:$F&amp;'5) Release_Track'!$G:$G,1,0))),vlookup($A757&amp;$B757,{'5) Release_Track'!$F:$F&amp;'5) Release_Track'!$G:$G,'5) Release_Track'!$I:$I},2,0),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E757" s="116" t="str">
        <f t="array" ref="E757">ifs(and(isblank($A757),isblank($B757)),"", not(iserror(vlookup($A757&amp;$B757,'5) Release_Track'!$F:$F&amp;'5) Release_Track'!$G:$G,1,0))),vlookup($A757&amp;$B757,{'5) Release_Track'!$F:$F&amp;'5) Release_Track'!$G:$G,'5) Release_Track'!$J:$J},2,0),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F757" s="88"/>
      <c r="G757" s="92"/>
      <c r="H757" s="185"/>
      <c r="I757" s="121" t="str">
        <f t="shared" si="2"/>
        <v/>
      </c>
      <c r="J757" s="92"/>
      <c r="K757" s="92"/>
    </row>
    <row r="758">
      <c r="B758" s="97"/>
      <c r="C758" s="121" t="str">
        <f t="array" ref="C758">ifs(and(isblank($A758),isblank($B758)),"", not(iserror(vlookup($A758&amp;$B758,'5) Release_Track'!$F:$F&amp;'5) Release_Track'!$G:$G,1,0))),vlookup($A758&amp;$B758,{'5) Release_Track'!$F:$F&amp;'5) Release_Track'!$G:$G,'5) Release_Track'!$H:$H},2,0),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D758" s="121" t="str">
        <f t="array" ref="D758">ifs(and(isblank($A758),isblank($B758)),"", not(iserror(vlookup($A758&amp;$B758,'5) Release_Track'!$F:$F&amp;'5) Release_Track'!$G:$G,1,0))),vlookup($A758&amp;$B758,{'5) Release_Track'!$F:$F&amp;'5) Release_Track'!$G:$G,'5) Release_Track'!$I:$I},2,0),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E758" s="116" t="str">
        <f t="array" ref="E758">ifs(and(isblank($A758),isblank($B758)),"", not(iserror(vlookup($A758&amp;$B758,'5) Release_Track'!$F:$F&amp;'5) Release_Track'!$G:$G,1,0))),vlookup($A758&amp;$B758,{'5) Release_Track'!$F:$F&amp;'5) Release_Track'!$G:$G,'5) Release_Track'!$J:$J},2,0),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F758" s="88"/>
      <c r="G758" s="92"/>
      <c r="H758" s="185"/>
      <c r="I758" s="121" t="str">
        <f t="shared" si="2"/>
        <v/>
      </c>
      <c r="J758" s="92"/>
      <c r="K758" s="92"/>
    </row>
    <row r="759">
      <c r="B759" s="97"/>
      <c r="C759" s="121" t="str">
        <f t="array" ref="C759">ifs(and(isblank($A759),isblank($B759)),"", not(iserror(vlookup($A759&amp;$B759,'5) Release_Track'!$F:$F&amp;'5) Release_Track'!$G:$G,1,0))),vlookup($A759&amp;$B759,{'5) Release_Track'!$F:$F&amp;'5) Release_Track'!$G:$G,'5) Release_Track'!$H:$H},2,0),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D759" s="121" t="str">
        <f t="array" ref="D759">ifs(and(isblank($A759),isblank($B759)),"", not(iserror(vlookup($A759&amp;$B759,'5) Release_Track'!$F:$F&amp;'5) Release_Track'!$G:$G,1,0))),vlookup($A759&amp;$B759,{'5) Release_Track'!$F:$F&amp;'5) Release_Track'!$G:$G,'5) Release_Track'!$I:$I},2,0),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E759" s="116" t="str">
        <f t="array" ref="E759">ifs(and(isblank($A759),isblank($B759)),"", not(iserror(vlookup($A759&amp;$B759,'5) Release_Track'!$F:$F&amp;'5) Release_Track'!$G:$G,1,0))),vlookup($A759&amp;$B759,{'5) Release_Track'!$F:$F&amp;'5) Release_Track'!$G:$G,'5) Release_Track'!$J:$J},2,0),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F759" s="88"/>
      <c r="G759" s="92"/>
      <c r="H759" s="185"/>
      <c r="I759" s="121" t="str">
        <f t="shared" si="2"/>
        <v/>
      </c>
      <c r="J759" s="92"/>
      <c r="K759" s="92"/>
    </row>
    <row r="760">
      <c r="B760" s="97"/>
      <c r="C760" s="121" t="str">
        <f t="array" ref="C760">ifs(and(isblank($A760),isblank($B760)),"", not(iserror(vlookup($A760&amp;$B760,'5) Release_Track'!$F:$F&amp;'5) Release_Track'!$G:$G,1,0))),vlookup($A760&amp;$B760,{'5) Release_Track'!$F:$F&amp;'5) Release_Track'!$G:$G,'5) Release_Track'!$H:$H},2,0),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D760" s="121" t="str">
        <f t="array" ref="D760">ifs(and(isblank($A760),isblank($B760)),"", not(iserror(vlookup($A760&amp;$B760,'5) Release_Track'!$F:$F&amp;'5) Release_Track'!$G:$G,1,0))),vlookup($A760&amp;$B760,{'5) Release_Track'!$F:$F&amp;'5) Release_Track'!$G:$G,'5) Release_Track'!$I:$I},2,0),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E760" s="116" t="str">
        <f t="array" ref="E760">ifs(and(isblank($A760),isblank($B760)),"", not(iserror(vlookup($A760&amp;$B760,'5) Release_Track'!$F:$F&amp;'5) Release_Track'!$G:$G,1,0))),vlookup($A760&amp;$B760,{'5) Release_Track'!$F:$F&amp;'5) Release_Track'!$G:$G,'5) Release_Track'!$J:$J},2,0),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F760" s="88"/>
      <c r="G760" s="92"/>
      <c r="H760" s="185"/>
      <c r="I760" s="121" t="str">
        <f t="shared" si="2"/>
        <v/>
      </c>
      <c r="J760" s="92"/>
      <c r="K760" s="92"/>
    </row>
    <row r="761">
      <c r="B761" s="97"/>
      <c r="C761" s="121" t="str">
        <f t="array" ref="C761">ifs(and(isblank($A761),isblank($B761)),"", not(iserror(vlookup($A761&amp;$B761,'5) Release_Track'!$F:$F&amp;'5) Release_Track'!$G:$G,1,0))),vlookup($A761&amp;$B761,{'5) Release_Track'!$F:$F&amp;'5) Release_Track'!$G:$G,'5) Release_Track'!$H:$H},2,0),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D761" s="121" t="str">
        <f t="array" ref="D761">ifs(and(isblank($A761),isblank($B761)),"", not(iserror(vlookup($A761&amp;$B761,'5) Release_Track'!$F:$F&amp;'5) Release_Track'!$G:$G,1,0))),vlookup($A761&amp;$B761,{'5) Release_Track'!$F:$F&amp;'5) Release_Track'!$G:$G,'5) Release_Track'!$I:$I},2,0),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E761" s="116" t="str">
        <f t="array" ref="E761">ifs(and(isblank($A761),isblank($B761)),"", not(iserror(vlookup($A761&amp;$B761,'5) Release_Track'!$F:$F&amp;'5) Release_Track'!$G:$G,1,0))),vlookup($A761&amp;$B761,{'5) Release_Track'!$F:$F&amp;'5) Release_Track'!$G:$G,'5) Release_Track'!$J:$J},2,0),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F761" s="88"/>
      <c r="G761" s="92"/>
      <c r="H761" s="185"/>
      <c r="I761" s="121" t="str">
        <f t="shared" si="2"/>
        <v/>
      </c>
      <c r="J761" s="92"/>
      <c r="K761" s="92"/>
    </row>
    <row r="762">
      <c r="B762" s="97"/>
      <c r="C762" s="121" t="str">
        <f t="array" ref="C762">ifs(and(isblank($A762),isblank($B762)),"", not(iserror(vlookup($A762&amp;$B762,'5) Release_Track'!$F:$F&amp;'5) Release_Track'!$G:$G,1,0))),vlookup($A762&amp;$B762,{'5) Release_Track'!$F:$F&amp;'5) Release_Track'!$G:$G,'5) Release_Track'!$H:$H},2,0),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D762" s="121" t="str">
        <f t="array" ref="D762">ifs(and(isblank($A762),isblank($B762)),"", not(iserror(vlookup($A762&amp;$B762,'5) Release_Track'!$F:$F&amp;'5) Release_Track'!$G:$G,1,0))),vlookup($A762&amp;$B762,{'5) Release_Track'!$F:$F&amp;'5) Release_Track'!$G:$G,'5) Release_Track'!$I:$I},2,0),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E762" s="116" t="str">
        <f t="array" ref="E762">ifs(and(isblank($A762),isblank($B762)),"", not(iserror(vlookup($A762&amp;$B762,'5) Release_Track'!$F:$F&amp;'5) Release_Track'!$G:$G,1,0))),vlookup($A762&amp;$B762,{'5) Release_Track'!$F:$F&amp;'5) Release_Track'!$G:$G,'5) Release_Track'!$J:$J},2,0),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F762" s="88"/>
      <c r="G762" s="92"/>
      <c r="H762" s="185"/>
      <c r="I762" s="121" t="str">
        <f t="shared" si="2"/>
        <v/>
      </c>
      <c r="J762" s="92"/>
      <c r="K762" s="92"/>
    </row>
    <row r="763">
      <c r="B763" s="97"/>
      <c r="C763" s="121" t="str">
        <f t="array" ref="C763">ifs(and(isblank($A763),isblank($B763)),"", not(iserror(vlookup($A763&amp;$B763,'5) Release_Track'!$F:$F&amp;'5) Release_Track'!$G:$G,1,0))),vlookup($A763&amp;$B763,{'5) Release_Track'!$F:$F&amp;'5) Release_Track'!$G:$G,'5) Release_Track'!$H:$H},2,0),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D763" s="121" t="str">
        <f t="array" ref="D763">ifs(and(isblank($A763),isblank($B763)),"", not(iserror(vlookup($A763&amp;$B763,'5) Release_Track'!$F:$F&amp;'5) Release_Track'!$G:$G,1,0))),vlookup($A763&amp;$B763,{'5) Release_Track'!$F:$F&amp;'5) Release_Track'!$G:$G,'5) Release_Track'!$I:$I},2,0),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E763" s="116" t="str">
        <f t="array" ref="E763">ifs(and(isblank($A763),isblank($B763)),"", not(iserror(vlookup($A763&amp;$B763,'5) Release_Track'!$F:$F&amp;'5) Release_Track'!$G:$G,1,0))),vlookup($A763&amp;$B763,{'5) Release_Track'!$F:$F&amp;'5) Release_Track'!$G:$G,'5) Release_Track'!$J:$J},2,0),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F763" s="88"/>
      <c r="G763" s="92"/>
      <c r="H763" s="185"/>
      <c r="I763" s="121" t="str">
        <f t="shared" si="2"/>
        <v/>
      </c>
      <c r="J763" s="92"/>
      <c r="K763" s="92"/>
    </row>
    <row r="764">
      <c r="B764" s="97"/>
      <c r="C764" s="121" t="str">
        <f t="array" ref="C764">ifs(and(isblank($A764),isblank($B764)),"", not(iserror(vlookup($A764&amp;$B764,'5) Release_Track'!$F:$F&amp;'5) Release_Track'!$G:$G,1,0))),vlookup($A764&amp;$B764,{'5) Release_Track'!$F:$F&amp;'5) Release_Track'!$G:$G,'5) Release_Track'!$H:$H},2,0),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D764" s="121" t="str">
        <f t="array" ref="D764">ifs(and(isblank($A764),isblank($B764)),"", not(iserror(vlookup($A764&amp;$B764,'5) Release_Track'!$F:$F&amp;'5) Release_Track'!$G:$G,1,0))),vlookup($A764&amp;$B764,{'5) Release_Track'!$F:$F&amp;'5) Release_Track'!$G:$G,'5) Release_Track'!$I:$I},2,0),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E764" s="116" t="str">
        <f t="array" ref="E764">ifs(and(isblank($A764),isblank($B764)),"", not(iserror(vlookup($A764&amp;$B764,'5) Release_Track'!$F:$F&amp;'5) Release_Track'!$G:$G,1,0))),vlookup($A764&amp;$B764,{'5) Release_Track'!$F:$F&amp;'5) Release_Track'!$G:$G,'5) Release_Track'!$J:$J},2,0),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F764" s="88"/>
      <c r="G764" s="92"/>
      <c r="H764" s="185"/>
      <c r="I764" s="121" t="str">
        <f t="shared" si="2"/>
        <v/>
      </c>
      <c r="J764" s="92"/>
      <c r="K764" s="92"/>
    </row>
    <row r="765">
      <c r="B765" s="97"/>
      <c r="C765" s="121" t="str">
        <f t="array" ref="C765">ifs(and(isblank($A765),isblank($B765)),"", not(iserror(vlookup($A765&amp;$B765,'5) Release_Track'!$F:$F&amp;'5) Release_Track'!$G:$G,1,0))),vlookup($A765&amp;$B765,{'5) Release_Track'!$F:$F&amp;'5) Release_Track'!$G:$G,'5) Release_Track'!$H:$H},2,0),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D765" s="121" t="str">
        <f t="array" ref="D765">ifs(and(isblank($A765),isblank($B765)),"", not(iserror(vlookup($A765&amp;$B765,'5) Release_Track'!$F:$F&amp;'5) Release_Track'!$G:$G,1,0))),vlookup($A765&amp;$B765,{'5) Release_Track'!$F:$F&amp;'5) Release_Track'!$G:$G,'5) Release_Track'!$I:$I},2,0),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E765" s="116" t="str">
        <f t="array" ref="E765">ifs(and(isblank($A765),isblank($B765)),"", not(iserror(vlookup($A765&amp;$B765,'5) Release_Track'!$F:$F&amp;'5) Release_Track'!$G:$G,1,0))),vlookup($A765&amp;$B765,{'5) Release_Track'!$F:$F&amp;'5) Release_Track'!$G:$G,'5) Release_Track'!$J:$J},2,0),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F765" s="88"/>
      <c r="G765" s="92"/>
      <c r="H765" s="185"/>
      <c r="I765" s="121" t="str">
        <f t="shared" si="2"/>
        <v/>
      </c>
      <c r="J765" s="92"/>
      <c r="K765" s="92"/>
    </row>
    <row r="766">
      <c r="B766" s="97"/>
      <c r="C766" s="121" t="str">
        <f t="array" ref="C766">ifs(and(isblank($A766),isblank($B766)),"", not(iserror(vlookup($A766&amp;$B766,'5) Release_Track'!$F:$F&amp;'5) Release_Track'!$G:$G,1,0))),vlookup($A766&amp;$B766,{'5) Release_Track'!$F:$F&amp;'5) Release_Track'!$G:$G,'5) Release_Track'!$H:$H},2,0),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D766" s="121" t="str">
        <f t="array" ref="D766">ifs(and(isblank($A766),isblank($B766)),"", not(iserror(vlookup($A766&amp;$B766,'5) Release_Track'!$F:$F&amp;'5) Release_Track'!$G:$G,1,0))),vlookup($A766&amp;$B766,{'5) Release_Track'!$F:$F&amp;'5) Release_Track'!$G:$G,'5) Release_Track'!$I:$I},2,0),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E766" s="116" t="str">
        <f t="array" ref="E766">ifs(and(isblank($A766),isblank($B766)),"", not(iserror(vlookup($A766&amp;$B766,'5) Release_Track'!$F:$F&amp;'5) Release_Track'!$G:$G,1,0))),vlookup($A766&amp;$B766,{'5) Release_Track'!$F:$F&amp;'5) Release_Track'!$G:$G,'5) Release_Track'!$J:$J},2,0),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F766" s="88"/>
      <c r="G766" s="92"/>
      <c r="H766" s="185"/>
      <c r="I766" s="121" t="str">
        <f t="shared" si="2"/>
        <v/>
      </c>
      <c r="J766" s="92"/>
      <c r="K766" s="92"/>
    </row>
    <row r="767">
      <c r="B767" s="97"/>
      <c r="C767" s="121" t="str">
        <f t="array" ref="C767">ifs(and(isblank($A767),isblank($B767)),"", not(iserror(vlookup($A767&amp;$B767,'5) Release_Track'!$F:$F&amp;'5) Release_Track'!$G:$G,1,0))),vlookup($A767&amp;$B767,{'5) Release_Track'!$F:$F&amp;'5) Release_Track'!$G:$G,'5) Release_Track'!$H:$H},2,0),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D767" s="121" t="str">
        <f t="array" ref="D767">ifs(and(isblank($A767),isblank($B767)),"", not(iserror(vlookup($A767&amp;$B767,'5) Release_Track'!$F:$F&amp;'5) Release_Track'!$G:$G,1,0))),vlookup($A767&amp;$B767,{'5) Release_Track'!$F:$F&amp;'5) Release_Track'!$G:$G,'5) Release_Track'!$I:$I},2,0),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E767" s="116" t="str">
        <f t="array" ref="E767">ifs(and(isblank($A767),isblank($B767)),"", not(iserror(vlookup($A767&amp;$B767,'5) Release_Track'!$F:$F&amp;'5) Release_Track'!$G:$G,1,0))),vlookup($A767&amp;$B767,{'5) Release_Track'!$F:$F&amp;'5) Release_Track'!$G:$G,'5) Release_Track'!$J:$J},2,0),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F767" s="88"/>
      <c r="G767" s="92"/>
      <c r="H767" s="185"/>
      <c r="I767" s="121" t="str">
        <f t="shared" si="2"/>
        <v/>
      </c>
      <c r="J767" s="92"/>
      <c r="K767" s="92"/>
    </row>
    <row r="768">
      <c r="B768" s="97"/>
      <c r="C768" s="121" t="str">
        <f t="array" ref="C768">ifs(and(isblank($A768),isblank($B768)),"", not(iserror(vlookup($A768&amp;$B768,'5) Release_Track'!$F:$F&amp;'5) Release_Track'!$G:$G,1,0))),vlookup($A768&amp;$B768,{'5) Release_Track'!$F:$F&amp;'5) Release_Track'!$G:$G,'5) Release_Track'!$H:$H},2,0),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D768" s="121" t="str">
        <f t="array" ref="D768">ifs(and(isblank($A768),isblank($B768)),"", not(iserror(vlookup($A768&amp;$B768,'5) Release_Track'!$F:$F&amp;'5) Release_Track'!$G:$G,1,0))),vlookup($A768&amp;$B768,{'5) Release_Track'!$F:$F&amp;'5) Release_Track'!$G:$G,'5) Release_Track'!$I:$I},2,0),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E768" s="116" t="str">
        <f t="array" ref="E768">ifs(and(isblank($A768),isblank($B768)),"", not(iserror(vlookup($A768&amp;$B768,'5) Release_Track'!$F:$F&amp;'5) Release_Track'!$G:$G,1,0))),vlookup($A768&amp;$B768,{'5) Release_Track'!$F:$F&amp;'5) Release_Track'!$G:$G,'5) Release_Track'!$J:$J},2,0),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F768" s="88"/>
      <c r="G768" s="92"/>
      <c r="H768" s="185"/>
      <c r="I768" s="121" t="str">
        <f t="shared" si="2"/>
        <v/>
      </c>
      <c r="J768" s="92"/>
      <c r="K768" s="92"/>
    </row>
    <row r="769">
      <c r="B769" s="97"/>
      <c r="C769" s="121" t="str">
        <f t="array" ref="C769">ifs(and(isblank($A769),isblank($B769)),"", not(iserror(vlookup($A769&amp;$B769,'5) Release_Track'!$F:$F&amp;'5) Release_Track'!$G:$G,1,0))),vlookup($A769&amp;$B769,{'5) Release_Track'!$F:$F&amp;'5) Release_Track'!$G:$G,'5) Release_Track'!$H:$H},2,0),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D769" s="121" t="str">
        <f t="array" ref="D769">ifs(and(isblank($A769),isblank($B769)),"", not(iserror(vlookup($A769&amp;$B769,'5) Release_Track'!$F:$F&amp;'5) Release_Track'!$G:$G,1,0))),vlookup($A769&amp;$B769,{'5) Release_Track'!$F:$F&amp;'5) Release_Track'!$G:$G,'5) Release_Track'!$I:$I},2,0),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E769" s="116" t="str">
        <f t="array" ref="E769">ifs(and(isblank($A769),isblank($B769)),"", not(iserror(vlookup($A769&amp;$B769,'5) Release_Track'!$F:$F&amp;'5) Release_Track'!$G:$G,1,0))),vlookup($A769&amp;$B769,{'5) Release_Track'!$F:$F&amp;'5) Release_Track'!$G:$G,'5) Release_Track'!$J:$J},2,0),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F769" s="88"/>
      <c r="G769" s="92"/>
      <c r="H769" s="185"/>
      <c r="I769" s="121" t="str">
        <f t="shared" si="2"/>
        <v/>
      </c>
      <c r="J769" s="92"/>
      <c r="K769" s="92"/>
    </row>
    <row r="770">
      <c r="B770" s="97"/>
      <c r="C770" s="121" t="str">
        <f t="array" ref="C770">ifs(and(isblank($A770),isblank($B770)),"", not(iserror(vlookup($A770&amp;$B770,'5) Release_Track'!$F:$F&amp;'5) Release_Track'!$G:$G,1,0))),vlookup($A770&amp;$B770,{'5) Release_Track'!$F:$F&amp;'5) Release_Track'!$G:$G,'5) Release_Track'!$H:$H},2,0),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D770" s="121" t="str">
        <f t="array" ref="D770">ifs(and(isblank($A770),isblank($B770)),"", not(iserror(vlookup($A770&amp;$B770,'5) Release_Track'!$F:$F&amp;'5) Release_Track'!$G:$G,1,0))),vlookup($A770&amp;$B770,{'5) Release_Track'!$F:$F&amp;'5) Release_Track'!$G:$G,'5) Release_Track'!$I:$I},2,0),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E770" s="116" t="str">
        <f t="array" ref="E770">ifs(and(isblank($A770),isblank($B770)),"", not(iserror(vlookup($A770&amp;$B770,'5) Release_Track'!$F:$F&amp;'5) Release_Track'!$G:$G,1,0))),vlookup($A770&amp;$B770,{'5) Release_Track'!$F:$F&amp;'5) Release_Track'!$G:$G,'5) Release_Track'!$J:$J},2,0),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F770" s="88"/>
      <c r="G770" s="92"/>
      <c r="H770" s="185"/>
      <c r="I770" s="121" t="str">
        <f t="shared" si="2"/>
        <v/>
      </c>
      <c r="J770" s="92"/>
      <c r="K770" s="92"/>
    </row>
    <row r="771">
      <c r="B771" s="97"/>
      <c r="C771" s="121" t="str">
        <f t="array" ref="C771">ifs(and(isblank($A771),isblank($B771)),"", not(iserror(vlookup($A771&amp;$B771,'5) Release_Track'!$F:$F&amp;'5) Release_Track'!$G:$G,1,0))),vlookup($A771&amp;$B771,{'5) Release_Track'!$F:$F&amp;'5) Release_Track'!$G:$G,'5) Release_Track'!$H:$H},2,0),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D771" s="121" t="str">
        <f t="array" ref="D771">ifs(and(isblank($A771),isblank($B771)),"", not(iserror(vlookup($A771&amp;$B771,'5) Release_Track'!$F:$F&amp;'5) Release_Track'!$G:$G,1,0))),vlookup($A771&amp;$B771,{'5) Release_Track'!$F:$F&amp;'5) Release_Track'!$G:$G,'5) Release_Track'!$I:$I},2,0),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E771" s="116" t="str">
        <f t="array" ref="E771">ifs(and(isblank($A771),isblank($B771)),"", not(iserror(vlookup($A771&amp;$B771,'5) Release_Track'!$F:$F&amp;'5) Release_Track'!$G:$G,1,0))),vlookup($A771&amp;$B771,{'5) Release_Track'!$F:$F&amp;'5) Release_Track'!$G:$G,'5) Release_Track'!$J:$J},2,0),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F771" s="88"/>
      <c r="G771" s="92"/>
      <c r="H771" s="185"/>
      <c r="I771" s="121" t="str">
        <f t="shared" si="2"/>
        <v/>
      </c>
      <c r="J771" s="92"/>
      <c r="K771" s="92"/>
    </row>
    <row r="772">
      <c r="B772" s="97"/>
      <c r="C772" s="121" t="str">
        <f t="array" ref="C772">ifs(and(isblank($A772),isblank($B772)),"", not(iserror(vlookup($A772&amp;$B772,'5) Release_Track'!$F:$F&amp;'5) Release_Track'!$G:$G,1,0))),vlookup($A772&amp;$B772,{'5) Release_Track'!$F:$F&amp;'5) Release_Track'!$G:$G,'5) Release_Track'!$H:$H},2,0),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D772" s="121" t="str">
        <f t="array" ref="D772">ifs(and(isblank($A772),isblank($B772)),"", not(iserror(vlookup($A772&amp;$B772,'5) Release_Track'!$F:$F&amp;'5) Release_Track'!$G:$G,1,0))),vlookup($A772&amp;$B772,{'5) Release_Track'!$F:$F&amp;'5) Release_Track'!$G:$G,'5) Release_Track'!$I:$I},2,0),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E772" s="116" t="str">
        <f t="array" ref="E772">ifs(and(isblank($A772),isblank($B772)),"", not(iserror(vlookup($A772&amp;$B772,'5) Release_Track'!$F:$F&amp;'5) Release_Track'!$G:$G,1,0))),vlookup($A772&amp;$B772,{'5) Release_Track'!$F:$F&amp;'5) Release_Track'!$G:$G,'5) Release_Track'!$J:$J},2,0),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F772" s="88"/>
      <c r="G772" s="92"/>
      <c r="H772" s="185"/>
      <c r="I772" s="121" t="str">
        <f t="shared" si="2"/>
        <v/>
      </c>
      <c r="J772" s="92"/>
      <c r="K772" s="92"/>
    </row>
    <row r="773">
      <c r="B773" s="97"/>
      <c r="C773" s="121" t="str">
        <f t="array" ref="C773">ifs(and(isblank($A773),isblank($B773)),"", not(iserror(vlookup($A773&amp;$B773,'5) Release_Track'!$F:$F&amp;'5) Release_Track'!$G:$G,1,0))),vlookup($A773&amp;$B773,{'5) Release_Track'!$F:$F&amp;'5) Release_Track'!$G:$G,'5) Release_Track'!$H:$H},2,0),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D773" s="121" t="str">
        <f t="array" ref="D773">ifs(and(isblank($A773),isblank($B773)),"", not(iserror(vlookup($A773&amp;$B773,'5) Release_Track'!$F:$F&amp;'5) Release_Track'!$G:$G,1,0))),vlookup($A773&amp;$B773,{'5) Release_Track'!$F:$F&amp;'5) Release_Track'!$G:$G,'5) Release_Track'!$I:$I},2,0),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E773" s="116" t="str">
        <f t="array" ref="E773">ifs(and(isblank($A773),isblank($B773)),"", not(iserror(vlookup($A773&amp;$B773,'5) Release_Track'!$F:$F&amp;'5) Release_Track'!$G:$G,1,0))),vlookup($A773&amp;$B773,{'5) Release_Track'!$F:$F&amp;'5) Release_Track'!$G:$G,'5) Release_Track'!$J:$J},2,0),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F773" s="88"/>
      <c r="G773" s="92"/>
      <c r="H773" s="185"/>
      <c r="I773" s="121" t="str">
        <f t="shared" si="2"/>
        <v/>
      </c>
      <c r="J773" s="92"/>
      <c r="K773" s="92"/>
    </row>
    <row r="774">
      <c r="B774" s="97"/>
      <c r="C774" s="121" t="str">
        <f t="array" ref="C774">ifs(and(isblank($A774),isblank($B774)),"", not(iserror(vlookup($A774&amp;$B774,'5) Release_Track'!$F:$F&amp;'5) Release_Track'!$G:$G,1,0))),vlookup($A774&amp;$B774,{'5) Release_Track'!$F:$F&amp;'5) Release_Track'!$G:$G,'5) Release_Track'!$H:$H},2,0),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D774" s="121" t="str">
        <f t="array" ref="D774">ifs(and(isblank($A774),isblank($B774)),"", not(iserror(vlookup($A774&amp;$B774,'5) Release_Track'!$F:$F&amp;'5) Release_Track'!$G:$G,1,0))),vlookup($A774&amp;$B774,{'5) Release_Track'!$F:$F&amp;'5) Release_Track'!$G:$G,'5) Release_Track'!$I:$I},2,0),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E774" s="116" t="str">
        <f t="array" ref="E774">ifs(and(isblank($A774),isblank($B774)),"", not(iserror(vlookup($A774&amp;$B774,'5) Release_Track'!$F:$F&amp;'5) Release_Track'!$G:$G,1,0))),vlookup($A774&amp;$B774,{'5) Release_Track'!$F:$F&amp;'5) Release_Track'!$G:$G,'5) Release_Track'!$J:$J},2,0),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F774" s="88"/>
      <c r="G774" s="92"/>
      <c r="H774" s="185"/>
      <c r="I774" s="121" t="str">
        <f t="shared" si="2"/>
        <v/>
      </c>
      <c r="J774" s="92"/>
      <c r="K774" s="92"/>
    </row>
    <row r="775">
      <c r="B775" s="97"/>
      <c r="C775" s="121" t="str">
        <f t="array" ref="C775">ifs(and(isblank($A775),isblank($B775)),"", not(iserror(vlookup($A775&amp;$B775,'5) Release_Track'!$F:$F&amp;'5) Release_Track'!$G:$G,1,0))),vlookup($A775&amp;$B775,{'5) Release_Track'!$F:$F&amp;'5) Release_Track'!$G:$G,'5) Release_Track'!$H:$H},2,0),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D775" s="121" t="str">
        <f t="array" ref="D775">ifs(and(isblank($A775),isblank($B775)),"", not(iserror(vlookup($A775&amp;$B775,'5) Release_Track'!$F:$F&amp;'5) Release_Track'!$G:$G,1,0))),vlookup($A775&amp;$B775,{'5) Release_Track'!$F:$F&amp;'5) Release_Track'!$G:$G,'5) Release_Track'!$I:$I},2,0),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E775" s="116" t="str">
        <f t="array" ref="E775">ifs(and(isblank($A775),isblank($B775)),"", not(iserror(vlookup($A775&amp;$B775,'5) Release_Track'!$F:$F&amp;'5) Release_Track'!$G:$G,1,0))),vlookup($A775&amp;$B775,{'5) Release_Track'!$F:$F&amp;'5) Release_Track'!$G:$G,'5) Release_Track'!$J:$J},2,0),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F775" s="88"/>
      <c r="G775" s="92"/>
      <c r="H775" s="185"/>
      <c r="I775" s="121" t="str">
        <f t="shared" si="2"/>
        <v/>
      </c>
      <c r="J775" s="92"/>
      <c r="K775" s="92"/>
    </row>
    <row r="776">
      <c r="B776" s="97"/>
      <c r="C776" s="121" t="str">
        <f t="array" ref="C776">ifs(and(isblank($A776),isblank($B776)),"", not(iserror(vlookup($A776&amp;$B776,'5) Release_Track'!$F:$F&amp;'5) Release_Track'!$G:$G,1,0))),vlookup($A776&amp;$B776,{'5) Release_Track'!$F:$F&amp;'5) Release_Track'!$G:$G,'5) Release_Track'!$H:$H},2,0),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D776" s="121" t="str">
        <f t="array" ref="D776">ifs(and(isblank($A776),isblank($B776)),"", not(iserror(vlookup($A776&amp;$B776,'5) Release_Track'!$F:$F&amp;'5) Release_Track'!$G:$G,1,0))),vlookup($A776&amp;$B776,{'5) Release_Track'!$F:$F&amp;'5) Release_Track'!$G:$G,'5) Release_Track'!$I:$I},2,0),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E776" s="116" t="str">
        <f t="array" ref="E776">ifs(and(isblank($A776),isblank($B776)),"", not(iserror(vlookup($A776&amp;$B776,'5) Release_Track'!$F:$F&amp;'5) Release_Track'!$G:$G,1,0))),vlookup($A776&amp;$B776,{'5) Release_Track'!$F:$F&amp;'5) Release_Track'!$G:$G,'5) Release_Track'!$J:$J},2,0),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F776" s="88"/>
      <c r="G776" s="92"/>
      <c r="H776" s="185"/>
      <c r="I776" s="121" t="str">
        <f t="shared" si="2"/>
        <v/>
      </c>
      <c r="J776" s="92"/>
      <c r="K776" s="92"/>
    </row>
    <row r="777">
      <c r="B777" s="97"/>
      <c r="C777" s="121" t="str">
        <f t="array" ref="C777">ifs(and(isblank($A777),isblank($B777)),"", not(iserror(vlookup($A777&amp;$B777,'5) Release_Track'!$F:$F&amp;'5) Release_Track'!$G:$G,1,0))),vlookup($A777&amp;$B777,{'5) Release_Track'!$F:$F&amp;'5) Release_Track'!$G:$G,'5) Release_Track'!$H:$H},2,0),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D777" s="121" t="str">
        <f t="array" ref="D777">ifs(and(isblank($A777),isblank($B777)),"", not(iserror(vlookup($A777&amp;$B777,'5) Release_Track'!$F:$F&amp;'5) Release_Track'!$G:$G,1,0))),vlookup($A777&amp;$B777,{'5) Release_Track'!$F:$F&amp;'5) Release_Track'!$G:$G,'5) Release_Track'!$I:$I},2,0),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E777" s="116" t="str">
        <f t="array" ref="E777">ifs(and(isblank($A777),isblank($B777)),"", not(iserror(vlookup($A777&amp;$B777,'5) Release_Track'!$F:$F&amp;'5) Release_Track'!$G:$G,1,0))),vlookup($A777&amp;$B777,{'5) Release_Track'!$F:$F&amp;'5) Release_Track'!$G:$G,'5) Release_Track'!$J:$J},2,0),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F777" s="88"/>
      <c r="G777" s="92"/>
      <c r="H777" s="185"/>
      <c r="I777" s="121" t="str">
        <f t="shared" si="2"/>
        <v/>
      </c>
      <c r="J777" s="92"/>
      <c r="K777" s="92"/>
    </row>
    <row r="778">
      <c r="B778" s="97"/>
      <c r="C778" s="121" t="str">
        <f t="array" ref="C778">ifs(and(isblank($A778),isblank($B778)),"", not(iserror(vlookup($A778&amp;$B778,'5) Release_Track'!$F:$F&amp;'5) Release_Track'!$G:$G,1,0))),vlookup($A778&amp;$B778,{'5) Release_Track'!$F:$F&amp;'5) Release_Track'!$G:$G,'5) Release_Track'!$H:$H},2,0),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D778" s="121" t="str">
        <f t="array" ref="D778">ifs(and(isblank($A778),isblank($B778)),"", not(iserror(vlookup($A778&amp;$B778,'5) Release_Track'!$F:$F&amp;'5) Release_Track'!$G:$G,1,0))),vlookup($A778&amp;$B778,{'5) Release_Track'!$F:$F&amp;'5) Release_Track'!$G:$G,'5) Release_Track'!$I:$I},2,0),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E778" s="116" t="str">
        <f t="array" ref="E778">ifs(and(isblank($A778),isblank($B778)),"", not(iserror(vlookup($A778&amp;$B778,'5) Release_Track'!$F:$F&amp;'5) Release_Track'!$G:$G,1,0))),vlookup($A778&amp;$B778,{'5) Release_Track'!$F:$F&amp;'5) Release_Track'!$G:$G,'5) Release_Track'!$J:$J},2,0),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F778" s="88"/>
      <c r="G778" s="92"/>
      <c r="H778" s="185"/>
      <c r="I778" s="121" t="str">
        <f t="shared" si="2"/>
        <v/>
      </c>
      <c r="J778" s="92"/>
      <c r="K778" s="92"/>
    </row>
    <row r="779">
      <c r="B779" s="97"/>
      <c r="C779" s="121" t="str">
        <f t="array" ref="C779">ifs(and(isblank($A779),isblank($B779)),"", not(iserror(vlookup($A779&amp;$B779,'5) Release_Track'!$F:$F&amp;'5) Release_Track'!$G:$G,1,0))),vlookup($A779&amp;$B779,{'5) Release_Track'!$F:$F&amp;'5) Release_Track'!$G:$G,'5) Release_Track'!$H:$H},2,0),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D779" s="121" t="str">
        <f t="array" ref="D779">ifs(and(isblank($A779),isblank($B779)),"", not(iserror(vlookup($A779&amp;$B779,'5) Release_Track'!$F:$F&amp;'5) Release_Track'!$G:$G,1,0))),vlookup($A779&amp;$B779,{'5) Release_Track'!$F:$F&amp;'5) Release_Track'!$G:$G,'5) Release_Track'!$I:$I},2,0),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E779" s="116" t="str">
        <f t="array" ref="E779">ifs(and(isblank($A779),isblank($B779)),"", not(iserror(vlookup($A779&amp;$B779,'5) Release_Track'!$F:$F&amp;'5) Release_Track'!$G:$G,1,0))),vlookup($A779&amp;$B779,{'5) Release_Track'!$F:$F&amp;'5) Release_Track'!$G:$G,'5) Release_Track'!$J:$J},2,0),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F779" s="88"/>
      <c r="G779" s="92"/>
      <c r="H779" s="185"/>
      <c r="I779" s="121" t="str">
        <f t="shared" si="2"/>
        <v/>
      </c>
      <c r="J779" s="92"/>
      <c r="K779" s="92"/>
    </row>
    <row r="780">
      <c r="B780" s="97"/>
      <c r="C780" s="121" t="str">
        <f t="array" ref="C780">ifs(and(isblank($A780),isblank($B780)),"", not(iserror(vlookup($A780&amp;$B780,'5) Release_Track'!$F:$F&amp;'5) Release_Track'!$G:$G,1,0))),vlookup($A780&amp;$B780,{'5) Release_Track'!$F:$F&amp;'5) Release_Track'!$G:$G,'5) Release_Track'!$H:$H},2,0),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D780" s="121" t="str">
        <f t="array" ref="D780">ifs(and(isblank($A780),isblank($B780)),"", not(iserror(vlookup($A780&amp;$B780,'5) Release_Track'!$F:$F&amp;'5) Release_Track'!$G:$G,1,0))),vlookup($A780&amp;$B780,{'5) Release_Track'!$F:$F&amp;'5) Release_Track'!$G:$G,'5) Release_Track'!$I:$I},2,0),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E780" s="116" t="str">
        <f t="array" ref="E780">ifs(and(isblank($A780),isblank($B780)),"", not(iserror(vlookup($A780&amp;$B780,'5) Release_Track'!$F:$F&amp;'5) Release_Track'!$G:$G,1,0))),vlookup($A780&amp;$B780,{'5) Release_Track'!$F:$F&amp;'5) Release_Track'!$G:$G,'5) Release_Track'!$J:$J},2,0),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F780" s="88"/>
      <c r="G780" s="92"/>
      <c r="H780" s="185"/>
      <c r="I780" s="121" t="str">
        <f t="shared" si="2"/>
        <v/>
      </c>
      <c r="J780" s="92"/>
      <c r="K780" s="92"/>
    </row>
    <row r="781">
      <c r="B781" s="97"/>
      <c r="C781" s="121" t="str">
        <f t="array" ref="C781">ifs(and(isblank($A781),isblank($B781)),"", not(iserror(vlookup($A781&amp;$B781,'5) Release_Track'!$F:$F&amp;'5) Release_Track'!$G:$G,1,0))),vlookup($A781&amp;$B781,{'5) Release_Track'!$F:$F&amp;'5) Release_Track'!$G:$G,'5) Release_Track'!$H:$H},2,0),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D781" s="121" t="str">
        <f t="array" ref="D781">ifs(and(isblank($A781),isblank($B781)),"", not(iserror(vlookup($A781&amp;$B781,'5) Release_Track'!$F:$F&amp;'5) Release_Track'!$G:$G,1,0))),vlookup($A781&amp;$B781,{'5) Release_Track'!$F:$F&amp;'5) Release_Track'!$G:$G,'5) Release_Track'!$I:$I},2,0),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E781" s="116" t="str">
        <f t="array" ref="E781">ifs(and(isblank($A781),isblank($B781)),"", not(iserror(vlookup($A781&amp;$B781,'5) Release_Track'!$F:$F&amp;'5) Release_Track'!$G:$G,1,0))),vlookup($A781&amp;$B781,{'5) Release_Track'!$F:$F&amp;'5) Release_Track'!$G:$G,'5) Release_Track'!$J:$J},2,0),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F781" s="88"/>
      <c r="G781" s="92"/>
      <c r="H781" s="185"/>
      <c r="I781" s="121" t="str">
        <f t="shared" si="2"/>
        <v/>
      </c>
      <c r="J781" s="92"/>
      <c r="K781" s="92"/>
    </row>
    <row r="782">
      <c r="B782" s="97"/>
      <c r="C782" s="121" t="str">
        <f t="array" ref="C782">ifs(and(isblank($A782),isblank($B782)),"", not(iserror(vlookup($A782&amp;$B782,'5) Release_Track'!$F:$F&amp;'5) Release_Track'!$G:$G,1,0))),vlookup($A782&amp;$B782,{'5) Release_Track'!$F:$F&amp;'5) Release_Track'!$G:$G,'5) Release_Track'!$H:$H},2,0),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D782" s="121" t="str">
        <f t="array" ref="D782">ifs(and(isblank($A782),isblank($B782)),"", not(iserror(vlookup($A782&amp;$B782,'5) Release_Track'!$F:$F&amp;'5) Release_Track'!$G:$G,1,0))),vlookup($A782&amp;$B782,{'5) Release_Track'!$F:$F&amp;'5) Release_Track'!$G:$G,'5) Release_Track'!$I:$I},2,0),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E782" s="116" t="str">
        <f t="array" ref="E782">ifs(and(isblank($A782),isblank($B782)),"", not(iserror(vlookup($A782&amp;$B782,'5) Release_Track'!$F:$F&amp;'5) Release_Track'!$G:$G,1,0))),vlookup($A782&amp;$B782,{'5) Release_Track'!$F:$F&amp;'5) Release_Track'!$G:$G,'5) Release_Track'!$J:$J},2,0),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F782" s="88"/>
      <c r="G782" s="92"/>
      <c r="H782" s="185"/>
      <c r="I782" s="121" t="str">
        <f t="shared" si="2"/>
        <v/>
      </c>
      <c r="J782" s="92"/>
      <c r="K782" s="92"/>
    </row>
    <row r="783">
      <c r="B783" s="97"/>
      <c r="C783" s="121" t="str">
        <f t="array" ref="C783">ifs(and(isblank($A783),isblank($B783)),"", not(iserror(vlookup($A783&amp;$B783,'5) Release_Track'!$F:$F&amp;'5) Release_Track'!$G:$G,1,0))),vlookup($A783&amp;$B783,{'5) Release_Track'!$F:$F&amp;'5) Release_Track'!$G:$G,'5) Release_Track'!$H:$H},2,0),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D783" s="121" t="str">
        <f t="array" ref="D783">ifs(and(isblank($A783),isblank($B783)),"", not(iserror(vlookup($A783&amp;$B783,'5) Release_Track'!$F:$F&amp;'5) Release_Track'!$G:$G,1,0))),vlookup($A783&amp;$B783,{'5) Release_Track'!$F:$F&amp;'5) Release_Track'!$G:$G,'5) Release_Track'!$I:$I},2,0),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E783" s="116" t="str">
        <f t="array" ref="E783">ifs(and(isblank($A783),isblank($B783)),"", not(iserror(vlookup($A783&amp;$B783,'5) Release_Track'!$F:$F&amp;'5) Release_Track'!$G:$G,1,0))),vlookup($A783&amp;$B783,{'5) Release_Track'!$F:$F&amp;'5) Release_Track'!$G:$G,'5) Release_Track'!$J:$J},2,0),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F783" s="88"/>
      <c r="G783" s="92"/>
      <c r="H783" s="185"/>
      <c r="I783" s="121" t="str">
        <f t="shared" si="2"/>
        <v/>
      </c>
      <c r="J783" s="92"/>
      <c r="K783" s="92"/>
    </row>
    <row r="784">
      <c r="B784" s="97"/>
      <c r="C784" s="121" t="str">
        <f t="array" ref="C784">ifs(and(isblank($A784),isblank($B784)),"", not(iserror(vlookup($A784&amp;$B784,'5) Release_Track'!$F:$F&amp;'5) Release_Track'!$G:$G,1,0))),vlookup($A784&amp;$B784,{'5) Release_Track'!$F:$F&amp;'5) Release_Track'!$G:$G,'5) Release_Track'!$H:$H},2,0),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D784" s="121" t="str">
        <f t="array" ref="D784">ifs(and(isblank($A784),isblank($B784)),"", not(iserror(vlookup($A784&amp;$B784,'5) Release_Track'!$F:$F&amp;'5) Release_Track'!$G:$G,1,0))),vlookup($A784&amp;$B784,{'5) Release_Track'!$F:$F&amp;'5) Release_Track'!$G:$G,'5) Release_Track'!$I:$I},2,0),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E784" s="116" t="str">
        <f t="array" ref="E784">ifs(and(isblank($A784),isblank($B784)),"", not(iserror(vlookup($A784&amp;$B784,'5) Release_Track'!$F:$F&amp;'5) Release_Track'!$G:$G,1,0))),vlookup($A784&amp;$B784,{'5) Release_Track'!$F:$F&amp;'5) Release_Track'!$G:$G,'5) Release_Track'!$J:$J},2,0),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F784" s="88"/>
      <c r="G784" s="92"/>
      <c r="H784" s="185"/>
      <c r="I784" s="121" t="str">
        <f t="shared" si="2"/>
        <v/>
      </c>
      <c r="J784" s="92"/>
      <c r="K784" s="92"/>
    </row>
    <row r="785">
      <c r="B785" s="97"/>
      <c r="C785" s="121" t="str">
        <f t="array" ref="C785">ifs(and(isblank($A785),isblank($B785)),"", not(iserror(vlookup($A785&amp;$B785,'5) Release_Track'!$F:$F&amp;'5) Release_Track'!$G:$G,1,0))),vlookup($A785&amp;$B785,{'5) Release_Track'!$F:$F&amp;'5) Release_Track'!$G:$G,'5) Release_Track'!$H:$H},2,0),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D785" s="121" t="str">
        <f t="array" ref="D785">ifs(and(isblank($A785),isblank($B785)),"", not(iserror(vlookup($A785&amp;$B785,'5) Release_Track'!$F:$F&amp;'5) Release_Track'!$G:$G,1,0))),vlookup($A785&amp;$B785,{'5) Release_Track'!$F:$F&amp;'5) Release_Track'!$G:$G,'5) Release_Track'!$I:$I},2,0),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E785" s="116" t="str">
        <f t="array" ref="E785">ifs(and(isblank($A785),isblank($B785)),"", not(iserror(vlookup($A785&amp;$B785,'5) Release_Track'!$F:$F&amp;'5) Release_Track'!$G:$G,1,0))),vlookup($A785&amp;$B785,{'5) Release_Track'!$F:$F&amp;'5) Release_Track'!$G:$G,'5) Release_Track'!$J:$J},2,0),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F785" s="88"/>
      <c r="G785" s="92"/>
      <c r="H785" s="185"/>
      <c r="I785" s="121" t="str">
        <f t="shared" si="2"/>
        <v/>
      </c>
      <c r="J785" s="92"/>
      <c r="K785" s="92"/>
    </row>
    <row r="786">
      <c r="B786" s="97"/>
      <c r="C786" s="121" t="str">
        <f t="array" ref="C786">ifs(and(isblank($A786),isblank($B786)),"", not(iserror(vlookup($A786&amp;$B786,'5) Release_Track'!$F:$F&amp;'5) Release_Track'!$G:$G,1,0))),vlookup($A786&amp;$B786,{'5) Release_Track'!$F:$F&amp;'5) Release_Track'!$G:$G,'5) Release_Track'!$H:$H},2,0),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D786" s="121" t="str">
        <f t="array" ref="D786">ifs(and(isblank($A786),isblank($B786)),"", not(iserror(vlookup($A786&amp;$B786,'5) Release_Track'!$F:$F&amp;'5) Release_Track'!$G:$G,1,0))),vlookup($A786&amp;$B786,{'5) Release_Track'!$F:$F&amp;'5) Release_Track'!$G:$G,'5) Release_Track'!$I:$I},2,0),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E786" s="116" t="str">
        <f t="array" ref="E786">ifs(and(isblank($A786),isblank($B786)),"", not(iserror(vlookup($A786&amp;$B786,'5) Release_Track'!$F:$F&amp;'5) Release_Track'!$G:$G,1,0))),vlookup($A786&amp;$B786,{'5) Release_Track'!$F:$F&amp;'5) Release_Track'!$G:$G,'5) Release_Track'!$J:$J},2,0),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F786" s="88"/>
      <c r="G786" s="92"/>
      <c r="H786" s="185"/>
      <c r="I786" s="121" t="str">
        <f t="shared" si="2"/>
        <v/>
      </c>
      <c r="J786" s="92"/>
      <c r="K786" s="92"/>
    </row>
    <row r="787">
      <c r="B787" s="97"/>
      <c r="C787" s="121" t="str">
        <f t="array" ref="C787">ifs(and(isblank($A787),isblank($B787)),"", not(iserror(vlookup($A787&amp;$B787,'5) Release_Track'!$F:$F&amp;'5) Release_Track'!$G:$G,1,0))),vlookup($A787&amp;$B787,{'5) Release_Track'!$F:$F&amp;'5) Release_Track'!$G:$G,'5) Release_Track'!$H:$H},2,0),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D787" s="121" t="str">
        <f t="array" ref="D787">ifs(and(isblank($A787),isblank($B787)),"", not(iserror(vlookup($A787&amp;$B787,'5) Release_Track'!$F:$F&amp;'5) Release_Track'!$G:$G,1,0))),vlookup($A787&amp;$B787,{'5) Release_Track'!$F:$F&amp;'5) Release_Track'!$G:$G,'5) Release_Track'!$I:$I},2,0),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E787" s="116" t="str">
        <f t="array" ref="E787">ifs(and(isblank($A787),isblank($B787)),"", not(iserror(vlookup($A787&amp;$B787,'5) Release_Track'!$F:$F&amp;'5) Release_Track'!$G:$G,1,0))),vlookup($A787&amp;$B787,{'5) Release_Track'!$F:$F&amp;'5) Release_Track'!$G:$G,'5) Release_Track'!$J:$J},2,0),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F787" s="88"/>
      <c r="G787" s="92"/>
      <c r="H787" s="185"/>
      <c r="I787" s="121" t="str">
        <f t="shared" si="2"/>
        <v/>
      </c>
      <c r="J787" s="92"/>
      <c r="K787" s="92"/>
    </row>
    <row r="788">
      <c r="B788" s="97"/>
      <c r="C788" s="121" t="str">
        <f t="array" ref="C788">ifs(and(isblank($A788),isblank($B788)),"", not(iserror(vlookup($A788&amp;$B788,'5) Release_Track'!$F:$F&amp;'5) Release_Track'!$G:$G,1,0))),vlookup($A788&amp;$B788,{'5) Release_Track'!$F:$F&amp;'5) Release_Track'!$G:$G,'5) Release_Track'!$H:$H},2,0),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D788" s="121" t="str">
        <f t="array" ref="D788">ifs(and(isblank($A788),isblank($B788)),"", not(iserror(vlookup($A788&amp;$B788,'5) Release_Track'!$F:$F&amp;'5) Release_Track'!$G:$G,1,0))),vlookup($A788&amp;$B788,{'5) Release_Track'!$F:$F&amp;'5) Release_Track'!$G:$G,'5) Release_Track'!$I:$I},2,0),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E788" s="116" t="str">
        <f t="array" ref="E788">ifs(and(isblank($A788),isblank($B788)),"", not(iserror(vlookup($A788&amp;$B788,'5) Release_Track'!$F:$F&amp;'5) Release_Track'!$G:$G,1,0))),vlookup($A788&amp;$B788,{'5) Release_Track'!$F:$F&amp;'5) Release_Track'!$G:$G,'5) Release_Track'!$J:$J},2,0),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F788" s="88"/>
      <c r="G788" s="92"/>
      <c r="H788" s="185"/>
      <c r="I788" s="121" t="str">
        <f t="shared" si="2"/>
        <v/>
      </c>
      <c r="J788" s="92"/>
      <c r="K788" s="92"/>
    </row>
    <row r="789">
      <c r="B789" s="97"/>
      <c r="C789" s="121" t="str">
        <f t="array" ref="C789">ifs(and(isblank($A789),isblank($B789)),"", not(iserror(vlookup($A789&amp;$B789,'5) Release_Track'!$F:$F&amp;'5) Release_Track'!$G:$G,1,0))),vlookup($A789&amp;$B789,{'5) Release_Track'!$F:$F&amp;'5) Release_Track'!$G:$G,'5) Release_Track'!$H:$H},2,0),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D789" s="121" t="str">
        <f t="array" ref="D789">ifs(and(isblank($A789),isblank($B789)),"", not(iserror(vlookup($A789&amp;$B789,'5) Release_Track'!$F:$F&amp;'5) Release_Track'!$G:$G,1,0))),vlookup($A789&amp;$B789,{'5) Release_Track'!$F:$F&amp;'5) Release_Track'!$G:$G,'5) Release_Track'!$I:$I},2,0),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E789" s="116" t="str">
        <f t="array" ref="E789">ifs(and(isblank($A789),isblank($B789)),"", not(iserror(vlookup($A789&amp;$B789,'5) Release_Track'!$F:$F&amp;'5) Release_Track'!$G:$G,1,0))),vlookup($A789&amp;$B789,{'5) Release_Track'!$F:$F&amp;'5) Release_Track'!$G:$G,'5) Release_Track'!$J:$J},2,0),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F789" s="88"/>
      <c r="G789" s="92"/>
      <c r="H789" s="185"/>
      <c r="I789" s="121" t="str">
        <f t="shared" si="2"/>
        <v/>
      </c>
      <c r="J789" s="92"/>
      <c r="K789" s="92"/>
    </row>
    <row r="790">
      <c r="B790" s="97"/>
      <c r="C790" s="121" t="str">
        <f t="array" ref="C790">ifs(and(isblank($A790),isblank($B790)),"", not(iserror(vlookup($A790&amp;$B790,'5) Release_Track'!$F:$F&amp;'5) Release_Track'!$G:$G,1,0))),vlookup($A790&amp;$B790,{'5) Release_Track'!$F:$F&amp;'5) Release_Track'!$G:$G,'5) Release_Track'!$H:$H},2,0),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D790" s="121" t="str">
        <f t="array" ref="D790">ifs(and(isblank($A790),isblank($B790)),"", not(iserror(vlookup($A790&amp;$B790,'5) Release_Track'!$F:$F&amp;'5) Release_Track'!$G:$G,1,0))),vlookup($A790&amp;$B790,{'5) Release_Track'!$F:$F&amp;'5) Release_Track'!$G:$G,'5) Release_Track'!$I:$I},2,0),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E790" s="116" t="str">
        <f t="array" ref="E790">ifs(and(isblank($A790),isblank($B790)),"", not(iserror(vlookup($A790&amp;$B790,'5) Release_Track'!$F:$F&amp;'5) Release_Track'!$G:$G,1,0))),vlookup($A790&amp;$B790,{'5) Release_Track'!$F:$F&amp;'5) Release_Track'!$G:$G,'5) Release_Track'!$J:$J},2,0),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F790" s="88"/>
      <c r="G790" s="92"/>
      <c r="H790" s="185"/>
      <c r="I790" s="121" t="str">
        <f t="shared" si="2"/>
        <v/>
      </c>
      <c r="J790" s="92"/>
      <c r="K790" s="92"/>
    </row>
    <row r="791">
      <c r="B791" s="97"/>
      <c r="C791" s="121" t="str">
        <f t="array" ref="C791">ifs(and(isblank($A791),isblank($B791)),"", not(iserror(vlookup($A791&amp;$B791,'5) Release_Track'!$F:$F&amp;'5) Release_Track'!$G:$G,1,0))),vlookup($A791&amp;$B791,{'5) Release_Track'!$F:$F&amp;'5) Release_Track'!$G:$G,'5) Release_Track'!$H:$H},2,0),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D791" s="121" t="str">
        <f t="array" ref="D791">ifs(and(isblank($A791),isblank($B791)),"", not(iserror(vlookup($A791&amp;$B791,'5) Release_Track'!$F:$F&amp;'5) Release_Track'!$G:$G,1,0))),vlookup($A791&amp;$B791,{'5) Release_Track'!$F:$F&amp;'5) Release_Track'!$G:$G,'5) Release_Track'!$I:$I},2,0),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E791" s="116" t="str">
        <f t="array" ref="E791">ifs(and(isblank($A791),isblank($B791)),"", not(iserror(vlookup($A791&amp;$B791,'5) Release_Track'!$F:$F&amp;'5) Release_Track'!$G:$G,1,0))),vlookup($A791&amp;$B791,{'5) Release_Track'!$F:$F&amp;'5) Release_Track'!$G:$G,'5) Release_Track'!$J:$J},2,0),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F791" s="88"/>
      <c r="G791" s="92"/>
      <c r="H791" s="185"/>
      <c r="I791" s="121" t="str">
        <f t="shared" si="2"/>
        <v/>
      </c>
      <c r="J791" s="92"/>
      <c r="K791" s="92"/>
    </row>
    <row r="792">
      <c r="B792" s="97"/>
      <c r="C792" s="121" t="str">
        <f t="array" ref="C792">ifs(and(isblank($A792),isblank($B792)),"", not(iserror(vlookup($A792&amp;$B792,'5) Release_Track'!$F:$F&amp;'5) Release_Track'!$G:$G,1,0))),vlookup($A792&amp;$B792,{'5) Release_Track'!$F:$F&amp;'5) Release_Track'!$G:$G,'5) Release_Track'!$H:$H},2,0),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D792" s="121" t="str">
        <f t="array" ref="D792">ifs(and(isblank($A792),isblank($B792)),"", not(iserror(vlookup($A792&amp;$B792,'5) Release_Track'!$F:$F&amp;'5) Release_Track'!$G:$G,1,0))),vlookup($A792&amp;$B792,{'5) Release_Track'!$F:$F&amp;'5) Release_Track'!$G:$G,'5) Release_Track'!$I:$I},2,0),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E792" s="116" t="str">
        <f t="array" ref="E792">ifs(and(isblank($A792),isblank($B792)),"", not(iserror(vlookup($A792&amp;$B792,'5) Release_Track'!$F:$F&amp;'5) Release_Track'!$G:$G,1,0))),vlookup($A792&amp;$B792,{'5) Release_Track'!$F:$F&amp;'5) Release_Track'!$G:$G,'5) Release_Track'!$J:$J},2,0),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F792" s="88"/>
      <c r="G792" s="92"/>
      <c r="H792" s="185"/>
      <c r="I792" s="121" t="str">
        <f t="shared" si="2"/>
        <v/>
      </c>
      <c r="J792" s="92"/>
      <c r="K792" s="92"/>
    </row>
    <row r="793">
      <c r="B793" s="97"/>
      <c r="C793" s="121" t="str">
        <f t="array" ref="C793">ifs(and(isblank($A793),isblank($B793)),"", not(iserror(vlookup($A793&amp;$B793,'5) Release_Track'!$F:$F&amp;'5) Release_Track'!$G:$G,1,0))),vlookup($A793&amp;$B793,{'5) Release_Track'!$F:$F&amp;'5) Release_Track'!$G:$G,'5) Release_Track'!$H:$H},2,0),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D793" s="121" t="str">
        <f t="array" ref="D793">ifs(and(isblank($A793),isblank($B793)),"", not(iserror(vlookup($A793&amp;$B793,'5) Release_Track'!$F:$F&amp;'5) Release_Track'!$G:$G,1,0))),vlookup($A793&amp;$B793,{'5) Release_Track'!$F:$F&amp;'5) Release_Track'!$G:$G,'5) Release_Track'!$I:$I},2,0),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E793" s="116" t="str">
        <f t="array" ref="E793">ifs(and(isblank($A793),isblank($B793)),"", not(iserror(vlookup($A793&amp;$B793,'5) Release_Track'!$F:$F&amp;'5) Release_Track'!$G:$G,1,0))),vlookup($A793&amp;$B793,{'5) Release_Track'!$F:$F&amp;'5) Release_Track'!$G:$G,'5) Release_Track'!$J:$J},2,0),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F793" s="88"/>
      <c r="G793" s="92"/>
      <c r="H793" s="185"/>
      <c r="I793" s="121" t="str">
        <f t="shared" si="2"/>
        <v/>
      </c>
      <c r="J793" s="92"/>
      <c r="K793" s="92"/>
    </row>
    <row r="794">
      <c r="B794" s="97"/>
      <c r="C794" s="121" t="str">
        <f t="array" ref="C794">ifs(and(isblank($A794),isblank($B794)),"", not(iserror(vlookup($A794&amp;$B794,'5) Release_Track'!$F:$F&amp;'5) Release_Track'!$G:$G,1,0))),vlookup($A794&amp;$B794,{'5) Release_Track'!$F:$F&amp;'5) Release_Track'!$G:$G,'5) Release_Track'!$H:$H},2,0),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D794" s="121" t="str">
        <f t="array" ref="D794">ifs(and(isblank($A794),isblank($B794)),"", not(iserror(vlookup($A794&amp;$B794,'5) Release_Track'!$F:$F&amp;'5) Release_Track'!$G:$G,1,0))),vlookup($A794&amp;$B794,{'5) Release_Track'!$F:$F&amp;'5) Release_Track'!$G:$G,'5) Release_Track'!$I:$I},2,0),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E794" s="116" t="str">
        <f t="array" ref="E794">ifs(and(isblank($A794),isblank($B794)),"", not(iserror(vlookup($A794&amp;$B794,'5) Release_Track'!$F:$F&amp;'5) Release_Track'!$G:$G,1,0))),vlookup($A794&amp;$B794,{'5) Release_Track'!$F:$F&amp;'5) Release_Track'!$G:$G,'5) Release_Track'!$J:$J},2,0),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F794" s="88"/>
      <c r="G794" s="92"/>
      <c r="H794" s="185"/>
      <c r="I794" s="121" t="str">
        <f t="shared" si="2"/>
        <v/>
      </c>
      <c r="J794" s="92"/>
      <c r="K794" s="92"/>
    </row>
    <row r="795">
      <c r="B795" s="97"/>
      <c r="C795" s="121" t="str">
        <f t="array" ref="C795">ifs(and(isblank($A795),isblank($B795)),"", not(iserror(vlookup($A795&amp;$B795,'5) Release_Track'!$F:$F&amp;'5) Release_Track'!$G:$G,1,0))),vlookup($A795&amp;$B795,{'5) Release_Track'!$F:$F&amp;'5) Release_Track'!$G:$G,'5) Release_Track'!$H:$H},2,0),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D795" s="121" t="str">
        <f t="array" ref="D795">ifs(and(isblank($A795),isblank($B795)),"", not(iserror(vlookup($A795&amp;$B795,'5) Release_Track'!$F:$F&amp;'5) Release_Track'!$G:$G,1,0))),vlookup($A795&amp;$B795,{'5) Release_Track'!$F:$F&amp;'5) Release_Track'!$G:$G,'5) Release_Track'!$I:$I},2,0),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E795" s="116" t="str">
        <f t="array" ref="E795">ifs(and(isblank($A795),isblank($B795)),"", not(iserror(vlookup($A795&amp;$B795,'5) Release_Track'!$F:$F&amp;'5) Release_Track'!$G:$G,1,0))),vlookup($A795&amp;$B795,{'5) Release_Track'!$F:$F&amp;'5) Release_Track'!$G:$G,'5) Release_Track'!$J:$J},2,0),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F795" s="88"/>
      <c r="G795" s="92"/>
      <c r="H795" s="185"/>
      <c r="I795" s="121" t="str">
        <f t="shared" si="2"/>
        <v/>
      </c>
      <c r="J795" s="92"/>
      <c r="K795" s="92"/>
    </row>
    <row r="796">
      <c r="B796" s="97"/>
      <c r="C796" s="121" t="str">
        <f t="array" ref="C796">ifs(and(isblank($A796),isblank($B796)),"", not(iserror(vlookup($A796&amp;$B796,'5) Release_Track'!$F:$F&amp;'5) Release_Track'!$G:$G,1,0))),vlookup($A796&amp;$B796,{'5) Release_Track'!$F:$F&amp;'5) Release_Track'!$G:$G,'5) Release_Track'!$H:$H},2,0),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D796" s="121" t="str">
        <f t="array" ref="D796">ifs(and(isblank($A796),isblank($B796)),"", not(iserror(vlookup($A796&amp;$B796,'5) Release_Track'!$F:$F&amp;'5) Release_Track'!$G:$G,1,0))),vlookup($A796&amp;$B796,{'5) Release_Track'!$F:$F&amp;'5) Release_Track'!$G:$G,'5) Release_Track'!$I:$I},2,0),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E796" s="116" t="str">
        <f t="array" ref="E796">ifs(and(isblank($A796),isblank($B796)),"", not(iserror(vlookup($A796&amp;$B796,'5) Release_Track'!$F:$F&amp;'5) Release_Track'!$G:$G,1,0))),vlookup($A796&amp;$B796,{'5) Release_Track'!$F:$F&amp;'5) Release_Track'!$G:$G,'5) Release_Track'!$J:$J},2,0),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F796" s="88"/>
      <c r="G796" s="92"/>
      <c r="H796" s="185"/>
      <c r="I796" s="121" t="str">
        <f t="shared" si="2"/>
        <v/>
      </c>
      <c r="J796" s="92"/>
      <c r="K796" s="92"/>
    </row>
    <row r="797">
      <c r="B797" s="97"/>
      <c r="C797" s="121" t="str">
        <f t="array" ref="C797">ifs(and(isblank($A797),isblank($B797)),"", not(iserror(vlookup($A797&amp;$B797,'5) Release_Track'!$F:$F&amp;'5) Release_Track'!$G:$G,1,0))),vlookup($A797&amp;$B797,{'5) Release_Track'!$F:$F&amp;'5) Release_Track'!$G:$G,'5) Release_Track'!$H:$H},2,0),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D797" s="121" t="str">
        <f t="array" ref="D797">ifs(and(isblank($A797),isblank($B797)),"", not(iserror(vlookup($A797&amp;$B797,'5) Release_Track'!$F:$F&amp;'5) Release_Track'!$G:$G,1,0))),vlookup($A797&amp;$B797,{'5) Release_Track'!$F:$F&amp;'5) Release_Track'!$G:$G,'5) Release_Track'!$I:$I},2,0),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E797" s="116" t="str">
        <f t="array" ref="E797">ifs(and(isblank($A797),isblank($B797)),"", not(iserror(vlookup($A797&amp;$B797,'5) Release_Track'!$F:$F&amp;'5) Release_Track'!$G:$G,1,0))),vlookup($A797&amp;$B797,{'5) Release_Track'!$F:$F&amp;'5) Release_Track'!$G:$G,'5) Release_Track'!$J:$J},2,0),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F797" s="88"/>
      <c r="G797" s="92"/>
      <c r="H797" s="185"/>
      <c r="I797" s="121" t="str">
        <f t="shared" si="2"/>
        <v/>
      </c>
      <c r="J797" s="92"/>
      <c r="K797" s="92"/>
    </row>
    <row r="798">
      <c r="B798" s="97"/>
      <c r="C798" s="121" t="str">
        <f t="array" ref="C798">ifs(and(isblank($A798),isblank($B798)),"", not(iserror(vlookup($A798&amp;$B798,'5) Release_Track'!$F:$F&amp;'5) Release_Track'!$G:$G,1,0))),vlookup($A798&amp;$B798,{'5) Release_Track'!$F:$F&amp;'5) Release_Track'!$G:$G,'5) Release_Track'!$H:$H},2,0),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D798" s="121" t="str">
        <f t="array" ref="D798">ifs(and(isblank($A798),isblank($B798)),"", not(iserror(vlookup($A798&amp;$B798,'5) Release_Track'!$F:$F&amp;'5) Release_Track'!$G:$G,1,0))),vlookup($A798&amp;$B798,{'5) Release_Track'!$F:$F&amp;'5) Release_Track'!$G:$G,'5) Release_Track'!$I:$I},2,0),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E798" s="116" t="str">
        <f t="array" ref="E798">ifs(and(isblank($A798),isblank($B798)),"", not(iserror(vlookup($A798&amp;$B798,'5) Release_Track'!$F:$F&amp;'5) Release_Track'!$G:$G,1,0))),vlookup($A798&amp;$B798,{'5) Release_Track'!$F:$F&amp;'5) Release_Track'!$G:$G,'5) Release_Track'!$J:$J},2,0),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F798" s="88"/>
      <c r="G798" s="92"/>
      <c r="H798" s="185"/>
      <c r="I798" s="121" t="str">
        <f t="shared" si="2"/>
        <v/>
      </c>
      <c r="J798" s="92"/>
      <c r="K798" s="92"/>
    </row>
    <row r="799">
      <c r="B799" s="97"/>
      <c r="C799" s="121" t="str">
        <f t="array" ref="C799">ifs(and(isblank($A799),isblank($B799)),"", not(iserror(vlookup($A799&amp;$B799,'5) Release_Track'!$F:$F&amp;'5) Release_Track'!$G:$G,1,0))),vlookup($A799&amp;$B799,{'5) Release_Track'!$F:$F&amp;'5) Release_Track'!$G:$G,'5) Release_Track'!$H:$H},2,0),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D799" s="121" t="str">
        <f t="array" ref="D799">ifs(and(isblank($A799),isblank($B799)),"", not(iserror(vlookup($A799&amp;$B799,'5) Release_Track'!$F:$F&amp;'5) Release_Track'!$G:$G,1,0))),vlookup($A799&amp;$B799,{'5) Release_Track'!$F:$F&amp;'5) Release_Track'!$G:$G,'5) Release_Track'!$I:$I},2,0),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E799" s="116" t="str">
        <f t="array" ref="E799">ifs(and(isblank($A799),isblank($B799)),"", not(iserror(vlookup($A799&amp;$B799,'5) Release_Track'!$F:$F&amp;'5) Release_Track'!$G:$G,1,0))),vlookup($A799&amp;$B799,{'5) Release_Track'!$F:$F&amp;'5) Release_Track'!$G:$G,'5) Release_Track'!$J:$J},2,0),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F799" s="88"/>
      <c r="G799" s="92"/>
      <c r="H799" s="185"/>
      <c r="I799" s="121" t="str">
        <f t="shared" si="2"/>
        <v/>
      </c>
      <c r="J799" s="92"/>
      <c r="K799" s="92"/>
    </row>
    <row r="800">
      <c r="B800" s="97"/>
      <c r="C800" s="121" t="str">
        <f t="array" ref="C800">ifs(and(isblank($A800),isblank($B800)),"", not(iserror(vlookup($A800&amp;$B800,'5) Release_Track'!$F:$F&amp;'5) Release_Track'!$G:$G,1,0))),vlookup($A800&amp;$B800,{'5) Release_Track'!$F:$F&amp;'5) Release_Track'!$G:$G,'5) Release_Track'!$H:$H},2,0),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D800" s="121" t="str">
        <f t="array" ref="D800">ifs(and(isblank($A800),isblank($B800)),"", not(iserror(vlookup($A800&amp;$B800,'5) Release_Track'!$F:$F&amp;'5) Release_Track'!$G:$G,1,0))),vlookup($A800&amp;$B800,{'5) Release_Track'!$F:$F&amp;'5) Release_Track'!$G:$G,'5) Release_Track'!$I:$I},2,0),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E800" s="116" t="str">
        <f t="array" ref="E800">ifs(and(isblank($A800),isblank($B800)),"", not(iserror(vlookup($A800&amp;$B800,'5) Release_Track'!$F:$F&amp;'5) Release_Track'!$G:$G,1,0))),vlookup($A800&amp;$B800,{'5) Release_Track'!$F:$F&amp;'5) Release_Track'!$G:$G,'5) Release_Track'!$J:$J},2,0),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F800" s="88"/>
      <c r="G800" s="92"/>
      <c r="H800" s="185"/>
      <c r="I800" s="121" t="str">
        <f t="shared" si="2"/>
        <v/>
      </c>
      <c r="J800" s="92"/>
      <c r="K800" s="92"/>
    </row>
    <row r="801">
      <c r="B801" s="97"/>
      <c r="C801" s="121" t="str">
        <f t="array" ref="C801">ifs(and(isblank($A801),isblank($B801)),"", not(iserror(vlookup($A801&amp;$B801,'5) Release_Track'!$F:$F&amp;'5) Release_Track'!$G:$G,1,0))),vlookup($A801&amp;$B801,{'5) Release_Track'!$F:$F&amp;'5) Release_Track'!$G:$G,'5) Release_Track'!$H:$H},2,0),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D801" s="121" t="str">
        <f t="array" ref="D801">ifs(and(isblank($A801),isblank($B801)),"", not(iserror(vlookup($A801&amp;$B801,'5) Release_Track'!$F:$F&amp;'5) Release_Track'!$G:$G,1,0))),vlookup($A801&amp;$B801,{'5) Release_Track'!$F:$F&amp;'5) Release_Track'!$G:$G,'5) Release_Track'!$I:$I},2,0),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E801" s="116" t="str">
        <f t="array" ref="E801">ifs(and(isblank($A801),isblank($B801)),"", not(iserror(vlookup($A801&amp;$B801,'5) Release_Track'!$F:$F&amp;'5) Release_Track'!$G:$G,1,0))),vlookup($A801&amp;$B801,{'5) Release_Track'!$F:$F&amp;'5) Release_Track'!$G:$G,'5) Release_Track'!$J:$J},2,0),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F801" s="88"/>
      <c r="G801" s="92"/>
      <c r="H801" s="185"/>
      <c r="I801" s="121" t="str">
        <f t="shared" si="2"/>
        <v/>
      </c>
      <c r="J801" s="92"/>
      <c r="K801" s="92"/>
    </row>
    <row r="802">
      <c r="B802" s="97"/>
      <c r="C802" s="121" t="str">
        <f t="array" ref="C802">ifs(and(isblank($A802),isblank($B802)),"", not(iserror(vlookup($A802&amp;$B802,'5) Release_Track'!$F:$F&amp;'5) Release_Track'!$G:$G,1,0))),vlookup($A802&amp;$B802,{'5) Release_Track'!$F:$F&amp;'5) Release_Track'!$G:$G,'5) Release_Track'!$H:$H},2,0),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D802" s="121" t="str">
        <f t="array" ref="D802">ifs(and(isblank($A802),isblank($B802)),"", not(iserror(vlookup($A802&amp;$B802,'5) Release_Track'!$F:$F&amp;'5) Release_Track'!$G:$G,1,0))),vlookup($A802&amp;$B802,{'5) Release_Track'!$F:$F&amp;'5) Release_Track'!$G:$G,'5) Release_Track'!$I:$I},2,0),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E802" s="116" t="str">
        <f t="array" ref="E802">ifs(and(isblank($A802),isblank($B802)),"", not(iserror(vlookup($A802&amp;$B802,'5) Release_Track'!$F:$F&amp;'5) Release_Track'!$G:$G,1,0))),vlookup($A802&amp;$B802,{'5) Release_Track'!$F:$F&amp;'5) Release_Track'!$G:$G,'5) Release_Track'!$J:$J},2,0),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F802" s="88"/>
      <c r="G802" s="92"/>
      <c r="H802" s="185"/>
      <c r="I802" s="121" t="str">
        <f t="shared" si="2"/>
        <v/>
      </c>
      <c r="J802" s="92"/>
      <c r="K802" s="92"/>
    </row>
    <row r="803">
      <c r="B803" s="97"/>
      <c r="C803" s="121" t="str">
        <f t="array" ref="C803">ifs(and(isblank($A803),isblank($B803)),"", not(iserror(vlookup($A803&amp;$B803,'5) Release_Track'!$F:$F&amp;'5) Release_Track'!$G:$G,1,0))),vlookup($A803&amp;$B803,{'5) Release_Track'!$F:$F&amp;'5) Release_Track'!$G:$G,'5) Release_Track'!$H:$H},2,0),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D803" s="121" t="str">
        <f t="array" ref="D803">ifs(and(isblank($A803),isblank($B803)),"", not(iserror(vlookup($A803&amp;$B803,'5) Release_Track'!$F:$F&amp;'5) Release_Track'!$G:$G,1,0))),vlookup($A803&amp;$B803,{'5) Release_Track'!$F:$F&amp;'5) Release_Track'!$G:$G,'5) Release_Track'!$I:$I},2,0),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E803" s="116" t="str">
        <f t="array" ref="E803">ifs(and(isblank($A803),isblank($B803)),"", not(iserror(vlookup($A803&amp;$B803,'5) Release_Track'!$F:$F&amp;'5) Release_Track'!$G:$G,1,0))),vlookup($A803&amp;$B803,{'5) Release_Track'!$F:$F&amp;'5) Release_Track'!$G:$G,'5) Release_Track'!$J:$J},2,0),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F803" s="88"/>
      <c r="G803" s="92"/>
      <c r="H803" s="185"/>
      <c r="I803" s="121" t="str">
        <f t="shared" si="2"/>
        <v/>
      </c>
      <c r="J803" s="92"/>
      <c r="K803" s="92"/>
    </row>
    <row r="804">
      <c r="B804" s="97"/>
      <c r="C804" s="121" t="str">
        <f t="array" ref="C804">ifs(and(isblank($A804),isblank($B804)),"", not(iserror(vlookup($A804&amp;$B804,'5) Release_Track'!$F:$F&amp;'5) Release_Track'!$G:$G,1,0))),vlookup($A804&amp;$B804,{'5) Release_Track'!$F:$F&amp;'5) Release_Track'!$G:$G,'5) Release_Track'!$H:$H},2,0),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D804" s="121" t="str">
        <f t="array" ref="D804">ifs(and(isblank($A804),isblank($B804)),"", not(iserror(vlookup($A804&amp;$B804,'5) Release_Track'!$F:$F&amp;'5) Release_Track'!$G:$G,1,0))),vlookup($A804&amp;$B804,{'5) Release_Track'!$F:$F&amp;'5) Release_Track'!$G:$G,'5) Release_Track'!$I:$I},2,0),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E804" s="116" t="str">
        <f t="array" ref="E804">ifs(and(isblank($A804),isblank($B804)),"", not(iserror(vlookup($A804&amp;$B804,'5) Release_Track'!$F:$F&amp;'5) Release_Track'!$G:$G,1,0))),vlookup($A804&amp;$B804,{'5) Release_Track'!$F:$F&amp;'5) Release_Track'!$G:$G,'5) Release_Track'!$J:$J},2,0),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F804" s="88"/>
      <c r="G804" s="92"/>
      <c r="H804" s="185"/>
      <c r="I804" s="121" t="str">
        <f t="shared" si="2"/>
        <v/>
      </c>
      <c r="J804" s="92"/>
      <c r="K804" s="92"/>
    </row>
    <row r="805">
      <c r="B805" s="97"/>
      <c r="C805" s="121" t="str">
        <f t="array" ref="C805">ifs(and(isblank($A805),isblank($B805)),"", not(iserror(vlookup($A805&amp;$B805,'5) Release_Track'!$F:$F&amp;'5) Release_Track'!$G:$G,1,0))),vlookup($A805&amp;$B805,{'5) Release_Track'!$F:$F&amp;'5) Release_Track'!$G:$G,'5) Release_Track'!$H:$H},2,0),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D805" s="121" t="str">
        <f t="array" ref="D805">ifs(and(isblank($A805),isblank($B805)),"", not(iserror(vlookup($A805&amp;$B805,'5) Release_Track'!$F:$F&amp;'5) Release_Track'!$G:$G,1,0))),vlookup($A805&amp;$B805,{'5) Release_Track'!$F:$F&amp;'5) Release_Track'!$G:$G,'5) Release_Track'!$I:$I},2,0),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E805" s="116" t="str">
        <f t="array" ref="E805">ifs(and(isblank($A805),isblank($B805)),"", not(iserror(vlookup($A805&amp;$B805,'5) Release_Track'!$F:$F&amp;'5) Release_Track'!$G:$G,1,0))),vlookup($A805&amp;$B805,{'5) Release_Track'!$F:$F&amp;'5) Release_Track'!$G:$G,'5) Release_Track'!$J:$J},2,0),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F805" s="88"/>
      <c r="G805" s="92"/>
      <c r="H805" s="185"/>
      <c r="I805" s="121" t="str">
        <f t="shared" si="2"/>
        <v/>
      </c>
      <c r="J805" s="92"/>
      <c r="K805" s="92"/>
    </row>
    <row r="806">
      <c r="B806" s="97"/>
      <c r="C806" s="121" t="str">
        <f t="array" ref="C806">ifs(and(isblank($A806),isblank($B806)),"", not(iserror(vlookup($A806&amp;$B806,'5) Release_Track'!$F:$F&amp;'5) Release_Track'!$G:$G,1,0))),vlookup($A806&amp;$B806,{'5) Release_Track'!$F:$F&amp;'5) Release_Track'!$G:$G,'5) Release_Track'!$H:$H},2,0),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D806" s="121" t="str">
        <f t="array" ref="D806">ifs(and(isblank($A806),isblank($B806)),"", not(iserror(vlookup($A806&amp;$B806,'5) Release_Track'!$F:$F&amp;'5) Release_Track'!$G:$G,1,0))),vlookup($A806&amp;$B806,{'5) Release_Track'!$F:$F&amp;'5) Release_Track'!$G:$G,'5) Release_Track'!$I:$I},2,0),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E806" s="116" t="str">
        <f t="array" ref="E806">ifs(and(isblank($A806),isblank($B806)),"", not(iserror(vlookup($A806&amp;$B806,'5) Release_Track'!$F:$F&amp;'5) Release_Track'!$G:$G,1,0))),vlookup($A806&amp;$B806,{'5) Release_Track'!$F:$F&amp;'5) Release_Track'!$G:$G,'5) Release_Track'!$J:$J},2,0),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F806" s="88"/>
      <c r="G806" s="92"/>
      <c r="H806" s="185"/>
      <c r="I806" s="121" t="str">
        <f t="shared" si="2"/>
        <v/>
      </c>
      <c r="J806" s="92"/>
      <c r="K806" s="92"/>
    </row>
    <row r="807">
      <c r="B807" s="97"/>
      <c r="C807" s="121" t="str">
        <f t="array" ref="C807">ifs(and(isblank($A807),isblank($B807)),"", not(iserror(vlookup($A807&amp;$B807,'5) Release_Track'!$F:$F&amp;'5) Release_Track'!$G:$G,1,0))),vlookup($A807&amp;$B807,{'5) Release_Track'!$F:$F&amp;'5) Release_Track'!$G:$G,'5) Release_Track'!$H:$H},2,0),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D807" s="121" t="str">
        <f t="array" ref="D807">ifs(and(isblank($A807),isblank($B807)),"", not(iserror(vlookup($A807&amp;$B807,'5) Release_Track'!$F:$F&amp;'5) Release_Track'!$G:$G,1,0))),vlookup($A807&amp;$B807,{'5) Release_Track'!$F:$F&amp;'5) Release_Track'!$G:$G,'5) Release_Track'!$I:$I},2,0),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E807" s="116" t="str">
        <f t="array" ref="E807">ifs(and(isblank($A807),isblank($B807)),"", not(iserror(vlookup($A807&amp;$B807,'5) Release_Track'!$F:$F&amp;'5) Release_Track'!$G:$G,1,0))),vlookup($A807&amp;$B807,{'5) Release_Track'!$F:$F&amp;'5) Release_Track'!$G:$G,'5) Release_Track'!$J:$J},2,0),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F807" s="88"/>
      <c r="G807" s="92"/>
      <c r="H807" s="185"/>
      <c r="I807" s="121" t="str">
        <f t="shared" si="2"/>
        <v/>
      </c>
      <c r="J807" s="92"/>
      <c r="K807" s="92"/>
    </row>
    <row r="808">
      <c r="B808" s="97"/>
      <c r="C808" s="121" t="str">
        <f t="array" ref="C808">ifs(and(isblank($A808),isblank($B808)),"", not(iserror(vlookup($A808&amp;$B808,'5) Release_Track'!$F:$F&amp;'5) Release_Track'!$G:$G,1,0))),vlookup($A808&amp;$B808,{'5) Release_Track'!$F:$F&amp;'5) Release_Track'!$G:$G,'5) Release_Track'!$H:$H},2,0),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D808" s="121" t="str">
        <f t="array" ref="D808">ifs(and(isblank($A808),isblank($B808)),"", not(iserror(vlookup($A808&amp;$B808,'5) Release_Track'!$F:$F&amp;'5) Release_Track'!$G:$G,1,0))),vlookup($A808&amp;$B808,{'5) Release_Track'!$F:$F&amp;'5) Release_Track'!$G:$G,'5) Release_Track'!$I:$I},2,0),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E808" s="116" t="str">
        <f t="array" ref="E808">ifs(and(isblank($A808),isblank($B808)),"", not(iserror(vlookup($A808&amp;$B808,'5) Release_Track'!$F:$F&amp;'5) Release_Track'!$G:$G,1,0))),vlookup($A808&amp;$B808,{'5) Release_Track'!$F:$F&amp;'5) Release_Track'!$G:$G,'5) Release_Track'!$J:$J},2,0),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F808" s="88"/>
      <c r="G808" s="92"/>
      <c r="H808" s="185"/>
      <c r="I808" s="121" t="str">
        <f t="shared" si="2"/>
        <v/>
      </c>
      <c r="J808" s="92"/>
      <c r="K808" s="92"/>
    </row>
    <row r="809">
      <c r="B809" s="97"/>
      <c r="C809" s="121" t="str">
        <f t="array" ref="C809">ifs(and(isblank($A809),isblank($B809)),"", not(iserror(vlookup($A809&amp;$B809,'5) Release_Track'!$F:$F&amp;'5) Release_Track'!$G:$G,1,0))),vlookup($A809&amp;$B809,{'5) Release_Track'!$F:$F&amp;'5) Release_Track'!$G:$G,'5) Release_Track'!$H:$H},2,0),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D809" s="121" t="str">
        <f t="array" ref="D809">ifs(and(isblank($A809),isblank($B809)),"", not(iserror(vlookup($A809&amp;$B809,'5) Release_Track'!$F:$F&amp;'5) Release_Track'!$G:$G,1,0))),vlookup($A809&amp;$B809,{'5) Release_Track'!$F:$F&amp;'5) Release_Track'!$G:$G,'5) Release_Track'!$I:$I},2,0),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E809" s="116" t="str">
        <f t="array" ref="E809">ifs(and(isblank($A809),isblank($B809)),"", not(iserror(vlookup($A809&amp;$B809,'5) Release_Track'!$F:$F&amp;'5) Release_Track'!$G:$G,1,0))),vlookup($A809&amp;$B809,{'5) Release_Track'!$F:$F&amp;'5) Release_Track'!$G:$G,'5) Release_Track'!$J:$J},2,0),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F809" s="88"/>
      <c r="G809" s="92"/>
      <c r="H809" s="185"/>
      <c r="I809" s="121" t="str">
        <f t="shared" si="2"/>
        <v/>
      </c>
      <c r="J809" s="92"/>
      <c r="K809" s="92"/>
    </row>
    <row r="810">
      <c r="B810" s="97"/>
      <c r="C810" s="121" t="str">
        <f t="array" ref="C810">ifs(and(isblank($A810),isblank($B810)),"", not(iserror(vlookup($A810&amp;$B810,'5) Release_Track'!$F:$F&amp;'5) Release_Track'!$G:$G,1,0))),vlookup($A810&amp;$B810,{'5) Release_Track'!$F:$F&amp;'5) Release_Track'!$G:$G,'5) Release_Track'!$H:$H},2,0),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D810" s="121" t="str">
        <f t="array" ref="D810">ifs(and(isblank($A810),isblank($B810)),"", not(iserror(vlookup($A810&amp;$B810,'5) Release_Track'!$F:$F&amp;'5) Release_Track'!$G:$G,1,0))),vlookup($A810&amp;$B810,{'5) Release_Track'!$F:$F&amp;'5) Release_Track'!$G:$G,'5) Release_Track'!$I:$I},2,0),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E810" s="116" t="str">
        <f t="array" ref="E810">ifs(and(isblank($A810),isblank($B810)),"", not(iserror(vlookup($A810&amp;$B810,'5) Release_Track'!$F:$F&amp;'5) Release_Track'!$G:$G,1,0))),vlookup($A810&amp;$B810,{'5) Release_Track'!$F:$F&amp;'5) Release_Track'!$G:$G,'5) Release_Track'!$J:$J},2,0),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F810" s="88"/>
      <c r="G810" s="92"/>
      <c r="H810" s="185"/>
      <c r="I810" s="121" t="str">
        <f t="shared" si="2"/>
        <v/>
      </c>
      <c r="J810" s="92"/>
      <c r="K810" s="92"/>
    </row>
    <row r="811">
      <c r="B811" s="97"/>
      <c r="C811" s="121" t="str">
        <f t="array" ref="C811">ifs(and(isblank($A811),isblank($B811)),"", not(iserror(vlookup($A811&amp;$B811,'5) Release_Track'!$F:$F&amp;'5) Release_Track'!$G:$G,1,0))),vlookup($A811&amp;$B811,{'5) Release_Track'!$F:$F&amp;'5) Release_Track'!$G:$G,'5) Release_Track'!$H:$H},2,0),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D811" s="121" t="str">
        <f t="array" ref="D811">ifs(and(isblank($A811),isblank($B811)),"", not(iserror(vlookup($A811&amp;$B811,'5) Release_Track'!$F:$F&amp;'5) Release_Track'!$G:$G,1,0))),vlookup($A811&amp;$B811,{'5) Release_Track'!$F:$F&amp;'5) Release_Track'!$G:$G,'5) Release_Track'!$I:$I},2,0),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E811" s="116" t="str">
        <f t="array" ref="E811">ifs(and(isblank($A811),isblank($B811)),"", not(iserror(vlookup($A811&amp;$B811,'5) Release_Track'!$F:$F&amp;'5) Release_Track'!$G:$G,1,0))),vlookup($A811&amp;$B811,{'5) Release_Track'!$F:$F&amp;'5) Release_Track'!$G:$G,'5) Release_Track'!$J:$J},2,0),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F811" s="88"/>
      <c r="G811" s="92"/>
      <c r="H811" s="185"/>
      <c r="I811" s="121" t="str">
        <f t="shared" si="2"/>
        <v/>
      </c>
      <c r="J811" s="92"/>
      <c r="K811" s="92"/>
    </row>
    <row r="812">
      <c r="B812" s="97"/>
      <c r="C812" s="121" t="str">
        <f t="array" ref="C812">ifs(and(isblank($A812),isblank($B812)),"", not(iserror(vlookup($A812&amp;$B812,'5) Release_Track'!$F:$F&amp;'5) Release_Track'!$G:$G,1,0))),vlookup($A812&amp;$B812,{'5) Release_Track'!$F:$F&amp;'5) Release_Track'!$G:$G,'5) Release_Track'!$H:$H},2,0),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D812" s="121" t="str">
        <f t="array" ref="D812">ifs(and(isblank($A812),isblank($B812)),"", not(iserror(vlookup($A812&amp;$B812,'5) Release_Track'!$F:$F&amp;'5) Release_Track'!$G:$G,1,0))),vlookup($A812&amp;$B812,{'5) Release_Track'!$F:$F&amp;'5) Release_Track'!$G:$G,'5) Release_Track'!$I:$I},2,0),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E812" s="116" t="str">
        <f t="array" ref="E812">ifs(and(isblank($A812),isblank($B812)),"", not(iserror(vlookup($A812&amp;$B812,'5) Release_Track'!$F:$F&amp;'5) Release_Track'!$G:$G,1,0))),vlookup($A812&amp;$B812,{'5) Release_Track'!$F:$F&amp;'5) Release_Track'!$G:$G,'5) Release_Track'!$J:$J},2,0),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F812" s="88"/>
      <c r="G812" s="92"/>
      <c r="H812" s="185"/>
      <c r="I812" s="121" t="str">
        <f t="shared" si="2"/>
        <v/>
      </c>
      <c r="J812" s="92"/>
      <c r="K812" s="92"/>
    </row>
    <row r="813">
      <c r="B813" s="97"/>
      <c r="C813" s="121" t="str">
        <f t="array" ref="C813">ifs(and(isblank($A813),isblank($B813)),"", not(iserror(vlookup($A813&amp;$B813,'5) Release_Track'!$F:$F&amp;'5) Release_Track'!$G:$G,1,0))),vlookup($A813&amp;$B813,{'5) Release_Track'!$F:$F&amp;'5) Release_Track'!$G:$G,'5) Release_Track'!$H:$H},2,0),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D813" s="121" t="str">
        <f t="array" ref="D813">ifs(and(isblank($A813),isblank($B813)),"", not(iserror(vlookup($A813&amp;$B813,'5) Release_Track'!$F:$F&amp;'5) Release_Track'!$G:$G,1,0))),vlookup($A813&amp;$B813,{'5) Release_Track'!$F:$F&amp;'5) Release_Track'!$G:$G,'5) Release_Track'!$I:$I},2,0),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E813" s="116" t="str">
        <f t="array" ref="E813">ifs(and(isblank($A813),isblank($B813)),"", not(iserror(vlookup($A813&amp;$B813,'5) Release_Track'!$F:$F&amp;'5) Release_Track'!$G:$G,1,0))),vlookup($A813&amp;$B813,{'5) Release_Track'!$F:$F&amp;'5) Release_Track'!$G:$G,'5) Release_Track'!$J:$J},2,0),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F813" s="88"/>
      <c r="G813" s="92"/>
      <c r="H813" s="185"/>
      <c r="I813" s="121" t="str">
        <f t="shared" si="2"/>
        <v/>
      </c>
      <c r="J813" s="92"/>
      <c r="K813" s="92"/>
    </row>
    <row r="814">
      <c r="B814" s="97"/>
      <c r="C814" s="121" t="str">
        <f t="array" ref="C814">ifs(and(isblank($A814),isblank($B814)),"", not(iserror(vlookup($A814&amp;$B814,'5) Release_Track'!$F:$F&amp;'5) Release_Track'!$G:$G,1,0))),vlookup($A814&amp;$B814,{'5) Release_Track'!$F:$F&amp;'5) Release_Track'!$G:$G,'5) Release_Track'!$H:$H},2,0),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D814" s="121" t="str">
        <f t="array" ref="D814">ifs(and(isblank($A814),isblank($B814)),"", not(iserror(vlookup($A814&amp;$B814,'5) Release_Track'!$F:$F&amp;'5) Release_Track'!$G:$G,1,0))),vlookup($A814&amp;$B814,{'5) Release_Track'!$F:$F&amp;'5) Release_Track'!$G:$G,'5) Release_Track'!$I:$I},2,0),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E814" s="116" t="str">
        <f t="array" ref="E814">ifs(and(isblank($A814),isblank($B814)),"", not(iserror(vlookup($A814&amp;$B814,'5) Release_Track'!$F:$F&amp;'5) Release_Track'!$G:$G,1,0))),vlookup($A814&amp;$B814,{'5) Release_Track'!$F:$F&amp;'5) Release_Track'!$G:$G,'5) Release_Track'!$J:$J},2,0),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F814" s="88"/>
      <c r="G814" s="92"/>
      <c r="H814" s="185"/>
      <c r="I814" s="121" t="str">
        <f t="shared" si="2"/>
        <v/>
      </c>
      <c r="J814" s="92"/>
      <c r="K814" s="92"/>
    </row>
    <row r="815">
      <c r="B815" s="97"/>
      <c r="C815" s="121" t="str">
        <f t="array" ref="C815">ifs(and(isblank($A815),isblank($B815)),"", not(iserror(vlookup($A815&amp;$B815,'5) Release_Track'!$F:$F&amp;'5) Release_Track'!$G:$G,1,0))),vlookup($A815&amp;$B815,{'5) Release_Track'!$F:$F&amp;'5) Release_Track'!$G:$G,'5) Release_Track'!$H:$H},2,0),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D815" s="121" t="str">
        <f t="array" ref="D815">ifs(and(isblank($A815),isblank($B815)),"", not(iserror(vlookup($A815&amp;$B815,'5) Release_Track'!$F:$F&amp;'5) Release_Track'!$G:$G,1,0))),vlookup($A815&amp;$B815,{'5) Release_Track'!$F:$F&amp;'5) Release_Track'!$G:$G,'5) Release_Track'!$I:$I},2,0),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E815" s="116" t="str">
        <f t="array" ref="E815">ifs(and(isblank($A815),isblank($B815)),"", not(iserror(vlookup($A815&amp;$B815,'5) Release_Track'!$F:$F&amp;'5) Release_Track'!$G:$G,1,0))),vlookup($A815&amp;$B815,{'5) Release_Track'!$F:$F&amp;'5) Release_Track'!$G:$G,'5) Release_Track'!$J:$J},2,0),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F815" s="88"/>
      <c r="G815" s="92"/>
      <c r="H815" s="185"/>
      <c r="I815" s="121" t="str">
        <f t="shared" si="2"/>
        <v/>
      </c>
      <c r="J815" s="92"/>
      <c r="K815" s="92"/>
    </row>
    <row r="816">
      <c r="B816" s="97"/>
      <c r="C816" s="121" t="str">
        <f t="array" ref="C816">ifs(and(isblank($A816),isblank($B816)),"", not(iserror(vlookup($A816&amp;$B816,'5) Release_Track'!$F:$F&amp;'5) Release_Track'!$G:$G,1,0))),vlookup($A816&amp;$B816,{'5) Release_Track'!$F:$F&amp;'5) Release_Track'!$G:$G,'5) Release_Track'!$H:$H},2,0),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D816" s="121" t="str">
        <f t="array" ref="D816">ifs(and(isblank($A816),isblank($B816)),"", not(iserror(vlookup($A816&amp;$B816,'5) Release_Track'!$F:$F&amp;'5) Release_Track'!$G:$G,1,0))),vlookup($A816&amp;$B816,{'5) Release_Track'!$F:$F&amp;'5) Release_Track'!$G:$G,'5) Release_Track'!$I:$I},2,0),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E816" s="116" t="str">
        <f t="array" ref="E816">ifs(and(isblank($A816),isblank($B816)),"", not(iserror(vlookup($A816&amp;$B816,'5) Release_Track'!$F:$F&amp;'5) Release_Track'!$G:$G,1,0))),vlookup($A816&amp;$B816,{'5) Release_Track'!$F:$F&amp;'5) Release_Track'!$G:$G,'5) Release_Track'!$J:$J},2,0),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F816" s="88"/>
      <c r="G816" s="92"/>
      <c r="H816" s="185"/>
      <c r="I816" s="121" t="str">
        <f t="shared" si="2"/>
        <v/>
      </c>
      <c r="J816" s="92"/>
      <c r="K816" s="92"/>
    </row>
    <row r="817">
      <c r="B817" s="97"/>
      <c r="C817" s="121" t="str">
        <f t="array" ref="C817">ifs(and(isblank($A817),isblank($B817)),"", not(iserror(vlookup($A817&amp;$B817,'5) Release_Track'!$F:$F&amp;'5) Release_Track'!$G:$G,1,0))),vlookup($A817&amp;$B817,{'5) Release_Track'!$F:$F&amp;'5) Release_Track'!$G:$G,'5) Release_Track'!$H:$H},2,0),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D817" s="121" t="str">
        <f t="array" ref="D817">ifs(and(isblank($A817),isblank($B817)),"", not(iserror(vlookup($A817&amp;$B817,'5) Release_Track'!$F:$F&amp;'5) Release_Track'!$G:$G,1,0))),vlookup($A817&amp;$B817,{'5) Release_Track'!$F:$F&amp;'5) Release_Track'!$G:$G,'5) Release_Track'!$I:$I},2,0),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E817" s="116" t="str">
        <f t="array" ref="E817">ifs(and(isblank($A817),isblank($B817)),"", not(iserror(vlookup($A817&amp;$B817,'5) Release_Track'!$F:$F&amp;'5) Release_Track'!$G:$G,1,0))),vlookup($A817&amp;$B817,{'5) Release_Track'!$F:$F&amp;'5) Release_Track'!$G:$G,'5) Release_Track'!$J:$J},2,0),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F817" s="88"/>
      <c r="G817" s="92"/>
      <c r="H817" s="185"/>
      <c r="I817" s="121" t="str">
        <f t="shared" si="2"/>
        <v/>
      </c>
      <c r="J817" s="92"/>
      <c r="K817" s="92"/>
    </row>
    <row r="818">
      <c r="B818" s="97"/>
      <c r="C818" s="121" t="str">
        <f t="array" ref="C818">ifs(and(isblank($A818),isblank($B818)),"", not(iserror(vlookup($A818&amp;$B818,'5) Release_Track'!$F:$F&amp;'5) Release_Track'!$G:$G,1,0))),vlookup($A818&amp;$B818,{'5) Release_Track'!$F:$F&amp;'5) Release_Track'!$G:$G,'5) Release_Track'!$H:$H},2,0),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D818" s="121" t="str">
        <f t="array" ref="D818">ifs(and(isblank($A818),isblank($B818)),"", not(iserror(vlookup($A818&amp;$B818,'5) Release_Track'!$F:$F&amp;'5) Release_Track'!$G:$G,1,0))),vlookup($A818&amp;$B818,{'5) Release_Track'!$F:$F&amp;'5) Release_Track'!$G:$G,'5) Release_Track'!$I:$I},2,0),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E818" s="116" t="str">
        <f t="array" ref="E818">ifs(and(isblank($A818),isblank($B818)),"", not(iserror(vlookup($A818&amp;$B818,'5) Release_Track'!$F:$F&amp;'5) Release_Track'!$G:$G,1,0))),vlookup($A818&amp;$B818,{'5) Release_Track'!$F:$F&amp;'5) Release_Track'!$G:$G,'5) Release_Track'!$J:$J},2,0),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F818" s="88"/>
      <c r="G818" s="92"/>
      <c r="H818" s="185"/>
      <c r="I818" s="121" t="str">
        <f t="shared" si="2"/>
        <v/>
      </c>
      <c r="J818" s="92"/>
      <c r="K818" s="92"/>
    </row>
    <row r="819">
      <c r="B819" s="97"/>
      <c r="C819" s="121" t="str">
        <f t="array" ref="C819">ifs(and(isblank($A819),isblank($B819)),"", not(iserror(vlookup($A819&amp;$B819,'5) Release_Track'!$F:$F&amp;'5) Release_Track'!$G:$G,1,0))),vlookup($A819&amp;$B819,{'5) Release_Track'!$F:$F&amp;'5) Release_Track'!$G:$G,'5) Release_Track'!$H:$H},2,0),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D819" s="121" t="str">
        <f t="array" ref="D819">ifs(and(isblank($A819),isblank($B819)),"", not(iserror(vlookup($A819&amp;$B819,'5) Release_Track'!$F:$F&amp;'5) Release_Track'!$G:$G,1,0))),vlookup($A819&amp;$B819,{'5) Release_Track'!$F:$F&amp;'5) Release_Track'!$G:$G,'5) Release_Track'!$I:$I},2,0),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E819" s="116" t="str">
        <f t="array" ref="E819">ifs(and(isblank($A819),isblank($B819)),"", not(iserror(vlookup($A819&amp;$B819,'5) Release_Track'!$F:$F&amp;'5) Release_Track'!$G:$G,1,0))),vlookup($A819&amp;$B819,{'5) Release_Track'!$F:$F&amp;'5) Release_Track'!$G:$G,'5) Release_Track'!$J:$J},2,0),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F819" s="88"/>
      <c r="G819" s="92"/>
      <c r="H819" s="185"/>
      <c r="I819" s="121" t="str">
        <f t="shared" si="2"/>
        <v/>
      </c>
      <c r="J819" s="92"/>
      <c r="K819" s="92"/>
    </row>
    <row r="820">
      <c r="B820" s="97"/>
      <c r="C820" s="121" t="str">
        <f t="array" ref="C820">ifs(and(isblank($A820),isblank($B820)),"", not(iserror(vlookup($A820&amp;$B820,'5) Release_Track'!$F:$F&amp;'5) Release_Track'!$G:$G,1,0))),vlookup($A820&amp;$B820,{'5) Release_Track'!$F:$F&amp;'5) Release_Track'!$G:$G,'5) Release_Track'!$H:$H},2,0),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D820" s="121" t="str">
        <f t="array" ref="D820">ifs(and(isblank($A820),isblank($B820)),"", not(iserror(vlookup($A820&amp;$B820,'5) Release_Track'!$F:$F&amp;'5) Release_Track'!$G:$G,1,0))),vlookup($A820&amp;$B820,{'5) Release_Track'!$F:$F&amp;'5) Release_Track'!$G:$G,'5) Release_Track'!$I:$I},2,0),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E820" s="116" t="str">
        <f t="array" ref="E820">ifs(and(isblank($A820),isblank($B820)),"", not(iserror(vlookup($A820&amp;$B820,'5) Release_Track'!$F:$F&amp;'5) Release_Track'!$G:$G,1,0))),vlookup($A820&amp;$B820,{'5) Release_Track'!$F:$F&amp;'5) Release_Track'!$G:$G,'5) Release_Track'!$J:$J},2,0),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F820" s="88"/>
      <c r="G820" s="92"/>
      <c r="H820" s="185"/>
      <c r="I820" s="121" t="str">
        <f t="shared" si="2"/>
        <v/>
      </c>
      <c r="J820" s="92"/>
      <c r="K820" s="92"/>
    </row>
    <row r="821">
      <c r="B821" s="97"/>
      <c r="C821" s="121" t="str">
        <f t="array" ref="C821">ifs(and(isblank($A821),isblank($B821)),"", not(iserror(vlookup($A821&amp;$B821,'5) Release_Track'!$F:$F&amp;'5) Release_Track'!$G:$G,1,0))),vlookup($A821&amp;$B821,{'5) Release_Track'!$F:$F&amp;'5) Release_Track'!$G:$G,'5) Release_Track'!$H:$H},2,0),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D821" s="121" t="str">
        <f t="array" ref="D821">ifs(and(isblank($A821),isblank($B821)),"", not(iserror(vlookup($A821&amp;$B821,'5) Release_Track'!$F:$F&amp;'5) Release_Track'!$G:$G,1,0))),vlookup($A821&amp;$B821,{'5) Release_Track'!$F:$F&amp;'5) Release_Track'!$G:$G,'5) Release_Track'!$I:$I},2,0),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E821" s="116" t="str">
        <f t="array" ref="E821">ifs(and(isblank($A821),isblank($B821)),"", not(iserror(vlookup($A821&amp;$B821,'5) Release_Track'!$F:$F&amp;'5) Release_Track'!$G:$G,1,0))),vlookup($A821&amp;$B821,{'5) Release_Track'!$F:$F&amp;'5) Release_Track'!$G:$G,'5) Release_Track'!$J:$J},2,0),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F821" s="88"/>
      <c r="G821" s="92"/>
      <c r="H821" s="185"/>
      <c r="I821" s="121" t="str">
        <f t="shared" si="2"/>
        <v/>
      </c>
      <c r="J821" s="92"/>
      <c r="K821" s="92"/>
    </row>
    <row r="822">
      <c r="B822" s="97"/>
      <c r="C822" s="121" t="str">
        <f t="array" ref="C822">ifs(and(isblank($A822),isblank($B822)),"", not(iserror(vlookup($A822&amp;$B822,'5) Release_Track'!$F:$F&amp;'5) Release_Track'!$G:$G,1,0))),vlookup($A822&amp;$B822,{'5) Release_Track'!$F:$F&amp;'5) Release_Track'!$G:$G,'5) Release_Track'!$H:$H},2,0),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D822" s="121" t="str">
        <f t="array" ref="D822">ifs(and(isblank($A822),isblank($B822)),"", not(iserror(vlookup($A822&amp;$B822,'5) Release_Track'!$F:$F&amp;'5) Release_Track'!$G:$G,1,0))),vlookup($A822&amp;$B822,{'5) Release_Track'!$F:$F&amp;'5) Release_Track'!$G:$G,'5) Release_Track'!$I:$I},2,0),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E822" s="116" t="str">
        <f t="array" ref="E822">ifs(and(isblank($A822),isblank($B822)),"", not(iserror(vlookup($A822&amp;$B822,'5) Release_Track'!$F:$F&amp;'5) Release_Track'!$G:$G,1,0))),vlookup($A822&amp;$B822,{'5) Release_Track'!$F:$F&amp;'5) Release_Track'!$G:$G,'5) Release_Track'!$J:$J},2,0),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F822" s="88"/>
      <c r="G822" s="92"/>
      <c r="H822" s="185"/>
      <c r="I822" s="121" t="str">
        <f t="shared" si="2"/>
        <v/>
      </c>
      <c r="J822" s="92"/>
      <c r="K822" s="92"/>
    </row>
    <row r="823">
      <c r="B823" s="97"/>
      <c r="C823" s="121" t="str">
        <f t="array" ref="C823">ifs(and(isblank($A823),isblank($B823)),"", not(iserror(vlookup($A823&amp;$B823,'5) Release_Track'!$F:$F&amp;'5) Release_Track'!$G:$G,1,0))),vlookup($A823&amp;$B823,{'5) Release_Track'!$F:$F&amp;'5) Release_Track'!$G:$G,'5) Release_Track'!$H:$H},2,0),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D823" s="121" t="str">
        <f t="array" ref="D823">ifs(and(isblank($A823),isblank($B823)),"", not(iserror(vlookup($A823&amp;$B823,'5) Release_Track'!$F:$F&amp;'5) Release_Track'!$G:$G,1,0))),vlookup($A823&amp;$B823,{'5) Release_Track'!$F:$F&amp;'5) Release_Track'!$G:$G,'5) Release_Track'!$I:$I},2,0),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E823" s="116" t="str">
        <f t="array" ref="E823">ifs(and(isblank($A823),isblank($B823)),"", not(iserror(vlookup($A823&amp;$B823,'5) Release_Track'!$F:$F&amp;'5) Release_Track'!$G:$G,1,0))),vlookup($A823&amp;$B823,{'5) Release_Track'!$F:$F&amp;'5) Release_Track'!$G:$G,'5) Release_Track'!$J:$J},2,0),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F823" s="88"/>
      <c r="G823" s="92"/>
      <c r="H823" s="185"/>
      <c r="I823" s="121" t="str">
        <f t="shared" si="2"/>
        <v/>
      </c>
      <c r="J823" s="92"/>
      <c r="K823" s="92"/>
    </row>
    <row r="824">
      <c r="B824" s="97"/>
      <c r="C824" s="121" t="str">
        <f t="array" ref="C824">ifs(and(isblank($A824),isblank($B824)),"", not(iserror(vlookup($A824&amp;$B824,'5) Release_Track'!$F:$F&amp;'5) Release_Track'!$G:$G,1,0))),vlookup($A824&amp;$B824,{'5) Release_Track'!$F:$F&amp;'5) Release_Track'!$G:$G,'5) Release_Track'!$H:$H},2,0),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D824" s="121" t="str">
        <f t="array" ref="D824">ifs(and(isblank($A824),isblank($B824)),"", not(iserror(vlookup($A824&amp;$B824,'5) Release_Track'!$F:$F&amp;'5) Release_Track'!$G:$G,1,0))),vlookup($A824&amp;$B824,{'5) Release_Track'!$F:$F&amp;'5) Release_Track'!$G:$G,'5) Release_Track'!$I:$I},2,0),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E824" s="116" t="str">
        <f t="array" ref="E824">ifs(and(isblank($A824),isblank($B824)),"", not(iserror(vlookup($A824&amp;$B824,'5) Release_Track'!$F:$F&amp;'5) Release_Track'!$G:$G,1,0))),vlookup($A824&amp;$B824,{'5) Release_Track'!$F:$F&amp;'5) Release_Track'!$G:$G,'5) Release_Track'!$J:$J},2,0),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F824" s="88"/>
      <c r="G824" s="92"/>
      <c r="H824" s="185"/>
      <c r="I824" s="121" t="str">
        <f t="shared" si="2"/>
        <v/>
      </c>
      <c r="J824" s="92"/>
      <c r="K824" s="92"/>
    </row>
    <row r="825">
      <c r="B825" s="97"/>
      <c r="C825" s="121" t="str">
        <f t="array" ref="C825">ifs(and(isblank($A825),isblank($B825)),"", not(iserror(vlookup($A825&amp;$B825,'5) Release_Track'!$F:$F&amp;'5) Release_Track'!$G:$G,1,0))),vlookup($A825&amp;$B825,{'5) Release_Track'!$F:$F&amp;'5) Release_Track'!$G:$G,'5) Release_Track'!$H:$H},2,0),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D825" s="121" t="str">
        <f t="array" ref="D825">ifs(and(isblank($A825),isblank($B825)),"", not(iserror(vlookup($A825&amp;$B825,'5) Release_Track'!$F:$F&amp;'5) Release_Track'!$G:$G,1,0))),vlookup($A825&amp;$B825,{'5) Release_Track'!$F:$F&amp;'5) Release_Track'!$G:$G,'5) Release_Track'!$I:$I},2,0),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E825" s="116" t="str">
        <f t="array" ref="E825">ifs(and(isblank($A825),isblank($B825)),"", not(iserror(vlookup($A825&amp;$B825,'5) Release_Track'!$F:$F&amp;'5) Release_Track'!$G:$G,1,0))),vlookup($A825&amp;$B825,{'5) Release_Track'!$F:$F&amp;'5) Release_Track'!$G:$G,'5) Release_Track'!$J:$J},2,0),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F825" s="88"/>
      <c r="G825" s="92"/>
      <c r="H825" s="185"/>
      <c r="I825" s="121" t="str">
        <f t="shared" si="2"/>
        <v/>
      </c>
      <c r="J825" s="92"/>
      <c r="K825" s="92"/>
    </row>
    <row r="826">
      <c r="B826" s="97"/>
      <c r="C826" s="121" t="str">
        <f t="array" ref="C826">ifs(and(isblank($A826),isblank($B826)),"", not(iserror(vlookup($A826&amp;$B826,'5) Release_Track'!$F:$F&amp;'5) Release_Track'!$G:$G,1,0))),vlookup($A826&amp;$B826,{'5) Release_Track'!$F:$F&amp;'5) Release_Track'!$G:$G,'5) Release_Track'!$H:$H},2,0),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D826" s="121" t="str">
        <f t="array" ref="D826">ifs(and(isblank($A826),isblank($B826)),"", not(iserror(vlookup($A826&amp;$B826,'5) Release_Track'!$F:$F&amp;'5) Release_Track'!$G:$G,1,0))),vlookup($A826&amp;$B826,{'5) Release_Track'!$F:$F&amp;'5) Release_Track'!$G:$G,'5) Release_Track'!$I:$I},2,0),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E826" s="116" t="str">
        <f t="array" ref="E826">ifs(and(isblank($A826),isblank($B826)),"", not(iserror(vlookup($A826&amp;$B826,'5) Release_Track'!$F:$F&amp;'5) Release_Track'!$G:$G,1,0))),vlookup($A826&amp;$B826,{'5) Release_Track'!$F:$F&amp;'5) Release_Track'!$G:$G,'5) Release_Track'!$J:$J},2,0),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F826" s="88"/>
      <c r="G826" s="92"/>
      <c r="H826" s="185"/>
      <c r="I826" s="121" t="str">
        <f t="shared" si="2"/>
        <v/>
      </c>
      <c r="J826" s="92"/>
      <c r="K826" s="92"/>
    </row>
    <row r="827">
      <c r="B827" s="97"/>
      <c r="C827" s="121" t="str">
        <f t="array" ref="C827">ifs(and(isblank($A827),isblank($B827)),"", not(iserror(vlookup($A827&amp;$B827,'5) Release_Track'!$F:$F&amp;'5) Release_Track'!$G:$G,1,0))),vlookup($A827&amp;$B827,{'5) Release_Track'!$F:$F&amp;'5) Release_Track'!$G:$G,'5) Release_Track'!$H:$H},2,0),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D827" s="121" t="str">
        <f t="array" ref="D827">ifs(and(isblank($A827),isblank($B827)),"", not(iserror(vlookup($A827&amp;$B827,'5) Release_Track'!$F:$F&amp;'5) Release_Track'!$G:$G,1,0))),vlookup($A827&amp;$B827,{'5) Release_Track'!$F:$F&amp;'5) Release_Track'!$G:$G,'5) Release_Track'!$I:$I},2,0),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E827" s="116" t="str">
        <f t="array" ref="E827">ifs(and(isblank($A827),isblank($B827)),"", not(iserror(vlookup($A827&amp;$B827,'5) Release_Track'!$F:$F&amp;'5) Release_Track'!$G:$G,1,0))),vlookup($A827&amp;$B827,{'5) Release_Track'!$F:$F&amp;'5) Release_Track'!$G:$G,'5) Release_Track'!$J:$J},2,0),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F827" s="88"/>
      <c r="G827" s="92"/>
      <c r="H827" s="185"/>
      <c r="I827" s="121" t="str">
        <f t="shared" si="2"/>
        <v/>
      </c>
      <c r="J827" s="92"/>
      <c r="K827" s="92"/>
    </row>
    <row r="828">
      <c r="B828" s="97"/>
      <c r="C828" s="121" t="str">
        <f t="array" ref="C828">ifs(and(isblank($A828),isblank($B828)),"", not(iserror(vlookup($A828&amp;$B828,'5) Release_Track'!$F:$F&amp;'5) Release_Track'!$G:$G,1,0))),vlookup($A828&amp;$B828,{'5) Release_Track'!$F:$F&amp;'5) Release_Track'!$G:$G,'5) Release_Track'!$H:$H},2,0),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D828" s="121" t="str">
        <f t="array" ref="D828">ifs(and(isblank($A828),isblank($B828)),"", not(iserror(vlookup($A828&amp;$B828,'5) Release_Track'!$F:$F&amp;'5) Release_Track'!$G:$G,1,0))),vlookup($A828&amp;$B828,{'5) Release_Track'!$F:$F&amp;'5) Release_Track'!$G:$G,'5) Release_Track'!$I:$I},2,0),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E828" s="116" t="str">
        <f t="array" ref="E828">ifs(and(isblank($A828),isblank($B828)),"", not(iserror(vlookup($A828&amp;$B828,'5) Release_Track'!$F:$F&amp;'5) Release_Track'!$G:$G,1,0))),vlookup($A828&amp;$B828,{'5) Release_Track'!$F:$F&amp;'5) Release_Track'!$G:$G,'5) Release_Track'!$J:$J},2,0),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F828" s="88"/>
      <c r="G828" s="92"/>
      <c r="H828" s="185"/>
      <c r="I828" s="121" t="str">
        <f t="shared" si="2"/>
        <v/>
      </c>
      <c r="J828" s="92"/>
      <c r="K828" s="92"/>
    </row>
    <row r="829">
      <c r="B829" s="97"/>
      <c r="C829" s="121" t="str">
        <f t="array" ref="C829">ifs(and(isblank($A829),isblank($B829)),"", not(iserror(vlookup($A829&amp;$B829,'5) Release_Track'!$F:$F&amp;'5) Release_Track'!$G:$G,1,0))),vlookup($A829&amp;$B829,{'5) Release_Track'!$F:$F&amp;'5) Release_Track'!$G:$G,'5) Release_Track'!$H:$H},2,0),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D829" s="121" t="str">
        <f t="array" ref="D829">ifs(and(isblank($A829),isblank($B829)),"", not(iserror(vlookup($A829&amp;$B829,'5) Release_Track'!$F:$F&amp;'5) Release_Track'!$G:$G,1,0))),vlookup($A829&amp;$B829,{'5) Release_Track'!$F:$F&amp;'5) Release_Track'!$G:$G,'5) Release_Track'!$I:$I},2,0),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E829" s="116" t="str">
        <f t="array" ref="E829">ifs(and(isblank($A829),isblank($B829)),"", not(iserror(vlookup($A829&amp;$B829,'5) Release_Track'!$F:$F&amp;'5) Release_Track'!$G:$G,1,0))),vlookup($A829&amp;$B829,{'5) Release_Track'!$F:$F&amp;'5) Release_Track'!$G:$G,'5) Release_Track'!$J:$J},2,0),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F829" s="88"/>
      <c r="G829" s="92"/>
      <c r="H829" s="185"/>
      <c r="I829" s="121" t="str">
        <f t="shared" si="2"/>
        <v/>
      </c>
      <c r="J829" s="92"/>
      <c r="K829" s="92"/>
    </row>
    <row r="830">
      <c r="B830" s="97"/>
      <c r="C830" s="121" t="str">
        <f t="array" ref="C830">ifs(and(isblank($A830),isblank($B830)),"", not(iserror(vlookup($A830&amp;$B830,'5) Release_Track'!$F:$F&amp;'5) Release_Track'!$G:$G,1,0))),vlookup($A830&amp;$B830,{'5) Release_Track'!$F:$F&amp;'5) Release_Track'!$G:$G,'5) Release_Track'!$H:$H},2,0),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D830" s="121" t="str">
        <f t="array" ref="D830">ifs(and(isblank($A830),isblank($B830)),"", not(iserror(vlookup($A830&amp;$B830,'5) Release_Track'!$F:$F&amp;'5) Release_Track'!$G:$G,1,0))),vlookup($A830&amp;$B830,{'5) Release_Track'!$F:$F&amp;'5) Release_Track'!$G:$G,'5) Release_Track'!$I:$I},2,0),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E830" s="116" t="str">
        <f t="array" ref="E830">ifs(and(isblank($A830),isblank($B830)),"", not(iserror(vlookup($A830&amp;$B830,'5) Release_Track'!$F:$F&amp;'5) Release_Track'!$G:$G,1,0))),vlookup($A830&amp;$B830,{'5) Release_Track'!$F:$F&amp;'5) Release_Track'!$G:$G,'5) Release_Track'!$J:$J},2,0),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F830" s="88"/>
      <c r="G830" s="92"/>
      <c r="H830" s="185"/>
      <c r="I830" s="121" t="str">
        <f t="shared" si="2"/>
        <v/>
      </c>
      <c r="J830" s="92"/>
      <c r="K830" s="92"/>
    </row>
    <row r="831">
      <c r="B831" s="97"/>
      <c r="C831" s="121" t="str">
        <f t="array" ref="C831">ifs(and(isblank($A831),isblank($B831)),"", not(iserror(vlookup($A831&amp;$B831,'5) Release_Track'!$F:$F&amp;'5) Release_Track'!$G:$G,1,0))),vlookup($A831&amp;$B831,{'5) Release_Track'!$F:$F&amp;'5) Release_Track'!$G:$G,'5) Release_Track'!$H:$H},2,0),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D831" s="121" t="str">
        <f t="array" ref="D831">ifs(and(isblank($A831),isblank($B831)),"", not(iserror(vlookup($A831&amp;$B831,'5) Release_Track'!$F:$F&amp;'5) Release_Track'!$G:$G,1,0))),vlookup($A831&amp;$B831,{'5) Release_Track'!$F:$F&amp;'5) Release_Track'!$G:$G,'5) Release_Track'!$I:$I},2,0),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E831" s="116" t="str">
        <f t="array" ref="E831">ifs(and(isblank($A831),isblank($B831)),"", not(iserror(vlookup($A831&amp;$B831,'5) Release_Track'!$F:$F&amp;'5) Release_Track'!$G:$G,1,0))),vlookup($A831&amp;$B831,{'5) Release_Track'!$F:$F&amp;'5) Release_Track'!$G:$G,'5) Release_Track'!$J:$J},2,0),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F831" s="88"/>
      <c r="G831" s="92"/>
      <c r="H831" s="185"/>
      <c r="I831" s="121" t="str">
        <f t="shared" si="2"/>
        <v/>
      </c>
      <c r="J831" s="92"/>
      <c r="K831" s="92"/>
    </row>
    <row r="832">
      <c r="B832" s="97"/>
      <c r="C832" s="121" t="str">
        <f t="array" ref="C832">ifs(and(isblank($A832),isblank($B832)),"", not(iserror(vlookup($A832&amp;$B832,'5) Release_Track'!$F:$F&amp;'5) Release_Track'!$G:$G,1,0))),vlookup($A832&amp;$B832,{'5) Release_Track'!$F:$F&amp;'5) Release_Track'!$G:$G,'5) Release_Track'!$H:$H},2,0),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D832" s="121" t="str">
        <f t="array" ref="D832">ifs(and(isblank($A832),isblank($B832)),"", not(iserror(vlookup($A832&amp;$B832,'5) Release_Track'!$F:$F&amp;'5) Release_Track'!$G:$G,1,0))),vlookup($A832&amp;$B832,{'5) Release_Track'!$F:$F&amp;'5) Release_Track'!$G:$G,'5) Release_Track'!$I:$I},2,0),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E832" s="116" t="str">
        <f t="array" ref="E832">ifs(and(isblank($A832),isblank($B832)),"", not(iserror(vlookup($A832&amp;$B832,'5) Release_Track'!$F:$F&amp;'5) Release_Track'!$G:$G,1,0))),vlookup($A832&amp;$B832,{'5) Release_Track'!$F:$F&amp;'5) Release_Track'!$G:$G,'5) Release_Track'!$J:$J},2,0),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F832" s="88"/>
      <c r="G832" s="92"/>
      <c r="H832" s="185"/>
      <c r="I832" s="121" t="str">
        <f t="shared" si="2"/>
        <v/>
      </c>
      <c r="J832" s="92"/>
      <c r="K832" s="92"/>
    </row>
    <row r="833">
      <c r="B833" s="97"/>
      <c r="C833" s="121" t="str">
        <f t="array" ref="C833">ifs(and(isblank($A833),isblank($B833)),"", not(iserror(vlookup($A833&amp;$B833,'5) Release_Track'!$F:$F&amp;'5) Release_Track'!$G:$G,1,0))),vlookup($A833&amp;$B833,{'5) Release_Track'!$F:$F&amp;'5) Release_Track'!$G:$G,'5) Release_Track'!$H:$H},2,0),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D833" s="121" t="str">
        <f t="array" ref="D833">ifs(and(isblank($A833),isblank($B833)),"", not(iserror(vlookup($A833&amp;$B833,'5) Release_Track'!$F:$F&amp;'5) Release_Track'!$G:$G,1,0))),vlookup($A833&amp;$B833,{'5) Release_Track'!$F:$F&amp;'5) Release_Track'!$G:$G,'5) Release_Track'!$I:$I},2,0),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E833" s="116" t="str">
        <f t="array" ref="E833">ifs(and(isblank($A833),isblank($B833)),"", not(iserror(vlookup($A833&amp;$B833,'5) Release_Track'!$F:$F&amp;'5) Release_Track'!$G:$G,1,0))),vlookup($A833&amp;$B833,{'5) Release_Track'!$F:$F&amp;'5) Release_Track'!$G:$G,'5) Release_Track'!$J:$J},2,0),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F833" s="88"/>
      <c r="G833" s="92"/>
      <c r="H833" s="185"/>
      <c r="I833" s="121" t="str">
        <f t="shared" si="2"/>
        <v/>
      </c>
      <c r="J833" s="92"/>
      <c r="K833" s="92"/>
    </row>
    <row r="834">
      <c r="B834" s="97"/>
      <c r="C834" s="121" t="str">
        <f t="array" ref="C834">ifs(and(isblank($A834),isblank($B834)),"", not(iserror(vlookup($A834&amp;$B834,'5) Release_Track'!$F:$F&amp;'5) Release_Track'!$G:$G,1,0))),vlookup($A834&amp;$B834,{'5) Release_Track'!$F:$F&amp;'5) Release_Track'!$G:$G,'5) Release_Track'!$H:$H},2,0),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D834" s="121" t="str">
        <f t="array" ref="D834">ifs(and(isblank($A834),isblank($B834)),"", not(iserror(vlookup($A834&amp;$B834,'5) Release_Track'!$F:$F&amp;'5) Release_Track'!$G:$G,1,0))),vlookup($A834&amp;$B834,{'5) Release_Track'!$F:$F&amp;'5) Release_Track'!$G:$G,'5) Release_Track'!$I:$I},2,0),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E834" s="116" t="str">
        <f t="array" ref="E834">ifs(and(isblank($A834),isblank($B834)),"", not(iserror(vlookup($A834&amp;$B834,'5) Release_Track'!$F:$F&amp;'5) Release_Track'!$G:$G,1,0))),vlookup($A834&amp;$B834,{'5) Release_Track'!$F:$F&amp;'5) Release_Track'!$G:$G,'5) Release_Track'!$J:$J},2,0),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F834" s="88"/>
      <c r="G834" s="92"/>
      <c r="H834" s="185"/>
      <c r="I834" s="121" t="str">
        <f t="shared" si="2"/>
        <v/>
      </c>
      <c r="J834" s="92"/>
      <c r="K834" s="92"/>
    </row>
    <row r="835">
      <c r="B835" s="97"/>
      <c r="C835" s="121" t="str">
        <f t="array" ref="C835">ifs(and(isblank($A835),isblank($B835)),"", not(iserror(vlookup($A835&amp;$B835,'5) Release_Track'!$F:$F&amp;'5) Release_Track'!$G:$G,1,0))),vlookup($A835&amp;$B835,{'5) Release_Track'!$F:$F&amp;'5) Release_Track'!$G:$G,'5) Release_Track'!$H:$H},2,0),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D835" s="121" t="str">
        <f t="array" ref="D835">ifs(and(isblank($A835),isblank($B835)),"", not(iserror(vlookup($A835&amp;$B835,'5) Release_Track'!$F:$F&amp;'5) Release_Track'!$G:$G,1,0))),vlookup($A835&amp;$B835,{'5) Release_Track'!$F:$F&amp;'5) Release_Track'!$G:$G,'5) Release_Track'!$I:$I},2,0),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E835" s="116" t="str">
        <f t="array" ref="E835">ifs(and(isblank($A835),isblank($B835)),"", not(iserror(vlookup($A835&amp;$B835,'5) Release_Track'!$F:$F&amp;'5) Release_Track'!$G:$G,1,0))),vlookup($A835&amp;$B835,{'5) Release_Track'!$F:$F&amp;'5) Release_Track'!$G:$G,'5) Release_Track'!$J:$J},2,0),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F835" s="88"/>
      <c r="G835" s="92"/>
      <c r="H835" s="185"/>
      <c r="I835" s="121" t="str">
        <f t="shared" si="2"/>
        <v/>
      </c>
      <c r="J835" s="92"/>
      <c r="K835" s="92"/>
    </row>
    <row r="836">
      <c r="B836" s="97"/>
      <c r="C836" s="121" t="str">
        <f t="array" ref="C836">ifs(and(isblank($A836),isblank($B836)),"", not(iserror(vlookup($A836&amp;$B836,'5) Release_Track'!$F:$F&amp;'5) Release_Track'!$G:$G,1,0))),vlookup($A836&amp;$B836,{'5) Release_Track'!$F:$F&amp;'5) Release_Track'!$G:$G,'5) Release_Track'!$H:$H},2,0),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D836" s="121" t="str">
        <f t="array" ref="D836">ifs(and(isblank($A836),isblank($B836)),"", not(iserror(vlookup($A836&amp;$B836,'5) Release_Track'!$F:$F&amp;'5) Release_Track'!$G:$G,1,0))),vlookup($A836&amp;$B836,{'5) Release_Track'!$F:$F&amp;'5) Release_Track'!$G:$G,'5) Release_Track'!$I:$I},2,0),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E836" s="116" t="str">
        <f t="array" ref="E836">ifs(and(isblank($A836),isblank($B836)),"", not(iserror(vlookup($A836&amp;$B836,'5) Release_Track'!$F:$F&amp;'5) Release_Track'!$G:$G,1,0))),vlookup($A836&amp;$B836,{'5) Release_Track'!$F:$F&amp;'5) Release_Track'!$G:$G,'5) Release_Track'!$J:$J},2,0),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F836" s="88"/>
      <c r="G836" s="92"/>
      <c r="H836" s="185"/>
      <c r="I836" s="121" t="str">
        <f t="shared" si="2"/>
        <v/>
      </c>
      <c r="J836" s="92"/>
      <c r="K836" s="92"/>
    </row>
    <row r="837">
      <c r="B837" s="97"/>
      <c r="C837" s="121" t="str">
        <f t="array" ref="C837">ifs(and(isblank($A837),isblank($B837)),"", not(iserror(vlookup($A837&amp;$B837,'5) Release_Track'!$F:$F&amp;'5) Release_Track'!$G:$G,1,0))),vlookup($A837&amp;$B837,{'5) Release_Track'!$F:$F&amp;'5) Release_Track'!$G:$G,'5) Release_Track'!$H:$H},2,0),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D837" s="121" t="str">
        <f t="array" ref="D837">ifs(and(isblank($A837),isblank($B837)),"", not(iserror(vlookup($A837&amp;$B837,'5) Release_Track'!$F:$F&amp;'5) Release_Track'!$G:$G,1,0))),vlookup($A837&amp;$B837,{'5) Release_Track'!$F:$F&amp;'5) Release_Track'!$G:$G,'5) Release_Track'!$I:$I},2,0),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E837" s="116" t="str">
        <f t="array" ref="E837">ifs(and(isblank($A837),isblank($B837)),"", not(iserror(vlookup($A837&amp;$B837,'5) Release_Track'!$F:$F&amp;'5) Release_Track'!$G:$G,1,0))),vlookup($A837&amp;$B837,{'5) Release_Track'!$F:$F&amp;'5) Release_Track'!$G:$G,'5) Release_Track'!$J:$J},2,0),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F837" s="88"/>
      <c r="G837" s="92"/>
      <c r="H837" s="185"/>
      <c r="I837" s="121" t="str">
        <f t="shared" si="2"/>
        <v/>
      </c>
      <c r="J837" s="92"/>
      <c r="K837" s="92"/>
    </row>
    <row r="838">
      <c r="B838" s="97"/>
      <c r="C838" s="121" t="str">
        <f t="array" ref="C838">ifs(and(isblank($A838),isblank($B838)),"", not(iserror(vlookup($A838&amp;$B838,'5) Release_Track'!$F:$F&amp;'5) Release_Track'!$G:$G,1,0))),vlookup($A838&amp;$B838,{'5) Release_Track'!$F:$F&amp;'5) Release_Track'!$G:$G,'5) Release_Track'!$H:$H},2,0),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D838" s="121" t="str">
        <f t="array" ref="D838">ifs(and(isblank($A838),isblank($B838)),"", not(iserror(vlookup($A838&amp;$B838,'5) Release_Track'!$F:$F&amp;'5) Release_Track'!$G:$G,1,0))),vlookup($A838&amp;$B838,{'5) Release_Track'!$F:$F&amp;'5) Release_Track'!$G:$G,'5) Release_Track'!$I:$I},2,0),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E838" s="116" t="str">
        <f t="array" ref="E838">ifs(and(isblank($A838),isblank($B838)),"", not(iserror(vlookup($A838&amp;$B838,'5) Release_Track'!$F:$F&amp;'5) Release_Track'!$G:$G,1,0))),vlookup($A838&amp;$B838,{'5) Release_Track'!$F:$F&amp;'5) Release_Track'!$G:$G,'5) Release_Track'!$J:$J},2,0),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F838" s="88"/>
      <c r="G838" s="92"/>
      <c r="H838" s="185"/>
      <c r="I838" s="121" t="str">
        <f t="shared" si="2"/>
        <v/>
      </c>
      <c r="J838" s="92"/>
      <c r="K838" s="92"/>
    </row>
    <row r="839">
      <c r="B839" s="97"/>
      <c r="C839" s="121" t="str">
        <f t="array" ref="C839">ifs(and(isblank($A839),isblank($B839)),"", not(iserror(vlookup($A839&amp;$B839,'5) Release_Track'!$F:$F&amp;'5) Release_Track'!$G:$G,1,0))),vlookup($A839&amp;$B839,{'5) Release_Track'!$F:$F&amp;'5) Release_Track'!$G:$G,'5) Release_Track'!$H:$H},2,0),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D839" s="121" t="str">
        <f t="array" ref="D839">ifs(and(isblank($A839),isblank($B839)),"", not(iserror(vlookup($A839&amp;$B839,'5) Release_Track'!$F:$F&amp;'5) Release_Track'!$G:$G,1,0))),vlookup($A839&amp;$B839,{'5) Release_Track'!$F:$F&amp;'5) Release_Track'!$G:$G,'5) Release_Track'!$I:$I},2,0),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E839" s="116" t="str">
        <f t="array" ref="E839">ifs(and(isblank($A839),isblank($B839)),"", not(iserror(vlookup($A839&amp;$B839,'5) Release_Track'!$F:$F&amp;'5) Release_Track'!$G:$G,1,0))),vlookup($A839&amp;$B839,{'5) Release_Track'!$F:$F&amp;'5) Release_Track'!$G:$G,'5) Release_Track'!$J:$J},2,0),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F839" s="88"/>
      <c r="G839" s="92"/>
      <c r="H839" s="185"/>
      <c r="I839" s="121" t="str">
        <f t="shared" si="2"/>
        <v/>
      </c>
      <c r="J839" s="92"/>
      <c r="K839" s="92"/>
    </row>
    <row r="840">
      <c r="B840" s="97"/>
      <c r="C840" s="121" t="str">
        <f t="array" ref="C840">ifs(and(isblank($A840),isblank($B840)),"", not(iserror(vlookup($A840&amp;$B840,'5) Release_Track'!$F:$F&amp;'5) Release_Track'!$G:$G,1,0))),vlookup($A840&amp;$B840,{'5) Release_Track'!$F:$F&amp;'5) Release_Track'!$G:$G,'5) Release_Track'!$H:$H},2,0),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D840" s="121" t="str">
        <f t="array" ref="D840">ifs(and(isblank($A840),isblank($B840)),"", not(iserror(vlookup($A840&amp;$B840,'5) Release_Track'!$F:$F&amp;'5) Release_Track'!$G:$G,1,0))),vlookup($A840&amp;$B840,{'5) Release_Track'!$F:$F&amp;'5) Release_Track'!$G:$G,'5) Release_Track'!$I:$I},2,0),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E840" s="116" t="str">
        <f t="array" ref="E840">ifs(and(isblank($A840),isblank($B840)),"", not(iserror(vlookup($A840&amp;$B840,'5) Release_Track'!$F:$F&amp;'5) Release_Track'!$G:$G,1,0))),vlookup($A840&amp;$B840,{'5) Release_Track'!$F:$F&amp;'5) Release_Track'!$G:$G,'5) Release_Track'!$J:$J},2,0),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F840" s="88"/>
      <c r="G840" s="92"/>
      <c r="H840" s="185"/>
      <c r="I840" s="121" t="str">
        <f t="shared" si="2"/>
        <v/>
      </c>
      <c r="J840" s="92"/>
      <c r="K840" s="92"/>
    </row>
    <row r="841">
      <c r="B841" s="97"/>
      <c r="C841" s="121" t="str">
        <f t="array" ref="C841">ifs(and(isblank($A841),isblank($B841)),"", not(iserror(vlookup($A841&amp;$B841,'5) Release_Track'!$F:$F&amp;'5) Release_Track'!$G:$G,1,0))),vlookup($A841&amp;$B841,{'5) Release_Track'!$F:$F&amp;'5) Release_Track'!$G:$G,'5) Release_Track'!$H:$H},2,0),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D841" s="121" t="str">
        <f t="array" ref="D841">ifs(and(isblank($A841),isblank($B841)),"", not(iserror(vlookup($A841&amp;$B841,'5) Release_Track'!$F:$F&amp;'5) Release_Track'!$G:$G,1,0))),vlookup($A841&amp;$B841,{'5) Release_Track'!$F:$F&amp;'5) Release_Track'!$G:$G,'5) Release_Track'!$I:$I},2,0),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E841" s="116" t="str">
        <f t="array" ref="E841">ifs(and(isblank($A841),isblank($B841)),"", not(iserror(vlookup($A841&amp;$B841,'5) Release_Track'!$F:$F&amp;'5) Release_Track'!$G:$G,1,0))),vlookup($A841&amp;$B841,{'5) Release_Track'!$F:$F&amp;'5) Release_Track'!$G:$G,'5) Release_Track'!$J:$J},2,0),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F841" s="88"/>
      <c r="G841" s="92"/>
      <c r="H841" s="185"/>
      <c r="I841" s="121" t="str">
        <f t="shared" si="2"/>
        <v/>
      </c>
      <c r="J841" s="92"/>
      <c r="K841" s="92"/>
    </row>
    <row r="842">
      <c r="B842" s="97"/>
      <c r="C842" s="121" t="str">
        <f t="array" ref="C842">ifs(and(isblank($A842),isblank($B842)),"", not(iserror(vlookup($A842&amp;$B842,'5) Release_Track'!$F:$F&amp;'5) Release_Track'!$G:$G,1,0))),vlookup($A842&amp;$B842,{'5) Release_Track'!$F:$F&amp;'5) Release_Track'!$G:$G,'5) Release_Track'!$H:$H},2,0),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D842" s="121" t="str">
        <f t="array" ref="D842">ifs(and(isblank($A842),isblank($B842)),"", not(iserror(vlookup($A842&amp;$B842,'5) Release_Track'!$F:$F&amp;'5) Release_Track'!$G:$G,1,0))),vlookup($A842&amp;$B842,{'5) Release_Track'!$F:$F&amp;'5) Release_Track'!$G:$G,'5) Release_Track'!$I:$I},2,0),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E842" s="116" t="str">
        <f t="array" ref="E842">ifs(and(isblank($A842),isblank($B842)),"", not(iserror(vlookup($A842&amp;$B842,'5) Release_Track'!$F:$F&amp;'5) Release_Track'!$G:$G,1,0))),vlookup($A842&amp;$B842,{'5) Release_Track'!$F:$F&amp;'5) Release_Track'!$G:$G,'5) Release_Track'!$J:$J},2,0),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F842" s="88"/>
      <c r="G842" s="92"/>
      <c r="H842" s="185"/>
      <c r="I842" s="121" t="str">
        <f t="shared" si="2"/>
        <v/>
      </c>
      <c r="J842" s="92"/>
      <c r="K842" s="92"/>
    </row>
    <row r="843">
      <c r="B843" s="97"/>
      <c r="C843" s="121" t="str">
        <f t="array" ref="C843">ifs(and(isblank($A843),isblank($B843)),"", not(iserror(vlookup($A843&amp;$B843,'5) Release_Track'!$F:$F&amp;'5) Release_Track'!$G:$G,1,0))),vlookup($A843&amp;$B843,{'5) Release_Track'!$F:$F&amp;'5) Release_Track'!$G:$G,'5) Release_Track'!$H:$H},2,0),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D843" s="121" t="str">
        <f t="array" ref="D843">ifs(and(isblank($A843),isblank($B843)),"", not(iserror(vlookup($A843&amp;$B843,'5) Release_Track'!$F:$F&amp;'5) Release_Track'!$G:$G,1,0))),vlookup($A843&amp;$B843,{'5) Release_Track'!$F:$F&amp;'5) Release_Track'!$G:$G,'5) Release_Track'!$I:$I},2,0),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E843" s="116" t="str">
        <f t="array" ref="E843">ifs(and(isblank($A843),isblank($B843)),"", not(iserror(vlookup($A843&amp;$B843,'5) Release_Track'!$F:$F&amp;'5) Release_Track'!$G:$G,1,0))),vlookup($A843&amp;$B843,{'5) Release_Track'!$F:$F&amp;'5) Release_Track'!$G:$G,'5) Release_Track'!$J:$J},2,0),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F843" s="88"/>
      <c r="G843" s="92"/>
      <c r="H843" s="185"/>
      <c r="I843" s="121" t="str">
        <f t="shared" si="2"/>
        <v/>
      </c>
      <c r="J843" s="92"/>
      <c r="K843" s="92"/>
    </row>
    <row r="844">
      <c r="B844" s="97"/>
      <c r="C844" s="121" t="str">
        <f t="array" ref="C844">ifs(and(isblank($A844),isblank($B844)),"", not(iserror(vlookup($A844&amp;$B844,'5) Release_Track'!$F:$F&amp;'5) Release_Track'!$G:$G,1,0))),vlookup($A844&amp;$B844,{'5) Release_Track'!$F:$F&amp;'5) Release_Track'!$G:$G,'5) Release_Track'!$H:$H},2,0),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D844" s="121" t="str">
        <f t="array" ref="D844">ifs(and(isblank($A844),isblank($B844)),"", not(iserror(vlookup($A844&amp;$B844,'5) Release_Track'!$F:$F&amp;'5) Release_Track'!$G:$G,1,0))),vlookup($A844&amp;$B844,{'5) Release_Track'!$F:$F&amp;'5) Release_Track'!$G:$G,'5) Release_Track'!$I:$I},2,0),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E844" s="116" t="str">
        <f t="array" ref="E844">ifs(and(isblank($A844),isblank($B844)),"", not(iserror(vlookup($A844&amp;$B844,'5) Release_Track'!$F:$F&amp;'5) Release_Track'!$G:$G,1,0))),vlookup($A844&amp;$B844,{'5) Release_Track'!$F:$F&amp;'5) Release_Track'!$G:$G,'5) Release_Track'!$J:$J},2,0),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F844" s="88"/>
      <c r="G844" s="92"/>
      <c r="H844" s="185"/>
      <c r="I844" s="121" t="str">
        <f t="shared" si="2"/>
        <v/>
      </c>
      <c r="J844" s="92"/>
      <c r="K844" s="92"/>
    </row>
    <row r="845">
      <c r="B845" s="97"/>
      <c r="C845" s="121" t="str">
        <f t="array" ref="C845">ifs(and(isblank($A845),isblank($B845)),"", not(iserror(vlookup($A845&amp;$B845,'5) Release_Track'!$F:$F&amp;'5) Release_Track'!$G:$G,1,0))),vlookup($A845&amp;$B845,{'5) Release_Track'!$F:$F&amp;'5) Release_Track'!$G:$G,'5) Release_Track'!$H:$H},2,0),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D845" s="121" t="str">
        <f t="array" ref="D845">ifs(and(isblank($A845),isblank($B845)),"", not(iserror(vlookup($A845&amp;$B845,'5) Release_Track'!$F:$F&amp;'5) Release_Track'!$G:$G,1,0))),vlookup($A845&amp;$B845,{'5) Release_Track'!$F:$F&amp;'5) Release_Track'!$G:$G,'5) Release_Track'!$I:$I},2,0),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E845" s="116" t="str">
        <f t="array" ref="E845">ifs(and(isblank($A845),isblank($B845)),"", not(iserror(vlookup($A845&amp;$B845,'5) Release_Track'!$F:$F&amp;'5) Release_Track'!$G:$G,1,0))),vlookup($A845&amp;$B845,{'5) Release_Track'!$F:$F&amp;'5) Release_Track'!$G:$G,'5) Release_Track'!$J:$J},2,0),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F845" s="88"/>
      <c r="G845" s="92"/>
      <c r="H845" s="185"/>
      <c r="I845" s="121" t="str">
        <f t="shared" si="2"/>
        <v/>
      </c>
      <c r="J845" s="92"/>
      <c r="K845" s="92"/>
    </row>
    <row r="846">
      <c r="B846" s="97"/>
      <c r="C846" s="121" t="str">
        <f t="array" ref="C846">ifs(and(isblank($A846),isblank($B846)),"", not(iserror(vlookup($A846&amp;$B846,'5) Release_Track'!$F:$F&amp;'5) Release_Track'!$G:$G,1,0))),vlookup($A846&amp;$B846,{'5) Release_Track'!$F:$F&amp;'5) Release_Track'!$G:$G,'5) Release_Track'!$H:$H},2,0),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D846" s="121" t="str">
        <f t="array" ref="D846">ifs(and(isblank($A846),isblank($B846)),"", not(iserror(vlookup($A846&amp;$B846,'5) Release_Track'!$F:$F&amp;'5) Release_Track'!$G:$G,1,0))),vlookup($A846&amp;$B846,{'5) Release_Track'!$F:$F&amp;'5) Release_Track'!$G:$G,'5) Release_Track'!$I:$I},2,0),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E846" s="116" t="str">
        <f t="array" ref="E846">ifs(and(isblank($A846),isblank($B846)),"", not(iserror(vlookup($A846&amp;$B846,'5) Release_Track'!$F:$F&amp;'5) Release_Track'!$G:$G,1,0))),vlookup($A846&amp;$B846,{'5) Release_Track'!$F:$F&amp;'5) Release_Track'!$G:$G,'5) Release_Track'!$J:$J},2,0),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F846" s="88"/>
      <c r="G846" s="92"/>
      <c r="H846" s="185"/>
      <c r="I846" s="121" t="str">
        <f t="shared" si="2"/>
        <v/>
      </c>
      <c r="J846" s="92"/>
      <c r="K846" s="92"/>
    </row>
    <row r="847">
      <c r="B847" s="97"/>
      <c r="C847" s="121" t="str">
        <f t="array" ref="C847">ifs(and(isblank($A847),isblank($B847)),"", not(iserror(vlookup($A847&amp;$B847,'5) Release_Track'!$F:$F&amp;'5) Release_Track'!$G:$G,1,0))),vlookup($A847&amp;$B847,{'5) Release_Track'!$F:$F&amp;'5) Release_Track'!$G:$G,'5) Release_Track'!$H:$H},2,0),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D847" s="121" t="str">
        <f t="array" ref="D847">ifs(and(isblank($A847),isblank($B847)),"", not(iserror(vlookup($A847&amp;$B847,'5) Release_Track'!$F:$F&amp;'5) Release_Track'!$G:$G,1,0))),vlookup($A847&amp;$B847,{'5) Release_Track'!$F:$F&amp;'5) Release_Track'!$G:$G,'5) Release_Track'!$I:$I},2,0),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E847" s="116" t="str">
        <f t="array" ref="E847">ifs(and(isblank($A847),isblank($B847)),"", not(iserror(vlookup($A847&amp;$B847,'5) Release_Track'!$F:$F&amp;'5) Release_Track'!$G:$G,1,0))),vlookup($A847&amp;$B847,{'5) Release_Track'!$F:$F&amp;'5) Release_Track'!$G:$G,'5) Release_Track'!$J:$J},2,0),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F847" s="88"/>
      <c r="G847" s="92"/>
      <c r="H847" s="185"/>
      <c r="I847" s="121" t="str">
        <f t="shared" si="2"/>
        <v/>
      </c>
      <c r="J847" s="92"/>
      <c r="K847" s="92"/>
    </row>
    <row r="848">
      <c r="B848" s="97"/>
      <c r="C848" s="121" t="str">
        <f t="array" ref="C848">ifs(and(isblank($A848),isblank($B848)),"", not(iserror(vlookup($A848&amp;$B848,'5) Release_Track'!$F:$F&amp;'5) Release_Track'!$G:$G,1,0))),vlookup($A848&amp;$B848,{'5) Release_Track'!$F:$F&amp;'5) Release_Track'!$G:$G,'5) Release_Track'!$H:$H},2,0),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D848" s="121" t="str">
        <f t="array" ref="D848">ifs(and(isblank($A848),isblank($B848)),"", not(iserror(vlookup($A848&amp;$B848,'5) Release_Track'!$F:$F&amp;'5) Release_Track'!$G:$G,1,0))),vlookup($A848&amp;$B848,{'5) Release_Track'!$F:$F&amp;'5) Release_Track'!$G:$G,'5) Release_Track'!$I:$I},2,0),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E848" s="116" t="str">
        <f t="array" ref="E848">ifs(and(isblank($A848),isblank($B848)),"", not(iserror(vlookup($A848&amp;$B848,'5) Release_Track'!$F:$F&amp;'5) Release_Track'!$G:$G,1,0))),vlookup($A848&amp;$B848,{'5) Release_Track'!$F:$F&amp;'5) Release_Track'!$G:$G,'5) Release_Track'!$J:$J},2,0),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F848" s="88"/>
      <c r="G848" s="92"/>
      <c r="H848" s="185"/>
      <c r="I848" s="121" t="str">
        <f t="shared" si="2"/>
        <v/>
      </c>
      <c r="J848" s="92"/>
      <c r="K848" s="92"/>
    </row>
    <row r="849">
      <c r="B849" s="97"/>
      <c r="C849" s="121" t="str">
        <f t="array" ref="C849">ifs(and(isblank($A849),isblank($B849)),"", not(iserror(vlookup($A849&amp;$B849,'5) Release_Track'!$F:$F&amp;'5) Release_Track'!$G:$G,1,0))),vlookup($A849&amp;$B849,{'5) Release_Track'!$F:$F&amp;'5) Release_Track'!$G:$G,'5) Release_Track'!$H:$H},2,0),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D849" s="121" t="str">
        <f t="array" ref="D849">ifs(and(isblank($A849),isblank($B849)),"", not(iserror(vlookup($A849&amp;$B849,'5) Release_Track'!$F:$F&amp;'5) Release_Track'!$G:$G,1,0))),vlookup($A849&amp;$B849,{'5) Release_Track'!$F:$F&amp;'5) Release_Track'!$G:$G,'5) Release_Track'!$I:$I},2,0),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E849" s="116" t="str">
        <f t="array" ref="E849">ifs(and(isblank($A849),isblank($B849)),"", not(iserror(vlookup($A849&amp;$B849,'5) Release_Track'!$F:$F&amp;'5) Release_Track'!$G:$G,1,0))),vlookup($A849&amp;$B849,{'5) Release_Track'!$F:$F&amp;'5) Release_Track'!$G:$G,'5) Release_Track'!$J:$J},2,0),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F849" s="88"/>
      <c r="G849" s="92"/>
      <c r="H849" s="185"/>
      <c r="I849" s="121" t="str">
        <f t="shared" si="2"/>
        <v/>
      </c>
      <c r="J849" s="92"/>
      <c r="K849" s="92"/>
    </row>
    <row r="850">
      <c r="B850" s="97"/>
      <c r="C850" s="121" t="str">
        <f t="array" ref="C850">ifs(and(isblank($A850),isblank($B850)),"", not(iserror(vlookup($A850&amp;$B850,'5) Release_Track'!$F:$F&amp;'5) Release_Track'!$G:$G,1,0))),vlookup($A850&amp;$B850,{'5) Release_Track'!$F:$F&amp;'5) Release_Track'!$G:$G,'5) Release_Track'!$H:$H},2,0),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D850" s="121" t="str">
        <f t="array" ref="D850">ifs(and(isblank($A850),isblank($B850)),"", not(iserror(vlookup($A850&amp;$B850,'5) Release_Track'!$F:$F&amp;'5) Release_Track'!$G:$G,1,0))),vlookup($A850&amp;$B850,{'5) Release_Track'!$F:$F&amp;'5) Release_Track'!$G:$G,'5) Release_Track'!$I:$I},2,0),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E850" s="116" t="str">
        <f t="array" ref="E850">ifs(and(isblank($A850),isblank($B850)),"", not(iserror(vlookup($A850&amp;$B850,'5) Release_Track'!$F:$F&amp;'5) Release_Track'!$G:$G,1,0))),vlookup($A850&amp;$B850,{'5) Release_Track'!$F:$F&amp;'5) Release_Track'!$G:$G,'5) Release_Track'!$J:$J},2,0),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F850" s="88"/>
      <c r="G850" s="92"/>
      <c r="H850" s="185"/>
      <c r="I850" s="121" t="str">
        <f t="shared" si="2"/>
        <v/>
      </c>
      <c r="J850" s="92"/>
      <c r="K850" s="92"/>
    </row>
    <row r="851">
      <c r="B851" s="97"/>
      <c r="C851" s="121" t="str">
        <f t="array" ref="C851">ifs(and(isblank($A851),isblank($B851)),"", not(iserror(vlookup($A851&amp;$B851,'5) Release_Track'!$F:$F&amp;'5) Release_Track'!$G:$G,1,0))),vlookup($A851&amp;$B851,{'5) Release_Track'!$F:$F&amp;'5) Release_Track'!$G:$G,'5) Release_Track'!$H:$H},2,0),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D851" s="121" t="str">
        <f t="array" ref="D851">ifs(and(isblank($A851),isblank($B851)),"", not(iserror(vlookup($A851&amp;$B851,'5) Release_Track'!$F:$F&amp;'5) Release_Track'!$G:$G,1,0))),vlookup($A851&amp;$B851,{'5) Release_Track'!$F:$F&amp;'5) Release_Track'!$G:$G,'5) Release_Track'!$I:$I},2,0),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E851" s="116" t="str">
        <f t="array" ref="E851">ifs(and(isblank($A851),isblank($B851)),"", not(iserror(vlookup($A851&amp;$B851,'5) Release_Track'!$F:$F&amp;'5) Release_Track'!$G:$G,1,0))),vlookup($A851&amp;$B851,{'5) Release_Track'!$F:$F&amp;'5) Release_Track'!$G:$G,'5) Release_Track'!$J:$J},2,0),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F851" s="88"/>
      <c r="G851" s="92"/>
      <c r="H851" s="185"/>
      <c r="I851" s="121" t="str">
        <f t="shared" si="2"/>
        <v/>
      </c>
      <c r="J851" s="92"/>
      <c r="K851" s="92"/>
    </row>
    <row r="852">
      <c r="B852" s="97"/>
      <c r="C852" s="121" t="str">
        <f t="array" ref="C852">ifs(and(isblank($A852),isblank($B852)),"", not(iserror(vlookup($A852&amp;$B852,'5) Release_Track'!$F:$F&amp;'5) Release_Track'!$G:$G,1,0))),vlookup($A852&amp;$B852,{'5) Release_Track'!$F:$F&amp;'5) Release_Track'!$G:$G,'5) Release_Track'!$H:$H},2,0),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D852" s="121" t="str">
        <f t="array" ref="D852">ifs(and(isblank($A852),isblank($B852)),"", not(iserror(vlookup($A852&amp;$B852,'5) Release_Track'!$F:$F&amp;'5) Release_Track'!$G:$G,1,0))),vlookup($A852&amp;$B852,{'5) Release_Track'!$F:$F&amp;'5) Release_Track'!$G:$G,'5) Release_Track'!$I:$I},2,0),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E852" s="116" t="str">
        <f t="array" ref="E852">ifs(and(isblank($A852),isblank($B852)),"", not(iserror(vlookup($A852&amp;$B852,'5) Release_Track'!$F:$F&amp;'5) Release_Track'!$G:$G,1,0))),vlookup($A852&amp;$B852,{'5) Release_Track'!$F:$F&amp;'5) Release_Track'!$G:$G,'5) Release_Track'!$J:$J},2,0),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F852" s="88"/>
      <c r="G852" s="92"/>
      <c r="H852" s="185"/>
      <c r="I852" s="121" t="str">
        <f t="shared" si="2"/>
        <v/>
      </c>
      <c r="J852" s="92"/>
      <c r="K852" s="92"/>
    </row>
    <row r="853">
      <c r="B853" s="97"/>
      <c r="C853" s="121" t="str">
        <f t="array" ref="C853">ifs(and(isblank($A853),isblank($B853)),"", not(iserror(vlookup($A853&amp;$B853,'5) Release_Track'!$F:$F&amp;'5) Release_Track'!$G:$G,1,0))),vlookup($A853&amp;$B853,{'5) Release_Track'!$F:$F&amp;'5) Release_Track'!$G:$G,'5) Release_Track'!$H:$H},2,0),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D853" s="121" t="str">
        <f t="array" ref="D853">ifs(and(isblank($A853),isblank($B853)),"", not(iserror(vlookup($A853&amp;$B853,'5) Release_Track'!$F:$F&amp;'5) Release_Track'!$G:$G,1,0))),vlookup($A853&amp;$B853,{'5) Release_Track'!$F:$F&amp;'5) Release_Track'!$G:$G,'5) Release_Track'!$I:$I},2,0),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E853" s="116" t="str">
        <f t="array" ref="E853">ifs(and(isblank($A853),isblank($B853)),"", not(iserror(vlookup($A853&amp;$B853,'5) Release_Track'!$F:$F&amp;'5) Release_Track'!$G:$G,1,0))),vlookup($A853&amp;$B853,{'5) Release_Track'!$F:$F&amp;'5) Release_Track'!$G:$G,'5) Release_Track'!$J:$J},2,0),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F853" s="88"/>
      <c r="G853" s="92"/>
      <c r="H853" s="185"/>
      <c r="I853" s="121" t="str">
        <f t="shared" si="2"/>
        <v/>
      </c>
      <c r="J853" s="92"/>
      <c r="K853" s="92"/>
    </row>
    <row r="854">
      <c r="B854" s="97"/>
      <c r="C854" s="121" t="str">
        <f t="array" ref="C854">ifs(and(isblank($A854),isblank($B854)),"", not(iserror(vlookup($A854&amp;$B854,'5) Release_Track'!$F:$F&amp;'5) Release_Track'!$G:$G,1,0))),vlookup($A854&amp;$B854,{'5) Release_Track'!$F:$F&amp;'5) Release_Track'!$G:$G,'5) Release_Track'!$H:$H},2,0),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D854" s="121" t="str">
        <f t="array" ref="D854">ifs(and(isblank($A854),isblank($B854)),"", not(iserror(vlookup($A854&amp;$B854,'5) Release_Track'!$F:$F&amp;'5) Release_Track'!$G:$G,1,0))),vlookup($A854&amp;$B854,{'5) Release_Track'!$F:$F&amp;'5) Release_Track'!$G:$G,'5) Release_Track'!$I:$I},2,0),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E854" s="116" t="str">
        <f t="array" ref="E854">ifs(and(isblank($A854),isblank($B854)),"", not(iserror(vlookup($A854&amp;$B854,'5) Release_Track'!$F:$F&amp;'5) Release_Track'!$G:$G,1,0))),vlookup($A854&amp;$B854,{'5) Release_Track'!$F:$F&amp;'5) Release_Track'!$G:$G,'5) Release_Track'!$J:$J},2,0),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F854" s="88"/>
      <c r="G854" s="92"/>
      <c r="H854" s="185"/>
      <c r="I854" s="121" t="str">
        <f t="shared" si="2"/>
        <v/>
      </c>
      <c r="J854" s="92"/>
      <c r="K854" s="92"/>
    </row>
    <row r="855">
      <c r="B855" s="97"/>
      <c r="C855" s="121" t="str">
        <f t="array" ref="C855">ifs(and(isblank($A855),isblank($B855)),"", not(iserror(vlookup($A855&amp;$B855,'5) Release_Track'!$F:$F&amp;'5) Release_Track'!$G:$G,1,0))),vlookup($A855&amp;$B855,{'5) Release_Track'!$F:$F&amp;'5) Release_Track'!$G:$G,'5) Release_Track'!$H:$H},2,0),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D855" s="121" t="str">
        <f t="array" ref="D855">ifs(and(isblank($A855),isblank($B855)),"", not(iserror(vlookup($A855&amp;$B855,'5) Release_Track'!$F:$F&amp;'5) Release_Track'!$G:$G,1,0))),vlookup($A855&amp;$B855,{'5) Release_Track'!$F:$F&amp;'5) Release_Track'!$G:$G,'5) Release_Track'!$I:$I},2,0),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E855" s="116" t="str">
        <f t="array" ref="E855">ifs(and(isblank($A855),isblank($B855)),"", not(iserror(vlookup($A855&amp;$B855,'5) Release_Track'!$F:$F&amp;'5) Release_Track'!$G:$G,1,0))),vlookup($A855&amp;$B855,{'5) Release_Track'!$F:$F&amp;'5) Release_Track'!$G:$G,'5) Release_Track'!$J:$J},2,0),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F855" s="88"/>
      <c r="G855" s="92"/>
      <c r="H855" s="185"/>
      <c r="I855" s="121" t="str">
        <f t="shared" si="2"/>
        <v/>
      </c>
      <c r="J855" s="92"/>
      <c r="K855" s="92"/>
    </row>
    <row r="856">
      <c r="B856" s="97"/>
      <c r="C856" s="121" t="str">
        <f t="array" ref="C856">ifs(and(isblank($A856),isblank($B856)),"", not(iserror(vlookup($A856&amp;$B856,'5) Release_Track'!$F:$F&amp;'5) Release_Track'!$G:$G,1,0))),vlookup($A856&amp;$B856,{'5) Release_Track'!$F:$F&amp;'5) Release_Track'!$G:$G,'5) Release_Track'!$H:$H},2,0),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D856" s="121" t="str">
        <f t="array" ref="D856">ifs(and(isblank($A856),isblank($B856)),"", not(iserror(vlookup($A856&amp;$B856,'5) Release_Track'!$F:$F&amp;'5) Release_Track'!$G:$G,1,0))),vlookup($A856&amp;$B856,{'5) Release_Track'!$F:$F&amp;'5) Release_Track'!$G:$G,'5) Release_Track'!$I:$I},2,0),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E856" s="116" t="str">
        <f t="array" ref="E856">ifs(and(isblank($A856),isblank($B856)),"", not(iserror(vlookup($A856&amp;$B856,'5) Release_Track'!$F:$F&amp;'5) Release_Track'!$G:$G,1,0))),vlookup($A856&amp;$B856,{'5) Release_Track'!$F:$F&amp;'5) Release_Track'!$G:$G,'5) Release_Track'!$J:$J},2,0),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F856" s="88"/>
      <c r="G856" s="92"/>
      <c r="H856" s="185"/>
      <c r="I856" s="121" t="str">
        <f t="shared" si="2"/>
        <v/>
      </c>
      <c r="J856" s="92"/>
      <c r="K856" s="92"/>
    </row>
    <row r="857">
      <c r="B857" s="97"/>
      <c r="C857" s="121" t="str">
        <f t="array" ref="C857">ifs(and(isblank($A857),isblank($B857)),"", not(iserror(vlookup($A857&amp;$B857,'5) Release_Track'!$F:$F&amp;'5) Release_Track'!$G:$G,1,0))),vlookup($A857&amp;$B857,{'5) Release_Track'!$F:$F&amp;'5) Release_Track'!$G:$G,'5) Release_Track'!$H:$H},2,0),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D857" s="121" t="str">
        <f t="array" ref="D857">ifs(and(isblank($A857),isblank($B857)),"", not(iserror(vlookup($A857&amp;$B857,'5) Release_Track'!$F:$F&amp;'5) Release_Track'!$G:$G,1,0))),vlookup($A857&amp;$B857,{'5) Release_Track'!$F:$F&amp;'5) Release_Track'!$G:$G,'5) Release_Track'!$I:$I},2,0),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E857" s="116" t="str">
        <f t="array" ref="E857">ifs(and(isblank($A857),isblank($B857)),"", not(iserror(vlookup($A857&amp;$B857,'5) Release_Track'!$F:$F&amp;'5) Release_Track'!$G:$G,1,0))),vlookup($A857&amp;$B857,{'5) Release_Track'!$F:$F&amp;'5) Release_Track'!$G:$G,'5) Release_Track'!$J:$J},2,0),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F857" s="88"/>
      <c r="G857" s="92"/>
      <c r="H857" s="185"/>
      <c r="I857" s="121" t="str">
        <f t="shared" si="2"/>
        <v/>
      </c>
      <c r="J857" s="92"/>
      <c r="K857" s="92"/>
    </row>
    <row r="858">
      <c r="B858" s="97"/>
      <c r="C858" s="121" t="str">
        <f t="array" ref="C858">ifs(and(isblank($A858),isblank($B858)),"", not(iserror(vlookup($A858&amp;$B858,'5) Release_Track'!$F:$F&amp;'5) Release_Track'!$G:$G,1,0))),vlookup($A858&amp;$B858,{'5) Release_Track'!$F:$F&amp;'5) Release_Track'!$G:$G,'5) Release_Track'!$H:$H},2,0),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D858" s="121" t="str">
        <f t="array" ref="D858">ifs(and(isblank($A858),isblank($B858)),"", not(iserror(vlookup($A858&amp;$B858,'5) Release_Track'!$F:$F&amp;'5) Release_Track'!$G:$G,1,0))),vlookup($A858&amp;$B858,{'5) Release_Track'!$F:$F&amp;'5) Release_Track'!$G:$G,'5) Release_Track'!$I:$I},2,0),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E858" s="116" t="str">
        <f t="array" ref="E858">ifs(and(isblank($A858),isblank($B858)),"", not(iserror(vlookup($A858&amp;$B858,'5) Release_Track'!$F:$F&amp;'5) Release_Track'!$G:$G,1,0))),vlookup($A858&amp;$B858,{'5) Release_Track'!$F:$F&amp;'5) Release_Track'!$G:$G,'5) Release_Track'!$J:$J},2,0),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F858" s="88"/>
      <c r="G858" s="92"/>
      <c r="H858" s="185"/>
      <c r="I858" s="121" t="str">
        <f t="shared" si="2"/>
        <v/>
      </c>
      <c r="J858" s="92"/>
      <c r="K858" s="92"/>
    </row>
    <row r="859">
      <c r="B859" s="97"/>
      <c r="C859" s="121" t="str">
        <f t="array" ref="C859">ifs(and(isblank($A859),isblank($B859)),"", not(iserror(vlookup($A859&amp;$B859,'5) Release_Track'!$F:$F&amp;'5) Release_Track'!$G:$G,1,0))),vlookup($A859&amp;$B859,{'5) Release_Track'!$F:$F&amp;'5) Release_Track'!$G:$G,'5) Release_Track'!$H:$H},2,0),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D859" s="121" t="str">
        <f t="array" ref="D859">ifs(and(isblank($A859),isblank($B859)),"", not(iserror(vlookup($A859&amp;$B859,'5) Release_Track'!$F:$F&amp;'5) Release_Track'!$G:$G,1,0))),vlookup($A859&amp;$B859,{'5) Release_Track'!$F:$F&amp;'5) Release_Track'!$G:$G,'5) Release_Track'!$I:$I},2,0),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E859" s="116" t="str">
        <f t="array" ref="E859">ifs(and(isblank($A859),isblank($B859)),"", not(iserror(vlookup($A859&amp;$B859,'5) Release_Track'!$F:$F&amp;'5) Release_Track'!$G:$G,1,0))),vlookup($A859&amp;$B859,{'5) Release_Track'!$F:$F&amp;'5) Release_Track'!$G:$G,'5) Release_Track'!$J:$J},2,0),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F859" s="88"/>
      <c r="G859" s="92"/>
      <c r="H859" s="185"/>
      <c r="I859" s="121" t="str">
        <f t="shared" si="2"/>
        <v/>
      </c>
      <c r="J859" s="92"/>
      <c r="K859" s="92"/>
    </row>
    <row r="860">
      <c r="B860" s="97"/>
      <c r="C860" s="121" t="str">
        <f t="array" ref="C860">ifs(and(isblank($A860),isblank($B860)),"", not(iserror(vlookup($A860&amp;$B860,'5) Release_Track'!$F:$F&amp;'5) Release_Track'!$G:$G,1,0))),vlookup($A860&amp;$B860,{'5) Release_Track'!$F:$F&amp;'5) Release_Track'!$G:$G,'5) Release_Track'!$H:$H},2,0),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D860" s="121" t="str">
        <f t="array" ref="D860">ifs(and(isblank($A860),isblank($B860)),"", not(iserror(vlookup($A860&amp;$B860,'5) Release_Track'!$F:$F&amp;'5) Release_Track'!$G:$G,1,0))),vlookup($A860&amp;$B860,{'5) Release_Track'!$F:$F&amp;'5) Release_Track'!$G:$G,'5) Release_Track'!$I:$I},2,0),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E860" s="116" t="str">
        <f t="array" ref="E860">ifs(and(isblank($A860),isblank($B860)),"", not(iserror(vlookup($A860&amp;$B860,'5) Release_Track'!$F:$F&amp;'5) Release_Track'!$G:$G,1,0))),vlookup($A860&amp;$B860,{'5) Release_Track'!$F:$F&amp;'5) Release_Track'!$G:$G,'5) Release_Track'!$J:$J},2,0),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F860" s="88"/>
      <c r="G860" s="92"/>
      <c r="H860" s="185"/>
      <c r="I860" s="121" t="str">
        <f t="shared" si="2"/>
        <v/>
      </c>
      <c r="J860" s="92"/>
      <c r="K860" s="92"/>
    </row>
    <row r="861">
      <c r="B861" s="97"/>
      <c r="C861" s="121" t="str">
        <f t="array" ref="C861">ifs(and(isblank($A861),isblank($B861)),"", not(iserror(vlookup($A861&amp;$B861,'5) Release_Track'!$F:$F&amp;'5) Release_Track'!$G:$G,1,0))),vlookup($A861&amp;$B861,{'5) Release_Track'!$F:$F&amp;'5) Release_Track'!$G:$G,'5) Release_Track'!$H:$H},2,0),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D861" s="121" t="str">
        <f t="array" ref="D861">ifs(and(isblank($A861),isblank($B861)),"", not(iserror(vlookup($A861&amp;$B861,'5) Release_Track'!$F:$F&amp;'5) Release_Track'!$G:$G,1,0))),vlookup($A861&amp;$B861,{'5) Release_Track'!$F:$F&amp;'5) Release_Track'!$G:$G,'5) Release_Track'!$I:$I},2,0),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E861" s="116" t="str">
        <f t="array" ref="E861">ifs(and(isblank($A861),isblank($B861)),"", not(iserror(vlookup($A861&amp;$B861,'5) Release_Track'!$F:$F&amp;'5) Release_Track'!$G:$G,1,0))),vlookup($A861&amp;$B861,{'5) Release_Track'!$F:$F&amp;'5) Release_Track'!$G:$G,'5) Release_Track'!$J:$J},2,0),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F861" s="88"/>
      <c r="G861" s="92"/>
      <c r="H861" s="185"/>
      <c r="I861" s="121" t="str">
        <f t="shared" si="2"/>
        <v/>
      </c>
      <c r="J861" s="92"/>
      <c r="K861" s="92"/>
    </row>
    <row r="862">
      <c r="B862" s="97"/>
      <c r="C862" s="121" t="str">
        <f t="array" ref="C862">ifs(and(isblank($A862),isblank($B862)),"", not(iserror(vlookup($A862&amp;$B862,'5) Release_Track'!$F:$F&amp;'5) Release_Track'!$G:$G,1,0))),vlookup($A862&amp;$B862,{'5) Release_Track'!$F:$F&amp;'5) Release_Track'!$G:$G,'5) Release_Track'!$H:$H},2,0),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D862" s="121" t="str">
        <f t="array" ref="D862">ifs(and(isblank($A862),isblank($B862)),"", not(iserror(vlookup($A862&amp;$B862,'5) Release_Track'!$F:$F&amp;'5) Release_Track'!$G:$G,1,0))),vlookup($A862&amp;$B862,{'5) Release_Track'!$F:$F&amp;'5) Release_Track'!$G:$G,'5) Release_Track'!$I:$I},2,0),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E862" s="116" t="str">
        <f t="array" ref="E862">ifs(and(isblank($A862),isblank($B862)),"", not(iserror(vlookup($A862&amp;$B862,'5) Release_Track'!$F:$F&amp;'5) Release_Track'!$G:$G,1,0))),vlookup($A862&amp;$B862,{'5) Release_Track'!$F:$F&amp;'5) Release_Track'!$G:$G,'5) Release_Track'!$J:$J},2,0),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F862" s="88"/>
      <c r="G862" s="92"/>
      <c r="H862" s="185"/>
      <c r="I862" s="121" t="str">
        <f t="shared" si="2"/>
        <v/>
      </c>
      <c r="J862" s="92"/>
      <c r="K862" s="92"/>
    </row>
    <row r="863">
      <c r="B863" s="97"/>
      <c r="C863" s="121" t="str">
        <f t="array" ref="C863">ifs(and(isblank($A863),isblank($B863)),"", not(iserror(vlookup($A863&amp;$B863,'5) Release_Track'!$F:$F&amp;'5) Release_Track'!$G:$G,1,0))),vlookup($A863&amp;$B863,{'5) Release_Track'!$F:$F&amp;'5) Release_Track'!$G:$G,'5) Release_Track'!$H:$H},2,0),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D863" s="121" t="str">
        <f t="array" ref="D863">ifs(and(isblank($A863),isblank($B863)),"", not(iserror(vlookup($A863&amp;$B863,'5) Release_Track'!$F:$F&amp;'5) Release_Track'!$G:$G,1,0))),vlookup($A863&amp;$B863,{'5) Release_Track'!$F:$F&amp;'5) Release_Track'!$G:$G,'5) Release_Track'!$I:$I},2,0),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E863" s="116" t="str">
        <f t="array" ref="E863">ifs(and(isblank($A863),isblank($B863)),"", not(iserror(vlookup($A863&amp;$B863,'5) Release_Track'!$F:$F&amp;'5) Release_Track'!$G:$G,1,0))),vlookup($A863&amp;$B863,{'5) Release_Track'!$F:$F&amp;'5) Release_Track'!$G:$G,'5) Release_Track'!$J:$J},2,0),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F863" s="88"/>
      <c r="G863" s="92"/>
      <c r="H863" s="185"/>
      <c r="I863" s="121" t="str">
        <f t="shared" si="2"/>
        <v/>
      </c>
      <c r="J863" s="92"/>
      <c r="K863" s="92"/>
    </row>
    <row r="864">
      <c r="B864" s="97"/>
      <c r="C864" s="121" t="str">
        <f t="array" ref="C864">ifs(and(isblank($A864),isblank($B864)),"", not(iserror(vlookup($A864&amp;$B864,'5) Release_Track'!$F:$F&amp;'5) Release_Track'!$G:$G,1,0))),vlookup($A864&amp;$B864,{'5) Release_Track'!$F:$F&amp;'5) Release_Track'!$G:$G,'5) Release_Track'!$H:$H},2,0),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D864" s="121" t="str">
        <f t="array" ref="D864">ifs(and(isblank($A864),isblank($B864)),"", not(iserror(vlookup($A864&amp;$B864,'5) Release_Track'!$F:$F&amp;'5) Release_Track'!$G:$G,1,0))),vlookup($A864&amp;$B864,{'5) Release_Track'!$F:$F&amp;'5) Release_Track'!$G:$G,'5) Release_Track'!$I:$I},2,0),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E864" s="116" t="str">
        <f t="array" ref="E864">ifs(and(isblank($A864),isblank($B864)),"", not(iserror(vlookup($A864&amp;$B864,'5) Release_Track'!$F:$F&amp;'5) Release_Track'!$G:$G,1,0))),vlookup($A864&amp;$B864,{'5) Release_Track'!$F:$F&amp;'5) Release_Track'!$G:$G,'5) Release_Track'!$J:$J},2,0),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F864" s="88"/>
      <c r="G864" s="92"/>
      <c r="H864" s="185"/>
      <c r="I864" s="121" t="str">
        <f t="shared" si="2"/>
        <v/>
      </c>
      <c r="J864" s="92"/>
      <c r="K864" s="92"/>
    </row>
    <row r="865">
      <c r="B865" s="97"/>
      <c r="C865" s="121" t="str">
        <f t="array" ref="C865">ifs(and(isblank($A865),isblank($B865)),"", not(iserror(vlookup($A865&amp;$B865,'5) Release_Track'!$F:$F&amp;'5) Release_Track'!$G:$G,1,0))),vlookup($A865&amp;$B865,{'5) Release_Track'!$F:$F&amp;'5) Release_Track'!$G:$G,'5) Release_Track'!$H:$H},2,0),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D865" s="121" t="str">
        <f t="array" ref="D865">ifs(and(isblank($A865),isblank($B865)),"", not(iserror(vlookup($A865&amp;$B865,'5) Release_Track'!$F:$F&amp;'5) Release_Track'!$G:$G,1,0))),vlookup($A865&amp;$B865,{'5) Release_Track'!$F:$F&amp;'5) Release_Track'!$G:$G,'5) Release_Track'!$I:$I},2,0),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E865" s="116" t="str">
        <f t="array" ref="E865">ifs(and(isblank($A865),isblank($B865)),"", not(iserror(vlookup($A865&amp;$B865,'5) Release_Track'!$F:$F&amp;'5) Release_Track'!$G:$G,1,0))),vlookup($A865&amp;$B865,{'5) Release_Track'!$F:$F&amp;'5) Release_Track'!$G:$G,'5) Release_Track'!$J:$J},2,0),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F865" s="88"/>
      <c r="G865" s="92"/>
      <c r="H865" s="185"/>
      <c r="I865" s="121" t="str">
        <f t="shared" si="2"/>
        <v/>
      </c>
      <c r="J865" s="92"/>
      <c r="K865" s="92"/>
    </row>
    <row r="866">
      <c r="B866" s="97"/>
      <c r="C866" s="121" t="str">
        <f t="array" ref="C866">ifs(and(isblank($A866),isblank($B866)),"", not(iserror(vlookup($A866&amp;$B866,'5) Release_Track'!$F:$F&amp;'5) Release_Track'!$G:$G,1,0))),vlookup($A866&amp;$B866,{'5) Release_Track'!$F:$F&amp;'5) Release_Track'!$G:$G,'5) Release_Track'!$H:$H},2,0),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D866" s="121" t="str">
        <f t="array" ref="D866">ifs(and(isblank($A866),isblank($B866)),"", not(iserror(vlookup($A866&amp;$B866,'5) Release_Track'!$F:$F&amp;'5) Release_Track'!$G:$G,1,0))),vlookup($A866&amp;$B866,{'5) Release_Track'!$F:$F&amp;'5) Release_Track'!$G:$G,'5) Release_Track'!$I:$I},2,0),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E866" s="116" t="str">
        <f t="array" ref="E866">ifs(and(isblank($A866),isblank($B866)),"", not(iserror(vlookup($A866&amp;$B866,'5) Release_Track'!$F:$F&amp;'5) Release_Track'!$G:$G,1,0))),vlookup($A866&amp;$B866,{'5) Release_Track'!$F:$F&amp;'5) Release_Track'!$G:$G,'5) Release_Track'!$J:$J},2,0),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F866" s="88"/>
      <c r="G866" s="92"/>
      <c r="H866" s="185"/>
      <c r="I866" s="121" t="str">
        <f t="shared" si="2"/>
        <v/>
      </c>
      <c r="J866" s="92"/>
      <c r="K866" s="92"/>
    </row>
    <row r="867">
      <c r="B867" s="97"/>
      <c r="C867" s="121" t="str">
        <f t="array" ref="C867">ifs(and(isblank($A867),isblank($B867)),"", not(iserror(vlookup($A867&amp;$B867,'5) Release_Track'!$F:$F&amp;'5) Release_Track'!$G:$G,1,0))),vlookup($A867&amp;$B867,{'5) Release_Track'!$F:$F&amp;'5) Release_Track'!$G:$G,'5) Release_Track'!$H:$H},2,0),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D867" s="121" t="str">
        <f t="array" ref="D867">ifs(and(isblank($A867),isblank($B867)),"", not(iserror(vlookup($A867&amp;$B867,'5) Release_Track'!$F:$F&amp;'5) Release_Track'!$G:$G,1,0))),vlookup($A867&amp;$B867,{'5) Release_Track'!$F:$F&amp;'5) Release_Track'!$G:$G,'5) Release_Track'!$I:$I},2,0),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E867" s="116" t="str">
        <f t="array" ref="E867">ifs(and(isblank($A867),isblank($B867)),"", not(iserror(vlookup($A867&amp;$B867,'5) Release_Track'!$F:$F&amp;'5) Release_Track'!$G:$G,1,0))),vlookup($A867&amp;$B867,{'5) Release_Track'!$F:$F&amp;'5) Release_Track'!$G:$G,'5) Release_Track'!$J:$J},2,0),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F867" s="88"/>
      <c r="G867" s="92"/>
      <c r="H867" s="185"/>
      <c r="I867" s="121" t="str">
        <f t="shared" si="2"/>
        <v/>
      </c>
      <c r="J867" s="92"/>
      <c r="K867" s="92"/>
    </row>
    <row r="868">
      <c r="B868" s="97"/>
      <c r="C868" s="121" t="str">
        <f t="array" ref="C868">ifs(and(isblank($A868),isblank($B868)),"", not(iserror(vlookup($A868&amp;$B868,'5) Release_Track'!$F:$F&amp;'5) Release_Track'!$G:$G,1,0))),vlookup($A868&amp;$B868,{'5) Release_Track'!$F:$F&amp;'5) Release_Track'!$G:$G,'5) Release_Track'!$H:$H},2,0),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D868" s="121" t="str">
        <f t="array" ref="D868">ifs(and(isblank($A868),isblank($B868)),"", not(iserror(vlookup($A868&amp;$B868,'5) Release_Track'!$F:$F&amp;'5) Release_Track'!$G:$G,1,0))),vlookup($A868&amp;$B868,{'5) Release_Track'!$F:$F&amp;'5) Release_Track'!$G:$G,'5) Release_Track'!$I:$I},2,0),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E868" s="116" t="str">
        <f t="array" ref="E868">ifs(and(isblank($A868),isblank($B868)),"", not(iserror(vlookup($A868&amp;$B868,'5) Release_Track'!$F:$F&amp;'5) Release_Track'!$G:$G,1,0))),vlookup($A868&amp;$B868,{'5) Release_Track'!$F:$F&amp;'5) Release_Track'!$G:$G,'5) Release_Track'!$J:$J},2,0),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F868" s="88"/>
      <c r="G868" s="92"/>
      <c r="H868" s="185"/>
      <c r="I868" s="121" t="str">
        <f t="shared" si="2"/>
        <v/>
      </c>
      <c r="J868" s="92"/>
      <c r="K868" s="92"/>
    </row>
    <row r="869">
      <c r="B869" s="97"/>
      <c r="C869" s="121" t="str">
        <f t="array" ref="C869">ifs(and(isblank($A869),isblank($B869)),"", not(iserror(vlookup($A869&amp;$B869,'5) Release_Track'!$F:$F&amp;'5) Release_Track'!$G:$G,1,0))),vlookup($A869&amp;$B869,{'5) Release_Track'!$F:$F&amp;'5) Release_Track'!$G:$G,'5) Release_Track'!$H:$H},2,0),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D869" s="121" t="str">
        <f t="array" ref="D869">ifs(and(isblank($A869),isblank($B869)),"", not(iserror(vlookup($A869&amp;$B869,'5) Release_Track'!$F:$F&amp;'5) Release_Track'!$G:$G,1,0))),vlookup($A869&amp;$B869,{'5) Release_Track'!$F:$F&amp;'5) Release_Track'!$G:$G,'5) Release_Track'!$I:$I},2,0),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E869" s="116" t="str">
        <f t="array" ref="E869">ifs(and(isblank($A869),isblank($B869)),"", not(iserror(vlookup($A869&amp;$B869,'5) Release_Track'!$F:$F&amp;'5) Release_Track'!$G:$G,1,0))),vlookup($A869&amp;$B869,{'5) Release_Track'!$F:$F&amp;'5) Release_Track'!$G:$G,'5) Release_Track'!$J:$J},2,0),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F869" s="88"/>
      <c r="G869" s="92"/>
      <c r="H869" s="185"/>
      <c r="I869" s="121" t="str">
        <f t="shared" si="2"/>
        <v/>
      </c>
      <c r="J869" s="92"/>
      <c r="K869" s="92"/>
    </row>
    <row r="870">
      <c r="B870" s="97"/>
      <c r="C870" s="121" t="str">
        <f t="array" ref="C870">ifs(and(isblank($A870),isblank($B870)),"", not(iserror(vlookup($A870&amp;$B870,'5) Release_Track'!$F:$F&amp;'5) Release_Track'!$G:$G,1,0))),vlookup($A870&amp;$B870,{'5) Release_Track'!$F:$F&amp;'5) Release_Track'!$G:$G,'5) Release_Track'!$H:$H},2,0),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D870" s="121" t="str">
        <f t="array" ref="D870">ifs(and(isblank($A870),isblank($B870)),"", not(iserror(vlookup($A870&amp;$B870,'5) Release_Track'!$F:$F&amp;'5) Release_Track'!$G:$G,1,0))),vlookup($A870&amp;$B870,{'5) Release_Track'!$F:$F&amp;'5) Release_Track'!$G:$G,'5) Release_Track'!$I:$I},2,0),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E870" s="116" t="str">
        <f t="array" ref="E870">ifs(and(isblank($A870),isblank($B870)),"", not(iserror(vlookup($A870&amp;$B870,'5) Release_Track'!$F:$F&amp;'5) Release_Track'!$G:$G,1,0))),vlookup($A870&amp;$B870,{'5) Release_Track'!$F:$F&amp;'5) Release_Track'!$G:$G,'5) Release_Track'!$J:$J},2,0),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F870" s="88"/>
      <c r="G870" s="92"/>
      <c r="H870" s="185"/>
      <c r="I870" s="121" t="str">
        <f t="shared" si="2"/>
        <v/>
      </c>
      <c r="J870" s="92"/>
      <c r="K870" s="92"/>
    </row>
    <row r="871">
      <c r="B871" s="97"/>
      <c r="C871" s="121" t="str">
        <f t="array" ref="C871">ifs(and(isblank($A871),isblank($B871)),"", not(iserror(vlookup($A871&amp;$B871,'5) Release_Track'!$F:$F&amp;'5) Release_Track'!$G:$G,1,0))),vlookup($A871&amp;$B871,{'5) Release_Track'!$F:$F&amp;'5) Release_Track'!$G:$G,'5) Release_Track'!$H:$H},2,0),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D871" s="121" t="str">
        <f t="array" ref="D871">ifs(and(isblank($A871),isblank($B871)),"", not(iserror(vlookup($A871&amp;$B871,'5) Release_Track'!$F:$F&amp;'5) Release_Track'!$G:$G,1,0))),vlookup($A871&amp;$B871,{'5) Release_Track'!$F:$F&amp;'5) Release_Track'!$G:$G,'5) Release_Track'!$I:$I},2,0),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E871" s="116" t="str">
        <f t="array" ref="E871">ifs(and(isblank($A871),isblank($B871)),"", not(iserror(vlookup($A871&amp;$B871,'5) Release_Track'!$F:$F&amp;'5) Release_Track'!$G:$G,1,0))),vlookup($A871&amp;$B871,{'5) Release_Track'!$F:$F&amp;'5) Release_Track'!$G:$G,'5) Release_Track'!$J:$J},2,0),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F871" s="88"/>
      <c r="G871" s="92"/>
      <c r="H871" s="185"/>
      <c r="I871" s="121" t="str">
        <f t="shared" si="2"/>
        <v/>
      </c>
      <c r="J871" s="92"/>
      <c r="K871" s="92"/>
    </row>
    <row r="872">
      <c r="B872" s="97"/>
      <c r="C872" s="121" t="str">
        <f t="array" ref="C872">ifs(and(isblank($A872),isblank($B872)),"", not(iserror(vlookup($A872&amp;$B872,'5) Release_Track'!$F:$F&amp;'5) Release_Track'!$G:$G,1,0))),vlookup($A872&amp;$B872,{'5) Release_Track'!$F:$F&amp;'5) Release_Track'!$G:$G,'5) Release_Track'!$H:$H},2,0),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D872" s="121" t="str">
        <f t="array" ref="D872">ifs(and(isblank($A872),isblank($B872)),"", not(iserror(vlookup($A872&amp;$B872,'5) Release_Track'!$F:$F&amp;'5) Release_Track'!$G:$G,1,0))),vlookup($A872&amp;$B872,{'5) Release_Track'!$F:$F&amp;'5) Release_Track'!$G:$G,'5) Release_Track'!$I:$I},2,0),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E872" s="116" t="str">
        <f t="array" ref="E872">ifs(and(isblank($A872),isblank($B872)),"", not(iserror(vlookup($A872&amp;$B872,'5) Release_Track'!$F:$F&amp;'5) Release_Track'!$G:$G,1,0))),vlookup($A872&amp;$B872,{'5) Release_Track'!$F:$F&amp;'5) Release_Track'!$G:$G,'5) Release_Track'!$J:$J},2,0),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F872" s="88"/>
      <c r="G872" s="92"/>
      <c r="H872" s="185"/>
      <c r="I872" s="121" t="str">
        <f t="shared" si="2"/>
        <v/>
      </c>
      <c r="J872" s="92"/>
      <c r="K872" s="92"/>
    </row>
    <row r="873">
      <c r="B873" s="97"/>
      <c r="C873" s="121" t="str">
        <f t="array" ref="C873">ifs(and(isblank($A873),isblank($B873)),"", not(iserror(vlookup($A873&amp;$B873,'5) Release_Track'!$F:$F&amp;'5) Release_Track'!$G:$G,1,0))),vlookup($A873&amp;$B873,{'5) Release_Track'!$F:$F&amp;'5) Release_Track'!$G:$G,'5) Release_Track'!$H:$H},2,0),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D873" s="121" t="str">
        <f t="array" ref="D873">ifs(and(isblank($A873),isblank($B873)),"", not(iserror(vlookup($A873&amp;$B873,'5) Release_Track'!$F:$F&amp;'5) Release_Track'!$G:$G,1,0))),vlookup($A873&amp;$B873,{'5) Release_Track'!$F:$F&amp;'5) Release_Track'!$G:$G,'5) Release_Track'!$I:$I},2,0),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E873" s="116" t="str">
        <f t="array" ref="E873">ifs(and(isblank($A873),isblank($B873)),"", not(iserror(vlookup($A873&amp;$B873,'5) Release_Track'!$F:$F&amp;'5) Release_Track'!$G:$G,1,0))),vlookup($A873&amp;$B873,{'5) Release_Track'!$F:$F&amp;'5) Release_Track'!$G:$G,'5) Release_Track'!$J:$J},2,0),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F873" s="88"/>
      <c r="G873" s="92"/>
      <c r="H873" s="185"/>
      <c r="I873" s="121" t="str">
        <f t="shared" si="2"/>
        <v/>
      </c>
      <c r="J873" s="92"/>
      <c r="K873" s="92"/>
    </row>
    <row r="874">
      <c r="B874" s="97"/>
      <c r="C874" s="121" t="str">
        <f t="array" ref="C874">ifs(and(isblank($A874),isblank($B874)),"", not(iserror(vlookup($A874&amp;$B874,'5) Release_Track'!$F:$F&amp;'5) Release_Track'!$G:$G,1,0))),vlookup($A874&amp;$B874,{'5) Release_Track'!$F:$F&amp;'5) Release_Track'!$G:$G,'5) Release_Track'!$H:$H},2,0),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D874" s="121" t="str">
        <f t="array" ref="D874">ifs(and(isblank($A874),isblank($B874)),"", not(iserror(vlookup($A874&amp;$B874,'5) Release_Track'!$F:$F&amp;'5) Release_Track'!$G:$G,1,0))),vlookup($A874&amp;$B874,{'5) Release_Track'!$F:$F&amp;'5) Release_Track'!$G:$G,'5) Release_Track'!$I:$I},2,0),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E874" s="116" t="str">
        <f t="array" ref="E874">ifs(and(isblank($A874),isblank($B874)),"", not(iserror(vlookup($A874&amp;$B874,'5) Release_Track'!$F:$F&amp;'5) Release_Track'!$G:$G,1,0))),vlookup($A874&amp;$B874,{'5) Release_Track'!$F:$F&amp;'5) Release_Track'!$G:$G,'5) Release_Track'!$J:$J},2,0),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F874" s="88"/>
      <c r="G874" s="92"/>
      <c r="H874" s="185"/>
      <c r="I874" s="121" t="str">
        <f t="shared" si="2"/>
        <v/>
      </c>
      <c r="J874" s="92"/>
      <c r="K874" s="92"/>
    </row>
    <row r="875">
      <c r="B875" s="97"/>
      <c r="C875" s="121" t="str">
        <f t="array" ref="C875">ifs(and(isblank($A875),isblank($B875)),"", not(iserror(vlookup($A875&amp;$B875,'5) Release_Track'!$F:$F&amp;'5) Release_Track'!$G:$G,1,0))),vlookup($A875&amp;$B875,{'5) Release_Track'!$F:$F&amp;'5) Release_Track'!$G:$G,'5) Release_Track'!$H:$H},2,0),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D875" s="121" t="str">
        <f t="array" ref="D875">ifs(and(isblank($A875),isblank($B875)),"", not(iserror(vlookup($A875&amp;$B875,'5) Release_Track'!$F:$F&amp;'5) Release_Track'!$G:$G,1,0))),vlookup($A875&amp;$B875,{'5) Release_Track'!$F:$F&amp;'5) Release_Track'!$G:$G,'5) Release_Track'!$I:$I},2,0),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E875" s="116" t="str">
        <f t="array" ref="E875">ifs(and(isblank($A875),isblank($B875)),"", not(iserror(vlookup($A875&amp;$B875,'5) Release_Track'!$F:$F&amp;'5) Release_Track'!$G:$G,1,0))),vlookup($A875&amp;$B875,{'5) Release_Track'!$F:$F&amp;'5) Release_Track'!$G:$G,'5) Release_Track'!$J:$J},2,0),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F875" s="88"/>
      <c r="G875" s="92"/>
      <c r="H875" s="185"/>
      <c r="I875" s="121" t="str">
        <f t="shared" si="2"/>
        <v/>
      </c>
      <c r="J875" s="92"/>
      <c r="K875" s="92"/>
    </row>
    <row r="876">
      <c r="B876" s="97"/>
      <c r="C876" s="121" t="str">
        <f t="array" ref="C876">ifs(and(isblank($A876),isblank($B876)),"", not(iserror(vlookup($A876&amp;$B876,'5) Release_Track'!$F:$F&amp;'5) Release_Track'!$G:$G,1,0))),vlookup($A876&amp;$B876,{'5) Release_Track'!$F:$F&amp;'5) Release_Track'!$G:$G,'5) Release_Track'!$H:$H},2,0),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D876" s="121" t="str">
        <f t="array" ref="D876">ifs(and(isblank($A876),isblank($B876)),"", not(iserror(vlookup($A876&amp;$B876,'5) Release_Track'!$F:$F&amp;'5) Release_Track'!$G:$G,1,0))),vlookup($A876&amp;$B876,{'5) Release_Track'!$F:$F&amp;'5) Release_Track'!$G:$G,'5) Release_Track'!$I:$I},2,0),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E876" s="116" t="str">
        <f t="array" ref="E876">ifs(and(isblank($A876),isblank($B876)),"", not(iserror(vlookup($A876&amp;$B876,'5) Release_Track'!$F:$F&amp;'5) Release_Track'!$G:$G,1,0))),vlookup($A876&amp;$B876,{'5) Release_Track'!$F:$F&amp;'5) Release_Track'!$G:$G,'5) Release_Track'!$J:$J},2,0),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F876" s="88"/>
      <c r="G876" s="92"/>
      <c r="H876" s="185"/>
      <c r="I876" s="121" t="str">
        <f t="shared" si="2"/>
        <v/>
      </c>
      <c r="J876" s="92"/>
      <c r="K876" s="92"/>
    </row>
    <row r="877">
      <c r="B877" s="97"/>
      <c r="C877" s="121" t="str">
        <f t="array" ref="C877">ifs(and(isblank($A877),isblank($B877)),"", not(iserror(vlookup($A877&amp;$B877,'5) Release_Track'!$F:$F&amp;'5) Release_Track'!$G:$G,1,0))),vlookup($A877&amp;$B877,{'5) Release_Track'!$F:$F&amp;'5) Release_Track'!$G:$G,'5) Release_Track'!$H:$H},2,0),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D877" s="121" t="str">
        <f t="array" ref="D877">ifs(and(isblank($A877),isblank($B877)),"", not(iserror(vlookup($A877&amp;$B877,'5) Release_Track'!$F:$F&amp;'5) Release_Track'!$G:$G,1,0))),vlookup($A877&amp;$B877,{'5) Release_Track'!$F:$F&amp;'5) Release_Track'!$G:$G,'5) Release_Track'!$I:$I},2,0),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E877" s="116" t="str">
        <f t="array" ref="E877">ifs(and(isblank($A877),isblank($B877)),"", not(iserror(vlookup($A877&amp;$B877,'5) Release_Track'!$F:$F&amp;'5) Release_Track'!$G:$G,1,0))),vlookup($A877&amp;$B877,{'5) Release_Track'!$F:$F&amp;'5) Release_Track'!$G:$G,'5) Release_Track'!$J:$J},2,0),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F877" s="88"/>
      <c r="G877" s="92"/>
      <c r="H877" s="185"/>
      <c r="I877" s="121" t="str">
        <f t="shared" si="2"/>
        <v/>
      </c>
      <c r="J877" s="92"/>
      <c r="K877" s="92"/>
    </row>
    <row r="878">
      <c r="B878" s="97"/>
      <c r="C878" s="121" t="str">
        <f t="array" ref="C878">ifs(and(isblank($A878),isblank($B878)),"", not(iserror(vlookup($A878&amp;$B878,'5) Release_Track'!$F:$F&amp;'5) Release_Track'!$G:$G,1,0))),vlookup($A878&amp;$B878,{'5) Release_Track'!$F:$F&amp;'5) Release_Track'!$G:$G,'5) Release_Track'!$H:$H},2,0),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D878" s="121" t="str">
        <f t="array" ref="D878">ifs(and(isblank($A878),isblank($B878)),"", not(iserror(vlookup($A878&amp;$B878,'5) Release_Track'!$F:$F&amp;'5) Release_Track'!$G:$G,1,0))),vlookup($A878&amp;$B878,{'5) Release_Track'!$F:$F&amp;'5) Release_Track'!$G:$G,'5) Release_Track'!$I:$I},2,0),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E878" s="116" t="str">
        <f t="array" ref="E878">ifs(and(isblank($A878),isblank($B878)),"", not(iserror(vlookup($A878&amp;$B878,'5) Release_Track'!$F:$F&amp;'5) Release_Track'!$G:$G,1,0))),vlookup($A878&amp;$B878,{'5) Release_Track'!$F:$F&amp;'5) Release_Track'!$G:$G,'5) Release_Track'!$J:$J},2,0),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F878" s="88"/>
      <c r="G878" s="92"/>
      <c r="H878" s="185"/>
      <c r="I878" s="121" t="str">
        <f t="shared" si="2"/>
        <v/>
      </c>
      <c r="J878" s="92"/>
      <c r="K878" s="92"/>
    </row>
    <row r="879">
      <c r="B879" s="97"/>
      <c r="C879" s="121" t="str">
        <f t="array" ref="C879">ifs(and(isblank($A879),isblank($B879)),"", not(iserror(vlookup($A879&amp;$B879,'5) Release_Track'!$F:$F&amp;'5) Release_Track'!$G:$G,1,0))),vlookup($A879&amp;$B879,{'5) Release_Track'!$F:$F&amp;'5) Release_Track'!$G:$G,'5) Release_Track'!$H:$H},2,0),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D879" s="121" t="str">
        <f t="array" ref="D879">ifs(and(isblank($A879),isblank($B879)),"", not(iserror(vlookup($A879&amp;$B879,'5) Release_Track'!$F:$F&amp;'5) Release_Track'!$G:$G,1,0))),vlookup($A879&amp;$B879,{'5) Release_Track'!$F:$F&amp;'5) Release_Track'!$G:$G,'5) Release_Track'!$I:$I},2,0),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E879" s="116" t="str">
        <f t="array" ref="E879">ifs(and(isblank($A879),isblank($B879)),"", not(iserror(vlookup($A879&amp;$B879,'5) Release_Track'!$F:$F&amp;'5) Release_Track'!$G:$G,1,0))),vlookup($A879&amp;$B879,{'5) Release_Track'!$F:$F&amp;'5) Release_Track'!$G:$G,'5) Release_Track'!$J:$J},2,0),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F879" s="88"/>
      <c r="G879" s="92"/>
      <c r="H879" s="185"/>
      <c r="I879" s="121" t="str">
        <f t="shared" si="2"/>
        <v/>
      </c>
      <c r="J879" s="92"/>
      <c r="K879" s="92"/>
    </row>
    <row r="880">
      <c r="B880" s="97"/>
      <c r="C880" s="121" t="str">
        <f t="array" ref="C880">ifs(and(isblank($A880),isblank($B880)),"", not(iserror(vlookup($A880&amp;$B880,'5) Release_Track'!$F:$F&amp;'5) Release_Track'!$G:$G,1,0))),vlookup($A880&amp;$B880,{'5) Release_Track'!$F:$F&amp;'5) Release_Track'!$G:$G,'5) Release_Track'!$H:$H},2,0),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D880" s="121" t="str">
        <f t="array" ref="D880">ifs(and(isblank($A880),isblank($B880)),"", not(iserror(vlookup($A880&amp;$B880,'5) Release_Track'!$F:$F&amp;'5) Release_Track'!$G:$G,1,0))),vlookup($A880&amp;$B880,{'5) Release_Track'!$F:$F&amp;'5) Release_Track'!$G:$G,'5) Release_Track'!$I:$I},2,0),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E880" s="116" t="str">
        <f t="array" ref="E880">ifs(and(isblank($A880),isblank($B880)),"", not(iserror(vlookup($A880&amp;$B880,'5) Release_Track'!$F:$F&amp;'5) Release_Track'!$G:$G,1,0))),vlookup($A880&amp;$B880,{'5) Release_Track'!$F:$F&amp;'5) Release_Track'!$G:$G,'5) Release_Track'!$J:$J},2,0),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F880" s="88"/>
      <c r="G880" s="92"/>
      <c r="H880" s="185"/>
      <c r="I880" s="121" t="str">
        <f t="shared" si="2"/>
        <v/>
      </c>
      <c r="J880" s="92"/>
      <c r="K880" s="92"/>
    </row>
    <row r="881">
      <c r="B881" s="97"/>
      <c r="C881" s="121" t="str">
        <f t="array" ref="C881">ifs(and(isblank($A881),isblank($B881)),"", not(iserror(vlookup($A881&amp;$B881,'5) Release_Track'!$F:$F&amp;'5) Release_Track'!$G:$G,1,0))),vlookup($A881&amp;$B881,{'5) Release_Track'!$F:$F&amp;'5) Release_Track'!$G:$G,'5) Release_Track'!$H:$H},2,0),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D881" s="121" t="str">
        <f t="array" ref="D881">ifs(and(isblank($A881),isblank($B881)),"", not(iserror(vlookup($A881&amp;$B881,'5) Release_Track'!$F:$F&amp;'5) Release_Track'!$G:$G,1,0))),vlookup($A881&amp;$B881,{'5) Release_Track'!$F:$F&amp;'5) Release_Track'!$G:$G,'5) Release_Track'!$I:$I},2,0),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E881" s="116" t="str">
        <f t="array" ref="E881">ifs(and(isblank($A881),isblank($B881)),"", not(iserror(vlookup($A881&amp;$B881,'5) Release_Track'!$F:$F&amp;'5) Release_Track'!$G:$G,1,0))),vlookup($A881&amp;$B881,{'5) Release_Track'!$F:$F&amp;'5) Release_Track'!$G:$G,'5) Release_Track'!$J:$J},2,0),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F881" s="88"/>
      <c r="G881" s="92"/>
      <c r="H881" s="185"/>
      <c r="I881" s="121" t="str">
        <f t="shared" si="2"/>
        <v/>
      </c>
      <c r="J881" s="92"/>
      <c r="K881" s="92"/>
    </row>
    <row r="882">
      <c r="B882" s="97"/>
      <c r="C882" s="121" t="str">
        <f t="array" ref="C882">ifs(and(isblank($A882),isblank($B882)),"", not(iserror(vlookup($A882&amp;$B882,'5) Release_Track'!$F:$F&amp;'5) Release_Track'!$G:$G,1,0))),vlookup($A882&amp;$B882,{'5) Release_Track'!$F:$F&amp;'5) Release_Track'!$G:$G,'5) Release_Track'!$H:$H},2,0),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D882" s="121" t="str">
        <f t="array" ref="D882">ifs(and(isblank($A882),isblank($B882)),"", not(iserror(vlookup($A882&amp;$B882,'5) Release_Track'!$F:$F&amp;'5) Release_Track'!$G:$G,1,0))),vlookup($A882&amp;$B882,{'5) Release_Track'!$F:$F&amp;'5) Release_Track'!$G:$G,'5) Release_Track'!$I:$I},2,0),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E882" s="116" t="str">
        <f t="array" ref="E882">ifs(and(isblank($A882),isblank($B882)),"", not(iserror(vlookup($A882&amp;$B882,'5) Release_Track'!$F:$F&amp;'5) Release_Track'!$G:$G,1,0))),vlookup($A882&amp;$B882,{'5) Release_Track'!$F:$F&amp;'5) Release_Track'!$G:$G,'5) Release_Track'!$J:$J},2,0),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F882" s="88"/>
      <c r="G882" s="92"/>
      <c r="H882" s="185"/>
      <c r="I882" s="121" t="str">
        <f t="shared" si="2"/>
        <v/>
      </c>
      <c r="J882" s="92"/>
      <c r="K882" s="92"/>
    </row>
    <row r="883">
      <c r="B883" s="97"/>
      <c r="C883" s="121" t="str">
        <f t="array" ref="C883">ifs(and(isblank($A883),isblank($B883)),"", not(iserror(vlookup($A883&amp;$B883,'5) Release_Track'!$F:$F&amp;'5) Release_Track'!$G:$G,1,0))),vlookup($A883&amp;$B883,{'5) Release_Track'!$F:$F&amp;'5) Release_Track'!$G:$G,'5) Release_Track'!$H:$H},2,0),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D883" s="121" t="str">
        <f t="array" ref="D883">ifs(and(isblank($A883),isblank($B883)),"", not(iserror(vlookup($A883&amp;$B883,'5) Release_Track'!$F:$F&amp;'5) Release_Track'!$G:$G,1,0))),vlookup($A883&amp;$B883,{'5) Release_Track'!$F:$F&amp;'5) Release_Track'!$G:$G,'5) Release_Track'!$I:$I},2,0),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E883" s="116" t="str">
        <f t="array" ref="E883">ifs(and(isblank($A883),isblank($B883)),"", not(iserror(vlookup($A883&amp;$B883,'5) Release_Track'!$F:$F&amp;'5) Release_Track'!$G:$G,1,0))),vlookup($A883&amp;$B883,{'5) Release_Track'!$F:$F&amp;'5) Release_Track'!$G:$G,'5) Release_Track'!$J:$J},2,0),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F883" s="88"/>
      <c r="G883" s="92"/>
      <c r="H883" s="185"/>
      <c r="I883" s="121" t="str">
        <f t="shared" si="2"/>
        <v/>
      </c>
      <c r="J883" s="92"/>
      <c r="K883" s="92"/>
    </row>
    <row r="884">
      <c r="B884" s="97"/>
      <c r="C884" s="121" t="str">
        <f t="array" ref="C884">ifs(and(isblank($A884),isblank($B884)),"", not(iserror(vlookup($A884&amp;$B884,'5) Release_Track'!$F:$F&amp;'5) Release_Track'!$G:$G,1,0))),vlookup($A884&amp;$B884,{'5) Release_Track'!$F:$F&amp;'5) Release_Track'!$G:$G,'5) Release_Track'!$H:$H},2,0),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D884" s="121" t="str">
        <f t="array" ref="D884">ifs(and(isblank($A884),isblank($B884)),"", not(iserror(vlookup($A884&amp;$B884,'5) Release_Track'!$F:$F&amp;'5) Release_Track'!$G:$G,1,0))),vlookup($A884&amp;$B884,{'5) Release_Track'!$F:$F&amp;'5) Release_Track'!$G:$G,'5) Release_Track'!$I:$I},2,0),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E884" s="116" t="str">
        <f t="array" ref="E884">ifs(and(isblank($A884),isblank($B884)),"", not(iserror(vlookup($A884&amp;$B884,'5) Release_Track'!$F:$F&amp;'5) Release_Track'!$G:$G,1,0))),vlookup($A884&amp;$B884,{'5) Release_Track'!$F:$F&amp;'5) Release_Track'!$G:$G,'5) Release_Track'!$J:$J},2,0),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F884" s="88"/>
      <c r="G884" s="92"/>
      <c r="H884" s="185"/>
      <c r="I884" s="121" t="str">
        <f t="shared" si="2"/>
        <v/>
      </c>
      <c r="J884" s="92"/>
      <c r="K884" s="92"/>
    </row>
    <row r="885">
      <c r="B885" s="97"/>
      <c r="C885" s="121" t="str">
        <f t="array" ref="C885">ifs(and(isblank($A885),isblank($B885)),"", not(iserror(vlookup($A885&amp;$B885,'5) Release_Track'!$F:$F&amp;'5) Release_Track'!$G:$G,1,0))),vlookup($A885&amp;$B885,{'5) Release_Track'!$F:$F&amp;'5) Release_Track'!$G:$G,'5) Release_Track'!$H:$H},2,0),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D885" s="121" t="str">
        <f t="array" ref="D885">ifs(and(isblank($A885),isblank($B885)),"", not(iserror(vlookup($A885&amp;$B885,'5) Release_Track'!$F:$F&amp;'5) Release_Track'!$G:$G,1,0))),vlookup($A885&amp;$B885,{'5) Release_Track'!$F:$F&amp;'5) Release_Track'!$G:$G,'5) Release_Track'!$I:$I},2,0),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E885" s="116" t="str">
        <f t="array" ref="E885">ifs(and(isblank($A885),isblank($B885)),"", not(iserror(vlookup($A885&amp;$B885,'5) Release_Track'!$F:$F&amp;'5) Release_Track'!$G:$G,1,0))),vlookup($A885&amp;$B885,{'5) Release_Track'!$F:$F&amp;'5) Release_Track'!$G:$G,'5) Release_Track'!$J:$J},2,0),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F885" s="88"/>
      <c r="G885" s="92"/>
      <c r="H885" s="185"/>
      <c r="I885" s="121" t="str">
        <f t="shared" si="2"/>
        <v/>
      </c>
      <c r="J885" s="92"/>
      <c r="K885" s="92"/>
    </row>
    <row r="886">
      <c r="B886" s="97"/>
      <c r="C886" s="121" t="str">
        <f t="array" ref="C886">ifs(and(isblank($A886),isblank($B886)),"", not(iserror(vlookup($A886&amp;$B886,'5) Release_Track'!$F:$F&amp;'5) Release_Track'!$G:$G,1,0))),vlookup($A886&amp;$B886,{'5) Release_Track'!$F:$F&amp;'5) Release_Track'!$G:$G,'5) Release_Track'!$H:$H},2,0),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D886" s="121" t="str">
        <f t="array" ref="D886">ifs(and(isblank($A886),isblank($B886)),"", not(iserror(vlookup($A886&amp;$B886,'5) Release_Track'!$F:$F&amp;'5) Release_Track'!$G:$G,1,0))),vlookup($A886&amp;$B886,{'5) Release_Track'!$F:$F&amp;'5) Release_Track'!$G:$G,'5) Release_Track'!$I:$I},2,0),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E886" s="116" t="str">
        <f t="array" ref="E886">ifs(and(isblank($A886),isblank($B886)),"", not(iserror(vlookup($A886&amp;$B886,'5) Release_Track'!$F:$F&amp;'5) Release_Track'!$G:$G,1,0))),vlookup($A886&amp;$B886,{'5) Release_Track'!$F:$F&amp;'5) Release_Track'!$G:$G,'5) Release_Track'!$J:$J},2,0),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F886" s="88"/>
      <c r="G886" s="92"/>
      <c r="H886" s="185"/>
      <c r="I886" s="121" t="str">
        <f t="shared" si="2"/>
        <v/>
      </c>
      <c r="J886" s="92"/>
      <c r="K886" s="92"/>
    </row>
    <row r="887">
      <c r="B887" s="97"/>
      <c r="C887" s="121" t="str">
        <f t="array" ref="C887">ifs(and(isblank($A887),isblank($B887)),"", not(iserror(vlookup($A887&amp;$B887,'5) Release_Track'!$F:$F&amp;'5) Release_Track'!$G:$G,1,0))),vlookup($A887&amp;$B887,{'5) Release_Track'!$F:$F&amp;'5) Release_Track'!$G:$G,'5) Release_Track'!$H:$H},2,0),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D887" s="121" t="str">
        <f t="array" ref="D887">ifs(and(isblank($A887),isblank($B887)),"", not(iserror(vlookup($A887&amp;$B887,'5) Release_Track'!$F:$F&amp;'5) Release_Track'!$G:$G,1,0))),vlookup($A887&amp;$B887,{'5) Release_Track'!$F:$F&amp;'5) Release_Track'!$G:$G,'5) Release_Track'!$I:$I},2,0),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E887" s="116" t="str">
        <f t="array" ref="E887">ifs(and(isblank($A887),isblank($B887)),"", not(iserror(vlookup($A887&amp;$B887,'5) Release_Track'!$F:$F&amp;'5) Release_Track'!$G:$G,1,0))),vlookup($A887&amp;$B887,{'5) Release_Track'!$F:$F&amp;'5) Release_Track'!$G:$G,'5) Release_Track'!$J:$J},2,0),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F887" s="88"/>
      <c r="G887" s="92"/>
      <c r="H887" s="185"/>
      <c r="I887" s="121" t="str">
        <f t="shared" si="2"/>
        <v/>
      </c>
      <c r="J887" s="92"/>
      <c r="K887" s="92"/>
    </row>
    <row r="888">
      <c r="B888" s="97"/>
      <c r="C888" s="121" t="str">
        <f t="array" ref="C888">ifs(and(isblank($A888),isblank($B888)),"", not(iserror(vlookup($A888&amp;$B888,'5) Release_Track'!$F:$F&amp;'5) Release_Track'!$G:$G,1,0))),vlookup($A888&amp;$B888,{'5) Release_Track'!$F:$F&amp;'5) Release_Track'!$G:$G,'5) Release_Track'!$H:$H},2,0),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D888" s="121" t="str">
        <f t="array" ref="D888">ifs(and(isblank($A888),isblank($B888)),"", not(iserror(vlookup($A888&amp;$B888,'5) Release_Track'!$F:$F&amp;'5) Release_Track'!$G:$G,1,0))),vlookup($A888&amp;$B888,{'5) Release_Track'!$F:$F&amp;'5) Release_Track'!$G:$G,'5) Release_Track'!$I:$I},2,0),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E888" s="116" t="str">
        <f t="array" ref="E888">ifs(and(isblank($A888),isblank($B888)),"", not(iserror(vlookup($A888&amp;$B888,'5) Release_Track'!$F:$F&amp;'5) Release_Track'!$G:$G,1,0))),vlookup($A888&amp;$B888,{'5) Release_Track'!$F:$F&amp;'5) Release_Track'!$G:$G,'5) Release_Track'!$J:$J},2,0),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F888" s="88"/>
      <c r="G888" s="92"/>
      <c r="H888" s="185"/>
      <c r="I888" s="121" t="str">
        <f t="shared" si="2"/>
        <v/>
      </c>
      <c r="J888" s="92"/>
      <c r="K888" s="92"/>
    </row>
    <row r="889">
      <c r="B889" s="97"/>
      <c r="C889" s="121" t="str">
        <f t="array" ref="C889">ifs(and(isblank($A889),isblank($B889)),"", not(iserror(vlookup($A889&amp;$B889,'5) Release_Track'!$F:$F&amp;'5) Release_Track'!$G:$G,1,0))),vlookup($A889&amp;$B889,{'5) Release_Track'!$F:$F&amp;'5) Release_Track'!$G:$G,'5) Release_Track'!$H:$H},2,0),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D889" s="121" t="str">
        <f t="array" ref="D889">ifs(and(isblank($A889),isblank($B889)),"", not(iserror(vlookup($A889&amp;$B889,'5) Release_Track'!$F:$F&amp;'5) Release_Track'!$G:$G,1,0))),vlookup($A889&amp;$B889,{'5) Release_Track'!$F:$F&amp;'5) Release_Track'!$G:$G,'5) Release_Track'!$I:$I},2,0),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E889" s="116" t="str">
        <f t="array" ref="E889">ifs(and(isblank($A889),isblank($B889)),"", not(iserror(vlookup($A889&amp;$B889,'5) Release_Track'!$F:$F&amp;'5) Release_Track'!$G:$G,1,0))),vlookup($A889&amp;$B889,{'5) Release_Track'!$F:$F&amp;'5) Release_Track'!$G:$G,'5) Release_Track'!$J:$J},2,0),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F889" s="88"/>
      <c r="G889" s="92"/>
      <c r="H889" s="185"/>
      <c r="I889" s="121" t="str">
        <f t="shared" si="2"/>
        <v/>
      </c>
      <c r="J889" s="92"/>
      <c r="K889" s="92"/>
    </row>
    <row r="890">
      <c r="B890" s="97"/>
      <c r="C890" s="121" t="str">
        <f t="array" ref="C890">ifs(and(isblank($A890),isblank($B890)),"", not(iserror(vlookup($A890&amp;$B890,'5) Release_Track'!$F:$F&amp;'5) Release_Track'!$G:$G,1,0))),vlookup($A890&amp;$B890,{'5) Release_Track'!$F:$F&amp;'5) Release_Track'!$G:$G,'5) Release_Track'!$H:$H},2,0),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D890" s="121" t="str">
        <f t="array" ref="D890">ifs(and(isblank($A890),isblank($B890)),"", not(iserror(vlookup($A890&amp;$B890,'5) Release_Track'!$F:$F&amp;'5) Release_Track'!$G:$G,1,0))),vlookup($A890&amp;$B890,{'5) Release_Track'!$F:$F&amp;'5) Release_Track'!$G:$G,'5) Release_Track'!$I:$I},2,0),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E890" s="116" t="str">
        <f t="array" ref="E890">ifs(and(isblank($A890),isblank($B890)),"", not(iserror(vlookup($A890&amp;$B890,'5) Release_Track'!$F:$F&amp;'5) Release_Track'!$G:$G,1,0))),vlookup($A890&amp;$B890,{'5) Release_Track'!$F:$F&amp;'5) Release_Track'!$G:$G,'5) Release_Track'!$J:$J},2,0),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F890" s="88"/>
      <c r="G890" s="92"/>
      <c r="H890" s="185"/>
      <c r="I890" s="121" t="str">
        <f t="shared" si="2"/>
        <v/>
      </c>
      <c r="J890" s="92"/>
      <c r="K890" s="92"/>
    </row>
    <row r="891">
      <c r="B891" s="97"/>
      <c r="C891" s="121" t="str">
        <f t="array" ref="C891">ifs(and(isblank($A891),isblank($B891)),"", not(iserror(vlookup($A891&amp;$B891,'5) Release_Track'!$F:$F&amp;'5) Release_Track'!$G:$G,1,0))),vlookup($A891&amp;$B891,{'5) Release_Track'!$F:$F&amp;'5) Release_Track'!$G:$G,'5) Release_Track'!$H:$H},2,0),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D891" s="121" t="str">
        <f t="array" ref="D891">ifs(and(isblank($A891),isblank($B891)),"", not(iserror(vlookup($A891&amp;$B891,'5) Release_Track'!$F:$F&amp;'5) Release_Track'!$G:$G,1,0))),vlookup($A891&amp;$B891,{'5) Release_Track'!$F:$F&amp;'5) Release_Track'!$G:$G,'5) Release_Track'!$I:$I},2,0),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E891" s="116" t="str">
        <f t="array" ref="E891">ifs(and(isblank($A891),isblank($B891)),"", not(iserror(vlookup($A891&amp;$B891,'5) Release_Track'!$F:$F&amp;'5) Release_Track'!$G:$G,1,0))),vlookup($A891&amp;$B891,{'5) Release_Track'!$F:$F&amp;'5) Release_Track'!$G:$G,'5) Release_Track'!$J:$J},2,0),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F891" s="88"/>
      <c r="G891" s="92"/>
      <c r="H891" s="185"/>
      <c r="I891" s="121" t="str">
        <f t="shared" si="2"/>
        <v/>
      </c>
      <c r="J891" s="92"/>
      <c r="K891" s="92"/>
    </row>
    <row r="892">
      <c r="B892" s="97"/>
      <c r="C892" s="121" t="str">
        <f t="array" ref="C892">ifs(and(isblank($A892),isblank($B892)),"", not(iserror(vlookup($A892&amp;$B892,'5) Release_Track'!$F:$F&amp;'5) Release_Track'!$G:$G,1,0))),vlookup($A892&amp;$B892,{'5) Release_Track'!$F:$F&amp;'5) Release_Track'!$G:$G,'5) Release_Track'!$H:$H},2,0),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D892" s="121" t="str">
        <f t="array" ref="D892">ifs(and(isblank($A892),isblank($B892)),"", not(iserror(vlookup($A892&amp;$B892,'5) Release_Track'!$F:$F&amp;'5) Release_Track'!$G:$G,1,0))),vlookup($A892&amp;$B892,{'5) Release_Track'!$F:$F&amp;'5) Release_Track'!$G:$G,'5) Release_Track'!$I:$I},2,0),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E892" s="116" t="str">
        <f t="array" ref="E892">ifs(and(isblank($A892),isblank($B892)),"", not(iserror(vlookup($A892&amp;$B892,'5) Release_Track'!$F:$F&amp;'5) Release_Track'!$G:$G,1,0))),vlookup($A892&amp;$B892,{'5) Release_Track'!$F:$F&amp;'5) Release_Track'!$G:$G,'5) Release_Track'!$J:$J},2,0),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F892" s="88"/>
      <c r="G892" s="92"/>
      <c r="H892" s="185"/>
      <c r="I892" s="121" t="str">
        <f t="shared" si="2"/>
        <v/>
      </c>
      <c r="J892" s="92"/>
      <c r="K892" s="92"/>
    </row>
    <row r="893">
      <c r="B893" s="97"/>
      <c r="C893" s="121" t="str">
        <f t="array" ref="C893">ifs(and(isblank($A893),isblank($B893)),"", not(iserror(vlookup($A893&amp;$B893,'5) Release_Track'!$F:$F&amp;'5) Release_Track'!$G:$G,1,0))),vlookup($A893&amp;$B893,{'5) Release_Track'!$F:$F&amp;'5) Release_Track'!$G:$G,'5) Release_Track'!$H:$H},2,0),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D893" s="121" t="str">
        <f t="array" ref="D893">ifs(and(isblank($A893),isblank($B893)),"", not(iserror(vlookup($A893&amp;$B893,'5) Release_Track'!$F:$F&amp;'5) Release_Track'!$G:$G,1,0))),vlookup($A893&amp;$B893,{'5) Release_Track'!$F:$F&amp;'5) Release_Track'!$G:$G,'5) Release_Track'!$I:$I},2,0),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E893" s="116" t="str">
        <f t="array" ref="E893">ifs(and(isblank($A893),isblank($B893)),"", not(iserror(vlookup($A893&amp;$B893,'5) Release_Track'!$F:$F&amp;'5) Release_Track'!$G:$G,1,0))),vlookup($A893&amp;$B893,{'5) Release_Track'!$F:$F&amp;'5) Release_Track'!$G:$G,'5) Release_Track'!$J:$J},2,0),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F893" s="88"/>
      <c r="G893" s="92"/>
      <c r="H893" s="185"/>
      <c r="I893" s="121" t="str">
        <f t="shared" si="2"/>
        <v/>
      </c>
      <c r="J893" s="92"/>
      <c r="K893" s="92"/>
    </row>
    <row r="894">
      <c r="B894" s="97"/>
      <c r="C894" s="121" t="str">
        <f t="array" ref="C894">ifs(and(isblank($A894),isblank($B894)),"", not(iserror(vlookup($A894&amp;$B894,'5) Release_Track'!$F:$F&amp;'5) Release_Track'!$G:$G,1,0))),vlookup($A894&amp;$B894,{'5) Release_Track'!$F:$F&amp;'5) Release_Track'!$G:$G,'5) Release_Track'!$H:$H},2,0),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D894" s="121" t="str">
        <f t="array" ref="D894">ifs(and(isblank($A894),isblank($B894)),"", not(iserror(vlookup($A894&amp;$B894,'5) Release_Track'!$F:$F&amp;'5) Release_Track'!$G:$G,1,0))),vlookup($A894&amp;$B894,{'5) Release_Track'!$F:$F&amp;'5) Release_Track'!$G:$G,'5) Release_Track'!$I:$I},2,0),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E894" s="116" t="str">
        <f t="array" ref="E894">ifs(and(isblank($A894),isblank($B894)),"", not(iserror(vlookup($A894&amp;$B894,'5) Release_Track'!$F:$F&amp;'5) Release_Track'!$G:$G,1,0))),vlookup($A894&amp;$B894,{'5) Release_Track'!$F:$F&amp;'5) Release_Track'!$G:$G,'5) Release_Track'!$J:$J},2,0),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F894" s="88"/>
      <c r="G894" s="92"/>
      <c r="H894" s="185"/>
      <c r="I894" s="121" t="str">
        <f t="shared" si="2"/>
        <v/>
      </c>
      <c r="J894" s="92"/>
      <c r="K894" s="92"/>
    </row>
    <row r="895">
      <c r="B895" s="97"/>
      <c r="C895" s="121" t="str">
        <f t="array" ref="C895">ifs(and(isblank($A895),isblank($B895)),"", not(iserror(vlookup($A895&amp;$B895,'5) Release_Track'!$F:$F&amp;'5) Release_Track'!$G:$G,1,0))),vlookup($A895&amp;$B895,{'5) Release_Track'!$F:$F&amp;'5) Release_Track'!$G:$G,'5) Release_Track'!$H:$H},2,0),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D895" s="121" t="str">
        <f t="array" ref="D895">ifs(and(isblank($A895),isblank($B895)),"", not(iserror(vlookup($A895&amp;$B895,'5) Release_Track'!$F:$F&amp;'5) Release_Track'!$G:$G,1,0))),vlookup($A895&amp;$B895,{'5) Release_Track'!$F:$F&amp;'5) Release_Track'!$G:$G,'5) Release_Track'!$I:$I},2,0),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E895" s="116" t="str">
        <f t="array" ref="E895">ifs(and(isblank($A895),isblank($B895)),"", not(iserror(vlookup($A895&amp;$B895,'5) Release_Track'!$F:$F&amp;'5) Release_Track'!$G:$G,1,0))),vlookup($A895&amp;$B895,{'5) Release_Track'!$F:$F&amp;'5) Release_Track'!$G:$G,'5) Release_Track'!$J:$J},2,0),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F895" s="88"/>
      <c r="G895" s="92"/>
      <c r="H895" s="185"/>
      <c r="I895" s="121" t="str">
        <f t="shared" si="2"/>
        <v/>
      </c>
      <c r="J895" s="92"/>
      <c r="K895" s="92"/>
    </row>
    <row r="896">
      <c r="B896" s="97"/>
      <c r="C896" s="121" t="str">
        <f t="array" ref="C896">ifs(and(isblank($A896),isblank($B896)),"", not(iserror(vlookup($A896&amp;$B896,'5) Release_Track'!$F:$F&amp;'5) Release_Track'!$G:$G,1,0))),vlookup($A896&amp;$B896,{'5) Release_Track'!$F:$F&amp;'5) Release_Track'!$G:$G,'5) Release_Track'!$H:$H},2,0),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D896" s="121" t="str">
        <f t="array" ref="D896">ifs(and(isblank($A896),isblank($B896)),"", not(iserror(vlookup($A896&amp;$B896,'5) Release_Track'!$F:$F&amp;'5) Release_Track'!$G:$G,1,0))),vlookup($A896&amp;$B896,{'5) Release_Track'!$F:$F&amp;'5) Release_Track'!$G:$G,'5) Release_Track'!$I:$I},2,0),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E896" s="116" t="str">
        <f t="array" ref="E896">ifs(and(isblank($A896),isblank($B896)),"", not(iserror(vlookup($A896&amp;$B896,'5) Release_Track'!$F:$F&amp;'5) Release_Track'!$G:$G,1,0))),vlookup($A896&amp;$B896,{'5) Release_Track'!$F:$F&amp;'5) Release_Track'!$G:$G,'5) Release_Track'!$J:$J},2,0),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F896" s="88"/>
      <c r="G896" s="92"/>
      <c r="H896" s="185"/>
      <c r="I896" s="121" t="str">
        <f t="shared" si="2"/>
        <v/>
      </c>
      <c r="J896" s="92"/>
      <c r="K896" s="92"/>
    </row>
    <row r="897">
      <c r="B897" s="97"/>
      <c r="C897" s="121" t="str">
        <f t="array" ref="C897">ifs(and(isblank($A897),isblank($B897)),"", not(iserror(vlookup($A897&amp;$B897,'5) Release_Track'!$F:$F&amp;'5) Release_Track'!$G:$G,1,0))),vlookup($A897&amp;$B897,{'5) Release_Track'!$F:$F&amp;'5) Release_Track'!$G:$G,'5) Release_Track'!$H:$H},2,0),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D897" s="121" t="str">
        <f t="array" ref="D897">ifs(and(isblank($A897),isblank($B897)),"", not(iserror(vlookup($A897&amp;$B897,'5) Release_Track'!$F:$F&amp;'5) Release_Track'!$G:$G,1,0))),vlookup($A897&amp;$B897,{'5) Release_Track'!$F:$F&amp;'5) Release_Track'!$G:$G,'5) Release_Track'!$I:$I},2,0),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E897" s="116" t="str">
        <f t="array" ref="E897">ifs(and(isblank($A897),isblank($B897)),"", not(iserror(vlookup($A897&amp;$B897,'5) Release_Track'!$F:$F&amp;'5) Release_Track'!$G:$G,1,0))),vlookup($A897&amp;$B897,{'5) Release_Track'!$F:$F&amp;'5) Release_Track'!$G:$G,'5) Release_Track'!$J:$J},2,0),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F897" s="88"/>
      <c r="G897" s="92"/>
      <c r="H897" s="185"/>
      <c r="I897" s="121" t="str">
        <f t="shared" si="2"/>
        <v/>
      </c>
      <c r="J897" s="92"/>
      <c r="K897" s="92"/>
    </row>
    <row r="898">
      <c r="B898" s="97"/>
      <c r="C898" s="121" t="str">
        <f t="array" ref="C898">ifs(and(isblank($A898),isblank($B898)),"", not(iserror(vlookup($A898&amp;$B898,'5) Release_Track'!$F:$F&amp;'5) Release_Track'!$G:$G,1,0))),vlookup($A898&amp;$B898,{'5) Release_Track'!$F:$F&amp;'5) Release_Track'!$G:$G,'5) Release_Track'!$H:$H},2,0),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D898" s="121" t="str">
        <f t="array" ref="D898">ifs(and(isblank($A898),isblank($B898)),"", not(iserror(vlookup($A898&amp;$B898,'5) Release_Track'!$F:$F&amp;'5) Release_Track'!$G:$G,1,0))),vlookup($A898&amp;$B898,{'5) Release_Track'!$F:$F&amp;'5) Release_Track'!$G:$G,'5) Release_Track'!$I:$I},2,0),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E898" s="116" t="str">
        <f t="array" ref="E898">ifs(and(isblank($A898),isblank($B898)),"", not(iserror(vlookup($A898&amp;$B898,'5) Release_Track'!$F:$F&amp;'5) Release_Track'!$G:$G,1,0))),vlookup($A898&amp;$B898,{'5) Release_Track'!$F:$F&amp;'5) Release_Track'!$G:$G,'5) Release_Track'!$J:$J},2,0),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F898" s="88"/>
      <c r="G898" s="92"/>
      <c r="H898" s="185"/>
      <c r="I898" s="121" t="str">
        <f t="shared" si="2"/>
        <v/>
      </c>
      <c r="J898" s="92"/>
      <c r="K898" s="92"/>
    </row>
    <row r="899">
      <c r="B899" s="97"/>
      <c r="C899" s="121" t="str">
        <f t="array" ref="C899">ifs(and(isblank($A899),isblank($B899)),"", not(iserror(vlookup($A899&amp;$B899,'5) Release_Track'!$F:$F&amp;'5) Release_Track'!$G:$G,1,0))),vlookup($A899&amp;$B899,{'5) Release_Track'!$F:$F&amp;'5) Release_Track'!$G:$G,'5) Release_Track'!$H:$H},2,0),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D899" s="121" t="str">
        <f t="array" ref="D899">ifs(and(isblank($A899),isblank($B899)),"", not(iserror(vlookup($A899&amp;$B899,'5) Release_Track'!$F:$F&amp;'5) Release_Track'!$G:$G,1,0))),vlookup($A899&amp;$B899,{'5) Release_Track'!$F:$F&amp;'5) Release_Track'!$G:$G,'5) Release_Track'!$I:$I},2,0),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E899" s="116" t="str">
        <f t="array" ref="E899">ifs(and(isblank($A899),isblank($B899)),"", not(iserror(vlookup($A899&amp;$B899,'5) Release_Track'!$F:$F&amp;'5) Release_Track'!$G:$G,1,0))),vlookup($A899&amp;$B899,{'5) Release_Track'!$F:$F&amp;'5) Release_Track'!$G:$G,'5) Release_Track'!$J:$J},2,0),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F899" s="88"/>
      <c r="G899" s="92"/>
      <c r="H899" s="185"/>
      <c r="I899" s="121" t="str">
        <f t="shared" si="2"/>
        <v/>
      </c>
      <c r="J899" s="92"/>
      <c r="K899" s="92"/>
    </row>
    <row r="900">
      <c r="B900" s="97"/>
      <c r="C900" s="121" t="str">
        <f t="array" ref="C900">ifs(and(isblank($A900),isblank($B900)),"", not(iserror(vlookup($A900&amp;$B900,'5) Release_Track'!$F:$F&amp;'5) Release_Track'!$G:$G,1,0))),vlookup($A900&amp;$B900,{'5) Release_Track'!$F:$F&amp;'5) Release_Track'!$G:$G,'5) Release_Track'!$H:$H},2,0),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D900" s="121" t="str">
        <f t="array" ref="D900">ifs(and(isblank($A900),isblank($B900)),"", not(iserror(vlookup($A900&amp;$B900,'5) Release_Track'!$F:$F&amp;'5) Release_Track'!$G:$G,1,0))),vlookup($A900&amp;$B900,{'5) Release_Track'!$F:$F&amp;'5) Release_Track'!$G:$G,'5) Release_Track'!$I:$I},2,0),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E900" s="116" t="str">
        <f t="array" ref="E900">ifs(and(isblank($A900),isblank($B900)),"", not(iserror(vlookup($A900&amp;$B900,'5) Release_Track'!$F:$F&amp;'5) Release_Track'!$G:$G,1,0))),vlookup($A900&amp;$B900,{'5) Release_Track'!$F:$F&amp;'5) Release_Track'!$G:$G,'5) Release_Track'!$J:$J},2,0),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F900" s="88"/>
      <c r="G900" s="92"/>
      <c r="H900" s="185"/>
      <c r="I900" s="121" t="str">
        <f t="shared" si="2"/>
        <v/>
      </c>
      <c r="J900" s="92"/>
      <c r="K900" s="92"/>
    </row>
    <row r="901">
      <c r="B901" s="97"/>
      <c r="C901" s="121" t="str">
        <f t="array" ref="C901">ifs(and(isblank($A901),isblank($B901)),"", not(iserror(vlookup($A901&amp;$B901,'5) Release_Track'!$F:$F&amp;'5) Release_Track'!$G:$G,1,0))),vlookup($A901&amp;$B901,{'5) Release_Track'!$F:$F&amp;'5) Release_Track'!$G:$G,'5) Release_Track'!$H:$H},2,0),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D901" s="121" t="str">
        <f t="array" ref="D901">ifs(and(isblank($A901),isblank($B901)),"", not(iserror(vlookup($A901&amp;$B901,'5) Release_Track'!$F:$F&amp;'5) Release_Track'!$G:$G,1,0))),vlookup($A901&amp;$B901,{'5) Release_Track'!$F:$F&amp;'5) Release_Track'!$G:$G,'5) Release_Track'!$I:$I},2,0),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E901" s="116" t="str">
        <f t="array" ref="E901">ifs(and(isblank($A901),isblank($B901)),"", not(iserror(vlookup($A901&amp;$B901,'5) Release_Track'!$F:$F&amp;'5) Release_Track'!$G:$G,1,0))),vlookup($A901&amp;$B901,{'5) Release_Track'!$F:$F&amp;'5) Release_Track'!$G:$G,'5) Release_Track'!$J:$J},2,0),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F901" s="88"/>
      <c r="G901" s="92"/>
      <c r="H901" s="185"/>
      <c r="I901" s="121" t="str">
        <f t="shared" si="2"/>
        <v/>
      </c>
      <c r="J901" s="92"/>
      <c r="K901" s="92"/>
    </row>
    <row r="902">
      <c r="B902" s="97"/>
      <c r="C902" s="121" t="str">
        <f t="array" ref="C902">ifs(and(isblank($A902),isblank($B902)),"", not(iserror(vlookup($A902&amp;$B902,'5) Release_Track'!$F:$F&amp;'5) Release_Track'!$G:$G,1,0))),vlookup($A902&amp;$B902,{'5) Release_Track'!$F:$F&amp;'5) Release_Track'!$G:$G,'5) Release_Track'!$H:$H},2,0),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D902" s="121" t="str">
        <f t="array" ref="D902">ifs(and(isblank($A902),isblank($B902)),"", not(iserror(vlookup($A902&amp;$B902,'5) Release_Track'!$F:$F&amp;'5) Release_Track'!$G:$G,1,0))),vlookup($A902&amp;$B902,{'5) Release_Track'!$F:$F&amp;'5) Release_Track'!$G:$G,'5) Release_Track'!$I:$I},2,0),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E902" s="116" t="str">
        <f t="array" ref="E902">ifs(and(isblank($A902),isblank($B902)),"", not(iserror(vlookup($A902&amp;$B902,'5) Release_Track'!$F:$F&amp;'5) Release_Track'!$G:$G,1,0))),vlookup($A902&amp;$B902,{'5) Release_Track'!$F:$F&amp;'5) Release_Track'!$G:$G,'5) Release_Track'!$J:$J},2,0),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F902" s="88"/>
      <c r="G902" s="92"/>
      <c r="H902" s="185"/>
      <c r="I902" s="121" t="str">
        <f t="shared" si="2"/>
        <v/>
      </c>
      <c r="J902" s="92"/>
      <c r="K902" s="92"/>
    </row>
    <row r="903">
      <c r="B903" s="97"/>
      <c r="C903" s="121" t="str">
        <f t="array" ref="C903">ifs(and(isblank($A903),isblank($B903)),"", not(iserror(vlookup($A903&amp;$B903,'5) Release_Track'!$F:$F&amp;'5) Release_Track'!$G:$G,1,0))),vlookup($A903&amp;$B903,{'5) Release_Track'!$F:$F&amp;'5) Release_Track'!$G:$G,'5) Release_Track'!$H:$H},2,0),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D903" s="121" t="str">
        <f t="array" ref="D903">ifs(and(isblank($A903),isblank($B903)),"", not(iserror(vlookup($A903&amp;$B903,'5) Release_Track'!$F:$F&amp;'5) Release_Track'!$G:$G,1,0))),vlookup($A903&amp;$B903,{'5) Release_Track'!$F:$F&amp;'5) Release_Track'!$G:$G,'5) Release_Track'!$I:$I},2,0),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E903" s="116" t="str">
        <f t="array" ref="E903">ifs(and(isblank($A903),isblank($B903)),"", not(iserror(vlookup($A903&amp;$B903,'5) Release_Track'!$F:$F&amp;'5) Release_Track'!$G:$G,1,0))),vlookup($A903&amp;$B903,{'5) Release_Track'!$F:$F&amp;'5) Release_Track'!$G:$G,'5) Release_Track'!$J:$J},2,0),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F903" s="88"/>
      <c r="G903" s="92"/>
      <c r="H903" s="185"/>
      <c r="I903" s="121" t="str">
        <f t="shared" si="2"/>
        <v/>
      </c>
      <c r="J903" s="92"/>
      <c r="K903" s="92"/>
    </row>
    <row r="904">
      <c r="B904" s="97"/>
      <c r="C904" s="121" t="str">
        <f t="array" ref="C904">ifs(and(isblank($A904),isblank($B904)),"", not(iserror(vlookup($A904&amp;$B904,'5) Release_Track'!$F:$F&amp;'5) Release_Track'!$G:$G,1,0))),vlookup($A904&amp;$B904,{'5) Release_Track'!$F:$F&amp;'5) Release_Track'!$G:$G,'5) Release_Track'!$H:$H},2,0),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D904" s="121" t="str">
        <f t="array" ref="D904">ifs(and(isblank($A904),isblank($B904)),"", not(iserror(vlookup($A904&amp;$B904,'5) Release_Track'!$F:$F&amp;'5) Release_Track'!$G:$G,1,0))),vlookup($A904&amp;$B904,{'5) Release_Track'!$F:$F&amp;'5) Release_Track'!$G:$G,'5) Release_Track'!$I:$I},2,0),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E904" s="116" t="str">
        <f t="array" ref="E904">ifs(and(isblank($A904),isblank($B904)),"", not(iserror(vlookup($A904&amp;$B904,'5) Release_Track'!$F:$F&amp;'5) Release_Track'!$G:$G,1,0))),vlookup($A904&amp;$B904,{'5) Release_Track'!$F:$F&amp;'5) Release_Track'!$G:$G,'5) Release_Track'!$J:$J},2,0),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F904" s="88"/>
      <c r="G904" s="92"/>
      <c r="H904" s="185"/>
      <c r="I904" s="121" t="str">
        <f t="shared" si="2"/>
        <v/>
      </c>
      <c r="J904" s="92"/>
      <c r="K904" s="92"/>
    </row>
    <row r="905">
      <c r="B905" s="97"/>
      <c r="C905" s="121" t="str">
        <f t="array" ref="C905">ifs(and(isblank($A905),isblank($B905)),"", not(iserror(vlookup($A905&amp;$B905,'5) Release_Track'!$F:$F&amp;'5) Release_Track'!$G:$G,1,0))),vlookup($A905&amp;$B905,{'5) Release_Track'!$F:$F&amp;'5) Release_Track'!$G:$G,'5) Release_Track'!$H:$H},2,0),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D905" s="121" t="str">
        <f t="array" ref="D905">ifs(and(isblank($A905),isblank($B905)),"", not(iserror(vlookup($A905&amp;$B905,'5) Release_Track'!$F:$F&amp;'5) Release_Track'!$G:$G,1,0))),vlookup($A905&amp;$B905,{'5) Release_Track'!$F:$F&amp;'5) Release_Track'!$G:$G,'5) Release_Track'!$I:$I},2,0),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E905" s="116" t="str">
        <f t="array" ref="E905">ifs(and(isblank($A905),isblank($B905)),"", not(iserror(vlookup($A905&amp;$B905,'5) Release_Track'!$F:$F&amp;'5) Release_Track'!$G:$G,1,0))),vlookup($A905&amp;$B905,{'5) Release_Track'!$F:$F&amp;'5) Release_Track'!$G:$G,'5) Release_Track'!$J:$J},2,0),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F905" s="88"/>
      <c r="G905" s="92"/>
      <c r="H905" s="185"/>
      <c r="I905" s="121" t="str">
        <f t="shared" si="2"/>
        <v/>
      </c>
      <c r="J905" s="92"/>
      <c r="K905" s="92"/>
    </row>
    <row r="906">
      <c r="B906" s="97"/>
      <c r="C906" s="121" t="str">
        <f t="array" ref="C906">ifs(and(isblank($A906),isblank($B906)),"", not(iserror(vlookup($A906&amp;$B906,'5) Release_Track'!$F:$F&amp;'5) Release_Track'!$G:$G,1,0))),vlookup($A906&amp;$B906,{'5) Release_Track'!$F:$F&amp;'5) Release_Track'!$G:$G,'5) Release_Track'!$H:$H},2,0),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D906" s="121" t="str">
        <f t="array" ref="D906">ifs(and(isblank($A906),isblank($B906)),"", not(iserror(vlookup($A906&amp;$B906,'5) Release_Track'!$F:$F&amp;'5) Release_Track'!$G:$G,1,0))),vlookup($A906&amp;$B906,{'5) Release_Track'!$F:$F&amp;'5) Release_Track'!$G:$G,'5) Release_Track'!$I:$I},2,0),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E906" s="116" t="str">
        <f t="array" ref="E906">ifs(and(isblank($A906),isblank($B906)),"", not(iserror(vlookup($A906&amp;$B906,'5) Release_Track'!$F:$F&amp;'5) Release_Track'!$G:$G,1,0))),vlookup($A906&amp;$B906,{'5) Release_Track'!$F:$F&amp;'5) Release_Track'!$G:$G,'5) Release_Track'!$J:$J},2,0),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F906" s="88"/>
      <c r="G906" s="92"/>
      <c r="H906" s="185"/>
      <c r="I906" s="121" t="str">
        <f t="shared" si="2"/>
        <v/>
      </c>
      <c r="J906" s="92"/>
      <c r="K906" s="92"/>
    </row>
    <row r="907">
      <c r="B907" s="97"/>
      <c r="C907" s="121" t="str">
        <f t="array" ref="C907">ifs(and(isblank($A907),isblank($B907)),"", not(iserror(vlookup($A907&amp;$B907,'5) Release_Track'!$F:$F&amp;'5) Release_Track'!$G:$G,1,0))),vlookup($A907&amp;$B907,{'5) Release_Track'!$F:$F&amp;'5) Release_Track'!$G:$G,'5) Release_Track'!$H:$H},2,0),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D907" s="121" t="str">
        <f t="array" ref="D907">ifs(and(isblank($A907),isblank($B907)),"", not(iserror(vlookup($A907&amp;$B907,'5) Release_Track'!$F:$F&amp;'5) Release_Track'!$G:$G,1,0))),vlookup($A907&amp;$B907,{'5) Release_Track'!$F:$F&amp;'5) Release_Track'!$G:$G,'5) Release_Track'!$I:$I},2,0),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E907" s="116" t="str">
        <f t="array" ref="E907">ifs(and(isblank($A907),isblank($B907)),"", not(iserror(vlookup($A907&amp;$B907,'5) Release_Track'!$F:$F&amp;'5) Release_Track'!$G:$G,1,0))),vlookup($A907&amp;$B907,{'5) Release_Track'!$F:$F&amp;'5) Release_Track'!$G:$G,'5) Release_Track'!$J:$J},2,0),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F907" s="88"/>
      <c r="G907" s="92"/>
      <c r="H907" s="185"/>
      <c r="I907" s="121" t="str">
        <f t="shared" si="2"/>
        <v/>
      </c>
      <c r="J907" s="92"/>
      <c r="K907" s="92"/>
    </row>
    <row r="908">
      <c r="B908" s="97"/>
      <c r="C908" s="121" t="str">
        <f t="array" ref="C908">ifs(and(isblank($A908),isblank($B908)),"", not(iserror(vlookup($A908&amp;$B908,'5) Release_Track'!$F:$F&amp;'5) Release_Track'!$G:$G,1,0))),vlookup($A908&amp;$B908,{'5) Release_Track'!$F:$F&amp;'5) Release_Track'!$G:$G,'5) Release_Track'!$H:$H},2,0),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D908" s="121" t="str">
        <f t="array" ref="D908">ifs(and(isblank($A908),isblank($B908)),"", not(iserror(vlookup($A908&amp;$B908,'5) Release_Track'!$F:$F&amp;'5) Release_Track'!$G:$G,1,0))),vlookup($A908&amp;$B908,{'5) Release_Track'!$F:$F&amp;'5) Release_Track'!$G:$G,'5) Release_Track'!$I:$I},2,0),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E908" s="116" t="str">
        <f t="array" ref="E908">ifs(and(isblank($A908),isblank($B908)),"", not(iserror(vlookup($A908&amp;$B908,'5) Release_Track'!$F:$F&amp;'5) Release_Track'!$G:$G,1,0))),vlookup($A908&amp;$B908,{'5) Release_Track'!$F:$F&amp;'5) Release_Track'!$G:$G,'5) Release_Track'!$J:$J},2,0),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F908" s="88"/>
      <c r="G908" s="92"/>
      <c r="H908" s="185"/>
      <c r="I908" s="121" t="str">
        <f t="shared" si="2"/>
        <v/>
      </c>
      <c r="J908" s="92"/>
      <c r="K908" s="92"/>
    </row>
    <row r="909">
      <c r="B909" s="97"/>
      <c r="C909" s="121" t="str">
        <f t="array" ref="C909">ifs(and(isblank($A909),isblank($B909)),"", not(iserror(vlookup($A909&amp;$B909,'5) Release_Track'!$F:$F&amp;'5) Release_Track'!$G:$G,1,0))),vlookup($A909&amp;$B909,{'5) Release_Track'!$F:$F&amp;'5) Release_Track'!$G:$G,'5) Release_Track'!$H:$H},2,0),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D909" s="121" t="str">
        <f t="array" ref="D909">ifs(and(isblank($A909),isblank($B909)),"", not(iserror(vlookup($A909&amp;$B909,'5) Release_Track'!$F:$F&amp;'5) Release_Track'!$G:$G,1,0))),vlookup($A909&amp;$B909,{'5) Release_Track'!$F:$F&amp;'5) Release_Track'!$G:$G,'5) Release_Track'!$I:$I},2,0),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E909" s="116" t="str">
        <f t="array" ref="E909">ifs(and(isblank($A909),isblank($B909)),"", not(iserror(vlookup($A909&amp;$B909,'5) Release_Track'!$F:$F&amp;'5) Release_Track'!$G:$G,1,0))),vlookup($A909&amp;$B909,{'5) Release_Track'!$F:$F&amp;'5) Release_Track'!$G:$G,'5) Release_Track'!$J:$J},2,0),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F909" s="88"/>
      <c r="G909" s="92"/>
      <c r="H909" s="185"/>
      <c r="I909" s="121" t="str">
        <f t="shared" si="2"/>
        <v/>
      </c>
      <c r="J909" s="92"/>
      <c r="K909" s="92"/>
    </row>
    <row r="910">
      <c r="B910" s="97"/>
      <c r="C910" s="121" t="str">
        <f t="array" ref="C910">ifs(and(isblank($A910),isblank($B910)),"", not(iserror(vlookup($A910&amp;$B910,'5) Release_Track'!$F:$F&amp;'5) Release_Track'!$G:$G,1,0))),vlookup($A910&amp;$B910,{'5) Release_Track'!$F:$F&amp;'5) Release_Track'!$G:$G,'5) Release_Track'!$H:$H},2,0),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D910" s="121" t="str">
        <f t="array" ref="D910">ifs(and(isblank($A910),isblank($B910)),"", not(iserror(vlookup($A910&amp;$B910,'5) Release_Track'!$F:$F&amp;'5) Release_Track'!$G:$G,1,0))),vlookup($A910&amp;$B910,{'5) Release_Track'!$F:$F&amp;'5) Release_Track'!$G:$G,'5) Release_Track'!$I:$I},2,0),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E910" s="116" t="str">
        <f t="array" ref="E910">ifs(and(isblank($A910),isblank($B910)),"", not(iserror(vlookup($A910&amp;$B910,'5) Release_Track'!$F:$F&amp;'5) Release_Track'!$G:$G,1,0))),vlookup($A910&amp;$B910,{'5) Release_Track'!$F:$F&amp;'5) Release_Track'!$G:$G,'5) Release_Track'!$J:$J},2,0),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F910" s="88"/>
      <c r="G910" s="92"/>
      <c r="H910" s="185"/>
      <c r="I910" s="121" t="str">
        <f t="shared" si="2"/>
        <v/>
      </c>
      <c r="J910" s="92"/>
      <c r="K910" s="92"/>
    </row>
    <row r="911">
      <c r="B911" s="97"/>
      <c r="C911" s="121" t="str">
        <f t="array" ref="C911">ifs(and(isblank($A911),isblank($B911)),"", not(iserror(vlookup($A911&amp;$B911,'5) Release_Track'!$F:$F&amp;'5) Release_Track'!$G:$G,1,0))),vlookup($A911&amp;$B911,{'5) Release_Track'!$F:$F&amp;'5) Release_Track'!$G:$G,'5) Release_Track'!$H:$H},2,0),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D911" s="121" t="str">
        <f t="array" ref="D911">ifs(and(isblank($A911),isblank($B911)),"", not(iserror(vlookup($A911&amp;$B911,'5) Release_Track'!$F:$F&amp;'5) Release_Track'!$G:$G,1,0))),vlookup($A911&amp;$B911,{'5) Release_Track'!$F:$F&amp;'5) Release_Track'!$G:$G,'5) Release_Track'!$I:$I},2,0),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E911" s="116" t="str">
        <f t="array" ref="E911">ifs(and(isblank($A911),isblank($B911)),"", not(iserror(vlookup($A911&amp;$B911,'5) Release_Track'!$F:$F&amp;'5) Release_Track'!$G:$G,1,0))),vlookup($A911&amp;$B911,{'5) Release_Track'!$F:$F&amp;'5) Release_Track'!$G:$G,'5) Release_Track'!$J:$J},2,0),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F911" s="88"/>
      <c r="G911" s="92"/>
      <c r="H911" s="185"/>
      <c r="I911" s="121" t="str">
        <f t="shared" si="2"/>
        <v/>
      </c>
      <c r="J911" s="92"/>
      <c r="K911" s="92"/>
    </row>
    <row r="912">
      <c r="B912" s="97"/>
      <c r="C912" s="121" t="str">
        <f t="array" ref="C912">ifs(and(isblank($A912),isblank($B912)),"", not(iserror(vlookup($A912&amp;$B912,'5) Release_Track'!$F:$F&amp;'5) Release_Track'!$G:$G,1,0))),vlookup($A912&amp;$B912,{'5) Release_Track'!$F:$F&amp;'5) Release_Track'!$G:$G,'5) Release_Track'!$H:$H},2,0),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D912" s="121" t="str">
        <f t="array" ref="D912">ifs(and(isblank($A912),isblank($B912)),"", not(iserror(vlookup($A912&amp;$B912,'5) Release_Track'!$F:$F&amp;'5) Release_Track'!$G:$G,1,0))),vlookup($A912&amp;$B912,{'5) Release_Track'!$F:$F&amp;'5) Release_Track'!$G:$G,'5) Release_Track'!$I:$I},2,0),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E912" s="116" t="str">
        <f t="array" ref="E912">ifs(and(isblank($A912),isblank($B912)),"", not(iserror(vlookup($A912&amp;$B912,'5) Release_Track'!$F:$F&amp;'5) Release_Track'!$G:$G,1,0))),vlookup($A912&amp;$B912,{'5) Release_Track'!$F:$F&amp;'5) Release_Track'!$G:$G,'5) Release_Track'!$J:$J},2,0),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F912" s="88"/>
      <c r="G912" s="92"/>
      <c r="H912" s="185"/>
      <c r="I912" s="121" t="str">
        <f t="shared" si="2"/>
        <v/>
      </c>
      <c r="J912" s="92"/>
      <c r="K912" s="92"/>
    </row>
    <row r="913">
      <c r="B913" s="97"/>
      <c r="C913" s="121" t="str">
        <f t="array" ref="C913">ifs(and(isblank($A913),isblank($B913)),"", not(iserror(vlookup($A913&amp;$B913,'5) Release_Track'!$F:$F&amp;'5) Release_Track'!$G:$G,1,0))),vlookup($A913&amp;$B913,{'5) Release_Track'!$F:$F&amp;'5) Release_Track'!$G:$G,'5) Release_Track'!$H:$H},2,0),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D913" s="121" t="str">
        <f t="array" ref="D913">ifs(and(isblank($A913),isblank($B913)),"", not(iserror(vlookup($A913&amp;$B913,'5) Release_Track'!$F:$F&amp;'5) Release_Track'!$G:$G,1,0))),vlookup($A913&amp;$B913,{'5) Release_Track'!$F:$F&amp;'5) Release_Track'!$G:$G,'5) Release_Track'!$I:$I},2,0),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E913" s="116" t="str">
        <f t="array" ref="E913">ifs(and(isblank($A913),isblank($B913)),"", not(iserror(vlookup($A913&amp;$B913,'5) Release_Track'!$F:$F&amp;'5) Release_Track'!$G:$G,1,0))),vlookup($A913&amp;$B913,{'5) Release_Track'!$F:$F&amp;'5) Release_Track'!$G:$G,'5) Release_Track'!$J:$J},2,0),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F913" s="88"/>
      <c r="G913" s="92"/>
      <c r="H913" s="185"/>
      <c r="I913" s="121" t="str">
        <f t="shared" si="2"/>
        <v/>
      </c>
      <c r="J913" s="92"/>
      <c r="K913" s="92"/>
    </row>
    <row r="914">
      <c r="B914" s="97"/>
      <c r="C914" s="121" t="str">
        <f t="array" ref="C914">ifs(and(isblank($A914),isblank($B914)),"", not(iserror(vlookup($A914&amp;$B914,'5) Release_Track'!$F:$F&amp;'5) Release_Track'!$G:$G,1,0))),vlookup($A914&amp;$B914,{'5) Release_Track'!$F:$F&amp;'5) Release_Track'!$G:$G,'5) Release_Track'!$H:$H},2,0),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D914" s="121" t="str">
        <f t="array" ref="D914">ifs(and(isblank($A914),isblank($B914)),"", not(iserror(vlookup($A914&amp;$B914,'5) Release_Track'!$F:$F&amp;'5) Release_Track'!$G:$G,1,0))),vlookup($A914&amp;$B914,{'5) Release_Track'!$F:$F&amp;'5) Release_Track'!$G:$G,'5) Release_Track'!$I:$I},2,0),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E914" s="116" t="str">
        <f t="array" ref="E914">ifs(and(isblank($A914),isblank($B914)),"", not(iserror(vlookup($A914&amp;$B914,'5) Release_Track'!$F:$F&amp;'5) Release_Track'!$G:$G,1,0))),vlookup($A914&amp;$B914,{'5) Release_Track'!$F:$F&amp;'5) Release_Track'!$G:$G,'5) Release_Track'!$J:$J},2,0),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F914" s="88"/>
      <c r="G914" s="92"/>
      <c r="H914" s="185"/>
      <c r="I914" s="121" t="str">
        <f t="shared" si="2"/>
        <v/>
      </c>
      <c r="J914" s="92"/>
      <c r="K914" s="92"/>
    </row>
    <row r="915">
      <c r="B915" s="97"/>
      <c r="C915" s="121" t="str">
        <f t="array" ref="C915">ifs(and(isblank($A915),isblank($B915)),"", not(iserror(vlookup($A915&amp;$B915,'5) Release_Track'!$F:$F&amp;'5) Release_Track'!$G:$G,1,0))),vlookup($A915&amp;$B915,{'5) Release_Track'!$F:$F&amp;'5) Release_Track'!$G:$G,'5) Release_Track'!$H:$H},2,0),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D915" s="121" t="str">
        <f t="array" ref="D915">ifs(and(isblank($A915),isblank($B915)),"", not(iserror(vlookup($A915&amp;$B915,'5) Release_Track'!$F:$F&amp;'5) Release_Track'!$G:$G,1,0))),vlookup($A915&amp;$B915,{'5) Release_Track'!$F:$F&amp;'5) Release_Track'!$G:$G,'5) Release_Track'!$I:$I},2,0),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E915" s="116" t="str">
        <f t="array" ref="E915">ifs(and(isblank($A915),isblank($B915)),"", not(iserror(vlookup($A915&amp;$B915,'5) Release_Track'!$F:$F&amp;'5) Release_Track'!$G:$G,1,0))),vlookup($A915&amp;$B915,{'5) Release_Track'!$F:$F&amp;'5) Release_Track'!$G:$G,'5) Release_Track'!$J:$J},2,0),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F915" s="88"/>
      <c r="G915" s="92"/>
      <c r="H915" s="185"/>
      <c r="I915" s="121" t="str">
        <f t="shared" si="2"/>
        <v/>
      </c>
      <c r="J915" s="92"/>
      <c r="K915" s="92"/>
    </row>
    <row r="916">
      <c r="B916" s="97"/>
      <c r="C916" s="121" t="str">
        <f t="array" ref="C916">ifs(and(isblank($A916),isblank($B916)),"", not(iserror(vlookup($A916&amp;$B916,'5) Release_Track'!$F:$F&amp;'5) Release_Track'!$G:$G,1,0))),vlookup($A916&amp;$B916,{'5) Release_Track'!$F:$F&amp;'5) Release_Track'!$G:$G,'5) Release_Track'!$H:$H},2,0),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D916" s="121" t="str">
        <f t="array" ref="D916">ifs(and(isblank($A916),isblank($B916)),"", not(iserror(vlookup($A916&amp;$B916,'5) Release_Track'!$F:$F&amp;'5) Release_Track'!$G:$G,1,0))),vlookup($A916&amp;$B916,{'5) Release_Track'!$F:$F&amp;'5) Release_Track'!$G:$G,'5) Release_Track'!$I:$I},2,0),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E916" s="116" t="str">
        <f t="array" ref="E916">ifs(and(isblank($A916),isblank($B916)),"", not(iserror(vlookup($A916&amp;$B916,'5) Release_Track'!$F:$F&amp;'5) Release_Track'!$G:$G,1,0))),vlookup($A916&amp;$B916,{'5) Release_Track'!$F:$F&amp;'5) Release_Track'!$G:$G,'5) Release_Track'!$J:$J},2,0),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F916" s="88"/>
      <c r="G916" s="92"/>
      <c r="H916" s="185"/>
      <c r="I916" s="121" t="str">
        <f t="shared" si="2"/>
        <v/>
      </c>
      <c r="J916" s="92"/>
      <c r="K916" s="92"/>
    </row>
    <row r="917">
      <c r="B917" s="97"/>
      <c r="C917" s="121" t="str">
        <f t="array" ref="C917">ifs(and(isblank($A917),isblank($B917)),"", not(iserror(vlookup($A917&amp;$B917,'5) Release_Track'!$F:$F&amp;'5) Release_Track'!$G:$G,1,0))),vlookup($A917&amp;$B917,{'5) Release_Track'!$F:$F&amp;'5) Release_Track'!$G:$G,'5) Release_Track'!$H:$H},2,0),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D917" s="121" t="str">
        <f t="array" ref="D917">ifs(and(isblank($A917),isblank($B917)),"", not(iserror(vlookup($A917&amp;$B917,'5) Release_Track'!$F:$F&amp;'5) Release_Track'!$G:$G,1,0))),vlookup($A917&amp;$B917,{'5) Release_Track'!$F:$F&amp;'5) Release_Track'!$G:$G,'5) Release_Track'!$I:$I},2,0),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E917" s="116" t="str">
        <f t="array" ref="E917">ifs(and(isblank($A917),isblank($B917)),"", not(iserror(vlookup($A917&amp;$B917,'5) Release_Track'!$F:$F&amp;'5) Release_Track'!$G:$G,1,0))),vlookup($A917&amp;$B917,{'5) Release_Track'!$F:$F&amp;'5) Release_Track'!$G:$G,'5) Release_Track'!$J:$J},2,0),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F917" s="88"/>
      <c r="G917" s="92"/>
      <c r="H917" s="185"/>
      <c r="I917" s="121" t="str">
        <f t="shared" si="2"/>
        <v/>
      </c>
      <c r="J917" s="92"/>
      <c r="K917" s="92"/>
    </row>
    <row r="918">
      <c r="B918" s="97"/>
      <c r="C918" s="121" t="str">
        <f t="array" ref="C918">ifs(and(isblank($A918),isblank($B918)),"", not(iserror(vlookup($A918&amp;$B918,'5) Release_Track'!$F:$F&amp;'5) Release_Track'!$G:$G,1,0))),vlookup($A918&amp;$B918,{'5) Release_Track'!$F:$F&amp;'5) Release_Track'!$G:$G,'5) Release_Track'!$H:$H},2,0),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D918" s="121" t="str">
        <f t="array" ref="D918">ifs(and(isblank($A918),isblank($B918)),"", not(iserror(vlookup($A918&amp;$B918,'5) Release_Track'!$F:$F&amp;'5) Release_Track'!$G:$G,1,0))),vlookup($A918&amp;$B918,{'5) Release_Track'!$F:$F&amp;'5) Release_Track'!$G:$G,'5) Release_Track'!$I:$I},2,0),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E918" s="116" t="str">
        <f t="array" ref="E918">ifs(and(isblank($A918),isblank($B918)),"", not(iserror(vlookup($A918&amp;$B918,'5) Release_Track'!$F:$F&amp;'5) Release_Track'!$G:$G,1,0))),vlookup($A918&amp;$B918,{'5) Release_Track'!$F:$F&amp;'5) Release_Track'!$G:$G,'5) Release_Track'!$J:$J},2,0),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F918" s="88"/>
      <c r="G918" s="92"/>
      <c r="H918" s="185"/>
      <c r="I918" s="121" t="str">
        <f t="shared" si="2"/>
        <v/>
      </c>
      <c r="J918" s="92"/>
      <c r="K918" s="92"/>
    </row>
    <row r="919">
      <c r="B919" s="97"/>
      <c r="C919" s="121" t="str">
        <f t="array" ref="C919">ifs(and(isblank($A919),isblank($B919)),"", not(iserror(vlookup($A919&amp;$B919,'5) Release_Track'!$F:$F&amp;'5) Release_Track'!$G:$G,1,0))),vlookup($A919&amp;$B919,{'5) Release_Track'!$F:$F&amp;'5) Release_Track'!$G:$G,'5) Release_Track'!$H:$H},2,0),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D919" s="121" t="str">
        <f t="array" ref="D919">ifs(and(isblank($A919),isblank($B919)),"", not(iserror(vlookup($A919&amp;$B919,'5) Release_Track'!$F:$F&amp;'5) Release_Track'!$G:$G,1,0))),vlookup($A919&amp;$B919,{'5) Release_Track'!$F:$F&amp;'5) Release_Track'!$G:$G,'5) Release_Track'!$I:$I},2,0),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E919" s="116" t="str">
        <f t="array" ref="E919">ifs(and(isblank($A919),isblank($B919)),"", not(iserror(vlookup($A919&amp;$B919,'5) Release_Track'!$F:$F&amp;'5) Release_Track'!$G:$G,1,0))),vlookup($A919&amp;$B919,{'5) Release_Track'!$F:$F&amp;'5) Release_Track'!$G:$G,'5) Release_Track'!$J:$J},2,0),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F919" s="88"/>
      <c r="G919" s="92"/>
      <c r="H919" s="185"/>
      <c r="I919" s="121" t="str">
        <f t="shared" si="2"/>
        <v/>
      </c>
      <c r="J919" s="92"/>
      <c r="K919" s="92"/>
    </row>
    <row r="920">
      <c r="B920" s="97"/>
      <c r="C920" s="121" t="str">
        <f t="array" ref="C920">ifs(and(isblank($A920),isblank($B920)),"", not(iserror(vlookup($A920&amp;$B920,'5) Release_Track'!$F:$F&amp;'5) Release_Track'!$G:$G,1,0))),vlookup($A920&amp;$B920,{'5) Release_Track'!$F:$F&amp;'5) Release_Track'!$G:$G,'5) Release_Track'!$H:$H},2,0),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D920" s="121" t="str">
        <f t="array" ref="D920">ifs(and(isblank($A920),isblank($B920)),"", not(iserror(vlookup($A920&amp;$B920,'5) Release_Track'!$F:$F&amp;'5) Release_Track'!$G:$G,1,0))),vlookup($A920&amp;$B920,{'5) Release_Track'!$F:$F&amp;'5) Release_Track'!$G:$G,'5) Release_Track'!$I:$I},2,0),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E920" s="116" t="str">
        <f t="array" ref="E920">ifs(and(isblank($A920),isblank($B920)),"", not(iserror(vlookup($A920&amp;$B920,'5) Release_Track'!$F:$F&amp;'5) Release_Track'!$G:$G,1,0))),vlookup($A920&amp;$B920,{'5) Release_Track'!$F:$F&amp;'5) Release_Track'!$G:$G,'5) Release_Track'!$J:$J},2,0),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F920" s="88"/>
      <c r="G920" s="92"/>
      <c r="H920" s="185"/>
      <c r="I920" s="121" t="str">
        <f t="shared" si="2"/>
        <v/>
      </c>
      <c r="J920" s="92"/>
      <c r="K920" s="92"/>
    </row>
    <row r="921">
      <c r="B921" s="97"/>
      <c r="C921" s="121" t="str">
        <f t="array" ref="C921">ifs(and(isblank($A921),isblank($B921)),"", not(iserror(vlookup($A921&amp;$B921,'5) Release_Track'!$F:$F&amp;'5) Release_Track'!$G:$G,1,0))),vlookup($A921&amp;$B921,{'5) Release_Track'!$F:$F&amp;'5) Release_Track'!$G:$G,'5) Release_Track'!$H:$H},2,0),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D921" s="121" t="str">
        <f t="array" ref="D921">ifs(and(isblank($A921),isblank($B921)),"", not(iserror(vlookup($A921&amp;$B921,'5) Release_Track'!$F:$F&amp;'5) Release_Track'!$G:$G,1,0))),vlookup($A921&amp;$B921,{'5) Release_Track'!$F:$F&amp;'5) Release_Track'!$G:$G,'5) Release_Track'!$I:$I},2,0),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E921" s="116" t="str">
        <f t="array" ref="E921">ifs(and(isblank($A921),isblank($B921)),"", not(iserror(vlookup($A921&amp;$B921,'5) Release_Track'!$F:$F&amp;'5) Release_Track'!$G:$G,1,0))),vlookup($A921&amp;$B921,{'5) Release_Track'!$F:$F&amp;'5) Release_Track'!$G:$G,'5) Release_Track'!$J:$J},2,0),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F921" s="88"/>
      <c r="G921" s="92"/>
      <c r="H921" s="185"/>
      <c r="I921" s="121" t="str">
        <f t="shared" si="2"/>
        <v/>
      </c>
      <c r="J921" s="92"/>
      <c r="K921" s="92"/>
    </row>
    <row r="922">
      <c r="B922" s="97"/>
      <c r="C922" s="121" t="str">
        <f t="array" ref="C922">ifs(and(isblank($A922),isblank($B922)),"", not(iserror(vlookup($A922&amp;$B922,'5) Release_Track'!$F:$F&amp;'5) Release_Track'!$G:$G,1,0))),vlookup($A922&amp;$B922,{'5) Release_Track'!$F:$F&amp;'5) Release_Track'!$G:$G,'5) Release_Track'!$H:$H},2,0),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D922" s="121" t="str">
        <f t="array" ref="D922">ifs(and(isblank($A922),isblank($B922)),"", not(iserror(vlookup($A922&amp;$B922,'5) Release_Track'!$F:$F&amp;'5) Release_Track'!$G:$G,1,0))),vlookup($A922&amp;$B922,{'5) Release_Track'!$F:$F&amp;'5) Release_Track'!$G:$G,'5) Release_Track'!$I:$I},2,0),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E922" s="116" t="str">
        <f t="array" ref="E922">ifs(and(isblank($A922),isblank($B922)),"", not(iserror(vlookup($A922&amp;$B922,'5) Release_Track'!$F:$F&amp;'5) Release_Track'!$G:$G,1,0))),vlookup($A922&amp;$B922,{'5) Release_Track'!$F:$F&amp;'5) Release_Track'!$G:$G,'5) Release_Track'!$J:$J},2,0),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F922" s="88"/>
      <c r="G922" s="92"/>
      <c r="H922" s="185"/>
      <c r="I922" s="121" t="str">
        <f t="shared" si="2"/>
        <v/>
      </c>
      <c r="J922" s="92"/>
      <c r="K922" s="92"/>
    </row>
    <row r="923">
      <c r="B923" s="97"/>
      <c r="C923" s="121" t="str">
        <f t="array" ref="C923">ifs(and(isblank($A923),isblank($B923)),"", not(iserror(vlookup($A923&amp;$B923,'5) Release_Track'!$F:$F&amp;'5) Release_Track'!$G:$G,1,0))),vlookup($A923&amp;$B923,{'5) Release_Track'!$F:$F&amp;'5) Release_Track'!$G:$G,'5) Release_Track'!$H:$H},2,0),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D923" s="121" t="str">
        <f t="array" ref="D923">ifs(and(isblank($A923),isblank($B923)),"", not(iserror(vlookup($A923&amp;$B923,'5) Release_Track'!$F:$F&amp;'5) Release_Track'!$G:$G,1,0))),vlookup($A923&amp;$B923,{'5) Release_Track'!$F:$F&amp;'5) Release_Track'!$G:$G,'5) Release_Track'!$I:$I},2,0),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E923" s="116" t="str">
        <f t="array" ref="E923">ifs(and(isblank($A923),isblank($B923)),"", not(iserror(vlookup($A923&amp;$B923,'5) Release_Track'!$F:$F&amp;'5) Release_Track'!$G:$G,1,0))),vlookup($A923&amp;$B923,{'5) Release_Track'!$F:$F&amp;'5) Release_Track'!$G:$G,'5) Release_Track'!$J:$J},2,0),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F923" s="88"/>
      <c r="G923" s="92"/>
      <c r="H923" s="185"/>
      <c r="I923" s="121" t="str">
        <f t="shared" si="2"/>
        <v/>
      </c>
      <c r="J923" s="92"/>
      <c r="K923" s="92"/>
    </row>
    <row r="924">
      <c r="B924" s="97"/>
      <c r="C924" s="121" t="str">
        <f t="array" ref="C924">ifs(and(isblank($A924),isblank($B924)),"", not(iserror(vlookup($A924&amp;$B924,'5) Release_Track'!$F:$F&amp;'5) Release_Track'!$G:$G,1,0))),vlookup($A924&amp;$B924,{'5) Release_Track'!$F:$F&amp;'5) Release_Track'!$G:$G,'5) Release_Track'!$H:$H},2,0),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D924" s="121" t="str">
        <f t="array" ref="D924">ifs(and(isblank($A924),isblank($B924)),"", not(iserror(vlookup($A924&amp;$B924,'5) Release_Track'!$F:$F&amp;'5) Release_Track'!$G:$G,1,0))),vlookup($A924&amp;$B924,{'5) Release_Track'!$F:$F&amp;'5) Release_Track'!$G:$G,'5) Release_Track'!$I:$I},2,0),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E924" s="116" t="str">
        <f t="array" ref="E924">ifs(and(isblank($A924),isblank($B924)),"", not(iserror(vlookup($A924&amp;$B924,'5) Release_Track'!$F:$F&amp;'5) Release_Track'!$G:$G,1,0))),vlookup($A924&amp;$B924,{'5) Release_Track'!$F:$F&amp;'5) Release_Track'!$G:$G,'5) Release_Track'!$J:$J},2,0),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F924" s="88"/>
      <c r="G924" s="92"/>
      <c r="H924" s="185"/>
      <c r="I924" s="121" t="str">
        <f t="shared" si="2"/>
        <v/>
      </c>
      <c r="J924" s="92"/>
      <c r="K924" s="92"/>
    </row>
    <row r="925">
      <c r="B925" s="97"/>
      <c r="C925" s="121" t="str">
        <f t="array" ref="C925">ifs(and(isblank($A925),isblank($B925)),"", not(iserror(vlookup($A925&amp;$B925,'5) Release_Track'!$F:$F&amp;'5) Release_Track'!$G:$G,1,0))),vlookup($A925&amp;$B925,{'5) Release_Track'!$F:$F&amp;'5) Release_Track'!$G:$G,'5) Release_Track'!$H:$H},2,0),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D925" s="121" t="str">
        <f t="array" ref="D925">ifs(and(isblank($A925),isblank($B925)),"", not(iserror(vlookup($A925&amp;$B925,'5) Release_Track'!$F:$F&amp;'5) Release_Track'!$G:$G,1,0))),vlookup($A925&amp;$B925,{'5) Release_Track'!$F:$F&amp;'5) Release_Track'!$G:$G,'5) Release_Track'!$I:$I},2,0),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E925" s="116" t="str">
        <f t="array" ref="E925">ifs(and(isblank($A925),isblank($B925)),"", not(iserror(vlookup($A925&amp;$B925,'5) Release_Track'!$F:$F&amp;'5) Release_Track'!$G:$G,1,0))),vlookup($A925&amp;$B925,{'5) Release_Track'!$F:$F&amp;'5) Release_Track'!$G:$G,'5) Release_Track'!$J:$J},2,0),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F925" s="88"/>
      <c r="G925" s="92"/>
      <c r="H925" s="185"/>
      <c r="I925" s="121" t="str">
        <f t="shared" si="2"/>
        <v/>
      </c>
      <c r="J925" s="92"/>
      <c r="K925" s="92"/>
    </row>
    <row r="926">
      <c r="B926" s="97"/>
      <c r="C926" s="121" t="str">
        <f t="array" ref="C926">ifs(and(isblank($A926),isblank($B926)),"", not(iserror(vlookup($A926&amp;$B926,'5) Release_Track'!$F:$F&amp;'5) Release_Track'!$G:$G,1,0))),vlookup($A926&amp;$B926,{'5) Release_Track'!$F:$F&amp;'5) Release_Track'!$G:$G,'5) Release_Track'!$H:$H},2,0),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D926" s="121" t="str">
        <f t="array" ref="D926">ifs(and(isblank($A926),isblank($B926)),"", not(iserror(vlookup($A926&amp;$B926,'5) Release_Track'!$F:$F&amp;'5) Release_Track'!$G:$G,1,0))),vlookup($A926&amp;$B926,{'5) Release_Track'!$F:$F&amp;'5) Release_Track'!$G:$G,'5) Release_Track'!$I:$I},2,0),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E926" s="116" t="str">
        <f t="array" ref="E926">ifs(and(isblank($A926),isblank($B926)),"", not(iserror(vlookup($A926&amp;$B926,'5) Release_Track'!$F:$F&amp;'5) Release_Track'!$G:$G,1,0))),vlookup($A926&amp;$B926,{'5) Release_Track'!$F:$F&amp;'5) Release_Track'!$G:$G,'5) Release_Track'!$J:$J},2,0),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F926" s="88"/>
      <c r="G926" s="92"/>
      <c r="H926" s="185"/>
      <c r="I926" s="121" t="str">
        <f t="shared" si="2"/>
        <v/>
      </c>
      <c r="J926" s="92"/>
      <c r="K926" s="92"/>
    </row>
    <row r="927">
      <c r="B927" s="97"/>
      <c r="C927" s="121" t="str">
        <f t="array" ref="C927">ifs(and(isblank($A927),isblank($B927)),"", not(iserror(vlookup($A927&amp;$B927,'5) Release_Track'!$F:$F&amp;'5) Release_Track'!$G:$G,1,0))),vlookup($A927&amp;$B927,{'5) Release_Track'!$F:$F&amp;'5) Release_Track'!$G:$G,'5) Release_Track'!$H:$H},2,0),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D927" s="121" t="str">
        <f t="array" ref="D927">ifs(and(isblank($A927),isblank($B927)),"", not(iserror(vlookup($A927&amp;$B927,'5) Release_Track'!$F:$F&amp;'5) Release_Track'!$G:$G,1,0))),vlookup($A927&amp;$B927,{'5) Release_Track'!$F:$F&amp;'5) Release_Track'!$G:$G,'5) Release_Track'!$I:$I},2,0),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E927" s="116" t="str">
        <f t="array" ref="E927">ifs(and(isblank($A927),isblank($B927)),"", not(iserror(vlookup($A927&amp;$B927,'5) Release_Track'!$F:$F&amp;'5) Release_Track'!$G:$G,1,0))),vlookup($A927&amp;$B927,{'5) Release_Track'!$F:$F&amp;'5) Release_Track'!$G:$G,'5) Release_Track'!$J:$J},2,0),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F927" s="88"/>
      <c r="G927" s="92"/>
      <c r="H927" s="185"/>
      <c r="I927" s="121" t="str">
        <f t="shared" si="2"/>
        <v/>
      </c>
      <c r="J927" s="92"/>
      <c r="K927" s="92"/>
    </row>
    <row r="928">
      <c r="B928" s="97"/>
      <c r="C928" s="121" t="str">
        <f t="array" ref="C928">ifs(and(isblank($A928),isblank($B928)),"", not(iserror(vlookup($A928&amp;$B928,'5) Release_Track'!$F:$F&amp;'5) Release_Track'!$G:$G,1,0))),vlookup($A928&amp;$B928,{'5) Release_Track'!$F:$F&amp;'5) Release_Track'!$G:$G,'5) Release_Track'!$H:$H},2,0),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D928" s="121" t="str">
        <f t="array" ref="D928">ifs(and(isblank($A928),isblank($B928)),"", not(iserror(vlookup($A928&amp;$B928,'5) Release_Track'!$F:$F&amp;'5) Release_Track'!$G:$G,1,0))),vlookup($A928&amp;$B928,{'5) Release_Track'!$F:$F&amp;'5) Release_Track'!$G:$G,'5) Release_Track'!$I:$I},2,0),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E928" s="116" t="str">
        <f t="array" ref="E928">ifs(and(isblank($A928),isblank($B928)),"", not(iserror(vlookup($A928&amp;$B928,'5) Release_Track'!$F:$F&amp;'5) Release_Track'!$G:$G,1,0))),vlookup($A928&amp;$B928,{'5) Release_Track'!$F:$F&amp;'5) Release_Track'!$G:$G,'5) Release_Track'!$J:$J},2,0),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F928" s="88"/>
      <c r="G928" s="92"/>
      <c r="H928" s="185"/>
      <c r="I928" s="121" t="str">
        <f t="shared" si="2"/>
        <v/>
      </c>
      <c r="J928" s="92"/>
      <c r="K928" s="92"/>
    </row>
    <row r="929">
      <c r="B929" s="97"/>
      <c r="C929" s="121" t="str">
        <f t="array" ref="C929">ifs(and(isblank($A929),isblank($B929)),"", not(iserror(vlookup($A929&amp;$B929,'5) Release_Track'!$F:$F&amp;'5) Release_Track'!$G:$G,1,0))),vlookup($A929&amp;$B929,{'5) Release_Track'!$F:$F&amp;'5) Release_Track'!$G:$G,'5) Release_Track'!$H:$H},2,0),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D929" s="121" t="str">
        <f t="array" ref="D929">ifs(and(isblank($A929),isblank($B929)),"", not(iserror(vlookup($A929&amp;$B929,'5) Release_Track'!$F:$F&amp;'5) Release_Track'!$G:$G,1,0))),vlookup($A929&amp;$B929,{'5) Release_Track'!$F:$F&amp;'5) Release_Track'!$G:$G,'5) Release_Track'!$I:$I},2,0),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E929" s="116" t="str">
        <f t="array" ref="E929">ifs(and(isblank($A929),isblank($B929)),"", not(iserror(vlookup($A929&amp;$B929,'5) Release_Track'!$F:$F&amp;'5) Release_Track'!$G:$G,1,0))),vlookup($A929&amp;$B929,{'5) Release_Track'!$F:$F&amp;'5) Release_Track'!$G:$G,'5) Release_Track'!$J:$J},2,0),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F929" s="88"/>
      <c r="G929" s="92"/>
      <c r="H929" s="185"/>
      <c r="I929" s="121" t="str">
        <f t="shared" si="2"/>
        <v/>
      </c>
      <c r="J929" s="92"/>
      <c r="K929" s="92"/>
    </row>
    <row r="930">
      <c r="B930" s="97"/>
      <c r="C930" s="121" t="str">
        <f t="array" ref="C930">ifs(and(isblank($A930),isblank($B930)),"", not(iserror(vlookup($A930&amp;$B930,'5) Release_Track'!$F:$F&amp;'5) Release_Track'!$G:$G,1,0))),vlookup($A930&amp;$B930,{'5) Release_Track'!$F:$F&amp;'5) Release_Track'!$G:$G,'5) Release_Track'!$H:$H},2,0),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D930" s="121" t="str">
        <f t="array" ref="D930">ifs(and(isblank($A930),isblank($B930)),"", not(iserror(vlookup($A930&amp;$B930,'5) Release_Track'!$F:$F&amp;'5) Release_Track'!$G:$G,1,0))),vlookup($A930&amp;$B930,{'5) Release_Track'!$F:$F&amp;'5) Release_Track'!$G:$G,'5) Release_Track'!$I:$I},2,0),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E930" s="116" t="str">
        <f t="array" ref="E930">ifs(and(isblank($A930),isblank($B930)),"", not(iserror(vlookup($A930&amp;$B930,'5) Release_Track'!$F:$F&amp;'5) Release_Track'!$G:$G,1,0))),vlookup($A930&amp;$B930,{'5) Release_Track'!$F:$F&amp;'5) Release_Track'!$G:$G,'5) Release_Track'!$J:$J},2,0),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F930" s="88"/>
      <c r="G930" s="92"/>
      <c r="H930" s="185"/>
      <c r="I930" s="121" t="str">
        <f t="shared" si="2"/>
        <v/>
      </c>
      <c r="J930" s="92"/>
      <c r="K930" s="92"/>
    </row>
    <row r="931">
      <c r="B931" s="97"/>
      <c r="C931" s="121" t="str">
        <f t="array" ref="C931">ifs(and(isblank($A931),isblank($B931)),"", not(iserror(vlookup($A931&amp;$B931,'5) Release_Track'!$F:$F&amp;'5) Release_Track'!$G:$G,1,0))),vlookup($A931&amp;$B931,{'5) Release_Track'!$F:$F&amp;'5) Release_Track'!$G:$G,'5) Release_Track'!$H:$H},2,0),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D931" s="121" t="str">
        <f t="array" ref="D931">ifs(and(isblank($A931),isblank($B931)),"", not(iserror(vlookup($A931&amp;$B931,'5) Release_Track'!$F:$F&amp;'5) Release_Track'!$G:$G,1,0))),vlookup($A931&amp;$B931,{'5) Release_Track'!$F:$F&amp;'5) Release_Track'!$G:$G,'5) Release_Track'!$I:$I},2,0),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E931" s="116" t="str">
        <f t="array" ref="E931">ifs(and(isblank($A931),isblank($B931)),"", not(iserror(vlookup($A931&amp;$B931,'5) Release_Track'!$F:$F&amp;'5) Release_Track'!$G:$G,1,0))),vlookup($A931&amp;$B931,{'5) Release_Track'!$F:$F&amp;'5) Release_Track'!$G:$G,'5) Release_Track'!$J:$J},2,0),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F931" s="88"/>
      <c r="G931" s="92"/>
      <c r="H931" s="185"/>
      <c r="I931" s="121" t="str">
        <f t="shared" si="2"/>
        <v/>
      </c>
      <c r="J931" s="92"/>
      <c r="K931" s="92"/>
    </row>
    <row r="932">
      <c r="B932" s="97"/>
      <c r="C932" s="121" t="str">
        <f t="array" ref="C932">ifs(and(isblank($A932),isblank($B932)),"", not(iserror(vlookup($A932&amp;$B932,'5) Release_Track'!$F:$F&amp;'5) Release_Track'!$G:$G,1,0))),vlookup($A932&amp;$B932,{'5) Release_Track'!$F:$F&amp;'5) Release_Track'!$G:$G,'5) Release_Track'!$H:$H},2,0),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D932" s="121" t="str">
        <f t="array" ref="D932">ifs(and(isblank($A932),isblank($B932)),"", not(iserror(vlookup($A932&amp;$B932,'5) Release_Track'!$F:$F&amp;'5) Release_Track'!$G:$G,1,0))),vlookup($A932&amp;$B932,{'5) Release_Track'!$F:$F&amp;'5) Release_Track'!$G:$G,'5) Release_Track'!$I:$I},2,0),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E932" s="116" t="str">
        <f t="array" ref="E932">ifs(and(isblank($A932),isblank($B932)),"", not(iserror(vlookup($A932&amp;$B932,'5) Release_Track'!$F:$F&amp;'5) Release_Track'!$G:$G,1,0))),vlookup($A932&amp;$B932,{'5) Release_Track'!$F:$F&amp;'5) Release_Track'!$G:$G,'5) Release_Track'!$J:$J},2,0),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F932" s="88"/>
      <c r="G932" s="92"/>
      <c r="H932" s="185"/>
      <c r="I932" s="121" t="str">
        <f t="shared" si="2"/>
        <v/>
      </c>
      <c r="J932" s="92"/>
      <c r="K932" s="92"/>
    </row>
    <row r="933">
      <c r="B933" s="97"/>
      <c r="C933" s="121" t="str">
        <f t="array" ref="C933">ifs(and(isblank($A933),isblank($B933)),"", not(iserror(vlookup($A933&amp;$B933,'5) Release_Track'!$F:$F&amp;'5) Release_Track'!$G:$G,1,0))),vlookup($A933&amp;$B933,{'5) Release_Track'!$F:$F&amp;'5) Release_Track'!$G:$G,'5) Release_Track'!$H:$H},2,0),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D933" s="121" t="str">
        <f t="array" ref="D933">ifs(and(isblank($A933),isblank($B933)),"", not(iserror(vlookup($A933&amp;$B933,'5) Release_Track'!$F:$F&amp;'5) Release_Track'!$G:$G,1,0))),vlookup($A933&amp;$B933,{'5) Release_Track'!$F:$F&amp;'5) Release_Track'!$G:$G,'5) Release_Track'!$I:$I},2,0),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E933" s="116" t="str">
        <f t="array" ref="E933">ifs(and(isblank($A933),isblank($B933)),"", not(iserror(vlookup($A933&amp;$B933,'5) Release_Track'!$F:$F&amp;'5) Release_Track'!$G:$G,1,0))),vlookup($A933&amp;$B933,{'5) Release_Track'!$F:$F&amp;'5) Release_Track'!$G:$G,'5) Release_Track'!$J:$J},2,0),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F933" s="88"/>
      <c r="G933" s="92"/>
      <c r="H933" s="185"/>
      <c r="I933" s="121" t="str">
        <f t="shared" si="2"/>
        <v/>
      </c>
      <c r="J933" s="92"/>
      <c r="K933" s="92"/>
    </row>
    <row r="934">
      <c r="B934" s="97"/>
      <c r="C934" s="121" t="str">
        <f t="array" ref="C934">ifs(and(isblank($A934),isblank($B934)),"", not(iserror(vlookup($A934&amp;$B934,'5) Release_Track'!$F:$F&amp;'5) Release_Track'!$G:$G,1,0))),vlookup($A934&amp;$B934,{'5) Release_Track'!$F:$F&amp;'5) Release_Track'!$G:$G,'5) Release_Track'!$H:$H},2,0),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D934" s="121" t="str">
        <f t="array" ref="D934">ifs(and(isblank($A934),isblank($B934)),"", not(iserror(vlookup($A934&amp;$B934,'5) Release_Track'!$F:$F&amp;'5) Release_Track'!$G:$G,1,0))),vlookup($A934&amp;$B934,{'5) Release_Track'!$F:$F&amp;'5) Release_Track'!$G:$G,'5) Release_Track'!$I:$I},2,0),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E934" s="116" t="str">
        <f t="array" ref="E934">ifs(and(isblank($A934),isblank($B934)),"", not(iserror(vlookup($A934&amp;$B934,'5) Release_Track'!$F:$F&amp;'5) Release_Track'!$G:$G,1,0))),vlookup($A934&amp;$B934,{'5) Release_Track'!$F:$F&amp;'5) Release_Track'!$G:$G,'5) Release_Track'!$J:$J},2,0),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F934" s="88"/>
      <c r="G934" s="92"/>
      <c r="H934" s="185"/>
      <c r="I934" s="121" t="str">
        <f t="shared" si="2"/>
        <v/>
      </c>
      <c r="J934" s="92"/>
      <c r="K934" s="92"/>
    </row>
    <row r="935">
      <c r="B935" s="97"/>
      <c r="C935" s="121" t="str">
        <f t="array" ref="C935">ifs(and(isblank($A935),isblank($B935)),"", not(iserror(vlookup($A935&amp;$B935,'5) Release_Track'!$F:$F&amp;'5) Release_Track'!$G:$G,1,0))),vlookup($A935&amp;$B935,{'5) Release_Track'!$F:$F&amp;'5) Release_Track'!$G:$G,'5) Release_Track'!$H:$H},2,0),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D935" s="121" t="str">
        <f t="array" ref="D935">ifs(and(isblank($A935),isblank($B935)),"", not(iserror(vlookup($A935&amp;$B935,'5) Release_Track'!$F:$F&amp;'5) Release_Track'!$G:$G,1,0))),vlookup($A935&amp;$B935,{'5) Release_Track'!$F:$F&amp;'5) Release_Track'!$G:$G,'5) Release_Track'!$I:$I},2,0),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E935" s="116" t="str">
        <f t="array" ref="E935">ifs(and(isblank($A935),isblank($B935)),"", not(iserror(vlookup($A935&amp;$B935,'5) Release_Track'!$F:$F&amp;'5) Release_Track'!$G:$G,1,0))),vlookup($A935&amp;$B935,{'5) Release_Track'!$F:$F&amp;'5) Release_Track'!$G:$G,'5) Release_Track'!$J:$J},2,0),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F935" s="88"/>
      <c r="G935" s="92"/>
      <c r="H935" s="185"/>
      <c r="I935" s="121" t="str">
        <f t="shared" si="2"/>
        <v/>
      </c>
      <c r="J935" s="92"/>
      <c r="K935" s="92"/>
    </row>
    <row r="936">
      <c r="B936" s="97"/>
      <c r="C936" s="121" t="str">
        <f t="array" ref="C936">ifs(and(isblank($A936),isblank($B936)),"", not(iserror(vlookup($A936&amp;$B936,'5) Release_Track'!$F:$F&amp;'5) Release_Track'!$G:$G,1,0))),vlookup($A936&amp;$B936,{'5) Release_Track'!$F:$F&amp;'5) Release_Track'!$G:$G,'5) Release_Track'!$H:$H},2,0),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D936" s="121" t="str">
        <f t="array" ref="D936">ifs(and(isblank($A936),isblank($B936)),"", not(iserror(vlookup($A936&amp;$B936,'5) Release_Track'!$F:$F&amp;'5) Release_Track'!$G:$G,1,0))),vlookup($A936&amp;$B936,{'5) Release_Track'!$F:$F&amp;'5) Release_Track'!$G:$G,'5) Release_Track'!$I:$I},2,0),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E936" s="116" t="str">
        <f t="array" ref="E936">ifs(and(isblank($A936),isblank($B936)),"", not(iserror(vlookup($A936&amp;$B936,'5) Release_Track'!$F:$F&amp;'5) Release_Track'!$G:$G,1,0))),vlookup($A936&amp;$B936,{'5) Release_Track'!$F:$F&amp;'5) Release_Track'!$G:$G,'5) Release_Track'!$J:$J},2,0),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F936" s="88"/>
      <c r="G936" s="92"/>
      <c r="H936" s="185"/>
      <c r="I936" s="121" t="str">
        <f t="shared" si="2"/>
        <v/>
      </c>
      <c r="J936" s="92"/>
      <c r="K936" s="92"/>
    </row>
    <row r="937">
      <c r="B937" s="97"/>
      <c r="C937" s="121" t="str">
        <f t="array" ref="C937">ifs(and(isblank($A937),isblank($B937)),"", not(iserror(vlookup($A937&amp;$B937,'5) Release_Track'!$F:$F&amp;'5) Release_Track'!$G:$G,1,0))),vlookup($A937&amp;$B937,{'5) Release_Track'!$F:$F&amp;'5) Release_Track'!$G:$G,'5) Release_Track'!$H:$H},2,0),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D937" s="121" t="str">
        <f t="array" ref="D937">ifs(and(isblank($A937),isblank($B937)),"", not(iserror(vlookup($A937&amp;$B937,'5) Release_Track'!$F:$F&amp;'5) Release_Track'!$G:$G,1,0))),vlookup($A937&amp;$B937,{'5) Release_Track'!$F:$F&amp;'5) Release_Track'!$G:$G,'5) Release_Track'!$I:$I},2,0),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E937" s="116" t="str">
        <f t="array" ref="E937">ifs(and(isblank($A937),isblank($B937)),"", not(iserror(vlookup($A937&amp;$B937,'5) Release_Track'!$F:$F&amp;'5) Release_Track'!$G:$G,1,0))),vlookup($A937&amp;$B937,{'5) Release_Track'!$F:$F&amp;'5) Release_Track'!$G:$G,'5) Release_Track'!$J:$J},2,0),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F937" s="88"/>
      <c r="G937" s="92"/>
      <c r="H937" s="185"/>
      <c r="I937" s="121" t="str">
        <f t="shared" si="2"/>
        <v/>
      </c>
      <c r="J937" s="92"/>
      <c r="K937" s="92"/>
    </row>
    <row r="938">
      <c r="B938" s="97"/>
      <c r="C938" s="121" t="str">
        <f t="array" ref="C938">ifs(and(isblank($A938),isblank($B938)),"", not(iserror(vlookup($A938&amp;$B938,'5) Release_Track'!$F:$F&amp;'5) Release_Track'!$G:$G,1,0))),vlookup($A938&amp;$B938,{'5) Release_Track'!$F:$F&amp;'5) Release_Track'!$G:$G,'5) Release_Track'!$H:$H},2,0),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D938" s="121" t="str">
        <f t="array" ref="D938">ifs(and(isblank($A938),isblank($B938)),"", not(iserror(vlookup($A938&amp;$B938,'5) Release_Track'!$F:$F&amp;'5) Release_Track'!$G:$G,1,0))),vlookup($A938&amp;$B938,{'5) Release_Track'!$F:$F&amp;'5) Release_Track'!$G:$G,'5) Release_Track'!$I:$I},2,0),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E938" s="116" t="str">
        <f t="array" ref="E938">ifs(and(isblank($A938),isblank($B938)),"", not(iserror(vlookup($A938&amp;$B938,'5) Release_Track'!$F:$F&amp;'5) Release_Track'!$G:$G,1,0))),vlookup($A938&amp;$B938,{'5) Release_Track'!$F:$F&amp;'5) Release_Track'!$G:$G,'5) Release_Track'!$J:$J},2,0),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F938" s="88"/>
      <c r="G938" s="92"/>
      <c r="H938" s="185"/>
      <c r="I938" s="121" t="str">
        <f t="shared" si="2"/>
        <v/>
      </c>
      <c r="J938" s="92"/>
      <c r="K938" s="92"/>
    </row>
    <row r="939">
      <c r="B939" s="97"/>
      <c r="C939" s="121" t="str">
        <f t="array" ref="C939">ifs(and(isblank($A939),isblank($B939)),"", not(iserror(vlookup($A939&amp;$B939,'5) Release_Track'!$F:$F&amp;'5) Release_Track'!$G:$G,1,0))),vlookup($A939&amp;$B939,{'5) Release_Track'!$F:$F&amp;'5) Release_Track'!$G:$G,'5) Release_Track'!$H:$H},2,0),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D939" s="121" t="str">
        <f t="array" ref="D939">ifs(and(isblank($A939),isblank($B939)),"", not(iserror(vlookup($A939&amp;$B939,'5) Release_Track'!$F:$F&amp;'5) Release_Track'!$G:$G,1,0))),vlookup($A939&amp;$B939,{'5) Release_Track'!$F:$F&amp;'5) Release_Track'!$G:$G,'5) Release_Track'!$I:$I},2,0),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E939" s="116" t="str">
        <f t="array" ref="E939">ifs(and(isblank($A939),isblank($B939)),"", not(iserror(vlookup($A939&amp;$B939,'5) Release_Track'!$F:$F&amp;'5) Release_Track'!$G:$G,1,0))),vlookup($A939&amp;$B939,{'5) Release_Track'!$F:$F&amp;'5) Release_Track'!$G:$G,'5) Release_Track'!$J:$J},2,0),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F939" s="88"/>
      <c r="G939" s="92"/>
      <c r="H939" s="185"/>
      <c r="I939" s="121" t="str">
        <f t="shared" si="2"/>
        <v/>
      </c>
      <c r="J939" s="92"/>
      <c r="K939" s="92"/>
    </row>
    <row r="940">
      <c r="B940" s="97"/>
      <c r="C940" s="121" t="str">
        <f t="array" ref="C940">ifs(and(isblank($A940),isblank($B940)),"", not(iserror(vlookup($A940&amp;$B940,'5) Release_Track'!$F:$F&amp;'5) Release_Track'!$G:$G,1,0))),vlookup($A940&amp;$B940,{'5) Release_Track'!$F:$F&amp;'5) Release_Track'!$G:$G,'5) Release_Track'!$H:$H},2,0),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D940" s="121" t="str">
        <f t="array" ref="D940">ifs(and(isblank($A940),isblank($B940)),"", not(iserror(vlookup($A940&amp;$B940,'5) Release_Track'!$F:$F&amp;'5) Release_Track'!$G:$G,1,0))),vlookup($A940&amp;$B940,{'5) Release_Track'!$F:$F&amp;'5) Release_Track'!$G:$G,'5) Release_Track'!$I:$I},2,0),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E940" s="116" t="str">
        <f t="array" ref="E940">ifs(and(isblank($A940),isblank($B940)),"", not(iserror(vlookup($A940&amp;$B940,'5) Release_Track'!$F:$F&amp;'5) Release_Track'!$G:$G,1,0))),vlookup($A940&amp;$B940,{'5) Release_Track'!$F:$F&amp;'5) Release_Track'!$G:$G,'5) Release_Track'!$J:$J},2,0),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F940" s="88"/>
      <c r="G940" s="92"/>
      <c r="H940" s="185"/>
      <c r="I940" s="121" t="str">
        <f t="shared" si="2"/>
        <v/>
      </c>
      <c r="J940" s="92"/>
      <c r="K940" s="92"/>
    </row>
    <row r="941">
      <c r="B941" s="97"/>
      <c r="C941" s="121" t="str">
        <f t="array" ref="C941">ifs(and(isblank($A941),isblank($B941)),"", not(iserror(vlookup($A941&amp;$B941,'5) Release_Track'!$F:$F&amp;'5) Release_Track'!$G:$G,1,0))),vlookup($A941&amp;$B941,{'5) Release_Track'!$F:$F&amp;'5) Release_Track'!$G:$G,'5) Release_Track'!$H:$H},2,0),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D941" s="121" t="str">
        <f t="array" ref="D941">ifs(and(isblank($A941),isblank($B941)),"", not(iserror(vlookup($A941&amp;$B941,'5) Release_Track'!$F:$F&amp;'5) Release_Track'!$G:$G,1,0))),vlookup($A941&amp;$B941,{'5) Release_Track'!$F:$F&amp;'5) Release_Track'!$G:$G,'5) Release_Track'!$I:$I},2,0),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E941" s="116" t="str">
        <f t="array" ref="E941">ifs(and(isblank($A941),isblank($B941)),"", not(iserror(vlookup($A941&amp;$B941,'5) Release_Track'!$F:$F&amp;'5) Release_Track'!$G:$G,1,0))),vlookup($A941&amp;$B941,{'5) Release_Track'!$F:$F&amp;'5) Release_Track'!$G:$G,'5) Release_Track'!$J:$J},2,0),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F941" s="88"/>
      <c r="G941" s="92"/>
      <c r="H941" s="185"/>
      <c r="I941" s="121" t="str">
        <f t="shared" si="2"/>
        <v/>
      </c>
      <c r="J941" s="92"/>
      <c r="K941" s="92"/>
    </row>
    <row r="942">
      <c r="B942" s="97"/>
      <c r="C942" s="121" t="str">
        <f t="array" ref="C942">ifs(and(isblank($A942),isblank($B942)),"", not(iserror(vlookup($A942&amp;$B942,'5) Release_Track'!$F:$F&amp;'5) Release_Track'!$G:$G,1,0))),vlookup($A942&amp;$B942,{'5) Release_Track'!$F:$F&amp;'5) Release_Track'!$G:$G,'5) Release_Track'!$H:$H},2,0),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D942" s="121" t="str">
        <f t="array" ref="D942">ifs(and(isblank($A942),isblank($B942)),"", not(iserror(vlookup($A942&amp;$B942,'5) Release_Track'!$F:$F&amp;'5) Release_Track'!$G:$G,1,0))),vlookup($A942&amp;$B942,{'5) Release_Track'!$F:$F&amp;'5) Release_Track'!$G:$G,'5) Release_Track'!$I:$I},2,0),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E942" s="116" t="str">
        <f t="array" ref="E942">ifs(and(isblank($A942),isblank($B942)),"", not(iserror(vlookup($A942&amp;$B942,'5) Release_Track'!$F:$F&amp;'5) Release_Track'!$G:$G,1,0))),vlookup($A942&amp;$B942,{'5) Release_Track'!$F:$F&amp;'5) Release_Track'!$G:$G,'5) Release_Track'!$J:$J},2,0),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F942" s="88"/>
      <c r="G942" s="92"/>
      <c r="H942" s="185"/>
      <c r="I942" s="121" t="str">
        <f t="shared" si="2"/>
        <v/>
      </c>
      <c r="J942" s="92"/>
      <c r="K942" s="92"/>
    </row>
    <row r="943">
      <c r="B943" s="97"/>
      <c r="C943" s="121" t="str">
        <f t="array" ref="C943">ifs(and(isblank($A943),isblank($B943)),"", not(iserror(vlookup($A943&amp;$B943,'5) Release_Track'!$F:$F&amp;'5) Release_Track'!$G:$G,1,0))),vlookup($A943&amp;$B943,{'5) Release_Track'!$F:$F&amp;'5) Release_Track'!$G:$G,'5) Release_Track'!$H:$H},2,0),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D943" s="121" t="str">
        <f t="array" ref="D943">ifs(and(isblank($A943),isblank($B943)),"", not(iserror(vlookup($A943&amp;$B943,'5) Release_Track'!$F:$F&amp;'5) Release_Track'!$G:$G,1,0))),vlookup($A943&amp;$B943,{'5) Release_Track'!$F:$F&amp;'5) Release_Track'!$G:$G,'5) Release_Track'!$I:$I},2,0),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E943" s="116" t="str">
        <f t="array" ref="E943">ifs(and(isblank($A943),isblank($B943)),"", not(iserror(vlookup($A943&amp;$B943,'5) Release_Track'!$F:$F&amp;'5) Release_Track'!$G:$G,1,0))),vlookup($A943&amp;$B943,{'5) Release_Track'!$F:$F&amp;'5) Release_Track'!$G:$G,'5) Release_Track'!$J:$J},2,0),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F943" s="88"/>
      <c r="G943" s="92"/>
      <c r="H943" s="185"/>
      <c r="I943" s="121" t="str">
        <f t="shared" si="2"/>
        <v/>
      </c>
      <c r="J943" s="92"/>
      <c r="K943" s="92"/>
    </row>
    <row r="944">
      <c r="B944" s="97"/>
      <c r="C944" s="121" t="str">
        <f t="array" ref="C944">ifs(and(isblank($A944),isblank($B944)),"", not(iserror(vlookup($A944&amp;$B944,'5) Release_Track'!$F:$F&amp;'5) Release_Track'!$G:$G,1,0))),vlookup($A944&amp;$B944,{'5) Release_Track'!$F:$F&amp;'5) Release_Track'!$G:$G,'5) Release_Track'!$H:$H},2,0),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D944" s="121" t="str">
        <f t="array" ref="D944">ifs(and(isblank($A944),isblank($B944)),"", not(iserror(vlookup($A944&amp;$B944,'5) Release_Track'!$F:$F&amp;'5) Release_Track'!$G:$G,1,0))),vlookup($A944&amp;$B944,{'5) Release_Track'!$F:$F&amp;'5) Release_Track'!$G:$G,'5) Release_Track'!$I:$I},2,0),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E944" s="116" t="str">
        <f t="array" ref="E944">ifs(and(isblank($A944),isblank($B944)),"", not(iserror(vlookup($A944&amp;$B944,'5) Release_Track'!$F:$F&amp;'5) Release_Track'!$G:$G,1,0))),vlookup($A944&amp;$B944,{'5) Release_Track'!$F:$F&amp;'5) Release_Track'!$G:$G,'5) Release_Track'!$J:$J},2,0),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F944" s="88"/>
      <c r="G944" s="92"/>
      <c r="H944" s="185"/>
      <c r="I944" s="121" t="str">
        <f t="shared" si="2"/>
        <v/>
      </c>
      <c r="J944" s="92"/>
      <c r="K944" s="92"/>
    </row>
    <row r="945">
      <c r="B945" s="97"/>
      <c r="C945" s="121" t="str">
        <f t="array" ref="C945">ifs(and(isblank($A945),isblank($B945)),"", not(iserror(vlookup($A945&amp;$B945,'5) Release_Track'!$F:$F&amp;'5) Release_Track'!$G:$G,1,0))),vlookup($A945&amp;$B945,{'5) Release_Track'!$F:$F&amp;'5) Release_Track'!$G:$G,'5) Release_Track'!$H:$H},2,0),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D945" s="121" t="str">
        <f t="array" ref="D945">ifs(and(isblank($A945),isblank($B945)),"", not(iserror(vlookup($A945&amp;$B945,'5) Release_Track'!$F:$F&amp;'5) Release_Track'!$G:$G,1,0))),vlookup($A945&amp;$B945,{'5) Release_Track'!$F:$F&amp;'5) Release_Track'!$G:$G,'5) Release_Track'!$I:$I},2,0),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E945" s="116" t="str">
        <f t="array" ref="E945">ifs(and(isblank($A945),isblank($B945)),"", not(iserror(vlookup($A945&amp;$B945,'5) Release_Track'!$F:$F&amp;'5) Release_Track'!$G:$G,1,0))),vlookup($A945&amp;$B945,{'5) Release_Track'!$F:$F&amp;'5) Release_Track'!$G:$G,'5) Release_Track'!$J:$J},2,0),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F945" s="88"/>
      <c r="G945" s="92"/>
      <c r="H945" s="185"/>
      <c r="I945" s="121" t="str">
        <f t="shared" si="2"/>
        <v/>
      </c>
      <c r="J945" s="92"/>
      <c r="K945" s="92"/>
    </row>
    <row r="946">
      <c r="B946" s="97"/>
      <c r="C946" s="121" t="str">
        <f t="array" ref="C946">ifs(and(isblank($A946),isblank($B946)),"", not(iserror(vlookup($A946&amp;$B946,'5) Release_Track'!$F:$F&amp;'5) Release_Track'!$G:$G,1,0))),vlookup($A946&amp;$B946,{'5) Release_Track'!$F:$F&amp;'5) Release_Track'!$G:$G,'5) Release_Track'!$H:$H},2,0),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D946" s="121" t="str">
        <f t="array" ref="D946">ifs(and(isblank($A946),isblank($B946)),"", not(iserror(vlookup($A946&amp;$B946,'5) Release_Track'!$F:$F&amp;'5) Release_Track'!$G:$G,1,0))),vlookup($A946&amp;$B946,{'5) Release_Track'!$F:$F&amp;'5) Release_Track'!$G:$G,'5) Release_Track'!$I:$I},2,0),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E946" s="116" t="str">
        <f t="array" ref="E946">ifs(and(isblank($A946),isblank($B946)),"", not(iserror(vlookup($A946&amp;$B946,'5) Release_Track'!$F:$F&amp;'5) Release_Track'!$G:$G,1,0))),vlookup($A946&amp;$B946,{'5) Release_Track'!$F:$F&amp;'5) Release_Track'!$G:$G,'5) Release_Track'!$J:$J},2,0),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F946" s="88"/>
      <c r="G946" s="92"/>
      <c r="H946" s="185"/>
      <c r="I946" s="121" t="str">
        <f t="shared" si="2"/>
        <v/>
      </c>
      <c r="J946" s="92"/>
      <c r="K946" s="92"/>
    </row>
    <row r="947">
      <c r="B947" s="97"/>
      <c r="C947" s="121" t="str">
        <f t="array" ref="C947">ifs(and(isblank($A947),isblank($B947)),"", not(iserror(vlookup($A947&amp;$B947,'5) Release_Track'!$F:$F&amp;'5) Release_Track'!$G:$G,1,0))),vlookup($A947&amp;$B947,{'5) Release_Track'!$F:$F&amp;'5) Release_Track'!$G:$G,'5) Release_Track'!$H:$H},2,0),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D947" s="121" t="str">
        <f t="array" ref="D947">ifs(and(isblank($A947),isblank($B947)),"", not(iserror(vlookup($A947&amp;$B947,'5) Release_Track'!$F:$F&amp;'5) Release_Track'!$G:$G,1,0))),vlookup($A947&amp;$B947,{'5) Release_Track'!$F:$F&amp;'5) Release_Track'!$G:$G,'5) Release_Track'!$I:$I},2,0),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E947" s="116" t="str">
        <f t="array" ref="E947">ifs(and(isblank($A947),isblank($B947)),"", not(iserror(vlookup($A947&amp;$B947,'5) Release_Track'!$F:$F&amp;'5) Release_Track'!$G:$G,1,0))),vlookup($A947&amp;$B947,{'5) Release_Track'!$F:$F&amp;'5) Release_Track'!$G:$G,'5) Release_Track'!$J:$J},2,0),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F947" s="88"/>
      <c r="G947" s="92"/>
      <c r="H947" s="185"/>
      <c r="I947" s="121" t="str">
        <f t="shared" si="2"/>
        <v/>
      </c>
      <c r="J947" s="92"/>
      <c r="K947" s="92"/>
    </row>
    <row r="948">
      <c r="B948" s="97"/>
      <c r="C948" s="121" t="str">
        <f t="array" ref="C948">ifs(and(isblank($A948),isblank($B948)),"", not(iserror(vlookup($A948&amp;$B948,'5) Release_Track'!$F:$F&amp;'5) Release_Track'!$G:$G,1,0))),vlookup($A948&amp;$B948,{'5) Release_Track'!$F:$F&amp;'5) Release_Track'!$G:$G,'5) Release_Track'!$H:$H},2,0),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D948" s="121" t="str">
        <f t="array" ref="D948">ifs(and(isblank($A948),isblank($B948)),"", not(iserror(vlookup($A948&amp;$B948,'5) Release_Track'!$F:$F&amp;'5) Release_Track'!$G:$G,1,0))),vlookup($A948&amp;$B948,{'5) Release_Track'!$F:$F&amp;'5) Release_Track'!$G:$G,'5) Release_Track'!$I:$I},2,0),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E948" s="116" t="str">
        <f t="array" ref="E948">ifs(and(isblank($A948),isblank($B948)),"", not(iserror(vlookup($A948&amp;$B948,'5) Release_Track'!$F:$F&amp;'5) Release_Track'!$G:$G,1,0))),vlookup($A948&amp;$B948,{'5) Release_Track'!$F:$F&amp;'5) Release_Track'!$G:$G,'5) Release_Track'!$J:$J},2,0),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F948" s="88"/>
      <c r="G948" s="92"/>
      <c r="H948" s="185"/>
      <c r="I948" s="121" t="str">
        <f t="shared" si="2"/>
        <v/>
      </c>
      <c r="J948" s="92"/>
      <c r="K948" s="92"/>
    </row>
    <row r="949">
      <c r="B949" s="97"/>
      <c r="C949" s="121" t="str">
        <f t="array" ref="C949">ifs(and(isblank($A949),isblank($B949)),"", not(iserror(vlookup($A949&amp;$B949,'5) Release_Track'!$F:$F&amp;'5) Release_Track'!$G:$G,1,0))),vlookup($A949&amp;$B949,{'5) Release_Track'!$F:$F&amp;'5) Release_Track'!$G:$G,'5) Release_Track'!$H:$H},2,0),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D949" s="121" t="str">
        <f t="array" ref="D949">ifs(and(isblank($A949),isblank($B949)),"", not(iserror(vlookup($A949&amp;$B949,'5) Release_Track'!$F:$F&amp;'5) Release_Track'!$G:$G,1,0))),vlookup($A949&amp;$B949,{'5) Release_Track'!$F:$F&amp;'5) Release_Track'!$G:$G,'5) Release_Track'!$I:$I},2,0),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E949" s="116" t="str">
        <f t="array" ref="E949">ifs(and(isblank($A949),isblank($B949)),"", not(iserror(vlookup($A949&amp;$B949,'5) Release_Track'!$F:$F&amp;'5) Release_Track'!$G:$G,1,0))),vlookup($A949&amp;$B949,{'5) Release_Track'!$F:$F&amp;'5) Release_Track'!$G:$G,'5) Release_Track'!$J:$J},2,0),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F949" s="88"/>
      <c r="G949" s="92"/>
      <c r="H949" s="185"/>
      <c r="I949" s="121" t="str">
        <f t="shared" si="2"/>
        <v/>
      </c>
      <c r="J949" s="92"/>
      <c r="K949" s="92"/>
    </row>
    <row r="950">
      <c r="B950" s="97"/>
      <c r="C950" s="121" t="str">
        <f t="array" ref="C950">ifs(and(isblank($A950),isblank($B950)),"", not(iserror(vlookup($A950&amp;$B950,'5) Release_Track'!$F:$F&amp;'5) Release_Track'!$G:$G,1,0))),vlookup($A950&amp;$B950,{'5) Release_Track'!$F:$F&amp;'5) Release_Track'!$G:$G,'5) Release_Track'!$H:$H},2,0),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D950" s="121" t="str">
        <f t="array" ref="D950">ifs(and(isblank($A950),isblank($B950)),"", not(iserror(vlookup($A950&amp;$B950,'5) Release_Track'!$F:$F&amp;'5) Release_Track'!$G:$G,1,0))),vlookup($A950&amp;$B950,{'5) Release_Track'!$F:$F&amp;'5) Release_Track'!$G:$G,'5) Release_Track'!$I:$I},2,0),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E950" s="116" t="str">
        <f t="array" ref="E950">ifs(and(isblank($A950),isblank($B950)),"", not(iserror(vlookup($A950&amp;$B950,'5) Release_Track'!$F:$F&amp;'5) Release_Track'!$G:$G,1,0))),vlookup($A950&amp;$B950,{'5) Release_Track'!$F:$F&amp;'5) Release_Track'!$G:$G,'5) Release_Track'!$J:$J},2,0),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F950" s="88"/>
      <c r="G950" s="92"/>
      <c r="H950" s="185"/>
      <c r="I950" s="121" t="str">
        <f t="shared" si="2"/>
        <v/>
      </c>
      <c r="J950" s="92"/>
      <c r="K950" s="92"/>
    </row>
    <row r="951">
      <c r="B951" s="97"/>
      <c r="C951" s="121" t="str">
        <f t="array" ref="C951">ifs(and(isblank($A951),isblank($B951)),"", not(iserror(vlookup($A951&amp;$B951,'5) Release_Track'!$F:$F&amp;'5) Release_Track'!$G:$G,1,0))),vlookup($A951&amp;$B951,{'5) Release_Track'!$F:$F&amp;'5) Release_Track'!$G:$G,'5) Release_Track'!$H:$H},2,0),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D951" s="121" t="str">
        <f t="array" ref="D951">ifs(and(isblank($A951),isblank($B951)),"", not(iserror(vlookup($A951&amp;$B951,'5) Release_Track'!$F:$F&amp;'5) Release_Track'!$G:$G,1,0))),vlookup($A951&amp;$B951,{'5) Release_Track'!$F:$F&amp;'5) Release_Track'!$G:$G,'5) Release_Track'!$I:$I},2,0),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E951" s="116" t="str">
        <f t="array" ref="E951">ifs(and(isblank($A951),isblank($B951)),"", not(iserror(vlookup($A951&amp;$B951,'5) Release_Track'!$F:$F&amp;'5) Release_Track'!$G:$G,1,0))),vlookup($A951&amp;$B951,{'5) Release_Track'!$F:$F&amp;'5) Release_Track'!$G:$G,'5) Release_Track'!$J:$J},2,0),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F951" s="88"/>
      <c r="G951" s="92"/>
      <c r="H951" s="185"/>
      <c r="I951" s="121" t="str">
        <f t="shared" si="2"/>
        <v/>
      </c>
      <c r="J951" s="92"/>
      <c r="K951" s="92"/>
    </row>
    <row r="952">
      <c r="B952" s="97"/>
      <c r="C952" s="121" t="str">
        <f t="array" ref="C952">ifs(and(isblank($A952),isblank($B952)),"", not(iserror(vlookup($A952&amp;$B952,'5) Release_Track'!$F:$F&amp;'5) Release_Track'!$G:$G,1,0))),vlookup($A952&amp;$B952,{'5) Release_Track'!$F:$F&amp;'5) Release_Track'!$G:$G,'5) Release_Track'!$H:$H},2,0),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D952" s="121" t="str">
        <f t="array" ref="D952">ifs(and(isblank($A952),isblank($B952)),"", not(iserror(vlookup($A952&amp;$B952,'5) Release_Track'!$F:$F&amp;'5) Release_Track'!$G:$G,1,0))),vlookup($A952&amp;$B952,{'5) Release_Track'!$F:$F&amp;'5) Release_Track'!$G:$G,'5) Release_Track'!$I:$I},2,0),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E952" s="116" t="str">
        <f t="array" ref="E952">ifs(and(isblank($A952),isblank($B952)),"", not(iserror(vlookup($A952&amp;$B952,'5) Release_Track'!$F:$F&amp;'5) Release_Track'!$G:$G,1,0))),vlookup($A952&amp;$B952,{'5) Release_Track'!$F:$F&amp;'5) Release_Track'!$G:$G,'5) Release_Track'!$J:$J},2,0),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F952" s="88"/>
      <c r="G952" s="92"/>
      <c r="H952" s="185"/>
      <c r="I952" s="121" t="str">
        <f t="shared" si="2"/>
        <v/>
      </c>
      <c r="J952" s="92"/>
      <c r="K952" s="92"/>
    </row>
    <row r="953">
      <c r="B953" s="97"/>
      <c r="C953" s="121" t="str">
        <f t="array" ref="C953">ifs(and(isblank($A953),isblank($B953)),"", not(iserror(vlookup($A953&amp;$B953,'5) Release_Track'!$F:$F&amp;'5) Release_Track'!$G:$G,1,0))),vlookup($A953&amp;$B953,{'5) Release_Track'!$F:$F&amp;'5) Release_Track'!$G:$G,'5) Release_Track'!$H:$H},2,0),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D953" s="121" t="str">
        <f t="array" ref="D953">ifs(and(isblank($A953),isblank($B953)),"", not(iserror(vlookup($A953&amp;$B953,'5) Release_Track'!$F:$F&amp;'5) Release_Track'!$G:$G,1,0))),vlookup($A953&amp;$B953,{'5) Release_Track'!$F:$F&amp;'5) Release_Track'!$G:$G,'5) Release_Track'!$I:$I},2,0),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E953" s="116" t="str">
        <f t="array" ref="E953">ifs(and(isblank($A953),isblank($B953)),"", not(iserror(vlookup($A953&amp;$B953,'5) Release_Track'!$F:$F&amp;'5) Release_Track'!$G:$G,1,0))),vlookup($A953&amp;$B953,{'5) Release_Track'!$F:$F&amp;'5) Release_Track'!$G:$G,'5) Release_Track'!$J:$J},2,0),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F953" s="88"/>
      <c r="G953" s="92"/>
      <c r="H953" s="185"/>
      <c r="I953" s="121" t="str">
        <f t="shared" si="2"/>
        <v/>
      </c>
      <c r="J953" s="92"/>
      <c r="K953" s="92"/>
    </row>
    <row r="954">
      <c r="B954" s="97"/>
      <c r="C954" s="121" t="str">
        <f t="array" ref="C954">ifs(and(isblank($A954),isblank($B954)),"", not(iserror(vlookup($A954&amp;$B954,'5) Release_Track'!$F:$F&amp;'5) Release_Track'!$G:$G,1,0))),vlookup($A954&amp;$B954,{'5) Release_Track'!$F:$F&amp;'5) Release_Track'!$G:$G,'5) Release_Track'!$H:$H},2,0),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D954" s="121" t="str">
        <f t="array" ref="D954">ifs(and(isblank($A954),isblank($B954)),"", not(iserror(vlookup($A954&amp;$B954,'5) Release_Track'!$F:$F&amp;'5) Release_Track'!$G:$G,1,0))),vlookup($A954&amp;$B954,{'5) Release_Track'!$F:$F&amp;'5) Release_Track'!$G:$G,'5) Release_Track'!$I:$I},2,0),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E954" s="116" t="str">
        <f t="array" ref="E954">ifs(and(isblank($A954),isblank($B954)),"", not(iserror(vlookup($A954&amp;$B954,'5) Release_Track'!$F:$F&amp;'5) Release_Track'!$G:$G,1,0))),vlookup($A954&amp;$B954,{'5) Release_Track'!$F:$F&amp;'5) Release_Track'!$G:$G,'5) Release_Track'!$J:$J},2,0),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F954" s="88"/>
      <c r="G954" s="92"/>
      <c r="H954" s="185"/>
      <c r="I954" s="121" t="str">
        <f t="shared" si="2"/>
        <v/>
      </c>
      <c r="J954" s="92"/>
      <c r="K954" s="92"/>
    </row>
    <row r="955">
      <c r="B955" s="97"/>
      <c r="C955" s="121" t="str">
        <f t="array" ref="C955">ifs(and(isblank($A955),isblank($B955)),"", not(iserror(vlookup($A955&amp;$B955,'5) Release_Track'!$F:$F&amp;'5) Release_Track'!$G:$G,1,0))),vlookup($A955&amp;$B955,{'5) Release_Track'!$F:$F&amp;'5) Release_Track'!$G:$G,'5) Release_Track'!$H:$H},2,0),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D955" s="121" t="str">
        <f t="array" ref="D955">ifs(and(isblank($A955),isblank($B955)),"", not(iserror(vlookup($A955&amp;$B955,'5) Release_Track'!$F:$F&amp;'5) Release_Track'!$G:$G,1,0))),vlookup($A955&amp;$B955,{'5) Release_Track'!$F:$F&amp;'5) Release_Track'!$G:$G,'5) Release_Track'!$I:$I},2,0),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E955" s="116" t="str">
        <f t="array" ref="E955">ifs(and(isblank($A955),isblank($B955)),"", not(iserror(vlookup($A955&amp;$B955,'5) Release_Track'!$F:$F&amp;'5) Release_Track'!$G:$G,1,0))),vlookup($A955&amp;$B955,{'5) Release_Track'!$F:$F&amp;'5) Release_Track'!$G:$G,'5) Release_Track'!$J:$J},2,0),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F955" s="88"/>
      <c r="G955" s="92"/>
      <c r="H955" s="185"/>
      <c r="I955" s="121" t="str">
        <f t="shared" si="2"/>
        <v/>
      </c>
      <c r="J955" s="92"/>
      <c r="K955" s="92"/>
    </row>
    <row r="956">
      <c r="B956" s="97"/>
      <c r="C956" s="121" t="str">
        <f t="array" ref="C956">ifs(and(isblank($A956),isblank($B956)),"", not(iserror(vlookup($A956&amp;$B956,'5) Release_Track'!$F:$F&amp;'5) Release_Track'!$G:$G,1,0))),vlookup($A956&amp;$B956,{'5) Release_Track'!$F:$F&amp;'5) Release_Track'!$G:$G,'5) Release_Track'!$H:$H},2,0),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D956" s="121" t="str">
        <f t="array" ref="D956">ifs(and(isblank($A956),isblank($B956)),"", not(iserror(vlookup($A956&amp;$B956,'5) Release_Track'!$F:$F&amp;'5) Release_Track'!$G:$G,1,0))),vlookup($A956&amp;$B956,{'5) Release_Track'!$F:$F&amp;'5) Release_Track'!$G:$G,'5) Release_Track'!$I:$I},2,0),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E956" s="116" t="str">
        <f t="array" ref="E956">ifs(and(isblank($A956),isblank($B956)),"", not(iserror(vlookup($A956&amp;$B956,'5) Release_Track'!$F:$F&amp;'5) Release_Track'!$G:$G,1,0))),vlookup($A956&amp;$B956,{'5) Release_Track'!$F:$F&amp;'5) Release_Track'!$G:$G,'5) Release_Track'!$J:$J},2,0),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F956" s="88"/>
      <c r="G956" s="92"/>
      <c r="H956" s="185"/>
      <c r="I956" s="121" t="str">
        <f t="shared" si="2"/>
        <v/>
      </c>
      <c r="J956" s="92"/>
      <c r="K956" s="92"/>
    </row>
    <row r="957">
      <c r="B957" s="97"/>
      <c r="C957" s="121" t="str">
        <f t="array" ref="C957">ifs(and(isblank($A957),isblank($B957)),"", not(iserror(vlookup($A957&amp;$B957,'5) Release_Track'!$F:$F&amp;'5) Release_Track'!$G:$G,1,0))),vlookup($A957&amp;$B957,{'5) Release_Track'!$F:$F&amp;'5) Release_Track'!$G:$G,'5) Release_Track'!$H:$H},2,0),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D957" s="121" t="str">
        <f t="array" ref="D957">ifs(and(isblank($A957),isblank($B957)),"", not(iserror(vlookup($A957&amp;$B957,'5) Release_Track'!$F:$F&amp;'5) Release_Track'!$G:$G,1,0))),vlookup($A957&amp;$B957,{'5) Release_Track'!$F:$F&amp;'5) Release_Track'!$G:$G,'5) Release_Track'!$I:$I},2,0),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E957" s="116" t="str">
        <f t="array" ref="E957">ifs(and(isblank($A957),isblank($B957)),"", not(iserror(vlookup($A957&amp;$B957,'5) Release_Track'!$F:$F&amp;'5) Release_Track'!$G:$G,1,0))),vlookup($A957&amp;$B957,{'5) Release_Track'!$F:$F&amp;'5) Release_Track'!$G:$G,'5) Release_Track'!$J:$J},2,0),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F957" s="88"/>
      <c r="G957" s="92"/>
      <c r="H957" s="185"/>
      <c r="I957" s="121" t="str">
        <f t="shared" si="2"/>
        <v/>
      </c>
      <c r="J957" s="92"/>
      <c r="K957" s="92"/>
    </row>
    <row r="958">
      <c r="B958" s="97"/>
      <c r="C958" s="121" t="str">
        <f t="array" ref="C958">ifs(and(isblank($A958),isblank($B958)),"", not(iserror(vlookup($A958&amp;$B958,'5) Release_Track'!$F:$F&amp;'5) Release_Track'!$G:$G,1,0))),vlookup($A958&amp;$B958,{'5) Release_Track'!$F:$F&amp;'5) Release_Track'!$G:$G,'5) Release_Track'!$H:$H},2,0),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D958" s="121" t="str">
        <f t="array" ref="D958">ifs(and(isblank($A958),isblank($B958)),"", not(iserror(vlookup($A958&amp;$B958,'5) Release_Track'!$F:$F&amp;'5) Release_Track'!$G:$G,1,0))),vlookup($A958&amp;$B958,{'5) Release_Track'!$F:$F&amp;'5) Release_Track'!$G:$G,'5) Release_Track'!$I:$I},2,0),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E958" s="116" t="str">
        <f t="array" ref="E958">ifs(and(isblank($A958),isblank($B958)),"", not(iserror(vlookup($A958&amp;$B958,'5) Release_Track'!$F:$F&amp;'5) Release_Track'!$G:$G,1,0))),vlookup($A958&amp;$B958,{'5) Release_Track'!$F:$F&amp;'5) Release_Track'!$G:$G,'5) Release_Track'!$J:$J},2,0),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F958" s="88"/>
      <c r="G958" s="92"/>
      <c r="H958" s="185"/>
      <c r="I958" s="121" t="str">
        <f t="shared" si="2"/>
        <v/>
      </c>
      <c r="J958" s="92"/>
      <c r="K958" s="92"/>
    </row>
    <row r="959">
      <c r="B959" s="97"/>
      <c r="C959" s="121" t="str">
        <f t="array" ref="C959">ifs(and(isblank($A959),isblank($B959)),"", not(iserror(vlookup($A959&amp;$B959,'5) Release_Track'!$F:$F&amp;'5) Release_Track'!$G:$G,1,0))),vlookup($A959&amp;$B959,{'5) Release_Track'!$F:$F&amp;'5) Release_Track'!$G:$G,'5) Release_Track'!$H:$H},2,0),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D959" s="121" t="str">
        <f t="array" ref="D959">ifs(and(isblank($A959),isblank($B959)),"", not(iserror(vlookup($A959&amp;$B959,'5) Release_Track'!$F:$F&amp;'5) Release_Track'!$G:$G,1,0))),vlookup($A959&amp;$B959,{'5) Release_Track'!$F:$F&amp;'5) Release_Track'!$G:$G,'5) Release_Track'!$I:$I},2,0),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E959" s="116" t="str">
        <f t="array" ref="E959">ifs(and(isblank($A959),isblank($B959)),"", not(iserror(vlookup($A959&amp;$B959,'5) Release_Track'!$F:$F&amp;'5) Release_Track'!$G:$G,1,0))),vlookup($A959&amp;$B959,{'5) Release_Track'!$F:$F&amp;'5) Release_Track'!$G:$G,'5) Release_Track'!$J:$J},2,0),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F959" s="88"/>
      <c r="G959" s="92"/>
      <c r="H959" s="185"/>
      <c r="I959" s="121" t="str">
        <f t="shared" si="2"/>
        <v/>
      </c>
      <c r="J959" s="92"/>
      <c r="K959" s="92"/>
    </row>
    <row r="960">
      <c r="B960" s="97"/>
      <c r="C960" s="121" t="str">
        <f t="array" ref="C960">ifs(and(isblank($A960),isblank($B960)),"", not(iserror(vlookup($A960&amp;$B960,'5) Release_Track'!$F:$F&amp;'5) Release_Track'!$G:$G,1,0))),vlookup($A960&amp;$B960,{'5) Release_Track'!$F:$F&amp;'5) Release_Track'!$G:$G,'5) Release_Track'!$H:$H},2,0),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D960" s="121" t="str">
        <f t="array" ref="D960">ifs(and(isblank($A960),isblank($B960)),"", not(iserror(vlookup($A960&amp;$B960,'5) Release_Track'!$F:$F&amp;'5) Release_Track'!$G:$G,1,0))),vlookup($A960&amp;$B960,{'5) Release_Track'!$F:$F&amp;'5) Release_Track'!$G:$G,'5) Release_Track'!$I:$I},2,0),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E960" s="116" t="str">
        <f t="array" ref="E960">ifs(and(isblank($A960),isblank($B960)),"", not(iserror(vlookup($A960&amp;$B960,'5) Release_Track'!$F:$F&amp;'5) Release_Track'!$G:$G,1,0))),vlookup($A960&amp;$B960,{'5) Release_Track'!$F:$F&amp;'5) Release_Track'!$G:$G,'5) Release_Track'!$J:$J},2,0),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F960" s="88"/>
      <c r="G960" s="92"/>
      <c r="H960" s="185"/>
      <c r="I960" s="121" t="str">
        <f t="shared" si="2"/>
        <v/>
      </c>
      <c r="J960" s="92"/>
      <c r="K960" s="92"/>
    </row>
    <row r="961">
      <c r="B961" s="97"/>
      <c r="C961" s="121" t="str">
        <f t="array" ref="C961">ifs(and(isblank($A961),isblank($B961)),"", not(iserror(vlookup($A961&amp;$B961,'5) Release_Track'!$F:$F&amp;'5) Release_Track'!$G:$G,1,0))),vlookup($A961&amp;$B961,{'5) Release_Track'!$F:$F&amp;'5) Release_Track'!$G:$G,'5) Release_Track'!$H:$H},2,0),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D961" s="121" t="str">
        <f t="array" ref="D961">ifs(and(isblank($A961),isblank($B961)),"", not(iserror(vlookup($A961&amp;$B961,'5) Release_Track'!$F:$F&amp;'5) Release_Track'!$G:$G,1,0))),vlookup($A961&amp;$B961,{'5) Release_Track'!$F:$F&amp;'5) Release_Track'!$G:$G,'5) Release_Track'!$I:$I},2,0),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E961" s="116" t="str">
        <f t="array" ref="E961">ifs(and(isblank($A961),isblank($B961)),"", not(iserror(vlookup($A961&amp;$B961,'5) Release_Track'!$F:$F&amp;'5) Release_Track'!$G:$G,1,0))),vlookup($A961&amp;$B961,{'5) Release_Track'!$F:$F&amp;'5) Release_Track'!$G:$G,'5) Release_Track'!$J:$J},2,0),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F961" s="88"/>
      <c r="G961" s="92"/>
      <c r="H961" s="185"/>
      <c r="I961" s="121" t="str">
        <f t="shared" si="2"/>
        <v/>
      </c>
      <c r="J961" s="92"/>
      <c r="K961" s="92"/>
    </row>
    <row r="962">
      <c r="B962" s="97"/>
      <c r="C962" s="121" t="str">
        <f t="array" ref="C962">ifs(and(isblank($A962),isblank($B962)),"", not(iserror(vlookup($A962&amp;$B962,'5) Release_Track'!$F:$F&amp;'5) Release_Track'!$G:$G,1,0))),vlookup($A962&amp;$B962,{'5) Release_Track'!$F:$F&amp;'5) Release_Track'!$G:$G,'5) Release_Track'!$H:$H},2,0),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D962" s="121" t="str">
        <f t="array" ref="D962">ifs(and(isblank($A962),isblank($B962)),"", not(iserror(vlookup($A962&amp;$B962,'5) Release_Track'!$F:$F&amp;'5) Release_Track'!$G:$G,1,0))),vlookup($A962&amp;$B962,{'5) Release_Track'!$F:$F&amp;'5) Release_Track'!$G:$G,'5) Release_Track'!$I:$I},2,0),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E962" s="116" t="str">
        <f t="array" ref="E962">ifs(and(isblank($A962),isblank($B962)),"", not(iserror(vlookup($A962&amp;$B962,'5) Release_Track'!$F:$F&amp;'5) Release_Track'!$G:$G,1,0))),vlookup($A962&amp;$B962,{'5) Release_Track'!$F:$F&amp;'5) Release_Track'!$G:$G,'5) Release_Track'!$J:$J},2,0),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F962" s="88"/>
      <c r="G962" s="92"/>
      <c r="H962" s="185"/>
      <c r="I962" s="121" t="str">
        <f t="shared" si="2"/>
        <v/>
      </c>
      <c r="J962" s="92"/>
      <c r="K962" s="92"/>
    </row>
    <row r="963">
      <c r="B963" s="97"/>
      <c r="C963" s="121" t="str">
        <f t="array" ref="C963">ifs(and(isblank($A963),isblank($B963)),"", not(iserror(vlookup($A963&amp;$B963,'5) Release_Track'!$F:$F&amp;'5) Release_Track'!$G:$G,1,0))),vlookup($A963&amp;$B963,{'5) Release_Track'!$F:$F&amp;'5) Release_Track'!$G:$G,'5) Release_Track'!$H:$H},2,0),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D963" s="121" t="str">
        <f t="array" ref="D963">ifs(and(isblank($A963),isblank($B963)),"", not(iserror(vlookup($A963&amp;$B963,'5) Release_Track'!$F:$F&amp;'5) Release_Track'!$G:$G,1,0))),vlookup($A963&amp;$B963,{'5) Release_Track'!$F:$F&amp;'5) Release_Track'!$G:$G,'5) Release_Track'!$I:$I},2,0),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E963" s="116" t="str">
        <f t="array" ref="E963">ifs(and(isblank($A963),isblank($B963)),"", not(iserror(vlookup($A963&amp;$B963,'5) Release_Track'!$F:$F&amp;'5) Release_Track'!$G:$G,1,0))),vlookup($A963&amp;$B963,{'5) Release_Track'!$F:$F&amp;'5) Release_Track'!$G:$G,'5) Release_Track'!$J:$J},2,0),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F963" s="88"/>
      <c r="G963" s="92"/>
      <c r="H963" s="185"/>
      <c r="I963" s="121" t="str">
        <f t="shared" si="2"/>
        <v/>
      </c>
      <c r="J963" s="92"/>
      <c r="K963" s="92"/>
    </row>
    <row r="964">
      <c r="B964" s="97"/>
      <c r="C964" s="121" t="str">
        <f t="array" ref="C964">ifs(and(isblank($A964),isblank($B964)),"", not(iserror(vlookup($A964&amp;$B964,'5) Release_Track'!$F:$F&amp;'5) Release_Track'!$G:$G,1,0))),vlookup($A964&amp;$B964,{'5) Release_Track'!$F:$F&amp;'5) Release_Track'!$G:$G,'5) Release_Track'!$H:$H},2,0),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D964" s="121" t="str">
        <f t="array" ref="D964">ifs(and(isblank($A964),isblank($B964)),"", not(iserror(vlookup($A964&amp;$B964,'5) Release_Track'!$F:$F&amp;'5) Release_Track'!$G:$G,1,0))),vlookup($A964&amp;$B964,{'5) Release_Track'!$F:$F&amp;'5) Release_Track'!$G:$G,'5) Release_Track'!$I:$I},2,0),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E964" s="116" t="str">
        <f t="array" ref="E964">ifs(and(isblank($A964),isblank($B964)),"", not(iserror(vlookup($A964&amp;$B964,'5) Release_Track'!$F:$F&amp;'5) Release_Track'!$G:$G,1,0))),vlookup($A964&amp;$B964,{'5) Release_Track'!$F:$F&amp;'5) Release_Track'!$G:$G,'5) Release_Track'!$J:$J},2,0),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F964" s="88"/>
      <c r="G964" s="92"/>
      <c r="H964" s="185"/>
      <c r="I964" s="121" t="str">
        <f t="shared" si="2"/>
        <v/>
      </c>
      <c r="J964" s="92"/>
      <c r="K964" s="92"/>
    </row>
    <row r="965">
      <c r="B965" s="97"/>
      <c r="C965" s="121" t="str">
        <f t="array" ref="C965">ifs(and(isblank($A965),isblank($B965)),"", not(iserror(vlookup($A965&amp;$B965,'5) Release_Track'!$F:$F&amp;'5) Release_Track'!$G:$G,1,0))),vlookup($A965&amp;$B965,{'5) Release_Track'!$F:$F&amp;'5) Release_Track'!$G:$G,'5) Release_Track'!$H:$H},2,0),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D965" s="121" t="str">
        <f t="array" ref="D965">ifs(and(isblank($A965),isblank($B965)),"", not(iserror(vlookup($A965&amp;$B965,'5) Release_Track'!$F:$F&amp;'5) Release_Track'!$G:$G,1,0))),vlookup($A965&amp;$B965,{'5) Release_Track'!$F:$F&amp;'5) Release_Track'!$G:$G,'5) Release_Track'!$I:$I},2,0),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E965" s="116" t="str">
        <f t="array" ref="E965">ifs(and(isblank($A965),isblank($B965)),"", not(iserror(vlookup($A965&amp;$B965,'5) Release_Track'!$F:$F&amp;'5) Release_Track'!$G:$G,1,0))),vlookup($A965&amp;$B965,{'5) Release_Track'!$F:$F&amp;'5) Release_Track'!$G:$G,'5) Release_Track'!$J:$J},2,0),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F965" s="88"/>
      <c r="G965" s="92"/>
      <c r="H965" s="185"/>
      <c r="I965" s="121" t="str">
        <f t="shared" si="2"/>
        <v/>
      </c>
      <c r="J965" s="92"/>
      <c r="K965" s="92"/>
    </row>
    <row r="966">
      <c r="B966" s="97"/>
      <c r="C966" s="121" t="str">
        <f t="array" ref="C966">ifs(and(isblank($A966),isblank($B966)),"", not(iserror(vlookup($A966&amp;$B966,'5) Release_Track'!$F:$F&amp;'5) Release_Track'!$G:$G,1,0))),vlookup($A966&amp;$B966,{'5) Release_Track'!$F:$F&amp;'5) Release_Track'!$G:$G,'5) Release_Track'!$H:$H},2,0),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D966" s="121" t="str">
        <f t="array" ref="D966">ifs(and(isblank($A966),isblank($B966)),"", not(iserror(vlookup($A966&amp;$B966,'5) Release_Track'!$F:$F&amp;'5) Release_Track'!$G:$G,1,0))),vlookup($A966&amp;$B966,{'5) Release_Track'!$F:$F&amp;'5) Release_Track'!$G:$G,'5) Release_Track'!$I:$I},2,0),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E966" s="116" t="str">
        <f t="array" ref="E966">ifs(and(isblank($A966),isblank($B966)),"", not(iserror(vlookup($A966&amp;$B966,'5) Release_Track'!$F:$F&amp;'5) Release_Track'!$G:$G,1,0))),vlookup($A966&amp;$B966,{'5) Release_Track'!$F:$F&amp;'5) Release_Track'!$G:$G,'5) Release_Track'!$J:$J},2,0),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F966" s="88"/>
      <c r="G966" s="92"/>
      <c r="H966" s="185"/>
      <c r="I966" s="121" t="str">
        <f t="shared" si="2"/>
        <v/>
      </c>
      <c r="J966" s="92"/>
      <c r="K966" s="92"/>
    </row>
    <row r="967">
      <c r="B967" s="97"/>
      <c r="C967" s="121" t="str">
        <f t="array" ref="C967">ifs(and(isblank($A967),isblank($B967)),"", not(iserror(vlookup($A967&amp;$B967,'5) Release_Track'!$F:$F&amp;'5) Release_Track'!$G:$G,1,0))),vlookup($A967&amp;$B967,{'5) Release_Track'!$F:$F&amp;'5) Release_Track'!$G:$G,'5) Release_Track'!$H:$H},2,0),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D967" s="121" t="str">
        <f t="array" ref="D967">ifs(and(isblank($A967),isblank($B967)),"", not(iserror(vlookup($A967&amp;$B967,'5) Release_Track'!$F:$F&amp;'5) Release_Track'!$G:$G,1,0))),vlookup($A967&amp;$B967,{'5) Release_Track'!$F:$F&amp;'5) Release_Track'!$G:$G,'5) Release_Track'!$I:$I},2,0),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E967" s="116" t="str">
        <f t="array" ref="E967">ifs(and(isblank($A967),isblank($B967)),"", not(iserror(vlookup($A967&amp;$B967,'5) Release_Track'!$F:$F&amp;'5) Release_Track'!$G:$G,1,0))),vlookup($A967&amp;$B967,{'5) Release_Track'!$F:$F&amp;'5) Release_Track'!$G:$G,'5) Release_Track'!$J:$J},2,0),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F967" s="88"/>
      <c r="G967" s="92"/>
      <c r="H967" s="185"/>
      <c r="I967" s="121" t="str">
        <f t="shared" si="2"/>
        <v/>
      </c>
      <c r="J967" s="92"/>
      <c r="K967" s="92"/>
    </row>
    <row r="968">
      <c r="B968" s="97"/>
      <c r="C968" s="121" t="str">
        <f t="array" ref="C968">ifs(and(isblank($A968),isblank($B968)),"", not(iserror(vlookup($A968&amp;$B968,'5) Release_Track'!$F:$F&amp;'5) Release_Track'!$G:$G,1,0))),vlookup($A968&amp;$B968,{'5) Release_Track'!$F:$F&amp;'5) Release_Track'!$G:$G,'5) Release_Track'!$H:$H},2,0),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D968" s="121" t="str">
        <f t="array" ref="D968">ifs(and(isblank($A968),isblank($B968)),"", not(iserror(vlookup($A968&amp;$B968,'5) Release_Track'!$F:$F&amp;'5) Release_Track'!$G:$G,1,0))),vlookup($A968&amp;$B968,{'5) Release_Track'!$F:$F&amp;'5) Release_Track'!$G:$G,'5) Release_Track'!$I:$I},2,0),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E968" s="116" t="str">
        <f t="array" ref="E968">ifs(and(isblank($A968),isblank($B968)),"", not(iserror(vlookup($A968&amp;$B968,'5) Release_Track'!$F:$F&amp;'5) Release_Track'!$G:$G,1,0))),vlookup($A968&amp;$B968,{'5) Release_Track'!$F:$F&amp;'5) Release_Track'!$G:$G,'5) Release_Track'!$J:$J},2,0),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F968" s="88"/>
      <c r="G968" s="92"/>
      <c r="H968" s="185"/>
      <c r="I968" s="121" t="str">
        <f t="shared" si="2"/>
        <v/>
      </c>
      <c r="J968" s="92"/>
      <c r="K968" s="92"/>
    </row>
    <row r="969">
      <c r="B969" s="97"/>
      <c r="C969" s="121" t="str">
        <f t="array" ref="C969">ifs(and(isblank($A969),isblank($B969)),"", not(iserror(vlookup($A969&amp;$B969,'5) Release_Track'!$F:$F&amp;'5) Release_Track'!$G:$G,1,0))),vlookup($A969&amp;$B969,{'5) Release_Track'!$F:$F&amp;'5) Release_Track'!$G:$G,'5) Release_Track'!$H:$H},2,0),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D969" s="121" t="str">
        <f t="array" ref="D969">ifs(and(isblank($A969),isblank($B969)),"", not(iserror(vlookup($A969&amp;$B969,'5) Release_Track'!$F:$F&amp;'5) Release_Track'!$G:$G,1,0))),vlookup($A969&amp;$B969,{'5) Release_Track'!$F:$F&amp;'5) Release_Track'!$G:$G,'5) Release_Track'!$I:$I},2,0),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E969" s="116" t="str">
        <f t="array" ref="E969">ifs(and(isblank($A969),isblank($B969)),"", not(iserror(vlookup($A969&amp;$B969,'5) Release_Track'!$F:$F&amp;'5) Release_Track'!$G:$G,1,0))),vlookup($A969&amp;$B969,{'5) Release_Track'!$F:$F&amp;'5) Release_Track'!$G:$G,'5) Release_Track'!$J:$J},2,0),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F969" s="88"/>
      <c r="G969" s="92"/>
      <c r="H969" s="185"/>
      <c r="I969" s="121" t="str">
        <f t="shared" si="2"/>
        <v/>
      </c>
      <c r="J969" s="92"/>
      <c r="K969" s="92"/>
    </row>
    <row r="970">
      <c r="B970" s="97"/>
      <c r="C970" s="121" t="str">
        <f t="array" ref="C970">ifs(and(isblank($A970),isblank($B970)),"", not(iserror(vlookup($A970&amp;$B970,'5) Release_Track'!$F:$F&amp;'5) Release_Track'!$G:$G,1,0))),vlookup($A970&amp;$B970,{'5) Release_Track'!$F:$F&amp;'5) Release_Track'!$G:$G,'5) Release_Track'!$H:$H},2,0),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D970" s="121" t="str">
        <f t="array" ref="D970">ifs(and(isblank($A970),isblank($B970)),"", not(iserror(vlookup($A970&amp;$B970,'5) Release_Track'!$F:$F&amp;'5) Release_Track'!$G:$G,1,0))),vlookup($A970&amp;$B970,{'5) Release_Track'!$F:$F&amp;'5) Release_Track'!$G:$G,'5) Release_Track'!$I:$I},2,0),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E970" s="116" t="str">
        <f t="array" ref="E970">ifs(and(isblank($A970),isblank($B970)),"", not(iserror(vlookup($A970&amp;$B970,'5) Release_Track'!$F:$F&amp;'5) Release_Track'!$G:$G,1,0))),vlookup($A970&amp;$B970,{'5) Release_Track'!$F:$F&amp;'5) Release_Track'!$G:$G,'5) Release_Track'!$J:$J},2,0),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F970" s="88"/>
      <c r="G970" s="92"/>
      <c r="H970" s="185"/>
      <c r="I970" s="121" t="str">
        <f t="shared" si="2"/>
        <v/>
      </c>
      <c r="J970" s="92"/>
      <c r="K970" s="92"/>
    </row>
    <row r="971">
      <c r="B971" s="97"/>
      <c r="C971" s="121" t="str">
        <f t="array" ref="C971">ifs(and(isblank($A971),isblank($B971)),"", not(iserror(vlookup($A971&amp;$B971,'5) Release_Track'!$F:$F&amp;'5) Release_Track'!$G:$G,1,0))),vlookup($A971&amp;$B971,{'5) Release_Track'!$F:$F&amp;'5) Release_Track'!$G:$G,'5) Release_Track'!$H:$H},2,0),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D971" s="121" t="str">
        <f t="array" ref="D971">ifs(and(isblank($A971),isblank($B971)),"", not(iserror(vlookup($A971&amp;$B971,'5) Release_Track'!$F:$F&amp;'5) Release_Track'!$G:$G,1,0))),vlookup($A971&amp;$B971,{'5) Release_Track'!$F:$F&amp;'5) Release_Track'!$G:$G,'5) Release_Track'!$I:$I},2,0),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E971" s="116" t="str">
        <f t="array" ref="E971">ifs(and(isblank($A971),isblank($B971)),"", not(iserror(vlookup($A971&amp;$B971,'5) Release_Track'!$F:$F&amp;'5) Release_Track'!$G:$G,1,0))),vlookup($A971&amp;$B971,{'5) Release_Track'!$F:$F&amp;'5) Release_Track'!$G:$G,'5) Release_Track'!$J:$J},2,0),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F971" s="88"/>
      <c r="G971" s="92"/>
      <c r="H971" s="185"/>
      <c r="I971" s="121" t="str">
        <f t="shared" si="2"/>
        <v/>
      </c>
      <c r="J971" s="92"/>
      <c r="K971" s="92"/>
    </row>
    <row r="972">
      <c r="B972" s="97"/>
      <c r="C972" s="121" t="str">
        <f t="array" ref="C972">ifs(and(isblank($A972),isblank($B972)),"", not(iserror(vlookup($A972&amp;$B972,'5) Release_Track'!$F:$F&amp;'5) Release_Track'!$G:$G,1,0))),vlookup($A972&amp;$B972,{'5) Release_Track'!$F:$F&amp;'5) Release_Track'!$G:$G,'5) Release_Track'!$H:$H},2,0),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D972" s="121" t="str">
        <f t="array" ref="D972">ifs(and(isblank($A972),isblank($B972)),"", not(iserror(vlookup($A972&amp;$B972,'5) Release_Track'!$F:$F&amp;'5) Release_Track'!$G:$G,1,0))),vlookup($A972&amp;$B972,{'5) Release_Track'!$F:$F&amp;'5) Release_Track'!$G:$G,'5) Release_Track'!$I:$I},2,0),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E972" s="116" t="str">
        <f t="array" ref="E972">ifs(and(isblank($A972),isblank($B972)),"", not(iserror(vlookup($A972&amp;$B972,'5) Release_Track'!$F:$F&amp;'5) Release_Track'!$G:$G,1,0))),vlookup($A972&amp;$B972,{'5) Release_Track'!$F:$F&amp;'5) Release_Track'!$G:$G,'5) Release_Track'!$J:$J},2,0),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F972" s="88"/>
      <c r="G972" s="92"/>
      <c r="H972" s="185"/>
      <c r="I972" s="121" t="str">
        <f t="shared" si="2"/>
        <v/>
      </c>
      <c r="J972" s="92"/>
      <c r="K972" s="92"/>
    </row>
    <row r="973">
      <c r="B973" s="97"/>
      <c r="C973" s="121" t="str">
        <f t="array" ref="C973">ifs(and(isblank($A973),isblank($B973)),"", not(iserror(vlookup($A973&amp;$B973,'5) Release_Track'!$F:$F&amp;'5) Release_Track'!$G:$G,1,0))),vlookup($A973&amp;$B973,{'5) Release_Track'!$F:$F&amp;'5) Release_Track'!$G:$G,'5) Release_Track'!$H:$H},2,0),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D973" s="121" t="str">
        <f t="array" ref="D973">ifs(and(isblank($A973),isblank($B973)),"", not(iserror(vlookup($A973&amp;$B973,'5) Release_Track'!$F:$F&amp;'5) Release_Track'!$G:$G,1,0))),vlookup($A973&amp;$B973,{'5) Release_Track'!$F:$F&amp;'5) Release_Track'!$G:$G,'5) Release_Track'!$I:$I},2,0),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E973" s="116" t="str">
        <f t="array" ref="E973">ifs(and(isblank($A973),isblank($B973)),"", not(iserror(vlookup($A973&amp;$B973,'5) Release_Track'!$F:$F&amp;'5) Release_Track'!$G:$G,1,0))),vlookup($A973&amp;$B973,{'5) Release_Track'!$F:$F&amp;'5) Release_Track'!$G:$G,'5) Release_Track'!$J:$J},2,0),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F973" s="88"/>
      <c r="G973" s="92"/>
      <c r="H973" s="185"/>
      <c r="I973" s="121" t="str">
        <f t="shared" si="2"/>
        <v/>
      </c>
      <c r="J973" s="92"/>
      <c r="K973" s="92"/>
    </row>
    <row r="974">
      <c r="B974" s="97"/>
      <c r="C974" s="121" t="str">
        <f t="array" ref="C974">ifs(and(isblank($A974),isblank($B974)),"", not(iserror(vlookup($A974&amp;$B974,'5) Release_Track'!$F:$F&amp;'5) Release_Track'!$G:$G,1,0))),vlookup($A974&amp;$B974,{'5) Release_Track'!$F:$F&amp;'5) Release_Track'!$G:$G,'5) Release_Track'!$H:$H},2,0),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D974" s="121" t="str">
        <f t="array" ref="D974">ifs(and(isblank($A974),isblank($B974)),"", not(iserror(vlookup($A974&amp;$B974,'5) Release_Track'!$F:$F&amp;'5) Release_Track'!$G:$G,1,0))),vlookup($A974&amp;$B974,{'5) Release_Track'!$F:$F&amp;'5) Release_Track'!$G:$G,'5) Release_Track'!$I:$I},2,0),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E974" s="116" t="str">
        <f t="array" ref="E974">ifs(and(isblank($A974),isblank($B974)),"", not(iserror(vlookup($A974&amp;$B974,'5) Release_Track'!$F:$F&amp;'5) Release_Track'!$G:$G,1,0))),vlookup($A974&amp;$B974,{'5) Release_Track'!$F:$F&amp;'5) Release_Track'!$G:$G,'5) Release_Track'!$J:$J},2,0),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F974" s="88"/>
      <c r="G974" s="92"/>
      <c r="H974" s="185"/>
      <c r="I974" s="121" t="str">
        <f t="shared" si="2"/>
        <v/>
      </c>
      <c r="J974" s="92"/>
      <c r="K974" s="92"/>
    </row>
    <row r="975">
      <c r="B975" s="97"/>
      <c r="C975" s="121" t="str">
        <f t="array" ref="C975">ifs(and(isblank($A975),isblank($B975)),"", not(iserror(vlookup($A975&amp;$B975,'5) Release_Track'!$F:$F&amp;'5) Release_Track'!$G:$G,1,0))),vlookup($A975&amp;$B975,{'5) Release_Track'!$F:$F&amp;'5) Release_Track'!$G:$G,'5) Release_Track'!$H:$H},2,0),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D975" s="121" t="str">
        <f t="array" ref="D975">ifs(and(isblank($A975),isblank($B975)),"", not(iserror(vlookup($A975&amp;$B975,'5) Release_Track'!$F:$F&amp;'5) Release_Track'!$G:$G,1,0))),vlookup($A975&amp;$B975,{'5) Release_Track'!$F:$F&amp;'5) Release_Track'!$G:$G,'5) Release_Track'!$I:$I},2,0),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E975" s="116" t="str">
        <f t="array" ref="E975">ifs(and(isblank($A975),isblank($B975)),"", not(iserror(vlookup($A975&amp;$B975,'5) Release_Track'!$F:$F&amp;'5) Release_Track'!$G:$G,1,0))),vlookup($A975&amp;$B975,{'5) Release_Track'!$F:$F&amp;'5) Release_Track'!$G:$G,'5) Release_Track'!$J:$J},2,0),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F975" s="88"/>
      <c r="G975" s="92"/>
      <c r="H975" s="185"/>
      <c r="I975" s="121" t="str">
        <f t="shared" si="2"/>
        <v/>
      </c>
      <c r="J975" s="92"/>
      <c r="K975" s="92"/>
    </row>
    <row r="976">
      <c r="B976" s="97"/>
      <c r="C976" s="121" t="str">
        <f t="array" ref="C976">ifs(and(isblank($A976),isblank($B976)),"", not(iserror(vlookup($A976&amp;$B976,'5) Release_Track'!$F:$F&amp;'5) Release_Track'!$G:$G,1,0))),vlookup($A976&amp;$B976,{'5) Release_Track'!$F:$F&amp;'5) Release_Track'!$G:$G,'5) Release_Track'!$H:$H},2,0),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D976" s="121" t="str">
        <f t="array" ref="D976">ifs(and(isblank($A976),isblank($B976)),"", not(iserror(vlookup($A976&amp;$B976,'5) Release_Track'!$F:$F&amp;'5) Release_Track'!$G:$G,1,0))),vlookup($A976&amp;$B976,{'5) Release_Track'!$F:$F&amp;'5) Release_Track'!$G:$G,'5) Release_Track'!$I:$I},2,0),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E976" s="116" t="str">
        <f t="array" ref="E976">ifs(and(isblank($A976),isblank($B976)),"", not(iserror(vlookup($A976&amp;$B976,'5) Release_Track'!$F:$F&amp;'5) Release_Track'!$G:$G,1,0))),vlookup($A976&amp;$B976,{'5) Release_Track'!$F:$F&amp;'5) Release_Track'!$G:$G,'5) Release_Track'!$J:$J},2,0),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F976" s="88"/>
      <c r="G976" s="92"/>
      <c r="H976" s="185"/>
      <c r="I976" s="121" t="str">
        <f t="shared" si="2"/>
        <v/>
      </c>
      <c r="J976" s="92"/>
      <c r="K976" s="92"/>
    </row>
    <row r="977">
      <c r="B977" s="97"/>
      <c r="C977" s="121" t="str">
        <f t="array" ref="C977">ifs(and(isblank($A977),isblank($B977)),"", not(iserror(vlookup($A977&amp;$B977,'5) Release_Track'!$F:$F&amp;'5) Release_Track'!$G:$G,1,0))),vlookup($A977&amp;$B977,{'5) Release_Track'!$F:$F&amp;'5) Release_Track'!$G:$G,'5) Release_Track'!$H:$H},2,0),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D977" s="121" t="str">
        <f t="array" ref="D977">ifs(and(isblank($A977),isblank($B977)),"", not(iserror(vlookup($A977&amp;$B977,'5) Release_Track'!$F:$F&amp;'5) Release_Track'!$G:$G,1,0))),vlookup($A977&amp;$B977,{'5) Release_Track'!$F:$F&amp;'5) Release_Track'!$G:$G,'5) Release_Track'!$I:$I},2,0),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E977" s="116" t="str">
        <f t="array" ref="E977">ifs(and(isblank($A977),isblank($B977)),"", not(iserror(vlookup($A977&amp;$B977,'5) Release_Track'!$F:$F&amp;'5) Release_Track'!$G:$G,1,0))),vlookup($A977&amp;$B977,{'5) Release_Track'!$F:$F&amp;'5) Release_Track'!$G:$G,'5) Release_Track'!$J:$J},2,0),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F977" s="88"/>
      <c r="G977" s="92"/>
      <c r="H977" s="185"/>
      <c r="I977" s="121" t="str">
        <f t="shared" si="2"/>
        <v/>
      </c>
      <c r="J977" s="92"/>
      <c r="K977" s="92"/>
    </row>
    <row r="978">
      <c r="B978" s="97"/>
      <c r="C978" s="121" t="str">
        <f t="array" ref="C978">ifs(and(isblank($A978),isblank($B978)),"", not(iserror(vlookup($A978&amp;$B978,'5) Release_Track'!$F:$F&amp;'5) Release_Track'!$G:$G,1,0))),vlookup($A978&amp;$B978,{'5) Release_Track'!$F:$F&amp;'5) Release_Track'!$G:$G,'5) Release_Track'!$H:$H},2,0),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D978" s="121" t="str">
        <f t="array" ref="D978">ifs(and(isblank($A978),isblank($B978)),"", not(iserror(vlookup($A978&amp;$B978,'5) Release_Track'!$F:$F&amp;'5) Release_Track'!$G:$G,1,0))),vlookup($A978&amp;$B978,{'5) Release_Track'!$F:$F&amp;'5) Release_Track'!$G:$G,'5) Release_Track'!$I:$I},2,0),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E978" s="116" t="str">
        <f t="array" ref="E978">ifs(and(isblank($A978),isblank($B978)),"", not(iserror(vlookup($A978&amp;$B978,'5) Release_Track'!$F:$F&amp;'5) Release_Track'!$G:$G,1,0))),vlookup($A978&amp;$B978,{'5) Release_Track'!$F:$F&amp;'5) Release_Track'!$G:$G,'5) Release_Track'!$J:$J},2,0),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F978" s="88"/>
      <c r="G978" s="92"/>
      <c r="H978" s="185"/>
      <c r="I978" s="121" t="str">
        <f t="shared" si="2"/>
        <v/>
      </c>
      <c r="J978" s="92"/>
      <c r="K978" s="92"/>
    </row>
    <row r="979">
      <c r="B979" s="97"/>
      <c r="C979" s="121" t="str">
        <f t="array" ref="C979">ifs(and(isblank($A979),isblank($B979)),"", not(iserror(vlookup($A979&amp;$B979,'5) Release_Track'!$F:$F&amp;'5) Release_Track'!$G:$G,1,0))),vlookup($A979&amp;$B979,{'5) Release_Track'!$F:$F&amp;'5) Release_Track'!$G:$G,'5) Release_Track'!$H:$H},2,0),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D979" s="121" t="str">
        <f t="array" ref="D979">ifs(and(isblank($A979),isblank($B979)),"", not(iserror(vlookup($A979&amp;$B979,'5) Release_Track'!$F:$F&amp;'5) Release_Track'!$G:$G,1,0))),vlookup($A979&amp;$B979,{'5) Release_Track'!$F:$F&amp;'5) Release_Track'!$G:$G,'5) Release_Track'!$I:$I},2,0),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E979" s="116" t="str">
        <f t="array" ref="E979">ifs(and(isblank($A979),isblank($B979)),"", not(iserror(vlookup($A979&amp;$B979,'5) Release_Track'!$F:$F&amp;'5) Release_Track'!$G:$G,1,0))),vlookup($A979&amp;$B979,{'5) Release_Track'!$F:$F&amp;'5) Release_Track'!$G:$G,'5) Release_Track'!$J:$J},2,0),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F979" s="88"/>
      <c r="G979" s="92"/>
      <c r="H979" s="185"/>
      <c r="I979" s="121" t="str">
        <f t="shared" si="2"/>
        <v/>
      </c>
      <c r="J979" s="92"/>
      <c r="K979" s="92"/>
    </row>
    <row r="980">
      <c r="B980" s="97"/>
      <c r="C980" s="121" t="str">
        <f t="array" ref="C980">ifs(and(isblank($A980),isblank($B980)),"", not(iserror(vlookup($A980&amp;$B980,'5) Release_Track'!$F:$F&amp;'5) Release_Track'!$G:$G,1,0))),vlookup($A980&amp;$B980,{'5) Release_Track'!$F:$F&amp;'5) Release_Track'!$G:$G,'5) Release_Track'!$H:$H},2,0),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D980" s="121" t="str">
        <f t="array" ref="D980">ifs(and(isblank($A980),isblank($B980)),"", not(iserror(vlookup($A980&amp;$B980,'5) Release_Track'!$F:$F&amp;'5) Release_Track'!$G:$G,1,0))),vlookup($A980&amp;$B980,{'5) Release_Track'!$F:$F&amp;'5) Release_Track'!$G:$G,'5) Release_Track'!$I:$I},2,0),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E980" s="116" t="str">
        <f t="array" ref="E980">ifs(and(isblank($A980),isblank($B980)),"", not(iserror(vlookup($A980&amp;$B980,'5) Release_Track'!$F:$F&amp;'5) Release_Track'!$G:$G,1,0))),vlookup($A980&amp;$B980,{'5) Release_Track'!$F:$F&amp;'5) Release_Track'!$G:$G,'5) Release_Track'!$J:$J},2,0),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F980" s="88"/>
      <c r="G980" s="92"/>
      <c r="H980" s="185"/>
      <c r="I980" s="121" t="str">
        <f t="shared" si="2"/>
        <v/>
      </c>
      <c r="J980" s="92"/>
      <c r="K980" s="92"/>
    </row>
    <row r="981">
      <c r="B981" s="97"/>
      <c r="C981" s="121" t="str">
        <f t="array" ref="C981">ifs(and(isblank($A981),isblank($B981)),"", not(iserror(vlookup($A981&amp;$B981,'5) Release_Track'!$F:$F&amp;'5) Release_Track'!$G:$G,1,0))),vlookup($A981&amp;$B981,{'5) Release_Track'!$F:$F&amp;'5) Release_Track'!$G:$G,'5) Release_Track'!$H:$H},2,0),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D981" s="121" t="str">
        <f t="array" ref="D981">ifs(and(isblank($A981),isblank($B981)),"", not(iserror(vlookup($A981&amp;$B981,'5) Release_Track'!$F:$F&amp;'5) Release_Track'!$G:$G,1,0))),vlookup($A981&amp;$B981,{'5) Release_Track'!$F:$F&amp;'5) Release_Track'!$G:$G,'5) Release_Track'!$I:$I},2,0),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E981" s="116" t="str">
        <f t="array" ref="E981">ifs(and(isblank($A981),isblank($B981)),"", not(iserror(vlookup($A981&amp;$B981,'5) Release_Track'!$F:$F&amp;'5) Release_Track'!$G:$G,1,0))),vlookup($A981&amp;$B981,{'5) Release_Track'!$F:$F&amp;'5) Release_Track'!$G:$G,'5) Release_Track'!$J:$J},2,0),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F981" s="88"/>
      <c r="G981" s="92"/>
      <c r="H981" s="185"/>
      <c r="I981" s="121" t="str">
        <f t="shared" si="2"/>
        <v/>
      </c>
      <c r="J981" s="92"/>
      <c r="K981" s="92"/>
    </row>
    <row r="982">
      <c r="B982" s="97"/>
      <c r="C982" s="121" t="str">
        <f t="array" ref="C982">ifs(and(isblank($A982),isblank($B982)),"", not(iserror(vlookup($A982&amp;$B982,'5) Release_Track'!$F:$F&amp;'5) Release_Track'!$G:$G,1,0))),vlookup($A982&amp;$B982,{'5) Release_Track'!$F:$F&amp;'5) Release_Track'!$G:$G,'5) Release_Track'!$H:$H},2,0),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D982" s="121" t="str">
        <f t="array" ref="D982">ifs(and(isblank($A982),isblank($B982)),"", not(iserror(vlookup($A982&amp;$B982,'5) Release_Track'!$F:$F&amp;'5) Release_Track'!$G:$G,1,0))),vlookup($A982&amp;$B982,{'5) Release_Track'!$F:$F&amp;'5) Release_Track'!$G:$G,'5) Release_Track'!$I:$I},2,0),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E982" s="116" t="str">
        <f t="array" ref="E982">ifs(and(isblank($A982),isblank($B982)),"", not(iserror(vlookup($A982&amp;$B982,'5) Release_Track'!$F:$F&amp;'5) Release_Track'!$G:$G,1,0))),vlookup($A982&amp;$B982,{'5) Release_Track'!$F:$F&amp;'5) Release_Track'!$G:$G,'5) Release_Track'!$J:$J},2,0),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F982" s="88"/>
      <c r="G982" s="92"/>
      <c r="H982" s="185"/>
      <c r="I982" s="121" t="str">
        <f t="shared" si="2"/>
        <v/>
      </c>
      <c r="J982" s="92"/>
      <c r="K982" s="92"/>
    </row>
    <row r="983">
      <c r="B983" s="97"/>
      <c r="C983" s="121" t="str">
        <f t="array" ref="C983">ifs(and(isblank($A983),isblank($B983)),"", not(iserror(vlookup($A983&amp;$B983,'5) Release_Track'!$F:$F&amp;'5) Release_Track'!$G:$G,1,0))),vlookup($A983&amp;$B983,{'5) Release_Track'!$F:$F&amp;'5) Release_Track'!$G:$G,'5) Release_Track'!$H:$H},2,0),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D983" s="121" t="str">
        <f t="array" ref="D983">ifs(and(isblank($A983),isblank($B983)),"", not(iserror(vlookup($A983&amp;$B983,'5) Release_Track'!$F:$F&amp;'5) Release_Track'!$G:$G,1,0))),vlookup($A983&amp;$B983,{'5) Release_Track'!$F:$F&amp;'5) Release_Track'!$G:$G,'5) Release_Track'!$I:$I},2,0),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E983" s="116" t="str">
        <f t="array" ref="E983">ifs(and(isblank($A983),isblank($B983)),"", not(iserror(vlookup($A983&amp;$B983,'5) Release_Track'!$F:$F&amp;'5) Release_Track'!$G:$G,1,0))),vlookup($A983&amp;$B983,{'5) Release_Track'!$F:$F&amp;'5) Release_Track'!$G:$G,'5) Release_Track'!$J:$J},2,0),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F983" s="88"/>
      <c r="G983" s="92"/>
      <c r="H983" s="185"/>
      <c r="I983" s="121" t="str">
        <f t="shared" si="2"/>
        <v/>
      </c>
      <c r="J983" s="92"/>
      <c r="K983" s="92"/>
    </row>
    <row r="984">
      <c r="B984" s="97"/>
      <c r="C984" s="121" t="str">
        <f t="array" ref="C984">ifs(and(isblank($A984),isblank($B984)),"", not(iserror(vlookup($A984&amp;$B984,'5) Release_Track'!$F:$F&amp;'5) Release_Track'!$G:$G,1,0))),vlookup($A984&amp;$B984,{'5) Release_Track'!$F:$F&amp;'5) Release_Track'!$G:$G,'5) Release_Track'!$H:$H},2,0),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D984" s="121" t="str">
        <f t="array" ref="D984">ifs(and(isblank($A984),isblank($B984)),"", not(iserror(vlookup($A984&amp;$B984,'5) Release_Track'!$F:$F&amp;'5) Release_Track'!$G:$G,1,0))),vlookup($A984&amp;$B984,{'5) Release_Track'!$F:$F&amp;'5) Release_Track'!$G:$G,'5) Release_Track'!$I:$I},2,0),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E984" s="116" t="str">
        <f t="array" ref="E984">ifs(and(isblank($A984),isblank($B984)),"", not(iserror(vlookup($A984&amp;$B984,'5) Release_Track'!$F:$F&amp;'5) Release_Track'!$G:$G,1,0))),vlookup($A984&amp;$B984,{'5) Release_Track'!$F:$F&amp;'5) Release_Track'!$G:$G,'5) Release_Track'!$J:$J},2,0),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F984" s="88"/>
      <c r="G984" s="92"/>
      <c r="H984" s="185"/>
      <c r="I984" s="121" t="str">
        <f t="shared" si="2"/>
        <v/>
      </c>
      <c r="J984" s="92"/>
      <c r="K984" s="92"/>
    </row>
    <row r="985">
      <c r="B985" s="97"/>
      <c r="C985" s="121" t="str">
        <f t="array" ref="C985">ifs(and(isblank($A985),isblank($B985)),"", not(iserror(vlookup($A985&amp;$B985,'5) Release_Track'!$F:$F&amp;'5) Release_Track'!$G:$G,1,0))),vlookup($A985&amp;$B985,{'5) Release_Track'!$F:$F&amp;'5) Release_Track'!$G:$G,'5) Release_Track'!$H:$H},2,0),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D985" s="121" t="str">
        <f t="array" ref="D985">ifs(and(isblank($A985),isblank($B985)),"", not(iserror(vlookup($A985&amp;$B985,'5) Release_Track'!$F:$F&amp;'5) Release_Track'!$G:$G,1,0))),vlookup($A985&amp;$B985,{'5) Release_Track'!$F:$F&amp;'5) Release_Track'!$G:$G,'5) Release_Track'!$I:$I},2,0),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E985" s="116" t="str">
        <f t="array" ref="E985">ifs(and(isblank($A985),isblank($B985)),"", not(iserror(vlookup($A985&amp;$B985,'5) Release_Track'!$F:$F&amp;'5) Release_Track'!$G:$G,1,0))),vlookup($A985&amp;$B985,{'5) Release_Track'!$F:$F&amp;'5) Release_Track'!$G:$G,'5) Release_Track'!$J:$J},2,0),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F985" s="88"/>
      <c r="G985" s="92"/>
      <c r="H985" s="185"/>
      <c r="I985" s="121" t="str">
        <f t="shared" si="2"/>
        <v/>
      </c>
      <c r="J985" s="92"/>
      <c r="K985" s="92"/>
    </row>
    <row r="986">
      <c r="B986" s="97"/>
      <c r="C986" s="121" t="str">
        <f t="array" ref="C986">ifs(and(isblank($A986),isblank($B986)),"", not(iserror(vlookup($A986&amp;$B986,'5) Release_Track'!$F:$F&amp;'5) Release_Track'!$G:$G,1,0))),vlookup($A986&amp;$B986,{'5) Release_Track'!$F:$F&amp;'5) Release_Track'!$G:$G,'5) Release_Track'!$H:$H},2,0),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D986" s="121" t="str">
        <f t="array" ref="D986">ifs(and(isblank($A986),isblank($B986)),"", not(iserror(vlookup($A986&amp;$B986,'5) Release_Track'!$F:$F&amp;'5) Release_Track'!$G:$G,1,0))),vlookup($A986&amp;$B986,{'5) Release_Track'!$F:$F&amp;'5) Release_Track'!$G:$G,'5) Release_Track'!$I:$I},2,0),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E986" s="116" t="str">
        <f t="array" ref="E986">ifs(and(isblank($A986),isblank($B986)),"", not(iserror(vlookup($A986&amp;$B986,'5) Release_Track'!$F:$F&amp;'5) Release_Track'!$G:$G,1,0))),vlookup($A986&amp;$B986,{'5) Release_Track'!$F:$F&amp;'5) Release_Track'!$G:$G,'5) Release_Track'!$J:$J},2,0),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F986" s="88"/>
      <c r="G986" s="92"/>
      <c r="H986" s="185"/>
      <c r="I986" s="121" t="str">
        <f t="shared" si="2"/>
        <v/>
      </c>
      <c r="J986" s="92"/>
      <c r="K986" s="92"/>
    </row>
    <row r="987">
      <c r="B987" s="97"/>
      <c r="C987" s="121" t="str">
        <f t="array" ref="C987">ifs(and(isblank($A987),isblank($B987)),"", not(iserror(vlookup($A987&amp;$B987,'5) Release_Track'!$F:$F&amp;'5) Release_Track'!$G:$G,1,0))),vlookup($A987&amp;$B987,{'5) Release_Track'!$F:$F&amp;'5) Release_Track'!$G:$G,'5) Release_Track'!$H:$H},2,0),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D987" s="121" t="str">
        <f t="array" ref="D987">ifs(and(isblank($A987),isblank($B987)),"", not(iserror(vlookup($A987&amp;$B987,'5) Release_Track'!$F:$F&amp;'5) Release_Track'!$G:$G,1,0))),vlookup($A987&amp;$B987,{'5) Release_Track'!$F:$F&amp;'5) Release_Track'!$G:$G,'5) Release_Track'!$I:$I},2,0),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E987" s="116" t="str">
        <f t="array" ref="E987">ifs(and(isblank($A987),isblank($B987)),"", not(iserror(vlookup($A987&amp;$B987,'5) Release_Track'!$F:$F&amp;'5) Release_Track'!$G:$G,1,0))),vlookup($A987&amp;$B987,{'5) Release_Track'!$F:$F&amp;'5) Release_Track'!$G:$G,'5) Release_Track'!$J:$J},2,0),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F987" s="88"/>
      <c r="G987" s="92"/>
      <c r="H987" s="185"/>
      <c r="I987" s="121" t="str">
        <f t="shared" si="2"/>
        <v/>
      </c>
      <c r="J987" s="92"/>
      <c r="K987" s="92"/>
    </row>
    <row r="988">
      <c r="B988" s="97"/>
      <c r="C988" s="121" t="str">
        <f t="array" ref="C988">ifs(and(isblank($A988),isblank($B988)),"", not(iserror(vlookup($A988&amp;$B988,'5) Release_Track'!$F:$F&amp;'5) Release_Track'!$G:$G,1,0))),vlookup($A988&amp;$B988,{'5) Release_Track'!$F:$F&amp;'5) Release_Track'!$G:$G,'5) Release_Track'!$H:$H},2,0),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D988" s="121" t="str">
        <f t="array" ref="D988">ifs(and(isblank($A988),isblank($B988)),"", not(iserror(vlookup($A988&amp;$B988,'5) Release_Track'!$F:$F&amp;'5) Release_Track'!$G:$G,1,0))),vlookup($A988&amp;$B988,{'5) Release_Track'!$F:$F&amp;'5) Release_Track'!$G:$G,'5) Release_Track'!$I:$I},2,0),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E988" s="116" t="str">
        <f t="array" ref="E988">ifs(and(isblank($A988),isblank($B988)),"", not(iserror(vlookup($A988&amp;$B988,'5) Release_Track'!$F:$F&amp;'5) Release_Track'!$G:$G,1,0))),vlookup($A988&amp;$B988,{'5) Release_Track'!$F:$F&amp;'5) Release_Track'!$G:$G,'5) Release_Track'!$J:$J},2,0),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F988" s="88"/>
      <c r="G988" s="92"/>
      <c r="H988" s="185"/>
      <c r="I988" s="121" t="str">
        <f t="shared" si="2"/>
        <v/>
      </c>
      <c r="J988" s="92"/>
      <c r="K988" s="92"/>
    </row>
    <row r="989">
      <c r="B989" s="97"/>
      <c r="C989" s="121" t="str">
        <f t="array" ref="C989">ifs(and(isblank($A989),isblank($B989)),"", not(iserror(vlookup($A989&amp;$B989,'5) Release_Track'!$F:$F&amp;'5) Release_Track'!$G:$G,1,0))),vlookup($A989&amp;$B989,{'5) Release_Track'!$F:$F&amp;'5) Release_Track'!$G:$G,'5) Release_Track'!$H:$H},2,0),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D989" s="121" t="str">
        <f t="array" ref="D989">ifs(and(isblank($A989),isblank($B989)),"", not(iserror(vlookup($A989&amp;$B989,'5) Release_Track'!$F:$F&amp;'5) Release_Track'!$G:$G,1,0))),vlookup($A989&amp;$B989,{'5) Release_Track'!$F:$F&amp;'5) Release_Track'!$G:$G,'5) Release_Track'!$I:$I},2,0),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E989" s="116" t="str">
        <f t="array" ref="E989">ifs(and(isblank($A989),isblank($B989)),"", not(iserror(vlookup($A989&amp;$B989,'5) Release_Track'!$F:$F&amp;'5) Release_Track'!$G:$G,1,0))),vlookup($A989&amp;$B989,{'5) Release_Track'!$F:$F&amp;'5) Release_Track'!$G:$G,'5) Release_Track'!$J:$J},2,0),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F989" s="88"/>
      <c r="G989" s="92"/>
      <c r="H989" s="185"/>
      <c r="I989" s="121" t="str">
        <f t="shared" si="2"/>
        <v/>
      </c>
      <c r="J989" s="92"/>
      <c r="K989" s="92"/>
    </row>
    <row r="990">
      <c r="B990" s="97"/>
      <c r="C990" s="121" t="str">
        <f t="array" ref="C990">ifs(and(isblank($A990),isblank($B990)),"", not(iserror(vlookup($A990&amp;$B990,'5) Release_Track'!$F:$F&amp;'5) Release_Track'!$G:$G,1,0))),vlookup($A990&amp;$B990,{'5) Release_Track'!$F:$F&amp;'5) Release_Track'!$G:$G,'5) Release_Track'!$H:$H},2,0),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D990" s="121" t="str">
        <f t="array" ref="D990">ifs(and(isblank($A990),isblank($B990)),"", not(iserror(vlookup($A990&amp;$B990,'5) Release_Track'!$F:$F&amp;'5) Release_Track'!$G:$G,1,0))),vlookup($A990&amp;$B990,{'5) Release_Track'!$F:$F&amp;'5) Release_Track'!$G:$G,'5) Release_Track'!$I:$I},2,0),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E990" s="116" t="str">
        <f t="array" ref="E990">ifs(and(isblank($A990),isblank($B990)),"", not(iserror(vlookup($A990&amp;$B990,'5) Release_Track'!$F:$F&amp;'5) Release_Track'!$G:$G,1,0))),vlookup($A990&amp;$B990,{'5) Release_Track'!$F:$F&amp;'5) Release_Track'!$G:$G,'5) Release_Track'!$J:$J},2,0),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F990" s="88"/>
      <c r="G990" s="92"/>
      <c r="H990" s="185"/>
      <c r="I990" s="121" t="str">
        <f t="shared" si="2"/>
        <v/>
      </c>
      <c r="J990" s="92"/>
      <c r="K990" s="92"/>
    </row>
    <row r="991">
      <c r="B991" s="97"/>
      <c r="C991" s="121" t="str">
        <f t="array" ref="C991">ifs(and(isblank($A991),isblank($B991)),"", not(iserror(vlookup($A991&amp;$B991,'5) Release_Track'!$F:$F&amp;'5) Release_Track'!$G:$G,1,0))),vlookup($A991&amp;$B991,{'5) Release_Track'!$F:$F&amp;'5) Release_Track'!$G:$G,'5) Release_Track'!$H:$H},2,0),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D991" s="121" t="str">
        <f t="array" ref="D991">ifs(and(isblank($A991),isblank($B991)),"", not(iserror(vlookup($A991&amp;$B991,'5) Release_Track'!$F:$F&amp;'5) Release_Track'!$G:$G,1,0))),vlookup($A991&amp;$B991,{'5) Release_Track'!$F:$F&amp;'5) Release_Track'!$G:$G,'5) Release_Track'!$I:$I},2,0),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E991" s="116" t="str">
        <f t="array" ref="E991">ifs(and(isblank($A991),isblank($B991)),"", not(iserror(vlookup($A991&amp;$B991,'5) Release_Track'!$F:$F&amp;'5) Release_Track'!$G:$G,1,0))),vlookup($A991&amp;$B991,{'5) Release_Track'!$F:$F&amp;'5) Release_Track'!$G:$G,'5) Release_Track'!$J:$J},2,0),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F991" s="88"/>
      <c r="G991" s="92"/>
      <c r="H991" s="185"/>
      <c r="I991" s="121" t="str">
        <f t="shared" si="2"/>
        <v/>
      </c>
      <c r="J991" s="92"/>
      <c r="K991" s="92"/>
    </row>
    <row r="992">
      <c r="B992" s="97"/>
      <c r="C992" s="121" t="str">
        <f t="array" ref="C992">ifs(and(isblank($A992),isblank($B992)),"", not(iserror(vlookup($A992&amp;$B992,'5) Release_Track'!$F:$F&amp;'5) Release_Track'!$G:$G,1,0))),vlookup($A992&amp;$B992,{'5) Release_Track'!$F:$F&amp;'5) Release_Track'!$G:$G,'5) Release_Track'!$H:$H},2,0),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D992" s="121" t="str">
        <f t="array" ref="D992">ifs(and(isblank($A992),isblank($B992)),"", not(iserror(vlookup($A992&amp;$B992,'5) Release_Track'!$F:$F&amp;'5) Release_Track'!$G:$G,1,0))),vlookup($A992&amp;$B992,{'5) Release_Track'!$F:$F&amp;'5) Release_Track'!$G:$G,'5) Release_Track'!$I:$I},2,0),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E992" s="116" t="str">
        <f t="array" ref="E992">ifs(and(isblank($A992),isblank($B992)),"", not(iserror(vlookup($A992&amp;$B992,'5) Release_Track'!$F:$F&amp;'5) Release_Track'!$G:$G,1,0))),vlookup($A992&amp;$B992,{'5) Release_Track'!$F:$F&amp;'5) Release_Track'!$G:$G,'5) Release_Track'!$J:$J},2,0),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F992" s="88"/>
      <c r="G992" s="92"/>
      <c r="H992" s="185"/>
      <c r="I992" s="121" t="str">
        <f t="shared" si="2"/>
        <v/>
      </c>
      <c r="J992" s="92"/>
      <c r="K992" s="92"/>
    </row>
    <row r="993">
      <c r="B993" s="97"/>
      <c r="C993" s="121" t="str">
        <f t="array" ref="C993">ifs(and(isblank($A993),isblank($B993)),"", not(iserror(vlookup($A993&amp;$B993,'5) Release_Track'!$F:$F&amp;'5) Release_Track'!$G:$G,1,0))),vlookup($A993&amp;$B993,{'5) Release_Track'!$F:$F&amp;'5) Release_Track'!$G:$G,'5) Release_Track'!$H:$H},2,0),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D993" s="121" t="str">
        <f t="array" ref="D993">ifs(and(isblank($A993),isblank($B993)),"", not(iserror(vlookup($A993&amp;$B993,'5) Release_Track'!$F:$F&amp;'5) Release_Track'!$G:$G,1,0))),vlookup($A993&amp;$B993,{'5) Release_Track'!$F:$F&amp;'5) Release_Track'!$G:$G,'5) Release_Track'!$I:$I},2,0),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E993" s="116" t="str">
        <f t="array" ref="E993">ifs(and(isblank($A993),isblank($B993)),"", not(iserror(vlookup($A993&amp;$B993,'5) Release_Track'!$F:$F&amp;'5) Release_Track'!$G:$G,1,0))),vlookup($A993&amp;$B993,{'5) Release_Track'!$F:$F&amp;'5) Release_Track'!$G:$G,'5) Release_Track'!$J:$J},2,0),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F993" s="88"/>
      <c r="G993" s="92"/>
      <c r="H993" s="185"/>
      <c r="I993" s="121" t="str">
        <f t="shared" si="2"/>
        <v/>
      </c>
      <c r="J993" s="92"/>
      <c r="K993" s="92"/>
    </row>
    <row r="994">
      <c r="B994" s="97"/>
      <c r="C994" s="121" t="str">
        <f t="array" ref="C994">ifs(and(isblank($A994),isblank($B994)),"", not(iserror(vlookup($A994&amp;$B994,'5) Release_Track'!$F:$F&amp;'5) Release_Track'!$G:$G,1,0))),vlookup($A994&amp;$B994,{'5) Release_Track'!$F:$F&amp;'5) Release_Track'!$G:$G,'5) Release_Track'!$H:$H},2,0),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D994" s="121" t="str">
        <f t="array" ref="D994">ifs(and(isblank($A994),isblank($B994)),"", not(iserror(vlookup($A994&amp;$B994,'5) Release_Track'!$F:$F&amp;'5) Release_Track'!$G:$G,1,0))),vlookup($A994&amp;$B994,{'5) Release_Track'!$F:$F&amp;'5) Release_Track'!$G:$G,'5) Release_Track'!$I:$I},2,0),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E994" s="116" t="str">
        <f t="array" ref="E994">ifs(and(isblank($A994),isblank($B994)),"", not(iserror(vlookup($A994&amp;$B994,'5) Release_Track'!$F:$F&amp;'5) Release_Track'!$G:$G,1,0))),vlookup($A994&amp;$B994,{'5) Release_Track'!$F:$F&amp;'5) Release_Track'!$G:$G,'5) Release_Track'!$J:$J},2,0),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F994" s="88"/>
      <c r="G994" s="92"/>
      <c r="H994" s="185"/>
      <c r="I994" s="121" t="str">
        <f t="shared" si="2"/>
        <v/>
      </c>
      <c r="J994" s="92"/>
      <c r="K994" s="92"/>
    </row>
    <row r="995">
      <c r="B995" s="97"/>
      <c r="C995" s="121" t="str">
        <f t="array" ref="C995">ifs(and(isblank($A995),isblank($B995)),"", not(iserror(vlookup($A995&amp;$B995,'5) Release_Track'!$F:$F&amp;'5) Release_Track'!$G:$G,1,0))),vlookup($A995&amp;$B995,{'5) Release_Track'!$F:$F&amp;'5) Release_Track'!$G:$G,'5) Release_Track'!$H:$H},2,0),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D995" s="121" t="str">
        <f t="array" ref="D995">ifs(and(isblank($A995),isblank($B995)),"", not(iserror(vlookup($A995&amp;$B995,'5) Release_Track'!$F:$F&amp;'5) Release_Track'!$G:$G,1,0))),vlookup($A995&amp;$B995,{'5) Release_Track'!$F:$F&amp;'5) Release_Track'!$G:$G,'5) Release_Track'!$I:$I},2,0),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E995" s="116" t="str">
        <f t="array" ref="E995">ifs(and(isblank($A995),isblank($B995)),"", not(iserror(vlookup($A995&amp;$B995,'5) Release_Track'!$F:$F&amp;'5) Release_Track'!$G:$G,1,0))),vlookup($A995&amp;$B995,{'5) Release_Track'!$F:$F&amp;'5) Release_Track'!$G:$G,'5) Release_Track'!$J:$J},2,0),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F995" s="88"/>
      <c r="G995" s="92"/>
      <c r="H995" s="185"/>
      <c r="I995" s="121" t="str">
        <f t="shared" si="2"/>
        <v/>
      </c>
      <c r="J995" s="92"/>
      <c r="K995" s="92"/>
    </row>
    <row r="996">
      <c r="B996" s="97"/>
      <c r="C996" s="121" t="str">
        <f t="array" ref="C996">ifs(and(isblank($A996),isblank($B996)),"", not(iserror(vlookup($A996&amp;$B996,'5) Release_Track'!$F:$F&amp;'5) Release_Track'!$G:$G,1,0))),vlookup($A996&amp;$B996,{'5) Release_Track'!$F:$F&amp;'5) Release_Track'!$G:$G,'5) Release_Track'!$H:$H},2,0),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D996" s="121" t="str">
        <f t="array" ref="D996">ifs(and(isblank($A996),isblank($B996)),"", not(iserror(vlookup($A996&amp;$B996,'5) Release_Track'!$F:$F&amp;'5) Release_Track'!$G:$G,1,0))),vlookup($A996&amp;$B996,{'5) Release_Track'!$F:$F&amp;'5) Release_Track'!$G:$G,'5) Release_Track'!$I:$I},2,0),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E996" s="116" t="str">
        <f t="array" ref="E996">ifs(and(isblank($A996),isblank($B996)),"", not(iserror(vlookup($A996&amp;$B996,'5) Release_Track'!$F:$F&amp;'5) Release_Track'!$G:$G,1,0))),vlookup($A996&amp;$B996,{'5) Release_Track'!$F:$F&amp;'5) Release_Track'!$G:$G,'5) Release_Track'!$J:$J},2,0),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F996" s="88"/>
      <c r="G996" s="92"/>
      <c r="H996" s="185"/>
      <c r="I996" s="121" t="str">
        <f t="shared" si="2"/>
        <v/>
      </c>
      <c r="J996" s="92"/>
      <c r="K996" s="92"/>
    </row>
    <row r="997">
      <c r="B997" s="97"/>
      <c r="C997" s="121" t="str">
        <f t="array" ref="C997">ifs(and(isblank($A997),isblank($B997)),"", not(iserror(vlookup($A997&amp;$B997,'5) Release_Track'!$F:$F&amp;'5) Release_Track'!$G:$G,1,0))),vlookup($A997&amp;$B997,{'5) Release_Track'!$F:$F&amp;'5) Release_Track'!$G:$G,'5) Release_Track'!$H:$H},2,0),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D997" s="121" t="str">
        <f t="array" ref="D997">ifs(and(isblank($A997),isblank($B997)),"", not(iserror(vlookup($A997&amp;$B997,'5) Release_Track'!$F:$F&amp;'5) Release_Track'!$G:$G,1,0))),vlookup($A997&amp;$B997,{'5) Release_Track'!$F:$F&amp;'5) Release_Track'!$G:$G,'5) Release_Track'!$I:$I},2,0),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E997" s="116" t="str">
        <f t="array" ref="E997">ifs(and(isblank($A997),isblank($B997)),"", not(iserror(vlookup($A997&amp;$B997,'5) Release_Track'!$F:$F&amp;'5) Release_Track'!$G:$G,1,0))),vlookup($A997&amp;$B997,{'5) Release_Track'!$F:$F&amp;'5) Release_Track'!$G:$G,'5) Release_Track'!$J:$J},2,0),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F997" s="88"/>
      <c r="G997" s="92"/>
      <c r="H997" s="185"/>
      <c r="I997" s="121" t="str">
        <f t="shared" si="2"/>
        <v/>
      </c>
      <c r="J997" s="92"/>
      <c r="K997" s="92"/>
    </row>
    <row r="998">
      <c r="B998" s="97"/>
      <c r="C998" s="121" t="str">
        <f t="array" ref="C998">ifs(and(isblank($A998),isblank($B998)),"", not(iserror(vlookup($A998&amp;$B998,'5) Release_Track'!$F:$F&amp;'5) Release_Track'!$G:$G,1,0))),vlookup($A998&amp;$B998,{'5) Release_Track'!$F:$F&amp;'5) Release_Track'!$G:$G,'5) Release_Track'!$H:$H},2,0),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D998" s="121" t="str">
        <f t="array" ref="D998">ifs(and(isblank($A998),isblank($B998)),"", not(iserror(vlookup($A998&amp;$B998,'5) Release_Track'!$F:$F&amp;'5) Release_Track'!$G:$G,1,0))),vlookup($A998&amp;$B998,{'5) Release_Track'!$F:$F&amp;'5) Release_Track'!$G:$G,'5) Release_Track'!$I:$I},2,0),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E998" s="116" t="str">
        <f t="array" ref="E998">ifs(and(isblank($A998),isblank($B998)),"", not(iserror(vlookup($A998&amp;$B998,'5) Release_Track'!$F:$F&amp;'5) Release_Track'!$G:$G,1,0))),vlookup($A998&amp;$B998,{'5) Release_Track'!$F:$F&amp;'5) Release_Track'!$G:$G,'5) Release_Track'!$J:$J},2,0),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F998" s="88"/>
      <c r="G998" s="92"/>
      <c r="H998" s="185"/>
      <c r="I998" s="121" t="str">
        <f t="shared" si="2"/>
        <v/>
      </c>
      <c r="J998" s="92"/>
      <c r="K998" s="92"/>
    </row>
    <row r="999">
      <c r="B999" s="97"/>
      <c r="C999" s="121" t="str">
        <f t="array" ref="C999">ifs(and(isblank($A999),isblank($B999)),"", not(iserror(vlookup($A999&amp;$B999,'5) Release_Track'!$F:$F&amp;'5) Release_Track'!$G:$G,1,0))),vlookup($A999&amp;$B999,{'5) Release_Track'!$F:$F&amp;'5) Release_Track'!$G:$G,'5) Release_Track'!$H:$H},2,0),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D999" s="121" t="str">
        <f t="array" ref="D999">ifs(and(isblank($A999),isblank($B999)),"", not(iserror(vlookup($A999&amp;$B999,'5) Release_Track'!$F:$F&amp;'5) Release_Track'!$G:$G,1,0))),vlookup($A999&amp;$B999,{'5) Release_Track'!$F:$F&amp;'5) Release_Track'!$G:$G,'5) Release_Track'!$I:$I},2,0),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E999" s="116" t="str">
        <f t="array" ref="E999">ifs(and(isblank($A999),isblank($B999)),"", not(iserror(vlookup($A999&amp;$B999,'5) Release_Track'!$F:$F&amp;'5) Release_Track'!$G:$G,1,0))),vlookup($A999&amp;$B999,{'5) Release_Track'!$F:$F&amp;'5) Release_Track'!$G:$G,'5) Release_Track'!$J:$J},2,0),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F999" s="88"/>
      <c r="G999" s="92"/>
      <c r="H999" s="185"/>
      <c r="I999" s="121" t="str">
        <f t="shared" si="2"/>
        <v/>
      </c>
      <c r="J999" s="92"/>
      <c r="K999" s="92"/>
    </row>
    <row r="1000">
      <c r="B1000" s="97"/>
      <c r="C1000" s="121" t="str">
        <f t="array" ref="C1000">ifs(and(isblank($A1000),isblank($B1000)),"", not(iserror(vlookup($A1000&amp;$B1000,'5) Release_Track'!$F:$F&amp;'5) Release_Track'!$G:$G,1,0))),vlookup($A1000&amp;$B1000,{'5) Release_Track'!$F:$F&amp;'5) Release_Track'!$G:$G,'5) Release_Track'!$H:$H},2,0),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D1000" s="121" t="str">
        <f t="array" ref="D1000">ifs(and(isblank($A1000),isblank($B1000)),"", not(iserror(vlookup($A1000&amp;$B1000,'5) Release_Track'!$F:$F&amp;'5) Release_Track'!$G:$G,1,0))),vlookup($A1000&amp;$B1000,{'5) Release_Track'!$F:$F&amp;'5) Release_Track'!$G:$G,'5) Release_Track'!$I:$I},2,0),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E1000" s="116" t="str">
        <f t="array" ref="E1000">ifs(and(isblank($A1000),isblank($B1000)),"", not(iserror(vlookup($A1000&amp;$B1000,'5) Release_Track'!$F:$F&amp;'5) Release_Track'!$G:$G,1,0))),vlookup($A1000&amp;$B1000,{'5) Release_Track'!$F:$F&amp;'5) Release_Track'!$G:$G,'5) Release_Track'!$J:$J},2,0),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F1000" s="88"/>
      <c r="G1000" s="92"/>
      <c r="H1000" s="185"/>
      <c r="I1000" s="121" t="str">
        <f t="shared" si="2"/>
        <v/>
      </c>
      <c r="J1000" s="92"/>
      <c r="K1000" s="92"/>
    </row>
    <row r="1001">
      <c r="B1001" s="97"/>
      <c r="C1001" s="121" t="str">
        <f t="array" ref="C1001">ifs(and(isblank($A1001),isblank($B1001)),"", not(iserror(vlookup($A1001&amp;$B1001,'5) Release_Track'!$F:$F&amp;'5) Release_Track'!$G:$G,1,0))),vlookup($A1001&amp;$B1001,{'5) Release_Track'!$F:$F&amp;'5) Release_Track'!$G:$G,'5) Release_Track'!$H:$H},2,0),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D1001" s="121" t="str">
        <f t="array" ref="D1001">ifs(and(isblank($A1001),isblank($B1001)),"", not(iserror(vlookup($A1001&amp;$B1001,'5) Release_Track'!$F:$F&amp;'5) Release_Track'!$G:$G,1,0))),vlookup($A1001&amp;$B1001,{'5) Release_Track'!$F:$F&amp;'5) Release_Track'!$G:$G,'5) Release_Track'!$I:$I},2,0),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E1001" s="116" t="str">
        <f t="array" ref="E1001">ifs(and(isblank($A1001),isblank($B1001)),"", not(iserror(vlookup($A1001&amp;$B1001,'5) Release_Track'!$F:$F&amp;'5) Release_Track'!$G:$G,1,0))),vlookup($A1001&amp;$B1001,{'5) Release_Track'!$F:$F&amp;'5) Release_Track'!$G:$G,'5) Release_Track'!$J:$J},2,0),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F1001" s="88"/>
      <c r="G1001" s="92"/>
      <c r="H1001" s="185"/>
      <c r="I1001" s="121" t="str">
        <f t="shared" si="2"/>
        <v/>
      </c>
      <c r="J1001" s="92"/>
      <c r="K1001" s="92"/>
    </row>
    <row r="1002">
      <c r="B1002" s="97"/>
      <c r="C1002" s="121" t="str">
        <f t="array" ref="C1002">ifs(and(isblank($A1002),isblank($B1002)),"", not(iserror(vlookup($A1002&amp;$B1002,'5) Release_Track'!$F:$F&amp;'5) Release_Track'!$G:$G,1,0))),vlookup($A1002&amp;$B1002,{'5) Release_Track'!$F:$F&amp;'5) Release_Track'!$G:$G,'5) Release_Track'!$H:$H},2,0),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D1002" s="121" t="str">
        <f t="array" ref="D1002">ifs(and(isblank($A1002),isblank($B1002)),"", not(iserror(vlookup($A1002&amp;$B1002,'5) Release_Track'!$F:$F&amp;'5) Release_Track'!$G:$G,1,0))),vlookup($A1002&amp;$B1002,{'5) Release_Track'!$F:$F&amp;'5) Release_Track'!$G:$G,'5) Release_Track'!$I:$I},2,0),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E1002" s="116" t="str">
        <f t="array" ref="E1002">ifs(and(isblank($A1002),isblank($B1002)),"", not(iserror(vlookup($A1002&amp;$B1002,'5) Release_Track'!$F:$F&amp;'5) Release_Track'!$G:$G,1,0))),vlookup($A1002&amp;$B1002,{'5) Release_Track'!$F:$F&amp;'5) Release_Track'!$G:$G,'5) Release_Track'!$J:$J},2,0),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F1002" s="88"/>
      <c r="G1002" s="92"/>
      <c r="H1002" s="185"/>
      <c r="I1002" s="121" t="str">
        <f t="shared" si="2"/>
        <v/>
      </c>
      <c r="J1002" s="92"/>
      <c r="K1002" s="92"/>
    </row>
    <row r="1003">
      <c r="B1003" s="97"/>
      <c r="C1003" s="121" t="str">
        <f t="array" ref="C1003">ifs(and(isblank($A1003),isblank($B1003)),"", not(iserror(vlookup($A1003&amp;$B1003,'5) Release_Track'!$F:$F&amp;'5) Release_Track'!$G:$G,1,0))),vlookup($A1003&amp;$B1003,{'5) Release_Track'!$F:$F&amp;'5) Release_Track'!$G:$G,'5) Release_Track'!$H:$H},2,0),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D1003" s="121" t="str">
        <f t="array" ref="D1003">ifs(and(isblank($A1003),isblank($B1003)),"", not(iserror(vlookup($A1003&amp;$B1003,'5) Release_Track'!$F:$F&amp;'5) Release_Track'!$G:$G,1,0))),vlookup($A1003&amp;$B1003,{'5) Release_Track'!$F:$F&amp;'5) Release_Track'!$G:$G,'5) Release_Track'!$I:$I},2,0),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E1003" s="116" t="str">
        <f t="array" ref="E1003">ifs(and(isblank($A1003),isblank($B1003)),"", not(iserror(vlookup($A1003&amp;$B1003,'5) Release_Track'!$F:$F&amp;'5) Release_Track'!$G:$G,1,0))),vlookup($A1003&amp;$B1003,{'5) Release_Track'!$F:$F&amp;'5) Release_Track'!$G:$G,'5) Release_Track'!$J:$J},2,0),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F1003" s="88"/>
      <c r="G1003" s="92"/>
      <c r="H1003" s="185"/>
      <c r="I1003" s="121" t="str">
        <f t="shared" si="2"/>
        <v/>
      </c>
      <c r="J1003" s="92"/>
      <c r="K1003" s="92"/>
    </row>
    <row r="1004">
      <c r="B1004" s="97"/>
      <c r="C1004" s="121" t="str">
        <f t="array" ref="C1004">ifs(and(isblank($A1004),isblank($B1004)),"", not(iserror(vlookup($A1004&amp;$B1004,'5) Release_Track'!$F:$F&amp;'5) Release_Track'!$G:$G,1,0))),vlookup($A1004&amp;$B1004,{'5) Release_Track'!$F:$F&amp;'5) Release_Track'!$G:$G,'5) Release_Track'!$H:$H},2,0), or(and(not(isblank($B1004)),$B1004=$B1003,$A1004&lt;&gt;$A1003),and(not(isblank($A1004)),$A1004=$A1003,$B1004&lt;&gt;$B1003)),"ID LISTS UNALIGNED",and($A1004&lt;&gt;"",countif('5) Release_Track'!$F:$F,$A1004)=0),"NO ISRC MATCH in Release_Track",and($B1004&lt;&gt;"",countif('5) Release_Track'!$G:$G,$B1004)=0),"NO CATALOG ID MATCH in Release_Track",iserror(vlookup($A1004&amp;$B1004,'5) Release_Track'!$F:$F&amp;'5) Release_Track'!$G:$G,1,0)),"NO ISRC-CATALOG ID pair MATCH in Release_Track" )</f>
        <v/>
      </c>
      <c r="D1004" s="121" t="str">
        <f t="array" ref="D1004">ifs(and(isblank($A1004),isblank($B1004)),"", not(iserror(vlookup($A1004&amp;$B1004,'5) Release_Track'!$F:$F&amp;'5) Release_Track'!$G:$G,1,0))),vlookup($A1004&amp;$B1004,{'5) Release_Track'!$F:$F&amp;'5) Release_Track'!$G:$G,'5) Release_Track'!$I:$I},2,0), or(and(not(isblank($B1004)),$B1004=$B1003,$A1004&lt;&gt;$A1003),and(not(isblank($A1004)),$A1004=$A1003,$B1004&lt;&gt;$B1003)),"ID LISTS UNALIGNED",and($A1004&lt;&gt;"",countif('5) Release_Track'!$F:$F,$A1004)=0),"NO ISRC MATCH in Release_Track",and($B1004&lt;&gt;"",countif('5) Release_Track'!$G:$G,$B1004)=0),"NO CATALOG ID MATCH in Release_Track",iserror(vlookup($A1004&amp;$B1004,'5) Release_Track'!$F:$F&amp;'5) Release_Track'!$G:$G,1,0)),"NO ISRC-CATALOG ID pair MATCH in Release_Track" )</f>
        <v/>
      </c>
      <c r="E1004" s="116" t="str">
        <f t="array" ref="E1004">ifs(and(isblank($A1004),isblank($B1004)),"", not(iserror(vlookup($A1004&amp;$B1004,'5) Release_Track'!$F:$F&amp;'5) Release_Track'!$G:$G,1,0))),vlookup($A1004&amp;$B1004,{'5) Release_Track'!$F:$F&amp;'5) Release_Track'!$G:$G,'5) Release_Track'!$J:$J},2,0), or(and(not(isblank($B1004)),$B1004=$B1003,$A1004&lt;&gt;$A1003),and(not(isblank($A1004)),$A1004=$A1003,$B1004&lt;&gt;$B1003)),"ID LISTS UNALIGNED",and($A1004&lt;&gt;"",countif('5) Release_Track'!$F:$F,$A1004)=0),"NO ISRC MATCH in Release_Track",and($B1004&lt;&gt;"",countif('5) Release_Track'!$G:$G,$B1004)=0),"NO CATALOG ID MATCH in Release_Track",iserror(vlookup($A1004&amp;$B1004,'5) Release_Track'!$F:$F&amp;'5) Release_Track'!$G:$G,1,0)),"NO ISRC-CATALOG ID pair MATCH in Release_Track" )</f>
        <v/>
      </c>
      <c r="F1004" s="88"/>
      <c r="G1004" s="92"/>
      <c r="H1004" s="185"/>
      <c r="I1004" s="121" t="str">
        <f t="shared" si="2"/>
        <v/>
      </c>
      <c r="J1004" s="92"/>
      <c r="K1004" s="92"/>
    </row>
    <row r="1005">
      <c r="B1005" s="97"/>
      <c r="C1005" s="121" t="str">
        <f t="array" ref="C1005">ifs(and(isblank($A1005),isblank($B1005)),"", not(iserror(vlookup($A1005&amp;$B1005,'5) Release_Track'!$F:$F&amp;'5) Release_Track'!$G:$G,1,0))),vlookup($A1005&amp;$B1005,{'5) Release_Track'!$F:$F&amp;'5) Release_Track'!$G:$G,'5) Release_Track'!$H:$H},2,0), or(and(not(isblank($B1005)),$B1005=$B1004,$A1005&lt;&gt;$A1004),and(not(isblank($A1005)),$A1005=$A1004,$B1005&lt;&gt;$B1004)),"ID LISTS UNALIGNED",and($A1005&lt;&gt;"",countif('5) Release_Track'!$F:$F,$A1005)=0),"NO ISRC MATCH in Release_Track",and($B1005&lt;&gt;"",countif('5) Release_Track'!$G:$G,$B1005)=0),"NO CATALOG ID MATCH in Release_Track",iserror(vlookup($A1005&amp;$B1005,'5) Release_Track'!$F:$F&amp;'5) Release_Track'!$G:$G,1,0)),"NO ISRC-CATALOG ID pair MATCH in Release_Track" )</f>
        <v/>
      </c>
      <c r="D1005" s="121" t="str">
        <f t="array" ref="D1005">ifs(and(isblank($A1005),isblank($B1005)),"", not(iserror(vlookup($A1005&amp;$B1005,'5) Release_Track'!$F:$F&amp;'5) Release_Track'!$G:$G,1,0))),vlookup($A1005&amp;$B1005,{'5) Release_Track'!$F:$F&amp;'5) Release_Track'!$G:$G,'5) Release_Track'!$I:$I},2,0), or(and(not(isblank($B1005)),$B1005=$B1004,$A1005&lt;&gt;$A1004),and(not(isblank($A1005)),$A1005=$A1004,$B1005&lt;&gt;$B1004)),"ID LISTS UNALIGNED",and($A1005&lt;&gt;"",countif('5) Release_Track'!$F:$F,$A1005)=0),"NO ISRC MATCH in Release_Track",and($B1005&lt;&gt;"",countif('5) Release_Track'!$G:$G,$B1005)=0),"NO CATALOG ID MATCH in Release_Track",iserror(vlookup($A1005&amp;$B1005,'5) Release_Track'!$F:$F&amp;'5) Release_Track'!$G:$G,1,0)),"NO ISRC-CATALOG ID pair MATCH in Release_Track" )</f>
        <v/>
      </c>
      <c r="E1005" s="116" t="str">
        <f t="array" ref="E1005">ifs(and(isblank($A1005),isblank($B1005)),"", not(iserror(vlookup($A1005&amp;$B1005,'5) Release_Track'!$F:$F&amp;'5) Release_Track'!$G:$G,1,0))),vlookup($A1005&amp;$B1005,{'5) Release_Track'!$F:$F&amp;'5) Release_Track'!$G:$G,'5) Release_Track'!$J:$J},2,0), or(and(not(isblank($B1005)),$B1005=$B1004,$A1005&lt;&gt;$A1004),and(not(isblank($A1005)),$A1005=$A1004,$B1005&lt;&gt;$B1004)),"ID LISTS UNALIGNED",and($A1005&lt;&gt;"",countif('5) Release_Track'!$F:$F,$A1005)=0),"NO ISRC MATCH in Release_Track",and($B1005&lt;&gt;"",countif('5) Release_Track'!$G:$G,$B1005)=0),"NO CATALOG ID MATCH in Release_Track",iserror(vlookup($A1005&amp;$B1005,'5) Release_Track'!$F:$F&amp;'5) Release_Track'!$G:$G,1,0)),"NO ISRC-CATALOG ID pair MATCH in Release_Track" )</f>
        <v/>
      </c>
      <c r="F1005" s="88"/>
      <c r="G1005" s="92"/>
      <c r="H1005" s="185"/>
      <c r="I1005" s="121" t="str">
        <f t="shared" si="2"/>
        <v/>
      </c>
      <c r="J1005" s="92"/>
      <c r="K1005" s="92"/>
    </row>
  </sheetData>
  <mergeCells count="1">
    <mergeCell ref="C4:E4"/>
  </mergeCells>
  <conditionalFormatting sqref="A1:B1 H1">
    <cfRule type="cellIs" dxfId="3" priority="1" operator="notEqual">
      <formula>0</formula>
    </cfRule>
  </conditionalFormatting>
  <conditionalFormatting sqref="I5:I1005">
    <cfRule type="cellIs" dxfId="1" priority="2" operator="equal">
      <formula>1</formula>
    </cfRule>
  </conditionalFormatting>
  <conditionalFormatting sqref="I5:I1005">
    <cfRule type="cellIs" dxfId="6" priority="3" operator="greaterThan">
      <formula>1</formula>
    </cfRule>
  </conditionalFormatting>
  <conditionalFormatting sqref="I5:I1005">
    <cfRule type="expression" dxfId="2" priority="4">
      <formula>or(and(I5&lt;1,I6&lt;&gt;"",C5&lt;&gt;C6),and(I5&lt;1,I6&lt;&gt;"",D5&lt;&gt;D6))</formula>
    </cfRule>
  </conditionalFormatting>
  <conditionalFormatting sqref="K5:K1005">
    <cfRule type="expression" dxfId="7" priority="5">
      <formula>and(J5="Published (managed by a publisher)",K5="")</formula>
    </cfRule>
  </conditionalFormatting>
  <conditionalFormatting sqref="K5:K1005">
    <cfRule type="expression" dxfId="8" priority="6">
      <formula>and(J5&lt;&gt;"Published (managed by a publisher)",K5&lt;&gt;"")</formula>
    </cfRule>
  </conditionalFormatting>
  <conditionalFormatting sqref="F5:F1005">
    <cfRule type="expression" dxfId="0" priority="7">
      <formula>or(and(or(not(isblank(A5)),not(isblank(B5))),isblank(F5)),and(not(isblank(F5)),iserror(match(F5,indirect("'7) Comp Contributor/Publisher lists'!a:a"),0))))</formula>
    </cfRule>
  </conditionalFormatting>
  <conditionalFormatting sqref="J5:J1005">
    <cfRule type="expression" dxfId="0" priority="8">
      <formula>or(and(isblank(J5),or(not(isblank(A5)),not(isblank(B5)))),and(not(isblank(J5)),iserror(match(J5,indirect("'Reference info'!o:o"),0))))</formula>
    </cfRule>
  </conditionalFormatting>
  <conditionalFormatting sqref="K5:K1005">
    <cfRule type="expression" dxfId="0" priority="9">
      <formula>and(not(isblank(K5)),iserror(match(K5,indirect("'7) Comp Contributor/Publisher lists'!G:G"),0)))</formula>
    </cfRule>
  </conditionalFormatting>
  <conditionalFormatting sqref="A5:A1005">
    <cfRule type="expression" dxfId="5" priority="10">
      <formula>and(A5&lt;&gt;"",B5&lt;&gt;"",countif(A:A,A5)&lt;&gt;countif(B:B,B5))</formula>
    </cfRule>
  </conditionalFormatting>
  <conditionalFormatting sqref="B5:B1005">
    <cfRule type="expression" dxfId="5" priority="11">
      <formula>and(A5&lt;&gt;"",B5&lt;&gt;"",countif(A:A,A5)&lt;&gt;countif(B:B,B5))</formula>
    </cfRule>
  </conditionalFormatting>
  <conditionalFormatting sqref="G5:G1005">
    <cfRule type="expression" dxfId="0" priority="12">
      <formula>and(not(isblank(G5)),iserror(match(G5,indirect("'Reference info'!q:q"),0)))</formula>
    </cfRule>
  </conditionalFormatting>
  <dataValidations>
    <dataValidation type="list" allowBlank="1" showInputMessage="1" showErrorMessage="1" prompt="select from Comp Contributor list, start typing or drag" sqref="F5:F8">
      <formula1>CompContributor</formula1>
    </dataValidation>
    <dataValidation type="list" allowBlank="1" showInputMessage="1" showErrorMessage="1" prompt="select from list, start typing or drag" sqref="G5:G1005">
      <formula1>CompositionRole</formula1>
    </dataValidation>
    <dataValidation type="custom" allowBlank="1" showDropDown="1" showInputMessage="1" showErrorMessage="1" prompt="must contain 2 letters, 3 character minimum, 20 character maximum, alphanumeric ONLY (letter or number; no dashes, spaces, punctuation marks, etc.)" sqref="B5:B1005">
      <formula1>and(regexmatch(B5,"^[a-zA-Z0-9]*$"), len(B5)&gt;=3, len(B5)&lt;=20)</formula1>
    </dataValidation>
    <dataValidation type="custom" allowBlank="1" showDropDown="1" showInputMessage="1" showErrorMessage="1" prompt="Only positive numeric values up to 100%: max 2 decimals in Percent format, e.g. 33.34%; or max 4 decimals in Number format, e.g. 0.3334;" sqref="H5:H1005">
      <formula1>and(INT(H5*10000)=H5*10000,H5&gt;0,H5&lt;=1)</formula1>
    </dataValidation>
    <dataValidation type="list" allowBlank="1" showInputMessage="1" showErrorMessage="1" prompt="select from Comp Contributor list, start typing or drag" sqref="F9:F1005">
      <formula1>CompContributor</formula1>
    </dataValidation>
    <dataValidation type="list" allowBlank="1" showInputMessage="1" showErrorMessage="1" prompt="Fill out ONLY when 'Published (managed by a publisher)' selected for Publishing; select from Publisher list, start typing or drag" sqref="K9:K1005">
      <formula1>Publisher</formula1>
    </dataValidation>
    <dataValidation type="list" allowBlank="1" showInputMessage="1" showErrorMessage="1" prompt="Click and enter a value frselect from list, start typing or dragom range" sqref="J5:J1005">
      <formula1>Publishing</formula1>
    </dataValidation>
    <dataValidation type="list" allowBlank="1" showInputMessage="1" showErrorMessage="1" prompt="Fill out ONLY when 'Published (managed by a publisher)' selected for Publishing; select from Publisher list, start typing or drag" sqref="K5:K8">
      <formula1>Publisher</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5.5"/>
    <col customWidth="1" min="3" max="3" width="28.75"/>
    <col customWidth="1" min="4" max="4" width="14.5"/>
    <col customWidth="1" min="5" max="5" width="10.75"/>
    <col customWidth="1" min="6" max="6" width="10.63"/>
    <col customWidth="1" min="7" max="7" width="12.5"/>
    <col customWidth="1" min="8" max="8" width="10.88"/>
    <col customWidth="1" min="9" max="9" width="8.25"/>
    <col customWidth="1" min="10" max="10" width="12.75"/>
    <col customWidth="1" min="11" max="11" width="9.5"/>
    <col customWidth="1" min="12" max="12" width="6.25"/>
    <col customWidth="1" min="13" max="13" width="26.63"/>
    <col customWidth="1" min="14" max="14" width="21.88"/>
    <col customWidth="1" min="15" max="15" width="8.38"/>
    <col customWidth="1" min="16" max="16" width="16.0"/>
    <col customWidth="1" min="17" max="17" width="12.13"/>
    <col customWidth="1" min="18" max="18" width="12.75"/>
    <col customWidth="1" min="19" max="19" width="9.75"/>
    <col customWidth="1" min="20" max="20" width="8.0"/>
    <col customWidth="1" min="21" max="21" width="9.5"/>
    <col customWidth="1" min="22" max="22" width="9.0"/>
    <col customWidth="1" min="23" max="23" width="12.5"/>
    <col customWidth="1" min="24" max="24" width="4.38"/>
    <col customWidth="1" min="25" max="25" width="8.38"/>
    <col customWidth="1" min="26" max="26" width="6.75"/>
    <col customWidth="1" min="30" max="30" width="11.0"/>
  </cols>
  <sheetData>
    <row r="1">
      <c r="A1" s="13">
        <f>IFERROR(__xludf.DUMMYFUNCTION("COUNTUNIQUE(A5:A1005)-'5) Release_Track'!F1"),0.0)</f>
        <v>0</v>
      </c>
      <c r="B1" s="13">
        <f>IFERROR(__xludf.DUMMYFUNCTION("COUNTUNIQUE(B5:B1005)-'5) Release_Track'!G1"),0.0)</f>
        <v>0</v>
      </c>
      <c r="C1" s="99" t="s">
        <v>99</v>
      </c>
      <c r="D1" s="100"/>
      <c r="E1" s="101" t="s">
        <v>29</v>
      </c>
      <c r="F1" s="171"/>
      <c r="G1" s="171"/>
      <c r="H1" s="186" t="s">
        <v>27</v>
      </c>
      <c r="I1" s="21"/>
      <c r="J1" s="21"/>
      <c r="K1" s="21"/>
      <c r="L1" s="21"/>
      <c r="N1" s="156"/>
    </row>
    <row r="2">
      <c r="A2" s="105" t="s">
        <v>186</v>
      </c>
      <c r="B2" s="106"/>
      <c r="C2" s="157"/>
      <c r="D2" s="157"/>
      <c r="E2" s="157"/>
      <c r="F2" s="157"/>
      <c r="G2" s="157"/>
      <c r="H2" s="157"/>
      <c r="I2" s="157"/>
      <c r="J2" s="157"/>
      <c r="K2" s="157"/>
      <c r="L2" s="157"/>
    </row>
    <row r="3">
      <c r="A3" s="129" t="s">
        <v>117</v>
      </c>
      <c r="B3" s="68" t="s">
        <v>118</v>
      </c>
      <c r="C3" s="158" t="s">
        <v>119</v>
      </c>
      <c r="D3" s="158" t="s">
        <v>120</v>
      </c>
      <c r="E3" s="109"/>
      <c r="F3" s="109"/>
      <c r="G3" s="187" t="s">
        <v>187</v>
      </c>
      <c r="H3" s="109"/>
      <c r="I3" s="109"/>
      <c r="J3" s="109"/>
      <c r="K3" s="109"/>
      <c r="L3" s="109"/>
    </row>
    <row r="4">
      <c r="A4" s="77" t="s">
        <v>146</v>
      </c>
      <c r="B4" s="159" t="s">
        <v>146</v>
      </c>
      <c r="C4" s="111" t="s">
        <v>147</v>
      </c>
      <c r="E4" s="135" t="s">
        <v>188</v>
      </c>
      <c r="F4" s="35" t="s">
        <v>189</v>
      </c>
      <c r="G4" s="35" t="s">
        <v>190</v>
      </c>
      <c r="H4" s="135" t="s">
        <v>191</v>
      </c>
      <c r="I4" s="135" t="s">
        <v>192</v>
      </c>
      <c r="J4" s="135" t="s">
        <v>193</v>
      </c>
      <c r="K4" s="135" t="s">
        <v>194</v>
      </c>
      <c r="L4" s="135" t="s">
        <v>195</v>
      </c>
      <c r="M4" s="48"/>
    </row>
    <row r="5">
      <c r="A5" s="47" t="s">
        <v>137</v>
      </c>
      <c r="B5" s="91"/>
      <c r="C5" s="137" t="str">
        <f t="array" ref="C5">ifs(and(isblank($A5),isblank($B5)),"", not(iserror(vlookup($A5&amp;$B5,'5) Release_Track'!$F:$F&amp;'5) Release_Track'!$G:$G,1,0))),vlookup($A5&amp;$B5,{'5) Release_Track'!$F:$F&amp;'5) Release_Track'!$G:$G,'5) Release_Track'!$H:$H},2,0),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Receba</v>
      </c>
      <c r="D5" s="137" t="str">
        <f t="array" ref="D5">ifs(and(isblank($A5),isblank($B5)),"", not(iserror(vlookup($A5&amp;$B5,'5) Release_Track'!$F:$F&amp;'5) Release_Track'!$G:$G,1,0))),vlookup($A5&amp;$B5,{'5) Release_Track'!$F:$F&amp;'5) Release_Track'!$G:$G,'5) Release_Track'!$I:$I},2,0), or(and(not(isblank($B5)),$B5=#REF!,$A5&lt;&gt;#REF!),and(not(isblank($A5)),$A5=#REF!,$B5&lt;&gt;#REF!)),"ID LISTS UNALIGNED",and($A5&lt;&gt;"",countif('5) Release_Track'!$F:$F,$A5)=0),"NO ISRC MATCH in Release_Track",and($B5&lt;&gt;"",countif('5) Release_Track'!$G:$G,$B5)=0),"NO CATALOG ID MATCH in Release_Track",iserror(vlookup($A5&amp;$B5,'5) Release_Track'!$F:$F&amp;'5) Release_Track'!$G:$G,1,0)),"NO ISRC-CATALOG ID pair MATCH in Release_Track" )</f>
        <v>Extended</v>
      </c>
      <c r="E5" s="188" t="b">
        <v>0</v>
      </c>
      <c r="F5" s="188" t="b">
        <v>0</v>
      </c>
      <c r="G5" s="188" t="b">
        <v>0</v>
      </c>
      <c r="H5" s="188" t="b">
        <v>0</v>
      </c>
      <c r="I5" s="188" t="b">
        <v>0</v>
      </c>
      <c r="J5" s="188" t="b">
        <v>0</v>
      </c>
      <c r="K5" s="188" t="b">
        <v>0</v>
      </c>
      <c r="L5" s="94" t="b">
        <v>1</v>
      </c>
      <c r="M5" s="48" t="s">
        <v>149</v>
      </c>
      <c r="O5" s="28"/>
    </row>
    <row r="6">
      <c r="A6" s="47" t="s">
        <v>143</v>
      </c>
      <c r="B6" s="91"/>
      <c r="C6" s="137" t="str">
        <f t="array" ref="C6">ifs(and(isblank($A6),isblank($B6)),"", not(iserror(vlookup($A6&amp;$B6,'5) Release_Track'!$F:$F&amp;'5) Release_Track'!$G:$G,1,0))),vlookup($A6&amp;$B6,{'5) Release_Track'!$F:$F&amp;'5) Release_Track'!$G:$G,'5) Release_Track'!$H:$H},2,0),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A Cláusula do Contrato</v>
      </c>
      <c r="D6" s="116" t="str">
        <f t="array" ref="D6">ifs(and(isblank($A6),isblank($B6)),"", not(iserror(vlookup($A6&amp;$B6,'5) Release_Track'!$F:$F&amp;'5) Release_Track'!$G:$G,1,0))),vlookup($A6&amp;$B6,{'5) Release_Track'!$F:$F&amp;'5) Release_Track'!$G:$G,'5) Release_Track'!$I:$I},2,0),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
      </c>
      <c r="E6" s="188" t="b">
        <v>0</v>
      </c>
      <c r="F6" s="188" t="b">
        <v>0</v>
      </c>
      <c r="G6" s="188" t="b">
        <v>0</v>
      </c>
      <c r="H6" s="188" t="b">
        <v>0</v>
      </c>
      <c r="I6" s="188" t="b">
        <v>0</v>
      </c>
      <c r="J6" s="188" t="b">
        <v>0</v>
      </c>
      <c r="K6" s="188" t="b">
        <v>0</v>
      </c>
      <c r="L6" s="94" t="b">
        <v>1</v>
      </c>
    </row>
    <row r="7">
      <c r="A7" s="28"/>
      <c r="B7" s="97"/>
      <c r="C7" s="121" t="str">
        <f t="array" ref="C7">ifs(and(isblank($A7),isblank($B7)),"", not(iserror(vlookup($A7&amp;$B7,'5) Release_Track'!$F:$F&amp;'5) Release_Track'!$G:$G,1,0))),vlookup($A7&amp;$B7,{'5) Release_Track'!$F:$F&amp;'5) Release_Track'!$G:$G,'5) Release_Track'!$H:$H},2,0),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
      </c>
      <c r="D7" s="121" t="str">
        <f t="array" ref="D7">ifs(and(isblank($A7),isblank($B7)),"", not(iserror(vlookup($A7&amp;$B7,'5) Release_Track'!$F:$F&amp;'5) Release_Track'!$G:$G,1,0))),vlookup($A7&amp;$B7,{'5) Release_Track'!$F:$F&amp;'5) Release_Track'!$G:$G,'5) Release_Track'!$I:$I},2,0),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
      </c>
      <c r="E7" s="150" t="b">
        <v>0</v>
      </c>
      <c r="F7" s="150" t="b">
        <v>0</v>
      </c>
      <c r="G7" s="150" t="b">
        <v>0</v>
      </c>
      <c r="H7" s="150" t="b">
        <v>0</v>
      </c>
      <c r="I7" s="150" t="b">
        <v>0</v>
      </c>
      <c r="J7" s="150" t="b">
        <v>0</v>
      </c>
      <c r="K7" s="150" t="b">
        <v>0</v>
      </c>
      <c r="L7" s="8" t="b">
        <v>0</v>
      </c>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row>
    <row r="8">
      <c r="A8" s="28"/>
      <c r="B8" s="97"/>
      <c r="C8" s="121" t="str">
        <f t="array" ref="C8">ifs(and(isblank($A8),isblank($B8)),"", not(iserror(vlookup($A8&amp;$B8,'5) Release_Track'!$F:$F&amp;'5) Release_Track'!$G:$G,1,0))),vlookup($A8&amp;$B8,{'5) Release_Track'!$F:$F&amp;'5) Release_Track'!$G:$G,'5) Release_Track'!$H:$H},2,0),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
      </c>
      <c r="D8" s="121" t="str">
        <f t="array" ref="D8">ifs(and(isblank($A8),isblank($B8)),"", not(iserror(vlookup($A8&amp;$B8,'5) Release_Track'!$F:$F&amp;'5) Release_Track'!$G:$G,1,0))),vlookup($A8&amp;$B8,{'5) Release_Track'!$F:$F&amp;'5) Release_Track'!$G:$G,'5) Release_Track'!$I:$I},2,0),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
      </c>
      <c r="E8" s="150" t="b">
        <v>0</v>
      </c>
      <c r="F8" s="150" t="b">
        <v>0</v>
      </c>
      <c r="G8" s="150" t="b">
        <v>0</v>
      </c>
      <c r="H8" s="150" t="b">
        <v>0</v>
      </c>
      <c r="I8" s="150" t="b">
        <v>0</v>
      </c>
      <c r="J8" s="150" t="b">
        <v>0</v>
      </c>
      <c r="K8" s="150" t="b">
        <v>0</v>
      </c>
      <c r="L8" s="8" t="b">
        <v>0</v>
      </c>
      <c r="M8" s="28"/>
      <c r="O8" s="154"/>
      <c r="P8" s="154"/>
      <c r="Q8" s="154"/>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row>
    <row r="9">
      <c r="A9" s="28"/>
      <c r="B9" s="120"/>
      <c r="C9" s="121" t="str">
        <f t="array" ref="C9">ifs(and(isblank($A9),isblank($B9)),"", not(iserror(vlookup($A9&amp;$B9,'5) Release_Track'!$F:$F&amp;'5) Release_Track'!$G:$G,1,0))),vlookup($A9&amp;$B9,{'5) Release_Track'!$F:$F&amp;'5) Release_Track'!$G:$G,'5) Release_Track'!$H:$H},2,0),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
      </c>
      <c r="D9" s="121" t="str">
        <f t="array" ref="D9">ifs(and(isblank($A9),isblank($B9)),"", not(iserror(vlookup($A9&amp;$B9,'5) Release_Track'!$F:$F&amp;'5) Release_Track'!$G:$G,1,0))),vlookup($A9&amp;$B9,{'5) Release_Track'!$F:$F&amp;'5) Release_Track'!$G:$G,'5) Release_Track'!$I:$I},2,0),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
      </c>
      <c r="E9" s="150" t="b">
        <v>0</v>
      </c>
      <c r="F9" s="150" t="b">
        <v>0</v>
      </c>
      <c r="G9" s="150" t="b">
        <v>0</v>
      </c>
      <c r="H9" s="150" t="b">
        <v>0</v>
      </c>
      <c r="I9" s="150" t="b">
        <v>0</v>
      </c>
      <c r="J9" s="150" t="b">
        <v>0</v>
      </c>
      <c r="K9" s="150" t="b">
        <v>0</v>
      </c>
      <c r="L9" s="8" t="b">
        <v>0</v>
      </c>
      <c r="M9" s="28"/>
      <c r="N9" s="28"/>
      <c r="O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row>
    <row r="10">
      <c r="A10" s="28"/>
      <c r="B10" s="120"/>
      <c r="C10" s="121" t="str">
        <f t="array" ref="C10">ifs(and(isblank($A10),isblank($B10)),"", not(iserror(vlookup($A10&amp;$B10,'5) Release_Track'!$F:$F&amp;'5) Release_Track'!$G:$G,1,0))),vlookup($A10&amp;$B10,{'5) Release_Track'!$F:$F&amp;'5) Release_Track'!$G:$G,'5) Release_Track'!$H:$H},2,0),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D10" s="121" t="str">
        <f t="array" ref="D10">ifs(and(isblank($A10),isblank($B10)),"", not(iserror(vlookup($A10&amp;$B10,'5) Release_Track'!$F:$F&amp;'5) Release_Track'!$G:$G,1,0))),vlookup($A10&amp;$B10,{'5) Release_Track'!$F:$F&amp;'5) Release_Track'!$G:$G,'5) Release_Track'!$I:$I},2,0),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E10" s="150" t="b">
        <v>0</v>
      </c>
      <c r="F10" s="150" t="b">
        <v>0</v>
      </c>
      <c r="G10" s="150" t="b">
        <v>0</v>
      </c>
      <c r="H10" s="150" t="b">
        <v>0</v>
      </c>
      <c r="I10" s="150" t="b">
        <v>0</v>
      </c>
      <c r="J10" s="150" t="b">
        <v>0</v>
      </c>
      <c r="K10" s="150" t="b">
        <v>0</v>
      </c>
      <c r="L10" s="8" t="b">
        <v>0</v>
      </c>
      <c r="M10" s="28" t="s">
        <v>150</v>
      </c>
      <c r="O10" s="154"/>
      <c r="P10" s="28"/>
      <c r="Q10" s="28"/>
      <c r="R10" s="154"/>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row>
    <row r="11">
      <c r="A11" s="28"/>
      <c r="B11" s="120"/>
      <c r="C11" s="121" t="str">
        <f t="array" ref="C11">ifs(and(isblank($A11),isblank($B11)),"", not(iserror(vlookup($A11&amp;$B11,'5) Release_Track'!$F:$F&amp;'5) Release_Track'!$G:$G,1,0))),vlookup($A11&amp;$B11,{'5) Release_Track'!$F:$F&amp;'5) Release_Track'!$G:$G,'5) Release_Track'!$H:$H},2,0),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D11" s="121" t="str">
        <f t="array" ref="D11">ifs(and(isblank($A11),isblank($B11)),"", not(iserror(vlookup($A11&amp;$B11,'5) Release_Track'!$F:$F&amp;'5) Release_Track'!$G:$G,1,0))),vlookup($A11&amp;$B11,{'5) Release_Track'!$F:$F&amp;'5) Release_Track'!$G:$G,'5) Release_Track'!$I:$I},2,0),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E11" s="150" t="b">
        <v>0</v>
      </c>
      <c r="F11" s="150" t="b">
        <v>0</v>
      </c>
      <c r="G11" s="150" t="b">
        <v>0</v>
      </c>
      <c r="H11" s="150" t="b">
        <v>0</v>
      </c>
      <c r="I11" s="150" t="b">
        <v>0</v>
      </c>
      <c r="J11" s="150" t="b">
        <v>0</v>
      </c>
      <c r="K11" s="150" t="b">
        <v>0</v>
      </c>
      <c r="L11" s="8" t="b">
        <v>0</v>
      </c>
      <c r="M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row>
    <row r="12">
      <c r="A12" s="28"/>
      <c r="B12" s="120"/>
      <c r="C12" s="121" t="str">
        <f t="array" ref="C12">ifs(and(isblank($A12),isblank($B12)),"", not(iserror(vlookup($A12&amp;$B12,'5) Release_Track'!$F:$F&amp;'5) Release_Track'!$G:$G,1,0))),vlookup($A12&amp;$B12,{'5) Release_Track'!$F:$F&amp;'5) Release_Track'!$G:$G,'5) Release_Track'!$H:$H},2,0),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D12" s="121" t="str">
        <f t="array" ref="D12">ifs(and(isblank($A12),isblank($B12)),"", not(iserror(vlookup($A12&amp;$B12,'5) Release_Track'!$F:$F&amp;'5) Release_Track'!$G:$G,1,0))),vlookup($A12&amp;$B12,{'5) Release_Track'!$F:$F&amp;'5) Release_Track'!$G:$G,'5) Release_Track'!$I:$I},2,0),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E12" s="150" t="b">
        <v>0</v>
      </c>
      <c r="F12" s="150" t="b">
        <v>0</v>
      </c>
      <c r="G12" s="150" t="b">
        <v>0</v>
      </c>
      <c r="H12" s="150" t="b">
        <v>0</v>
      </c>
      <c r="I12" s="150" t="b">
        <v>0</v>
      </c>
      <c r="J12" s="150" t="b">
        <v>0</v>
      </c>
      <c r="K12" s="150" t="b">
        <v>0</v>
      </c>
      <c r="L12" s="8" t="b">
        <v>0</v>
      </c>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row>
    <row r="13">
      <c r="A13" s="28"/>
      <c r="B13" s="120"/>
      <c r="C13" s="121" t="str">
        <f t="array" ref="C13">ifs(and(isblank($A13),isblank($B13)),"", not(iserror(vlookup($A13&amp;$B13,'5) Release_Track'!$F:$F&amp;'5) Release_Track'!$G:$G,1,0))),vlookup($A13&amp;$B13,{'5) Release_Track'!$F:$F&amp;'5) Release_Track'!$G:$G,'5) Release_Track'!$H:$H},2,0),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D13" s="121" t="str">
        <f t="array" ref="D13">ifs(and(isblank($A13),isblank($B13)),"", not(iserror(vlookup($A13&amp;$B13,'5) Release_Track'!$F:$F&amp;'5) Release_Track'!$G:$G,1,0))),vlookup($A13&amp;$B13,{'5) Release_Track'!$F:$F&amp;'5) Release_Track'!$G:$G,'5) Release_Track'!$I:$I},2,0),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E13" s="150" t="b">
        <v>0</v>
      </c>
      <c r="F13" s="150" t="b">
        <v>0</v>
      </c>
      <c r="G13" s="150" t="b">
        <v>0</v>
      </c>
      <c r="H13" s="150" t="b">
        <v>0</v>
      </c>
      <c r="I13" s="150" t="b">
        <v>0</v>
      </c>
      <c r="J13" s="150" t="b">
        <v>0</v>
      </c>
      <c r="K13" s="150" t="b">
        <v>0</v>
      </c>
      <c r="L13" s="8" t="b">
        <v>0</v>
      </c>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row>
    <row r="14">
      <c r="A14" s="28"/>
      <c r="B14" s="120"/>
      <c r="C14" s="121" t="str">
        <f t="array" ref="C14">ifs(and(isblank($A14),isblank($B14)),"", not(iserror(vlookup($A14&amp;$B14,'5) Release_Track'!$F:$F&amp;'5) Release_Track'!$G:$G,1,0))),vlookup($A14&amp;$B14,{'5) Release_Track'!$F:$F&amp;'5) Release_Track'!$G:$G,'5) Release_Track'!$H:$H},2,0),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D14" s="121" t="str">
        <f t="array" ref="D14">ifs(and(isblank($A14),isblank($B14)),"", not(iserror(vlookup($A14&amp;$B14,'5) Release_Track'!$F:$F&amp;'5) Release_Track'!$G:$G,1,0))),vlookup($A14&amp;$B14,{'5) Release_Track'!$F:$F&amp;'5) Release_Track'!$G:$G,'5) Release_Track'!$I:$I},2,0),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E14" s="150" t="b">
        <v>0</v>
      </c>
      <c r="F14" s="150" t="b">
        <v>0</v>
      </c>
      <c r="G14" s="150" t="b">
        <v>0</v>
      </c>
      <c r="H14" s="150" t="b">
        <v>0</v>
      </c>
      <c r="I14" s="150" t="b">
        <v>0</v>
      </c>
      <c r="J14" s="150" t="b">
        <v>0</v>
      </c>
      <c r="K14" s="150" t="b">
        <v>0</v>
      </c>
      <c r="L14" s="8" t="b">
        <v>0</v>
      </c>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row>
    <row r="15">
      <c r="A15" s="28"/>
      <c r="B15" s="120"/>
      <c r="C15" s="121" t="str">
        <f t="array" ref="C15">ifs(and(isblank($A15),isblank($B15)),"", not(iserror(vlookup($A15&amp;$B15,'5) Release_Track'!$F:$F&amp;'5) Release_Track'!$G:$G,1,0))),vlookup($A15&amp;$B15,{'5) Release_Track'!$F:$F&amp;'5) Release_Track'!$G:$G,'5) Release_Track'!$H:$H},2,0),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D15" s="121" t="str">
        <f t="array" ref="D15">ifs(and(isblank($A15),isblank($B15)),"", not(iserror(vlookup($A15&amp;$B15,'5) Release_Track'!$F:$F&amp;'5) Release_Track'!$G:$G,1,0))),vlookup($A15&amp;$B15,{'5) Release_Track'!$F:$F&amp;'5) Release_Track'!$G:$G,'5) Release_Track'!$I:$I},2,0),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E15" s="150" t="b">
        <v>0</v>
      </c>
      <c r="F15" s="150" t="b">
        <v>0</v>
      </c>
      <c r="G15" s="150" t="b">
        <v>0</v>
      </c>
      <c r="H15" s="150" t="b">
        <v>0</v>
      </c>
      <c r="I15" s="150" t="b">
        <v>0</v>
      </c>
      <c r="J15" s="150" t="b">
        <v>0</v>
      </c>
      <c r="K15" s="150" t="b">
        <v>0</v>
      </c>
      <c r="L15" s="8" t="b">
        <v>0</v>
      </c>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row>
    <row r="16">
      <c r="A16" s="28"/>
      <c r="B16" s="120"/>
      <c r="C16" s="121" t="str">
        <f t="array" ref="C16">ifs(and(isblank($A16),isblank($B16)),"", not(iserror(vlookup($A16&amp;$B16,'5) Release_Track'!$F:$F&amp;'5) Release_Track'!$G:$G,1,0))),vlookup($A16&amp;$B16,{'5) Release_Track'!$F:$F&amp;'5) Release_Track'!$G:$G,'5) Release_Track'!$H:$H},2,0),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D16" s="121" t="str">
        <f t="array" ref="D16">ifs(and(isblank($A16),isblank($B16)),"", not(iserror(vlookup($A16&amp;$B16,'5) Release_Track'!$F:$F&amp;'5) Release_Track'!$G:$G,1,0))),vlookup($A16&amp;$B16,{'5) Release_Track'!$F:$F&amp;'5) Release_Track'!$G:$G,'5) Release_Track'!$I:$I},2,0),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E16" s="150" t="b">
        <v>0</v>
      </c>
      <c r="F16" s="150" t="b">
        <v>0</v>
      </c>
      <c r="G16" s="150" t="b">
        <v>0</v>
      </c>
      <c r="H16" s="150" t="b">
        <v>0</v>
      </c>
      <c r="I16" s="150" t="b">
        <v>0</v>
      </c>
      <c r="J16" s="150" t="b">
        <v>0</v>
      </c>
      <c r="K16" s="150" t="b">
        <v>0</v>
      </c>
      <c r="L16" s="8" t="b">
        <v>0</v>
      </c>
      <c r="M16" s="28"/>
      <c r="O16" s="160"/>
      <c r="R16" s="28"/>
      <c r="S16" s="28"/>
      <c r="T16" s="28"/>
      <c r="U16" s="28"/>
      <c r="V16" s="28"/>
      <c r="W16" s="28"/>
      <c r="X16" s="28"/>
      <c r="Y16" s="28"/>
      <c r="Z16" s="43"/>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row>
    <row r="17">
      <c r="B17" s="97"/>
      <c r="C17" s="121" t="str">
        <f t="array" ref="C17">ifs(and(isblank($A17),isblank($B17)),"", not(iserror(vlookup($A17&amp;$B17,'5) Release_Track'!$F:$F&amp;'5) Release_Track'!$G:$G,1,0))),vlookup($A17&amp;$B17,{'5) Release_Track'!$F:$F&amp;'5) Release_Track'!$G:$G,'5) Release_Track'!$H:$H},2,0),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D17" s="121" t="str">
        <f t="array" ref="D17">ifs(and(isblank($A17),isblank($B17)),"", not(iserror(vlookup($A17&amp;$B17,'5) Release_Track'!$F:$F&amp;'5) Release_Track'!$G:$G,1,0))),vlookup($A17&amp;$B17,{'5) Release_Track'!$F:$F&amp;'5) Release_Track'!$G:$G,'5) Release_Track'!$I:$I},2,0),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E17" s="150" t="b">
        <v>0</v>
      </c>
      <c r="F17" s="150" t="b">
        <v>0</v>
      </c>
      <c r="G17" s="150" t="b">
        <v>0</v>
      </c>
      <c r="H17" s="150" t="b">
        <v>0</v>
      </c>
      <c r="I17" s="150" t="b">
        <v>0</v>
      </c>
      <c r="J17" s="150" t="b">
        <v>0</v>
      </c>
      <c r="K17" s="150" t="b">
        <v>0</v>
      </c>
      <c r="L17" s="8" t="b">
        <v>0</v>
      </c>
      <c r="O17" s="160"/>
    </row>
    <row r="18">
      <c r="B18" s="97"/>
      <c r="C18" s="121" t="str">
        <f t="array" ref="C18">ifs(and(isblank($A18),isblank($B18)),"", not(iserror(vlookup($A18&amp;$B18,'5) Release_Track'!$F:$F&amp;'5) Release_Track'!$G:$G,1,0))),vlookup($A18&amp;$B18,{'5) Release_Track'!$F:$F&amp;'5) Release_Track'!$G:$G,'5) Release_Track'!$H:$H},2,0),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D18" s="121" t="str">
        <f t="array" ref="D18">ifs(and(isblank($A18),isblank($B18)),"", not(iserror(vlookup($A18&amp;$B18,'5) Release_Track'!$F:$F&amp;'5) Release_Track'!$G:$G,1,0))),vlookup($A18&amp;$B18,{'5) Release_Track'!$F:$F&amp;'5) Release_Track'!$G:$G,'5) Release_Track'!$I:$I},2,0),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E18" s="150" t="b">
        <v>0</v>
      </c>
      <c r="F18" s="150" t="b">
        <v>0</v>
      </c>
      <c r="G18" s="150" t="b">
        <v>0</v>
      </c>
      <c r="H18" s="150" t="b">
        <v>0</v>
      </c>
      <c r="I18" s="150" t="b">
        <v>0</v>
      </c>
      <c r="J18" s="150" t="b">
        <v>0</v>
      </c>
      <c r="K18" s="150" t="b">
        <v>0</v>
      </c>
      <c r="L18" s="8" t="b">
        <v>0</v>
      </c>
      <c r="O18" s="160"/>
    </row>
    <row r="19">
      <c r="B19" s="97"/>
      <c r="C19" s="121" t="str">
        <f t="array" ref="C19">ifs(and(isblank($A19),isblank($B19)),"", not(iserror(vlookup($A19&amp;$B19,'5) Release_Track'!$F:$F&amp;'5) Release_Track'!$G:$G,1,0))),vlookup($A19&amp;$B19,{'5) Release_Track'!$F:$F&amp;'5) Release_Track'!$G:$G,'5) Release_Track'!$H:$H},2,0),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D19" s="121" t="str">
        <f t="array" ref="D19">ifs(and(isblank($A19),isblank($B19)),"", not(iserror(vlookup($A19&amp;$B19,'5) Release_Track'!$F:$F&amp;'5) Release_Track'!$G:$G,1,0))),vlookup($A19&amp;$B19,{'5) Release_Track'!$F:$F&amp;'5) Release_Track'!$G:$G,'5) Release_Track'!$I:$I},2,0),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E19" s="150" t="b">
        <v>0</v>
      </c>
      <c r="F19" s="150" t="b">
        <v>0</v>
      </c>
      <c r="G19" s="150" t="b">
        <v>0</v>
      </c>
      <c r="H19" s="150" t="b">
        <v>0</v>
      </c>
      <c r="I19" s="150" t="b">
        <v>0</v>
      </c>
      <c r="J19" s="150" t="b">
        <v>0</v>
      </c>
      <c r="K19" s="150" t="b">
        <v>0</v>
      </c>
      <c r="L19" s="8" t="b">
        <v>0</v>
      </c>
      <c r="O19" s="160"/>
    </row>
    <row r="20">
      <c r="B20" s="97"/>
      <c r="C20" s="121" t="str">
        <f t="array" ref="C20">ifs(and(isblank($A20),isblank($B20)),"", not(iserror(vlookup($A20&amp;$B20,'5) Release_Track'!$F:$F&amp;'5) Release_Track'!$G:$G,1,0))),vlookup($A20&amp;$B20,{'5) Release_Track'!$F:$F&amp;'5) Release_Track'!$G:$G,'5) Release_Track'!$H:$H},2,0),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D20" s="121" t="str">
        <f t="array" ref="D20">ifs(and(isblank($A20),isblank($B20)),"", not(iserror(vlookup($A20&amp;$B20,'5) Release_Track'!$F:$F&amp;'5) Release_Track'!$G:$G,1,0))),vlookup($A20&amp;$B20,{'5) Release_Track'!$F:$F&amp;'5) Release_Track'!$G:$G,'5) Release_Track'!$I:$I},2,0),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E20" s="150" t="b">
        <v>0</v>
      </c>
      <c r="F20" s="150" t="b">
        <v>0</v>
      </c>
      <c r="G20" s="150" t="b">
        <v>0</v>
      </c>
      <c r="H20" s="150" t="b">
        <v>0</v>
      </c>
      <c r="I20" s="150" t="b">
        <v>0</v>
      </c>
      <c r="J20" s="150" t="b">
        <v>0</v>
      </c>
      <c r="K20" s="150" t="b">
        <v>0</v>
      </c>
      <c r="L20" s="8" t="b">
        <v>0</v>
      </c>
    </row>
    <row r="21">
      <c r="B21" s="97"/>
      <c r="C21" s="121" t="str">
        <f t="array" ref="C21">ifs(and(isblank($A21),isblank($B21)),"", not(iserror(vlookup($A21&amp;$B21,'5) Release_Track'!$F:$F&amp;'5) Release_Track'!$G:$G,1,0))),vlookup($A21&amp;$B21,{'5) Release_Track'!$F:$F&amp;'5) Release_Track'!$G:$G,'5) Release_Track'!$H:$H},2,0),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D21" s="121" t="str">
        <f t="array" ref="D21">ifs(and(isblank($A21),isblank($B21)),"", not(iserror(vlookup($A21&amp;$B21,'5) Release_Track'!$F:$F&amp;'5) Release_Track'!$G:$G,1,0))),vlookup($A21&amp;$B21,{'5) Release_Track'!$F:$F&amp;'5) Release_Track'!$G:$G,'5) Release_Track'!$I:$I},2,0),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E21" s="150" t="b">
        <v>0</v>
      </c>
      <c r="F21" s="150" t="b">
        <v>0</v>
      </c>
      <c r="G21" s="150" t="b">
        <v>0</v>
      </c>
      <c r="H21" s="150" t="b">
        <v>0</v>
      </c>
      <c r="I21" s="150" t="b">
        <v>0</v>
      </c>
      <c r="J21" s="150" t="b">
        <v>0</v>
      </c>
      <c r="K21" s="150" t="b">
        <v>0</v>
      </c>
      <c r="L21" s="8" t="b">
        <v>0</v>
      </c>
    </row>
    <row r="22">
      <c r="B22" s="97"/>
      <c r="C22" s="121" t="str">
        <f t="array" ref="C22">ifs(and(isblank($A22),isblank($B22)),"", not(iserror(vlookup($A22&amp;$B22,'5) Release_Track'!$F:$F&amp;'5) Release_Track'!$G:$G,1,0))),vlookup($A22&amp;$B22,{'5) Release_Track'!$F:$F&amp;'5) Release_Track'!$G:$G,'5) Release_Track'!$H:$H},2,0),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D22" s="121" t="str">
        <f t="array" ref="D22">ifs(and(isblank($A22),isblank($B22)),"", not(iserror(vlookup($A22&amp;$B22,'5) Release_Track'!$F:$F&amp;'5) Release_Track'!$G:$G,1,0))),vlookup($A22&amp;$B22,{'5) Release_Track'!$F:$F&amp;'5) Release_Track'!$G:$G,'5) Release_Track'!$I:$I},2,0),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E22" s="150" t="b">
        <v>0</v>
      </c>
      <c r="F22" s="150" t="b">
        <v>0</v>
      </c>
      <c r="G22" s="150" t="b">
        <v>0</v>
      </c>
      <c r="H22" s="150" t="b">
        <v>0</v>
      </c>
      <c r="I22" s="150" t="b">
        <v>0</v>
      </c>
      <c r="J22" s="150" t="b">
        <v>0</v>
      </c>
      <c r="K22" s="150" t="b">
        <v>0</v>
      </c>
      <c r="L22" s="8" t="b">
        <v>0</v>
      </c>
    </row>
    <row r="23">
      <c r="B23" s="97"/>
      <c r="C23" s="121" t="str">
        <f t="array" ref="C23">ifs(and(isblank($A23),isblank($B23)),"", not(iserror(vlookup($A23&amp;$B23,'5) Release_Track'!$F:$F&amp;'5) Release_Track'!$G:$G,1,0))),vlookup($A23&amp;$B23,{'5) Release_Track'!$F:$F&amp;'5) Release_Track'!$G:$G,'5) Release_Track'!$H:$H},2,0),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D23" s="121" t="str">
        <f t="array" ref="D23">ifs(and(isblank($A23),isblank($B23)),"", not(iserror(vlookup($A23&amp;$B23,'5) Release_Track'!$F:$F&amp;'5) Release_Track'!$G:$G,1,0))),vlookup($A23&amp;$B23,{'5) Release_Track'!$F:$F&amp;'5) Release_Track'!$G:$G,'5) Release_Track'!$I:$I},2,0),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E23" s="150" t="b">
        <v>0</v>
      </c>
      <c r="F23" s="150" t="b">
        <v>0</v>
      </c>
      <c r="G23" s="150" t="b">
        <v>0</v>
      </c>
      <c r="H23" s="150" t="b">
        <v>0</v>
      </c>
      <c r="I23" s="150" t="b">
        <v>0</v>
      </c>
      <c r="J23" s="150" t="b">
        <v>0</v>
      </c>
      <c r="K23" s="150" t="b">
        <v>0</v>
      </c>
      <c r="L23" s="8" t="b">
        <v>0</v>
      </c>
    </row>
    <row r="24">
      <c r="B24" s="97"/>
      <c r="C24" s="121" t="str">
        <f t="array" ref="C24">ifs(and(isblank($A24),isblank($B24)),"", not(iserror(vlookup($A24&amp;$B24,'5) Release_Track'!$F:$F&amp;'5) Release_Track'!$G:$G,1,0))),vlookup($A24&amp;$B24,{'5) Release_Track'!$F:$F&amp;'5) Release_Track'!$G:$G,'5) Release_Track'!$H:$H},2,0),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D24" s="121" t="str">
        <f t="array" ref="D24">ifs(and(isblank($A24),isblank($B24)),"", not(iserror(vlookup($A24&amp;$B24,'5) Release_Track'!$F:$F&amp;'5) Release_Track'!$G:$G,1,0))),vlookup($A24&amp;$B24,{'5) Release_Track'!$F:$F&amp;'5) Release_Track'!$G:$G,'5) Release_Track'!$I:$I},2,0),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E24" s="150" t="b">
        <v>0</v>
      </c>
      <c r="F24" s="150" t="b">
        <v>0</v>
      </c>
      <c r="G24" s="150" t="b">
        <v>0</v>
      </c>
      <c r="H24" s="150" t="b">
        <v>0</v>
      </c>
      <c r="I24" s="150" t="b">
        <v>0</v>
      </c>
      <c r="J24" s="150" t="b">
        <v>0</v>
      </c>
      <c r="K24" s="150" t="b">
        <v>0</v>
      </c>
      <c r="L24" s="8" t="b">
        <v>0</v>
      </c>
    </row>
    <row r="25">
      <c r="B25" s="97"/>
      <c r="C25" s="121" t="str">
        <f t="array" ref="C25">ifs(and(isblank($A25),isblank($B25)),"", not(iserror(vlookup($A25&amp;$B25,'5) Release_Track'!$F:$F&amp;'5) Release_Track'!$G:$G,1,0))),vlookup($A25&amp;$B25,{'5) Release_Track'!$F:$F&amp;'5) Release_Track'!$G:$G,'5) Release_Track'!$H:$H},2,0),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D25" s="121" t="str">
        <f t="array" ref="D25">ifs(and(isblank($A25),isblank($B25)),"", not(iserror(vlookup($A25&amp;$B25,'5) Release_Track'!$F:$F&amp;'5) Release_Track'!$G:$G,1,0))),vlookup($A25&amp;$B25,{'5) Release_Track'!$F:$F&amp;'5) Release_Track'!$G:$G,'5) Release_Track'!$I:$I},2,0),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E25" s="150" t="b">
        <v>0</v>
      </c>
      <c r="F25" s="150" t="b">
        <v>0</v>
      </c>
      <c r="G25" s="150" t="b">
        <v>0</v>
      </c>
      <c r="H25" s="150" t="b">
        <v>0</v>
      </c>
      <c r="I25" s="150" t="b">
        <v>0</v>
      </c>
      <c r="J25" s="150" t="b">
        <v>0</v>
      </c>
      <c r="K25" s="150" t="b">
        <v>0</v>
      </c>
      <c r="L25" s="8" t="b">
        <v>0</v>
      </c>
    </row>
    <row r="26">
      <c r="B26" s="97"/>
      <c r="C26" s="121" t="str">
        <f t="array" ref="C26">ifs(and(isblank($A26),isblank($B26)),"", not(iserror(vlookup($A26&amp;$B26,'5) Release_Track'!$F:$F&amp;'5) Release_Track'!$G:$G,1,0))),vlookup($A26&amp;$B26,{'5) Release_Track'!$F:$F&amp;'5) Release_Track'!$G:$G,'5) Release_Track'!$H:$H},2,0),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D26" s="121" t="str">
        <f t="array" ref="D26">ifs(and(isblank($A26),isblank($B26)),"", not(iserror(vlookup($A26&amp;$B26,'5) Release_Track'!$F:$F&amp;'5) Release_Track'!$G:$G,1,0))),vlookup($A26&amp;$B26,{'5) Release_Track'!$F:$F&amp;'5) Release_Track'!$G:$G,'5) Release_Track'!$I:$I},2,0),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E26" s="150" t="b">
        <v>0</v>
      </c>
      <c r="F26" s="150" t="b">
        <v>0</v>
      </c>
      <c r="G26" s="150" t="b">
        <v>0</v>
      </c>
      <c r="H26" s="150" t="b">
        <v>0</v>
      </c>
      <c r="I26" s="150" t="b">
        <v>0</v>
      </c>
      <c r="J26" s="150" t="b">
        <v>0</v>
      </c>
      <c r="K26" s="150" t="b">
        <v>0</v>
      </c>
      <c r="L26" s="8" t="b">
        <v>0</v>
      </c>
    </row>
    <row r="27">
      <c r="B27" s="97"/>
      <c r="C27" s="121" t="str">
        <f t="array" ref="C27">ifs(and(isblank($A27),isblank($B27)),"", not(iserror(vlookup($A27&amp;$B27,'5) Release_Track'!$F:$F&amp;'5) Release_Track'!$G:$G,1,0))),vlookup($A27&amp;$B27,{'5) Release_Track'!$F:$F&amp;'5) Release_Track'!$G:$G,'5) Release_Track'!$H:$H},2,0),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D27" s="121" t="str">
        <f t="array" ref="D27">ifs(and(isblank($A27),isblank($B27)),"", not(iserror(vlookup($A27&amp;$B27,'5) Release_Track'!$F:$F&amp;'5) Release_Track'!$G:$G,1,0))),vlookup($A27&amp;$B27,{'5) Release_Track'!$F:$F&amp;'5) Release_Track'!$G:$G,'5) Release_Track'!$I:$I},2,0),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E27" s="150" t="b">
        <v>0</v>
      </c>
      <c r="F27" s="150" t="b">
        <v>0</v>
      </c>
      <c r="G27" s="150" t="b">
        <v>0</v>
      </c>
      <c r="H27" s="150" t="b">
        <v>0</v>
      </c>
      <c r="I27" s="150" t="b">
        <v>0</v>
      </c>
      <c r="J27" s="150" t="b">
        <v>0</v>
      </c>
      <c r="K27" s="150" t="b">
        <v>0</v>
      </c>
      <c r="L27" s="8" t="b">
        <v>0</v>
      </c>
    </row>
    <row r="28">
      <c r="B28" s="97"/>
      <c r="C28" s="121" t="str">
        <f t="array" ref="C28">ifs(and(isblank($A28),isblank($B28)),"", not(iserror(vlookup($A28&amp;$B28,'5) Release_Track'!$F:$F&amp;'5) Release_Track'!$G:$G,1,0))),vlookup($A28&amp;$B28,{'5) Release_Track'!$F:$F&amp;'5) Release_Track'!$G:$G,'5) Release_Track'!$H:$H},2,0),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D28" s="121" t="str">
        <f t="array" ref="D28">ifs(and(isblank($A28),isblank($B28)),"", not(iserror(vlookup($A28&amp;$B28,'5) Release_Track'!$F:$F&amp;'5) Release_Track'!$G:$G,1,0))),vlookup($A28&amp;$B28,{'5) Release_Track'!$F:$F&amp;'5) Release_Track'!$G:$G,'5) Release_Track'!$I:$I},2,0),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E28" s="150" t="b">
        <v>0</v>
      </c>
      <c r="F28" s="150" t="b">
        <v>0</v>
      </c>
      <c r="G28" s="150" t="b">
        <v>0</v>
      </c>
      <c r="H28" s="150" t="b">
        <v>0</v>
      </c>
      <c r="I28" s="150" t="b">
        <v>0</v>
      </c>
      <c r="J28" s="150" t="b">
        <v>0</v>
      </c>
      <c r="K28" s="150" t="b">
        <v>0</v>
      </c>
      <c r="L28" s="8" t="b">
        <v>0</v>
      </c>
    </row>
    <row r="29">
      <c r="B29" s="97"/>
      <c r="C29" s="121" t="str">
        <f t="array" ref="C29">ifs(and(isblank($A29),isblank($B29)),"", not(iserror(vlookup($A29&amp;$B29,'5) Release_Track'!$F:$F&amp;'5) Release_Track'!$G:$G,1,0))),vlookup($A29&amp;$B29,{'5) Release_Track'!$F:$F&amp;'5) Release_Track'!$G:$G,'5) Release_Track'!$H:$H},2,0),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D29" s="121" t="str">
        <f t="array" ref="D29">ifs(and(isblank($A29),isblank($B29)),"", not(iserror(vlookup($A29&amp;$B29,'5) Release_Track'!$F:$F&amp;'5) Release_Track'!$G:$G,1,0))),vlookup($A29&amp;$B29,{'5) Release_Track'!$F:$F&amp;'5) Release_Track'!$G:$G,'5) Release_Track'!$I:$I},2,0),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E29" s="150" t="b">
        <v>0</v>
      </c>
      <c r="F29" s="150" t="b">
        <v>0</v>
      </c>
      <c r="G29" s="150" t="b">
        <v>0</v>
      </c>
      <c r="H29" s="150" t="b">
        <v>0</v>
      </c>
      <c r="I29" s="150" t="b">
        <v>0</v>
      </c>
      <c r="J29" s="150" t="b">
        <v>0</v>
      </c>
      <c r="K29" s="150" t="b">
        <v>0</v>
      </c>
      <c r="L29" s="8" t="b">
        <v>0</v>
      </c>
    </row>
    <row r="30">
      <c r="B30" s="97"/>
      <c r="C30" s="121" t="str">
        <f t="array" ref="C30">ifs(and(isblank($A30),isblank($B30)),"", not(iserror(vlookup($A30&amp;$B30,'5) Release_Track'!$F:$F&amp;'5) Release_Track'!$G:$G,1,0))),vlookup($A30&amp;$B30,{'5) Release_Track'!$F:$F&amp;'5) Release_Track'!$G:$G,'5) Release_Track'!$H:$H},2,0),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D30" s="121" t="str">
        <f t="array" ref="D30">ifs(and(isblank($A30),isblank($B30)),"", not(iserror(vlookup($A30&amp;$B30,'5) Release_Track'!$F:$F&amp;'5) Release_Track'!$G:$G,1,0))),vlookup($A30&amp;$B30,{'5) Release_Track'!$F:$F&amp;'5) Release_Track'!$G:$G,'5) Release_Track'!$I:$I},2,0),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E30" s="150" t="b">
        <v>0</v>
      </c>
      <c r="F30" s="150" t="b">
        <v>0</v>
      </c>
      <c r="G30" s="150" t="b">
        <v>0</v>
      </c>
      <c r="H30" s="150" t="b">
        <v>0</v>
      </c>
      <c r="I30" s="150" t="b">
        <v>0</v>
      </c>
      <c r="J30" s="150" t="b">
        <v>0</v>
      </c>
      <c r="K30" s="150" t="b">
        <v>0</v>
      </c>
      <c r="L30" s="8" t="b">
        <v>0</v>
      </c>
    </row>
    <row r="31">
      <c r="B31" s="97"/>
      <c r="C31" s="121" t="str">
        <f t="array" ref="C31">ifs(and(isblank($A31),isblank($B31)),"", not(iserror(vlookup($A31&amp;$B31,'5) Release_Track'!$F:$F&amp;'5) Release_Track'!$G:$G,1,0))),vlookup($A31&amp;$B31,{'5) Release_Track'!$F:$F&amp;'5) Release_Track'!$G:$G,'5) Release_Track'!$H:$H},2,0),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D31" s="121" t="str">
        <f t="array" ref="D31">ifs(and(isblank($A31),isblank($B31)),"", not(iserror(vlookup($A31&amp;$B31,'5) Release_Track'!$F:$F&amp;'5) Release_Track'!$G:$G,1,0))),vlookup($A31&amp;$B31,{'5) Release_Track'!$F:$F&amp;'5) Release_Track'!$G:$G,'5) Release_Track'!$I:$I},2,0),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E31" s="150" t="b">
        <v>0</v>
      </c>
      <c r="F31" s="150" t="b">
        <v>0</v>
      </c>
      <c r="G31" s="150" t="b">
        <v>0</v>
      </c>
      <c r="H31" s="150" t="b">
        <v>0</v>
      </c>
      <c r="I31" s="150" t="b">
        <v>0</v>
      </c>
      <c r="J31" s="150" t="b">
        <v>0</v>
      </c>
      <c r="K31" s="150" t="b">
        <v>0</v>
      </c>
      <c r="L31" s="8" t="b">
        <v>0</v>
      </c>
    </row>
    <row r="32">
      <c r="B32" s="97"/>
      <c r="C32" s="121" t="str">
        <f t="array" ref="C32">ifs(and(isblank($A32),isblank($B32)),"", not(iserror(vlookup($A32&amp;$B32,'5) Release_Track'!$F:$F&amp;'5) Release_Track'!$G:$G,1,0))),vlookup($A32&amp;$B32,{'5) Release_Track'!$F:$F&amp;'5) Release_Track'!$G:$G,'5) Release_Track'!$H:$H},2,0),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D32" s="121" t="str">
        <f t="array" ref="D32">ifs(and(isblank($A32),isblank($B32)),"", not(iserror(vlookup($A32&amp;$B32,'5) Release_Track'!$F:$F&amp;'5) Release_Track'!$G:$G,1,0))),vlookup($A32&amp;$B32,{'5) Release_Track'!$F:$F&amp;'5) Release_Track'!$G:$G,'5) Release_Track'!$I:$I},2,0),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E32" s="150" t="b">
        <v>0</v>
      </c>
      <c r="F32" s="150" t="b">
        <v>0</v>
      </c>
      <c r="G32" s="150" t="b">
        <v>0</v>
      </c>
      <c r="H32" s="150" t="b">
        <v>0</v>
      </c>
      <c r="I32" s="150" t="b">
        <v>0</v>
      </c>
      <c r="J32" s="150" t="b">
        <v>0</v>
      </c>
      <c r="K32" s="150" t="b">
        <v>0</v>
      </c>
      <c r="L32" s="8" t="b">
        <v>0</v>
      </c>
    </row>
    <row r="33">
      <c r="B33" s="46"/>
      <c r="C33" s="121" t="str">
        <f t="array" ref="C33">ifs(and(isblank($A33),isblank($B33)),"", not(iserror(vlookup($A33&amp;$B33,'5) Release_Track'!$F:$F&amp;'5) Release_Track'!$G:$G,1,0))),vlookup($A33&amp;$B33,{'5) Release_Track'!$F:$F&amp;'5) Release_Track'!$G:$G,'5) Release_Track'!$H:$H},2,0),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D33" s="121" t="str">
        <f t="array" ref="D33">ifs(and(isblank($A33),isblank($B33)),"", not(iserror(vlookup($A33&amp;$B33,'5) Release_Track'!$F:$F&amp;'5) Release_Track'!$G:$G,1,0))),vlookup($A33&amp;$B33,{'5) Release_Track'!$F:$F&amp;'5) Release_Track'!$G:$G,'5) Release_Track'!$I:$I},2,0),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E33" s="150" t="b">
        <v>0</v>
      </c>
      <c r="F33" s="150" t="b">
        <v>0</v>
      </c>
      <c r="G33" s="150" t="b">
        <v>0</v>
      </c>
      <c r="H33" s="150" t="b">
        <v>0</v>
      </c>
      <c r="I33" s="150" t="b">
        <v>0</v>
      </c>
      <c r="J33" s="150" t="b">
        <v>0</v>
      </c>
      <c r="K33" s="150" t="b">
        <v>0</v>
      </c>
      <c r="L33" s="8" t="b">
        <v>0</v>
      </c>
    </row>
    <row r="34">
      <c r="B34" s="97"/>
      <c r="C34" s="121" t="str">
        <f t="array" ref="C34">ifs(and(isblank($A34),isblank($B34)),"", not(iserror(vlookup($A34&amp;$B34,'5) Release_Track'!$F:$F&amp;'5) Release_Track'!$G:$G,1,0))),vlookup($A34&amp;$B34,{'5) Release_Track'!$F:$F&amp;'5) Release_Track'!$G:$G,'5) Release_Track'!$H:$H},2,0),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D34" s="121" t="str">
        <f t="array" ref="D34">ifs(and(isblank($A34),isblank($B34)),"", not(iserror(vlookup($A34&amp;$B34,'5) Release_Track'!$F:$F&amp;'5) Release_Track'!$G:$G,1,0))),vlookup($A34&amp;$B34,{'5) Release_Track'!$F:$F&amp;'5) Release_Track'!$G:$G,'5) Release_Track'!$I:$I},2,0),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E34" s="150" t="b">
        <v>0</v>
      </c>
      <c r="F34" s="150" t="b">
        <v>0</v>
      </c>
      <c r="G34" s="150" t="b">
        <v>0</v>
      </c>
      <c r="H34" s="150" t="b">
        <v>0</v>
      </c>
      <c r="I34" s="150" t="b">
        <v>0</v>
      </c>
      <c r="J34" s="150" t="b">
        <v>0</v>
      </c>
      <c r="K34" s="150" t="b">
        <v>0</v>
      </c>
      <c r="L34" s="8" t="b">
        <v>0</v>
      </c>
    </row>
    <row r="35">
      <c r="B35" s="97"/>
      <c r="C35" s="121" t="str">
        <f t="array" ref="C35">ifs(and(isblank($A35),isblank($B35)),"", not(iserror(vlookup($A35&amp;$B35,'5) Release_Track'!$F:$F&amp;'5) Release_Track'!$G:$G,1,0))),vlookup($A35&amp;$B35,{'5) Release_Track'!$F:$F&amp;'5) Release_Track'!$G:$G,'5) Release_Track'!$H:$H},2,0),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D35" s="121" t="str">
        <f t="array" ref="D35">ifs(and(isblank($A35),isblank($B35)),"", not(iserror(vlookup($A35&amp;$B35,'5) Release_Track'!$F:$F&amp;'5) Release_Track'!$G:$G,1,0))),vlookup($A35&amp;$B35,{'5) Release_Track'!$F:$F&amp;'5) Release_Track'!$G:$G,'5) Release_Track'!$I:$I},2,0),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E35" s="150" t="b">
        <v>0</v>
      </c>
      <c r="F35" s="150" t="b">
        <v>0</v>
      </c>
      <c r="G35" s="150" t="b">
        <v>0</v>
      </c>
      <c r="H35" s="150" t="b">
        <v>0</v>
      </c>
      <c r="I35" s="150" t="b">
        <v>0</v>
      </c>
      <c r="J35" s="150" t="b">
        <v>0</v>
      </c>
      <c r="K35" s="150" t="b">
        <v>0</v>
      </c>
      <c r="L35" s="8" t="b">
        <v>0</v>
      </c>
    </row>
    <row r="36">
      <c r="B36" s="97"/>
      <c r="C36" s="121" t="str">
        <f t="array" ref="C36">ifs(and(isblank($A36),isblank($B36)),"", not(iserror(vlookup($A36&amp;$B36,'5) Release_Track'!$F:$F&amp;'5) Release_Track'!$G:$G,1,0))),vlookup($A36&amp;$B36,{'5) Release_Track'!$F:$F&amp;'5) Release_Track'!$G:$G,'5) Release_Track'!$H:$H},2,0),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D36" s="121" t="str">
        <f t="array" ref="D36">ifs(and(isblank($A36),isblank($B36)),"", not(iserror(vlookup($A36&amp;$B36,'5) Release_Track'!$F:$F&amp;'5) Release_Track'!$G:$G,1,0))),vlookup($A36&amp;$B36,{'5) Release_Track'!$F:$F&amp;'5) Release_Track'!$G:$G,'5) Release_Track'!$I:$I},2,0),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E36" s="150" t="b">
        <v>0</v>
      </c>
      <c r="F36" s="150" t="b">
        <v>0</v>
      </c>
      <c r="G36" s="150" t="b">
        <v>0</v>
      </c>
      <c r="H36" s="150" t="b">
        <v>0</v>
      </c>
      <c r="I36" s="150" t="b">
        <v>0</v>
      </c>
      <c r="J36" s="150" t="b">
        <v>0</v>
      </c>
      <c r="K36" s="150" t="b">
        <v>0</v>
      </c>
      <c r="L36" s="8" t="b">
        <v>0</v>
      </c>
    </row>
    <row r="37">
      <c r="B37" s="97"/>
      <c r="C37" s="121" t="str">
        <f t="array" ref="C37">ifs(and(isblank($A37),isblank($B37)),"", not(iserror(vlookup($A37&amp;$B37,'5) Release_Track'!$F:$F&amp;'5) Release_Track'!$G:$G,1,0))),vlookup($A37&amp;$B37,{'5) Release_Track'!$F:$F&amp;'5) Release_Track'!$G:$G,'5) Release_Track'!$H:$H},2,0),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D37" s="121" t="str">
        <f t="array" ref="D37">ifs(and(isblank($A37),isblank($B37)),"", not(iserror(vlookup($A37&amp;$B37,'5) Release_Track'!$F:$F&amp;'5) Release_Track'!$G:$G,1,0))),vlookup($A37&amp;$B37,{'5) Release_Track'!$F:$F&amp;'5) Release_Track'!$G:$G,'5) Release_Track'!$I:$I},2,0),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E37" s="150" t="b">
        <v>0</v>
      </c>
      <c r="F37" s="150" t="b">
        <v>0</v>
      </c>
      <c r="G37" s="150" t="b">
        <v>0</v>
      </c>
      <c r="H37" s="150" t="b">
        <v>0</v>
      </c>
      <c r="I37" s="150" t="b">
        <v>0</v>
      </c>
      <c r="J37" s="150" t="b">
        <v>0</v>
      </c>
      <c r="K37" s="150" t="b">
        <v>0</v>
      </c>
      <c r="L37" s="8" t="b">
        <v>0</v>
      </c>
    </row>
    <row r="38">
      <c r="B38" s="97"/>
      <c r="C38" s="121" t="str">
        <f t="array" ref="C38">ifs(and(isblank($A38),isblank($B38)),"", not(iserror(vlookup($A38&amp;$B38,'5) Release_Track'!$F:$F&amp;'5) Release_Track'!$G:$G,1,0))),vlookup($A38&amp;$B38,{'5) Release_Track'!$F:$F&amp;'5) Release_Track'!$G:$G,'5) Release_Track'!$H:$H},2,0),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D38" s="121" t="str">
        <f t="array" ref="D38">ifs(and(isblank($A38),isblank($B38)),"", not(iserror(vlookup($A38&amp;$B38,'5) Release_Track'!$F:$F&amp;'5) Release_Track'!$G:$G,1,0))),vlookup($A38&amp;$B38,{'5) Release_Track'!$F:$F&amp;'5) Release_Track'!$G:$G,'5) Release_Track'!$I:$I},2,0),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E38" s="150" t="b">
        <v>0</v>
      </c>
      <c r="F38" s="150" t="b">
        <v>0</v>
      </c>
      <c r="G38" s="150" t="b">
        <v>0</v>
      </c>
      <c r="H38" s="150" t="b">
        <v>0</v>
      </c>
      <c r="I38" s="150" t="b">
        <v>0</v>
      </c>
      <c r="J38" s="150" t="b">
        <v>0</v>
      </c>
      <c r="K38" s="150" t="b">
        <v>0</v>
      </c>
      <c r="L38" s="8" t="b">
        <v>0</v>
      </c>
    </row>
    <row r="39">
      <c r="B39" s="97"/>
      <c r="C39" s="121" t="str">
        <f t="array" ref="C39">ifs(and(isblank($A39),isblank($B39)),"", not(iserror(vlookup($A39&amp;$B39,'5) Release_Track'!$F:$F&amp;'5) Release_Track'!$G:$G,1,0))),vlookup($A39&amp;$B39,{'5) Release_Track'!$F:$F&amp;'5) Release_Track'!$G:$G,'5) Release_Track'!$H:$H},2,0),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D39" s="121" t="str">
        <f t="array" ref="D39">ifs(and(isblank($A39),isblank($B39)),"", not(iserror(vlookup($A39&amp;$B39,'5) Release_Track'!$F:$F&amp;'5) Release_Track'!$G:$G,1,0))),vlookup($A39&amp;$B39,{'5) Release_Track'!$F:$F&amp;'5) Release_Track'!$G:$G,'5) Release_Track'!$I:$I},2,0),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E39" s="150" t="b">
        <v>0</v>
      </c>
      <c r="F39" s="150" t="b">
        <v>0</v>
      </c>
      <c r="G39" s="150" t="b">
        <v>0</v>
      </c>
      <c r="H39" s="150" t="b">
        <v>0</v>
      </c>
      <c r="I39" s="150" t="b">
        <v>0</v>
      </c>
      <c r="J39" s="150" t="b">
        <v>0</v>
      </c>
      <c r="K39" s="150" t="b">
        <v>0</v>
      </c>
      <c r="L39" s="8" t="b">
        <v>0</v>
      </c>
    </row>
    <row r="40">
      <c r="B40" s="97"/>
      <c r="C40" s="121" t="str">
        <f t="array" ref="C40">ifs(and(isblank($A40),isblank($B40)),"", not(iserror(vlookup($A40&amp;$B40,'5) Release_Track'!$F:$F&amp;'5) Release_Track'!$G:$G,1,0))),vlookup($A40&amp;$B40,{'5) Release_Track'!$F:$F&amp;'5) Release_Track'!$G:$G,'5) Release_Track'!$H:$H},2,0),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D40" s="121" t="str">
        <f t="array" ref="D40">ifs(and(isblank($A40),isblank($B40)),"", not(iserror(vlookup($A40&amp;$B40,'5) Release_Track'!$F:$F&amp;'5) Release_Track'!$G:$G,1,0))),vlookup($A40&amp;$B40,{'5) Release_Track'!$F:$F&amp;'5) Release_Track'!$G:$G,'5) Release_Track'!$I:$I},2,0),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E40" s="150" t="b">
        <v>0</v>
      </c>
      <c r="F40" s="150" t="b">
        <v>0</v>
      </c>
      <c r="G40" s="150" t="b">
        <v>0</v>
      </c>
      <c r="H40" s="150" t="b">
        <v>0</v>
      </c>
      <c r="I40" s="150" t="b">
        <v>0</v>
      </c>
      <c r="J40" s="150" t="b">
        <v>0</v>
      </c>
      <c r="K40" s="150" t="b">
        <v>0</v>
      </c>
      <c r="L40" s="8" t="b">
        <v>0</v>
      </c>
    </row>
    <row r="41">
      <c r="B41" s="97"/>
      <c r="C41" s="121" t="str">
        <f t="array" ref="C41">ifs(and(isblank($A41),isblank($B41)),"", not(iserror(vlookup($A41&amp;$B41,'5) Release_Track'!$F:$F&amp;'5) Release_Track'!$G:$G,1,0))),vlookup($A41&amp;$B41,{'5) Release_Track'!$F:$F&amp;'5) Release_Track'!$G:$G,'5) Release_Track'!$H:$H},2,0),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D41" s="121" t="str">
        <f t="array" ref="D41">ifs(and(isblank($A41),isblank($B41)),"", not(iserror(vlookup($A41&amp;$B41,'5) Release_Track'!$F:$F&amp;'5) Release_Track'!$G:$G,1,0))),vlookup($A41&amp;$B41,{'5) Release_Track'!$F:$F&amp;'5) Release_Track'!$G:$G,'5) Release_Track'!$I:$I},2,0),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E41" s="150" t="b">
        <v>0</v>
      </c>
      <c r="F41" s="150" t="b">
        <v>0</v>
      </c>
      <c r="G41" s="150" t="b">
        <v>0</v>
      </c>
      <c r="H41" s="150" t="b">
        <v>0</v>
      </c>
      <c r="I41" s="150" t="b">
        <v>0</v>
      </c>
      <c r="J41" s="150" t="b">
        <v>0</v>
      </c>
      <c r="K41" s="150" t="b">
        <v>0</v>
      </c>
      <c r="L41" s="8" t="b">
        <v>0</v>
      </c>
    </row>
    <row r="42">
      <c r="B42" s="97"/>
      <c r="C42" s="121" t="str">
        <f t="array" ref="C42">ifs(and(isblank($A42),isblank($B42)),"", not(iserror(vlookup($A42&amp;$B42,'5) Release_Track'!$F:$F&amp;'5) Release_Track'!$G:$G,1,0))),vlookup($A42&amp;$B42,{'5) Release_Track'!$F:$F&amp;'5) Release_Track'!$G:$G,'5) Release_Track'!$H:$H},2,0),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D42" s="121" t="str">
        <f t="array" ref="D42">ifs(and(isblank($A42),isblank($B42)),"", not(iserror(vlookup($A42&amp;$B42,'5) Release_Track'!$F:$F&amp;'5) Release_Track'!$G:$G,1,0))),vlookup($A42&amp;$B42,{'5) Release_Track'!$F:$F&amp;'5) Release_Track'!$G:$G,'5) Release_Track'!$I:$I},2,0),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E42" s="150" t="b">
        <v>0</v>
      </c>
      <c r="F42" s="150" t="b">
        <v>0</v>
      </c>
      <c r="G42" s="150" t="b">
        <v>0</v>
      </c>
      <c r="H42" s="150" t="b">
        <v>0</v>
      </c>
      <c r="I42" s="150" t="b">
        <v>0</v>
      </c>
      <c r="J42" s="150" t="b">
        <v>0</v>
      </c>
      <c r="K42" s="150" t="b">
        <v>0</v>
      </c>
      <c r="L42" s="8" t="b">
        <v>0</v>
      </c>
    </row>
    <row r="43">
      <c r="B43" s="97"/>
      <c r="C43" s="121" t="str">
        <f t="array" ref="C43">ifs(and(isblank($A43),isblank($B43)),"", not(iserror(vlookup($A43&amp;$B43,'5) Release_Track'!$F:$F&amp;'5) Release_Track'!$G:$G,1,0))),vlookup($A43&amp;$B43,{'5) Release_Track'!$F:$F&amp;'5) Release_Track'!$G:$G,'5) Release_Track'!$H:$H},2,0),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D43" s="121" t="str">
        <f t="array" ref="D43">ifs(and(isblank($A43),isblank($B43)),"", not(iserror(vlookup($A43&amp;$B43,'5) Release_Track'!$F:$F&amp;'5) Release_Track'!$G:$G,1,0))),vlookup($A43&amp;$B43,{'5) Release_Track'!$F:$F&amp;'5) Release_Track'!$G:$G,'5) Release_Track'!$I:$I},2,0),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E43" s="150" t="b">
        <v>0</v>
      </c>
      <c r="F43" s="150" t="b">
        <v>0</v>
      </c>
      <c r="G43" s="150" t="b">
        <v>0</v>
      </c>
      <c r="H43" s="150" t="b">
        <v>0</v>
      </c>
      <c r="I43" s="150" t="b">
        <v>0</v>
      </c>
      <c r="J43" s="150" t="b">
        <v>0</v>
      </c>
      <c r="K43" s="150" t="b">
        <v>0</v>
      </c>
      <c r="L43" s="8" t="b">
        <v>0</v>
      </c>
    </row>
    <row r="44">
      <c r="B44" s="97"/>
      <c r="C44" s="121" t="str">
        <f t="array" ref="C44">ifs(and(isblank($A44),isblank($B44)),"", not(iserror(vlookup($A44&amp;$B44,'5) Release_Track'!$F:$F&amp;'5) Release_Track'!$G:$G,1,0))),vlookup($A44&amp;$B44,{'5) Release_Track'!$F:$F&amp;'5) Release_Track'!$G:$G,'5) Release_Track'!$H:$H},2,0),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D44" s="121" t="str">
        <f t="array" ref="D44">ifs(and(isblank($A44),isblank($B44)),"", not(iserror(vlookup($A44&amp;$B44,'5) Release_Track'!$F:$F&amp;'5) Release_Track'!$G:$G,1,0))),vlookup($A44&amp;$B44,{'5) Release_Track'!$F:$F&amp;'5) Release_Track'!$G:$G,'5) Release_Track'!$I:$I},2,0),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E44" s="150" t="b">
        <v>0</v>
      </c>
      <c r="F44" s="150" t="b">
        <v>0</v>
      </c>
      <c r="G44" s="150" t="b">
        <v>0</v>
      </c>
      <c r="H44" s="150" t="b">
        <v>0</v>
      </c>
      <c r="I44" s="150" t="b">
        <v>0</v>
      </c>
      <c r="J44" s="150" t="b">
        <v>0</v>
      </c>
      <c r="K44" s="150" t="b">
        <v>0</v>
      </c>
      <c r="L44" s="8" t="b">
        <v>0</v>
      </c>
    </row>
    <row r="45">
      <c r="B45" s="97"/>
      <c r="C45" s="121" t="str">
        <f t="array" ref="C45">ifs(and(isblank($A45),isblank($B45)),"", not(iserror(vlookup($A45&amp;$B45,'5) Release_Track'!$F:$F&amp;'5) Release_Track'!$G:$G,1,0))),vlookup($A45&amp;$B45,{'5) Release_Track'!$F:$F&amp;'5) Release_Track'!$G:$G,'5) Release_Track'!$H:$H},2,0),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D45" s="121" t="str">
        <f t="array" ref="D45">ifs(and(isblank($A45),isblank($B45)),"", not(iserror(vlookup($A45&amp;$B45,'5) Release_Track'!$F:$F&amp;'5) Release_Track'!$G:$G,1,0))),vlookup($A45&amp;$B45,{'5) Release_Track'!$F:$F&amp;'5) Release_Track'!$G:$G,'5) Release_Track'!$I:$I},2,0),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E45" s="150" t="b">
        <v>0</v>
      </c>
      <c r="F45" s="150" t="b">
        <v>0</v>
      </c>
      <c r="G45" s="150" t="b">
        <v>0</v>
      </c>
      <c r="H45" s="150" t="b">
        <v>0</v>
      </c>
      <c r="I45" s="150" t="b">
        <v>0</v>
      </c>
      <c r="J45" s="150" t="b">
        <v>0</v>
      </c>
      <c r="K45" s="150" t="b">
        <v>0</v>
      </c>
      <c r="L45" s="8" t="b">
        <v>0</v>
      </c>
    </row>
    <row r="46">
      <c r="B46" s="97"/>
      <c r="C46" s="121" t="str">
        <f t="array" ref="C46">ifs(and(isblank($A46),isblank($B46)),"", not(iserror(vlookup($A46&amp;$B46,'5) Release_Track'!$F:$F&amp;'5) Release_Track'!$G:$G,1,0))),vlookup($A46&amp;$B46,{'5) Release_Track'!$F:$F&amp;'5) Release_Track'!$G:$G,'5) Release_Track'!$H:$H},2,0),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D46" s="121" t="str">
        <f t="array" ref="D46">ifs(and(isblank($A46),isblank($B46)),"", not(iserror(vlookup($A46&amp;$B46,'5) Release_Track'!$F:$F&amp;'5) Release_Track'!$G:$G,1,0))),vlookup($A46&amp;$B46,{'5) Release_Track'!$F:$F&amp;'5) Release_Track'!$G:$G,'5) Release_Track'!$I:$I},2,0),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E46" s="150" t="b">
        <v>0</v>
      </c>
      <c r="F46" s="150" t="b">
        <v>0</v>
      </c>
      <c r="G46" s="150" t="b">
        <v>0</v>
      </c>
      <c r="H46" s="150" t="b">
        <v>0</v>
      </c>
      <c r="I46" s="150" t="b">
        <v>0</v>
      </c>
      <c r="J46" s="150" t="b">
        <v>0</v>
      </c>
      <c r="K46" s="150" t="b">
        <v>0</v>
      </c>
      <c r="L46" s="8" t="b">
        <v>0</v>
      </c>
    </row>
    <row r="47">
      <c r="B47" s="97"/>
      <c r="C47" s="121" t="str">
        <f t="array" ref="C47">ifs(and(isblank($A47),isblank($B47)),"", not(iserror(vlookup($A47&amp;$B47,'5) Release_Track'!$F:$F&amp;'5) Release_Track'!$G:$G,1,0))),vlookup($A47&amp;$B47,{'5) Release_Track'!$F:$F&amp;'5) Release_Track'!$G:$G,'5) Release_Track'!$H:$H},2,0),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D47" s="121" t="str">
        <f t="array" ref="D47">ifs(and(isblank($A47),isblank($B47)),"", not(iserror(vlookup($A47&amp;$B47,'5) Release_Track'!$F:$F&amp;'5) Release_Track'!$G:$G,1,0))),vlookup($A47&amp;$B47,{'5) Release_Track'!$F:$F&amp;'5) Release_Track'!$G:$G,'5) Release_Track'!$I:$I},2,0),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E47" s="150" t="b">
        <v>0</v>
      </c>
      <c r="F47" s="150" t="b">
        <v>0</v>
      </c>
      <c r="G47" s="150" t="b">
        <v>0</v>
      </c>
      <c r="H47" s="150" t="b">
        <v>0</v>
      </c>
      <c r="I47" s="150" t="b">
        <v>0</v>
      </c>
      <c r="J47" s="150" t="b">
        <v>0</v>
      </c>
      <c r="K47" s="150" t="b">
        <v>0</v>
      </c>
      <c r="L47" s="8" t="b">
        <v>0</v>
      </c>
    </row>
    <row r="48">
      <c r="B48" s="97"/>
      <c r="C48" s="121" t="str">
        <f t="array" ref="C48">ifs(and(isblank($A48),isblank($B48)),"", not(iserror(vlookup($A48&amp;$B48,'5) Release_Track'!$F:$F&amp;'5) Release_Track'!$G:$G,1,0))),vlookup($A48&amp;$B48,{'5) Release_Track'!$F:$F&amp;'5) Release_Track'!$G:$G,'5) Release_Track'!$H:$H},2,0),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D48" s="121" t="str">
        <f t="array" ref="D48">ifs(and(isblank($A48),isblank($B48)),"", not(iserror(vlookup($A48&amp;$B48,'5) Release_Track'!$F:$F&amp;'5) Release_Track'!$G:$G,1,0))),vlookup($A48&amp;$B48,{'5) Release_Track'!$F:$F&amp;'5) Release_Track'!$G:$G,'5) Release_Track'!$I:$I},2,0),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E48" s="150" t="b">
        <v>0</v>
      </c>
      <c r="F48" s="150" t="b">
        <v>0</v>
      </c>
      <c r="G48" s="150" t="b">
        <v>0</v>
      </c>
      <c r="H48" s="150" t="b">
        <v>0</v>
      </c>
      <c r="I48" s="150" t="b">
        <v>0</v>
      </c>
      <c r="J48" s="150" t="b">
        <v>0</v>
      </c>
      <c r="K48" s="150" t="b">
        <v>0</v>
      </c>
      <c r="L48" s="8" t="b">
        <v>0</v>
      </c>
    </row>
    <row r="49">
      <c r="B49" s="97"/>
      <c r="C49" s="121" t="str">
        <f t="array" ref="C49">ifs(and(isblank($A49),isblank($B49)),"", not(iserror(vlookup($A49&amp;$B49,'5) Release_Track'!$F:$F&amp;'5) Release_Track'!$G:$G,1,0))),vlookup($A49&amp;$B49,{'5) Release_Track'!$F:$F&amp;'5) Release_Track'!$G:$G,'5) Release_Track'!$H:$H},2,0),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D49" s="121" t="str">
        <f t="array" ref="D49">ifs(and(isblank($A49),isblank($B49)),"", not(iserror(vlookup($A49&amp;$B49,'5) Release_Track'!$F:$F&amp;'5) Release_Track'!$G:$G,1,0))),vlookup($A49&amp;$B49,{'5) Release_Track'!$F:$F&amp;'5) Release_Track'!$G:$G,'5) Release_Track'!$I:$I},2,0),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E49" s="150" t="b">
        <v>0</v>
      </c>
      <c r="F49" s="150" t="b">
        <v>0</v>
      </c>
      <c r="G49" s="150" t="b">
        <v>0</v>
      </c>
      <c r="H49" s="150" t="b">
        <v>0</v>
      </c>
      <c r="I49" s="150" t="b">
        <v>0</v>
      </c>
      <c r="J49" s="150" t="b">
        <v>0</v>
      </c>
      <c r="K49" s="150" t="b">
        <v>0</v>
      </c>
      <c r="L49" s="8" t="b">
        <v>0</v>
      </c>
    </row>
    <row r="50">
      <c r="B50" s="97"/>
      <c r="C50" s="121" t="str">
        <f t="array" ref="C50">ifs(and(isblank($A50),isblank($B50)),"", not(iserror(vlookup($A50&amp;$B50,'5) Release_Track'!$F:$F&amp;'5) Release_Track'!$G:$G,1,0))),vlookup($A50&amp;$B50,{'5) Release_Track'!$F:$F&amp;'5) Release_Track'!$G:$G,'5) Release_Track'!$H:$H},2,0),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D50" s="121" t="str">
        <f t="array" ref="D50">ifs(and(isblank($A50),isblank($B50)),"", not(iserror(vlookup($A50&amp;$B50,'5) Release_Track'!$F:$F&amp;'5) Release_Track'!$G:$G,1,0))),vlookup($A50&amp;$B50,{'5) Release_Track'!$F:$F&amp;'5) Release_Track'!$G:$G,'5) Release_Track'!$I:$I},2,0),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E50" s="150" t="b">
        <v>0</v>
      </c>
      <c r="F50" s="150" t="b">
        <v>0</v>
      </c>
      <c r="G50" s="150" t="b">
        <v>0</v>
      </c>
      <c r="H50" s="150" t="b">
        <v>0</v>
      </c>
      <c r="I50" s="150" t="b">
        <v>0</v>
      </c>
      <c r="J50" s="150" t="b">
        <v>0</v>
      </c>
      <c r="K50" s="150" t="b">
        <v>0</v>
      </c>
      <c r="L50" s="8" t="b">
        <v>0</v>
      </c>
    </row>
    <row r="51">
      <c r="B51" s="97"/>
      <c r="C51" s="121" t="str">
        <f t="array" ref="C51">ifs(and(isblank($A51),isblank($B51)),"", not(iserror(vlookup($A51&amp;$B51,'5) Release_Track'!$F:$F&amp;'5) Release_Track'!$G:$G,1,0))),vlookup($A51&amp;$B51,{'5) Release_Track'!$F:$F&amp;'5) Release_Track'!$G:$G,'5) Release_Track'!$H:$H},2,0),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D51" s="121" t="str">
        <f t="array" ref="D51">ifs(and(isblank($A51),isblank($B51)),"", not(iserror(vlookup($A51&amp;$B51,'5) Release_Track'!$F:$F&amp;'5) Release_Track'!$G:$G,1,0))),vlookup($A51&amp;$B51,{'5) Release_Track'!$F:$F&amp;'5) Release_Track'!$G:$G,'5) Release_Track'!$I:$I},2,0),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E51" s="150" t="b">
        <v>0</v>
      </c>
      <c r="F51" s="150" t="b">
        <v>0</v>
      </c>
      <c r="G51" s="150" t="b">
        <v>0</v>
      </c>
      <c r="H51" s="150" t="b">
        <v>0</v>
      </c>
      <c r="I51" s="150" t="b">
        <v>0</v>
      </c>
      <c r="J51" s="150" t="b">
        <v>0</v>
      </c>
      <c r="K51" s="150" t="b">
        <v>0</v>
      </c>
      <c r="L51" s="8" t="b">
        <v>0</v>
      </c>
    </row>
    <row r="52">
      <c r="B52" s="97"/>
      <c r="C52" s="121" t="str">
        <f t="array" ref="C52">ifs(and(isblank($A52),isblank($B52)),"", not(iserror(vlookup($A52&amp;$B52,'5) Release_Track'!$F:$F&amp;'5) Release_Track'!$G:$G,1,0))),vlookup($A52&amp;$B52,{'5) Release_Track'!$F:$F&amp;'5) Release_Track'!$G:$G,'5) Release_Track'!$H:$H},2,0),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D52" s="121" t="str">
        <f t="array" ref="D52">ifs(and(isblank($A52),isblank($B52)),"", not(iserror(vlookup($A52&amp;$B52,'5) Release_Track'!$F:$F&amp;'5) Release_Track'!$G:$G,1,0))),vlookup($A52&amp;$B52,{'5) Release_Track'!$F:$F&amp;'5) Release_Track'!$G:$G,'5) Release_Track'!$I:$I},2,0),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E52" s="150" t="b">
        <v>0</v>
      </c>
      <c r="F52" s="150" t="b">
        <v>0</v>
      </c>
      <c r="G52" s="150" t="b">
        <v>0</v>
      </c>
      <c r="H52" s="150" t="b">
        <v>0</v>
      </c>
      <c r="I52" s="150" t="b">
        <v>0</v>
      </c>
      <c r="J52" s="150" t="b">
        <v>0</v>
      </c>
      <c r="K52" s="150" t="b">
        <v>0</v>
      </c>
      <c r="L52" s="8" t="b">
        <v>0</v>
      </c>
    </row>
    <row r="53">
      <c r="B53" s="97"/>
      <c r="C53" s="121" t="str">
        <f t="array" ref="C53">ifs(and(isblank($A53),isblank($B53)),"", not(iserror(vlookup($A53&amp;$B53,'5) Release_Track'!$F:$F&amp;'5) Release_Track'!$G:$G,1,0))),vlookup($A53&amp;$B53,{'5) Release_Track'!$F:$F&amp;'5) Release_Track'!$G:$G,'5) Release_Track'!$H:$H},2,0),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D53" s="121" t="str">
        <f t="array" ref="D53">ifs(and(isblank($A53),isblank($B53)),"", not(iserror(vlookup($A53&amp;$B53,'5) Release_Track'!$F:$F&amp;'5) Release_Track'!$G:$G,1,0))),vlookup($A53&amp;$B53,{'5) Release_Track'!$F:$F&amp;'5) Release_Track'!$G:$G,'5) Release_Track'!$I:$I},2,0),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E53" s="150" t="b">
        <v>0</v>
      </c>
      <c r="F53" s="150" t="b">
        <v>0</v>
      </c>
      <c r="G53" s="150" t="b">
        <v>0</v>
      </c>
      <c r="H53" s="150" t="b">
        <v>0</v>
      </c>
      <c r="I53" s="150" t="b">
        <v>0</v>
      </c>
      <c r="J53" s="150" t="b">
        <v>0</v>
      </c>
      <c r="K53" s="150" t="b">
        <v>0</v>
      </c>
      <c r="L53" s="8" t="b">
        <v>0</v>
      </c>
    </row>
    <row r="54">
      <c r="B54" s="97"/>
      <c r="C54" s="121" t="str">
        <f t="array" ref="C54">ifs(and(isblank($A54),isblank($B54)),"", not(iserror(vlookup($A54&amp;$B54,'5) Release_Track'!$F:$F&amp;'5) Release_Track'!$G:$G,1,0))),vlookup($A54&amp;$B54,{'5) Release_Track'!$F:$F&amp;'5) Release_Track'!$G:$G,'5) Release_Track'!$H:$H},2,0),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D54" s="121" t="str">
        <f t="array" ref="D54">ifs(and(isblank($A54),isblank($B54)),"", not(iserror(vlookup($A54&amp;$B54,'5) Release_Track'!$F:$F&amp;'5) Release_Track'!$G:$G,1,0))),vlookup($A54&amp;$B54,{'5) Release_Track'!$F:$F&amp;'5) Release_Track'!$G:$G,'5) Release_Track'!$I:$I},2,0),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E54" s="150" t="b">
        <v>0</v>
      </c>
      <c r="F54" s="150" t="b">
        <v>0</v>
      </c>
      <c r="G54" s="150" t="b">
        <v>0</v>
      </c>
      <c r="H54" s="150" t="b">
        <v>0</v>
      </c>
      <c r="I54" s="150" t="b">
        <v>0</v>
      </c>
      <c r="J54" s="150" t="b">
        <v>0</v>
      </c>
      <c r="K54" s="150" t="b">
        <v>0</v>
      </c>
      <c r="L54" s="8" t="b">
        <v>0</v>
      </c>
    </row>
    <row r="55">
      <c r="B55" s="97"/>
      <c r="C55" s="121" t="str">
        <f t="array" ref="C55">ifs(and(isblank($A55),isblank($B55)),"", not(iserror(vlookup($A55&amp;$B55,'5) Release_Track'!$F:$F&amp;'5) Release_Track'!$G:$G,1,0))),vlookup($A55&amp;$B55,{'5) Release_Track'!$F:$F&amp;'5) Release_Track'!$G:$G,'5) Release_Track'!$H:$H},2,0),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D55" s="121" t="str">
        <f t="array" ref="D55">ifs(and(isblank($A55),isblank($B55)),"", not(iserror(vlookup($A55&amp;$B55,'5) Release_Track'!$F:$F&amp;'5) Release_Track'!$G:$G,1,0))),vlookup($A55&amp;$B55,{'5) Release_Track'!$F:$F&amp;'5) Release_Track'!$G:$G,'5) Release_Track'!$I:$I},2,0),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E55" s="150" t="b">
        <v>0</v>
      </c>
      <c r="F55" s="150" t="b">
        <v>0</v>
      </c>
      <c r="G55" s="150" t="b">
        <v>0</v>
      </c>
      <c r="H55" s="150" t="b">
        <v>0</v>
      </c>
      <c r="I55" s="150" t="b">
        <v>0</v>
      </c>
      <c r="J55" s="150" t="b">
        <v>0</v>
      </c>
      <c r="K55" s="150" t="b">
        <v>0</v>
      </c>
      <c r="L55" s="8" t="b">
        <v>0</v>
      </c>
    </row>
    <row r="56">
      <c r="B56" s="97"/>
      <c r="C56" s="121" t="str">
        <f t="array" ref="C56">ifs(and(isblank($A56),isblank($B56)),"", not(iserror(vlookup($A56&amp;$B56,'5) Release_Track'!$F:$F&amp;'5) Release_Track'!$G:$G,1,0))),vlookup($A56&amp;$B56,{'5) Release_Track'!$F:$F&amp;'5) Release_Track'!$G:$G,'5) Release_Track'!$H:$H},2,0),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D56" s="121" t="str">
        <f t="array" ref="D56">ifs(and(isblank($A56),isblank($B56)),"", not(iserror(vlookup($A56&amp;$B56,'5) Release_Track'!$F:$F&amp;'5) Release_Track'!$G:$G,1,0))),vlookup($A56&amp;$B56,{'5) Release_Track'!$F:$F&amp;'5) Release_Track'!$G:$G,'5) Release_Track'!$I:$I},2,0),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E56" s="150" t="b">
        <v>0</v>
      </c>
      <c r="F56" s="150" t="b">
        <v>0</v>
      </c>
      <c r="G56" s="150" t="b">
        <v>0</v>
      </c>
      <c r="H56" s="150" t="b">
        <v>0</v>
      </c>
      <c r="I56" s="150" t="b">
        <v>0</v>
      </c>
      <c r="J56" s="150" t="b">
        <v>0</v>
      </c>
      <c r="K56" s="150" t="b">
        <v>0</v>
      </c>
      <c r="L56" s="8" t="b">
        <v>0</v>
      </c>
    </row>
    <row r="57">
      <c r="B57" s="97"/>
      <c r="C57" s="121" t="str">
        <f t="array" ref="C57">ifs(and(isblank($A57),isblank($B57)),"", not(iserror(vlookup($A57&amp;$B57,'5) Release_Track'!$F:$F&amp;'5) Release_Track'!$G:$G,1,0))),vlookup($A57&amp;$B57,{'5) Release_Track'!$F:$F&amp;'5) Release_Track'!$G:$G,'5) Release_Track'!$H:$H},2,0),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D57" s="121" t="str">
        <f t="array" ref="D57">ifs(and(isblank($A57),isblank($B57)),"", not(iserror(vlookup($A57&amp;$B57,'5) Release_Track'!$F:$F&amp;'5) Release_Track'!$G:$G,1,0))),vlookup($A57&amp;$B57,{'5) Release_Track'!$F:$F&amp;'5) Release_Track'!$G:$G,'5) Release_Track'!$I:$I},2,0),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E57" s="150" t="b">
        <v>0</v>
      </c>
      <c r="F57" s="150" t="b">
        <v>0</v>
      </c>
      <c r="G57" s="150" t="b">
        <v>0</v>
      </c>
      <c r="H57" s="150" t="b">
        <v>0</v>
      </c>
      <c r="I57" s="150" t="b">
        <v>0</v>
      </c>
      <c r="J57" s="150" t="b">
        <v>0</v>
      </c>
      <c r="K57" s="150" t="b">
        <v>0</v>
      </c>
      <c r="L57" s="8" t="b">
        <v>0</v>
      </c>
    </row>
    <row r="58">
      <c r="B58" s="97"/>
      <c r="C58" s="121" t="str">
        <f t="array" ref="C58">ifs(and(isblank($A58),isblank($B58)),"", not(iserror(vlookup($A58&amp;$B58,'5) Release_Track'!$F:$F&amp;'5) Release_Track'!$G:$G,1,0))),vlookup($A58&amp;$B58,{'5) Release_Track'!$F:$F&amp;'5) Release_Track'!$G:$G,'5) Release_Track'!$H:$H},2,0),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D58" s="121" t="str">
        <f t="array" ref="D58">ifs(and(isblank($A58),isblank($B58)),"", not(iserror(vlookup($A58&amp;$B58,'5) Release_Track'!$F:$F&amp;'5) Release_Track'!$G:$G,1,0))),vlookup($A58&amp;$B58,{'5) Release_Track'!$F:$F&amp;'5) Release_Track'!$G:$G,'5) Release_Track'!$I:$I},2,0),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E58" s="150" t="b">
        <v>0</v>
      </c>
      <c r="F58" s="150" t="b">
        <v>0</v>
      </c>
      <c r="G58" s="150" t="b">
        <v>0</v>
      </c>
      <c r="H58" s="150" t="b">
        <v>0</v>
      </c>
      <c r="I58" s="150" t="b">
        <v>0</v>
      </c>
      <c r="J58" s="150" t="b">
        <v>0</v>
      </c>
      <c r="K58" s="150" t="b">
        <v>0</v>
      </c>
      <c r="L58" s="8" t="b">
        <v>0</v>
      </c>
    </row>
    <row r="59">
      <c r="B59" s="97"/>
      <c r="C59" s="121" t="str">
        <f t="array" ref="C59">ifs(and(isblank($A59),isblank($B59)),"", not(iserror(vlookup($A59&amp;$B59,'5) Release_Track'!$F:$F&amp;'5) Release_Track'!$G:$G,1,0))),vlookup($A59&amp;$B59,{'5) Release_Track'!$F:$F&amp;'5) Release_Track'!$G:$G,'5) Release_Track'!$H:$H},2,0),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D59" s="121" t="str">
        <f t="array" ref="D59">ifs(and(isblank($A59),isblank($B59)),"", not(iserror(vlookup($A59&amp;$B59,'5) Release_Track'!$F:$F&amp;'5) Release_Track'!$G:$G,1,0))),vlookup($A59&amp;$B59,{'5) Release_Track'!$F:$F&amp;'5) Release_Track'!$G:$G,'5) Release_Track'!$I:$I},2,0),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E59" s="150" t="b">
        <v>0</v>
      </c>
      <c r="F59" s="150" t="b">
        <v>0</v>
      </c>
      <c r="G59" s="150" t="b">
        <v>0</v>
      </c>
      <c r="H59" s="150" t="b">
        <v>0</v>
      </c>
      <c r="I59" s="150" t="b">
        <v>0</v>
      </c>
      <c r="J59" s="150" t="b">
        <v>0</v>
      </c>
      <c r="K59" s="150" t="b">
        <v>0</v>
      </c>
      <c r="L59" s="8" t="b">
        <v>0</v>
      </c>
    </row>
    <row r="60">
      <c r="B60" s="97"/>
      <c r="C60" s="121" t="str">
        <f t="array" ref="C60">ifs(and(isblank($A60),isblank($B60)),"", not(iserror(vlookup($A60&amp;$B60,'5) Release_Track'!$F:$F&amp;'5) Release_Track'!$G:$G,1,0))),vlookup($A60&amp;$B60,{'5) Release_Track'!$F:$F&amp;'5) Release_Track'!$G:$G,'5) Release_Track'!$H:$H},2,0),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D60" s="121" t="str">
        <f t="array" ref="D60">ifs(and(isblank($A60),isblank($B60)),"", not(iserror(vlookup($A60&amp;$B60,'5) Release_Track'!$F:$F&amp;'5) Release_Track'!$G:$G,1,0))),vlookup($A60&amp;$B60,{'5) Release_Track'!$F:$F&amp;'5) Release_Track'!$G:$G,'5) Release_Track'!$I:$I},2,0),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E60" s="150" t="b">
        <v>0</v>
      </c>
      <c r="F60" s="150" t="b">
        <v>0</v>
      </c>
      <c r="G60" s="150" t="b">
        <v>0</v>
      </c>
      <c r="H60" s="150" t="b">
        <v>0</v>
      </c>
      <c r="I60" s="150" t="b">
        <v>0</v>
      </c>
      <c r="J60" s="150" t="b">
        <v>0</v>
      </c>
      <c r="K60" s="150" t="b">
        <v>0</v>
      </c>
      <c r="L60" s="8" t="b">
        <v>0</v>
      </c>
    </row>
    <row r="61">
      <c r="B61" s="97"/>
      <c r="C61" s="121" t="str">
        <f t="array" ref="C61">ifs(and(isblank($A61),isblank($B61)),"", not(iserror(vlookup($A61&amp;$B61,'5) Release_Track'!$F:$F&amp;'5) Release_Track'!$G:$G,1,0))),vlookup($A61&amp;$B61,{'5) Release_Track'!$F:$F&amp;'5) Release_Track'!$G:$G,'5) Release_Track'!$H:$H},2,0),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D61" s="121" t="str">
        <f t="array" ref="D61">ifs(and(isblank($A61),isblank($B61)),"", not(iserror(vlookup($A61&amp;$B61,'5) Release_Track'!$F:$F&amp;'5) Release_Track'!$G:$G,1,0))),vlookup($A61&amp;$B61,{'5) Release_Track'!$F:$F&amp;'5) Release_Track'!$G:$G,'5) Release_Track'!$I:$I},2,0),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E61" s="150" t="b">
        <v>0</v>
      </c>
      <c r="F61" s="150" t="b">
        <v>0</v>
      </c>
      <c r="G61" s="150" t="b">
        <v>0</v>
      </c>
      <c r="H61" s="150" t="b">
        <v>0</v>
      </c>
      <c r="I61" s="150" t="b">
        <v>0</v>
      </c>
      <c r="J61" s="150" t="b">
        <v>0</v>
      </c>
      <c r="K61" s="150" t="b">
        <v>0</v>
      </c>
      <c r="L61" s="8" t="b">
        <v>0</v>
      </c>
    </row>
    <row r="62">
      <c r="B62" s="97"/>
      <c r="C62" s="121" t="str">
        <f t="array" ref="C62">ifs(and(isblank($A62),isblank($B62)),"", not(iserror(vlookup($A62&amp;$B62,'5) Release_Track'!$F:$F&amp;'5) Release_Track'!$G:$G,1,0))),vlookup($A62&amp;$B62,{'5) Release_Track'!$F:$F&amp;'5) Release_Track'!$G:$G,'5) Release_Track'!$H:$H},2,0),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D62" s="121" t="str">
        <f t="array" ref="D62">ifs(and(isblank($A62),isblank($B62)),"", not(iserror(vlookup($A62&amp;$B62,'5) Release_Track'!$F:$F&amp;'5) Release_Track'!$G:$G,1,0))),vlookup($A62&amp;$B62,{'5) Release_Track'!$F:$F&amp;'5) Release_Track'!$G:$G,'5) Release_Track'!$I:$I},2,0),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E62" s="150" t="b">
        <v>0</v>
      </c>
      <c r="F62" s="150" t="b">
        <v>0</v>
      </c>
      <c r="G62" s="150" t="b">
        <v>0</v>
      </c>
      <c r="H62" s="150" t="b">
        <v>0</v>
      </c>
      <c r="I62" s="150" t="b">
        <v>0</v>
      </c>
      <c r="J62" s="150" t="b">
        <v>0</v>
      </c>
      <c r="K62" s="150" t="b">
        <v>0</v>
      </c>
      <c r="L62" s="8" t="b">
        <v>0</v>
      </c>
    </row>
    <row r="63">
      <c r="B63" s="97"/>
      <c r="C63" s="121" t="str">
        <f t="array" ref="C63">ifs(and(isblank($A63),isblank($B63)),"", not(iserror(vlookup($A63&amp;$B63,'5) Release_Track'!$F:$F&amp;'5) Release_Track'!$G:$G,1,0))),vlookup($A63&amp;$B63,{'5) Release_Track'!$F:$F&amp;'5) Release_Track'!$G:$G,'5) Release_Track'!$H:$H},2,0),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D63" s="121" t="str">
        <f t="array" ref="D63">ifs(and(isblank($A63),isblank($B63)),"", not(iserror(vlookup($A63&amp;$B63,'5) Release_Track'!$F:$F&amp;'5) Release_Track'!$G:$G,1,0))),vlookup($A63&amp;$B63,{'5) Release_Track'!$F:$F&amp;'5) Release_Track'!$G:$G,'5) Release_Track'!$I:$I},2,0),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E63" s="150" t="b">
        <v>0</v>
      </c>
      <c r="F63" s="150" t="b">
        <v>0</v>
      </c>
      <c r="G63" s="150" t="b">
        <v>0</v>
      </c>
      <c r="H63" s="150" t="b">
        <v>0</v>
      </c>
      <c r="I63" s="150" t="b">
        <v>0</v>
      </c>
      <c r="J63" s="150" t="b">
        <v>0</v>
      </c>
      <c r="K63" s="150" t="b">
        <v>0</v>
      </c>
      <c r="L63" s="8" t="b">
        <v>0</v>
      </c>
    </row>
    <row r="64">
      <c r="B64" s="97"/>
      <c r="C64" s="121" t="str">
        <f t="array" ref="C64">ifs(and(isblank($A64),isblank($B64)),"", not(iserror(vlookup($A64&amp;$B64,'5) Release_Track'!$F:$F&amp;'5) Release_Track'!$G:$G,1,0))),vlookup($A64&amp;$B64,{'5) Release_Track'!$F:$F&amp;'5) Release_Track'!$G:$G,'5) Release_Track'!$H:$H},2,0),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D64" s="121" t="str">
        <f t="array" ref="D64">ifs(and(isblank($A64),isblank($B64)),"", not(iserror(vlookup($A64&amp;$B64,'5) Release_Track'!$F:$F&amp;'5) Release_Track'!$G:$G,1,0))),vlookup($A64&amp;$B64,{'5) Release_Track'!$F:$F&amp;'5) Release_Track'!$G:$G,'5) Release_Track'!$I:$I},2,0),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E64" s="150" t="b">
        <v>0</v>
      </c>
      <c r="F64" s="150" t="b">
        <v>0</v>
      </c>
      <c r="G64" s="150" t="b">
        <v>0</v>
      </c>
      <c r="H64" s="150" t="b">
        <v>0</v>
      </c>
      <c r="I64" s="150" t="b">
        <v>0</v>
      </c>
      <c r="J64" s="150" t="b">
        <v>0</v>
      </c>
      <c r="K64" s="150" t="b">
        <v>0</v>
      </c>
      <c r="L64" s="8" t="b">
        <v>0</v>
      </c>
    </row>
    <row r="65">
      <c r="B65" s="97"/>
      <c r="C65" s="121" t="str">
        <f t="array" ref="C65">ifs(and(isblank($A65),isblank($B65)),"", not(iserror(vlookup($A65&amp;$B65,'5) Release_Track'!$F:$F&amp;'5) Release_Track'!$G:$G,1,0))),vlookup($A65&amp;$B65,{'5) Release_Track'!$F:$F&amp;'5) Release_Track'!$G:$G,'5) Release_Track'!$H:$H},2,0),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D65" s="121" t="str">
        <f t="array" ref="D65">ifs(and(isblank($A65),isblank($B65)),"", not(iserror(vlookup($A65&amp;$B65,'5) Release_Track'!$F:$F&amp;'5) Release_Track'!$G:$G,1,0))),vlookup($A65&amp;$B65,{'5) Release_Track'!$F:$F&amp;'5) Release_Track'!$G:$G,'5) Release_Track'!$I:$I},2,0),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E65" s="150" t="b">
        <v>0</v>
      </c>
      <c r="F65" s="150" t="b">
        <v>0</v>
      </c>
      <c r="G65" s="150" t="b">
        <v>0</v>
      </c>
      <c r="H65" s="150" t="b">
        <v>0</v>
      </c>
      <c r="I65" s="150" t="b">
        <v>0</v>
      </c>
      <c r="J65" s="150" t="b">
        <v>0</v>
      </c>
      <c r="K65" s="150" t="b">
        <v>0</v>
      </c>
      <c r="L65" s="8" t="b">
        <v>0</v>
      </c>
    </row>
    <row r="66">
      <c r="B66" s="97"/>
      <c r="C66" s="121" t="str">
        <f t="array" ref="C66">ifs(and(isblank($A66),isblank($B66)),"", not(iserror(vlookup($A66&amp;$B66,'5) Release_Track'!$F:$F&amp;'5) Release_Track'!$G:$G,1,0))),vlookup($A66&amp;$B66,{'5) Release_Track'!$F:$F&amp;'5) Release_Track'!$G:$G,'5) Release_Track'!$H:$H},2,0),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D66" s="121" t="str">
        <f t="array" ref="D66">ifs(and(isblank($A66),isblank($B66)),"", not(iserror(vlookup($A66&amp;$B66,'5) Release_Track'!$F:$F&amp;'5) Release_Track'!$G:$G,1,0))),vlookup($A66&amp;$B66,{'5) Release_Track'!$F:$F&amp;'5) Release_Track'!$G:$G,'5) Release_Track'!$I:$I},2,0),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E66" s="150" t="b">
        <v>0</v>
      </c>
      <c r="F66" s="150" t="b">
        <v>0</v>
      </c>
      <c r="G66" s="150" t="b">
        <v>0</v>
      </c>
      <c r="H66" s="150" t="b">
        <v>0</v>
      </c>
      <c r="I66" s="150" t="b">
        <v>0</v>
      </c>
      <c r="J66" s="150" t="b">
        <v>0</v>
      </c>
      <c r="K66" s="150" t="b">
        <v>0</v>
      </c>
      <c r="L66" s="8" t="b">
        <v>0</v>
      </c>
    </row>
    <row r="67">
      <c r="B67" s="97"/>
      <c r="C67" s="121" t="str">
        <f t="array" ref="C67">ifs(and(isblank($A67),isblank($B67)),"", not(iserror(vlookup($A67&amp;$B67,'5) Release_Track'!$F:$F&amp;'5) Release_Track'!$G:$G,1,0))),vlookup($A67&amp;$B67,{'5) Release_Track'!$F:$F&amp;'5) Release_Track'!$G:$G,'5) Release_Track'!$H:$H},2,0),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D67" s="121" t="str">
        <f t="array" ref="D67">ifs(and(isblank($A67),isblank($B67)),"", not(iserror(vlookup($A67&amp;$B67,'5) Release_Track'!$F:$F&amp;'5) Release_Track'!$G:$G,1,0))),vlookup($A67&amp;$B67,{'5) Release_Track'!$F:$F&amp;'5) Release_Track'!$G:$G,'5) Release_Track'!$I:$I},2,0),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E67" s="150" t="b">
        <v>0</v>
      </c>
      <c r="F67" s="150" t="b">
        <v>0</v>
      </c>
      <c r="G67" s="150" t="b">
        <v>0</v>
      </c>
      <c r="H67" s="150" t="b">
        <v>0</v>
      </c>
      <c r="I67" s="150" t="b">
        <v>0</v>
      </c>
      <c r="J67" s="150" t="b">
        <v>0</v>
      </c>
      <c r="K67" s="150" t="b">
        <v>0</v>
      </c>
      <c r="L67" s="8" t="b">
        <v>0</v>
      </c>
    </row>
    <row r="68">
      <c r="B68" s="97"/>
      <c r="C68" s="121" t="str">
        <f t="array" ref="C68">ifs(and(isblank($A68),isblank($B68)),"", not(iserror(vlookup($A68&amp;$B68,'5) Release_Track'!$F:$F&amp;'5) Release_Track'!$G:$G,1,0))),vlookup($A68&amp;$B68,{'5) Release_Track'!$F:$F&amp;'5) Release_Track'!$G:$G,'5) Release_Track'!$H:$H},2,0),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D68" s="121" t="str">
        <f t="array" ref="D68">ifs(and(isblank($A68),isblank($B68)),"", not(iserror(vlookup($A68&amp;$B68,'5) Release_Track'!$F:$F&amp;'5) Release_Track'!$G:$G,1,0))),vlookup($A68&amp;$B68,{'5) Release_Track'!$F:$F&amp;'5) Release_Track'!$G:$G,'5) Release_Track'!$I:$I},2,0),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E68" s="150" t="b">
        <v>0</v>
      </c>
      <c r="F68" s="150" t="b">
        <v>0</v>
      </c>
      <c r="G68" s="150" t="b">
        <v>0</v>
      </c>
      <c r="H68" s="150" t="b">
        <v>0</v>
      </c>
      <c r="I68" s="150" t="b">
        <v>0</v>
      </c>
      <c r="J68" s="150" t="b">
        <v>0</v>
      </c>
      <c r="K68" s="150" t="b">
        <v>0</v>
      </c>
      <c r="L68" s="8" t="b">
        <v>0</v>
      </c>
    </row>
    <row r="69">
      <c r="B69" s="97"/>
      <c r="C69" s="121" t="str">
        <f t="array" ref="C69">ifs(and(isblank($A69),isblank($B69)),"", not(iserror(vlookup($A69&amp;$B69,'5) Release_Track'!$F:$F&amp;'5) Release_Track'!$G:$G,1,0))),vlookup($A69&amp;$B69,{'5) Release_Track'!$F:$F&amp;'5) Release_Track'!$G:$G,'5) Release_Track'!$H:$H},2,0),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D69" s="121" t="str">
        <f t="array" ref="D69">ifs(and(isblank($A69),isblank($B69)),"", not(iserror(vlookup($A69&amp;$B69,'5) Release_Track'!$F:$F&amp;'5) Release_Track'!$G:$G,1,0))),vlookup($A69&amp;$B69,{'5) Release_Track'!$F:$F&amp;'5) Release_Track'!$G:$G,'5) Release_Track'!$I:$I},2,0),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E69" s="150" t="b">
        <v>0</v>
      </c>
      <c r="F69" s="150" t="b">
        <v>0</v>
      </c>
      <c r="G69" s="150" t="b">
        <v>0</v>
      </c>
      <c r="H69" s="150" t="b">
        <v>0</v>
      </c>
      <c r="I69" s="150" t="b">
        <v>0</v>
      </c>
      <c r="J69" s="150" t="b">
        <v>0</v>
      </c>
      <c r="K69" s="150" t="b">
        <v>0</v>
      </c>
      <c r="L69" s="8" t="b">
        <v>0</v>
      </c>
    </row>
    <row r="70">
      <c r="B70" s="97"/>
      <c r="C70" s="121" t="str">
        <f t="array" ref="C70">ifs(and(isblank($A70),isblank($B70)),"", not(iserror(vlookup($A70&amp;$B70,'5) Release_Track'!$F:$F&amp;'5) Release_Track'!$G:$G,1,0))),vlookup($A70&amp;$B70,{'5) Release_Track'!$F:$F&amp;'5) Release_Track'!$G:$G,'5) Release_Track'!$H:$H},2,0),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D70" s="121" t="str">
        <f t="array" ref="D70">ifs(and(isblank($A70),isblank($B70)),"", not(iserror(vlookup($A70&amp;$B70,'5) Release_Track'!$F:$F&amp;'5) Release_Track'!$G:$G,1,0))),vlookup($A70&amp;$B70,{'5) Release_Track'!$F:$F&amp;'5) Release_Track'!$G:$G,'5) Release_Track'!$I:$I},2,0),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E70" s="150" t="b">
        <v>0</v>
      </c>
      <c r="F70" s="150" t="b">
        <v>0</v>
      </c>
      <c r="G70" s="150" t="b">
        <v>0</v>
      </c>
      <c r="H70" s="150" t="b">
        <v>0</v>
      </c>
      <c r="I70" s="150" t="b">
        <v>0</v>
      </c>
      <c r="J70" s="150" t="b">
        <v>0</v>
      </c>
      <c r="K70" s="150" t="b">
        <v>0</v>
      </c>
      <c r="L70" s="8" t="b">
        <v>0</v>
      </c>
    </row>
    <row r="71">
      <c r="B71" s="97"/>
      <c r="C71" s="121" t="str">
        <f t="array" ref="C71">ifs(and(isblank($A71),isblank($B71)),"", not(iserror(vlookup($A71&amp;$B71,'5) Release_Track'!$F:$F&amp;'5) Release_Track'!$G:$G,1,0))),vlookup($A71&amp;$B71,{'5) Release_Track'!$F:$F&amp;'5) Release_Track'!$G:$G,'5) Release_Track'!$H:$H},2,0),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D71" s="121" t="str">
        <f t="array" ref="D71">ifs(and(isblank($A71),isblank($B71)),"", not(iserror(vlookup($A71&amp;$B71,'5) Release_Track'!$F:$F&amp;'5) Release_Track'!$G:$G,1,0))),vlookup($A71&amp;$B71,{'5) Release_Track'!$F:$F&amp;'5) Release_Track'!$G:$G,'5) Release_Track'!$I:$I},2,0),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E71" s="150" t="b">
        <v>0</v>
      </c>
      <c r="F71" s="150" t="b">
        <v>0</v>
      </c>
      <c r="G71" s="150" t="b">
        <v>0</v>
      </c>
      <c r="H71" s="150" t="b">
        <v>0</v>
      </c>
      <c r="I71" s="150" t="b">
        <v>0</v>
      </c>
      <c r="J71" s="150" t="b">
        <v>0</v>
      </c>
      <c r="K71" s="150" t="b">
        <v>0</v>
      </c>
      <c r="L71" s="8" t="b">
        <v>0</v>
      </c>
    </row>
    <row r="72">
      <c r="B72" s="97"/>
      <c r="C72" s="121" t="str">
        <f t="array" ref="C72">ifs(and(isblank($A72),isblank($B72)),"", not(iserror(vlookup($A72&amp;$B72,'5) Release_Track'!$F:$F&amp;'5) Release_Track'!$G:$G,1,0))),vlookup($A72&amp;$B72,{'5) Release_Track'!$F:$F&amp;'5) Release_Track'!$G:$G,'5) Release_Track'!$H:$H},2,0),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D72" s="121" t="str">
        <f t="array" ref="D72">ifs(and(isblank($A72),isblank($B72)),"", not(iserror(vlookup($A72&amp;$B72,'5) Release_Track'!$F:$F&amp;'5) Release_Track'!$G:$G,1,0))),vlookup($A72&amp;$B72,{'5) Release_Track'!$F:$F&amp;'5) Release_Track'!$G:$G,'5) Release_Track'!$I:$I},2,0),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E72" s="150" t="b">
        <v>0</v>
      </c>
      <c r="F72" s="150" t="b">
        <v>0</v>
      </c>
      <c r="G72" s="150" t="b">
        <v>0</v>
      </c>
      <c r="H72" s="150" t="b">
        <v>0</v>
      </c>
      <c r="I72" s="150" t="b">
        <v>0</v>
      </c>
      <c r="J72" s="150" t="b">
        <v>0</v>
      </c>
      <c r="K72" s="150" t="b">
        <v>0</v>
      </c>
      <c r="L72" s="8" t="b">
        <v>0</v>
      </c>
    </row>
    <row r="73">
      <c r="B73" s="97"/>
      <c r="C73" s="121" t="str">
        <f t="array" ref="C73">ifs(and(isblank($A73),isblank($B73)),"", not(iserror(vlookup($A73&amp;$B73,'5) Release_Track'!$F:$F&amp;'5) Release_Track'!$G:$G,1,0))),vlookup($A73&amp;$B73,{'5) Release_Track'!$F:$F&amp;'5) Release_Track'!$G:$G,'5) Release_Track'!$H:$H},2,0),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D73" s="121" t="str">
        <f t="array" ref="D73">ifs(and(isblank($A73),isblank($B73)),"", not(iserror(vlookup($A73&amp;$B73,'5) Release_Track'!$F:$F&amp;'5) Release_Track'!$G:$G,1,0))),vlookup($A73&amp;$B73,{'5) Release_Track'!$F:$F&amp;'5) Release_Track'!$G:$G,'5) Release_Track'!$I:$I},2,0),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E73" s="150" t="b">
        <v>0</v>
      </c>
      <c r="F73" s="150" t="b">
        <v>0</v>
      </c>
      <c r="G73" s="150" t="b">
        <v>0</v>
      </c>
      <c r="H73" s="150" t="b">
        <v>0</v>
      </c>
      <c r="I73" s="150" t="b">
        <v>0</v>
      </c>
      <c r="J73" s="150" t="b">
        <v>0</v>
      </c>
      <c r="K73" s="150" t="b">
        <v>0</v>
      </c>
      <c r="L73" s="8" t="b">
        <v>0</v>
      </c>
    </row>
    <row r="74">
      <c r="B74" s="97"/>
      <c r="C74" s="121" t="str">
        <f t="array" ref="C74">ifs(and(isblank($A74),isblank($B74)),"", not(iserror(vlookup($A74&amp;$B74,'5) Release_Track'!$F:$F&amp;'5) Release_Track'!$G:$G,1,0))),vlookup($A74&amp;$B74,{'5) Release_Track'!$F:$F&amp;'5) Release_Track'!$G:$G,'5) Release_Track'!$H:$H},2,0),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D74" s="121" t="str">
        <f t="array" ref="D74">ifs(and(isblank($A74),isblank($B74)),"", not(iserror(vlookup($A74&amp;$B74,'5) Release_Track'!$F:$F&amp;'5) Release_Track'!$G:$G,1,0))),vlookup($A74&amp;$B74,{'5) Release_Track'!$F:$F&amp;'5) Release_Track'!$G:$G,'5) Release_Track'!$I:$I},2,0),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E74" s="150" t="b">
        <v>0</v>
      </c>
      <c r="F74" s="150" t="b">
        <v>0</v>
      </c>
      <c r="G74" s="150" t="b">
        <v>0</v>
      </c>
      <c r="H74" s="150" t="b">
        <v>0</v>
      </c>
      <c r="I74" s="150" t="b">
        <v>0</v>
      </c>
      <c r="J74" s="150" t="b">
        <v>0</v>
      </c>
      <c r="K74" s="150" t="b">
        <v>0</v>
      </c>
      <c r="L74" s="8" t="b">
        <v>0</v>
      </c>
    </row>
    <row r="75">
      <c r="B75" s="97"/>
      <c r="C75" s="121" t="str">
        <f t="array" ref="C75">ifs(and(isblank($A75),isblank($B75)),"", not(iserror(vlookup($A75&amp;$B75,'5) Release_Track'!$F:$F&amp;'5) Release_Track'!$G:$G,1,0))),vlookup($A75&amp;$B75,{'5) Release_Track'!$F:$F&amp;'5) Release_Track'!$G:$G,'5) Release_Track'!$H:$H},2,0),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D75" s="121" t="str">
        <f t="array" ref="D75">ifs(and(isblank($A75),isblank($B75)),"", not(iserror(vlookup($A75&amp;$B75,'5) Release_Track'!$F:$F&amp;'5) Release_Track'!$G:$G,1,0))),vlookup($A75&amp;$B75,{'5) Release_Track'!$F:$F&amp;'5) Release_Track'!$G:$G,'5) Release_Track'!$I:$I},2,0),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E75" s="150" t="b">
        <v>0</v>
      </c>
      <c r="F75" s="150" t="b">
        <v>0</v>
      </c>
      <c r="G75" s="150" t="b">
        <v>0</v>
      </c>
      <c r="H75" s="150" t="b">
        <v>0</v>
      </c>
      <c r="I75" s="150" t="b">
        <v>0</v>
      </c>
      <c r="J75" s="150" t="b">
        <v>0</v>
      </c>
      <c r="K75" s="150" t="b">
        <v>0</v>
      </c>
      <c r="L75" s="8" t="b">
        <v>0</v>
      </c>
    </row>
    <row r="76">
      <c r="B76" s="97"/>
      <c r="C76" s="121" t="str">
        <f t="array" ref="C76">ifs(and(isblank($A76),isblank($B76)),"", not(iserror(vlookup($A76&amp;$B76,'5) Release_Track'!$F:$F&amp;'5) Release_Track'!$G:$G,1,0))),vlookup($A76&amp;$B76,{'5) Release_Track'!$F:$F&amp;'5) Release_Track'!$G:$G,'5) Release_Track'!$H:$H},2,0),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D76" s="121" t="str">
        <f t="array" ref="D76">ifs(and(isblank($A76),isblank($B76)),"", not(iserror(vlookup($A76&amp;$B76,'5) Release_Track'!$F:$F&amp;'5) Release_Track'!$G:$G,1,0))),vlookup($A76&amp;$B76,{'5) Release_Track'!$F:$F&amp;'5) Release_Track'!$G:$G,'5) Release_Track'!$I:$I},2,0),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E76" s="150" t="b">
        <v>0</v>
      </c>
      <c r="F76" s="150" t="b">
        <v>0</v>
      </c>
      <c r="G76" s="150" t="b">
        <v>0</v>
      </c>
      <c r="H76" s="150" t="b">
        <v>0</v>
      </c>
      <c r="I76" s="150" t="b">
        <v>0</v>
      </c>
      <c r="J76" s="150" t="b">
        <v>0</v>
      </c>
      <c r="K76" s="150" t="b">
        <v>0</v>
      </c>
      <c r="L76" s="8" t="b">
        <v>0</v>
      </c>
    </row>
    <row r="77">
      <c r="B77" s="97"/>
      <c r="C77" s="121" t="str">
        <f t="array" ref="C77">ifs(and(isblank($A77),isblank($B77)),"", not(iserror(vlookup($A77&amp;$B77,'5) Release_Track'!$F:$F&amp;'5) Release_Track'!$G:$G,1,0))),vlookup($A77&amp;$B77,{'5) Release_Track'!$F:$F&amp;'5) Release_Track'!$G:$G,'5) Release_Track'!$H:$H},2,0),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D77" s="121" t="str">
        <f t="array" ref="D77">ifs(and(isblank($A77),isblank($B77)),"", not(iserror(vlookup($A77&amp;$B77,'5) Release_Track'!$F:$F&amp;'5) Release_Track'!$G:$G,1,0))),vlookup($A77&amp;$B77,{'5) Release_Track'!$F:$F&amp;'5) Release_Track'!$G:$G,'5) Release_Track'!$I:$I},2,0),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E77" s="150" t="b">
        <v>0</v>
      </c>
      <c r="F77" s="150" t="b">
        <v>0</v>
      </c>
      <c r="G77" s="150" t="b">
        <v>0</v>
      </c>
      <c r="H77" s="150" t="b">
        <v>0</v>
      </c>
      <c r="I77" s="150" t="b">
        <v>0</v>
      </c>
      <c r="J77" s="150" t="b">
        <v>0</v>
      </c>
      <c r="K77" s="150" t="b">
        <v>0</v>
      </c>
      <c r="L77" s="8" t="b">
        <v>0</v>
      </c>
    </row>
    <row r="78">
      <c r="B78" s="97"/>
      <c r="C78" s="121" t="str">
        <f t="array" ref="C78">ifs(and(isblank($A78),isblank($B78)),"", not(iserror(vlookup($A78&amp;$B78,'5) Release_Track'!$F:$F&amp;'5) Release_Track'!$G:$G,1,0))),vlookup($A78&amp;$B78,{'5) Release_Track'!$F:$F&amp;'5) Release_Track'!$G:$G,'5) Release_Track'!$H:$H},2,0),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D78" s="121" t="str">
        <f t="array" ref="D78">ifs(and(isblank($A78),isblank($B78)),"", not(iserror(vlookup($A78&amp;$B78,'5) Release_Track'!$F:$F&amp;'5) Release_Track'!$G:$G,1,0))),vlookup($A78&amp;$B78,{'5) Release_Track'!$F:$F&amp;'5) Release_Track'!$G:$G,'5) Release_Track'!$I:$I},2,0),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E78" s="150" t="b">
        <v>0</v>
      </c>
      <c r="F78" s="150" t="b">
        <v>0</v>
      </c>
      <c r="G78" s="150" t="b">
        <v>0</v>
      </c>
      <c r="H78" s="150" t="b">
        <v>0</v>
      </c>
      <c r="I78" s="150" t="b">
        <v>0</v>
      </c>
      <c r="J78" s="150" t="b">
        <v>0</v>
      </c>
      <c r="K78" s="150" t="b">
        <v>0</v>
      </c>
      <c r="L78" s="8" t="b">
        <v>0</v>
      </c>
    </row>
    <row r="79">
      <c r="B79" s="97"/>
      <c r="C79" s="121" t="str">
        <f t="array" ref="C79">ifs(and(isblank($A79),isblank($B79)),"", not(iserror(vlookup($A79&amp;$B79,'5) Release_Track'!$F:$F&amp;'5) Release_Track'!$G:$G,1,0))),vlookup($A79&amp;$B79,{'5) Release_Track'!$F:$F&amp;'5) Release_Track'!$G:$G,'5) Release_Track'!$H:$H},2,0),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D79" s="121" t="str">
        <f t="array" ref="D79">ifs(and(isblank($A79),isblank($B79)),"", not(iserror(vlookup($A79&amp;$B79,'5) Release_Track'!$F:$F&amp;'5) Release_Track'!$G:$G,1,0))),vlookup($A79&amp;$B79,{'5) Release_Track'!$F:$F&amp;'5) Release_Track'!$G:$G,'5) Release_Track'!$I:$I},2,0),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E79" s="150" t="b">
        <v>0</v>
      </c>
      <c r="F79" s="150" t="b">
        <v>0</v>
      </c>
      <c r="G79" s="150" t="b">
        <v>0</v>
      </c>
      <c r="H79" s="150" t="b">
        <v>0</v>
      </c>
      <c r="I79" s="150" t="b">
        <v>0</v>
      </c>
      <c r="J79" s="150" t="b">
        <v>0</v>
      </c>
      <c r="K79" s="150" t="b">
        <v>0</v>
      </c>
      <c r="L79" s="8" t="b">
        <v>0</v>
      </c>
    </row>
    <row r="80">
      <c r="B80" s="97"/>
      <c r="C80" s="121" t="str">
        <f t="array" ref="C80">ifs(and(isblank($A80),isblank($B80)),"", not(iserror(vlookup($A80&amp;$B80,'5) Release_Track'!$F:$F&amp;'5) Release_Track'!$G:$G,1,0))),vlookup($A80&amp;$B80,{'5) Release_Track'!$F:$F&amp;'5) Release_Track'!$G:$G,'5) Release_Track'!$H:$H},2,0),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D80" s="121" t="str">
        <f t="array" ref="D80">ifs(and(isblank($A80),isblank($B80)),"", not(iserror(vlookup($A80&amp;$B80,'5) Release_Track'!$F:$F&amp;'5) Release_Track'!$G:$G,1,0))),vlookup($A80&amp;$B80,{'5) Release_Track'!$F:$F&amp;'5) Release_Track'!$G:$G,'5) Release_Track'!$I:$I},2,0),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E80" s="150" t="b">
        <v>0</v>
      </c>
      <c r="F80" s="150" t="b">
        <v>0</v>
      </c>
      <c r="G80" s="150" t="b">
        <v>0</v>
      </c>
      <c r="H80" s="150" t="b">
        <v>0</v>
      </c>
      <c r="I80" s="150" t="b">
        <v>0</v>
      </c>
      <c r="J80" s="150" t="b">
        <v>0</v>
      </c>
      <c r="K80" s="150" t="b">
        <v>0</v>
      </c>
      <c r="L80" s="8" t="b">
        <v>0</v>
      </c>
    </row>
    <row r="81">
      <c r="B81" s="97"/>
      <c r="C81" s="121" t="str">
        <f t="array" ref="C81">ifs(and(isblank($A81),isblank($B81)),"", not(iserror(vlookup($A81&amp;$B81,'5) Release_Track'!$F:$F&amp;'5) Release_Track'!$G:$G,1,0))),vlookup($A81&amp;$B81,{'5) Release_Track'!$F:$F&amp;'5) Release_Track'!$G:$G,'5) Release_Track'!$H:$H},2,0),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D81" s="121" t="str">
        <f t="array" ref="D81">ifs(and(isblank($A81),isblank($B81)),"", not(iserror(vlookup($A81&amp;$B81,'5) Release_Track'!$F:$F&amp;'5) Release_Track'!$G:$G,1,0))),vlookup($A81&amp;$B81,{'5) Release_Track'!$F:$F&amp;'5) Release_Track'!$G:$G,'5) Release_Track'!$I:$I},2,0),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E81" s="150" t="b">
        <v>0</v>
      </c>
      <c r="F81" s="150" t="b">
        <v>0</v>
      </c>
      <c r="G81" s="150" t="b">
        <v>0</v>
      </c>
      <c r="H81" s="150" t="b">
        <v>0</v>
      </c>
      <c r="I81" s="150" t="b">
        <v>0</v>
      </c>
      <c r="J81" s="150" t="b">
        <v>0</v>
      </c>
      <c r="K81" s="150" t="b">
        <v>0</v>
      </c>
      <c r="L81" s="8" t="b">
        <v>0</v>
      </c>
    </row>
    <row r="82">
      <c r="B82" s="97"/>
      <c r="C82" s="121" t="str">
        <f t="array" ref="C82">ifs(and(isblank($A82),isblank($B82)),"", not(iserror(vlookup($A82&amp;$B82,'5) Release_Track'!$F:$F&amp;'5) Release_Track'!$G:$G,1,0))),vlookup($A82&amp;$B82,{'5) Release_Track'!$F:$F&amp;'5) Release_Track'!$G:$G,'5) Release_Track'!$H:$H},2,0),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D82" s="121" t="str">
        <f t="array" ref="D82">ifs(and(isblank($A82),isblank($B82)),"", not(iserror(vlookup($A82&amp;$B82,'5) Release_Track'!$F:$F&amp;'5) Release_Track'!$G:$G,1,0))),vlookup($A82&amp;$B82,{'5) Release_Track'!$F:$F&amp;'5) Release_Track'!$G:$G,'5) Release_Track'!$I:$I},2,0),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E82" s="150" t="b">
        <v>0</v>
      </c>
      <c r="F82" s="150" t="b">
        <v>0</v>
      </c>
      <c r="G82" s="150" t="b">
        <v>0</v>
      </c>
      <c r="H82" s="150" t="b">
        <v>0</v>
      </c>
      <c r="I82" s="150" t="b">
        <v>0</v>
      </c>
      <c r="J82" s="150" t="b">
        <v>0</v>
      </c>
      <c r="K82" s="150" t="b">
        <v>0</v>
      </c>
      <c r="L82" s="8" t="b">
        <v>0</v>
      </c>
    </row>
    <row r="83">
      <c r="B83" s="97"/>
      <c r="C83" s="121" t="str">
        <f t="array" ref="C83">ifs(and(isblank($A83),isblank($B83)),"", not(iserror(vlookup($A83&amp;$B83,'5) Release_Track'!$F:$F&amp;'5) Release_Track'!$G:$G,1,0))),vlookup($A83&amp;$B83,{'5) Release_Track'!$F:$F&amp;'5) Release_Track'!$G:$G,'5) Release_Track'!$H:$H},2,0),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D83" s="121" t="str">
        <f t="array" ref="D83">ifs(and(isblank($A83),isblank($B83)),"", not(iserror(vlookup($A83&amp;$B83,'5) Release_Track'!$F:$F&amp;'5) Release_Track'!$G:$G,1,0))),vlookup($A83&amp;$B83,{'5) Release_Track'!$F:$F&amp;'5) Release_Track'!$G:$G,'5) Release_Track'!$I:$I},2,0),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E83" s="150" t="b">
        <v>0</v>
      </c>
      <c r="F83" s="150" t="b">
        <v>0</v>
      </c>
      <c r="G83" s="150" t="b">
        <v>0</v>
      </c>
      <c r="H83" s="150" t="b">
        <v>0</v>
      </c>
      <c r="I83" s="150" t="b">
        <v>0</v>
      </c>
      <c r="J83" s="150" t="b">
        <v>0</v>
      </c>
      <c r="K83" s="150" t="b">
        <v>0</v>
      </c>
      <c r="L83" s="8" t="b">
        <v>0</v>
      </c>
    </row>
    <row r="84">
      <c r="B84" s="97"/>
      <c r="C84" s="121" t="str">
        <f t="array" ref="C84">ifs(and(isblank($A84),isblank($B84)),"", not(iserror(vlookup($A84&amp;$B84,'5) Release_Track'!$F:$F&amp;'5) Release_Track'!$G:$G,1,0))),vlookup($A84&amp;$B84,{'5) Release_Track'!$F:$F&amp;'5) Release_Track'!$G:$G,'5) Release_Track'!$H:$H},2,0),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D84" s="121" t="str">
        <f t="array" ref="D84">ifs(and(isblank($A84),isblank($B84)),"", not(iserror(vlookup($A84&amp;$B84,'5) Release_Track'!$F:$F&amp;'5) Release_Track'!$G:$G,1,0))),vlookup($A84&amp;$B84,{'5) Release_Track'!$F:$F&amp;'5) Release_Track'!$G:$G,'5) Release_Track'!$I:$I},2,0),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E84" s="150" t="b">
        <v>0</v>
      </c>
      <c r="F84" s="150" t="b">
        <v>0</v>
      </c>
      <c r="G84" s="150" t="b">
        <v>0</v>
      </c>
      <c r="H84" s="150" t="b">
        <v>0</v>
      </c>
      <c r="I84" s="150" t="b">
        <v>0</v>
      </c>
      <c r="J84" s="150" t="b">
        <v>0</v>
      </c>
      <c r="K84" s="150" t="b">
        <v>0</v>
      </c>
      <c r="L84" s="8" t="b">
        <v>0</v>
      </c>
    </row>
    <row r="85">
      <c r="B85" s="97"/>
      <c r="C85" s="121" t="str">
        <f t="array" ref="C85">ifs(and(isblank($A85),isblank($B85)),"", not(iserror(vlookup($A85&amp;$B85,'5) Release_Track'!$F:$F&amp;'5) Release_Track'!$G:$G,1,0))),vlookup($A85&amp;$B85,{'5) Release_Track'!$F:$F&amp;'5) Release_Track'!$G:$G,'5) Release_Track'!$H:$H},2,0),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D85" s="121" t="str">
        <f t="array" ref="D85">ifs(and(isblank($A85),isblank($B85)),"", not(iserror(vlookup($A85&amp;$B85,'5) Release_Track'!$F:$F&amp;'5) Release_Track'!$G:$G,1,0))),vlookup($A85&amp;$B85,{'5) Release_Track'!$F:$F&amp;'5) Release_Track'!$G:$G,'5) Release_Track'!$I:$I},2,0),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E85" s="150" t="b">
        <v>0</v>
      </c>
      <c r="F85" s="150" t="b">
        <v>0</v>
      </c>
      <c r="G85" s="150" t="b">
        <v>0</v>
      </c>
      <c r="H85" s="150" t="b">
        <v>0</v>
      </c>
      <c r="I85" s="150" t="b">
        <v>0</v>
      </c>
      <c r="J85" s="150" t="b">
        <v>0</v>
      </c>
      <c r="K85" s="150" t="b">
        <v>0</v>
      </c>
      <c r="L85" s="8" t="b">
        <v>0</v>
      </c>
    </row>
    <row r="86">
      <c r="B86" s="97"/>
      <c r="C86" s="121" t="str">
        <f t="array" ref="C86">ifs(and(isblank($A86),isblank($B86)),"", not(iserror(vlookup($A86&amp;$B86,'5) Release_Track'!$F:$F&amp;'5) Release_Track'!$G:$G,1,0))),vlookup($A86&amp;$B86,{'5) Release_Track'!$F:$F&amp;'5) Release_Track'!$G:$G,'5) Release_Track'!$H:$H},2,0),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D86" s="121" t="str">
        <f t="array" ref="D86">ifs(and(isblank($A86),isblank($B86)),"", not(iserror(vlookup($A86&amp;$B86,'5) Release_Track'!$F:$F&amp;'5) Release_Track'!$G:$G,1,0))),vlookup($A86&amp;$B86,{'5) Release_Track'!$F:$F&amp;'5) Release_Track'!$G:$G,'5) Release_Track'!$I:$I},2,0),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E86" s="150" t="b">
        <v>0</v>
      </c>
      <c r="F86" s="150" t="b">
        <v>0</v>
      </c>
      <c r="G86" s="150" t="b">
        <v>0</v>
      </c>
      <c r="H86" s="150" t="b">
        <v>0</v>
      </c>
      <c r="I86" s="150" t="b">
        <v>0</v>
      </c>
      <c r="J86" s="150" t="b">
        <v>0</v>
      </c>
      <c r="K86" s="150" t="b">
        <v>0</v>
      </c>
      <c r="L86" s="8" t="b">
        <v>0</v>
      </c>
    </row>
    <row r="87">
      <c r="B87" s="97"/>
      <c r="C87" s="121" t="str">
        <f t="array" ref="C87">ifs(and(isblank($A87),isblank($B87)),"", not(iserror(vlookup($A87&amp;$B87,'5) Release_Track'!$F:$F&amp;'5) Release_Track'!$G:$G,1,0))),vlookup($A87&amp;$B87,{'5) Release_Track'!$F:$F&amp;'5) Release_Track'!$G:$G,'5) Release_Track'!$H:$H},2,0),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D87" s="121" t="str">
        <f t="array" ref="D87">ifs(and(isblank($A87),isblank($B87)),"", not(iserror(vlookup($A87&amp;$B87,'5) Release_Track'!$F:$F&amp;'5) Release_Track'!$G:$G,1,0))),vlookup($A87&amp;$B87,{'5) Release_Track'!$F:$F&amp;'5) Release_Track'!$G:$G,'5) Release_Track'!$I:$I},2,0),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E87" s="150" t="b">
        <v>0</v>
      </c>
      <c r="F87" s="150" t="b">
        <v>0</v>
      </c>
      <c r="G87" s="150" t="b">
        <v>0</v>
      </c>
      <c r="H87" s="150" t="b">
        <v>0</v>
      </c>
      <c r="I87" s="150" t="b">
        <v>0</v>
      </c>
      <c r="J87" s="150" t="b">
        <v>0</v>
      </c>
      <c r="K87" s="150" t="b">
        <v>0</v>
      </c>
      <c r="L87" s="8" t="b">
        <v>0</v>
      </c>
    </row>
    <row r="88">
      <c r="B88" s="97"/>
      <c r="C88" s="121" t="str">
        <f t="array" ref="C88">ifs(and(isblank($A88),isblank($B88)),"", not(iserror(vlookup($A88&amp;$B88,'5) Release_Track'!$F:$F&amp;'5) Release_Track'!$G:$G,1,0))),vlookup($A88&amp;$B88,{'5) Release_Track'!$F:$F&amp;'5) Release_Track'!$G:$G,'5) Release_Track'!$H:$H},2,0),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D88" s="121" t="str">
        <f t="array" ref="D88">ifs(and(isblank($A88),isblank($B88)),"", not(iserror(vlookup($A88&amp;$B88,'5) Release_Track'!$F:$F&amp;'5) Release_Track'!$G:$G,1,0))),vlookup($A88&amp;$B88,{'5) Release_Track'!$F:$F&amp;'5) Release_Track'!$G:$G,'5) Release_Track'!$I:$I},2,0),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E88" s="150" t="b">
        <v>0</v>
      </c>
      <c r="F88" s="150" t="b">
        <v>0</v>
      </c>
      <c r="G88" s="150" t="b">
        <v>0</v>
      </c>
      <c r="H88" s="150" t="b">
        <v>0</v>
      </c>
      <c r="I88" s="150" t="b">
        <v>0</v>
      </c>
      <c r="J88" s="150" t="b">
        <v>0</v>
      </c>
      <c r="K88" s="150" t="b">
        <v>0</v>
      </c>
      <c r="L88" s="8" t="b">
        <v>0</v>
      </c>
    </row>
    <row r="89">
      <c r="B89" s="97"/>
      <c r="C89" s="121" t="str">
        <f t="array" ref="C89">ifs(and(isblank($A89),isblank($B89)),"", not(iserror(vlookup($A89&amp;$B89,'5) Release_Track'!$F:$F&amp;'5) Release_Track'!$G:$G,1,0))),vlookup($A89&amp;$B89,{'5) Release_Track'!$F:$F&amp;'5) Release_Track'!$G:$G,'5) Release_Track'!$H:$H},2,0),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D89" s="121" t="str">
        <f t="array" ref="D89">ifs(and(isblank($A89),isblank($B89)),"", not(iserror(vlookup($A89&amp;$B89,'5) Release_Track'!$F:$F&amp;'5) Release_Track'!$G:$G,1,0))),vlookup($A89&amp;$B89,{'5) Release_Track'!$F:$F&amp;'5) Release_Track'!$G:$G,'5) Release_Track'!$I:$I},2,0),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E89" s="150" t="b">
        <v>0</v>
      </c>
      <c r="F89" s="150" t="b">
        <v>0</v>
      </c>
      <c r="G89" s="150" t="b">
        <v>0</v>
      </c>
      <c r="H89" s="150" t="b">
        <v>0</v>
      </c>
      <c r="I89" s="150" t="b">
        <v>0</v>
      </c>
      <c r="J89" s="150" t="b">
        <v>0</v>
      </c>
      <c r="K89" s="150" t="b">
        <v>0</v>
      </c>
      <c r="L89" s="8" t="b">
        <v>0</v>
      </c>
    </row>
    <row r="90">
      <c r="B90" s="97"/>
      <c r="C90" s="121" t="str">
        <f t="array" ref="C90">ifs(and(isblank($A90),isblank($B90)),"", not(iserror(vlookup($A90&amp;$B90,'5) Release_Track'!$F:$F&amp;'5) Release_Track'!$G:$G,1,0))),vlookup($A90&amp;$B90,{'5) Release_Track'!$F:$F&amp;'5) Release_Track'!$G:$G,'5) Release_Track'!$H:$H},2,0),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D90" s="121" t="str">
        <f t="array" ref="D90">ifs(and(isblank($A90),isblank($B90)),"", not(iserror(vlookup($A90&amp;$B90,'5) Release_Track'!$F:$F&amp;'5) Release_Track'!$G:$G,1,0))),vlookup($A90&amp;$B90,{'5) Release_Track'!$F:$F&amp;'5) Release_Track'!$G:$G,'5) Release_Track'!$I:$I},2,0),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E90" s="150" t="b">
        <v>0</v>
      </c>
      <c r="F90" s="150" t="b">
        <v>0</v>
      </c>
      <c r="G90" s="150" t="b">
        <v>0</v>
      </c>
      <c r="H90" s="150" t="b">
        <v>0</v>
      </c>
      <c r="I90" s="150" t="b">
        <v>0</v>
      </c>
      <c r="J90" s="150" t="b">
        <v>0</v>
      </c>
      <c r="K90" s="150" t="b">
        <v>0</v>
      </c>
      <c r="L90" s="8" t="b">
        <v>0</v>
      </c>
    </row>
    <row r="91">
      <c r="B91" s="97"/>
      <c r="C91" s="121" t="str">
        <f t="array" ref="C91">ifs(and(isblank($A91),isblank($B91)),"", not(iserror(vlookup($A91&amp;$B91,'5) Release_Track'!$F:$F&amp;'5) Release_Track'!$G:$G,1,0))),vlookup($A91&amp;$B91,{'5) Release_Track'!$F:$F&amp;'5) Release_Track'!$G:$G,'5) Release_Track'!$H:$H},2,0),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D91" s="121" t="str">
        <f t="array" ref="D91">ifs(and(isblank($A91),isblank($B91)),"", not(iserror(vlookup($A91&amp;$B91,'5) Release_Track'!$F:$F&amp;'5) Release_Track'!$G:$G,1,0))),vlookup($A91&amp;$B91,{'5) Release_Track'!$F:$F&amp;'5) Release_Track'!$G:$G,'5) Release_Track'!$I:$I},2,0),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E91" s="150" t="b">
        <v>0</v>
      </c>
      <c r="F91" s="150" t="b">
        <v>0</v>
      </c>
      <c r="G91" s="150" t="b">
        <v>0</v>
      </c>
      <c r="H91" s="150" t="b">
        <v>0</v>
      </c>
      <c r="I91" s="150" t="b">
        <v>0</v>
      </c>
      <c r="J91" s="150" t="b">
        <v>0</v>
      </c>
      <c r="K91" s="150" t="b">
        <v>0</v>
      </c>
      <c r="L91" s="8" t="b">
        <v>0</v>
      </c>
    </row>
    <row r="92">
      <c r="B92" s="97"/>
      <c r="C92" s="121" t="str">
        <f t="array" ref="C92">ifs(and(isblank($A92),isblank($B92)),"", not(iserror(vlookup($A92&amp;$B92,'5) Release_Track'!$F:$F&amp;'5) Release_Track'!$G:$G,1,0))),vlookup($A92&amp;$B92,{'5) Release_Track'!$F:$F&amp;'5) Release_Track'!$G:$G,'5) Release_Track'!$H:$H},2,0),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D92" s="121" t="str">
        <f t="array" ref="D92">ifs(and(isblank($A92),isblank($B92)),"", not(iserror(vlookup($A92&amp;$B92,'5) Release_Track'!$F:$F&amp;'5) Release_Track'!$G:$G,1,0))),vlookup($A92&amp;$B92,{'5) Release_Track'!$F:$F&amp;'5) Release_Track'!$G:$G,'5) Release_Track'!$I:$I},2,0),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E92" s="150" t="b">
        <v>0</v>
      </c>
      <c r="F92" s="150" t="b">
        <v>0</v>
      </c>
      <c r="G92" s="150" t="b">
        <v>0</v>
      </c>
      <c r="H92" s="150" t="b">
        <v>0</v>
      </c>
      <c r="I92" s="150" t="b">
        <v>0</v>
      </c>
      <c r="J92" s="150" t="b">
        <v>0</v>
      </c>
      <c r="K92" s="150" t="b">
        <v>0</v>
      </c>
      <c r="L92" s="8" t="b">
        <v>0</v>
      </c>
    </row>
    <row r="93">
      <c r="B93" s="97"/>
      <c r="C93" s="121" t="str">
        <f t="array" ref="C93">ifs(and(isblank($A93),isblank($B93)),"", not(iserror(vlookup($A93&amp;$B93,'5) Release_Track'!$F:$F&amp;'5) Release_Track'!$G:$G,1,0))),vlookup($A93&amp;$B93,{'5) Release_Track'!$F:$F&amp;'5) Release_Track'!$G:$G,'5) Release_Track'!$H:$H},2,0),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D93" s="121" t="str">
        <f t="array" ref="D93">ifs(and(isblank($A93),isblank($B93)),"", not(iserror(vlookup($A93&amp;$B93,'5) Release_Track'!$F:$F&amp;'5) Release_Track'!$G:$G,1,0))),vlookup($A93&amp;$B93,{'5) Release_Track'!$F:$F&amp;'5) Release_Track'!$G:$G,'5) Release_Track'!$I:$I},2,0),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E93" s="150" t="b">
        <v>0</v>
      </c>
      <c r="F93" s="150" t="b">
        <v>0</v>
      </c>
      <c r="G93" s="150" t="b">
        <v>0</v>
      </c>
      <c r="H93" s="150" t="b">
        <v>0</v>
      </c>
      <c r="I93" s="150" t="b">
        <v>0</v>
      </c>
      <c r="J93" s="150" t="b">
        <v>0</v>
      </c>
      <c r="K93" s="150" t="b">
        <v>0</v>
      </c>
      <c r="L93" s="8" t="b">
        <v>0</v>
      </c>
    </row>
    <row r="94">
      <c r="B94" s="97"/>
      <c r="C94" s="121" t="str">
        <f t="array" ref="C94">ifs(and(isblank($A94),isblank($B94)),"", not(iserror(vlookup($A94&amp;$B94,'5) Release_Track'!$F:$F&amp;'5) Release_Track'!$G:$G,1,0))),vlookup($A94&amp;$B94,{'5) Release_Track'!$F:$F&amp;'5) Release_Track'!$G:$G,'5) Release_Track'!$H:$H},2,0),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D94" s="121" t="str">
        <f t="array" ref="D94">ifs(and(isblank($A94),isblank($B94)),"", not(iserror(vlookup($A94&amp;$B94,'5) Release_Track'!$F:$F&amp;'5) Release_Track'!$G:$G,1,0))),vlookup($A94&amp;$B94,{'5) Release_Track'!$F:$F&amp;'5) Release_Track'!$G:$G,'5) Release_Track'!$I:$I},2,0),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E94" s="150" t="b">
        <v>0</v>
      </c>
      <c r="F94" s="150" t="b">
        <v>0</v>
      </c>
      <c r="G94" s="150" t="b">
        <v>0</v>
      </c>
      <c r="H94" s="150" t="b">
        <v>0</v>
      </c>
      <c r="I94" s="150" t="b">
        <v>0</v>
      </c>
      <c r="J94" s="150" t="b">
        <v>0</v>
      </c>
      <c r="K94" s="150" t="b">
        <v>0</v>
      </c>
      <c r="L94" s="8" t="b">
        <v>0</v>
      </c>
    </row>
    <row r="95">
      <c r="B95" s="97"/>
      <c r="C95" s="121" t="str">
        <f t="array" ref="C95">ifs(and(isblank($A95),isblank($B95)),"", not(iserror(vlookup($A95&amp;$B95,'5) Release_Track'!$F:$F&amp;'5) Release_Track'!$G:$G,1,0))),vlookup($A95&amp;$B95,{'5) Release_Track'!$F:$F&amp;'5) Release_Track'!$G:$G,'5) Release_Track'!$H:$H},2,0),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D95" s="121" t="str">
        <f t="array" ref="D95">ifs(and(isblank($A95),isblank($B95)),"", not(iserror(vlookup($A95&amp;$B95,'5) Release_Track'!$F:$F&amp;'5) Release_Track'!$G:$G,1,0))),vlookup($A95&amp;$B95,{'5) Release_Track'!$F:$F&amp;'5) Release_Track'!$G:$G,'5) Release_Track'!$I:$I},2,0),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E95" s="150" t="b">
        <v>0</v>
      </c>
      <c r="F95" s="150" t="b">
        <v>0</v>
      </c>
      <c r="G95" s="150" t="b">
        <v>0</v>
      </c>
      <c r="H95" s="150" t="b">
        <v>0</v>
      </c>
      <c r="I95" s="150" t="b">
        <v>0</v>
      </c>
      <c r="J95" s="150" t="b">
        <v>0</v>
      </c>
      <c r="K95" s="150" t="b">
        <v>0</v>
      </c>
      <c r="L95" s="8" t="b">
        <v>0</v>
      </c>
    </row>
    <row r="96">
      <c r="B96" s="97"/>
      <c r="C96" s="121" t="str">
        <f t="array" ref="C96">ifs(and(isblank($A96),isblank($B96)),"", not(iserror(vlookup($A96&amp;$B96,'5) Release_Track'!$F:$F&amp;'5) Release_Track'!$G:$G,1,0))),vlookup($A96&amp;$B96,{'5) Release_Track'!$F:$F&amp;'5) Release_Track'!$G:$G,'5) Release_Track'!$H:$H},2,0),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D96" s="121" t="str">
        <f t="array" ref="D96">ifs(and(isblank($A96),isblank($B96)),"", not(iserror(vlookup($A96&amp;$B96,'5) Release_Track'!$F:$F&amp;'5) Release_Track'!$G:$G,1,0))),vlookup($A96&amp;$B96,{'5) Release_Track'!$F:$F&amp;'5) Release_Track'!$G:$G,'5) Release_Track'!$I:$I},2,0),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E96" s="150" t="b">
        <v>0</v>
      </c>
      <c r="F96" s="150" t="b">
        <v>0</v>
      </c>
      <c r="G96" s="150" t="b">
        <v>0</v>
      </c>
      <c r="H96" s="150" t="b">
        <v>0</v>
      </c>
      <c r="I96" s="150" t="b">
        <v>0</v>
      </c>
      <c r="J96" s="150" t="b">
        <v>0</v>
      </c>
      <c r="K96" s="150" t="b">
        <v>0</v>
      </c>
      <c r="L96" s="8" t="b">
        <v>0</v>
      </c>
    </row>
    <row r="97">
      <c r="B97" s="97"/>
      <c r="C97" s="121" t="str">
        <f t="array" ref="C97">ifs(and(isblank($A97),isblank($B97)),"", not(iserror(vlookup($A97&amp;$B97,'5) Release_Track'!$F:$F&amp;'5) Release_Track'!$G:$G,1,0))),vlookup($A97&amp;$B97,{'5) Release_Track'!$F:$F&amp;'5) Release_Track'!$G:$G,'5) Release_Track'!$H:$H},2,0),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D97" s="121" t="str">
        <f t="array" ref="D97">ifs(and(isblank($A97),isblank($B97)),"", not(iserror(vlookup($A97&amp;$B97,'5) Release_Track'!$F:$F&amp;'5) Release_Track'!$G:$G,1,0))),vlookup($A97&amp;$B97,{'5) Release_Track'!$F:$F&amp;'5) Release_Track'!$G:$G,'5) Release_Track'!$I:$I},2,0),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E97" s="150" t="b">
        <v>0</v>
      </c>
      <c r="F97" s="150" t="b">
        <v>0</v>
      </c>
      <c r="G97" s="150" t="b">
        <v>0</v>
      </c>
      <c r="H97" s="150" t="b">
        <v>0</v>
      </c>
      <c r="I97" s="150" t="b">
        <v>0</v>
      </c>
      <c r="J97" s="150" t="b">
        <v>0</v>
      </c>
      <c r="K97" s="150" t="b">
        <v>0</v>
      </c>
      <c r="L97" s="8" t="b">
        <v>0</v>
      </c>
    </row>
    <row r="98">
      <c r="B98" s="97"/>
      <c r="C98" s="121" t="str">
        <f t="array" ref="C98">ifs(and(isblank($A98),isblank($B98)),"", not(iserror(vlookup($A98&amp;$B98,'5) Release_Track'!$F:$F&amp;'5) Release_Track'!$G:$G,1,0))),vlookup($A98&amp;$B98,{'5) Release_Track'!$F:$F&amp;'5) Release_Track'!$G:$G,'5) Release_Track'!$H:$H},2,0),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D98" s="121" t="str">
        <f t="array" ref="D98">ifs(and(isblank($A98),isblank($B98)),"", not(iserror(vlookup($A98&amp;$B98,'5) Release_Track'!$F:$F&amp;'5) Release_Track'!$G:$G,1,0))),vlookup($A98&amp;$B98,{'5) Release_Track'!$F:$F&amp;'5) Release_Track'!$G:$G,'5) Release_Track'!$I:$I},2,0),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E98" s="150" t="b">
        <v>0</v>
      </c>
      <c r="F98" s="150" t="b">
        <v>0</v>
      </c>
      <c r="G98" s="150" t="b">
        <v>0</v>
      </c>
      <c r="H98" s="150" t="b">
        <v>0</v>
      </c>
      <c r="I98" s="150" t="b">
        <v>0</v>
      </c>
      <c r="J98" s="150" t="b">
        <v>0</v>
      </c>
      <c r="K98" s="150" t="b">
        <v>0</v>
      </c>
      <c r="L98" s="8" t="b">
        <v>0</v>
      </c>
    </row>
    <row r="99">
      <c r="B99" s="97"/>
      <c r="C99" s="121" t="str">
        <f t="array" ref="C99">ifs(and(isblank($A99),isblank($B99)),"", not(iserror(vlookup($A99&amp;$B99,'5) Release_Track'!$F:$F&amp;'5) Release_Track'!$G:$G,1,0))),vlookup($A99&amp;$B99,{'5) Release_Track'!$F:$F&amp;'5) Release_Track'!$G:$G,'5) Release_Track'!$H:$H},2,0),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D99" s="121" t="str">
        <f t="array" ref="D99">ifs(and(isblank($A99),isblank($B99)),"", not(iserror(vlookup($A99&amp;$B99,'5) Release_Track'!$F:$F&amp;'5) Release_Track'!$G:$G,1,0))),vlookup($A99&amp;$B99,{'5) Release_Track'!$F:$F&amp;'5) Release_Track'!$G:$G,'5) Release_Track'!$I:$I},2,0),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E99" s="150" t="b">
        <v>0</v>
      </c>
      <c r="F99" s="150" t="b">
        <v>0</v>
      </c>
      <c r="G99" s="150" t="b">
        <v>0</v>
      </c>
      <c r="H99" s="150" t="b">
        <v>0</v>
      </c>
      <c r="I99" s="150" t="b">
        <v>0</v>
      </c>
      <c r="J99" s="150" t="b">
        <v>0</v>
      </c>
      <c r="K99" s="150" t="b">
        <v>0</v>
      </c>
      <c r="L99" s="8" t="b">
        <v>0</v>
      </c>
    </row>
    <row r="100">
      <c r="B100" s="97"/>
      <c r="C100" s="121" t="str">
        <f t="array" ref="C100">ifs(and(isblank($A100),isblank($B100)),"", not(iserror(vlookup($A100&amp;$B100,'5) Release_Track'!$F:$F&amp;'5) Release_Track'!$G:$G,1,0))),vlookup($A100&amp;$B100,{'5) Release_Track'!$F:$F&amp;'5) Release_Track'!$G:$G,'5) Release_Track'!$H:$H},2,0),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D100" s="121" t="str">
        <f t="array" ref="D100">ifs(and(isblank($A100),isblank($B100)),"", not(iserror(vlookup($A100&amp;$B100,'5) Release_Track'!$F:$F&amp;'5) Release_Track'!$G:$G,1,0))),vlookup($A100&amp;$B100,{'5) Release_Track'!$F:$F&amp;'5) Release_Track'!$G:$G,'5) Release_Track'!$I:$I},2,0),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E100" s="150" t="b">
        <v>0</v>
      </c>
      <c r="F100" s="150" t="b">
        <v>0</v>
      </c>
      <c r="G100" s="150" t="b">
        <v>0</v>
      </c>
      <c r="H100" s="150" t="b">
        <v>0</v>
      </c>
      <c r="I100" s="150" t="b">
        <v>0</v>
      </c>
      <c r="J100" s="150" t="b">
        <v>0</v>
      </c>
      <c r="K100" s="150" t="b">
        <v>0</v>
      </c>
      <c r="L100" s="8" t="b">
        <v>0</v>
      </c>
    </row>
    <row r="101">
      <c r="B101" s="97"/>
      <c r="C101" s="121" t="str">
        <f t="array" ref="C101">ifs(and(isblank($A101),isblank($B101)),"", not(iserror(vlookup($A101&amp;$B101,'5) Release_Track'!$F:$F&amp;'5) Release_Track'!$G:$G,1,0))),vlookup($A101&amp;$B101,{'5) Release_Track'!$F:$F&amp;'5) Release_Track'!$G:$G,'5) Release_Track'!$H:$H},2,0),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D101" s="121" t="str">
        <f t="array" ref="D101">ifs(and(isblank($A101),isblank($B101)),"", not(iserror(vlookup($A101&amp;$B101,'5) Release_Track'!$F:$F&amp;'5) Release_Track'!$G:$G,1,0))),vlookup($A101&amp;$B101,{'5) Release_Track'!$F:$F&amp;'5) Release_Track'!$G:$G,'5) Release_Track'!$I:$I},2,0),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E101" s="150" t="b">
        <v>0</v>
      </c>
      <c r="F101" s="150" t="b">
        <v>0</v>
      </c>
      <c r="G101" s="150" t="b">
        <v>0</v>
      </c>
      <c r="H101" s="150" t="b">
        <v>0</v>
      </c>
      <c r="I101" s="150" t="b">
        <v>0</v>
      </c>
      <c r="J101" s="150" t="b">
        <v>0</v>
      </c>
      <c r="K101" s="150" t="b">
        <v>0</v>
      </c>
      <c r="L101" s="8" t="b">
        <v>0</v>
      </c>
    </row>
    <row r="102">
      <c r="B102" s="97"/>
      <c r="C102" s="121" t="str">
        <f t="array" ref="C102">ifs(and(isblank($A102),isblank($B102)),"", not(iserror(vlookup($A102&amp;$B102,'5) Release_Track'!$F:$F&amp;'5) Release_Track'!$G:$G,1,0))),vlookup($A102&amp;$B102,{'5) Release_Track'!$F:$F&amp;'5) Release_Track'!$G:$G,'5) Release_Track'!$H:$H},2,0),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D102" s="121" t="str">
        <f t="array" ref="D102">ifs(and(isblank($A102),isblank($B102)),"", not(iserror(vlookup($A102&amp;$B102,'5) Release_Track'!$F:$F&amp;'5) Release_Track'!$G:$G,1,0))),vlookup($A102&amp;$B102,{'5) Release_Track'!$F:$F&amp;'5) Release_Track'!$G:$G,'5) Release_Track'!$I:$I},2,0),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E102" s="150" t="b">
        <v>0</v>
      </c>
      <c r="F102" s="150" t="b">
        <v>0</v>
      </c>
      <c r="G102" s="150" t="b">
        <v>0</v>
      </c>
      <c r="H102" s="150" t="b">
        <v>0</v>
      </c>
      <c r="I102" s="150" t="b">
        <v>0</v>
      </c>
      <c r="J102" s="150" t="b">
        <v>0</v>
      </c>
      <c r="K102" s="150" t="b">
        <v>0</v>
      </c>
      <c r="L102" s="8" t="b">
        <v>0</v>
      </c>
    </row>
    <row r="103">
      <c r="B103" s="97"/>
      <c r="C103" s="121" t="str">
        <f t="array" ref="C103">ifs(and(isblank($A103),isblank($B103)),"", not(iserror(vlookup($A103&amp;$B103,'5) Release_Track'!$F:$F&amp;'5) Release_Track'!$G:$G,1,0))),vlookup($A103&amp;$B103,{'5) Release_Track'!$F:$F&amp;'5) Release_Track'!$G:$G,'5) Release_Track'!$H:$H},2,0),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D103" s="121" t="str">
        <f t="array" ref="D103">ifs(and(isblank($A103),isblank($B103)),"", not(iserror(vlookup($A103&amp;$B103,'5) Release_Track'!$F:$F&amp;'5) Release_Track'!$G:$G,1,0))),vlookup($A103&amp;$B103,{'5) Release_Track'!$F:$F&amp;'5) Release_Track'!$G:$G,'5) Release_Track'!$I:$I},2,0),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E103" s="150" t="b">
        <v>0</v>
      </c>
      <c r="F103" s="150" t="b">
        <v>0</v>
      </c>
      <c r="G103" s="150" t="b">
        <v>0</v>
      </c>
      <c r="H103" s="150" t="b">
        <v>0</v>
      </c>
      <c r="I103" s="150" t="b">
        <v>0</v>
      </c>
      <c r="J103" s="150" t="b">
        <v>0</v>
      </c>
      <c r="K103" s="150" t="b">
        <v>0</v>
      </c>
      <c r="L103" s="8" t="b">
        <v>0</v>
      </c>
    </row>
    <row r="104">
      <c r="B104" s="97"/>
      <c r="C104" s="121" t="str">
        <f t="array" ref="C104">ifs(and(isblank($A104),isblank($B104)),"", not(iserror(vlookup($A104&amp;$B104,'5) Release_Track'!$F:$F&amp;'5) Release_Track'!$G:$G,1,0))),vlookup($A104&amp;$B104,{'5) Release_Track'!$F:$F&amp;'5) Release_Track'!$G:$G,'5) Release_Track'!$H:$H},2,0),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D104" s="121" t="str">
        <f t="array" ref="D104">ifs(and(isblank($A104),isblank($B104)),"", not(iserror(vlookup($A104&amp;$B104,'5) Release_Track'!$F:$F&amp;'5) Release_Track'!$G:$G,1,0))),vlookup($A104&amp;$B104,{'5) Release_Track'!$F:$F&amp;'5) Release_Track'!$G:$G,'5) Release_Track'!$I:$I},2,0),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E104" s="150" t="b">
        <v>0</v>
      </c>
      <c r="F104" s="150" t="b">
        <v>0</v>
      </c>
      <c r="G104" s="150" t="b">
        <v>0</v>
      </c>
      <c r="H104" s="150" t="b">
        <v>0</v>
      </c>
      <c r="I104" s="150" t="b">
        <v>0</v>
      </c>
      <c r="J104" s="150" t="b">
        <v>0</v>
      </c>
      <c r="K104" s="150" t="b">
        <v>0</v>
      </c>
      <c r="L104" s="8" t="b">
        <v>0</v>
      </c>
    </row>
    <row r="105">
      <c r="B105" s="97"/>
      <c r="C105" s="121" t="str">
        <f t="array" ref="C105">ifs(and(isblank($A105),isblank($B105)),"", not(iserror(vlookup($A105&amp;$B105,'5) Release_Track'!$F:$F&amp;'5) Release_Track'!$G:$G,1,0))),vlookup($A105&amp;$B105,{'5) Release_Track'!$F:$F&amp;'5) Release_Track'!$G:$G,'5) Release_Track'!$H:$H},2,0),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D105" s="121" t="str">
        <f t="array" ref="D105">ifs(and(isblank($A105),isblank($B105)),"", not(iserror(vlookup($A105&amp;$B105,'5) Release_Track'!$F:$F&amp;'5) Release_Track'!$G:$G,1,0))),vlookup($A105&amp;$B105,{'5) Release_Track'!$F:$F&amp;'5) Release_Track'!$G:$G,'5) Release_Track'!$I:$I},2,0),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E105" s="150" t="b">
        <v>0</v>
      </c>
      <c r="F105" s="150" t="b">
        <v>0</v>
      </c>
      <c r="G105" s="150" t="b">
        <v>0</v>
      </c>
      <c r="H105" s="150" t="b">
        <v>0</v>
      </c>
      <c r="I105" s="150" t="b">
        <v>0</v>
      </c>
      <c r="J105" s="150" t="b">
        <v>0</v>
      </c>
      <c r="K105" s="150" t="b">
        <v>0</v>
      </c>
      <c r="L105" s="8" t="b">
        <v>0</v>
      </c>
    </row>
    <row r="106">
      <c r="B106" s="97"/>
      <c r="C106" s="121" t="str">
        <f t="array" ref="C106">ifs(and(isblank($A106),isblank($B106)),"", not(iserror(vlookup($A106&amp;$B106,'5) Release_Track'!$F:$F&amp;'5) Release_Track'!$G:$G,1,0))),vlookup($A106&amp;$B106,{'5) Release_Track'!$F:$F&amp;'5) Release_Track'!$G:$G,'5) Release_Track'!$H:$H},2,0),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D106" s="121" t="str">
        <f t="array" ref="D106">ifs(and(isblank($A106),isblank($B106)),"", not(iserror(vlookup($A106&amp;$B106,'5) Release_Track'!$F:$F&amp;'5) Release_Track'!$G:$G,1,0))),vlookup($A106&amp;$B106,{'5) Release_Track'!$F:$F&amp;'5) Release_Track'!$G:$G,'5) Release_Track'!$I:$I},2,0),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E106" s="150" t="b">
        <v>0</v>
      </c>
      <c r="F106" s="150" t="b">
        <v>0</v>
      </c>
      <c r="G106" s="150" t="b">
        <v>0</v>
      </c>
      <c r="H106" s="150" t="b">
        <v>0</v>
      </c>
      <c r="I106" s="150" t="b">
        <v>0</v>
      </c>
      <c r="J106" s="150" t="b">
        <v>0</v>
      </c>
      <c r="K106" s="150" t="b">
        <v>0</v>
      </c>
      <c r="L106" s="8" t="b">
        <v>0</v>
      </c>
    </row>
    <row r="107">
      <c r="B107" s="97"/>
      <c r="C107" s="121" t="str">
        <f t="array" ref="C107">ifs(and(isblank($A107),isblank($B107)),"", not(iserror(vlookup($A107&amp;$B107,'5) Release_Track'!$F:$F&amp;'5) Release_Track'!$G:$G,1,0))),vlookup($A107&amp;$B107,{'5) Release_Track'!$F:$F&amp;'5) Release_Track'!$G:$G,'5) Release_Track'!$H:$H},2,0),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D107" s="121" t="str">
        <f t="array" ref="D107">ifs(and(isblank($A107),isblank($B107)),"", not(iserror(vlookup($A107&amp;$B107,'5) Release_Track'!$F:$F&amp;'5) Release_Track'!$G:$G,1,0))),vlookup($A107&amp;$B107,{'5) Release_Track'!$F:$F&amp;'5) Release_Track'!$G:$G,'5) Release_Track'!$I:$I},2,0),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E107" s="150" t="b">
        <v>0</v>
      </c>
      <c r="F107" s="150" t="b">
        <v>0</v>
      </c>
      <c r="G107" s="150" t="b">
        <v>0</v>
      </c>
      <c r="H107" s="150" t="b">
        <v>0</v>
      </c>
      <c r="I107" s="150" t="b">
        <v>0</v>
      </c>
      <c r="J107" s="150" t="b">
        <v>0</v>
      </c>
      <c r="K107" s="150" t="b">
        <v>0</v>
      </c>
      <c r="L107" s="8" t="b">
        <v>0</v>
      </c>
    </row>
    <row r="108">
      <c r="B108" s="97"/>
      <c r="C108" s="121" t="str">
        <f t="array" ref="C108">ifs(and(isblank($A108),isblank($B108)),"", not(iserror(vlookup($A108&amp;$B108,'5) Release_Track'!$F:$F&amp;'5) Release_Track'!$G:$G,1,0))),vlookup($A108&amp;$B108,{'5) Release_Track'!$F:$F&amp;'5) Release_Track'!$G:$G,'5) Release_Track'!$H:$H},2,0),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D108" s="121" t="str">
        <f t="array" ref="D108">ifs(and(isblank($A108),isblank($B108)),"", not(iserror(vlookup($A108&amp;$B108,'5) Release_Track'!$F:$F&amp;'5) Release_Track'!$G:$G,1,0))),vlookup($A108&amp;$B108,{'5) Release_Track'!$F:$F&amp;'5) Release_Track'!$G:$G,'5) Release_Track'!$I:$I},2,0),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E108" s="150" t="b">
        <v>0</v>
      </c>
      <c r="F108" s="150" t="b">
        <v>0</v>
      </c>
      <c r="G108" s="150" t="b">
        <v>0</v>
      </c>
      <c r="H108" s="150" t="b">
        <v>0</v>
      </c>
      <c r="I108" s="150" t="b">
        <v>0</v>
      </c>
      <c r="J108" s="150" t="b">
        <v>0</v>
      </c>
      <c r="K108" s="150" t="b">
        <v>0</v>
      </c>
      <c r="L108" s="8" t="b">
        <v>0</v>
      </c>
    </row>
    <row r="109">
      <c r="B109" s="97"/>
      <c r="C109" s="121" t="str">
        <f t="array" ref="C109">ifs(and(isblank($A109),isblank($B109)),"", not(iserror(vlookup($A109&amp;$B109,'5) Release_Track'!$F:$F&amp;'5) Release_Track'!$G:$G,1,0))),vlookup($A109&amp;$B109,{'5) Release_Track'!$F:$F&amp;'5) Release_Track'!$G:$G,'5) Release_Track'!$H:$H},2,0),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D109" s="121" t="str">
        <f t="array" ref="D109">ifs(and(isblank($A109),isblank($B109)),"", not(iserror(vlookup($A109&amp;$B109,'5) Release_Track'!$F:$F&amp;'5) Release_Track'!$G:$G,1,0))),vlookup($A109&amp;$B109,{'5) Release_Track'!$F:$F&amp;'5) Release_Track'!$G:$G,'5) Release_Track'!$I:$I},2,0),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E109" s="150" t="b">
        <v>0</v>
      </c>
      <c r="F109" s="150" t="b">
        <v>0</v>
      </c>
      <c r="G109" s="150" t="b">
        <v>0</v>
      </c>
      <c r="H109" s="150" t="b">
        <v>0</v>
      </c>
      <c r="I109" s="150" t="b">
        <v>0</v>
      </c>
      <c r="J109" s="150" t="b">
        <v>0</v>
      </c>
      <c r="K109" s="150" t="b">
        <v>0</v>
      </c>
      <c r="L109" s="8" t="b">
        <v>0</v>
      </c>
    </row>
    <row r="110">
      <c r="B110" s="97"/>
      <c r="C110" s="121" t="str">
        <f t="array" ref="C110">ifs(and(isblank($A110),isblank($B110)),"", not(iserror(vlookup($A110&amp;$B110,'5) Release_Track'!$F:$F&amp;'5) Release_Track'!$G:$G,1,0))),vlookup($A110&amp;$B110,{'5) Release_Track'!$F:$F&amp;'5) Release_Track'!$G:$G,'5) Release_Track'!$H:$H},2,0),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D110" s="121" t="str">
        <f t="array" ref="D110">ifs(and(isblank($A110),isblank($B110)),"", not(iserror(vlookup($A110&amp;$B110,'5) Release_Track'!$F:$F&amp;'5) Release_Track'!$G:$G,1,0))),vlookup($A110&amp;$B110,{'5) Release_Track'!$F:$F&amp;'5) Release_Track'!$G:$G,'5) Release_Track'!$I:$I},2,0),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E110" s="150" t="b">
        <v>0</v>
      </c>
      <c r="F110" s="150" t="b">
        <v>0</v>
      </c>
      <c r="G110" s="150" t="b">
        <v>0</v>
      </c>
      <c r="H110" s="150" t="b">
        <v>0</v>
      </c>
      <c r="I110" s="150" t="b">
        <v>0</v>
      </c>
      <c r="J110" s="150" t="b">
        <v>0</v>
      </c>
      <c r="K110" s="150" t="b">
        <v>0</v>
      </c>
      <c r="L110" s="8" t="b">
        <v>0</v>
      </c>
    </row>
    <row r="111">
      <c r="B111" s="97"/>
      <c r="C111" s="121" t="str">
        <f t="array" ref="C111">ifs(and(isblank($A111),isblank($B111)),"", not(iserror(vlookup($A111&amp;$B111,'5) Release_Track'!$F:$F&amp;'5) Release_Track'!$G:$G,1,0))),vlookup($A111&amp;$B111,{'5) Release_Track'!$F:$F&amp;'5) Release_Track'!$G:$G,'5) Release_Track'!$H:$H},2,0),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D111" s="121" t="str">
        <f t="array" ref="D111">ifs(and(isblank($A111),isblank($B111)),"", not(iserror(vlookup($A111&amp;$B111,'5) Release_Track'!$F:$F&amp;'5) Release_Track'!$G:$G,1,0))),vlookup($A111&amp;$B111,{'5) Release_Track'!$F:$F&amp;'5) Release_Track'!$G:$G,'5) Release_Track'!$I:$I},2,0),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E111" s="150" t="b">
        <v>0</v>
      </c>
      <c r="F111" s="150" t="b">
        <v>0</v>
      </c>
      <c r="G111" s="150" t="b">
        <v>0</v>
      </c>
      <c r="H111" s="150" t="b">
        <v>0</v>
      </c>
      <c r="I111" s="150" t="b">
        <v>0</v>
      </c>
      <c r="J111" s="150" t="b">
        <v>0</v>
      </c>
      <c r="K111" s="150" t="b">
        <v>0</v>
      </c>
      <c r="L111" s="8" t="b">
        <v>0</v>
      </c>
    </row>
    <row r="112">
      <c r="B112" s="97"/>
      <c r="C112" s="121" t="str">
        <f t="array" ref="C112">ifs(and(isblank($A112),isblank($B112)),"", not(iserror(vlookup($A112&amp;$B112,'5) Release_Track'!$F:$F&amp;'5) Release_Track'!$G:$G,1,0))),vlookup($A112&amp;$B112,{'5) Release_Track'!$F:$F&amp;'5) Release_Track'!$G:$G,'5) Release_Track'!$H:$H},2,0),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D112" s="121" t="str">
        <f t="array" ref="D112">ifs(and(isblank($A112),isblank($B112)),"", not(iserror(vlookup($A112&amp;$B112,'5) Release_Track'!$F:$F&amp;'5) Release_Track'!$G:$G,1,0))),vlookup($A112&amp;$B112,{'5) Release_Track'!$F:$F&amp;'5) Release_Track'!$G:$G,'5) Release_Track'!$I:$I},2,0),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E112" s="150" t="b">
        <v>0</v>
      </c>
      <c r="F112" s="150" t="b">
        <v>0</v>
      </c>
      <c r="G112" s="150" t="b">
        <v>0</v>
      </c>
      <c r="H112" s="150" t="b">
        <v>0</v>
      </c>
      <c r="I112" s="150" t="b">
        <v>0</v>
      </c>
      <c r="J112" s="150" t="b">
        <v>0</v>
      </c>
      <c r="K112" s="150" t="b">
        <v>0</v>
      </c>
      <c r="L112" s="8" t="b">
        <v>0</v>
      </c>
    </row>
    <row r="113">
      <c r="B113" s="97"/>
      <c r="C113" s="121" t="str">
        <f t="array" ref="C113">ifs(and(isblank($A113),isblank($B113)),"", not(iserror(vlookup($A113&amp;$B113,'5) Release_Track'!$F:$F&amp;'5) Release_Track'!$G:$G,1,0))),vlookup($A113&amp;$B113,{'5) Release_Track'!$F:$F&amp;'5) Release_Track'!$G:$G,'5) Release_Track'!$H:$H},2,0),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D113" s="121" t="str">
        <f t="array" ref="D113">ifs(and(isblank($A113),isblank($B113)),"", not(iserror(vlookup($A113&amp;$B113,'5) Release_Track'!$F:$F&amp;'5) Release_Track'!$G:$G,1,0))),vlookup($A113&amp;$B113,{'5) Release_Track'!$F:$F&amp;'5) Release_Track'!$G:$G,'5) Release_Track'!$I:$I},2,0),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E113" s="150" t="b">
        <v>0</v>
      </c>
      <c r="F113" s="150" t="b">
        <v>0</v>
      </c>
      <c r="G113" s="150" t="b">
        <v>0</v>
      </c>
      <c r="H113" s="150" t="b">
        <v>0</v>
      </c>
      <c r="I113" s="150" t="b">
        <v>0</v>
      </c>
      <c r="J113" s="150" t="b">
        <v>0</v>
      </c>
      <c r="K113" s="150" t="b">
        <v>0</v>
      </c>
      <c r="L113" s="8" t="b">
        <v>0</v>
      </c>
    </row>
    <row r="114">
      <c r="B114" s="97"/>
      <c r="C114" s="121" t="str">
        <f t="array" ref="C114">ifs(and(isblank($A114),isblank($B114)),"", not(iserror(vlookup($A114&amp;$B114,'5) Release_Track'!$F:$F&amp;'5) Release_Track'!$G:$G,1,0))),vlookup($A114&amp;$B114,{'5) Release_Track'!$F:$F&amp;'5) Release_Track'!$G:$G,'5) Release_Track'!$H:$H},2,0),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D114" s="121" t="str">
        <f t="array" ref="D114">ifs(and(isblank($A114),isblank($B114)),"", not(iserror(vlookup($A114&amp;$B114,'5) Release_Track'!$F:$F&amp;'5) Release_Track'!$G:$G,1,0))),vlookup($A114&amp;$B114,{'5) Release_Track'!$F:$F&amp;'5) Release_Track'!$G:$G,'5) Release_Track'!$I:$I},2,0),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E114" s="150" t="b">
        <v>0</v>
      </c>
      <c r="F114" s="150" t="b">
        <v>0</v>
      </c>
      <c r="G114" s="150" t="b">
        <v>0</v>
      </c>
      <c r="H114" s="150" t="b">
        <v>0</v>
      </c>
      <c r="I114" s="150" t="b">
        <v>0</v>
      </c>
      <c r="J114" s="150" t="b">
        <v>0</v>
      </c>
      <c r="K114" s="150" t="b">
        <v>0</v>
      </c>
      <c r="L114" s="8" t="b">
        <v>0</v>
      </c>
    </row>
    <row r="115">
      <c r="B115" s="97"/>
      <c r="C115" s="121" t="str">
        <f t="array" ref="C115">ifs(and(isblank($A115),isblank($B115)),"", not(iserror(vlookup($A115&amp;$B115,'5) Release_Track'!$F:$F&amp;'5) Release_Track'!$G:$G,1,0))),vlookup($A115&amp;$B115,{'5) Release_Track'!$F:$F&amp;'5) Release_Track'!$G:$G,'5) Release_Track'!$H:$H},2,0),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D115" s="121" t="str">
        <f t="array" ref="D115">ifs(and(isblank($A115),isblank($B115)),"", not(iserror(vlookup($A115&amp;$B115,'5) Release_Track'!$F:$F&amp;'5) Release_Track'!$G:$G,1,0))),vlookup($A115&amp;$B115,{'5) Release_Track'!$F:$F&amp;'5) Release_Track'!$G:$G,'5) Release_Track'!$I:$I},2,0),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E115" s="150" t="b">
        <v>0</v>
      </c>
      <c r="F115" s="150" t="b">
        <v>0</v>
      </c>
      <c r="G115" s="150" t="b">
        <v>0</v>
      </c>
      <c r="H115" s="150" t="b">
        <v>0</v>
      </c>
      <c r="I115" s="150" t="b">
        <v>0</v>
      </c>
      <c r="J115" s="150" t="b">
        <v>0</v>
      </c>
      <c r="K115" s="150" t="b">
        <v>0</v>
      </c>
      <c r="L115" s="8" t="b">
        <v>0</v>
      </c>
    </row>
    <row r="116">
      <c r="B116" s="97"/>
      <c r="C116" s="121" t="str">
        <f t="array" ref="C116">ifs(and(isblank($A116),isblank($B116)),"", not(iserror(vlookup($A116&amp;$B116,'5) Release_Track'!$F:$F&amp;'5) Release_Track'!$G:$G,1,0))),vlookup($A116&amp;$B116,{'5) Release_Track'!$F:$F&amp;'5) Release_Track'!$G:$G,'5) Release_Track'!$H:$H},2,0),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D116" s="121" t="str">
        <f t="array" ref="D116">ifs(and(isblank($A116),isblank($B116)),"", not(iserror(vlookup($A116&amp;$B116,'5) Release_Track'!$F:$F&amp;'5) Release_Track'!$G:$G,1,0))),vlookup($A116&amp;$B116,{'5) Release_Track'!$F:$F&amp;'5) Release_Track'!$G:$G,'5) Release_Track'!$I:$I},2,0),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E116" s="150" t="b">
        <v>0</v>
      </c>
      <c r="F116" s="150" t="b">
        <v>0</v>
      </c>
      <c r="G116" s="150" t="b">
        <v>0</v>
      </c>
      <c r="H116" s="150" t="b">
        <v>0</v>
      </c>
      <c r="I116" s="150" t="b">
        <v>0</v>
      </c>
      <c r="J116" s="150" t="b">
        <v>0</v>
      </c>
      <c r="K116" s="150" t="b">
        <v>0</v>
      </c>
      <c r="L116" s="8" t="b">
        <v>0</v>
      </c>
    </row>
    <row r="117">
      <c r="B117" s="97"/>
      <c r="C117" s="121" t="str">
        <f t="array" ref="C117">ifs(and(isblank($A117),isblank($B117)),"", not(iserror(vlookup($A117&amp;$B117,'5) Release_Track'!$F:$F&amp;'5) Release_Track'!$G:$G,1,0))),vlookup($A117&amp;$B117,{'5) Release_Track'!$F:$F&amp;'5) Release_Track'!$G:$G,'5) Release_Track'!$H:$H},2,0),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D117" s="121" t="str">
        <f t="array" ref="D117">ifs(and(isblank($A117),isblank($B117)),"", not(iserror(vlookup($A117&amp;$B117,'5) Release_Track'!$F:$F&amp;'5) Release_Track'!$G:$G,1,0))),vlookup($A117&amp;$B117,{'5) Release_Track'!$F:$F&amp;'5) Release_Track'!$G:$G,'5) Release_Track'!$I:$I},2,0),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E117" s="150" t="b">
        <v>0</v>
      </c>
      <c r="F117" s="150" t="b">
        <v>0</v>
      </c>
      <c r="G117" s="150" t="b">
        <v>0</v>
      </c>
      <c r="H117" s="150" t="b">
        <v>0</v>
      </c>
      <c r="I117" s="150" t="b">
        <v>0</v>
      </c>
      <c r="J117" s="150" t="b">
        <v>0</v>
      </c>
      <c r="K117" s="150" t="b">
        <v>0</v>
      </c>
      <c r="L117" s="8" t="b">
        <v>0</v>
      </c>
    </row>
    <row r="118">
      <c r="B118" s="97"/>
      <c r="C118" s="121" t="str">
        <f t="array" ref="C118">ifs(and(isblank($A118),isblank($B118)),"", not(iserror(vlookup($A118&amp;$B118,'5) Release_Track'!$F:$F&amp;'5) Release_Track'!$G:$G,1,0))),vlookup($A118&amp;$B118,{'5) Release_Track'!$F:$F&amp;'5) Release_Track'!$G:$G,'5) Release_Track'!$H:$H},2,0),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D118" s="121" t="str">
        <f t="array" ref="D118">ifs(and(isblank($A118),isblank($B118)),"", not(iserror(vlookup($A118&amp;$B118,'5) Release_Track'!$F:$F&amp;'5) Release_Track'!$G:$G,1,0))),vlookup($A118&amp;$B118,{'5) Release_Track'!$F:$F&amp;'5) Release_Track'!$G:$G,'5) Release_Track'!$I:$I},2,0),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E118" s="150" t="b">
        <v>0</v>
      </c>
      <c r="F118" s="150" t="b">
        <v>0</v>
      </c>
      <c r="G118" s="150" t="b">
        <v>0</v>
      </c>
      <c r="H118" s="150" t="b">
        <v>0</v>
      </c>
      <c r="I118" s="150" t="b">
        <v>0</v>
      </c>
      <c r="J118" s="150" t="b">
        <v>0</v>
      </c>
      <c r="K118" s="150" t="b">
        <v>0</v>
      </c>
      <c r="L118" s="8" t="b">
        <v>0</v>
      </c>
    </row>
    <row r="119">
      <c r="B119" s="97"/>
      <c r="C119" s="121" t="str">
        <f t="array" ref="C119">ifs(and(isblank($A119),isblank($B119)),"", not(iserror(vlookup($A119&amp;$B119,'5) Release_Track'!$F:$F&amp;'5) Release_Track'!$G:$G,1,0))),vlookup($A119&amp;$B119,{'5) Release_Track'!$F:$F&amp;'5) Release_Track'!$G:$G,'5) Release_Track'!$H:$H},2,0),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D119" s="121" t="str">
        <f t="array" ref="D119">ifs(and(isblank($A119),isblank($B119)),"", not(iserror(vlookup($A119&amp;$B119,'5) Release_Track'!$F:$F&amp;'5) Release_Track'!$G:$G,1,0))),vlookup($A119&amp;$B119,{'5) Release_Track'!$F:$F&amp;'5) Release_Track'!$G:$G,'5) Release_Track'!$I:$I},2,0),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E119" s="150" t="b">
        <v>0</v>
      </c>
      <c r="F119" s="150" t="b">
        <v>0</v>
      </c>
      <c r="G119" s="150" t="b">
        <v>0</v>
      </c>
      <c r="H119" s="150" t="b">
        <v>0</v>
      </c>
      <c r="I119" s="150" t="b">
        <v>0</v>
      </c>
      <c r="J119" s="150" t="b">
        <v>0</v>
      </c>
      <c r="K119" s="150" t="b">
        <v>0</v>
      </c>
      <c r="L119" s="8" t="b">
        <v>0</v>
      </c>
    </row>
    <row r="120">
      <c r="B120" s="97"/>
      <c r="C120" s="121" t="str">
        <f t="array" ref="C120">ifs(and(isblank($A120),isblank($B120)),"", not(iserror(vlookup($A120&amp;$B120,'5) Release_Track'!$F:$F&amp;'5) Release_Track'!$G:$G,1,0))),vlookup($A120&amp;$B120,{'5) Release_Track'!$F:$F&amp;'5) Release_Track'!$G:$G,'5) Release_Track'!$H:$H},2,0),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D120" s="121" t="str">
        <f t="array" ref="D120">ifs(and(isblank($A120),isblank($B120)),"", not(iserror(vlookup($A120&amp;$B120,'5) Release_Track'!$F:$F&amp;'5) Release_Track'!$G:$G,1,0))),vlookup($A120&amp;$B120,{'5) Release_Track'!$F:$F&amp;'5) Release_Track'!$G:$G,'5) Release_Track'!$I:$I},2,0),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E120" s="150" t="b">
        <v>0</v>
      </c>
      <c r="F120" s="150" t="b">
        <v>0</v>
      </c>
      <c r="G120" s="150" t="b">
        <v>0</v>
      </c>
      <c r="H120" s="150" t="b">
        <v>0</v>
      </c>
      <c r="I120" s="150" t="b">
        <v>0</v>
      </c>
      <c r="J120" s="150" t="b">
        <v>0</v>
      </c>
      <c r="K120" s="150" t="b">
        <v>0</v>
      </c>
      <c r="L120" s="8" t="b">
        <v>0</v>
      </c>
    </row>
    <row r="121">
      <c r="B121" s="97"/>
      <c r="C121" s="121" t="str">
        <f t="array" ref="C121">ifs(and(isblank($A121),isblank($B121)),"", not(iserror(vlookup($A121&amp;$B121,'5) Release_Track'!$F:$F&amp;'5) Release_Track'!$G:$G,1,0))),vlookup($A121&amp;$B121,{'5) Release_Track'!$F:$F&amp;'5) Release_Track'!$G:$G,'5) Release_Track'!$H:$H},2,0),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D121" s="121" t="str">
        <f t="array" ref="D121">ifs(and(isblank($A121),isblank($B121)),"", not(iserror(vlookup($A121&amp;$B121,'5) Release_Track'!$F:$F&amp;'5) Release_Track'!$G:$G,1,0))),vlookup($A121&amp;$B121,{'5) Release_Track'!$F:$F&amp;'5) Release_Track'!$G:$G,'5) Release_Track'!$I:$I},2,0),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E121" s="150" t="b">
        <v>0</v>
      </c>
      <c r="F121" s="150" t="b">
        <v>0</v>
      </c>
      <c r="G121" s="150" t="b">
        <v>0</v>
      </c>
      <c r="H121" s="150" t="b">
        <v>0</v>
      </c>
      <c r="I121" s="150" t="b">
        <v>0</v>
      </c>
      <c r="J121" s="150" t="b">
        <v>0</v>
      </c>
      <c r="K121" s="150" t="b">
        <v>0</v>
      </c>
      <c r="L121" s="8" t="b">
        <v>0</v>
      </c>
    </row>
    <row r="122">
      <c r="B122" s="97"/>
      <c r="C122" s="121" t="str">
        <f t="array" ref="C122">ifs(and(isblank($A122),isblank($B122)),"", not(iserror(vlookup($A122&amp;$B122,'5) Release_Track'!$F:$F&amp;'5) Release_Track'!$G:$G,1,0))),vlookup($A122&amp;$B122,{'5) Release_Track'!$F:$F&amp;'5) Release_Track'!$G:$G,'5) Release_Track'!$H:$H},2,0),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D122" s="121" t="str">
        <f t="array" ref="D122">ifs(and(isblank($A122),isblank($B122)),"", not(iserror(vlookup($A122&amp;$B122,'5) Release_Track'!$F:$F&amp;'5) Release_Track'!$G:$G,1,0))),vlookup($A122&amp;$B122,{'5) Release_Track'!$F:$F&amp;'5) Release_Track'!$G:$G,'5) Release_Track'!$I:$I},2,0),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E122" s="150" t="b">
        <v>0</v>
      </c>
      <c r="F122" s="150" t="b">
        <v>0</v>
      </c>
      <c r="G122" s="150" t="b">
        <v>0</v>
      </c>
      <c r="H122" s="150" t="b">
        <v>0</v>
      </c>
      <c r="I122" s="150" t="b">
        <v>0</v>
      </c>
      <c r="J122" s="150" t="b">
        <v>0</v>
      </c>
      <c r="K122" s="150" t="b">
        <v>0</v>
      </c>
      <c r="L122" s="8" t="b">
        <v>0</v>
      </c>
    </row>
    <row r="123">
      <c r="B123" s="97"/>
      <c r="C123" s="121" t="str">
        <f t="array" ref="C123">ifs(and(isblank($A123),isblank($B123)),"", not(iserror(vlookup($A123&amp;$B123,'5) Release_Track'!$F:$F&amp;'5) Release_Track'!$G:$G,1,0))),vlookup($A123&amp;$B123,{'5) Release_Track'!$F:$F&amp;'5) Release_Track'!$G:$G,'5) Release_Track'!$H:$H},2,0),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D123" s="121" t="str">
        <f t="array" ref="D123">ifs(and(isblank($A123),isblank($B123)),"", not(iserror(vlookup($A123&amp;$B123,'5) Release_Track'!$F:$F&amp;'5) Release_Track'!$G:$G,1,0))),vlookup($A123&amp;$B123,{'5) Release_Track'!$F:$F&amp;'5) Release_Track'!$G:$G,'5) Release_Track'!$I:$I},2,0),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E123" s="150" t="b">
        <v>0</v>
      </c>
      <c r="F123" s="150" t="b">
        <v>0</v>
      </c>
      <c r="G123" s="150" t="b">
        <v>0</v>
      </c>
      <c r="H123" s="150" t="b">
        <v>0</v>
      </c>
      <c r="I123" s="150" t="b">
        <v>0</v>
      </c>
      <c r="J123" s="150" t="b">
        <v>0</v>
      </c>
      <c r="K123" s="150" t="b">
        <v>0</v>
      </c>
      <c r="L123" s="8" t="b">
        <v>0</v>
      </c>
    </row>
    <row r="124">
      <c r="B124" s="97"/>
      <c r="C124" s="121" t="str">
        <f t="array" ref="C124">ifs(and(isblank($A124),isblank($B124)),"", not(iserror(vlookup($A124&amp;$B124,'5) Release_Track'!$F:$F&amp;'5) Release_Track'!$G:$G,1,0))),vlookup($A124&amp;$B124,{'5) Release_Track'!$F:$F&amp;'5) Release_Track'!$G:$G,'5) Release_Track'!$H:$H},2,0),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D124" s="121" t="str">
        <f t="array" ref="D124">ifs(and(isblank($A124),isblank($B124)),"", not(iserror(vlookup($A124&amp;$B124,'5) Release_Track'!$F:$F&amp;'5) Release_Track'!$G:$G,1,0))),vlookup($A124&amp;$B124,{'5) Release_Track'!$F:$F&amp;'5) Release_Track'!$G:$G,'5) Release_Track'!$I:$I},2,0),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E124" s="150" t="b">
        <v>0</v>
      </c>
      <c r="F124" s="150" t="b">
        <v>0</v>
      </c>
      <c r="G124" s="150" t="b">
        <v>0</v>
      </c>
      <c r="H124" s="150" t="b">
        <v>0</v>
      </c>
      <c r="I124" s="150" t="b">
        <v>0</v>
      </c>
      <c r="J124" s="150" t="b">
        <v>0</v>
      </c>
      <c r="K124" s="150" t="b">
        <v>0</v>
      </c>
      <c r="L124" s="8" t="b">
        <v>0</v>
      </c>
    </row>
    <row r="125">
      <c r="B125" s="97"/>
      <c r="C125" s="121" t="str">
        <f t="array" ref="C125">ifs(and(isblank($A125),isblank($B125)),"", not(iserror(vlookup($A125&amp;$B125,'5) Release_Track'!$F:$F&amp;'5) Release_Track'!$G:$G,1,0))),vlookup($A125&amp;$B125,{'5) Release_Track'!$F:$F&amp;'5) Release_Track'!$G:$G,'5) Release_Track'!$H:$H},2,0),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D125" s="121" t="str">
        <f t="array" ref="D125">ifs(and(isblank($A125),isblank($B125)),"", not(iserror(vlookup($A125&amp;$B125,'5) Release_Track'!$F:$F&amp;'5) Release_Track'!$G:$G,1,0))),vlookup($A125&amp;$B125,{'5) Release_Track'!$F:$F&amp;'5) Release_Track'!$G:$G,'5) Release_Track'!$I:$I},2,0),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E125" s="150" t="b">
        <v>0</v>
      </c>
      <c r="F125" s="150" t="b">
        <v>0</v>
      </c>
      <c r="G125" s="150" t="b">
        <v>0</v>
      </c>
      <c r="H125" s="150" t="b">
        <v>0</v>
      </c>
      <c r="I125" s="150" t="b">
        <v>0</v>
      </c>
      <c r="J125" s="150" t="b">
        <v>0</v>
      </c>
      <c r="K125" s="150" t="b">
        <v>0</v>
      </c>
      <c r="L125" s="8" t="b">
        <v>0</v>
      </c>
    </row>
    <row r="126">
      <c r="B126" s="97"/>
      <c r="C126" s="121" t="str">
        <f t="array" ref="C126">ifs(and(isblank($A126),isblank($B126)),"", not(iserror(vlookup($A126&amp;$B126,'5) Release_Track'!$F:$F&amp;'5) Release_Track'!$G:$G,1,0))),vlookup($A126&amp;$B126,{'5) Release_Track'!$F:$F&amp;'5) Release_Track'!$G:$G,'5) Release_Track'!$H:$H},2,0),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D126" s="121" t="str">
        <f t="array" ref="D126">ifs(and(isblank($A126),isblank($B126)),"", not(iserror(vlookup($A126&amp;$B126,'5) Release_Track'!$F:$F&amp;'5) Release_Track'!$G:$G,1,0))),vlookup($A126&amp;$B126,{'5) Release_Track'!$F:$F&amp;'5) Release_Track'!$G:$G,'5) Release_Track'!$I:$I},2,0),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E126" s="150" t="b">
        <v>0</v>
      </c>
      <c r="F126" s="150" t="b">
        <v>0</v>
      </c>
      <c r="G126" s="150" t="b">
        <v>0</v>
      </c>
      <c r="H126" s="150" t="b">
        <v>0</v>
      </c>
      <c r="I126" s="150" t="b">
        <v>0</v>
      </c>
      <c r="J126" s="150" t="b">
        <v>0</v>
      </c>
      <c r="K126" s="150" t="b">
        <v>0</v>
      </c>
      <c r="L126" s="8" t="b">
        <v>0</v>
      </c>
    </row>
    <row r="127">
      <c r="B127" s="97"/>
      <c r="C127" s="121" t="str">
        <f t="array" ref="C127">ifs(and(isblank($A127),isblank($B127)),"", not(iserror(vlookup($A127&amp;$B127,'5) Release_Track'!$F:$F&amp;'5) Release_Track'!$G:$G,1,0))),vlookup($A127&amp;$B127,{'5) Release_Track'!$F:$F&amp;'5) Release_Track'!$G:$G,'5) Release_Track'!$H:$H},2,0),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D127" s="121" t="str">
        <f t="array" ref="D127">ifs(and(isblank($A127),isblank($B127)),"", not(iserror(vlookup($A127&amp;$B127,'5) Release_Track'!$F:$F&amp;'5) Release_Track'!$G:$G,1,0))),vlookup($A127&amp;$B127,{'5) Release_Track'!$F:$F&amp;'5) Release_Track'!$G:$G,'5) Release_Track'!$I:$I},2,0),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E127" s="150" t="b">
        <v>0</v>
      </c>
      <c r="F127" s="150" t="b">
        <v>0</v>
      </c>
      <c r="G127" s="150" t="b">
        <v>0</v>
      </c>
      <c r="H127" s="150" t="b">
        <v>0</v>
      </c>
      <c r="I127" s="150" t="b">
        <v>0</v>
      </c>
      <c r="J127" s="150" t="b">
        <v>0</v>
      </c>
      <c r="K127" s="150" t="b">
        <v>0</v>
      </c>
      <c r="L127" s="8" t="b">
        <v>0</v>
      </c>
    </row>
    <row r="128">
      <c r="B128" s="97"/>
      <c r="C128" s="121" t="str">
        <f t="array" ref="C128">ifs(and(isblank($A128),isblank($B128)),"", not(iserror(vlookup($A128&amp;$B128,'5) Release_Track'!$F:$F&amp;'5) Release_Track'!$G:$G,1,0))),vlookup($A128&amp;$B128,{'5) Release_Track'!$F:$F&amp;'5) Release_Track'!$G:$G,'5) Release_Track'!$H:$H},2,0),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D128" s="121" t="str">
        <f t="array" ref="D128">ifs(and(isblank($A128),isblank($B128)),"", not(iserror(vlookup($A128&amp;$B128,'5) Release_Track'!$F:$F&amp;'5) Release_Track'!$G:$G,1,0))),vlookup($A128&amp;$B128,{'5) Release_Track'!$F:$F&amp;'5) Release_Track'!$G:$G,'5) Release_Track'!$I:$I},2,0),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E128" s="150" t="b">
        <v>0</v>
      </c>
      <c r="F128" s="150" t="b">
        <v>0</v>
      </c>
      <c r="G128" s="150" t="b">
        <v>0</v>
      </c>
      <c r="H128" s="150" t="b">
        <v>0</v>
      </c>
      <c r="I128" s="150" t="b">
        <v>0</v>
      </c>
      <c r="J128" s="150" t="b">
        <v>0</v>
      </c>
      <c r="K128" s="150" t="b">
        <v>0</v>
      </c>
      <c r="L128" s="8" t="b">
        <v>0</v>
      </c>
    </row>
    <row r="129">
      <c r="B129" s="97"/>
      <c r="C129" s="121" t="str">
        <f t="array" ref="C129">ifs(and(isblank($A129),isblank($B129)),"", not(iserror(vlookup($A129&amp;$B129,'5) Release_Track'!$F:$F&amp;'5) Release_Track'!$G:$G,1,0))),vlookup($A129&amp;$B129,{'5) Release_Track'!$F:$F&amp;'5) Release_Track'!$G:$G,'5) Release_Track'!$H:$H},2,0),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D129" s="121" t="str">
        <f t="array" ref="D129">ifs(and(isblank($A129),isblank($B129)),"", not(iserror(vlookup($A129&amp;$B129,'5) Release_Track'!$F:$F&amp;'5) Release_Track'!$G:$G,1,0))),vlookup($A129&amp;$B129,{'5) Release_Track'!$F:$F&amp;'5) Release_Track'!$G:$G,'5) Release_Track'!$I:$I},2,0),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E129" s="150" t="b">
        <v>0</v>
      </c>
      <c r="F129" s="150" t="b">
        <v>0</v>
      </c>
      <c r="G129" s="150" t="b">
        <v>0</v>
      </c>
      <c r="H129" s="150" t="b">
        <v>0</v>
      </c>
      <c r="I129" s="150" t="b">
        <v>0</v>
      </c>
      <c r="J129" s="150" t="b">
        <v>0</v>
      </c>
      <c r="K129" s="150" t="b">
        <v>0</v>
      </c>
      <c r="L129" s="8" t="b">
        <v>0</v>
      </c>
    </row>
    <row r="130">
      <c r="B130" s="97"/>
      <c r="C130" s="121" t="str">
        <f t="array" ref="C130">ifs(and(isblank($A130),isblank($B130)),"", not(iserror(vlookup($A130&amp;$B130,'5) Release_Track'!$F:$F&amp;'5) Release_Track'!$G:$G,1,0))),vlookup($A130&amp;$B130,{'5) Release_Track'!$F:$F&amp;'5) Release_Track'!$G:$G,'5) Release_Track'!$H:$H},2,0),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D130" s="121" t="str">
        <f t="array" ref="D130">ifs(and(isblank($A130),isblank($B130)),"", not(iserror(vlookup($A130&amp;$B130,'5) Release_Track'!$F:$F&amp;'5) Release_Track'!$G:$G,1,0))),vlookup($A130&amp;$B130,{'5) Release_Track'!$F:$F&amp;'5) Release_Track'!$G:$G,'5) Release_Track'!$I:$I},2,0),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E130" s="150" t="b">
        <v>0</v>
      </c>
      <c r="F130" s="150" t="b">
        <v>0</v>
      </c>
      <c r="G130" s="150" t="b">
        <v>0</v>
      </c>
      <c r="H130" s="150" t="b">
        <v>0</v>
      </c>
      <c r="I130" s="150" t="b">
        <v>0</v>
      </c>
      <c r="J130" s="150" t="b">
        <v>0</v>
      </c>
      <c r="K130" s="150" t="b">
        <v>0</v>
      </c>
      <c r="L130" s="8" t="b">
        <v>0</v>
      </c>
    </row>
    <row r="131">
      <c r="B131" s="97"/>
      <c r="C131" s="121" t="str">
        <f t="array" ref="C131">ifs(and(isblank($A131),isblank($B131)),"", not(iserror(vlookup($A131&amp;$B131,'5) Release_Track'!$F:$F&amp;'5) Release_Track'!$G:$G,1,0))),vlookup($A131&amp;$B131,{'5) Release_Track'!$F:$F&amp;'5) Release_Track'!$G:$G,'5) Release_Track'!$H:$H},2,0),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D131" s="121" t="str">
        <f t="array" ref="D131">ifs(and(isblank($A131),isblank($B131)),"", not(iserror(vlookup($A131&amp;$B131,'5) Release_Track'!$F:$F&amp;'5) Release_Track'!$G:$G,1,0))),vlookup($A131&amp;$B131,{'5) Release_Track'!$F:$F&amp;'5) Release_Track'!$G:$G,'5) Release_Track'!$I:$I},2,0),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E131" s="150" t="b">
        <v>0</v>
      </c>
      <c r="F131" s="150" t="b">
        <v>0</v>
      </c>
      <c r="G131" s="150" t="b">
        <v>0</v>
      </c>
      <c r="H131" s="150" t="b">
        <v>0</v>
      </c>
      <c r="I131" s="150" t="b">
        <v>0</v>
      </c>
      <c r="J131" s="150" t="b">
        <v>0</v>
      </c>
      <c r="K131" s="150" t="b">
        <v>0</v>
      </c>
      <c r="L131" s="8" t="b">
        <v>0</v>
      </c>
    </row>
    <row r="132">
      <c r="B132" s="97"/>
      <c r="C132" s="121" t="str">
        <f t="array" ref="C132">ifs(and(isblank($A132),isblank($B132)),"", not(iserror(vlookup($A132&amp;$B132,'5) Release_Track'!$F:$F&amp;'5) Release_Track'!$G:$G,1,0))),vlookup($A132&amp;$B132,{'5) Release_Track'!$F:$F&amp;'5) Release_Track'!$G:$G,'5) Release_Track'!$H:$H},2,0),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D132" s="121" t="str">
        <f t="array" ref="D132">ifs(and(isblank($A132),isblank($B132)),"", not(iserror(vlookup($A132&amp;$B132,'5) Release_Track'!$F:$F&amp;'5) Release_Track'!$G:$G,1,0))),vlookup($A132&amp;$B132,{'5) Release_Track'!$F:$F&amp;'5) Release_Track'!$G:$G,'5) Release_Track'!$I:$I},2,0),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E132" s="150" t="b">
        <v>0</v>
      </c>
      <c r="F132" s="150" t="b">
        <v>0</v>
      </c>
      <c r="G132" s="150" t="b">
        <v>0</v>
      </c>
      <c r="H132" s="150" t="b">
        <v>0</v>
      </c>
      <c r="I132" s="150" t="b">
        <v>0</v>
      </c>
      <c r="J132" s="150" t="b">
        <v>0</v>
      </c>
      <c r="K132" s="150" t="b">
        <v>0</v>
      </c>
      <c r="L132" s="8" t="b">
        <v>0</v>
      </c>
    </row>
    <row r="133">
      <c r="B133" s="97"/>
      <c r="C133" s="121" t="str">
        <f t="array" ref="C133">ifs(and(isblank($A133),isblank($B133)),"", not(iserror(vlookup($A133&amp;$B133,'5) Release_Track'!$F:$F&amp;'5) Release_Track'!$G:$G,1,0))),vlookup($A133&amp;$B133,{'5) Release_Track'!$F:$F&amp;'5) Release_Track'!$G:$G,'5) Release_Track'!$H:$H},2,0),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D133" s="121" t="str">
        <f t="array" ref="D133">ifs(and(isblank($A133),isblank($B133)),"", not(iserror(vlookup($A133&amp;$B133,'5) Release_Track'!$F:$F&amp;'5) Release_Track'!$G:$G,1,0))),vlookup($A133&amp;$B133,{'5) Release_Track'!$F:$F&amp;'5) Release_Track'!$G:$G,'5) Release_Track'!$I:$I},2,0),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E133" s="150" t="b">
        <v>0</v>
      </c>
      <c r="F133" s="150" t="b">
        <v>0</v>
      </c>
      <c r="G133" s="150" t="b">
        <v>0</v>
      </c>
      <c r="H133" s="150" t="b">
        <v>0</v>
      </c>
      <c r="I133" s="150" t="b">
        <v>0</v>
      </c>
      <c r="J133" s="150" t="b">
        <v>0</v>
      </c>
      <c r="K133" s="150" t="b">
        <v>0</v>
      </c>
      <c r="L133" s="8" t="b">
        <v>0</v>
      </c>
    </row>
    <row r="134">
      <c r="B134" s="97"/>
      <c r="C134" s="121" t="str">
        <f t="array" ref="C134">ifs(and(isblank($A134),isblank($B134)),"", not(iserror(vlookup($A134&amp;$B134,'5) Release_Track'!$F:$F&amp;'5) Release_Track'!$G:$G,1,0))),vlookup($A134&amp;$B134,{'5) Release_Track'!$F:$F&amp;'5) Release_Track'!$G:$G,'5) Release_Track'!$H:$H},2,0),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D134" s="121" t="str">
        <f t="array" ref="D134">ifs(and(isblank($A134),isblank($B134)),"", not(iserror(vlookup($A134&amp;$B134,'5) Release_Track'!$F:$F&amp;'5) Release_Track'!$G:$G,1,0))),vlookup($A134&amp;$B134,{'5) Release_Track'!$F:$F&amp;'5) Release_Track'!$G:$G,'5) Release_Track'!$I:$I},2,0),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E134" s="150" t="b">
        <v>0</v>
      </c>
      <c r="F134" s="150" t="b">
        <v>0</v>
      </c>
      <c r="G134" s="150" t="b">
        <v>0</v>
      </c>
      <c r="H134" s="150" t="b">
        <v>0</v>
      </c>
      <c r="I134" s="150" t="b">
        <v>0</v>
      </c>
      <c r="J134" s="150" t="b">
        <v>0</v>
      </c>
      <c r="K134" s="150" t="b">
        <v>0</v>
      </c>
      <c r="L134" s="8" t="b">
        <v>0</v>
      </c>
    </row>
    <row r="135">
      <c r="B135" s="97"/>
      <c r="C135" s="121" t="str">
        <f t="array" ref="C135">ifs(and(isblank($A135),isblank($B135)),"", not(iserror(vlookup($A135&amp;$B135,'5) Release_Track'!$F:$F&amp;'5) Release_Track'!$G:$G,1,0))),vlookup($A135&amp;$B135,{'5) Release_Track'!$F:$F&amp;'5) Release_Track'!$G:$G,'5) Release_Track'!$H:$H},2,0),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D135" s="121" t="str">
        <f t="array" ref="D135">ifs(and(isblank($A135),isblank($B135)),"", not(iserror(vlookup($A135&amp;$B135,'5) Release_Track'!$F:$F&amp;'5) Release_Track'!$G:$G,1,0))),vlookup($A135&amp;$B135,{'5) Release_Track'!$F:$F&amp;'5) Release_Track'!$G:$G,'5) Release_Track'!$I:$I},2,0),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E135" s="150" t="b">
        <v>0</v>
      </c>
      <c r="F135" s="150" t="b">
        <v>0</v>
      </c>
      <c r="G135" s="150" t="b">
        <v>0</v>
      </c>
      <c r="H135" s="150" t="b">
        <v>0</v>
      </c>
      <c r="I135" s="150" t="b">
        <v>0</v>
      </c>
      <c r="J135" s="150" t="b">
        <v>0</v>
      </c>
      <c r="K135" s="150" t="b">
        <v>0</v>
      </c>
      <c r="L135" s="8" t="b">
        <v>0</v>
      </c>
    </row>
    <row r="136">
      <c r="B136" s="97"/>
      <c r="C136" s="121" t="str">
        <f t="array" ref="C136">ifs(and(isblank($A136),isblank($B136)),"", not(iserror(vlookup($A136&amp;$B136,'5) Release_Track'!$F:$F&amp;'5) Release_Track'!$G:$G,1,0))),vlookup($A136&amp;$B136,{'5) Release_Track'!$F:$F&amp;'5) Release_Track'!$G:$G,'5) Release_Track'!$H:$H},2,0),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D136" s="121" t="str">
        <f t="array" ref="D136">ifs(and(isblank($A136),isblank($B136)),"", not(iserror(vlookup($A136&amp;$B136,'5) Release_Track'!$F:$F&amp;'5) Release_Track'!$G:$G,1,0))),vlookup($A136&amp;$B136,{'5) Release_Track'!$F:$F&amp;'5) Release_Track'!$G:$G,'5) Release_Track'!$I:$I},2,0),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E136" s="150" t="b">
        <v>0</v>
      </c>
      <c r="F136" s="150" t="b">
        <v>0</v>
      </c>
      <c r="G136" s="150" t="b">
        <v>0</v>
      </c>
      <c r="H136" s="150" t="b">
        <v>0</v>
      </c>
      <c r="I136" s="150" t="b">
        <v>0</v>
      </c>
      <c r="J136" s="150" t="b">
        <v>0</v>
      </c>
      <c r="K136" s="150" t="b">
        <v>0</v>
      </c>
      <c r="L136" s="8" t="b">
        <v>0</v>
      </c>
    </row>
    <row r="137">
      <c r="B137" s="97"/>
      <c r="C137" s="121" t="str">
        <f t="array" ref="C137">ifs(and(isblank($A137),isblank($B137)),"", not(iserror(vlookup($A137&amp;$B137,'5) Release_Track'!$F:$F&amp;'5) Release_Track'!$G:$G,1,0))),vlookup($A137&amp;$B137,{'5) Release_Track'!$F:$F&amp;'5) Release_Track'!$G:$G,'5) Release_Track'!$H:$H},2,0),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D137" s="121" t="str">
        <f t="array" ref="D137">ifs(and(isblank($A137),isblank($B137)),"", not(iserror(vlookup($A137&amp;$B137,'5) Release_Track'!$F:$F&amp;'5) Release_Track'!$G:$G,1,0))),vlookup($A137&amp;$B137,{'5) Release_Track'!$F:$F&amp;'5) Release_Track'!$G:$G,'5) Release_Track'!$I:$I},2,0),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E137" s="150" t="b">
        <v>0</v>
      </c>
      <c r="F137" s="150" t="b">
        <v>0</v>
      </c>
      <c r="G137" s="150" t="b">
        <v>0</v>
      </c>
      <c r="H137" s="150" t="b">
        <v>0</v>
      </c>
      <c r="I137" s="150" t="b">
        <v>0</v>
      </c>
      <c r="J137" s="150" t="b">
        <v>0</v>
      </c>
      <c r="K137" s="150" t="b">
        <v>0</v>
      </c>
      <c r="L137" s="8" t="b">
        <v>0</v>
      </c>
    </row>
    <row r="138">
      <c r="B138" s="97"/>
      <c r="C138" s="121" t="str">
        <f t="array" ref="C138">ifs(and(isblank($A138),isblank($B138)),"", not(iserror(vlookup($A138&amp;$B138,'5) Release_Track'!$F:$F&amp;'5) Release_Track'!$G:$G,1,0))),vlookup($A138&amp;$B138,{'5) Release_Track'!$F:$F&amp;'5) Release_Track'!$G:$G,'5) Release_Track'!$H:$H},2,0),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D138" s="121" t="str">
        <f t="array" ref="D138">ifs(and(isblank($A138),isblank($B138)),"", not(iserror(vlookup($A138&amp;$B138,'5) Release_Track'!$F:$F&amp;'5) Release_Track'!$G:$G,1,0))),vlookup($A138&amp;$B138,{'5) Release_Track'!$F:$F&amp;'5) Release_Track'!$G:$G,'5) Release_Track'!$I:$I},2,0),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E138" s="150" t="b">
        <v>0</v>
      </c>
      <c r="F138" s="150" t="b">
        <v>0</v>
      </c>
      <c r="G138" s="150" t="b">
        <v>0</v>
      </c>
      <c r="H138" s="150" t="b">
        <v>0</v>
      </c>
      <c r="I138" s="150" t="b">
        <v>0</v>
      </c>
      <c r="J138" s="150" t="b">
        <v>0</v>
      </c>
      <c r="K138" s="150" t="b">
        <v>0</v>
      </c>
      <c r="L138" s="8" t="b">
        <v>0</v>
      </c>
    </row>
    <row r="139">
      <c r="B139" s="97"/>
      <c r="C139" s="121" t="str">
        <f t="array" ref="C139">ifs(and(isblank($A139),isblank($B139)),"", not(iserror(vlookup($A139&amp;$B139,'5) Release_Track'!$F:$F&amp;'5) Release_Track'!$G:$G,1,0))),vlookup($A139&amp;$B139,{'5) Release_Track'!$F:$F&amp;'5) Release_Track'!$G:$G,'5) Release_Track'!$H:$H},2,0),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D139" s="121" t="str">
        <f t="array" ref="D139">ifs(and(isblank($A139),isblank($B139)),"", not(iserror(vlookup($A139&amp;$B139,'5) Release_Track'!$F:$F&amp;'5) Release_Track'!$G:$G,1,0))),vlookup($A139&amp;$B139,{'5) Release_Track'!$F:$F&amp;'5) Release_Track'!$G:$G,'5) Release_Track'!$I:$I},2,0),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E139" s="150" t="b">
        <v>0</v>
      </c>
      <c r="F139" s="150" t="b">
        <v>0</v>
      </c>
      <c r="G139" s="150" t="b">
        <v>0</v>
      </c>
      <c r="H139" s="150" t="b">
        <v>0</v>
      </c>
      <c r="I139" s="150" t="b">
        <v>0</v>
      </c>
      <c r="J139" s="150" t="b">
        <v>0</v>
      </c>
      <c r="K139" s="150" t="b">
        <v>0</v>
      </c>
      <c r="L139" s="8" t="b">
        <v>0</v>
      </c>
    </row>
    <row r="140">
      <c r="B140" s="97"/>
      <c r="C140" s="121" t="str">
        <f t="array" ref="C140">ifs(and(isblank($A140),isblank($B140)),"", not(iserror(vlookup($A140&amp;$B140,'5) Release_Track'!$F:$F&amp;'5) Release_Track'!$G:$G,1,0))),vlookup($A140&amp;$B140,{'5) Release_Track'!$F:$F&amp;'5) Release_Track'!$G:$G,'5) Release_Track'!$H:$H},2,0),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D140" s="121" t="str">
        <f t="array" ref="D140">ifs(and(isblank($A140),isblank($B140)),"", not(iserror(vlookup($A140&amp;$B140,'5) Release_Track'!$F:$F&amp;'5) Release_Track'!$G:$G,1,0))),vlookup($A140&amp;$B140,{'5) Release_Track'!$F:$F&amp;'5) Release_Track'!$G:$G,'5) Release_Track'!$I:$I},2,0),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E140" s="150" t="b">
        <v>0</v>
      </c>
      <c r="F140" s="150" t="b">
        <v>0</v>
      </c>
      <c r="G140" s="150" t="b">
        <v>0</v>
      </c>
      <c r="H140" s="150" t="b">
        <v>0</v>
      </c>
      <c r="I140" s="150" t="b">
        <v>0</v>
      </c>
      <c r="J140" s="150" t="b">
        <v>0</v>
      </c>
      <c r="K140" s="150" t="b">
        <v>0</v>
      </c>
      <c r="L140" s="8" t="b">
        <v>0</v>
      </c>
    </row>
    <row r="141">
      <c r="B141" s="97"/>
      <c r="C141" s="121" t="str">
        <f t="array" ref="C141">ifs(and(isblank($A141),isblank($B141)),"", not(iserror(vlookup($A141&amp;$B141,'5) Release_Track'!$F:$F&amp;'5) Release_Track'!$G:$G,1,0))),vlookup($A141&amp;$B141,{'5) Release_Track'!$F:$F&amp;'5) Release_Track'!$G:$G,'5) Release_Track'!$H:$H},2,0),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D141" s="121" t="str">
        <f t="array" ref="D141">ifs(and(isblank($A141),isblank($B141)),"", not(iserror(vlookup($A141&amp;$B141,'5) Release_Track'!$F:$F&amp;'5) Release_Track'!$G:$G,1,0))),vlookup($A141&amp;$B141,{'5) Release_Track'!$F:$F&amp;'5) Release_Track'!$G:$G,'5) Release_Track'!$I:$I},2,0),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E141" s="150" t="b">
        <v>0</v>
      </c>
      <c r="F141" s="150" t="b">
        <v>0</v>
      </c>
      <c r="G141" s="150" t="b">
        <v>0</v>
      </c>
      <c r="H141" s="150" t="b">
        <v>0</v>
      </c>
      <c r="I141" s="150" t="b">
        <v>0</v>
      </c>
      <c r="J141" s="150" t="b">
        <v>0</v>
      </c>
      <c r="K141" s="150" t="b">
        <v>0</v>
      </c>
      <c r="L141" s="8" t="b">
        <v>0</v>
      </c>
    </row>
    <row r="142">
      <c r="B142" s="97"/>
      <c r="C142" s="121" t="str">
        <f t="array" ref="C142">ifs(and(isblank($A142),isblank($B142)),"", not(iserror(vlookup($A142&amp;$B142,'5) Release_Track'!$F:$F&amp;'5) Release_Track'!$G:$G,1,0))),vlookup($A142&amp;$B142,{'5) Release_Track'!$F:$F&amp;'5) Release_Track'!$G:$G,'5) Release_Track'!$H:$H},2,0),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D142" s="121" t="str">
        <f t="array" ref="D142">ifs(and(isblank($A142),isblank($B142)),"", not(iserror(vlookup($A142&amp;$B142,'5) Release_Track'!$F:$F&amp;'5) Release_Track'!$G:$G,1,0))),vlookup($A142&amp;$B142,{'5) Release_Track'!$F:$F&amp;'5) Release_Track'!$G:$G,'5) Release_Track'!$I:$I},2,0),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E142" s="150" t="b">
        <v>0</v>
      </c>
      <c r="F142" s="150" t="b">
        <v>0</v>
      </c>
      <c r="G142" s="150" t="b">
        <v>0</v>
      </c>
      <c r="H142" s="150" t="b">
        <v>0</v>
      </c>
      <c r="I142" s="150" t="b">
        <v>0</v>
      </c>
      <c r="J142" s="150" t="b">
        <v>0</v>
      </c>
      <c r="K142" s="150" t="b">
        <v>0</v>
      </c>
      <c r="L142" s="8" t="b">
        <v>0</v>
      </c>
    </row>
    <row r="143">
      <c r="B143" s="97"/>
      <c r="C143" s="121" t="str">
        <f t="array" ref="C143">ifs(and(isblank($A143),isblank($B143)),"", not(iserror(vlookup($A143&amp;$B143,'5) Release_Track'!$F:$F&amp;'5) Release_Track'!$G:$G,1,0))),vlookup($A143&amp;$B143,{'5) Release_Track'!$F:$F&amp;'5) Release_Track'!$G:$G,'5) Release_Track'!$H:$H},2,0),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D143" s="121" t="str">
        <f t="array" ref="D143">ifs(and(isblank($A143),isblank($B143)),"", not(iserror(vlookup($A143&amp;$B143,'5) Release_Track'!$F:$F&amp;'5) Release_Track'!$G:$G,1,0))),vlookup($A143&amp;$B143,{'5) Release_Track'!$F:$F&amp;'5) Release_Track'!$G:$G,'5) Release_Track'!$I:$I},2,0),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E143" s="150" t="b">
        <v>0</v>
      </c>
      <c r="F143" s="150" t="b">
        <v>0</v>
      </c>
      <c r="G143" s="150" t="b">
        <v>0</v>
      </c>
      <c r="H143" s="150" t="b">
        <v>0</v>
      </c>
      <c r="I143" s="150" t="b">
        <v>0</v>
      </c>
      <c r="J143" s="150" t="b">
        <v>0</v>
      </c>
      <c r="K143" s="150" t="b">
        <v>0</v>
      </c>
      <c r="L143" s="8" t="b">
        <v>0</v>
      </c>
    </row>
    <row r="144">
      <c r="B144" s="97"/>
      <c r="C144" s="121" t="str">
        <f t="array" ref="C144">ifs(and(isblank($A144),isblank($B144)),"", not(iserror(vlookup($A144&amp;$B144,'5) Release_Track'!$F:$F&amp;'5) Release_Track'!$G:$G,1,0))),vlookup($A144&amp;$B144,{'5) Release_Track'!$F:$F&amp;'5) Release_Track'!$G:$G,'5) Release_Track'!$H:$H},2,0),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D144" s="121" t="str">
        <f t="array" ref="D144">ifs(and(isblank($A144),isblank($B144)),"", not(iserror(vlookup($A144&amp;$B144,'5) Release_Track'!$F:$F&amp;'5) Release_Track'!$G:$G,1,0))),vlookup($A144&amp;$B144,{'5) Release_Track'!$F:$F&amp;'5) Release_Track'!$G:$G,'5) Release_Track'!$I:$I},2,0),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E144" s="150" t="b">
        <v>0</v>
      </c>
      <c r="F144" s="150" t="b">
        <v>0</v>
      </c>
      <c r="G144" s="150" t="b">
        <v>0</v>
      </c>
      <c r="H144" s="150" t="b">
        <v>0</v>
      </c>
      <c r="I144" s="150" t="b">
        <v>0</v>
      </c>
      <c r="J144" s="150" t="b">
        <v>0</v>
      </c>
      <c r="K144" s="150" t="b">
        <v>0</v>
      </c>
      <c r="L144" s="8" t="b">
        <v>0</v>
      </c>
    </row>
    <row r="145">
      <c r="B145" s="97"/>
      <c r="C145" s="121" t="str">
        <f t="array" ref="C145">ifs(and(isblank($A145),isblank($B145)),"", not(iserror(vlookup($A145&amp;$B145,'5) Release_Track'!$F:$F&amp;'5) Release_Track'!$G:$G,1,0))),vlookup($A145&amp;$B145,{'5) Release_Track'!$F:$F&amp;'5) Release_Track'!$G:$G,'5) Release_Track'!$H:$H},2,0),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D145" s="121" t="str">
        <f t="array" ref="D145">ifs(and(isblank($A145),isblank($B145)),"", not(iserror(vlookup($A145&amp;$B145,'5) Release_Track'!$F:$F&amp;'5) Release_Track'!$G:$G,1,0))),vlookup($A145&amp;$B145,{'5) Release_Track'!$F:$F&amp;'5) Release_Track'!$G:$G,'5) Release_Track'!$I:$I},2,0),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E145" s="150" t="b">
        <v>0</v>
      </c>
      <c r="F145" s="150" t="b">
        <v>0</v>
      </c>
      <c r="G145" s="150" t="b">
        <v>0</v>
      </c>
      <c r="H145" s="150" t="b">
        <v>0</v>
      </c>
      <c r="I145" s="150" t="b">
        <v>0</v>
      </c>
      <c r="J145" s="150" t="b">
        <v>0</v>
      </c>
      <c r="K145" s="150" t="b">
        <v>0</v>
      </c>
      <c r="L145" s="8" t="b">
        <v>0</v>
      </c>
    </row>
    <row r="146">
      <c r="B146" s="97"/>
      <c r="C146" s="121" t="str">
        <f t="array" ref="C146">ifs(and(isblank($A146),isblank($B146)),"", not(iserror(vlookup($A146&amp;$B146,'5) Release_Track'!$F:$F&amp;'5) Release_Track'!$G:$G,1,0))),vlookup($A146&amp;$B146,{'5) Release_Track'!$F:$F&amp;'5) Release_Track'!$G:$G,'5) Release_Track'!$H:$H},2,0),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D146" s="121" t="str">
        <f t="array" ref="D146">ifs(and(isblank($A146),isblank($B146)),"", not(iserror(vlookup($A146&amp;$B146,'5) Release_Track'!$F:$F&amp;'5) Release_Track'!$G:$G,1,0))),vlookup($A146&amp;$B146,{'5) Release_Track'!$F:$F&amp;'5) Release_Track'!$G:$G,'5) Release_Track'!$I:$I},2,0),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E146" s="150" t="b">
        <v>0</v>
      </c>
      <c r="F146" s="150" t="b">
        <v>0</v>
      </c>
      <c r="G146" s="150" t="b">
        <v>0</v>
      </c>
      <c r="H146" s="150" t="b">
        <v>0</v>
      </c>
      <c r="I146" s="150" t="b">
        <v>0</v>
      </c>
      <c r="J146" s="150" t="b">
        <v>0</v>
      </c>
      <c r="K146" s="150" t="b">
        <v>0</v>
      </c>
      <c r="L146" s="8" t="b">
        <v>0</v>
      </c>
    </row>
    <row r="147">
      <c r="B147" s="97"/>
      <c r="C147" s="121" t="str">
        <f t="array" ref="C147">ifs(and(isblank($A147),isblank($B147)),"", not(iserror(vlookup($A147&amp;$B147,'5) Release_Track'!$F:$F&amp;'5) Release_Track'!$G:$G,1,0))),vlookup($A147&amp;$B147,{'5) Release_Track'!$F:$F&amp;'5) Release_Track'!$G:$G,'5) Release_Track'!$H:$H},2,0),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D147" s="121" t="str">
        <f t="array" ref="D147">ifs(and(isblank($A147),isblank($B147)),"", not(iserror(vlookup($A147&amp;$B147,'5) Release_Track'!$F:$F&amp;'5) Release_Track'!$G:$G,1,0))),vlookup($A147&amp;$B147,{'5) Release_Track'!$F:$F&amp;'5) Release_Track'!$G:$G,'5) Release_Track'!$I:$I},2,0),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E147" s="150" t="b">
        <v>0</v>
      </c>
      <c r="F147" s="150" t="b">
        <v>0</v>
      </c>
      <c r="G147" s="150" t="b">
        <v>0</v>
      </c>
      <c r="H147" s="150" t="b">
        <v>0</v>
      </c>
      <c r="I147" s="150" t="b">
        <v>0</v>
      </c>
      <c r="J147" s="150" t="b">
        <v>0</v>
      </c>
      <c r="K147" s="150" t="b">
        <v>0</v>
      </c>
      <c r="L147" s="8" t="b">
        <v>0</v>
      </c>
    </row>
    <row r="148">
      <c r="B148" s="97"/>
      <c r="C148" s="121" t="str">
        <f t="array" ref="C148">ifs(and(isblank($A148),isblank($B148)),"", not(iserror(vlookup($A148&amp;$B148,'5) Release_Track'!$F:$F&amp;'5) Release_Track'!$G:$G,1,0))),vlookup($A148&amp;$B148,{'5) Release_Track'!$F:$F&amp;'5) Release_Track'!$G:$G,'5) Release_Track'!$H:$H},2,0),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D148" s="121" t="str">
        <f t="array" ref="D148">ifs(and(isblank($A148),isblank($B148)),"", not(iserror(vlookup($A148&amp;$B148,'5) Release_Track'!$F:$F&amp;'5) Release_Track'!$G:$G,1,0))),vlookup($A148&amp;$B148,{'5) Release_Track'!$F:$F&amp;'5) Release_Track'!$G:$G,'5) Release_Track'!$I:$I},2,0),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E148" s="150" t="b">
        <v>0</v>
      </c>
      <c r="F148" s="150" t="b">
        <v>0</v>
      </c>
      <c r="G148" s="150" t="b">
        <v>0</v>
      </c>
      <c r="H148" s="150" t="b">
        <v>0</v>
      </c>
      <c r="I148" s="150" t="b">
        <v>0</v>
      </c>
      <c r="J148" s="150" t="b">
        <v>0</v>
      </c>
      <c r="K148" s="150" t="b">
        <v>0</v>
      </c>
      <c r="L148" s="8" t="b">
        <v>0</v>
      </c>
    </row>
    <row r="149">
      <c r="B149" s="97"/>
      <c r="C149" s="121" t="str">
        <f t="array" ref="C149">ifs(and(isblank($A149),isblank($B149)),"", not(iserror(vlookup($A149&amp;$B149,'5) Release_Track'!$F:$F&amp;'5) Release_Track'!$G:$G,1,0))),vlookup($A149&amp;$B149,{'5) Release_Track'!$F:$F&amp;'5) Release_Track'!$G:$G,'5) Release_Track'!$H:$H},2,0),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D149" s="121" t="str">
        <f t="array" ref="D149">ifs(and(isblank($A149),isblank($B149)),"", not(iserror(vlookup($A149&amp;$B149,'5) Release_Track'!$F:$F&amp;'5) Release_Track'!$G:$G,1,0))),vlookup($A149&amp;$B149,{'5) Release_Track'!$F:$F&amp;'5) Release_Track'!$G:$G,'5) Release_Track'!$I:$I},2,0),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E149" s="150" t="b">
        <v>0</v>
      </c>
      <c r="F149" s="150" t="b">
        <v>0</v>
      </c>
      <c r="G149" s="150" t="b">
        <v>0</v>
      </c>
      <c r="H149" s="150" t="b">
        <v>0</v>
      </c>
      <c r="I149" s="150" t="b">
        <v>0</v>
      </c>
      <c r="J149" s="150" t="b">
        <v>0</v>
      </c>
      <c r="K149" s="150" t="b">
        <v>0</v>
      </c>
      <c r="L149" s="8" t="b">
        <v>0</v>
      </c>
    </row>
    <row r="150">
      <c r="B150" s="97"/>
      <c r="C150" s="121" t="str">
        <f t="array" ref="C150">ifs(and(isblank($A150),isblank($B150)),"", not(iserror(vlookup($A150&amp;$B150,'5) Release_Track'!$F:$F&amp;'5) Release_Track'!$G:$G,1,0))),vlookup($A150&amp;$B150,{'5) Release_Track'!$F:$F&amp;'5) Release_Track'!$G:$G,'5) Release_Track'!$H:$H},2,0),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D150" s="121" t="str">
        <f t="array" ref="D150">ifs(and(isblank($A150),isblank($B150)),"", not(iserror(vlookup($A150&amp;$B150,'5) Release_Track'!$F:$F&amp;'5) Release_Track'!$G:$G,1,0))),vlookup($A150&amp;$B150,{'5) Release_Track'!$F:$F&amp;'5) Release_Track'!$G:$G,'5) Release_Track'!$I:$I},2,0),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E150" s="150" t="b">
        <v>0</v>
      </c>
      <c r="F150" s="150" t="b">
        <v>0</v>
      </c>
      <c r="G150" s="150" t="b">
        <v>0</v>
      </c>
      <c r="H150" s="150" t="b">
        <v>0</v>
      </c>
      <c r="I150" s="150" t="b">
        <v>0</v>
      </c>
      <c r="J150" s="150" t="b">
        <v>0</v>
      </c>
      <c r="K150" s="150" t="b">
        <v>0</v>
      </c>
      <c r="L150" s="8" t="b">
        <v>0</v>
      </c>
    </row>
    <row r="151">
      <c r="B151" s="97"/>
      <c r="C151" s="121" t="str">
        <f t="array" ref="C151">ifs(and(isblank($A151),isblank($B151)),"", not(iserror(vlookup($A151&amp;$B151,'5) Release_Track'!$F:$F&amp;'5) Release_Track'!$G:$G,1,0))),vlookup($A151&amp;$B151,{'5) Release_Track'!$F:$F&amp;'5) Release_Track'!$G:$G,'5) Release_Track'!$H:$H},2,0),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D151" s="121" t="str">
        <f t="array" ref="D151">ifs(and(isblank($A151),isblank($B151)),"", not(iserror(vlookup($A151&amp;$B151,'5) Release_Track'!$F:$F&amp;'5) Release_Track'!$G:$G,1,0))),vlookup($A151&amp;$B151,{'5) Release_Track'!$F:$F&amp;'5) Release_Track'!$G:$G,'5) Release_Track'!$I:$I},2,0),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E151" s="150" t="b">
        <v>0</v>
      </c>
      <c r="F151" s="150" t="b">
        <v>0</v>
      </c>
      <c r="G151" s="150" t="b">
        <v>0</v>
      </c>
      <c r="H151" s="150" t="b">
        <v>0</v>
      </c>
      <c r="I151" s="150" t="b">
        <v>0</v>
      </c>
      <c r="J151" s="150" t="b">
        <v>0</v>
      </c>
      <c r="K151" s="150" t="b">
        <v>0</v>
      </c>
      <c r="L151" s="8" t="b">
        <v>0</v>
      </c>
    </row>
    <row r="152">
      <c r="B152" s="97"/>
      <c r="C152" s="121" t="str">
        <f t="array" ref="C152">ifs(and(isblank($A152),isblank($B152)),"", not(iserror(vlookup($A152&amp;$B152,'5) Release_Track'!$F:$F&amp;'5) Release_Track'!$G:$G,1,0))),vlookup($A152&amp;$B152,{'5) Release_Track'!$F:$F&amp;'5) Release_Track'!$G:$G,'5) Release_Track'!$H:$H},2,0),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D152" s="121" t="str">
        <f t="array" ref="D152">ifs(and(isblank($A152),isblank($B152)),"", not(iserror(vlookup($A152&amp;$B152,'5) Release_Track'!$F:$F&amp;'5) Release_Track'!$G:$G,1,0))),vlookup($A152&amp;$B152,{'5) Release_Track'!$F:$F&amp;'5) Release_Track'!$G:$G,'5) Release_Track'!$I:$I},2,0),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E152" s="150" t="b">
        <v>0</v>
      </c>
      <c r="F152" s="150" t="b">
        <v>0</v>
      </c>
      <c r="G152" s="150" t="b">
        <v>0</v>
      </c>
      <c r="H152" s="150" t="b">
        <v>0</v>
      </c>
      <c r="I152" s="150" t="b">
        <v>0</v>
      </c>
      <c r="J152" s="150" t="b">
        <v>0</v>
      </c>
      <c r="K152" s="150" t="b">
        <v>0</v>
      </c>
      <c r="L152" s="8" t="b">
        <v>0</v>
      </c>
    </row>
    <row r="153">
      <c r="B153" s="97"/>
      <c r="C153" s="121" t="str">
        <f t="array" ref="C153">ifs(and(isblank($A153),isblank($B153)),"", not(iserror(vlookup($A153&amp;$B153,'5) Release_Track'!$F:$F&amp;'5) Release_Track'!$G:$G,1,0))),vlookup($A153&amp;$B153,{'5) Release_Track'!$F:$F&amp;'5) Release_Track'!$G:$G,'5) Release_Track'!$H:$H},2,0),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D153" s="121" t="str">
        <f t="array" ref="D153">ifs(and(isblank($A153),isblank($B153)),"", not(iserror(vlookup($A153&amp;$B153,'5) Release_Track'!$F:$F&amp;'5) Release_Track'!$G:$G,1,0))),vlookup($A153&amp;$B153,{'5) Release_Track'!$F:$F&amp;'5) Release_Track'!$G:$G,'5) Release_Track'!$I:$I},2,0),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E153" s="150" t="b">
        <v>0</v>
      </c>
      <c r="F153" s="150" t="b">
        <v>0</v>
      </c>
      <c r="G153" s="150" t="b">
        <v>0</v>
      </c>
      <c r="H153" s="150" t="b">
        <v>0</v>
      </c>
      <c r="I153" s="150" t="b">
        <v>0</v>
      </c>
      <c r="J153" s="150" t="b">
        <v>0</v>
      </c>
      <c r="K153" s="150" t="b">
        <v>0</v>
      </c>
      <c r="L153" s="8" t="b">
        <v>0</v>
      </c>
    </row>
    <row r="154">
      <c r="B154" s="97"/>
      <c r="C154" s="121" t="str">
        <f t="array" ref="C154">ifs(and(isblank($A154),isblank($B154)),"", not(iserror(vlookup($A154&amp;$B154,'5) Release_Track'!$F:$F&amp;'5) Release_Track'!$G:$G,1,0))),vlookup($A154&amp;$B154,{'5) Release_Track'!$F:$F&amp;'5) Release_Track'!$G:$G,'5) Release_Track'!$H:$H},2,0),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D154" s="121" t="str">
        <f t="array" ref="D154">ifs(and(isblank($A154),isblank($B154)),"", not(iserror(vlookup($A154&amp;$B154,'5) Release_Track'!$F:$F&amp;'5) Release_Track'!$G:$G,1,0))),vlookup($A154&amp;$B154,{'5) Release_Track'!$F:$F&amp;'5) Release_Track'!$G:$G,'5) Release_Track'!$I:$I},2,0),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E154" s="150" t="b">
        <v>0</v>
      </c>
      <c r="F154" s="150" t="b">
        <v>0</v>
      </c>
      <c r="G154" s="150" t="b">
        <v>0</v>
      </c>
      <c r="H154" s="150" t="b">
        <v>0</v>
      </c>
      <c r="I154" s="150" t="b">
        <v>0</v>
      </c>
      <c r="J154" s="150" t="b">
        <v>0</v>
      </c>
      <c r="K154" s="150" t="b">
        <v>0</v>
      </c>
      <c r="L154" s="8" t="b">
        <v>0</v>
      </c>
    </row>
    <row r="155">
      <c r="B155" s="97"/>
      <c r="C155" s="121" t="str">
        <f t="array" ref="C155">ifs(and(isblank($A155),isblank($B155)),"", not(iserror(vlookup($A155&amp;$B155,'5) Release_Track'!$F:$F&amp;'5) Release_Track'!$G:$G,1,0))),vlookup($A155&amp;$B155,{'5) Release_Track'!$F:$F&amp;'5) Release_Track'!$G:$G,'5) Release_Track'!$H:$H},2,0),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D155" s="121" t="str">
        <f t="array" ref="D155">ifs(and(isblank($A155),isblank($B155)),"", not(iserror(vlookup($A155&amp;$B155,'5) Release_Track'!$F:$F&amp;'5) Release_Track'!$G:$G,1,0))),vlookup($A155&amp;$B155,{'5) Release_Track'!$F:$F&amp;'5) Release_Track'!$G:$G,'5) Release_Track'!$I:$I},2,0),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E155" s="150" t="b">
        <v>0</v>
      </c>
      <c r="F155" s="150" t="b">
        <v>0</v>
      </c>
      <c r="G155" s="150" t="b">
        <v>0</v>
      </c>
      <c r="H155" s="150" t="b">
        <v>0</v>
      </c>
      <c r="I155" s="150" t="b">
        <v>0</v>
      </c>
      <c r="J155" s="150" t="b">
        <v>0</v>
      </c>
      <c r="K155" s="150" t="b">
        <v>0</v>
      </c>
      <c r="L155" s="8" t="b">
        <v>0</v>
      </c>
    </row>
    <row r="156">
      <c r="B156" s="97"/>
      <c r="C156" s="121" t="str">
        <f t="array" ref="C156">ifs(and(isblank($A156),isblank($B156)),"", not(iserror(vlookup($A156&amp;$B156,'5) Release_Track'!$F:$F&amp;'5) Release_Track'!$G:$G,1,0))),vlookup($A156&amp;$B156,{'5) Release_Track'!$F:$F&amp;'5) Release_Track'!$G:$G,'5) Release_Track'!$H:$H},2,0),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D156" s="121" t="str">
        <f t="array" ref="D156">ifs(and(isblank($A156),isblank($B156)),"", not(iserror(vlookup($A156&amp;$B156,'5) Release_Track'!$F:$F&amp;'5) Release_Track'!$G:$G,1,0))),vlookup($A156&amp;$B156,{'5) Release_Track'!$F:$F&amp;'5) Release_Track'!$G:$G,'5) Release_Track'!$I:$I},2,0),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E156" s="150" t="b">
        <v>0</v>
      </c>
      <c r="F156" s="150" t="b">
        <v>0</v>
      </c>
      <c r="G156" s="150" t="b">
        <v>0</v>
      </c>
      <c r="H156" s="150" t="b">
        <v>0</v>
      </c>
      <c r="I156" s="150" t="b">
        <v>0</v>
      </c>
      <c r="J156" s="150" t="b">
        <v>0</v>
      </c>
      <c r="K156" s="150" t="b">
        <v>0</v>
      </c>
      <c r="L156" s="8" t="b">
        <v>0</v>
      </c>
    </row>
    <row r="157">
      <c r="B157" s="97"/>
      <c r="C157" s="121" t="str">
        <f t="array" ref="C157">ifs(and(isblank($A157),isblank($B157)),"", not(iserror(vlookup($A157&amp;$B157,'5) Release_Track'!$F:$F&amp;'5) Release_Track'!$G:$G,1,0))),vlookup($A157&amp;$B157,{'5) Release_Track'!$F:$F&amp;'5) Release_Track'!$G:$G,'5) Release_Track'!$H:$H},2,0),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D157" s="121" t="str">
        <f t="array" ref="D157">ifs(and(isblank($A157),isblank($B157)),"", not(iserror(vlookup($A157&amp;$B157,'5) Release_Track'!$F:$F&amp;'5) Release_Track'!$G:$G,1,0))),vlookup($A157&amp;$B157,{'5) Release_Track'!$F:$F&amp;'5) Release_Track'!$G:$G,'5) Release_Track'!$I:$I},2,0),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E157" s="150" t="b">
        <v>0</v>
      </c>
      <c r="F157" s="150" t="b">
        <v>0</v>
      </c>
      <c r="G157" s="150" t="b">
        <v>0</v>
      </c>
      <c r="H157" s="150" t="b">
        <v>0</v>
      </c>
      <c r="I157" s="150" t="b">
        <v>0</v>
      </c>
      <c r="J157" s="150" t="b">
        <v>0</v>
      </c>
      <c r="K157" s="150" t="b">
        <v>0</v>
      </c>
      <c r="L157" s="8" t="b">
        <v>0</v>
      </c>
    </row>
    <row r="158">
      <c r="B158" s="97"/>
      <c r="C158" s="121" t="str">
        <f t="array" ref="C158">ifs(and(isblank($A158),isblank($B158)),"", not(iserror(vlookup($A158&amp;$B158,'5) Release_Track'!$F:$F&amp;'5) Release_Track'!$G:$G,1,0))),vlookup($A158&amp;$B158,{'5) Release_Track'!$F:$F&amp;'5) Release_Track'!$G:$G,'5) Release_Track'!$H:$H},2,0),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D158" s="121" t="str">
        <f t="array" ref="D158">ifs(and(isblank($A158),isblank($B158)),"", not(iserror(vlookup($A158&amp;$B158,'5) Release_Track'!$F:$F&amp;'5) Release_Track'!$G:$G,1,0))),vlookup($A158&amp;$B158,{'5) Release_Track'!$F:$F&amp;'5) Release_Track'!$G:$G,'5) Release_Track'!$I:$I},2,0),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E158" s="150" t="b">
        <v>0</v>
      </c>
      <c r="F158" s="150" t="b">
        <v>0</v>
      </c>
      <c r="G158" s="150" t="b">
        <v>0</v>
      </c>
      <c r="H158" s="150" t="b">
        <v>0</v>
      </c>
      <c r="I158" s="150" t="b">
        <v>0</v>
      </c>
      <c r="J158" s="150" t="b">
        <v>0</v>
      </c>
      <c r="K158" s="150" t="b">
        <v>0</v>
      </c>
      <c r="L158" s="8" t="b">
        <v>0</v>
      </c>
    </row>
    <row r="159">
      <c r="B159" s="97"/>
      <c r="C159" s="121" t="str">
        <f t="array" ref="C159">ifs(and(isblank($A159),isblank($B159)),"", not(iserror(vlookup($A159&amp;$B159,'5) Release_Track'!$F:$F&amp;'5) Release_Track'!$G:$G,1,0))),vlookup($A159&amp;$B159,{'5) Release_Track'!$F:$F&amp;'5) Release_Track'!$G:$G,'5) Release_Track'!$H:$H},2,0),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D159" s="121" t="str">
        <f t="array" ref="D159">ifs(and(isblank($A159),isblank($B159)),"", not(iserror(vlookup($A159&amp;$B159,'5) Release_Track'!$F:$F&amp;'5) Release_Track'!$G:$G,1,0))),vlookup($A159&amp;$B159,{'5) Release_Track'!$F:$F&amp;'5) Release_Track'!$G:$G,'5) Release_Track'!$I:$I},2,0),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E159" s="150" t="b">
        <v>0</v>
      </c>
      <c r="F159" s="150" t="b">
        <v>0</v>
      </c>
      <c r="G159" s="150" t="b">
        <v>0</v>
      </c>
      <c r="H159" s="150" t="b">
        <v>0</v>
      </c>
      <c r="I159" s="150" t="b">
        <v>0</v>
      </c>
      <c r="J159" s="150" t="b">
        <v>0</v>
      </c>
      <c r="K159" s="150" t="b">
        <v>0</v>
      </c>
      <c r="L159" s="8" t="b">
        <v>0</v>
      </c>
    </row>
    <row r="160">
      <c r="B160" s="97"/>
      <c r="C160" s="121" t="str">
        <f t="array" ref="C160">ifs(and(isblank($A160),isblank($B160)),"", not(iserror(vlookup($A160&amp;$B160,'5) Release_Track'!$F:$F&amp;'5) Release_Track'!$G:$G,1,0))),vlookup($A160&amp;$B160,{'5) Release_Track'!$F:$F&amp;'5) Release_Track'!$G:$G,'5) Release_Track'!$H:$H},2,0),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D160" s="121" t="str">
        <f t="array" ref="D160">ifs(and(isblank($A160),isblank($B160)),"", not(iserror(vlookup($A160&amp;$B160,'5) Release_Track'!$F:$F&amp;'5) Release_Track'!$G:$G,1,0))),vlookup($A160&amp;$B160,{'5) Release_Track'!$F:$F&amp;'5) Release_Track'!$G:$G,'5) Release_Track'!$I:$I},2,0),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E160" s="150" t="b">
        <v>0</v>
      </c>
      <c r="F160" s="150" t="b">
        <v>0</v>
      </c>
      <c r="G160" s="150" t="b">
        <v>0</v>
      </c>
      <c r="H160" s="150" t="b">
        <v>0</v>
      </c>
      <c r="I160" s="150" t="b">
        <v>0</v>
      </c>
      <c r="J160" s="150" t="b">
        <v>0</v>
      </c>
      <c r="K160" s="150" t="b">
        <v>0</v>
      </c>
      <c r="L160" s="8" t="b">
        <v>0</v>
      </c>
    </row>
    <row r="161">
      <c r="B161" s="97"/>
      <c r="C161" s="121" t="str">
        <f t="array" ref="C161">ifs(and(isblank($A161),isblank($B161)),"", not(iserror(vlookup($A161&amp;$B161,'5) Release_Track'!$F:$F&amp;'5) Release_Track'!$G:$G,1,0))),vlookup($A161&amp;$B161,{'5) Release_Track'!$F:$F&amp;'5) Release_Track'!$G:$G,'5) Release_Track'!$H:$H},2,0),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D161" s="121" t="str">
        <f t="array" ref="D161">ifs(and(isblank($A161),isblank($B161)),"", not(iserror(vlookup($A161&amp;$B161,'5) Release_Track'!$F:$F&amp;'5) Release_Track'!$G:$G,1,0))),vlookup($A161&amp;$B161,{'5) Release_Track'!$F:$F&amp;'5) Release_Track'!$G:$G,'5) Release_Track'!$I:$I},2,0),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E161" s="150" t="b">
        <v>0</v>
      </c>
      <c r="F161" s="150" t="b">
        <v>0</v>
      </c>
      <c r="G161" s="150" t="b">
        <v>0</v>
      </c>
      <c r="H161" s="150" t="b">
        <v>0</v>
      </c>
      <c r="I161" s="150" t="b">
        <v>0</v>
      </c>
      <c r="J161" s="150" t="b">
        <v>0</v>
      </c>
      <c r="K161" s="150" t="b">
        <v>0</v>
      </c>
      <c r="L161" s="8" t="b">
        <v>0</v>
      </c>
    </row>
    <row r="162">
      <c r="B162" s="97"/>
      <c r="C162" s="121" t="str">
        <f t="array" ref="C162">ifs(and(isblank($A162),isblank($B162)),"", not(iserror(vlookup($A162&amp;$B162,'5) Release_Track'!$F:$F&amp;'5) Release_Track'!$G:$G,1,0))),vlookup($A162&amp;$B162,{'5) Release_Track'!$F:$F&amp;'5) Release_Track'!$G:$G,'5) Release_Track'!$H:$H},2,0),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D162" s="121" t="str">
        <f t="array" ref="D162">ifs(and(isblank($A162),isblank($B162)),"", not(iserror(vlookup($A162&amp;$B162,'5) Release_Track'!$F:$F&amp;'5) Release_Track'!$G:$G,1,0))),vlookup($A162&amp;$B162,{'5) Release_Track'!$F:$F&amp;'5) Release_Track'!$G:$G,'5) Release_Track'!$I:$I},2,0),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E162" s="150" t="b">
        <v>0</v>
      </c>
      <c r="F162" s="150" t="b">
        <v>0</v>
      </c>
      <c r="G162" s="150" t="b">
        <v>0</v>
      </c>
      <c r="H162" s="150" t="b">
        <v>0</v>
      </c>
      <c r="I162" s="150" t="b">
        <v>0</v>
      </c>
      <c r="J162" s="150" t="b">
        <v>0</v>
      </c>
      <c r="K162" s="150" t="b">
        <v>0</v>
      </c>
      <c r="L162" s="8" t="b">
        <v>0</v>
      </c>
    </row>
    <row r="163">
      <c r="B163" s="97"/>
      <c r="C163" s="121" t="str">
        <f t="array" ref="C163">ifs(and(isblank($A163),isblank($B163)),"", not(iserror(vlookup($A163&amp;$B163,'5) Release_Track'!$F:$F&amp;'5) Release_Track'!$G:$G,1,0))),vlookup($A163&amp;$B163,{'5) Release_Track'!$F:$F&amp;'5) Release_Track'!$G:$G,'5) Release_Track'!$H:$H},2,0),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D163" s="121" t="str">
        <f t="array" ref="D163">ifs(and(isblank($A163),isblank($B163)),"", not(iserror(vlookup($A163&amp;$B163,'5) Release_Track'!$F:$F&amp;'5) Release_Track'!$G:$G,1,0))),vlookup($A163&amp;$B163,{'5) Release_Track'!$F:$F&amp;'5) Release_Track'!$G:$G,'5) Release_Track'!$I:$I},2,0),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E163" s="150" t="b">
        <v>0</v>
      </c>
      <c r="F163" s="150" t="b">
        <v>0</v>
      </c>
      <c r="G163" s="150" t="b">
        <v>0</v>
      </c>
      <c r="H163" s="150" t="b">
        <v>0</v>
      </c>
      <c r="I163" s="150" t="b">
        <v>0</v>
      </c>
      <c r="J163" s="150" t="b">
        <v>0</v>
      </c>
      <c r="K163" s="150" t="b">
        <v>0</v>
      </c>
      <c r="L163" s="8" t="b">
        <v>0</v>
      </c>
    </row>
    <row r="164">
      <c r="B164" s="97"/>
      <c r="C164" s="121" t="str">
        <f t="array" ref="C164">ifs(and(isblank($A164),isblank($B164)),"", not(iserror(vlookup($A164&amp;$B164,'5) Release_Track'!$F:$F&amp;'5) Release_Track'!$G:$G,1,0))),vlookup($A164&amp;$B164,{'5) Release_Track'!$F:$F&amp;'5) Release_Track'!$G:$G,'5) Release_Track'!$H:$H},2,0),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D164" s="121" t="str">
        <f t="array" ref="D164">ifs(and(isblank($A164),isblank($B164)),"", not(iserror(vlookup($A164&amp;$B164,'5) Release_Track'!$F:$F&amp;'5) Release_Track'!$G:$G,1,0))),vlookup($A164&amp;$B164,{'5) Release_Track'!$F:$F&amp;'5) Release_Track'!$G:$G,'5) Release_Track'!$I:$I},2,0),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E164" s="150" t="b">
        <v>0</v>
      </c>
      <c r="F164" s="150" t="b">
        <v>0</v>
      </c>
      <c r="G164" s="150" t="b">
        <v>0</v>
      </c>
      <c r="H164" s="150" t="b">
        <v>0</v>
      </c>
      <c r="I164" s="150" t="b">
        <v>0</v>
      </c>
      <c r="J164" s="150" t="b">
        <v>0</v>
      </c>
      <c r="K164" s="150" t="b">
        <v>0</v>
      </c>
      <c r="L164" s="8" t="b">
        <v>0</v>
      </c>
    </row>
    <row r="165">
      <c r="B165" s="97"/>
      <c r="C165" s="121" t="str">
        <f t="array" ref="C165">ifs(and(isblank($A165),isblank($B165)),"", not(iserror(vlookup($A165&amp;$B165,'5) Release_Track'!$F:$F&amp;'5) Release_Track'!$G:$G,1,0))),vlookup($A165&amp;$B165,{'5) Release_Track'!$F:$F&amp;'5) Release_Track'!$G:$G,'5) Release_Track'!$H:$H},2,0),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D165" s="121" t="str">
        <f t="array" ref="D165">ifs(and(isblank($A165),isblank($B165)),"", not(iserror(vlookup($A165&amp;$B165,'5) Release_Track'!$F:$F&amp;'5) Release_Track'!$G:$G,1,0))),vlookup($A165&amp;$B165,{'5) Release_Track'!$F:$F&amp;'5) Release_Track'!$G:$G,'5) Release_Track'!$I:$I},2,0),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E165" s="150" t="b">
        <v>0</v>
      </c>
      <c r="F165" s="150" t="b">
        <v>0</v>
      </c>
      <c r="G165" s="150" t="b">
        <v>0</v>
      </c>
      <c r="H165" s="150" t="b">
        <v>0</v>
      </c>
      <c r="I165" s="150" t="b">
        <v>0</v>
      </c>
      <c r="J165" s="150" t="b">
        <v>0</v>
      </c>
      <c r="K165" s="150" t="b">
        <v>0</v>
      </c>
      <c r="L165" s="8" t="b">
        <v>0</v>
      </c>
    </row>
    <row r="166">
      <c r="B166" s="97"/>
      <c r="C166" s="121" t="str">
        <f t="array" ref="C166">ifs(and(isblank($A166),isblank($B166)),"", not(iserror(vlookup($A166&amp;$B166,'5) Release_Track'!$F:$F&amp;'5) Release_Track'!$G:$G,1,0))),vlookup($A166&amp;$B166,{'5) Release_Track'!$F:$F&amp;'5) Release_Track'!$G:$G,'5) Release_Track'!$H:$H},2,0),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D166" s="121" t="str">
        <f t="array" ref="D166">ifs(and(isblank($A166),isblank($B166)),"", not(iserror(vlookup($A166&amp;$B166,'5) Release_Track'!$F:$F&amp;'5) Release_Track'!$G:$G,1,0))),vlookup($A166&amp;$B166,{'5) Release_Track'!$F:$F&amp;'5) Release_Track'!$G:$G,'5) Release_Track'!$I:$I},2,0),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E166" s="150" t="b">
        <v>0</v>
      </c>
      <c r="F166" s="150" t="b">
        <v>0</v>
      </c>
      <c r="G166" s="150" t="b">
        <v>0</v>
      </c>
      <c r="H166" s="150" t="b">
        <v>0</v>
      </c>
      <c r="I166" s="150" t="b">
        <v>0</v>
      </c>
      <c r="J166" s="150" t="b">
        <v>0</v>
      </c>
      <c r="K166" s="150" t="b">
        <v>0</v>
      </c>
      <c r="L166" s="8" t="b">
        <v>0</v>
      </c>
    </row>
    <row r="167">
      <c r="B167" s="97"/>
      <c r="C167" s="121" t="str">
        <f t="array" ref="C167">ifs(and(isblank($A167),isblank($B167)),"", not(iserror(vlookup($A167&amp;$B167,'5) Release_Track'!$F:$F&amp;'5) Release_Track'!$G:$G,1,0))),vlookup($A167&amp;$B167,{'5) Release_Track'!$F:$F&amp;'5) Release_Track'!$G:$G,'5) Release_Track'!$H:$H},2,0),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D167" s="121" t="str">
        <f t="array" ref="D167">ifs(and(isblank($A167),isblank($B167)),"", not(iserror(vlookup($A167&amp;$B167,'5) Release_Track'!$F:$F&amp;'5) Release_Track'!$G:$G,1,0))),vlookup($A167&amp;$B167,{'5) Release_Track'!$F:$F&amp;'5) Release_Track'!$G:$G,'5) Release_Track'!$I:$I},2,0),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E167" s="150" t="b">
        <v>0</v>
      </c>
      <c r="F167" s="150" t="b">
        <v>0</v>
      </c>
      <c r="G167" s="150" t="b">
        <v>0</v>
      </c>
      <c r="H167" s="150" t="b">
        <v>0</v>
      </c>
      <c r="I167" s="150" t="b">
        <v>0</v>
      </c>
      <c r="J167" s="150" t="b">
        <v>0</v>
      </c>
      <c r="K167" s="150" t="b">
        <v>0</v>
      </c>
      <c r="L167" s="8" t="b">
        <v>0</v>
      </c>
    </row>
    <row r="168">
      <c r="B168" s="97"/>
      <c r="C168" s="121" t="str">
        <f t="array" ref="C168">ifs(and(isblank($A168),isblank($B168)),"", not(iserror(vlookup($A168&amp;$B168,'5) Release_Track'!$F:$F&amp;'5) Release_Track'!$G:$G,1,0))),vlookup($A168&amp;$B168,{'5) Release_Track'!$F:$F&amp;'5) Release_Track'!$G:$G,'5) Release_Track'!$H:$H},2,0),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D168" s="121" t="str">
        <f t="array" ref="D168">ifs(and(isblank($A168),isblank($B168)),"", not(iserror(vlookup($A168&amp;$B168,'5) Release_Track'!$F:$F&amp;'5) Release_Track'!$G:$G,1,0))),vlookup($A168&amp;$B168,{'5) Release_Track'!$F:$F&amp;'5) Release_Track'!$G:$G,'5) Release_Track'!$I:$I},2,0),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E168" s="150" t="b">
        <v>0</v>
      </c>
      <c r="F168" s="150" t="b">
        <v>0</v>
      </c>
      <c r="G168" s="150" t="b">
        <v>0</v>
      </c>
      <c r="H168" s="150" t="b">
        <v>0</v>
      </c>
      <c r="I168" s="150" t="b">
        <v>0</v>
      </c>
      <c r="J168" s="150" t="b">
        <v>0</v>
      </c>
      <c r="K168" s="150" t="b">
        <v>0</v>
      </c>
      <c r="L168" s="8" t="b">
        <v>0</v>
      </c>
    </row>
    <row r="169">
      <c r="B169" s="97"/>
      <c r="C169" s="121" t="str">
        <f t="array" ref="C169">ifs(and(isblank($A169),isblank($B169)),"", not(iserror(vlookup($A169&amp;$B169,'5) Release_Track'!$F:$F&amp;'5) Release_Track'!$G:$G,1,0))),vlookup($A169&amp;$B169,{'5) Release_Track'!$F:$F&amp;'5) Release_Track'!$G:$G,'5) Release_Track'!$H:$H},2,0),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D169" s="121" t="str">
        <f t="array" ref="D169">ifs(and(isblank($A169),isblank($B169)),"", not(iserror(vlookup($A169&amp;$B169,'5) Release_Track'!$F:$F&amp;'5) Release_Track'!$G:$G,1,0))),vlookup($A169&amp;$B169,{'5) Release_Track'!$F:$F&amp;'5) Release_Track'!$G:$G,'5) Release_Track'!$I:$I},2,0),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E169" s="150" t="b">
        <v>0</v>
      </c>
      <c r="F169" s="150" t="b">
        <v>0</v>
      </c>
      <c r="G169" s="150" t="b">
        <v>0</v>
      </c>
      <c r="H169" s="150" t="b">
        <v>0</v>
      </c>
      <c r="I169" s="150" t="b">
        <v>0</v>
      </c>
      <c r="J169" s="150" t="b">
        <v>0</v>
      </c>
      <c r="K169" s="150" t="b">
        <v>0</v>
      </c>
      <c r="L169" s="8" t="b">
        <v>0</v>
      </c>
    </row>
    <row r="170">
      <c r="B170" s="97"/>
      <c r="C170" s="121" t="str">
        <f t="array" ref="C170">ifs(and(isblank($A170),isblank($B170)),"", not(iserror(vlookup($A170&amp;$B170,'5) Release_Track'!$F:$F&amp;'5) Release_Track'!$G:$G,1,0))),vlookup($A170&amp;$B170,{'5) Release_Track'!$F:$F&amp;'5) Release_Track'!$G:$G,'5) Release_Track'!$H:$H},2,0),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D170" s="121" t="str">
        <f t="array" ref="D170">ifs(and(isblank($A170),isblank($B170)),"", not(iserror(vlookup($A170&amp;$B170,'5) Release_Track'!$F:$F&amp;'5) Release_Track'!$G:$G,1,0))),vlookup($A170&amp;$B170,{'5) Release_Track'!$F:$F&amp;'5) Release_Track'!$G:$G,'5) Release_Track'!$I:$I},2,0),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E170" s="150" t="b">
        <v>0</v>
      </c>
      <c r="F170" s="150" t="b">
        <v>0</v>
      </c>
      <c r="G170" s="150" t="b">
        <v>0</v>
      </c>
      <c r="H170" s="150" t="b">
        <v>0</v>
      </c>
      <c r="I170" s="150" t="b">
        <v>0</v>
      </c>
      <c r="J170" s="150" t="b">
        <v>0</v>
      </c>
      <c r="K170" s="150" t="b">
        <v>0</v>
      </c>
      <c r="L170" s="8" t="b">
        <v>0</v>
      </c>
    </row>
    <row r="171">
      <c r="B171" s="97"/>
      <c r="C171" s="121" t="str">
        <f t="array" ref="C171">ifs(and(isblank($A171),isblank($B171)),"", not(iserror(vlookup($A171&amp;$B171,'5) Release_Track'!$F:$F&amp;'5) Release_Track'!$G:$G,1,0))),vlookup($A171&amp;$B171,{'5) Release_Track'!$F:$F&amp;'5) Release_Track'!$G:$G,'5) Release_Track'!$H:$H},2,0),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D171" s="121" t="str">
        <f t="array" ref="D171">ifs(and(isblank($A171),isblank($B171)),"", not(iserror(vlookup($A171&amp;$B171,'5) Release_Track'!$F:$F&amp;'5) Release_Track'!$G:$G,1,0))),vlookup($A171&amp;$B171,{'5) Release_Track'!$F:$F&amp;'5) Release_Track'!$G:$G,'5) Release_Track'!$I:$I},2,0),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E171" s="150" t="b">
        <v>0</v>
      </c>
      <c r="F171" s="150" t="b">
        <v>0</v>
      </c>
      <c r="G171" s="150" t="b">
        <v>0</v>
      </c>
      <c r="H171" s="150" t="b">
        <v>0</v>
      </c>
      <c r="I171" s="150" t="b">
        <v>0</v>
      </c>
      <c r="J171" s="150" t="b">
        <v>0</v>
      </c>
      <c r="K171" s="150" t="b">
        <v>0</v>
      </c>
      <c r="L171" s="8" t="b">
        <v>0</v>
      </c>
    </row>
    <row r="172">
      <c r="B172" s="97"/>
      <c r="C172" s="121" t="str">
        <f t="array" ref="C172">ifs(and(isblank($A172),isblank($B172)),"", not(iserror(vlookup($A172&amp;$B172,'5) Release_Track'!$F:$F&amp;'5) Release_Track'!$G:$G,1,0))),vlookup($A172&amp;$B172,{'5) Release_Track'!$F:$F&amp;'5) Release_Track'!$G:$G,'5) Release_Track'!$H:$H},2,0),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D172" s="121" t="str">
        <f t="array" ref="D172">ifs(and(isblank($A172),isblank($B172)),"", not(iserror(vlookup($A172&amp;$B172,'5) Release_Track'!$F:$F&amp;'5) Release_Track'!$G:$G,1,0))),vlookup($A172&amp;$B172,{'5) Release_Track'!$F:$F&amp;'5) Release_Track'!$G:$G,'5) Release_Track'!$I:$I},2,0),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E172" s="150" t="b">
        <v>0</v>
      </c>
      <c r="F172" s="150" t="b">
        <v>0</v>
      </c>
      <c r="G172" s="150" t="b">
        <v>0</v>
      </c>
      <c r="H172" s="150" t="b">
        <v>0</v>
      </c>
      <c r="I172" s="150" t="b">
        <v>0</v>
      </c>
      <c r="J172" s="150" t="b">
        <v>0</v>
      </c>
      <c r="K172" s="150" t="b">
        <v>0</v>
      </c>
      <c r="L172" s="8" t="b">
        <v>0</v>
      </c>
    </row>
    <row r="173">
      <c r="B173" s="97"/>
      <c r="C173" s="121" t="str">
        <f t="array" ref="C173">ifs(and(isblank($A173),isblank($B173)),"", not(iserror(vlookup($A173&amp;$B173,'5) Release_Track'!$F:$F&amp;'5) Release_Track'!$G:$G,1,0))),vlookup($A173&amp;$B173,{'5) Release_Track'!$F:$F&amp;'5) Release_Track'!$G:$G,'5) Release_Track'!$H:$H},2,0),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D173" s="121" t="str">
        <f t="array" ref="D173">ifs(and(isblank($A173),isblank($B173)),"", not(iserror(vlookup($A173&amp;$B173,'5) Release_Track'!$F:$F&amp;'5) Release_Track'!$G:$G,1,0))),vlookup($A173&amp;$B173,{'5) Release_Track'!$F:$F&amp;'5) Release_Track'!$G:$G,'5) Release_Track'!$I:$I},2,0),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E173" s="150" t="b">
        <v>0</v>
      </c>
      <c r="F173" s="150" t="b">
        <v>0</v>
      </c>
      <c r="G173" s="150" t="b">
        <v>0</v>
      </c>
      <c r="H173" s="150" t="b">
        <v>0</v>
      </c>
      <c r="I173" s="150" t="b">
        <v>0</v>
      </c>
      <c r="J173" s="150" t="b">
        <v>0</v>
      </c>
      <c r="K173" s="150" t="b">
        <v>0</v>
      </c>
      <c r="L173" s="8" t="b">
        <v>0</v>
      </c>
    </row>
    <row r="174">
      <c r="B174" s="97"/>
      <c r="C174" s="121" t="str">
        <f t="array" ref="C174">ifs(and(isblank($A174),isblank($B174)),"", not(iserror(vlookup($A174&amp;$B174,'5) Release_Track'!$F:$F&amp;'5) Release_Track'!$G:$G,1,0))),vlookup($A174&amp;$B174,{'5) Release_Track'!$F:$F&amp;'5) Release_Track'!$G:$G,'5) Release_Track'!$H:$H},2,0),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D174" s="121" t="str">
        <f t="array" ref="D174">ifs(and(isblank($A174),isblank($B174)),"", not(iserror(vlookup($A174&amp;$B174,'5) Release_Track'!$F:$F&amp;'5) Release_Track'!$G:$G,1,0))),vlookup($A174&amp;$B174,{'5) Release_Track'!$F:$F&amp;'5) Release_Track'!$G:$G,'5) Release_Track'!$I:$I},2,0),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E174" s="150" t="b">
        <v>0</v>
      </c>
      <c r="F174" s="150" t="b">
        <v>0</v>
      </c>
      <c r="G174" s="150" t="b">
        <v>0</v>
      </c>
      <c r="H174" s="150" t="b">
        <v>0</v>
      </c>
      <c r="I174" s="150" t="b">
        <v>0</v>
      </c>
      <c r="J174" s="150" t="b">
        <v>0</v>
      </c>
      <c r="K174" s="150" t="b">
        <v>0</v>
      </c>
      <c r="L174" s="8" t="b">
        <v>0</v>
      </c>
    </row>
    <row r="175">
      <c r="B175" s="97"/>
      <c r="C175" s="121" t="str">
        <f t="array" ref="C175">ifs(and(isblank($A175),isblank($B175)),"", not(iserror(vlookup($A175&amp;$B175,'5) Release_Track'!$F:$F&amp;'5) Release_Track'!$G:$G,1,0))),vlookup($A175&amp;$B175,{'5) Release_Track'!$F:$F&amp;'5) Release_Track'!$G:$G,'5) Release_Track'!$H:$H},2,0),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D175" s="121" t="str">
        <f t="array" ref="D175">ifs(and(isblank($A175),isblank($B175)),"", not(iserror(vlookup($A175&amp;$B175,'5) Release_Track'!$F:$F&amp;'5) Release_Track'!$G:$G,1,0))),vlookup($A175&amp;$B175,{'5) Release_Track'!$F:$F&amp;'5) Release_Track'!$G:$G,'5) Release_Track'!$I:$I},2,0),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E175" s="150" t="b">
        <v>0</v>
      </c>
      <c r="F175" s="150" t="b">
        <v>0</v>
      </c>
      <c r="G175" s="150" t="b">
        <v>0</v>
      </c>
      <c r="H175" s="150" t="b">
        <v>0</v>
      </c>
      <c r="I175" s="150" t="b">
        <v>0</v>
      </c>
      <c r="J175" s="150" t="b">
        <v>0</v>
      </c>
      <c r="K175" s="150" t="b">
        <v>0</v>
      </c>
      <c r="L175" s="8" t="b">
        <v>0</v>
      </c>
    </row>
    <row r="176">
      <c r="B176" s="97"/>
      <c r="C176" s="121" t="str">
        <f t="array" ref="C176">ifs(and(isblank($A176),isblank($B176)),"", not(iserror(vlookup($A176&amp;$B176,'5) Release_Track'!$F:$F&amp;'5) Release_Track'!$G:$G,1,0))),vlookup($A176&amp;$B176,{'5) Release_Track'!$F:$F&amp;'5) Release_Track'!$G:$G,'5) Release_Track'!$H:$H},2,0),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D176" s="121" t="str">
        <f t="array" ref="D176">ifs(and(isblank($A176),isblank($B176)),"", not(iserror(vlookup($A176&amp;$B176,'5) Release_Track'!$F:$F&amp;'5) Release_Track'!$G:$G,1,0))),vlookup($A176&amp;$B176,{'5) Release_Track'!$F:$F&amp;'5) Release_Track'!$G:$G,'5) Release_Track'!$I:$I},2,0),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E176" s="150" t="b">
        <v>0</v>
      </c>
      <c r="F176" s="150" t="b">
        <v>0</v>
      </c>
      <c r="G176" s="150" t="b">
        <v>0</v>
      </c>
      <c r="H176" s="150" t="b">
        <v>0</v>
      </c>
      <c r="I176" s="150" t="b">
        <v>0</v>
      </c>
      <c r="J176" s="150" t="b">
        <v>0</v>
      </c>
      <c r="K176" s="150" t="b">
        <v>0</v>
      </c>
      <c r="L176" s="8" t="b">
        <v>0</v>
      </c>
    </row>
    <row r="177">
      <c r="B177" s="97"/>
      <c r="C177" s="121" t="str">
        <f t="array" ref="C177">ifs(and(isblank($A177),isblank($B177)),"", not(iserror(vlookup($A177&amp;$B177,'5) Release_Track'!$F:$F&amp;'5) Release_Track'!$G:$G,1,0))),vlookup($A177&amp;$B177,{'5) Release_Track'!$F:$F&amp;'5) Release_Track'!$G:$G,'5) Release_Track'!$H:$H},2,0),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D177" s="121" t="str">
        <f t="array" ref="D177">ifs(and(isblank($A177),isblank($B177)),"", not(iserror(vlookup($A177&amp;$B177,'5) Release_Track'!$F:$F&amp;'5) Release_Track'!$G:$G,1,0))),vlookup($A177&amp;$B177,{'5) Release_Track'!$F:$F&amp;'5) Release_Track'!$G:$G,'5) Release_Track'!$I:$I},2,0),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E177" s="150" t="b">
        <v>0</v>
      </c>
      <c r="F177" s="150" t="b">
        <v>0</v>
      </c>
      <c r="G177" s="150" t="b">
        <v>0</v>
      </c>
      <c r="H177" s="150" t="b">
        <v>0</v>
      </c>
      <c r="I177" s="150" t="b">
        <v>0</v>
      </c>
      <c r="J177" s="150" t="b">
        <v>0</v>
      </c>
      <c r="K177" s="150" t="b">
        <v>0</v>
      </c>
      <c r="L177" s="8" t="b">
        <v>0</v>
      </c>
    </row>
    <row r="178">
      <c r="B178" s="97"/>
      <c r="C178" s="121" t="str">
        <f t="array" ref="C178">ifs(and(isblank($A178),isblank($B178)),"", not(iserror(vlookup($A178&amp;$B178,'5) Release_Track'!$F:$F&amp;'5) Release_Track'!$G:$G,1,0))),vlookup($A178&amp;$B178,{'5) Release_Track'!$F:$F&amp;'5) Release_Track'!$G:$G,'5) Release_Track'!$H:$H},2,0),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D178" s="121" t="str">
        <f t="array" ref="D178">ifs(and(isblank($A178),isblank($B178)),"", not(iserror(vlookup($A178&amp;$B178,'5) Release_Track'!$F:$F&amp;'5) Release_Track'!$G:$G,1,0))),vlookup($A178&amp;$B178,{'5) Release_Track'!$F:$F&amp;'5) Release_Track'!$G:$G,'5) Release_Track'!$I:$I},2,0),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E178" s="150" t="b">
        <v>0</v>
      </c>
      <c r="F178" s="150" t="b">
        <v>0</v>
      </c>
      <c r="G178" s="150" t="b">
        <v>0</v>
      </c>
      <c r="H178" s="150" t="b">
        <v>0</v>
      </c>
      <c r="I178" s="150" t="b">
        <v>0</v>
      </c>
      <c r="J178" s="150" t="b">
        <v>0</v>
      </c>
      <c r="K178" s="150" t="b">
        <v>0</v>
      </c>
      <c r="L178" s="8" t="b">
        <v>0</v>
      </c>
    </row>
    <row r="179">
      <c r="B179" s="97"/>
      <c r="C179" s="121" t="str">
        <f t="array" ref="C179">ifs(and(isblank($A179),isblank($B179)),"", not(iserror(vlookup($A179&amp;$B179,'5) Release_Track'!$F:$F&amp;'5) Release_Track'!$G:$G,1,0))),vlookup($A179&amp;$B179,{'5) Release_Track'!$F:$F&amp;'5) Release_Track'!$G:$G,'5) Release_Track'!$H:$H},2,0),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D179" s="121" t="str">
        <f t="array" ref="D179">ifs(and(isblank($A179),isblank($B179)),"", not(iserror(vlookup($A179&amp;$B179,'5) Release_Track'!$F:$F&amp;'5) Release_Track'!$G:$G,1,0))),vlookup($A179&amp;$B179,{'5) Release_Track'!$F:$F&amp;'5) Release_Track'!$G:$G,'5) Release_Track'!$I:$I},2,0),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E179" s="150" t="b">
        <v>0</v>
      </c>
      <c r="F179" s="150" t="b">
        <v>0</v>
      </c>
      <c r="G179" s="150" t="b">
        <v>0</v>
      </c>
      <c r="H179" s="150" t="b">
        <v>0</v>
      </c>
      <c r="I179" s="150" t="b">
        <v>0</v>
      </c>
      <c r="J179" s="150" t="b">
        <v>0</v>
      </c>
      <c r="K179" s="150" t="b">
        <v>0</v>
      </c>
      <c r="L179" s="8" t="b">
        <v>0</v>
      </c>
    </row>
    <row r="180">
      <c r="B180" s="97"/>
      <c r="C180" s="121" t="str">
        <f t="array" ref="C180">ifs(and(isblank($A180),isblank($B180)),"", not(iserror(vlookup($A180&amp;$B180,'5) Release_Track'!$F:$F&amp;'5) Release_Track'!$G:$G,1,0))),vlookup($A180&amp;$B180,{'5) Release_Track'!$F:$F&amp;'5) Release_Track'!$G:$G,'5) Release_Track'!$H:$H},2,0),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D180" s="121" t="str">
        <f t="array" ref="D180">ifs(and(isblank($A180),isblank($B180)),"", not(iserror(vlookup($A180&amp;$B180,'5) Release_Track'!$F:$F&amp;'5) Release_Track'!$G:$G,1,0))),vlookup($A180&amp;$B180,{'5) Release_Track'!$F:$F&amp;'5) Release_Track'!$G:$G,'5) Release_Track'!$I:$I},2,0),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E180" s="150" t="b">
        <v>0</v>
      </c>
      <c r="F180" s="150" t="b">
        <v>0</v>
      </c>
      <c r="G180" s="150" t="b">
        <v>0</v>
      </c>
      <c r="H180" s="150" t="b">
        <v>0</v>
      </c>
      <c r="I180" s="150" t="b">
        <v>0</v>
      </c>
      <c r="J180" s="150" t="b">
        <v>0</v>
      </c>
      <c r="K180" s="150" t="b">
        <v>0</v>
      </c>
      <c r="L180" s="8" t="b">
        <v>0</v>
      </c>
    </row>
    <row r="181">
      <c r="B181" s="97"/>
      <c r="C181" s="121" t="str">
        <f t="array" ref="C181">ifs(and(isblank($A181),isblank($B181)),"", not(iserror(vlookup($A181&amp;$B181,'5) Release_Track'!$F:$F&amp;'5) Release_Track'!$G:$G,1,0))),vlookup($A181&amp;$B181,{'5) Release_Track'!$F:$F&amp;'5) Release_Track'!$G:$G,'5) Release_Track'!$H:$H},2,0),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D181" s="121" t="str">
        <f t="array" ref="D181">ifs(and(isblank($A181),isblank($B181)),"", not(iserror(vlookup($A181&amp;$B181,'5) Release_Track'!$F:$F&amp;'5) Release_Track'!$G:$G,1,0))),vlookup($A181&amp;$B181,{'5) Release_Track'!$F:$F&amp;'5) Release_Track'!$G:$G,'5) Release_Track'!$I:$I},2,0),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E181" s="150" t="b">
        <v>0</v>
      </c>
      <c r="F181" s="150" t="b">
        <v>0</v>
      </c>
      <c r="G181" s="150" t="b">
        <v>0</v>
      </c>
      <c r="H181" s="150" t="b">
        <v>0</v>
      </c>
      <c r="I181" s="150" t="b">
        <v>0</v>
      </c>
      <c r="J181" s="150" t="b">
        <v>0</v>
      </c>
      <c r="K181" s="150" t="b">
        <v>0</v>
      </c>
      <c r="L181" s="8" t="b">
        <v>0</v>
      </c>
    </row>
    <row r="182">
      <c r="B182" s="97"/>
      <c r="C182" s="121" t="str">
        <f t="array" ref="C182">ifs(and(isblank($A182),isblank($B182)),"", not(iserror(vlookup($A182&amp;$B182,'5) Release_Track'!$F:$F&amp;'5) Release_Track'!$G:$G,1,0))),vlookup($A182&amp;$B182,{'5) Release_Track'!$F:$F&amp;'5) Release_Track'!$G:$G,'5) Release_Track'!$H:$H},2,0),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D182" s="121" t="str">
        <f t="array" ref="D182">ifs(and(isblank($A182),isblank($B182)),"", not(iserror(vlookup($A182&amp;$B182,'5) Release_Track'!$F:$F&amp;'5) Release_Track'!$G:$G,1,0))),vlookup($A182&amp;$B182,{'5) Release_Track'!$F:$F&amp;'5) Release_Track'!$G:$G,'5) Release_Track'!$I:$I},2,0),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E182" s="150" t="b">
        <v>0</v>
      </c>
      <c r="F182" s="150" t="b">
        <v>0</v>
      </c>
      <c r="G182" s="150" t="b">
        <v>0</v>
      </c>
      <c r="H182" s="150" t="b">
        <v>0</v>
      </c>
      <c r="I182" s="150" t="b">
        <v>0</v>
      </c>
      <c r="J182" s="150" t="b">
        <v>0</v>
      </c>
      <c r="K182" s="150" t="b">
        <v>0</v>
      </c>
      <c r="L182" s="8" t="b">
        <v>0</v>
      </c>
    </row>
    <row r="183">
      <c r="B183" s="97"/>
      <c r="C183" s="121" t="str">
        <f t="array" ref="C183">ifs(and(isblank($A183),isblank($B183)),"", not(iserror(vlookup($A183&amp;$B183,'5) Release_Track'!$F:$F&amp;'5) Release_Track'!$G:$G,1,0))),vlookup($A183&amp;$B183,{'5) Release_Track'!$F:$F&amp;'5) Release_Track'!$G:$G,'5) Release_Track'!$H:$H},2,0),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D183" s="121" t="str">
        <f t="array" ref="D183">ifs(and(isblank($A183),isblank($B183)),"", not(iserror(vlookup($A183&amp;$B183,'5) Release_Track'!$F:$F&amp;'5) Release_Track'!$G:$G,1,0))),vlookup($A183&amp;$B183,{'5) Release_Track'!$F:$F&amp;'5) Release_Track'!$G:$G,'5) Release_Track'!$I:$I},2,0),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E183" s="150" t="b">
        <v>0</v>
      </c>
      <c r="F183" s="150" t="b">
        <v>0</v>
      </c>
      <c r="G183" s="150" t="b">
        <v>0</v>
      </c>
      <c r="H183" s="150" t="b">
        <v>0</v>
      </c>
      <c r="I183" s="150" t="b">
        <v>0</v>
      </c>
      <c r="J183" s="150" t="b">
        <v>0</v>
      </c>
      <c r="K183" s="150" t="b">
        <v>0</v>
      </c>
      <c r="L183" s="8" t="b">
        <v>0</v>
      </c>
    </row>
    <row r="184">
      <c r="B184" s="97"/>
      <c r="C184" s="121" t="str">
        <f t="array" ref="C184">ifs(and(isblank($A184),isblank($B184)),"", not(iserror(vlookup($A184&amp;$B184,'5) Release_Track'!$F:$F&amp;'5) Release_Track'!$G:$G,1,0))),vlookup($A184&amp;$B184,{'5) Release_Track'!$F:$F&amp;'5) Release_Track'!$G:$G,'5) Release_Track'!$H:$H},2,0),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D184" s="121" t="str">
        <f t="array" ref="D184">ifs(and(isblank($A184),isblank($B184)),"", not(iserror(vlookup($A184&amp;$B184,'5) Release_Track'!$F:$F&amp;'5) Release_Track'!$G:$G,1,0))),vlookup($A184&amp;$B184,{'5) Release_Track'!$F:$F&amp;'5) Release_Track'!$G:$G,'5) Release_Track'!$I:$I},2,0),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E184" s="150" t="b">
        <v>0</v>
      </c>
      <c r="F184" s="150" t="b">
        <v>0</v>
      </c>
      <c r="G184" s="150" t="b">
        <v>0</v>
      </c>
      <c r="H184" s="150" t="b">
        <v>0</v>
      </c>
      <c r="I184" s="150" t="b">
        <v>0</v>
      </c>
      <c r="J184" s="150" t="b">
        <v>0</v>
      </c>
      <c r="K184" s="150" t="b">
        <v>0</v>
      </c>
      <c r="L184" s="8" t="b">
        <v>0</v>
      </c>
    </row>
    <row r="185">
      <c r="B185" s="97"/>
      <c r="C185" s="121" t="str">
        <f t="array" ref="C185">ifs(and(isblank($A185),isblank($B185)),"", not(iserror(vlookup($A185&amp;$B185,'5) Release_Track'!$F:$F&amp;'5) Release_Track'!$G:$G,1,0))),vlookup($A185&amp;$B185,{'5) Release_Track'!$F:$F&amp;'5) Release_Track'!$G:$G,'5) Release_Track'!$H:$H},2,0),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D185" s="121" t="str">
        <f t="array" ref="D185">ifs(and(isblank($A185),isblank($B185)),"", not(iserror(vlookup($A185&amp;$B185,'5) Release_Track'!$F:$F&amp;'5) Release_Track'!$G:$G,1,0))),vlookup($A185&amp;$B185,{'5) Release_Track'!$F:$F&amp;'5) Release_Track'!$G:$G,'5) Release_Track'!$I:$I},2,0),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E185" s="150" t="b">
        <v>0</v>
      </c>
      <c r="F185" s="150" t="b">
        <v>0</v>
      </c>
      <c r="G185" s="150" t="b">
        <v>0</v>
      </c>
      <c r="H185" s="150" t="b">
        <v>0</v>
      </c>
      <c r="I185" s="150" t="b">
        <v>0</v>
      </c>
      <c r="J185" s="150" t="b">
        <v>0</v>
      </c>
      <c r="K185" s="150" t="b">
        <v>0</v>
      </c>
      <c r="L185" s="8" t="b">
        <v>0</v>
      </c>
    </row>
    <row r="186">
      <c r="B186" s="97"/>
      <c r="C186" s="121" t="str">
        <f t="array" ref="C186">ifs(and(isblank($A186),isblank($B186)),"", not(iserror(vlookup($A186&amp;$B186,'5) Release_Track'!$F:$F&amp;'5) Release_Track'!$G:$G,1,0))),vlookup($A186&amp;$B186,{'5) Release_Track'!$F:$F&amp;'5) Release_Track'!$G:$G,'5) Release_Track'!$H:$H},2,0),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D186" s="121" t="str">
        <f t="array" ref="D186">ifs(and(isblank($A186),isblank($B186)),"", not(iserror(vlookup($A186&amp;$B186,'5) Release_Track'!$F:$F&amp;'5) Release_Track'!$G:$G,1,0))),vlookup($A186&amp;$B186,{'5) Release_Track'!$F:$F&amp;'5) Release_Track'!$G:$G,'5) Release_Track'!$I:$I},2,0),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E186" s="150" t="b">
        <v>0</v>
      </c>
      <c r="F186" s="150" t="b">
        <v>0</v>
      </c>
      <c r="G186" s="150" t="b">
        <v>0</v>
      </c>
      <c r="H186" s="150" t="b">
        <v>0</v>
      </c>
      <c r="I186" s="150" t="b">
        <v>0</v>
      </c>
      <c r="J186" s="150" t="b">
        <v>0</v>
      </c>
      <c r="K186" s="150" t="b">
        <v>0</v>
      </c>
      <c r="L186" s="8" t="b">
        <v>0</v>
      </c>
    </row>
    <row r="187">
      <c r="B187" s="97"/>
      <c r="C187" s="121" t="str">
        <f t="array" ref="C187">ifs(and(isblank($A187),isblank($B187)),"", not(iserror(vlookup($A187&amp;$B187,'5) Release_Track'!$F:$F&amp;'5) Release_Track'!$G:$G,1,0))),vlookup($A187&amp;$B187,{'5) Release_Track'!$F:$F&amp;'5) Release_Track'!$G:$G,'5) Release_Track'!$H:$H},2,0),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D187" s="121" t="str">
        <f t="array" ref="D187">ifs(and(isblank($A187),isblank($B187)),"", not(iserror(vlookup($A187&amp;$B187,'5) Release_Track'!$F:$F&amp;'5) Release_Track'!$G:$G,1,0))),vlookup($A187&amp;$B187,{'5) Release_Track'!$F:$F&amp;'5) Release_Track'!$G:$G,'5) Release_Track'!$I:$I},2,0),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E187" s="150" t="b">
        <v>0</v>
      </c>
      <c r="F187" s="150" t="b">
        <v>0</v>
      </c>
      <c r="G187" s="150" t="b">
        <v>0</v>
      </c>
      <c r="H187" s="150" t="b">
        <v>0</v>
      </c>
      <c r="I187" s="150" t="b">
        <v>0</v>
      </c>
      <c r="J187" s="150" t="b">
        <v>0</v>
      </c>
      <c r="K187" s="150" t="b">
        <v>0</v>
      </c>
      <c r="L187" s="8" t="b">
        <v>0</v>
      </c>
    </row>
    <row r="188">
      <c r="B188" s="97"/>
      <c r="C188" s="121" t="str">
        <f t="array" ref="C188">ifs(and(isblank($A188),isblank($B188)),"", not(iserror(vlookup($A188&amp;$B188,'5) Release_Track'!$F:$F&amp;'5) Release_Track'!$G:$G,1,0))),vlookup($A188&amp;$B188,{'5) Release_Track'!$F:$F&amp;'5) Release_Track'!$G:$G,'5) Release_Track'!$H:$H},2,0),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D188" s="121" t="str">
        <f t="array" ref="D188">ifs(and(isblank($A188),isblank($B188)),"", not(iserror(vlookup($A188&amp;$B188,'5) Release_Track'!$F:$F&amp;'5) Release_Track'!$G:$G,1,0))),vlookup($A188&amp;$B188,{'5) Release_Track'!$F:$F&amp;'5) Release_Track'!$G:$G,'5) Release_Track'!$I:$I},2,0),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E188" s="150" t="b">
        <v>0</v>
      </c>
      <c r="F188" s="150" t="b">
        <v>0</v>
      </c>
      <c r="G188" s="150" t="b">
        <v>0</v>
      </c>
      <c r="H188" s="150" t="b">
        <v>0</v>
      </c>
      <c r="I188" s="150" t="b">
        <v>0</v>
      </c>
      <c r="J188" s="150" t="b">
        <v>0</v>
      </c>
      <c r="K188" s="150" t="b">
        <v>0</v>
      </c>
      <c r="L188" s="8" t="b">
        <v>0</v>
      </c>
    </row>
    <row r="189">
      <c r="B189" s="97"/>
      <c r="C189" s="121" t="str">
        <f t="array" ref="C189">ifs(and(isblank($A189),isblank($B189)),"", not(iserror(vlookup($A189&amp;$B189,'5) Release_Track'!$F:$F&amp;'5) Release_Track'!$G:$G,1,0))),vlookup($A189&amp;$B189,{'5) Release_Track'!$F:$F&amp;'5) Release_Track'!$G:$G,'5) Release_Track'!$H:$H},2,0),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D189" s="121" t="str">
        <f t="array" ref="D189">ifs(and(isblank($A189),isblank($B189)),"", not(iserror(vlookup($A189&amp;$B189,'5) Release_Track'!$F:$F&amp;'5) Release_Track'!$G:$G,1,0))),vlookup($A189&amp;$B189,{'5) Release_Track'!$F:$F&amp;'5) Release_Track'!$G:$G,'5) Release_Track'!$I:$I},2,0),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E189" s="150" t="b">
        <v>0</v>
      </c>
      <c r="F189" s="150" t="b">
        <v>0</v>
      </c>
      <c r="G189" s="150" t="b">
        <v>0</v>
      </c>
      <c r="H189" s="150" t="b">
        <v>0</v>
      </c>
      <c r="I189" s="150" t="b">
        <v>0</v>
      </c>
      <c r="J189" s="150" t="b">
        <v>0</v>
      </c>
      <c r="K189" s="150" t="b">
        <v>0</v>
      </c>
      <c r="L189" s="8" t="b">
        <v>0</v>
      </c>
    </row>
    <row r="190">
      <c r="B190" s="97"/>
      <c r="C190" s="121" t="str">
        <f t="array" ref="C190">ifs(and(isblank($A190),isblank($B190)),"", not(iserror(vlookup($A190&amp;$B190,'5) Release_Track'!$F:$F&amp;'5) Release_Track'!$G:$G,1,0))),vlookup($A190&amp;$B190,{'5) Release_Track'!$F:$F&amp;'5) Release_Track'!$G:$G,'5) Release_Track'!$H:$H},2,0),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D190" s="121" t="str">
        <f t="array" ref="D190">ifs(and(isblank($A190),isblank($B190)),"", not(iserror(vlookup($A190&amp;$B190,'5) Release_Track'!$F:$F&amp;'5) Release_Track'!$G:$G,1,0))),vlookup($A190&amp;$B190,{'5) Release_Track'!$F:$F&amp;'5) Release_Track'!$G:$G,'5) Release_Track'!$I:$I},2,0),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E190" s="150" t="b">
        <v>0</v>
      </c>
      <c r="F190" s="150" t="b">
        <v>0</v>
      </c>
      <c r="G190" s="150" t="b">
        <v>0</v>
      </c>
      <c r="H190" s="150" t="b">
        <v>0</v>
      </c>
      <c r="I190" s="150" t="b">
        <v>0</v>
      </c>
      <c r="J190" s="150" t="b">
        <v>0</v>
      </c>
      <c r="K190" s="150" t="b">
        <v>0</v>
      </c>
      <c r="L190" s="8" t="b">
        <v>0</v>
      </c>
    </row>
    <row r="191">
      <c r="B191" s="97"/>
      <c r="C191" s="121" t="str">
        <f t="array" ref="C191">ifs(and(isblank($A191),isblank($B191)),"", not(iserror(vlookup($A191&amp;$B191,'5) Release_Track'!$F:$F&amp;'5) Release_Track'!$G:$G,1,0))),vlookup($A191&amp;$B191,{'5) Release_Track'!$F:$F&amp;'5) Release_Track'!$G:$G,'5) Release_Track'!$H:$H},2,0),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D191" s="121" t="str">
        <f t="array" ref="D191">ifs(and(isblank($A191),isblank($B191)),"", not(iserror(vlookup($A191&amp;$B191,'5) Release_Track'!$F:$F&amp;'5) Release_Track'!$G:$G,1,0))),vlookup($A191&amp;$B191,{'5) Release_Track'!$F:$F&amp;'5) Release_Track'!$G:$G,'5) Release_Track'!$I:$I},2,0),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E191" s="150" t="b">
        <v>0</v>
      </c>
      <c r="F191" s="150" t="b">
        <v>0</v>
      </c>
      <c r="G191" s="150" t="b">
        <v>0</v>
      </c>
      <c r="H191" s="150" t="b">
        <v>0</v>
      </c>
      <c r="I191" s="150" t="b">
        <v>0</v>
      </c>
      <c r="J191" s="150" t="b">
        <v>0</v>
      </c>
      <c r="K191" s="150" t="b">
        <v>0</v>
      </c>
      <c r="L191" s="8" t="b">
        <v>0</v>
      </c>
    </row>
    <row r="192">
      <c r="B192" s="97"/>
      <c r="C192" s="121" t="str">
        <f t="array" ref="C192">ifs(and(isblank($A192),isblank($B192)),"", not(iserror(vlookup($A192&amp;$B192,'5) Release_Track'!$F:$F&amp;'5) Release_Track'!$G:$G,1,0))),vlookup($A192&amp;$B192,{'5) Release_Track'!$F:$F&amp;'5) Release_Track'!$G:$G,'5) Release_Track'!$H:$H},2,0),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D192" s="121" t="str">
        <f t="array" ref="D192">ifs(and(isblank($A192),isblank($B192)),"", not(iserror(vlookup($A192&amp;$B192,'5) Release_Track'!$F:$F&amp;'5) Release_Track'!$G:$G,1,0))),vlookup($A192&amp;$B192,{'5) Release_Track'!$F:$F&amp;'5) Release_Track'!$G:$G,'5) Release_Track'!$I:$I},2,0),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E192" s="150" t="b">
        <v>0</v>
      </c>
      <c r="F192" s="150" t="b">
        <v>0</v>
      </c>
      <c r="G192" s="150" t="b">
        <v>0</v>
      </c>
      <c r="H192" s="150" t="b">
        <v>0</v>
      </c>
      <c r="I192" s="150" t="b">
        <v>0</v>
      </c>
      <c r="J192" s="150" t="b">
        <v>0</v>
      </c>
      <c r="K192" s="150" t="b">
        <v>0</v>
      </c>
      <c r="L192" s="8" t="b">
        <v>0</v>
      </c>
    </row>
    <row r="193">
      <c r="B193" s="97"/>
      <c r="C193" s="121" t="str">
        <f t="array" ref="C193">ifs(and(isblank($A193),isblank($B193)),"", not(iserror(vlookup($A193&amp;$B193,'5) Release_Track'!$F:$F&amp;'5) Release_Track'!$G:$G,1,0))),vlookup($A193&amp;$B193,{'5) Release_Track'!$F:$F&amp;'5) Release_Track'!$G:$G,'5) Release_Track'!$H:$H},2,0),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D193" s="121" t="str">
        <f t="array" ref="D193">ifs(and(isblank($A193),isblank($B193)),"", not(iserror(vlookup($A193&amp;$B193,'5) Release_Track'!$F:$F&amp;'5) Release_Track'!$G:$G,1,0))),vlookup($A193&amp;$B193,{'5) Release_Track'!$F:$F&amp;'5) Release_Track'!$G:$G,'5) Release_Track'!$I:$I},2,0),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E193" s="150" t="b">
        <v>0</v>
      </c>
      <c r="F193" s="150" t="b">
        <v>0</v>
      </c>
      <c r="G193" s="150" t="b">
        <v>0</v>
      </c>
      <c r="H193" s="150" t="b">
        <v>0</v>
      </c>
      <c r="I193" s="150" t="b">
        <v>0</v>
      </c>
      <c r="J193" s="150" t="b">
        <v>0</v>
      </c>
      <c r="K193" s="150" t="b">
        <v>0</v>
      </c>
      <c r="L193" s="8" t="b">
        <v>0</v>
      </c>
    </row>
    <row r="194">
      <c r="B194" s="97"/>
      <c r="C194" s="121" t="str">
        <f t="array" ref="C194">ifs(and(isblank($A194),isblank($B194)),"", not(iserror(vlookup($A194&amp;$B194,'5) Release_Track'!$F:$F&amp;'5) Release_Track'!$G:$G,1,0))),vlookup($A194&amp;$B194,{'5) Release_Track'!$F:$F&amp;'5) Release_Track'!$G:$G,'5) Release_Track'!$H:$H},2,0),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D194" s="121" t="str">
        <f t="array" ref="D194">ifs(and(isblank($A194),isblank($B194)),"", not(iserror(vlookup($A194&amp;$B194,'5) Release_Track'!$F:$F&amp;'5) Release_Track'!$G:$G,1,0))),vlookup($A194&amp;$B194,{'5) Release_Track'!$F:$F&amp;'5) Release_Track'!$G:$G,'5) Release_Track'!$I:$I},2,0),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E194" s="150" t="b">
        <v>0</v>
      </c>
      <c r="F194" s="150" t="b">
        <v>0</v>
      </c>
      <c r="G194" s="150" t="b">
        <v>0</v>
      </c>
      <c r="H194" s="150" t="b">
        <v>0</v>
      </c>
      <c r="I194" s="150" t="b">
        <v>0</v>
      </c>
      <c r="J194" s="150" t="b">
        <v>0</v>
      </c>
      <c r="K194" s="150" t="b">
        <v>0</v>
      </c>
      <c r="L194" s="8" t="b">
        <v>0</v>
      </c>
    </row>
    <row r="195">
      <c r="B195" s="97"/>
      <c r="C195" s="121" t="str">
        <f t="array" ref="C195">ifs(and(isblank($A195),isblank($B195)),"", not(iserror(vlookup($A195&amp;$B195,'5) Release_Track'!$F:$F&amp;'5) Release_Track'!$G:$G,1,0))),vlookup($A195&amp;$B195,{'5) Release_Track'!$F:$F&amp;'5) Release_Track'!$G:$G,'5) Release_Track'!$H:$H},2,0),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D195" s="121" t="str">
        <f t="array" ref="D195">ifs(and(isblank($A195),isblank($B195)),"", not(iserror(vlookup($A195&amp;$B195,'5) Release_Track'!$F:$F&amp;'5) Release_Track'!$G:$G,1,0))),vlookup($A195&amp;$B195,{'5) Release_Track'!$F:$F&amp;'5) Release_Track'!$G:$G,'5) Release_Track'!$I:$I},2,0),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E195" s="150" t="b">
        <v>0</v>
      </c>
      <c r="F195" s="150" t="b">
        <v>0</v>
      </c>
      <c r="G195" s="150" t="b">
        <v>0</v>
      </c>
      <c r="H195" s="150" t="b">
        <v>0</v>
      </c>
      <c r="I195" s="150" t="b">
        <v>0</v>
      </c>
      <c r="J195" s="150" t="b">
        <v>0</v>
      </c>
      <c r="K195" s="150" t="b">
        <v>0</v>
      </c>
      <c r="L195" s="8" t="b">
        <v>0</v>
      </c>
    </row>
    <row r="196">
      <c r="B196" s="97"/>
      <c r="C196" s="121" t="str">
        <f t="array" ref="C196">ifs(and(isblank($A196),isblank($B196)),"", not(iserror(vlookup($A196&amp;$B196,'5) Release_Track'!$F:$F&amp;'5) Release_Track'!$G:$G,1,0))),vlookup($A196&amp;$B196,{'5) Release_Track'!$F:$F&amp;'5) Release_Track'!$G:$G,'5) Release_Track'!$H:$H},2,0),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D196" s="121" t="str">
        <f t="array" ref="D196">ifs(and(isblank($A196),isblank($B196)),"", not(iserror(vlookup($A196&amp;$B196,'5) Release_Track'!$F:$F&amp;'5) Release_Track'!$G:$G,1,0))),vlookup($A196&amp;$B196,{'5) Release_Track'!$F:$F&amp;'5) Release_Track'!$G:$G,'5) Release_Track'!$I:$I},2,0),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E196" s="150" t="b">
        <v>0</v>
      </c>
      <c r="F196" s="150" t="b">
        <v>0</v>
      </c>
      <c r="G196" s="150" t="b">
        <v>0</v>
      </c>
      <c r="H196" s="150" t="b">
        <v>0</v>
      </c>
      <c r="I196" s="150" t="b">
        <v>0</v>
      </c>
      <c r="J196" s="150" t="b">
        <v>0</v>
      </c>
      <c r="K196" s="150" t="b">
        <v>0</v>
      </c>
      <c r="L196" s="8" t="b">
        <v>0</v>
      </c>
    </row>
    <row r="197">
      <c r="B197" s="97"/>
      <c r="C197" s="121" t="str">
        <f t="array" ref="C197">ifs(and(isblank($A197),isblank($B197)),"", not(iserror(vlookup($A197&amp;$B197,'5) Release_Track'!$F:$F&amp;'5) Release_Track'!$G:$G,1,0))),vlookup($A197&amp;$B197,{'5) Release_Track'!$F:$F&amp;'5) Release_Track'!$G:$G,'5) Release_Track'!$H:$H},2,0),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D197" s="121" t="str">
        <f t="array" ref="D197">ifs(and(isblank($A197),isblank($B197)),"", not(iserror(vlookup($A197&amp;$B197,'5) Release_Track'!$F:$F&amp;'5) Release_Track'!$G:$G,1,0))),vlookup($A197&amp;$B197,{'5) Release_Track'!$F:$F&amp;'5) Release_Track'!$G:$G,'5) Release_Track'!$I:$I},2,0),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E197" s="150" t="b">
        <v>0</v>
      </c>
      <c r="F197" s="150" t="b">
        <v>0</v>
      </c>
      <c r="G197" s="150" t="b">
        <v>0</v>
      </c>
      <c r="H197" s="150" t="b">
        <v>0</v>
      </c>
      <c r="I197" s="150" t="b">
        <v>0</v>
      </c>
      <c r="J197" s="150" t="b">
        <v>0</v>
      </c>
      <c r="K197" s="150" t="b">
        <v>0</v>
      </c>
      <c r="L197" s="8" t="b">
        <v>0</v>
      </c>
    </row>
    <row r="198">
      <c r="B198" s="97"/>
      <c r="C198" s="121" t="str">
        <f t="array" ref="C198">ifs(and(isblank($A198),isblank($B198)),"", not(iserror(vlookup($A198&amp;$B198,'5) Release_Track'!$F:$F&amp;'5) Release_Track'!$G:$G,1,0))),vlookup($A198&amp;$B198,{'5) Release_Track'!$F:$F&amp;'5) Release_Track'!$G:$G,'5) Release_Track'!$H:$H},2,0),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D198" s="121" t="str">
        <f t="array" ref="D198">ifs(and(isblank($A198),isblank($B198)),"", not(iserror(vlookup($A198&amp;$B198,'5) Release_Track'!$F:$F&amp;'5) Release_Track'!$G:$G,1,0))),vlookup($A198&amp;$B198,{'5) Release_Track'!$F:$F&amp;'5) Release_Track'!$G:$G,'5) Release_Track'!$I:$I},2,0),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E198" s="150" t="b">
        <v>0</v>
      </c>
      <c r="F198" s="150" t="b">
        <v>0</v>
      </c>
      <c r="G198" s="150" t="b">
        <v>0</v>
      </c>
      <c r="H198" s="150" t="b">
        <v>0</v>
      </c>
      <c r="I198" s="150" t="b">
        <v>0</v>
      </c>
      <c r="J198" s="150" t="b">
        <v>0</v>
      </c>
      <c r="K198" s="150" t="b">
        <v>0</v>
      </c>
      <c r="L198" s="8" t="b">
        <v>0</v>
      </c>
    </row>
    <row r="199">
      <c r="B199" s="97"/>
      <c r="C199" s="121" t="str">
        <f t="array" ref="C199">ifs(and(isblank($A199),isblank($B199)),"", not(iserror(vlookup($A199&amp;$B199,'5) Release_Track'!$F:$F&amp;'5) Release_Track'!$G:$G,1,0))),vlookup($A199&amp;$B199,{'5) Release_Track'!$F:$F&amp;'5) Release_Track'!$G:$G,'5) Release_Track'!$H:$H},2,0),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D199" s="121" t="str">
        <f t="array" ref="D199">ifs(and(isblank($A199),isblank($B199)),"", not(iserror(vlookup($A199&amp;$B199,'5) Release_Track'!$F:$F&amp;'5) Release_Track'!$G:$G,1,0))),vlookup($A199&amp;$B199,{'5) Release_Track'!$F:$F&amp;'5) Release_Track'!$G:$G,'5) Release_Track'!$I:$I},2,0),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E199" s="150" t="b">
        <v>0</v>
      </c>
      <c r="F199" s="150" t="b">
        <v>0</v>
      </c>
      <c r="G199" s="150" t="b">
        <v>0</v>
      </c>
      <c r="H199" s="150" t="b">
        <v>0</v>
      </c>
      <c r="I199" s="150" t="b">
        <v>0</v>
      </c>
      <c r="J199" s="150" t="b">
        <v>0</v>
      </c>
      <c r="K199" s="150" t="b">
        <v>0</v>
      </c>
      <c r="L199" s="8" t="b">
        <v>0</v>
      </c>
    </row>
    <row r="200">
      <c r="B200" s="97"/>
      <c r="C200" s="121" t="str">
        <f t="array" ref="C200">ifs(and(isblank($A200),isblank($B200)),"", not(iserror(vlookup($A200&amp;$B200,'5) Release_Track'!$F:$F&amp;'5) Release_Track'!$G:$G,1,0))),vlookup($A200&amp;$B200,{'5) Release_Track'!$F:$F&amp;'5) Release_Track'!$G:$G,'5) Release_Track'!$H:$H},2,0),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D200" s="121" t="str">
        <f t="array" ref="D200">ifs(and(isblank($A200),isblank($B200)),"", not(iserror(vlookup($A200&amp;$B200,'5) Release_Track'!$F:$F&amp;'5) Release_Track'!$G:$G,1,0))),vlookup($A200&amp;$B200,{'5) Release_Track'!$F:$F&amp;'5) Release_Track'!$G:$G,'5) Release_Track'!$I:$I},2,0),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E200" s="150" t="b">
        <v>0</v>
      </c>
      <c r="F200" s="150" t="b">
        <v>0</v>
      </c>
      <c r="G200" s="150" t="b">
        <v>0</v>
      </c>
      <c r="H200" s="150" t="b">
        <v>0</v>
      </c>
      <c r="I200" s="150" t="b">
        <v>0</v>
      </c>
      <c r="J200" s="150" t="b">
        <v>0</v>
      </c>
      <c r="K200" s="150" t="b">
        <v>0</v>
      </c>
      <c r="L200" s="8" t="b">
        <v>0</v>
      </c>
    </row>
    <row r="201">
      <c r="B201" s="97"/>
      <c r="C201" s="121" t="str">
        <f t="array" ref="C201">ifs(and(isblank($A201),isblank($B201)),"", not(iserror(vlookup($A201&amp;$B201,'5) Release_Track'!$F:$F&amp;'5) Release_Track'!$G:$G,1,0))),vlookup($A201&amp;$B201,{'5) Release_Track'!$F:$F&amp;'5) Release_Track'!$G:$G,'5) Release_Track'!$H:$H},2,0),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D201" s="121" t="str">
        <f t="array" ref="D201">ifs(and(isblank($A201),isblank($B201)),"", not(iserror(vlookup($A201&amp;$B201,'5) Release_Track'!$F:$F&amp;'5) Release_Track'!$G:$G,1,0))),vlookup($A201&amp;$B201,{'5) Release_Track'!$F:$F&amp;'5) Release_Track'!$G:$G,'5) Release_Track'!$I:$I},2,0),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E201" s="150" t="b">
        <v>0</v>
      </c>
      <c r="F201" s="150" t="b">
        <v>0</v>
      </c>
      <c r="G201" s="150" t="b">
        <v>0</v>
      </c>
      <c r="H201" s="150" t="b">
        <v>0</v>
      </c>
      <c r="I201" s="150" t="b">
        <v>0</v>
      </c>
      <c r="J201" s="150" t="b">
        <v>0</v>
      </c>
      <c r="K201" s="150" t="b">
        <v>0</v>
      </c>
      <c r="L201" s="8" t="b">
        <v>0</v>
      </c>
    </row>
    <row r="202">
      <c r="B202" s="97"/>
      <c r="C202" s="121" t="str">
        <f t="array" ref="C202">ifs(and(isblank($A202),isblank($B202)),"", not(iserror(vlookup($A202&amp;$B202,'5) Release_Track'!$F:$F&amp;'5) Release_Track'!$G:$G,1,0))),vlookup($A202&amp;$B202,{'5) Release_Track'!$F:$F&amp;'5) Release_Track'!$G:$G,'5) Release_Track'!$H:$H},2,0),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D202" s="121" t="str">
        <f t="array" ref="D202">ifs(and(isblank($A202),isblank($B202)),"", not(iserror(vlookup($A202&amp;$B202,'5) Release_Track'!$F:$F&amp;'5) Release_Track'!$G:$G,1,0))),vlookup($A202&amp;$B202,{'5) Release_Track'!$F:$F&amp;'5) Release_Track'!$G:$G,'5) Release_Track'!$I:$I},2,0),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E202" s="150" t="b">
        <v>0</v>
      </c>
      <c r="F202" s="150" t="b">
        <v>0</v>
      </c>
      <c r="G202" s="150" t="b">
        <v>0</v>
      </c>
      <c r="H202" s="150" t="b">
        <v>0</v>
      </c>
      <c r="I202" s="150" t="b">
        <v>0</v>
      </c>
      <c r="J202" s="150" t="b">
        <v>0</v>
      </c>
      <c r="K202" s="150" t="b">
        <v>0</v>
      </c>
      <c r="L202" s="8" t="b">
        <v>0</v>
      </c>
    </row>
    <row r="203">
      <c r="B203" s="97"/>
      <c r="C203" s="121" t="str">
        <f t="array" ref="C203">ifs(and(isblank($A203),isblank($B203)),"", not(iserror(vlookup($A203&amp;$B203,'5) Release_Track'!$F:$F&amp;'5) Release_Track'!$G:$G,1,0))),vlookup($A203&amp;$B203,{'5) Release_Track'!$F:$F&amp;'5) Release_Track'!$G:$G,'5) Release_Track'!$H:$H},2,0),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D203" s="121" t="str">
        <f t="array" ref="D203">ifs(and(isblank($A203),isblank($B203)),"", not(iserror(vlookup($A203&amp;$B203,'5) Release_Track'!$F:$F&amp;'5) Release_Track'!$G:$G,1,0))),vlookup($A203&amp;$B203,{'5) Release_Track'!$F:$F&amp;'5) Release_Track'!$G:$G,'5) Release_Track'!$I:$I},2,0),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E203" s="150" t="b">
        <v>0</v>
      </c>
      <c r="F203" s="150" t="b">
        <v>0</v>
      </c>
      <c r="G203" s="150" t="b">
        <v>0</v>
      </c>
      <c r="H203" s="150" t="b">
        <v>0</v>
      </c>
      <c r="I203" s="150" t="b">
        <v>0</v>
      </c>
      <c r="J203" s="150" t="b">
        <v>0</v>
      </c>
      <c r="K203" s="150" t="b">
        <v>0</v>
      </c>
      <c r="L203" s="8" t="b">
        <v>0</v>
      </c>
    </row>
    <row r="204">
      <c r="B204" s="97"/>
      <c r="C204" s="121" t="str">
        <f t="array" ref="C204">ifs(and(isblank($A204),isblank($B204)),"", not(iserror(vlookup($A204&amp;$B204,'5) Release_Track'!$F:$F&amp;'5) Release_Track'!$G:$G,1,0))),vlookup($A204&amp;$B204,{'5) Release_Track'!$F:$F&amp;'5) Release_Track'!$G:$G,'5) Release_Track'!$H:$H},2,0),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D204" s="121" t="str">
        <f t="array" ref="D204">ifs(and(isblank($A204),isblank($B204)),"", not(iserror(vlookup($A204&amp;$B204,'5) Release_Track'!$F:$F&amp;'5) Release_Track'!$G:$G,1,0))),vlookup($A204&amp;$B204,{'5) Release_Track'!$F:$F&amp;'5) Release_Track'!$G:$G,'5) Release_Track'!$I:$I},2,0),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E204" s="150" t="b">
        <v>0</v>
      </c>
      <c r="F204" s="150" t="b">
        <v>0</v>
      </c>
      <c r="G204" s="150" t="b">
        <v>0</v>
      </c>
      <c r="H204" s="150" t="b">
        <v>0</v>
      </c>
      <c r="I204" s="150" t="b">
        <v>0</v>
      </c>
      <c r="J204" s="150" t="b">
        <v>0</v>
      </c>
      <c r="K204" s="150" t="b">
        <v>0</v>
      </c>
      <c r="L204" s="8" t="b">
        <v>0</v>
      </c>
    </row>
    <row r="205">
      <c r="B205" s="97"/>
      <c r="C205" s="121" t="str">
        <f t="array" ref="C205">ifs(and(isblank($A205),isblank($B205)),"", not(iserror(vlookup($A205&amp;$B205,'5) Release_Track'!$F:$F&amp;'5) Release_Track'!$G:$G,1,0))),vlookup($A205&amp;$B205,{'5) Release_Track'!$F:$F&amp;'5) Release_Track'!$G:$G,'5) Release_Track'!$H:$H},2,0),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D205" s="121" t="str">
        <f t="array" ref="D205">ifs(and(isblank($A205),isblank($B205)),"", not(iserror(vlookup($A205&amp;$B205,'5) Release_Track'!$F:$F&amp;'5) Release_Track'!$G:$G,1,0))),vlookup($A205&amp;$B205,{'5) Release_Track'!$F:$F&amp;'5) Release_Track'!$G:$G,'5) Release_Track'!$I:$I},2,0),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E205" s="150" t="b">
        <v>0</v>
      </c>
      <c r="F205" s="150" t="b">
        <v>0</v>
      </c>
      <c r="G205" s="150" t="b">
        <v>0</v>
      </c>
      <c r="H205" s="150" t="b">
        <v>0</v>
      </c>
      <c r="I205" s="150" t="b">
        <v>0</v>
      </c>
      <c r="J205" s="150" t="b">
        <v>0</v>
      </c>
      <c r="K205" s="150" t="b">
        <v>0</v>
      </c>
      <c r="L205" s="8" t="b">
        <v>0</v>
      </c>
    </row>
    <row r="206">
      <c r="B206" s="97"/>
      <c r="C206" s="121" t="str">
        <f t="array" ref="C206">ifs(and(isblank($A206),isblank($B206)),"", not(iserror(vlookup($A206&amp;$B206,'5) Release_Track'!$F:$F&amp;'5) Release_Track'!$G:$G,1,0))),vlookup($A206&amp;$B206,{'5) Release_Track'!$F:$F&amp;'5) Release_Track'!$G:$G,'5) Release_Track'!$H:$H},2,0),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D206" s="121" t="str">
        <f t="array" ref="D206">ifs(and(isblank($A206),isblank($B206)),"", not(iserror(vlookup($A206&amp;$B206,'5) Release_Track'!$F:$F&amp;'5) Release_Track'!$G:$G,1,0))),vlookup($A206&amp;$B206,{'5) Release_Track'!$F:$F&amp;'5) Release_Track'!$G:$G,'5) Release_Track'!$I:$I},2,0),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E206" s="150" t="b">
        <v>0</v>
      </c>
      <c r="F206" s="150" t="b">
        <v>0</v>
      </c>
      <c r="G206" s="150" t="b">
        <v>0</v>
      </c>
      <c r="H206" s="150" t="b">
        <v>0</v>
      </c>
      <c r="I206" s="150" t="b">
        <v>0</v>
      </c>
      <c r="J206" s="150" t="b">
        <v>0</v>
      </c>
      <c r="K206" s="150" t="b">
        <v>0</v>
      </c>
      <c r="L206" s="8" t="b">
        <v>0</v>
      </c>
    </row>
    <row r="207">
      <c r="B207" s="97"/>
      <c r="C207" s="121" t="str">
        <f t="array" ref="C207">ifs(and(isblank($A207),isblank($B207)),"", not(iserror(vlookup($A207&amp;$B207,'5) Release_Track'!$F:$F&amp;'5) Release_Track'!$G:$G,1,0))),vlookup($A207&amp;$B207,{'5) Release_Track'!$F:$F&amp;'5) Release_Track'!$G:$G,'5) Release_Track'!$H:$H},2,0),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D207" s="121" t="str">
        <f t="array" ref="D207">ifs(and(isblank($A207),isblank($B207)),"", not(iserror(vlookup($A207&amp;$B207,'5) Release_Track'!$F:$F&amp;'5) Release_Track'!$G:$G,1,0))),vlookup($A207&amp;$B207,{'5) Release_Track'!$F:$F&amp;'5) Release_Track'!$G:$G,'5) Release_Track'!$I:$I},2,0),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E207" s="150" t="b">
        <v>0</v>
      </c>
      <c r="F207" s="150" t="b">
        <v>0</v>
      </c>
      <c r="G207" s="150" t="b">
        <v>0</v>
      </c>
      <c r="H207" s="150" t="b">
        <v>0</v>
      </c>
      <c r="I207" s="150" t="b">
        <v>0</v>
      </c>
      <c r="J207" s="150" t="b">
        <v>0</v>
      </c>
      <c r="K207" s="150" t="b">
        <v>0</v>
      </c>
      <c r="L207" s="8" t="b">
        <v>0</v>
      </c>
    </row>
    <row r="208">
      <c r="B208" s="97"/>
      <c r="C208" s="121" t="str">
        <f t="array" ref="C208">ifs(and(isblank($A208),isblank($B208)),"", not(iserror(vlookup($A208&amp;$B208,'5) Release_Track'!$F:$F&amp;'5) Release_Track'!$G:$G,1,0))),vlookup($A208&amp;$B208,{'5) Release_Track'!$F:$F&amp;'5) Release_Track'!$G:$G,'5) Release_Track'!$H:$H},2,0),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D208" s="121" t="str">
        <f t="array" ref="D208">ifs(and(isblank($A208),isblank($B208)),"", not(iserror(vlookup($A208&amp;$B208,'5) Release_Track'!$F:$F&amp;'5) Release_Track'!$G:$G,1,0))),vlookup($A208&amp;$B208,{'5) Release_Track'!$F:$F&amp;'5) Release_Track'!$G:$G,'5) Release_Track'!$I:$I},2,0),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E208" s="150" t="b">
        <v>0</v>
      </c>
      <c r="F208" s="150" t="b">
        <v>0</v>
      </c>
      <c r="G208" s="150" t="b">
        <v>0</v>
      </c>
      <c r="H208" s="150" t="b">
        <v>0</v>
      </c>
      <c r="I208" s="150" t="b">
        <v>0</v>
      </c>
      <c r="J208" s="150" t="b">
        <v>0</v>
      </c>
      <c r="K208" s="150" t="b">
        <v>0</v>
      </c>
      <c r="L208" s="8" t="b">
        <v>0</v>
      </c>
    </row>
    <row r="209">
      <c r="B209" s="97"/>
      <c r="C209" s="121" t="str">
        <f t="array" ref="C209">ifs(and(isblank($A209),isblank($B209)),"", not(iserror(vlookup($A209&amp;$B209,'5) Release_Track'!$F:$F&amp;'5) Release_Track'!$G:$G,1,0))),vlookup($A209&amp;$B209,{'5) Release_Track'!$F:$F&amp;'5) Release_Track'!$G:$G,'5) Release_Track'!$H:$H},2,0),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D209" s="121" t="str">
        <f t="array" ref="D209">ifs(and(isblank($A209),isblank($B209)),"", not(iserror(vlookup($A209&amp;$B209,'5) Release_Track'!$F:$F&amp;'5) Release_Track'!$G:$G,1,0))),vlookup($A209&amp;$B209,{'5) Release_Track'!$F:$F&amp;'5) Release_Track'!$G:$G,'5) Release_Track'!$I:$I},2,0),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E209" s="150" t="b">
        <v>0</v>
      </c>
      <c r="F209" s="150" t="b">
        <v>0</v>
      </c>
      <c r="G209" s="150" t="b">
        <v>0</v>
      </c>
      <c r="H209" s="150" t="b">
        <v>0</v>
      </c>
      <c r="I209" s="150" t="b">
        <v>0</v>
      </c>
      <c r="J209" s="150" t="b">
        <v>0</v>
      </c>
      <c r="K209" s="150" t="b">
        <v>0</v>
      </c>
      <c r="L209" s="8" t="b">
        <v>0</v>
      </c>
    </row>
    <row r="210">
      <c r="B210" s="97"/>
      <c r="C210" s="121" t="str">
        <f t="array" ref="C210">ifs(and(isblank($A210),isblank($B210)),"", not(iserror(vlookup($A210&amp;$B210,'5) Release_Track'!$F:$F&amp;'5) Release_Track'!$G:$G,1,0))),vlookup($A210&amp;$B210,{'5) Release_Track'!$F:$F&amp;'5) Release_Track'!$G:$G,'5) Release_Track'!$H:$H},2,0),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D210" s="121" t="str">
        <f t="array" ref="D210">ifs(and(isblank($A210),isblank($B210)),"", not(iserror(vlookup($A210&amp;$B210,'5) Release_Track'!$F:$F&amp;'5) Release_Track'!$G:$G,1,0))),vlookup($A210&amp;$B210,{'5) Release_Track'!$F:$F&amp;'5) Release_Track'!$G:$G,'5) Release_Track'!$I:$I},2,0),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E210" s="150" t="b">
        <v>0</v>
      </c>
      <c r="F210" s="150" t="b">
        <v>0</v>
      </c>
      <c r="G210" s="150" t="b">
        <v>0</v>
      </c>
      <c r="H210" s="150" t="b">
        <v>0</v>
      </c>
      <c r="I210" s="150" t="b">
        <v>0</v>
      </c>
      <c r="J210" s="150" t="b">
        <v>0</v>
      </c>
      <c r="K210" s="150" t="b">
        <v>0</v>
      </c>
      <c r="L210" s="8" t="b">
        <v>0</v>
      </c>
    </row>
    <row r="211">
      <c r="B211" s="97"/>
      <c r="C211" s="121" t="str">
        <f t="array" ref="C211">ifs(and(isblank($A211),isblank($B211)),"", not(iserror(vlookup($A211&amp;$B211,'5) Release_Track'!$F:$F&amp;'5) Release_Track'!$G:$G,1,0))),vlookup($A211&amp;$B211,{'5) Release_Track'!$F:$F&amp;'5) Release_Track'!$G:$G,'5) Release_Track'!$H:$H},2,0),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D211" s="121" t="str">
        <f t="array" ref="D211">ifs(and(isblank($A211),isblank($B211)),"", not(iserror(vlookup($A211&amp;$B211,'5) Release_Track'!$F:$F&amp;'5) Release_Track'!$G:$G,1,0))),vlookup($A211&amp;$B211,{'5) Release_Track'!$F:$F&amp;'5) Release_Track'!$G:$G,'5) Release_Track'!$I:$I},2,0),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E211" s="150" t="b">
        <v>0</v>
      </c>
      <c r="F211" s="150" t="b">
        <v>0</v>
      </c>
      <c r="G211" s="150" t="b">
        <v>0</v>
      </c>
      <c r="H211" s="150" t="b">
        <v>0</v>
      </c>
      <c r="I211" s="150" t="b">
        <v>0</v>
      </c>
      <c r="J211" s="150" t="b">
        <v>0</v>
      </c>
      <c r="K211" s="150" t="b">
        <v>0</v>
      </c>
      <c r="L211" s="8" t="b">
        <v>0</v>
      </c>
    </row>
    <row r="212">
      <c r="B212" s="97"/>
      <c r="C212" s="121" t="str">
        <f t="array" ref="C212">ifs(and(isblank($A212),isblank($B212)),"", not(iserror(vlookup($A212&amp;$B212,'5) Release_Track'!$F:$F&amp;'5) Release_Track'!$G:$G,1,0))),vlookup($A212&amp;$B212,{'5) Release_Track'!$F:$F&amp;'5) Release_Track'!$G:$G,'5) Release_Track'!$H:$H},2,0),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D212" s="121" t="str">
        <f t="array" ref="D212">ifs(and(isblank($A212),isblank($B212)),"", not(iserror(vlookup($A212&amp;$B212,'5) Release_Track'!$F:$F&amp;'5) Release_Track'!$G:$G,1,0))),vlookup($A212&amp;$B212,{'5) Release_Track'!$F:$F&amp;'5) Release_Track'!$G:$G,'5) Release_Track'!$I:$I},2,0),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E212" s="150" t="b">
        <v>0</v>
      </c>
      <c r="F212" s="150" t="b">
        <v>0</v>
      </c>
      <c r="G212" s="150" t="b">
        <v>0</v>
      </c>
      <c r="H212" s="150" t="b">
        <v>0</v>
      </c>
      <c r="I212" s="150" t="b">
        <v>0</v>
      </c>
      <c r="J212" s="150" t="b">
        <v>0</v>
      </c>
      <c r="K212" s="150" t="b">
        <v>0</v>
      </c>
      <c r="L212" s="8" t="b">
        <v>0</v>
      </c>
    </row>
    <row r="213">
      <c r="B213" s="97"/>
      <c r="C213" s="121" t="str">
        <f t="array" ref="C213">ifs(and(isblank($A213),isblank($B213)),"", not(iserror(vlookup($A213&amp;$B213,'5) Release_Track'!$F:$F&amp;'5) Release_Track'!$G:$G,1,0))),vlookup($A213&amp;$B213,{'5) Release_Track'!$F:$F&amp;'5) Release_Track'!$G:$G,'5) Release_Track'!$H:$H},2,0),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D213" s="121" t="str">
        <f t="array" ref="D213">ifs(and(isblank($A213),isblank($B213)),"", not(iserror(vlookup($A213&amp;$B213,'5) Release_Track'!$F:$F&amp;'5) Release_Track'!$G:$G,1,0))),vlookup($A213&amp;$B213,{'5) Release_Track'!$F:$F&amp;'5) Release_Track'!$G:$G,'5) Release_Track'!$I:$I},2,0),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E213" s="150" t="b">
        <v>0</v>
      </c>
      <c r="F213" s="150" t="b">
        <v>0</v>
      </c>
      <c r="G213" s="150" t="b">
        <v>0</v>
      </c>
      <c r="H213" s="150" t="b">
        <v>0</v>
      </c>
      <c r="I213" s="150" t="b">
        <v>0</v>
      </c>
      <c r="J213" s="150" t="b">
        <v>0</v>
      </c>
      <c r="K213" s="150" t="b">
        <v>0</v>
      </c>
      <c r="L213" s="8" t="b">
        <v>0</v>
      </c>
    </row>
    <row r="214">
      <c r="B214" s="97"/>
      <c r="C214" s="121" t="str">
        <f t="array" ref="C214">ifs(and(isblank($A214),isblank($B214)),"", not(iserror(vlookup($A214&amp;$B214,'5) Release_Track'!$F:$F&amp;'5) Release_Track'!$G:$G,1,0))),vlookup($A214&amp;$B214,{'5) Release_Track'!$F:$F&amp;'5) Release_Track'!$G:$G,'5) Release_Track'!$H:$H},2,0),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D214" s="121" t="str">
        <f t="array" ref="D214">ifs(and(isblank($A214),isblank($B214)),"", not(iserror(vlookup($A214&amp;$B214,'5) Release_Track'!$F:$F&amp;'5) Release_Track'!$G:$G,1,0))),vlookup($A214&amp;$B214,{'5) Release_Track'!$F:$F&amp;'5) Release_Track'!$G:$G,'5) Release_Track'!$I:$I},2,0),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E214" s="150" t="b">
        <v>0</v>
      </c>
      <c r="F214" s="150" t="b">
        <v>0</v>
      </c>
      <c r="G214" s="150" t="b">
        <v>0</v>
      </c>
      <c r="H214" s="150" t="b">
        <v>0</v>
      </c>
      <c r="I214" s="150" t="b">
        <v>0</v>
      </c>
      <c r="J214" s="150" t="b">
        <v>0</v>
      </c>
      <c r="K214" s="150" t="b">
        <v>0</v>
      </c>
      <c r="L214" s="8" t="b">
        <v>0</v>
      </c>
    </row>
    <row r="215">
      <c r="B215" s="97"/>
      <c r="C215" s="121" t="str">
        <f t="array" ref="C215">ifs(and(isblank($A215),isblank($B215)),"", not(iserror(vlookup($A215&amp;$B215,'5) Release_Track'!$F:$F&amp;'5) Release_Track'!$G:$G,1,0))),vlookup($A215&amp;$B215,{'5) Release_Track'!$F:$F&amp;'5) Release_Track'!$G:$G,'5) Release_Track'!$H:$H},2,0),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D215" s="121" t="str">
        <f t="array" ref="D215">ifs(and(isblank($A215),isblank($B215)),"", not(iserror(vlookup($A215&amp;$B215,'5) Release_Track'!$F:$F&amp;'5) Release_Track'!$G:$G,1,0))),vlookup($A215&amp;$B215,{'5) Release_Track'!$F:$F&amp;'5) Release_Track'!$G:$G,'5) Release_Track'!$I:$I},2,0),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E215" s="150" t="b">
        <v>0</v>
      </c>
      <c r="F215" s="150" t="b">
        <v>0</v>
      </c>
      <c r="G215" s="150" t="b">
        <v>0</v>
      </c>
      <c r="H215" s="150" t="b">
        <v>0</v>
      </c>
      <c r="I215" s="150" t="b">
        <v>0</v>
      </c>
      <c r="J215" s="150" t="b">
        <v>0</v>
      </c>
      <c r="K215" s="150" t="b">
        <v>0</v>
      </c>
      <c r="L215" s="8" t="b">
        <v>0</v>
      </c>
    </row>
    <row r="216">
      <c r="B216" s="97"/>
      <c r="C216" s="121" t="str">
        <f t="array" ref="C216">ifs(and(isblank($A216),isblank($B216)),"", not(iserror(vlookup($A216&amp;$B216,'5) Release_Track'!$F:$F&amp;'5) Release_Track'!$G:$G,1,0))),vlookup($A216&amp;$B216,{'5) Release_Track'!$F:$F&amp;'5) Release_Track'!$G:$G,'5) Release_Track'!$H:$H},2,0),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D216" s="121" t="str">
        <f t="array" ref="D216">ifs(and(isblank($A216),isblank($B216)),"", not(iserror(vlookup($A216&amp;$B216,'5) Release_Track'!$F:$F&amp;'5) Release_Track'!$G:$G,1,0))),vlookup($A216&amp;$B216,{'5) Release_Track'!$F:$F&amp;'5) Release_Track'!$G:$G,'5) Release_Track'!$I:$I},2,0),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E216" s="150" t="b">
        <v>0</v>
      </c>
      <c r="F216" s="150" t="b">
        <v>0</v>
      </c>
      <c r="G216" s="150" t="b">
        <v>0</v>
      </c>
      <c r="H216" s="150" t="b">
        <v>0</v>
      </c>
      <c r="I216" s="150" t="b">
        <v>0</v>
      </c>
      <c r="J216" s="150" t="b">
        <v>0</v>
      </c>
      <c r="K216" s="150" t="b">
        <v>0</v>
      </c>
      <c r="L216" s="8" t="b">
        <v>0</v>
      </c>
    </row>
    <row r="217">
      <c r="B217" s="97"/>
      <c r="C217" s="121" t="str">
        <f t="array" ref="C217">ifs(and(isblank($A217),isblank($B217)),"", not(iserror(vlookup($A217&amp;$B217,'5) Release_Track'!$F:$F&amp;'5) Release_Track'!$G:$G,1,0))),vlookup($A217&amp;$B217,{'5) Release_Track'!$F:$F&amp;'5) Release_Track'!$G:$G,'5) Release_Track'!$H:$H},2,0),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D217" s="121" t="str">
        <f t="array" ref="D217">ifs(and(isblank($A217),isblank($B217)),"", not(iserror(vlookup($A217&amp;$B217,'5) Release_Track'!$F:$F&amp;'5) Release_Track'!$G:$G,1,0))),vlookup($A217&amp;$B217,{'5) Release_Track'!$F:$F&amp;'5) Release_Track'!$G:$G,'5) Release_Track'!$I:$I},2,0),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E217" s="150" t="b">
        <v>0</v>
      </c>
      <c r="F217" s="150" t="b">
        <v>0</v>
      </c>
      <c r="G217" s="150" t="b">
        <v>0</v>
      </c>
      <c r="H217" s="150" t="b">
        <v>0</v>
      </c>
      <c r="I217" s="150" t="b">
        <v>0</v>
      </c>
      <c r="J217" s="150" t="b">
        <v>0</v>
      </c>
      <c r="K217" s="150" t="b">
        <v>0</v>
      </c>
      <c r="L217" s="8" t="b">
        <v>0</v>
      </c>
    </row>
    <row r="218">
      <c r="B218" s="97"/>
      <c r="C218" s="121" t="str">
        <f t="array" ref="C218">ifs(and(isblank($A218),isblank($B218)),"", not(iserror(vlookup($A218&amp;$B218,'5) Release_Track'!$F:$F&amp;'5) Release_Track'!$G:$G,1,0))),vlookup($A218&amp;$B218,{'5) Release_Track'!$F:$F&amp;'5) Release_Track'!$G:$G,'5) Release_Track'!$H:$H},2,0),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D218" s="121" t="str">
        <f t="array" ref="D218">ifs(and(isblank($A218),isblank($B218)),"", not(iserror(vlookup($A218&amp;$B218,'5) Release_Track'!$F:$F&amp;'5) Release_Track'!$G:$G,1,0))),vlookup($A218&amp;$B218,{'5) Release_Track'!$F:$F&amp;'5) Release_Track'!$G:$G,'5) Release_Track'!$I:$I},2,0),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E218" s="150" t="b">
        <v>0</v>
      </c>
      <c r="F218" s="150" t="b">
        <v>0</v>
      </c>
      <c r="G218" s="150" t="b">
        <v>0</v>
      </c>
      <c r="H218" s="150" t="b">
        <v>0</v>
      </c>
      <c r="I218" s="150" t="b">
        <v>0</v>
      </c>
      <c r="J218" s="150" t="b">
        <v>0</v>
      </c>
      <c r="K218" s="150" t="b">
        <v>0</v>
      </c>
      <c r="L218" s="8" t="b">
        <v>0</v>
      </c>
    </row>
    <row r="219">
      <c r="B219" s="97"/>
      <c r="C219" s="121" t="str">
        <f t="array" ref="C219">ifs(and(isblank($A219),isblank($B219)),"", not(iserror(vlookup($A219&amp;$B219,'5) Release_Track'!$F:$F&amp;'5) Release_Track'!$G:$G,1,0))),vlookup($A219&amp;$B219,{'5) Release_Track'!$F:$F&amp;'5) Release_Track'!$G:$G,'5) Release_Track'!$H:$H},2,0),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D219" s="121" t="str">
        <f t="array" ref="D219">ifs(and(isblank($A219),isblank($B219)),"", not(iserror(vlookup($A219&amp;$B219,'5) Release_Track'!$F:$F&amp;'5) Release_Track'!$G:$G,1,0))),vlookup($A219&amp;$B219,{'5) Release_Track'!$F:$F&amp;'5) Release_Track'!$G:$G,'5) Release_Track'!$I:$I},2,0),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E219" s="150" t="b">
        <v>0</v>
      </c>
      <c r="F219" s="150" t="b">
        <v>0</v>
      </c>
      <c r="G219" s="150" t="b">
        <v>0</v>
      </c>
      <c r="H219" s="150" t="b">
        <v>0</v>
      </c>
      <c r="I219" s="150" t="b">
        <v>0</v>
      </c>
      <c r="J219" s="150" t="b">
        <v>0</v>
      </c>
      <c r="K219" s="150" t="b">
        <v>0</v>
      </c>
      <c r="L219" s="8" t="b">
        <v>0</v>
      </c>
    </row>
    <row r="220">
      <c r="B220" s="97"/>
      <c r="C220" s="121" t="str">
        <f t="array" ref="C220">ifs(and(isblank($A220),isblank($B220)),"", not(iserror(vlookup($A220&amp;$B220,'5) Release_Track'!$F:$F&amp;'5) Release_Track'!$G:$G,1,0))),vlookup($A220&amp;$B220,{'5) Release_Track'!$F:$F&amp;'5) Release_Track'!$G:$G,'5) Release_Track'!$H:$H},2,0),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D220" s="121" t="str">
        <f t="array" ref="D220">ifs(and(isblank($A220),isblank($B220)),"", not(iserror(vlookup($A220&amp;$B220,'5) Release_Track'!$F:$F&amp;'5) Release_Track'!$G:$G,1,0))),vlookup($A220&amp;$B220,{'5) Release_Track'!$F:$F&amp;'5) Release_Track'!$G:$G,'5) Release_Track'!$I:$I},2,0),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E220" s="150" t="b">
        <v>0</v>
      </c>
      <c r="F220" s="150" t="b">
        <v>0</v>
      </c>
      <c r="G220" s="150" t="b">
        <v>0</v>
      </c>
      <c r="H220" s="150" t="b">
        <v>0</v>
      </c>
      <c r="I220" s="150" t="b">
        <v>0</v>
      </c>
      <c r="J220" s="150" t="b">
        <v>0</v>
      </c>
      <c r="K220" s="150" t="b">
        <v>0</v>
      </c>
      <c r="L220" s="8" t="b">
        <v>0</v>
      </c>
    </row>
    <row r="221">
      <c r="B221" s="97"/>
      <c r="C221" s="121" t="str">
        <f t="array" ref="C221">ifs(and(isblank($A221),isblank($B221)),"", not(iserror(vlookup($A221&amp;$B221,'5) Release_Track'!$F:$F&amp;'5) Release_Track'!$G:$G,1,0))),vlookup($A221&amp;$B221,{'5) Release_Track'!$F:$F&amp;'5) Release_Track'!$G:$G,'5) Release_Track'!$H:$H},2,0),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D221" s="121" t="str">
        <f t="array" ref="D221">ifs(and(isblank($A221),isblank($B221)),"", not(iserror(vlookup($A221&amp;$B221,'5) Release_Track'!$F:$F&amp;'5) Release_Track'!$G:$G,1,0))),vlookup($A221&amp;$B221,{'5) Release_Track'!$F:$F&amp;'5) Release_Track'!$G:$G,'5) Release_Track'!$I:$I},2,0),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E221" s="150" t="b">
        <v>0</v>
      </c>
      <c r="F221" s="150" t="b">
        <v>0</v>
      </c>
      <c r="G221" s="150" t="b">
        <v>0</v>
      </c>
      <c r="H221" s="150" t="b">
        <v>0</v>
      </c>
      <c r="I221" s="150" t="b">
        <v>0</v>
      </c>
      <c r="J221" s="150" t="b">
        <v>0</v>
      </c>
      <c r="K221" s="150" t="b">
        <v>0</v>
      </c>
      <c r="L221" s="8" t="b">
        <v>0</v>
      </c>
    </row>
    <row r="222">
      <c r="B222" s="97"/>
      <c r="C222" s="121" t="str">
        <f t="array" ref="C222">ifs(and(isblank($A222),isblank($B222)),"", not(iserror(vlookup($A222&amp;$B222,'5) Release_Track'!$F:$F&amp;'5) Release_Track'!$G:$G,1,0))),vlookup($A222&amp;$B222,{'5) Release_Track'!$F:$F&amp;'5) Release_Track'!$G:$G,'5) Release_Track'!$H:$H},2,0),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D222" s="121" t="str">
        <f t="array" ref="D222">ifs(and(isblank($A222),isblank($B222)),"", not(iserror(vlookup($A222&amp;$B222,'5) Release_Track'!$F:$F&amp;'5) Release_Track'!$G:$G,1,0))),vlookup($A222&amp;$B222,{'5) Release_Track'!$F:$F&amp;'5) Release_Track'!$G:$G,'5) Release_Track'!$I:$I},2,0),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E222" s="150" t="b">
        <v>0</v>
      </c>
      <c r="F222" s="150" t="b">
        <v>0</v>
      </c>
      <c r="G222" s="150" t="b">
        <v>0</v>
      </c>
      <c r="H222" s="150" t="b">
        <v>0</v>
      </c>
      <c r="I222" s="150" t="b">
        <v>0</v>
      </c>
      <c r="J222" s="150" t="b">
        <v>0</v>
      </c>
      <c r="K222" s="150" t="b">
        <v>0</v>
      </c>
      <c r="L222" s="8" t="b">
        <v>0</v>
      </c>
    </row>
    <row r="223">
      <c r="B223" s="97"/>
      <c r="C223" s="121" t="str">
        <f t="array" ref="C223">ifs(and(isblank($A223),isblank($B223)),"", not(iserror(vlookup($A223&amp;$B223,'5) Release_Track'!$F:$F&amp;'5) Release_Track'!$G:$G,1,0))),vlookup($A223&amp;$B223,{'5) Release_Track'!$F:$F&amp;'5) Release_Track'!$G:$G,'5) Release_Track'!$H:$H},2,0),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D223" s="121" t="str">
        <f t="array" ref="D223">ifs(and(isblank($A223),isblank($B223)),"", not(iserror(vlookup($A223&amp;$B223,'5) Release_Track'!$F:$F&amp;'5) Release_Track'!$G:$G,1,0))),vlookup($A223&amp;$B223,{'5) Release_Track'!$F:$F&amp;'5) Release_Track'!$G:$G,'5) Release_Track'!$I:$I},2,0),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E223" s="150" t="b">
        <v>0</v>
      </c>
      <c r="F223" s="150" t="b">
        <v>0</v>
      </c>
      <c r="G223" s="150" t="b">
        <v>0</v>
      </c>
      <c r="H223" s="150" t="b">
        <v>0</v>
      </c>
      <c r="I223" s="150" t="b">
        <v>0</v>
      </c>
      <c r="J223" s="150" t="b">
        <v>0</v>
      </c>
      <c r="K223" s="150" t="b">
        <v>0</v>
      </c>
      <c r="L223" s="8" t="b">
        <v>0</v>
      </c>
    </row>
    <row r="224">
      <c r="B224" s="97"/>
      <c r="C224" s="121" t="str">
        <f t="array" ref="C224">ifs(and(isblank($A224),isblank($B224)),"", not(iserror(vlookup($A224&amp;$B224,'5) Release_Track'!$F:$F&amp;'5) Release_Track'!$G:$G,1,0))),vlookup($A224&amp;$B224,{'5) Release_Track'!$F:$F&amp;'5) Release_Track'!$G:$G,'5) Release_Track'!$H:$H},2,0),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D224" s="121" t="str">
        <f t="array" ref="D224">ifs(and(isblank($A224),isblank($B224)),"", not(iserror(vlookup($A224&amp;$B224,'5) Release_Track'!$F:$F&amp;'5) Release_Track'!$G:$G,1,0))),vlookup($A224&amp;$B224,{'5) Release_Track'!$F:$F&amp;'5) Release_Track'!$G:$G,'5) Release_Track'!$I:$I},2,0),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E224" s="150" t="b">
        <v>0</v>
      </c>
      <c r="F224" s="150" t="b">
        <v>0</v>
      </c>
      <c r="G224" s="150" t="b">
        <v>0</v>
      </c>
      <c r="H224" s="150" t="b">
        <v>0</v>
      </c>
      <c r="I224" s="150" t="b">
        <v>0</v>
      </c>
      <c r="J224" s="150" t="b">
        <v>0</v>
      </c>
      <c r="K224" s="150" t="b">
        <v>0</v>
      </c>
      <c r="L224" s="8" t="b">
        <v>0</v>
      </c>
    </row>
    <row r="225">
      <c r="B225" s="97"/>
      <c r="C225" s="121" t="str">
        <f t="array" ref="C225">ifs(and(isblank($A225),isblank($B225)),"", not(iserror(vlookup($A225&amp;$B225,'5) Release_Track'!$F:$F&amp;'5) Release_Track'!$G:$G,1,0))),vlookup($A225&amp;$B225,{'5) Release_Track'!$F:$F&amp;'5) Release_Track'!$G:$G,'5) Release_Track'!$H:$H},2,0),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D225" s="121" t="str">
        <f t="array" ref="D225">ifs(and(isblank($A225),isblank($B225)),"", not(iserror(vlookup($A225&amp;$B225,'5) Release_Track'!$F:$F&amp;'5) Release_Track'!$G:$G,1,0))),vlookup($A225&amp;$B225,{'5) Release_Track'!$F:$F&amp;'5) Release_Track'!$G:$G,'5) Release_Track'!$I:$I},2,0),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E225" s="150" t="b">
        <v>0</v>
      </c>
      <c r="F225" s="150" t="b">
        <v>0</v>
      </c>
      <c r="G225" s="150" t="b">
        <v>0</v>
      </c>
      <c r="H225" s="150" t="b">
        <v>0</v>
      </c>
      <c r="I225" s="150" t="b">
        <v>0</v>
      </c>
      <c r="J225" s="150" t="b">
        <v>0</v>
      </c>
      <c r="K225" s="150" t="b">
        <v>0</v>
      </c>
      <c r="L225" s="8" t="b">
        <v>0</v>
      </c>
    </row>
    <row r="226">
      <c r="B226" s="97"/>
      <c r="C226" s="121" t="str">
        <f t="array" ref="C226">ifs(and(isblank($A226),isblank($B226)),"", not(iserror(vlookup($A226&amp;$B226,'5) Release_Track'!$F:$F&amp;'5) Release_Track'!$G:$G,1,0))),vlookup($A226&amp;$B226,{'5) Release_Track'!$F:$F&amp;'5) Release_Track'!$G:$G,'5) Release_Track'!$H:$H},2,0),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D226" s="121" t="str">
        <f t="array" ref="D226">ifs(and(isblank($A226),isblank($B226)),"", not(iserror(vlookup($A226&amp;$B226,'5) Release_Track'!$F:$F&amp;'5) Release_Track'!$G:$G,1,0))),vlookup($A226&amp;$B226,{'5) Release_Track'!$F:$F&amp;'5) Release_Track'!$G:$G,'5) Release_Track'!$I:$I},2,0),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E226" s="150" t="b">
        <v>0</v>
      </c>
      <c r="F226" s="150" t="b">
        <v>0</v>
      </c>
      <c r="G226" s="150" t="b">
        <v>0</v>
      </c>
      <c r="H226" s="150" t="b">
        <v>0</v>
      </c>
      <c r="I226" s="150" t="b">
        <v>0</v>
      </c>
      <c r="J226" s="150" t="b">
        <v>0</v>
      </c>
      <c r="K226" s="150" t="b">
        <v>0</v>
      </c>
      <c r="L226" s="8" t="b">
        <v>0</v>
      </c>
    </row>
    <row r="227">
      <c r="B227" s="97"/>
      <c r="C227" s="121" t="str">
        <f t="array" ref="C227">ifs(and(isblank($A227),isblank($B227)),"", not(iserror(vlookup($A227&amp;$B227,'5) Release_Track'!$F:$F&amp;'5) Release_Track'!$G:$G,1,0))),vlookup($A227&amp;$B227,{'5) Release_Track'!$F:$F&amp;'5) Release_Track'!$G:$G,'5) Release_Track'!$H:$H},2,0),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D227" s="121" t="str">
        <f t="array" ref="D227">ifs(and(isblank($A227),isblank($B227)),"", not(iserror(vlookup($A227&amp;$B227,'5) Release_Track'!$F:$F&amp;'5) Release_Track'!$G:$G,1,0))),vlookup($A227&amp;$B227,{'5) Release_Track'!$F:$F&amp;'5) Release_Track'!$G:$G,'5) Release_Track'!$I:$I},2,0),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E227" s="150" t="b">
        <v>0</v>
      </c>
      <c r="F227" s="150" t="b">
        <v>0</v>
      </c>
      <c r="G227" s="150" t="b">
        <v>0</v>
      </c>
      <c r="H227" s="150" t="b">
        <v>0</v>
      </c>
      <c r="I227" s="150" t="b">
        <v>0</v>
      </c>
      <c r="J227" s="150" t="b">
        <v>0</v>
      </c>
      <c r="K227" s="150" t="b">
        <v>0</v>
      </c>
      <c r="L227" s="8" t="b">
        <v>0</v>
      </c>
    </row>
    <row r="228">
      <c r="B228" s="97"/>
      <c r="C228" s="121" t="str">
        <f t="array" ref="C228">ifs(and(isblank($A228),isblank($B228)),"", not(iserror(vlookup($A228&amp;$B228,'5) Release_Track'!$F:$F&amp;'5) Release_Track'!$G:$G,1,0))),vlookup($A228&amp;$B228,{'5) Release_Track'!$F:$F&amp;'5) Release_Track'!$G:$G,'5) Release_Track'!$H:$H},2,0),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D228" s="121" t="str">
        <f t="array" ref="D228">ifs(and(isblank($A228),isblank($B228)),"", not(iserror(vlookup($A228&amp;$B228,'5) Release_Track'!$F:$F&amp;'5) Release_Track'!$G:$G,1,0))),vlookup($A228&amp;$B228,{'5) Release_Track'!$F:$F&amp;'5) Release_Track'!$G:$G,'5) Release_Track'!$I:$I},2,0),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E228" s="150" t="b">
        <v>0</v>
      </c>
      <c r="F228" s="150" t="b">
        <v>0</v>
      </c>
      <c r="G228" s="150" t="b">
        <v>0</v>
      </c>
      <c r="H228" s="150" t="b">
        <v>0</v>
      </c>
      <c r="I228" s="150" t="b">
        <v>0</v>
      </c>
      <c r="J228" s="150" t="b">
        <v>0</v>
      </c>
      <c r="K228" s="150" t="b">
        <v>0</v>
      </c>
      <c r="L228" s="8" t="b">
        <v>0</v>
      </c>
    </row>
    <row r="229">
      <c r="B229" s="97"/>
      <c r="C229" s="121" t="str">
        <f t="array" ref="C229">ifs(and(isblank($A229),isblank($B229)),"", not(iserror(vlookup($A229&amp;$B229,'5) Release_Track'!$F:$F&amp;'5) Release_Track'!$G:$G,1,0))),vlookup($A229&amp;$B229,{'5) Release_Track'!$F:$F&amp;'5) Release_Track'!$G:$G,'5) Release_Track'!$H:$H},2,0),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D229" s="121" t="str">
        <f t="array" ref="D229">ifs(and(isblank($A229),isblank($B229)),"", not(iserror(vlookup($A229&amp;$B229,'5) Release_Track'!$F:$F&amp;'5) Release_Track'!$G:$G,1,0))),vlookup($A229&amp;$B229,{'5) Release_Track'!$F:$F&amp;'5) Release_Track'!$G:$G,'5) Release_Track'!$I:$I},2,0),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E229" s="150" t="b">
        <v>0</v>
      </c>
      <c r="F229" s="150" t="b">
        <v>0</v>
      </c>
      <c r="G229" s="150" t="b">
        <v>0</v>
      </c>
      <c r="H229" s="150" t="b">
        <v>0</v>
      </c>
      <c r="I229" s="150" t="b">
        <v>0</v>
      </c>
      <c r="J229" s="150" t="b">
        <v>0</v>
      </c>
      <c r="K229" s="150" t="b">
        <v>0</v>
      </c>
      <c r="L229" s="8" t="b">
        <v>0</v>
      </c>
    </row>
    <row r="230">
      <c r="B230" s="97"/>
      <c r="C230" s="121" t="str">
        <f t="array" ref="C230">ifs(and(isblank($A230),isblank($B230)),"", not(iserror(vlookup($A230&amp;$B230,'5) Release_Track'!$F:$F&amp;'5) Release_Track'!$G:$G,1,0))),vlookup($A230&amp;$B230,{'5) Release_Track'!$F:$F&amp;'5) Release_Track'!$G:$G,'5) Release_Track'!$H:$H},2,0),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D230" s="121" t="str">
        <f t="array" ref="D230">ifs(and(isblank($A230),isblank($B230)),"", not(iserror(vlookup($A230&amp;$B230,'5) Release_Track'!$F:$F&amp;'5) Release_Track'!$G:$G,1,0))),vlookup($A230&amp;$B230,{'5) Release_Track'!$F:$F&amp;'5) Release_Track'!$G:$G,'5) Release_Track'!$I:$I},2,0),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E230" s="150" t="b">
        <v>0</v>
      </c>
      <c r="F230" s="150" t="b">
        <v>0</v>
      </c>
      <c r="G230" s="150" t="b">
        <v>0</v>
      </c>
      <c r="H230" s="150" t="b">
        <v>0</v>
      </c>
      <c r="I230" s="150" t="b">
        <v>0</v>
      </c>
      <c r="J230" s="150" t="b">
        <v>0</v>
      </c>
      <c r="K230" s="150" t="b">
        <v>0</v>
      </c>
      <c r="L230" s="8" t="b">
        <v>0</v>
      </c>
    </row>
    <row r="231">
      <c r="B231" s="97"/>
      <c r="C231" s="121" t="str">
        <f t="array" ref="C231">ifs(and(isblank($A231),isblank($B231)),"", not(iserror(vlookup($A231&amp;$B231,'5) Release_Track'!$F:$F&amp;'5) Release_Track'!$G:$G,1,0))),vlookup($A231&amp;$B231,{'5) Release_Track'!$F:$F&amp;'5) Release_Track'!$G:$G,'5) Release_Track'!$H:$H},2,0),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D231" s="121" t="str">
        <f t="array" ref="D231">ifs(and(isblank($A231),isblank($B231)),"", not(iserror(vlookup($A231&amp;$B231,'5) Release_Track'!$F:$F&amp;'5) Release_Track'!$G:$G,1,0))),vlookup($A231&amp;$B231,{'5) Release_Track'!$F:$F&amp;'5) Release_Track'!$G:$G,'5) Release_Track'!$I:$I},2,0),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E231" s="150" t="b">
        <v>0</v>
      </c>
      <c r="F231" s="150" t="b">
        <v>0</v>
      </c>
      <c r="G231" s="150" t="b">
        <v>0</v>
      </c>
      <c r="H231" s="150" t="b">
        <v>0</v>
      </c>
      <c r="I231" s="150" t="b">
        <v>0</v>
      </c>
      <c r="J231" s="150" t="b">
        <v>0</v>
      </c>
      <c r="K231" s="150" t="b">
        <v>0</v>
      </c>
      <c r="L231" s="8" t="b">
        <v>0</v>
      </c>
    </row>
    <row r="232">
      <c r="B232" s="97"/>
      <c r="C232" s="121" t="str">
        <f t="array" ref="C232">ifs(and(isblank($A232),isblank($B232)),"", not(iserror(vlookup($A232&amp;$B232,'5) Release_Track'!$F:$F&amp;'5) Release_Track'!$G:$G,1,0))),vlookup($A232&amp;$B232,{'5) Release_Track'!$F:$F&amp;'5) Release_Track'!$G:$G,'5) Release_Track'!$H:$H},2,0),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D232" s="121" t="str">
        <f t="array" ref="D232">ifs(and(isblank($A232),isblank($B232)),"", not(iserror(vlookup($A232&amp;$B232,'5) Release_Track'!$F:$F&amp;'5) Release_Track'!$G:$G,1,0))),vlookup($A232&amp;$B232,{'5) Release_Track'!$F:$F&amp;'5) Release_Track'!$G:$G,'5) Release_Track'!$I:$I},2,0),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E232" s="150" t="b">
        <v>0</v>
      </c>
      <c r="F232" s="150" t="b">
        <v>0</v>
      </c>
      <c r="G232" s="150" t="b">
        <v>0</v>
      </c>
      <c r="H232" s="150" t="b">
        <v>0</v>
      </c>
      <c r="I232" s="150" t="b">
        <v>0</v>
      </c>
      <c r="J232" s="150" t="b">
        <v>0</v>
      </c>
      <c r="K232" s="150" t="b">
        <v>0</v>
      </c>
      <c r="L232" s="8" t="b">
        <v>0</v>
      </c>
    </row>
    <row r="233">
      <c r="B233" s="97"/>
      <c r="C233" s="121" t="str">
        <f t="array" ref="C233">ifs(and(isblank($A233),isblank($B233)),"", not(iserror(vlookup($A233&amp;$B233,'5) Release_Track'!$F:$F&amp;'5) Release_Track'!$G:$G,1,0))),vlookup($A233&amp;$B233,{'5) Release_Track'!$F:$F&amp;'5) Release_Track'!$G:$G,'5) Release_Track'!$H:$H},2,0),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D233" s="121" t="str">
        <f t="array" ref="D233">ifs(and(isblank($A233),isblank($B233)),"", not(iserror(vlookup($A233&amp;$B233,'5) Release_Track'!$F:$F&amp;'5) Release_Track'!$G:$G,1,0))),vlookup($A233&amp;$B233,{'5) Release_Track'!$F:$F&amp;'5) Release_Track'!$G:$G,'5) Release_Track'!$I:$I},2,0),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E233" s="150" t="b">
        <v>0</v>
      </c>
      <c r="F233" s="150" t="b">
        <v>0</v>
      </c>
      <c r="G233" s="150" t="b">
        <v>0</v>
      </c>
      <c r="H233" s="150" t="b">
        <v>0</v>
      </c>
      <c r="I233" s="150" t="b">
        <v>0</v>
      </c>
      <c r="J233" s="150" t="b">
        <v>0</v>
      </c>
      <c r="K233" s="150" t="b">
        <v>0</v>
      </c>
      <c r="L233" s="8" t="b">
        <v>0</v>
      </c>
    </row>
    <row r="234">
      <c r="B234" s="97"/>
      <c r="C234" s="121" t="str">
        <f t="array" ref="C234">ifs(and(isblank($A234),isblank($B234)),"", not(iserror(vlookup($A234&amp;$B234,'5) Release_Track'!$F:$F&amp;'5) Release_Track'!$G:$G,1,0))),vlookup($A234&amp;$B234,{'5) Release_Track'!$F:$F&amp;'5) Release_Track'!$G:$G,'5) Release_Track'!$H:$H},2,0),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D234" s="121" t="str">
        <f t="array" ref="D234">ifs(and(isblank($A234),isblank($B234)),"", not(iserror(vlookup($A234&amp;$B234,'5) Release_Track'!$F:$F&amp;'5) Release_Track'!$G:$G,1,0))),vlookup($A234&amp;$B234,{'5) Release_Track'!$F:$F&amp;'5) Release_Track'!$G:$G,'5) Release_Track'!$I:$I},2,0),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E234" s="150" t="b">
        <v>0</v>
      </c>
      <c r="F234" s="150" t="b">
        <v>0</v>
      </c>
      <c r="G234" s="150" t="b">
        <v>0</v>
      </c>
      <c r="H234" s="150" t="b">
        <v>0</v>
      </c>
      <c r="I234" s="150" t="b">
        <v>0</v>
      </c>
      <c r="J234" s="150" t="b">
        <v>0</v>
      </c>
      <c r="K234" s="150" t="b">
        <v>0</v>
      </c>
      <c r="L234" s="8" t="b">
        <v>0</v>
      </c>
    </row>
    <row r="235">
      <c r="B235" s="97"/>
      <c r="C235" s="121" t="str">
        <f t="array" ref="C235">ifs(and(isblank($A235),isblank($B235)),"", not(iserror(vlookup($A235&amp;$B235,'5) Release_Track'!$F:$F&amp;'5) Release_Track'!$G:$G,1,0))),vlookup($A235&amp;$B235,{'5) Release_Track'!$F:$F&amp;'5) Release_Track'!$G:$G,'5) Release_Track'!$H:$H},2,0),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D235" s="121" t="str">
        <f t="array" ref="D235">ifs(and(isblank($A235),isblank($B235)),"", not(iserror(vlookup($A235&amp;$B235,'5) Release_Track'!$F:$F&amp;'5) Release_Track'!$G:$G,1,0))),vlookup($A235&amp;$B235,{'5) Release_Track'!$F:$F&amp;'5) Release_Track'!$G:$G,'5) Release_Track'!$I:$I},2,0),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E235" s="150" t="b">
        <v>0</v>
      </c>
      <c r="F235" s="150" t="b">
        <v>0</v>
      </c>
      <c r="G235" s="150" t="b">
        <v>0</v>
      </c>
      <c r="H235" s="150" t="b">
        <v>0</v>
      </c>
      <c r="I235" s="150" t="b">
        <v>0</v>
      </c>
      <c r="J235" s="150" t="b">
        <v>0</v>
      </c>
      <c r="K235" s="150" t="b">
        <v>0</v>
      </c>
      <c r="L235" s="8" t="b">
        <v>0</v>
      </c>
    </row>
    <row r="236">
      <c r="B236" s="97"/>
      <c r="C236" s="121" t="str">
        <f t="array" ref="C236">ifs(and(isblank($A236),isblank($B236)),"", not(iserror(vlookup($A236&amp;$B236,'5) Release_Track'!$F:$F&amp;'5) Release_Track'!$G:$G,1,0))),vlookup($A236&amp;$B236,{'5) Release_Track'!$F:$F&amp;'5) Release_Track'!$G:$G,'5) Release_Track'!$H:$H},2,0),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D236" s="121" t="str">
        <f t="array" ref="D236">ifs(and(isblank($A236),isblank($B236)),"", not(iserror(vlookup($A236&amp;$B236,'5) Release_Track'!$F:$F&amp;'5) Release_Track'!$G:$G,1,0))),vlookup($A236&amp;$B236,{'5) Release_Track'!$F:$F&amp;'5) Release_Track'!$G:$G,'5) Release_Track'!$I:$I},2,0),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E236" s="150" t="b">
        <v>0</v>
      </c>
      <c r="F236" s="150" t="b">
        <v>0</v>
      </c>
      <c r="G236" s="150" t="b">
        <v>0</v>
      </c>
      <c r="H236" s="150" t="b">
        <v>0</v>
      </c>
      <c r="I236" s="150" t="b">
        <v>0</v>
      </c>
      <c r="J236" s="150" t="b">
        <v>0</v>
      </c>
      <c r="K236" s="150" t="b">
        <v>0</v>
      </c>
      <c r="L236" s="8" t="b">
        <v>0</v>
      </c>
    </row>
    <row r="237">
      <c r="B237" s="97"/>
      <c r="C237" s="121" t="str">
        <f t="array" ref="C237">ifs(and(isblank($A237),isblank($B237)),"", not(iserror(vlookup($A237&amp;$B237,'5) Release_Track'!$F:$F&amp;'5) Release_Track'!$G:$G,1,0))),vlookup($A237&amp;$B237,{'5) Release_Track'!$F:$F&amp;'5) Release_Track'!$G:$G,'5) Release_Track'!$H:$H},2,0),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D237" s="121" t="str">
        <f t="array" ref="D237">ifs(and(isblank($A237),isblank($B237)),"", not(iserror(vlookup($A237&amp;$B237,'5) Release_Track'!$F:$F&amp;'5) Release_Track'!$G:$G,1,0))),vlookup($A237&amp;$B237,{'5) Release_Track'!$F:$F&amp;'5) Release_Track'!$G:$G,'5) Release_Track'!$I:$I},2,0),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E237" s="150" t="b">
        <v>0</v>
      </c>
      <c r="F237" s="150" t="b">
        <v>0</v>
      </c>
      <c r="G237" s="150" t="b">
        <v>0</v>
      </c>
      <c r="H237" s="150" t="b">
        <v>0</v>
      </c>
      <c r="I237" s="150" t="b">
        <v>0</v>
      </c>
      <c r="J237" s="150" t="b">
        <v>0</v>
      </c>
      <c r="K237" s="150" t="b">
        <v>0</v>
      </c>
      <c r="L237" s="8" t="b">
        <v>0</v>
      </c>
    </row>
    <row r="238">
      <c r="B238" s="97"/>
      <c r="C238" s="121" t="str">
        <f t="array" ref="C238">ifs(and(isblank($A238),isblank($B238)),"", not(iserror(vlookup($A238&amp;$B238,'5) Release_Track'!$F:$F&amp;'5) Release_Track'!$G:$G,1,0))),vlookup($A238&amp;$B238,{'5) Release_Track'!$F:$F&amp;'5) Release_Track'!$G:$G,'5) Release_Track'!$H:$H},2,0),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D238" s="121" t="str">
        <f t="array" ref="D238">ifs(and(isblank($A238),isblank($B238)),"", not(iserror(vlookup($A238&amp;$B238,'5) Release_Track'!$F:$F&amp;'5) Release_Track'!$G:$G,1,0))),vlookup($A238&amp;$B238,{'5) Release_Track'!$F:$F&amp;'5) Release_Track'!$G:$G,'5) Release_Track'!$I:$I},2,0),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E238" s="150" t="b">
        <v>0</v>
      </c>
      <c r="F238" s="150" t="b">
        <v>0</v>
      </c>
      <c r="G238" s="150" t="b">
        <v>0</v>
      </c>
      <c r="H238" s="150" t="b">
        <v>0</v>
      </c>
      <c r="I238" s="150" t="b">
        <v>0</v>
      </c>
      <c r="J238" s="150" t="b">
        <v>0</v>
      </c>
      <c r="K238" s="150" t="b">
        <v>0</v>
      </c>
      <c r="L238" s="8" t="b">
        <v>0</v>
      </c>
    </row>
    <row r="239">
      <c r="B239" s="97"/>
      <c r="C239" s="121" t="str">
        <f t="array" ref="C239">ifs(and(isblank($A239),isblank($B239)),"", not(iserror(vlookup($A239&amp;$B239,'5) Release_Track'!$F:$F&amp;'5) Release_Track'!$G:$G,1,0))),vlookup($A239&amp;$B239,{'5) Release_Track'!$F:$F&amp;'5) Release_Track'!$G:$G,'5) Release_Track'!$H:$H},2,0),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D239" s="121" t="str">
        <f t="array" ref="D239">ifs(and(isblank($A239),isblank($B239)),"", not(iserror(vlookup($A239&amp;$B239,'5) Release_Track'!$F:$F&amp;'5) Release_Track'!$G:$G,1,0))),vlookup($A239&amp;$B239,{'5) Release_Track'!$F:$F&amp;'5) Release_Track'!$G:$G,'5) Release_Track'!$I:$I},2,0),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E239" s="150" t="b">
        <v>0</v>
      </c>
      <c r="F239" s="150" t="b">
        <v>0</v>
      </c>
      <c r="G239" s="150" t="b">
        <v>0</v>
      </c>
      <c r="H239" s="150" t="b">
        <v>0</v>
      </c>
      <c r="I239" s="150" t="b">
        <v>0</v>
      </c>
      <c r="J239" s="150" t="b">
        <v>0</v>
      </c>
      <c r="K239" s="150" t="b">
        <v>0</v>
      </c>
      <c r="L239" s="8" t="b">
        <v>0</v>
      </c>
    </row>
    <row r="240">
      <c r="B240" s="97"/>
      <c r="C240" s="121" t="str">
        <f t="array" ref="C240">ifs(and(isblank($A240),isblank($B240)),"", not(iserror(vlookup($A240&amp;$B240,'5) Release_Track'!$F:$F&amp;'5) Release_Track'!$G:$G,1,0))),vlookup($A240&amp;$B240,{'5) Release_Track'!$F:$F&amp;'5) Release_Track'!$G:$G,'5) Release_Track'!$H:$H},2,0),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D240" s="121" t="str">
        <f t="array" ref="D240">ifs(and(isblank($A240),isblank($B240)),"", not(iserror(vlookup($A240&amp;$B240,'5) Release_Track'!$F:$F&amp;'5) Release_Track'!$G:$G,1,0))),vlookup($A240&amp;$B240,{'5) Release_Track'!$F:$F&amp;'5) Release_Track'!$G:$G,'5) Release_Track'!$I:$I},2,0),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E240" s="150" t="b">
        <v>0</v>
      </c>
      <c r="F240" s="150" t="b">
        <v>0</v>
      </c>
      <c r="G240" s="150" t="b">
        <v>0</v>
      </c>
      <c r="H240" s="150" t="b">
        <v>0</v>
      </c>
      <c r="I240" s="150" t="b">
        <v>0</v>
      </c>
      <c r="J240" s="150" t="b">
        <v>0</v>
      </c>
      <c r="K240" s="150" t="b">
        <v>0</v>
      </c>
      <c r="L240" s="8" t="b">
        <v>0</v>
      </c>
    </row>
    <row r="241">
      <c r="B241" s="97"/>
      <c r="C241" s="121" t="str">
        <f t="array" ref="C241">ifs(and(isblank($A241),isblank($B241)),"", not(iserror(vlookup($A241&amp;$B241,'5) Release_Track'!$F:$F&amp;'5) Release_Track'!$G:$G,1,0))),vlookup($A241&amp;$B241,{'5) Release_Track'!$F:$F&amp;'5) Release_Track'!$G:$G,'5) Release_Track'!$H:$H},2,0),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D241" s="121" t="str">
        <f t="array" ref="D241">ifs(and(isblank($A241),isblank($B241)),"", not(iserror(vlookup($A241&amp;$B241,'5) Release_Track'!$F:$F&amp;'5) Release_Track'!$G:$G,1,0))),vlookup($A241&amp;$B241,{'5) Release_Track'!$F:$F&amp;'5) Release_Track'!$G:$G,'5) Release_Track'!$I:$I},2,0),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E241" s="150" t="b">
        <v>0</v>
      </c>
      <c r="F241" s="150" t="b">
        <v>0</v>
      </c>
      <c r="G241" s="150" t="b">
        <v>0</v>
      </c>
      <c r="H241" s="150" t="b">
        <v>0</v>
      </c>
      <c r="I241" s="150" t="b">
        <v>0</v>
      </c>
      <c r="J241" s="150" t="b">
        <v>0</v>
      </c>
      <c r="K241" s="150" t="b">
        <v>0</v>
      </c>
      <c r="L241" s="8" t="b">
        <v>0</v>
      </c>
    </row>
    <row r="242">
      <c r="B242" s="97"/>
      <c r="C242" s="121" t="str">
        <f t="array" ref="C242">ifs(and(isblank($A242),isblank($B242)),"", not(iserror(vlookup($A242&amp;$B242,'5) Release_Track'!$F:$F&amp;'5) Release_Track'!$G:$G,1,0))),vlookup($A242&amp;$B242,{'5) Release_Track'!$F:$F&amp;'5) Release_Track'!$G:$G,'5) Release_Track'!$H:$H},2,0),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D242" s="121" t="str">
        <f t="array" ref="D242">ifs(and(isblank($A242),isblank($B242)),"", not(iserror(vlookup($A242&amp;$B242,'5) Release_Track'!$F:$F&amp;'5) Release_Track'!$G:$G,1,0))),vlookup($A242&amp;$B242,{'5) Release_Track'!$F:$F&amp;'5) Release_Track'!$G:$G,'5) Release_Track'!$I:$I},2,0),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E242" s="150" t="b">
        <v>0</v>
      </c>
      <c r="F242" s="150" t="b">
        <v>0</v>
      </c>
      <c r="G242" s="150" t="b">
        <v>0</v>
      </c>
      <c r="H242" s="150" t="b">
        <v>0</v>
      </c>
      <c r="I242" s="150" t="b">
        <v>0</v>
      </c>
      <c r="J242" s="150" t="b">
        <v>0</v>
      </c>
      <c r="K242" s="150" t="b">
        <v>0</v>
      </c>
      <c r="L242" s="8" t="b">
        <v>0</v>
      </c>
    </row>
    <row r="243">
      <c r="B243" s="97"/>
      <c r="C243" s="121" t="str">
        <f t="array" ref="C243">ifs(and(isblank($A243),isblank($B243)),"", not(iserror(vlookup($A243&amp;$B243,'5) Release_Track'!$F:$F&amp;'5) Release_Track'!$G:$G,1,0))),vlookup($A243&amp;$B243,{'5) Release_Track'!$F:$F&amp;'5) Release_Track'!$G:$G,'5) Release_Track'!$H:$H},2,0),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D243" s="121" t="str">
        <f t="array" ref="D243">ifs(and(isblank($A243),isblank($B243)),"", not(iserror(vlookup($A243&amp;$B243,'5) Release_Track'!$F:$F&amp;'5) Release_Track'!$G:$G,1,0))),vlookup($A243&amp;$B243,{'5) Release_Track'!$F:$F&amp;'5) Release_Track'!$G:$G,'5) Release_Track'!$I:$I},2,0),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E243" s="150" t="b">
        <v>0</v>
      </c>
      <c r="F243" s="150" t="b">
        <v>0</v>
      </c>
      <c r="G243" s="150" t="b">
        <v>0</v>
      </c>
      <c r="H243" s="150" t="b">
        <v>0</v>
      </c>
      <c r="I243" s="150" t="b">
        <v>0</v>
      </c>
      <c r="J243" s="150" t="b">
        <v>0</v>
      </c>
      <c r="K243" s="150" t="b">
        <v>0</v>
      </c>
      <c r="L243" s="8" t="b">
        <v>0</v>
      </c>
    </row>
    <row r="244">
      <c r="B244" s="97"/>
      <c r="C244" s="121" t="str">
        <f t="array" ref="C244">ifs(and(isblank($A244),isblank($B244)),"", not(iserror(vlookup($A244&amp;$B244,'5) Release_Track'!$F:$F&amp;'5) Release_Track'!$G:$G,1,0))),vlookup($A244&amp;$B244,{'5) Release_Track'!$F:$F&amp;'5) Release_Track'!$G:$G,'5) Release_Track'!$H:$H},2,0),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D244" s="121" t="str">
        <f t="array" ref="D244">ifs(and(isblank($A244),isblank($B244)),"", not(iserror(vlookup($A244&amp;$B244,'5) Release_Track'!$F:$F&amp;'5) Release_Track'!$G:$G,1,0))),vlookup($A244&amp;$B244,{'5) Release_Track'!$F:$F&amp;'5) Release_Track'!$G:$G,'5) Release_Track'!$I:$I},2,0),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E244" s="150" t="b">
        <v>0</v>
      </c>
      <c r="F244" s="150" t="b">
        <v>0</v>
      </c>
      <c r="G244" s="150" t="b">
        <v>0</v>
      </c>
      <c r="H244" s="150" t="b">
        <v>0</v>
      </c>
      <c r="I244" s="150" t="b">
        <v>0</v>
      </c>
      <c r="J244" s="150" t="b">
        <v>0</v>
      </c>
      <c r="K244" s="150" t="b">
        <v>0</v>
      </c>
      <c r="L244" s="8" t="b">
        <v>0</v>
      </c>
    </row>
    <row r="245">
      <c r="B245" s="97"/>
      <c r="C245" s="121" t="str">
        <f t="array" ref="C245">ifs(and(isblank($A245),isblank($B245)),"", not(iserror(vlookup($A245&amp;$B245,'5) Release_Track'!$F:$F&amp;'5) Release_Track'!$G:$G,1,0))),vlookup($A245&amp;$B245,{'5) Release_Track'!$F:$F&amp;'5) Release_Track'!$G:$G,'5) Release_Track'!$H:$H},2,0),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D245" s="121" t="str">
        <f t="array" ref="D245">ifs(and(isblank($A245),isblank($B245)),"", not(iserror(vlookup($A245&amp;$B245,'5) Release_Track'!$F:$F&amp;'5) Release_Track'!$G:$G,1,0))),vlookup($A245&amp;$B245,{'5) Release_Track'!$F:$F&amp;'5) Release_Track'!$G:$G,'5) Release_Track'!$I:$I},2,0),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E245" s="150" t="b">
        <v>0</v>
      </c>
      <c r="F245" s="150" t="b">
        <v>0</v>
      </c>
      <c r="G245" s="150" t="b">
        <v>0</v>
      </c>
      <c r="H245" s="150" t="b">
        <v>0</v>
      </c>
      <c r="I245" s="150" t="b">
        <v>0</v>
      </c>
      <c r="J245" s="150" t="b">
        <v>0</v>
      </c>
      <c r="K245" s="150" t="b">
        <v>0</v>
      </c>
      <c r="L245" s="8" t="b">
        <v>0</v>
      </c>
    </row>
    <row r="246">
      <c r="B246" s="97"/>
      <c r="C246" s="121" t="str">
        <f t="array" ref="C246">ifs(and(isblank($A246),isblank($B246)),"", not(iserror(vlookup($A246&amp;$B246,'5) Release_Track'!$F:$F&amp;'5) Release_Track'!$G:$G,1,0))),vlookup($A246&amp;$B246,{'5) Release_Track'!$F:$F&amp;'5) Release_Track'!$G:$G,'5) Release_Track'!$H:$H},2,0),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D246" s="121" t="str">
        <f t="array" ref="D246">ifs(and(isblank($A246),isblank($B246)),"", not(iserror(vlookup($A246&amp;$B246,'5) Release_Track'!$F:$F&amp;'5) Release_Track'!$G:$G,1,0))),vlookup($A246&amp;$B246,{'5) Release_Track'!$F:$F&amp;'5) Release_Track'!$G:$G,'5) Release_Track'!$I:$I},2,0),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E246" s="150" t="b">
        <v>0</v>
      </c>
      <c r="F246" s="150" t="b">
        <v>0</v>
      </c>
      <c r="G246" s="150" t="b">
        <v>0</v>
      </c>
      <c r="H246" s="150" t="b">
        <v>0</v>
      </c>
      <c r="I246" s="150" t="b">
        <v>0</v>
      </c>
      <c r="J246" s="150" t="b">
        <v>0</v>
      </c>
      <c r="K246" s="150" t="b">
        <v>0</v>
      </c>
      <c r="L246" s="8" t="b">
        <v>0</v>
      </c>
    </row>
    <row r="247">
      <c r="B247" s="97"/>
      <c r="C247" s="121" t="str">
        <f t="array" ref="C247">ifs(and(isblank($A247),isblank($B247)),"", not(iserror(vlookup($A247&amp;$B247,'5) Release_Track'!$F:$F&amp;'5) Release_Track'!$G:$G,1,0))),vlookup($A247&amp;$B247,{'5) Release_Track'!$F:$F&amp;'5) Release_Track'!$G:$G,'5) Release_Track'!$H:$H},2,0),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D247" s="121" t="str">
        <f t="array" ref="D247">ifs(and(isblank($A247),isblank($B247)),"", not(iserror(vlookup($A247&amp;$B247,'5) Release_Track'!$F:$F&amp;'5) Release_Track'!$G:$G,1,0))),vlookup($A247&amp;$B247,{'5) Release_Track'!$F:$F&amp;'5) Release_Track'!$G:$G,'5) Release_Track'!$I:$I},2,0),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E247" s="150" t="b">
        <v>0</v>
      </c>
      <c r="F247" s="150" t="b">
        <v>0</v>
      </c>
      <c r="G247" s="150" t="b">
        <v>0</v>
      </c>
      <c r="H247" s="150" t="b">
        <v>0</v>
      </c>
      <c r="I247" s="150" t="b">
        <v>0</v>
      </c>
      <c r="J247" s="150" t="b">
        <v>0</v>
      </c>
      <c r="K247" s="150" t="b">
        <v>0</v>
      </c>
      <c r="L247" s="8" t="b">
        <v>0</v>
      </c>
    </row>
    <row r="248">
      <c r="B248" s="97"/>
      <c r="C248" s="121" t="str">
        <f t="array" ref="C248">ifs(and(isblank($A248),isblank($B248)),"", not(iserror(vlookup($A248&amp;$B248,'5) Release_Track'!$F:$F&amp;'5) Release_Track'!$G:$G,1,0))),vlookup($A248&amp;$B248,{'5) Release_Track'!$F:$F&amp;'5) Release_Track'!$G:$G,'5) Release_Track'!$H:$H},2,0),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D248" s="121" t="str">
        <f t="array" ref="D248">ifs(and(isblank($A248),isblank($B248)),"", not(iserror(vlookup($A248&amp;$B248,'5) Release_Track'!$F:$F&amp;'5) Release_Track'!$G:$G,1,0))),vlookup($A248&amp;$B248,{'5) Release_Track'!$F:$F&amp;'5) Release_Track'!$G:$G,'5) Release_Track'!$I:$I},2,0),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E248" s="150" t="b">
        <v>0</v>
      </c>
      <c r="F248" s="150" t="b">
        <v>0</v>
      </c>
      <c r="G248" s="150" t="b">
        <v>0</v>
      </c>
      <c r="H248" s="150" t="b">
        <v>0</v>
      </c>
      <c r="I248" s="150" t="b">
        <v>0</v>
      </c>
      <c r="J248" s="150" t="b">
        <v>0</v>
      </c>
      <c r="K248" s="150" t="b">
        <v>0</v>
      </c>
      <c r="L248" s="8" t="b">
        <v>0</v>
      </c>
    </row>
    <row r="249">
      <c r="B249" s="97"/>
      <c r="C249" s="121" t="str">
        <f t="array" ref="C249">ifs(and(isblank($A249),isblank($B249)),"", not(iserror(vlookup($A249&amp;$B249,'5) Release_Track'!$F:$F&amp;'5) Release_Track'!$G:$G,1,0))),vlookup($A249&amp;$B249,{'5) Release_Track'!$F:$F&amp;'5) Release_Track'!$G:$G,'5) Release_Track'!$H:$H},2,0),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D249" s="121" t="str">
        <f t="array" ref="D249">ifs(and(isblank($A249),isblank($B249)),"", not(iserror(vlookup($A249&amp;$B249,'5) Release_Track'!$F:$F&amp;'5) Release_Track'!$G:$G,1,0))),vlookup($A249&amp;$B249,{'5) Release_Track'!$F:$F&amp;'5) Release_Track'!$G:$G,'5) Release_Track'!$I:$I},2,0),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E249" s="150" t="b">
        <v>0</v>
      </c>
      <c r="F249" s="150" t="b">
        <v>0</v>
      </c>
      <c r="G249" s="150" t="b">
        <v>0</v>
      </c>
      <c r="H249" s="150" t="b">
        <v>0</v>
      </c>
      <c r="I249" s="150" t="b">
        <v>0</v>
      </c>
      <c r="J249" s="150" t="b">
        <v>0</v>
      </c>
      <c r="K249" s="150" t="b">
        <v>0</v>
      </c>
      <c r="L249" s="8" t="b">
        <v>0</v>
      </c>
    </row>
    <row r="250">
      <c r="B250" s="97"/>
      <c r="C250" s="121" t="str">
        <f t="array" ref="C250">ifs(and(isblank($A250),isblank($B250)),"", not(iserror(vlookup($A250&amp;$B250,'5) Release_Track'!$F:$F&amp;'5) Release_Track'!$G:$G,1,0))),vlookup($A250&amp;$B250,{'5) Release_Track'!$F:$F&amp;'5) Release_Track'!$G:$G,'5) Release_Track'!$H:$H},2,0),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D250" s="121" t="str">
        <f t="array" ref="D250">ifs(and(isblank($A250),isblank($B250)),"", not(iserror(vlookup($A250&amp;$B250,'5) Release_Track'!$F:$F&amp;'5) Release_Track'!$G:$G,1,0))),vlookup($A250&amp;$B250,{'5) Release_Track'!$F:$F&amp;'5) Release_Track'!$G:$G,'5) Release_Track'!$I:$I},2,0),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E250" s="150" t="b">
        <v>0</v>
      </c>
      <c r="F250" s="150" t="b">
        <v>0</v>
      </c>
      <c r="G250" s="150" t="b">
        <v>0</v>
      </c>
      <c r="H250" s="150" t="b">
        <v>0</v>
      </c>
      <c r="I250" s="150" t="b">
        <v>0</v>
      </c>
      <c r="J250" s="150" t="b">
        <v>0</v>
      </c>
      <c r="K250" s="150" t="b">
        <v>0</v>
      </c>
      <c r="L250" s="8" t="b">
        <v>0</v>
      </c>
    </row>
    <row r="251">
      <c r="B251" s="97"/>
      <c r="C251" s="121" t="str">
        <f t="array" ref="C251">ifs(and(isblank($A251),isblank($B251)),"", not(iserror(vlookup($A251&amp;$B251,'5) Release_Track'!$F:$F&amp;'5) Release_Track'!$G:$G,1,0))),vlookup($A251&amp;$B251,{'5) Release_Track'!$F:$F&amp;'5) Release_Track'!$G:$G,'5) Release_Track'!$H:$H},2,0),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D251" s="121" t="str">
        <f t="array" ref="D251">ifs(and(isblank($A251),isblank($B251)),"", not(iserror(vlookup($A251&amp;$B251,'5) Release_Track'!$F:$F&amp;'5) Release_Track'!$G:$G,1,0))),vlookup($A251&amp;$B251,{'5) Release_Track'!$F:$F&amp;'5) Release_Track'!$G:$G,'5) Release_Track'!$I:$I},2,0),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E251" s="150" t="b">
        <v>0</v>
      </c>
      <c r="F251" s="150" t="b">
        <v>0</v>
      </c>
      <c r="G251" s="150" t="b">
        <v>0</v>
      </c>
      <c r="H251" s="150" t="b">
        <v>0</v>
      </c>
      <c r="I251" s="150" t="b">
        <v>0</v>
      </c>
      <c r="J251" s="150" t="b">
        <v>0</v>
      </c>
      <c r="K251" s="150" t="b">
        <v>0</v>
      </c>
      <c r="L251" s="8" t="b">
        <v>0</v>
      </c>
    </row>
    <row r="252">
      <c r="B252" s="97"/>
      <c r="C252" s="121" t="str">
        <f t="array" ref="C252">ifs(and(isblank($A252),isblank($B252)),"", not(iserror(vlookup($A252&amp;$B252,'5) Release_Track'!$F:$F&amp;'5) Release_Track'!$G:$G,1,0))),vlookup($A252&amp;$B252,{'5) Release_Track'!$F:$F&amp;'5) Release_Track'!$G:$G,'5) Release_Track'!$H:$H},2,0),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D252" s="121" t="str">
        <f t="array" ref="D252">ifs(and(isblank($A252),isblank($B252)),"", not(iserror(vlookup($A252&amp;$B252,'5) Release_Track'!$F:$F&amp;'5) Release_Track'!$G:$G,1,0))),vlookup($A252&amp;$B252,{'5) Release_Track'!$F:$F&amp;'5) Release_Track'!$G:$G,'5) Release_Track'!$I:$I},2,0),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E252" s="150" t="b">
        <v>0</v>
      </c>
      <c r="F252" s="150" t="b">
        <v>0</v>
      </c>
      <c r="G252" s="150" t="b">
        <v>0</v>
      </c>
      <c r="H252" s="150" t="b">
        <v>0</v>
      </c>
      <c r="I252" s="150" t="b">
        <v>0</v>
      </c>
      <c r="J252" s="150" t="b">
        <v>0</v>
      </c>
      <c r="K252" s="150" t="b">
        <v>0</v>
      </c>
      <c r="L252" s="8" t="b">
        <v>0</v>
      </c>
    </row>
    <row r="253">
      <c r="B253" s="97"/>
      <c r="C253" s="121" t="str">
        <f t="array" ref="C253">ifs(and(isblank($A253),isblank($B253)),"", not(iserror(vlookup($A253&amp;$B253,'5) Release_Track'!$F:$F&amp;'5) Release_Track'!$G:$G,1,0))),vlookup($A253&amp;$B253,{'5) Release_Track'!$F:$F&amp;'5) Release_Track'!$G:$G,'5) Release_Track'!$H:$H},2,0),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D253" s="121" t="str">
        <f t="array" ref="D253">ifs(and(isblank($A253),isblank($B253)),"", not(iserror(vlookup($A253&amp;$B253,'5) Release_Track'!$F:$F&amp;'5) Release_Track'!$G:$G,1,0))),vlookup($A253&amp;$B253,{'5) Release_Track'!$F:$F&amp;'5) Release_Track'!$G:$G,'5) Release_Track'!$I:$I},2,0),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E253" s="150" t="b">
        <v>0</v>
      </c>
      <c r="F253" s="150" t="b">
        <v>0</v>
      </c>
      <c r="G253" s="150" t="b">
        <v>0</v>
      </c>
      <c r="H253" s="150" t="b">
        <v>0</v>
      </c>
      <c r="I253" s="150" t="b">
        <v>0</v>
      </c>
      <c r="J253" s="150" t="b">
        <v>0</v>
      </c>
      <c r="K253" s="150" t="b">
        <v>0</v>
      </c>
      <c r="L253" s="8" t="b">
        <v>0</v>
      </c>
    </row>
    <row r="254">
      <c r="B254" s="97"/>
      <c r="C254" s="121" t="str">
        <f t="array" ref="C254">ifs(and(isblank($A254),isblank($B254)),"", not(iserror(vlookup($A254&amp;$B254,'5) Release_Track'!$F:$F&amp;'5) Release_Track'!$G:$G,1,0))),vlookup($A254&amp;$B254,{'5) Release_Track'!$F:$F&amp;'5) Release_Track'!$G:$G,'5) Release_Track'!$H:$H},2,0),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D254" s="121" t="str">
        <f t="array" ref="D254">ifs(and(isblank($A254),isblank($B254)),"", not(iserror(vlookup($A254&amp;$B254,'5) Release_Track'!$F:$F&amp;'5) Release_Track'!$G:$G,1,0))),vlookup($A254&amp;$B254,{'5) Release_Track'!$F:$F&amp;'5) Release_Track'!$G:$G,'5) Release_Track'!$I:$I},2,0),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E254" s="150" t="b">
        <v>0</v>
      </c>
      <c r="F254" s="150" t="b">
        <v>0</v>
      </c>
      <c r="G254" s="150" t="b">
        <v>0</v>
      </c>
      <c r="H254" s="150" t="b">
        <v>0</v>
      </c>
      <c r="I254" s="150" t="b">
        <v>0</v>
      </c>
      <c r="J254" s="150" t="b">
        <v>0</v>
      </c>
      <c r="K254" s="150" t="b">
        <v>0</v>
      </c>
      <c r="L254" s="8" t="b">
        <v>0</v>
      </c>
    </row>
    <row r="255">
      <c r="B255" s="97"/>
      <c r="C255" s="121" t="str">
        <f t="array" ref="C255">ifs(and(isblank($A255),isblank($B255)),"", not(iserror(vlookup($A255&amp;$B255,'5) Release_Track'!$F:$F&amp;'5) Release_Track'!$G:$G,1,0))),vlookup($A255&amp;$B255,{'5) Release_Track'!$F:$F&amp;'5) Release_Track'!$G:$G,'5) Release_Track'!$H:$H},2,0),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D255" s="121" t="str">
        <f t="array" ref="D255">ifs(and(isblank($A255),isblank($B255)),"", not(iserror(vlookup($A255&amp;$B255,'5) Release_Track'!$F:$F&amp;'5) Release_Track'!$G:$G,1,0))),vlookup($A255&amp;$B255,{'5) Release_Track'!$F:$F&amp;'5) Release_Track'!$G:$G,'5) Release_Track'!$I:$I},2,0),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E255" s="150" t="b">
        <v>0</v>
      </c>
      <c r="F255" s="150" t="b">
        <v>0</v>
      </c>
      <c r="G255" s="150" t="b">
        <v>0</v>
      </c>
      <c r="H255" s="150" t="b">
        <v>0</v>
      </c>
      <c r="I255" s="150" t="b">
        <v>0</v>
      </c>
      <c r="J255" s="150" t="b">
        <v>0</v>
      </c>
      <c r="K255" s="150" t="b">
        <v>0</v>
      </c>
      <c r="L255" s="8" t="b">
        <v>0</v>
      </c>
    </row>
    <row r="256">
      <c r="B256" s="97"/>
      <c r="C256" s="121" t="str">
        <f t="array" ref="C256">ifs(and(isblank($A256),isblank($B256)),"", not(iserror(vlookup($A256&amp;$B256,'5) Release_Track'!$F:$F&amp;'5) Release_Track'!$G:$G,1,0))),vlookup($A256&amp;$B256,{'5) Release_Track'!$F:$F&amp;'5) Release_Track'!$G:$G,'5) Release_Track'!$H:$H},2,0),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D256" s="121" t="str">
        <f t="array" ref="D256">ifs(and(isblank($A256),isblank($B256)),"", not(iserror(vlookup($A256&amp;$B256,'5) Release_Track'!$F:$F&amp;'5) Release_Track'!$G:$G,1,0))),vlookup($A256&amp;$B256,{'5) Release_Track'!$F:$F&amp;'5) Release_Track'!$G:$G,'5) Release_Track'!$I:$I},2,0),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E256" s="150" t="b">
        <v>0</v>
      </c>
      <c r="F256" s="150" t="b">
        <v>0</v>
      </c>
      <c r="G256" s="150" t="b">
        <v>0</v>
      </c>
      <c r="H256" s="150" t="b">
        <v>0</v>
      </c>
      <c r="I256" s="150" t="b">
        <v>0</v>
      </c>
      <c r="J256" s="150" t="b">
        <v>0</v>
      </c>
      <c r="K256" s="150" t="b">
        <v>0</v>
      </c>
      <c r="L256" s="8" t="b">
        <v>0</v>
      </c>
    </row>
    <row r="257">
      <c r="B257" s="97"/>
      <c r="C257" s="121" t="str">
        <f t="array" ref="C257">ifs(and(isblank($A257),isblank($B257)),"", not(iserror(vlookup($A257&amp;$B257,'5) Release_Track'!$F:$F&amp;'5) Release_Track'!$G:$G,1,0))),vlookup($A257&amp;$B257,{'5) Release_Track'!$F:$F&amp;'5) Release_Track'!$G:$G,'5) Release_Track'!$H:$H},2,0),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D257" s="121" t="str">
        <f t="array" ref="D257">ifs(and(isblank($A257),isblank($B257)),"", not(iserror(vlookup($A257&amp;$B257,'5) Release_Track'!$F:$F&amp;'5) Release_Track'!$G:$G,1,0))),vlookup($A257&amp;$B257,{'5) Release_Track'!$F:$F&amp;'5) Release_Track'!$G:$G,'5) Release_Track'!$I:$I},2,0),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E257" s="150" t="b">
        <v>0</v>
      </c>
      <c r="F257" s="150" t="b">
        <v>0</v>
      </c>
      <c r="G257" s="150" t="b">
        <v>0</v>
      </c>
      <c r="H257" s="150" t="b">
        <v>0</v>
      </c>
      <c r="I257" s="150" t="b">
        <v>0</v>
      </c>
      <c r="J257" s="150" t="b">
        <v>0</v>
      </c>
      <c r="K257" s="150" t="b">
        <v>0</v>
      </c>
      <c r="L257" s="8" t="b">
        <v>0</v>
      </c>
    </row>
    <row r="258">
      <c r="B258" s="97"/>
      <c r="C258" s="121" t="str">
        <f t="array" ref="C258">ifs(and(isblank($A258),isblank($B258)),"", not(iserror(vlookup($A258&amp;$B258,'5) Release_Track'!$F:$F&amp;'5) Release_Track'!$G:$G,1,0))),vlookup($A258&amp;$B258,{'5) Release_Track'!$F:$F&amp;'5) Release_Track'!$G:$G,'5) Release_Track'!$H:$H},2,0),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D258" s="121" t="str">
        <f t="array" ref="D258">ifs(and(isblank($A258),isblank($B258)),"", not(iserror(vlookup($A258&amp;$B258,'5) Release_Track'!$F:$F&amp;'5) Release_Track'!$G:$G,1,0))),vlookup($A258&amp;$B258,{'5) Release_Track'!$F:$F&amp;'5) Release_Track'!$G:$G,'5) Release_Track'!$I:$I},2,0),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E258" s="150" t="b">
        <v>0</v>
      </c>
      <c r="F258" s="150" t="b">
        <v>0</v>
      </c>
      <c r="G258" s="150" t="b">
        <v>0</v>
      </c>
      <c r="H258" s="150" t="b">
        <v>0</v>
      </c>
      <c r="I258" s="150" t="b">
        <v>0</v>
      </c>
      <c r="J258" s="150" t="b">
        <v>0</v>
      </c>
      <c r="K258" s="150" t="b">
        <v>0</v>
      </c>
      <c r="L258" s="8" t="b">
        <v>0</v>
      </c>
    </row>
    <row r="259">
      <c r="B259" s="97"/>
      <c r="C259" s="121" t="str">
        <f t="array" ref="C259">ifs(and(isblank($A259),isblank($B259)),"", not(iserror(vlookup($A259&amp;$B259,'5) Release_Track'!$F:$F&amp;'5) Release_Track'!$G:$G,1,0))),vlookup($A259&amp;$B259,{'5) Release_Track'!$F:$F&amp;'5) Release_Track'!$G:$G,'5) Release_Track'!$H:$H},2,0),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D259" s="121" t="str">
        <f t="array" ref="D259">ifs(and(isblank($A259),isblank($B259)),"", not(iserror(vlookup($A259&amp;$B259,'5) Release_Track'!$F:$F&amp;'5) Release_Track'!$G:$G,1,0))),vlookup($A259&amp;$B259,{'5) Release_Track'!$F:$F&amp;'5) Release_Track'!$G:$G,'5) Release_Track'!$I:$I},2,0),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E259" s="150" t="b">
        <v>0</v>
      </c>
      <c r="F259" s="150" t="b">
        <v>0</v>
      </c>
      <c r="G259" s="150" t="b">
        <v>0</v>
      </c>
      <c r="H259" s="150" t="b">
        <v>0</v>
      </c>
      <c r="I259" s="150" t="b">
        <v>0</v>
      </c>
      <c r="J259" s="150" t="b">
        <v>0</v>
      </c>
      <c r="K259" s="150" t="b">
        <v>0</v>
      </c>
      <c r="L259" s="8" t="b">
        <v>0</v>
      </c>
    </row>
    <row r="260">
      <c r="B260" s="97"/>
      <c r="C260" s="121" t="str">
        <f t="array" ref="C260">ifs(and(isblank($A260),isblank($B260)),"", not(iserror(vlookup($A260&amp;$B260,'5) Release_Track'!$F:$F&amp;'5) Release_Track'!$G:$G,1,0))),vlookup($A260&amp;$B260,{'5) Release_Track'!$F:$F&amp;'5) Release_Track'!$G:$G,'5) Release_Track'!$H:$H},2,0),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D260" s="121" t="str">
        <f t="array" ref="D260">ifs(and(isblank($A260),isblank($B260)),"", not(iserror(vlookup($A260&amp;$B260,'5) Release_Track'!$F:$F&amp;'5) Release_Track'!$G:$G,1,0))),vlookup($A260&amp;$B260,{'5) Release_Track'!$F:$F&amp;'5) Release_Track'!$G:$G,'5) Release_Track'!$I:$I},2,0),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E260" s="150" t="b">
        <v>0</v>
      </c>
      <c r="F260" s="150" t="b">
        <v>0</v>
      </c>
      <c r="G260" s="150" t="b">
        <v>0</v>
      </c>
      <c r="H260" s="150" t="b">
        <v>0</v>
      </c>
      <c r="I260" s="150" t="b">
        <v>0</v>
      </c>
      <c r="J260" s="150" t="b">
        <v>0</v>
      </c>
      <c r="K260" s="150" t="b">
        <v>0</v>
      </c>
      <c r="L260" s="8" t="b">
        <v>0</v>
      </c>
    </row>
    <row r="261">
      <c r="B261" s="97"/>
      <c r="C261" s="121" t="str">
        <f t="array" ref="C261">ifs(and(isblank($A261),isblank($B261)),"", not(iserror(vlookup($A261&amp;$B261,'5) Release_Track'!$F:$F&amp;'5) Release_Track'!$G:$G,1,0))),vlookup($A261&amp;$B261,{'5) Release_Track'!$F:$F&amp;'5) Release_Track'!$G:$G,'5) Release_Track'!$H:$H},2,0),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D261" s="121" t="str">
        <f t="array" ref="D261">ifs(and(isblank($A261),isblank($B261)),"", not(iserror(vlookup($A261&amp;$B261,'5) Release_Track'!$F:$F&amp;'5) Release_Track'!$G:$G,1,0))),vlookup($A261&amp;$B261,{'5) Release_Track'!$F:$F&amp;'5) Release_Track'!$G:$G,'5) Release_Track'!$I:$I},2,0),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E261" s="150" t="b">
        <v>0</v>
      </c>
      <c r="F261" s="150" t="b">
        <v>0</v>
      </c>
      <c r="G261" s="150" t="b">
        <v>0</v>
      </c>
      <c r="H261" s="150" t="b">
        <v>0</v>
      </c>
      <c r="I261" s="150" t="b">
        <v>0</v>
      </c>
      <c r="J261" s="150" t="b">
        <v>0</v>
      </c>
      <c r="K261" s="150" t="b">
        <v>0</v>
      </c>
      <c r="L261" s="8" t="b">
        <v>0</v>
      </c>
    </row>
    <row r="262">
      <c r="B262" s="97"/>
      <c r="C262" s="121" t="str">
        <f t="array" ref="C262">ifs(and(isblank($A262),isblank($B262)),"", not(iserror(vlookup($A262&amp;$B262,'5) Release_Track'!$F:$F&amp;'5) Release_Track'!$G:$G,1,0))),vlookup($A262&amp;$B262,{'5) Release_Track'!$F:$F&amp;'5) Release_Track'!$G:$G,'5) Release_Track'!$H:$H},2,0),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D262" s="121" t="str">
        <f t="array" ref="D262">ifs(and(isblank($A262),isblank($B262)),"", not(iserror(vlookup($A262&amp;$B262,'5) Release_Track'!$F:$F&amp;'5) Release_Track'!$G:$G,1,0))),vlookup($A262&amp;$B262,{'5) Release_Track'!$F:$F&amp;'5) Release_Track'!$G:$G,'5) Release_Track'!$I:$I},2,0),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E262" s="150" t="b">
        <v>0</v>
      </c>
      <c r="F262" s="150" t="b">
        <v>0</v>
      </c>
      <c r="G262" s="150" t="b">
        <v>0</v>
      </c>
      <c r="H262" s="150" t="b">
        <v>0</v>
      </c>
      <c r="I262" s="150" t="b">
        <v>0</v>
      </c>
      <c r="J262" s="150" t="b">
        <v>0</v>
      </c>
      <c r="K262" s="150" t="b">
        <v>0</v>
      </c>
      <c r="L262" s="8" t="b">
        <v>0</v>
      </c>
    </row>
    <row r="263">
      <c r="B263" s="97"/>
      <c r="C263" s="121" t="str">
        <f t="array" ref="C263">ifs(and(isblank($A263),isblank($B263)),"", not(iserror(vlookup($A263&amp;$B263,'5) Release_Track'!$F:$F&amp;'5) Release_Track'!$G:$G,1,0))),vlookup($A263&amp;$B263,{'5) Release_Track'!$F:$F&amp;'5) Release_Track'!$G:$G,'5) Release_Track'!$H:$H},2,0),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D263" s="121" t="str">
        <f t="array" ref="D263">ifs(and(isblank($A263),isblank($B263)),"", not(iserror(vlookup($A263&amp;$B263,'5) Release_Track'!$F:$F&amp;'5) Release_Track'!$G:$G,1,0))),vlookup($A263&amp;$B263,{'5) Release_Track'!$F:$F&amp;'5) Release_Track'!$G:$G,'5) Release_Track'!$I:$I},2,0),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E263" s="150" t="b">
        <v>0</v>
      </c>
      <c r="F263" s="150" t="b">
        <v>0</v>
      </c>
      <c r="G263" s="150" t="b">
        <v>0</v>
      </c>
      <c r="H263" s="150" t="b">
        <v>0</v>
      </c>
      <c r="I263" s="150" t="b">
        <v>0</v>
      </c>
      <c r="J263" s="150" t="b">
        <v>0</v>
      </c>
      <c r="K263" s="150" t="b">
        <v>0</v>
      </c>
      <c r="L263" s="8" t="b">
        <v>0</v>
      </c>
    </row>
    <row r="264">
      <c r="B264" s="97"/>
      <c r="C264" s="121" t="str">
        <f t="array" ref="C264">ifs(and(isblank($A264),isblank($B264)),"", not(iserror(vlookup($A264&amp;$B264,'5) Release_Track'!$F:$F&amp;'5) Release_Track'!$G:$G,1,0))),vlookup($A264&amp;$B264,{'5) Release_Track'!$F:$F&amp;'5) Release_Track'!$G:$G,'5) Release_Track'!$H:$H},2,0),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D264" s="121" t="str">
        <f t="array" ref="D264">ifs(and(isblank($A264),isblank($B264)),"", not(iserror(vlookup($A264&amp;$B264,'5) Release_Track'!$F:$F&amp;'5) Release_Track'!$G:$G,1,0))),vlookup($A264&amp;$B264,{'5) Release_Track'!$F:$F&amp;'5) Release_Track'!$G:$G,'5) Release_Track'!$I:$I},2,0),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E264" s="150" t="b">
        <v>0</v>
      </c>
      <c r="F264" s="150" t="b">
        <v>0</v>
      </c>
      <c r="G264" s="150" t="b">
        <v>0</v>
      </c>
      <c r="H264" s="150" t="b">
        <v>0</v>
      </c>
      <c r="I264" s="150" t="b">
        <v>0</v>
      </c>
      <c r="J264" s="150" t="b">
        <v>0</v>
      </c>
      <c r="K264" s="150" t="b">
        <v>0</v>
      </c>
      <c r="L264" s="8" t="b">
        <v>0</v>
      </c>
    </row>
    <row r="265">
      <c r="B265" s="97"/>
      <c r="C265" s="121" t="str">
        <f t="array" ref="C265">ifs(and(isblank($A265),isblank($B265)),"", not(iserror(vlookup($A265&amp;$B265,'5) Release_Track'!$F:$F&amp;'5) Release_Track'!$G:$G,1,0))),vlookup($A265&amp;$B265,{'5) Release_Track'!$F:$F&amp;'5) Release_Track'!$G:$G,'5) Release_Track'!$H:$H},2,0),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D265" s="121" t="str">
        <f t="array" ref="D265">ifs(and(isblank($A265),isblank($B265)),"", not(iserror(vlookup($A265&amp;$B265,'5) Release_Track'!$F:$F&amp;'5) Release_Track'!$G:$G,1,0))),vlookup($A265&amp;$B265,{'5) Release_Track'!$F:$F&amp;'5) Release_Track'!$G:$G,'5) Release_Track'!$I:$I},2,0),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E265" s="150" t="b">
        <v>0</v>
      </c>
      <c r="F265" s="150" t="b">
        <v>0</v>
      </c>
      <c r="G265" s="150" t="b">
        <v>0</v>
      </c>
      <c r="H265" s="150" t="b">
        <v>0</v>
      </c>
      <c r="I265" s="150" t="b">
        <v>0</v>
      </c>
      <c r="J265" s="150" t="b">
        <v>0</v>
      </c>
      <c r="K265" s="150" t="b">
        <v>0</v>
      </c>
      <c r="L265" s="8" t="b">
        <v>0</v>
      </c>
    </row>
    <row r="266">
      <c r="B266" s="97"/>
      <c r="C266" s="121" t="str">
        <f t="array" ref="C266">ifs(and(isblank($A266),isblank($B266)),"", not(iserror(vlookup($A266&amp;$B266,'5) Release_Track'!$F:$F&amp;'5) Release_Track'!$G:$G,1,0))),vlookup($A266&amp;$B266,{'5) Release_Track'!$F:$F&amp;'5) Release_Track'!$G:$G,'5) Release_Track'!$H:$H},2,0),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D266" s="121" t="str">
        <f t="array" ref="D266">ifs(and(isblank($A266),isblank($B266)),"", not(iserror(vlookup($A266&amp;$B266,'5) Release_Track'!$F:$F&amp;'5) Release_Track'!$G:$G,1,0))),vlookup($A266&amp;$B266,{'5) Release_Track'!$F:$F&amp;'5) Release_Track'!$G:$G,'5) Release_Track'!$I:$I},2,0),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E266" s="150" t="b">
        <v>0</v>
      </c>
      <c r="F266" s="150" t="b">
        <v>0</v>
      </c>
      <c r="G266" s="150" t="b">
        <v>0</v>
      </c>
      <c r="H266" s="150" t="b">
        <v>0</v>
      </c>
      <c r="I266" s="150" t="b">
        <v>0</v>
      </c>
      <c r="J266" s="150" t="b">
        <v>0</v>
      </c>
      <c r="K266" s="150" t="b">
        <v>0</v>
      </c>
      <c r="L266" s="8" t="b">
        <v>0</v>
      </c>
    </row>
    <row r="267">
      <c r="B267" s="97"/>
      <c r="C267" s="121" t="str">
        <f t="array" ref="C267">ifs(and(isblank($A267),isblank($B267)),"", not(iserror(vlookup($A267&amp;$B267,'5) Release_Track'!$F:$F&amp;'5) Release_Track'!$G:$G,1,0))),vlookup($A267&amp;$B267,{'5) Release_Track'!$F:$F&amp;'5) Release_Track'!$G:$G,'5) Release_Track'!$H:$H},2,0),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D267" s="121" t="str">
        <f t="array" ref="D267">ifs(and(isblank($A267),isblank($B267)),"", not(iserror(vlookup($A267&amp;$B267,'5) Release_Track'!$F:$F&amp;'5) Release_Track'!$G:$G,1,0))),vlookup($A267&amp;$B267,{'5) Release_Track'!$F:$F&amp;'5) Release_Track'!$G:$G,'5) Release_Track'!$I:$I},2,0),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E267" s="150" t="b">
        <v>0</v>
      </c>
      <c r="F267" s="150" t="b">
        <v>0</v>
      </c>
      <c r="G267" s="150" t="b">
        <v>0</v>
      </c>
      <c r="H267" s="150" t="b">
        <v>0</v>
      </c>
      <c r="I267" s="150" t="b">
        <v>0</v>
      </c>
      <c r="J267" s="150" t="b">
        <v>0</v>
      </c>
      <c r="K267" s="150" t="b">
        <v>0</v>
      </c>
      <c r="L267" s="8" t="b">
        <v>0</v>
      </c>
    </row>
    <row r="268">
      <c r="B268" s="97"/>
      <c r="C268" s="121" t="str">
        <f t="array" ref="C268">ifs(and(isblank($A268),isblank($B268)),"", not(iserror(vlookup($A268&amp;$B268,'5) Release_Track'!$F:$F&amp;'5) Release_Track'!$G:$G,1,0))),vlookup($A268&amp;$B268,{'5) Release_Track'!$F:$F&amp;'5) Release_Track'!$G:$G,'5) Release_Track'!$H:$H},2,0),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D268" s="121" t="str">
        <f t="array" ref="D268">ifs(and(isblank($A268),isblank($B268)),"", not(iserror(vlookup($A268&amp;$B268,'5) Release_Track'!$F:$F&amp;'5) Release_Track'!$G:$G,1,0))),vlookup($A268&amp;$B268,{'5) Release_Track'!$F:$F&amp;'5) Release_Track'!$G:$G,'5) Release_Track'!$I:$I},2,0),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E268" s="150" t="b">
        <v>0</v>
      </c>
      <c r="F268" s="150" t="b">
        <v>0</v>
      </c>
      <c r="G268" s="150" t="b">
        <v>0</v>
      </c>
      <c r="H268" s="150" t="b">
        <v>0</v>
      </c>
      <c r="I268" s="150" t="b">
        <v>0</v>
      </c>
      <c r="J268" s="150" t="b">
        <v>0</v>
      </c>
      <c r="K268" s="150" t="b">
        <v>0</v>
      </c>
      <c r="L268" s="8" t="b">
        <v>0</v>
      </c>
    </row>
    <row r="269">
      <c r="B269" s="97"/>
      <c r="C269" s="121" t="str">
        <f t="array" ref="C269">ifs(and(isblank($A269),isblank($B269)),"", not(iserror(vlookup($A269&amp;$B269,'5) Release_Track'!$F:$F&amp;'5) Release_Track'!$G:$G,1,0))),vlookup($A269&amp;$B269,{'5) Release_Track'!$F:$F&amp;'5) Release_Track'!$G:$G,'5) Release_Track'!$H:$H},2,0),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D269" s="121" t="str">
        <f t="array" ref="D269">ifs(and(isblank($A269),isblank($B269)),"", not(iserror(vlookup($A269&amp;$B269,'5) Release_Track'!$F:$F&amp;'5) Release_Track'!$G:$G,1,0))),vlookup($A269&amp;$B269,{'5) Release_Track'!$F:$F&amp;'5) Release_Track'!$G:$G,'5) Release_Track'!$I:$I},2,0),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E269" s="150" t="b">
        <v>0</v>
      </c>
      <c r="F269" s="150" t="b">
        <v>0</v>
      </c>
      <c r="G269" s="150" t="b">
        <v>0</v>
      </c>
      <c r="H269" s="150" t="b">
        <v>0</v>
      </c>
      <c r="I269" s="150" t="b">
        <v>0</v>
      </c>
      <c r="J269" s="150" t="b">
        <v>0</v>
      </c>
      <c r="K269" s="150" t="b">
        <v>0</v>
      </c>
      <c r="L269" s="8" t="b">
        <v>0</v>
      </c>
    </row>
    <row r="270">
      <c r="B270" s="97"/>
      <c r="C270" s="121" t="str">
        <f t="array" ref="C270">ifs(and(isblank($A270),isblank($B270)),"", not(iserror(vlookup($A270&amp;$B270,'5) Release_Track'!$F:$F&amp;'5) Release_Track'!$G:$G,1,0))),vlookup($A270&amp;$B270,{'5) Release_Track'!$F:$F&amp;'5) Release_Track'!$G:$G,'5) Release_Track'!$H:$H},2,0),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D270" s="121" t="str">
        <f t="array" ref="D270">ifs(and(isblank($A270),isblank($B270)),"", not(iserror(vlookup($A270&amp;$B270,'5) Release_Track'!$F:$F&amp;'5) Release_Track'!$G:$G,1,0))),vlookup($A270&amp;$B270,{'5) Release_Track'!$F:$F&amp;'5) Release_Track'!$G:$G,'5) Release_Track'!$I:$I},2,0),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E270" s="150" t="b">
        <v>0</v>
      </c>
      <c r="F270" s="150" t="b">
        <v>0</v>
      </c>
      <c r="G270" s="150" t="b">
        <v>0</v>
      </c>
      <c r="H270" s="150" t="b">
        <v>0</v>
      </c>
      <c r="I270" s="150" t="b">
        <v>0</v>
      </c>
      <c r="J270" s="150" t="b">
        <v>0</v>
      </c>
      <c r="K270" s="150" t="b">
        <v>0</v>
      </c>
      <c r="L270" s="8" t="b">
        <v>0</v>
      </c>
    </row>
    <row r="271">
      <c r="B271" s="97"/>
      <c r="C271" s="121" t="str">
        <f t="array" ref="C271">ifs(and(isblank($A271),isblank($B271)),"", not(iserror(vlookup($A271&amp;$B271,'5) Release_Track'!$F:$F&amp;'5) Release_Track'!$G:$G,1,0))),vlookup($A271&amp;$B271,{'5) Release_Track'!$F:$F&amp;'5) Release_Track'!$G:$G,'5) Release_Track'!$H:$H},2,0),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D271" s="121" t="str">
        <f t="array" ref="D271">ifs(and(isblank($A271),isblank($B271)),"", not(iserror(vlookup($A271&amp;$B271,'5) Release_Track'!$F:$F&amp;'5) Release_Track'!$G:$G,1,0))),vlookup($A271&amp;$B271,{'5) Release_Track'!$F:$F&amp;'5) Release_Track'!$G:$G,'5) Release_Track'!$I:$I},2,0),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E271" s="150" t="b">
        <v>0</v>
      </c>
      <c r="F271" s="150" t="b">
        <v>0</v>
      </c>
      <c r="G271" s="150" t="b">
        <v>0</v>
      </c>
      <c r="H271" s="150" t="b">
        <v>0</v>
      </c>
      <c r="I271" s="150" t="b">
        <v>0</v>
      </c>
      <c r="J271" s="150" t="b">
        <v>0</v>
      </c>
      <c r="K271" s="150" t="b">
        <v>0</v>
      </c>
      <c r="L271" s="8" t="b">
        <v>0</v>
      </c>
    </row>
    <row r="272">
      <c r="B272" s="97"/>
      <c r="C272" s="121" t="str">
        <f t="array" ref="C272">ifs(and(isblank($A272),isblank($B272)),"", not(iserror(vlookup($A272&amp;$B272,'5) Release_Track'!$F:$F&amp;'5) Release_Track'!$G:$G,1,0))),vlookup($A272&amp;$B272,{'5) Release_Track'!$F:$F&amp;'5) Release_Track'!$G:$G,'5) Release_Track'!$H:$H},2,0),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D272" s="121" t="str">
        <f t="array" ref="D272">ifs(and(isblank($A272),isblank($B272)),"", not(iserror(vlookup($A272&amp;$B272,'5) Release_Track'!$F:$F&amp;'5) Release_Track'!$G:$G,1,0))),vlookup($A272&amp;$B272,{'5) Release_Track'!$F:$F&amp;'5) Release_Track'!$G:$G,'5) Release_Track'!$I:$I},2,0),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E272" s="150" t="b">
        <v>0</v>
      </c>
      <c r="F272" s="150" t="b">
        <v>0</v>
      </c>
      <c r="G272" s="150" t="b">
        <v>0</v>
      </c>
      <c r="H272" s="150" t="b">
        <v>0</v>
      </c>
      <c r="I272" s="150" t="b">
        <v>0</v>
      </c>
      <c r="J272" s="150" t="b">
        <v>0</v>
      </c>
      <c r="K272" s="150" t="b">
        <v>0</v>
      </c>
      <c r="L272" s="8" t="b">
        <v>0</v>
      </c>
    </row>
    <row r="273">
      <c r="B273" s="97"/>
      <c r="C273" s="121" t="str">
        <f t="array" ref="C273">ifs(and(isblank($A273),isblank($B273)),"", not(iserror(vlookup($A273&amp;$B273,'5) Release_Track'!$F:$F&amp;'5) Release_Track'!$G:$G,1,0))),vlookup($A273&amp;$B273,{'5) Release_Track'!$F:$F&amp;'5) Release_Track'!$G:$G,'5) Release_Track'!$H:$H},2,0),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D273" s="121" t="str">
        <f t="array" ref="D273">ifs(and(isblank($A273),isblank($B273)),"", not(iserror(vlookup($A273&amp;$B273,'5) Release_Track'!$F:$F&amp;'5) Release_Track'!$G:$G,1,0))),vlookup($A273&amp;$B273,{'5) Release_Track'!$F:$F&amp;'5) Release_Track'!$G:$G,'5) Release_Track'!$I:$I},2,0),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E273" s="150" t="b">
        <v>0</v>
      </c>
      <c r="F273" s="150" t="b">
        <v>0</v>
      </c>
      <c r="G273" s="150" t="b">
        <v>0</v>
      </c>
      <c r="H273" s="150" t="b">
        <v>0</v>
      </c>
      <c r="I273" s="150" t="b">
        <v>0</v>
      </c>
      <c r="J273" s="150" t="b">
        <v>0</v>
      </c>
      <c r="K273" s="150" t="b">
        <v>0</v>
      </c>
      <c r="L273" s="8" t="b">
        <v>0</v>
      </c>
    </row>
    <row r="274">
      <c r="B274" s="97"/>
      <c r="C274" s="121" t="str">
        <f t="array" ref="C274">ifs(and(isblank($A274),isblank($B274)),"", not(iserror(vlookup($A274&amp;$B274,'5) Release_Track'!$F:$F&amp;'5) Release_Track'!$G:$G,1,0))),vlookup($A274&amp;$B274,{'5) Release_Track'!$F:$F&amp;'5) Release_Track'!$G:$G,'5) Release_Track'!$H:$H},2,0),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D274" s="121" t="str">
        <f t="array" ref="D274">ifs(and(isblank($A274),isblank($B274)),"", not(iserror(vlookup($A274&amp;$B274,'5) Release_Track'!$F:$F&amp;'5) Release_Track'!$G:$G,1,0))),vlookup($A274&amp;$B274,{'5) Release_Track'!$F:$F&amp;'5) Release_Track'!$G:$G,'5) Release_Track'!$I:$I},2,0),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E274" s="150" t="b">
        <v>0</v>
      </c>
      <c r="F274" s="150" t="b">
        <v>0</v>
      </c>
      <c r="G274" s="150" t="b">
        <v>0</v>
      </c>
      <c r="H274" s="150" t="b">
        <v>0</v>
      </c>
      <c r="I274" s="150" t="b">
        <v>0</v>
      </c>
      <c r="J274" s="150" t="b">
        <v>0</v>
      </c>
      <c r="K274" s="150" t="b">
        <v>0</v>
      </c>
      <c r="L274" s="8" t="b">
        <v>0</v>
      </c>
    </row>
    <row r="275">
      <c r="B275" s="97"/>
      <c r="C275" s="121" t="str">
        <f t="array" ref="C275">ifs(and(isblank($A275),isblank($B275)),"", not(iserror(vlookup($A275&amp;$B275,'5) Release_Track'!$F:$F&amp;'5) Release_Track'!$G:$G,1,0))),vlookup($A275&amp;$B275,{'5) Release_Track'!$F:$F&amp;'5) Release_Track'!$G:$G,'5) Release_Track'!$H:$H},2,0),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D275" s="121" t="str">
        <f t="array" ref="D275">ifs(and(isblank($A275),isblank($B275)),"", not(iserror(vlookup($A275&amp;$B275,'5) Release_Track'!$F:$F&amp;'5) Release_Track'!$G:$G,1,0))),vlookup($A275&amp;$B275,{'5) Release_Track'!$F:$F&amp;'5) Release_Track'!$G:$G,'5) Release_Track'!$I:$I},2,0),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E275" s="150" t="b">
        <v>0</v>
      </c>
      <c r="F275" s="150" t="b">
        <v>0</v>
      </c>
      <c r="G275" s="150" t="b">
        <v>0</v>
      </c>
      <c r="H275" s="150" t="b">
        <v>0</v>
      </c>
      <c r="I275" s="150" t="b">
        <v>0</v>
      </c>
      <c r="J275" s="150" t="b">
        <v>0</v>
      </c>
      <c r="K275" s="150" t="b">
        <v>0</v>
      </c>
      <c r="L275" s="8" t="b">
        <v>0</v>
      </c>
    </row>
    <row r="276">
      <c r="B276" s="97"/>
      <c r="C276" s="121" t="str">
        <f t="array" ref="C276">ifs(and(isblank($A276),isblank($B276)),"", not(iserror(vlookup($A276&amp;$B276,'5) Release_Track'!$F:$F&amp;'5) Release_Track'!$G:$G,1,0))),vlookup($A276&amp;$B276,{'5) Release_Track'!$F:$F&amp;'5) Release_Track'!$G:$G,'5) Release_Track'!$H:$H},2,0),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D276" s="121" t="str">
        <f t="array" ref="D276">ifs(and(isblank($A276),isblank($B276)),"", not(iserror(vlookup($A276&amp;$B276,'5) Release_Track'!$F:$F&amp;'5) Release_Track'!$G:$G,1,0))),vlookup($A276&amp;$B276,{'5) Release_Track'!$F:$F&amp;'5) Release_Track'!$G:$G,'5) Release_Track'!$I:$I},2,0),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E276" s="150" t="b">
        <v>0</v>
      </c>
      <c r="F276" s="150" t="b">
        <v>0</v>
      </c>
      <c r="G276" s="150" t="b">
        <v>0</v>
      </c>
      <c r="H276" s="150" t="b">
        <v>0</v>
      </c>
      <c r="I276" s="150" t="b">
        <v>0</v>
      </c>
      <c r="J276" s="150" t="b">
        <v>0</v>
      </c>
      <c r="K276" s="150" t="b">
        <v>0</v>
      </c>
      <c r="L276" s="8" t="b">
        <v>0</v>
      </c>
    </row>
    <row r="277">
      <c r="B277" s="97"/>
      <c r="C277" s="121" t="str">
        <f t="array" ref="C277">ifs(and(isblank($A277),isblank($B277)),"", not(iserror(vlookup($A277&amp;$B277,'5) Release_Track'!$F:$F&amp;'5) Release_Track'!$G:$G,1,0))),vlookup($A277&amp;$B277,{'5) Release_Track'!$F:$F&amp;'5) Release_Track'!$G:$G,'5) Release_Track'!$H:$H},2,0),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D277" s="121" t="str">
        <f t="array" ref="D277">ifs(and(isblank($A277),isblank($B277)),"", not(iserror(vlookup($A277&amp;$B277,'5) Release_Track'!$F:$F&amp;'5) Release_Track'!$G:$G,1,0))),vlookup($A277&amp;$B277,{'5) Release_Track'!$F:$F&amp;'5) Release_Track'!$G:$G,'5) Release_Track'!$I:$I},2,0),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E277" s="150" t="b">
        <v>0</v>
      </c>
      <c r="F277" s="150" t="b">
        <v>0</v>
      </c>
      <c r="G277" s="150" t="b">
        <v>0</v>
      </c>
      <c r="H277" s="150" t="b">
        <v>0</v>
      </c>
      <c r="I277" s="150" t="b">
        <v>0</v>
      </c>
      <c r="J277" s="150" t="b">
        <v>0</v>
      </c>
      <c r="K277" s="150" t="b">
        <v>0</v>
      </c>
      <c r="L277" s="8" t="b">
        <v>0</v>
      </c>
    </row>
    <row r="278">
      <c r="B278" s="97"/>
      <c r="C278" s="121" t="str">
        <f t="array" ref="C278">ifs(and(isblank($A278),isblank($B278)),"", not(iserror(vlookup($A278&amp;$B278,'5) Release_Track'!$F:$F&amp;'5) Release_Track'!$G:$G,1,0))),vlookup($A278&amp;$B278,{'5) Release_Track'!$F:$F&amp;'5) Release_Track'!$G:$G,'5) Release_Track'!$H:$H},2,0),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D278" s="121" t="str">
        <f t="array" ref="D278">ifs(and(isblank($A278),isblank($B278)),"", not(iserror(vlookup($A278&amp;$B278,'5) Release_Track'!$F:$F&amp;'5) Release_Track'!$G:$G,1,0))),vlookup($A278&amp;$B278,{'5) Release_Track'!$F:$F&amp;'5) Release_Track'!$G:$G,'5) Release_Track'!$I:$I},2,0),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E278" s="150" t="b">
        <v>0</v>
      </c>
      <c r="F278" s="150" t="b">
        <v>0</v>
      </c>
      <c r="G278" s="150" t="b">
        <v>0</v>
      </c>
      <c r="H278" s="150" t="b">
        <v>0</v>
      </c>
      <c r="I278" s="150" t="b">
        <v>0</v>
      </c>
      <c r="J278" s="150" t="b">
        <v>0</v>
      </c>
      <c r="K278" s="150" t="b">
        <v>0</v>
      </c>
      <c r="L278" s="8" t="b">
        <v>0</v>
      </c>
    </row>
    <row r="279">
      <c r="B279" s="97"/>
      <c r="C279" s="121" t="str">
        <f t="array" ref="C279">ifs(and(isblank($A279),isblank($B279)),"", not(iserror(vlookup($A279&amp;$B279,'5) Release_Track'!$F:$F&amp;'5) Release_Track'!$G:$G,1,0))),vlookup($A279&amp;$B279,{'5) Release_Track'!$F:$F&amp;'5) Release_Track'!$G:$G,'5) Release_Track'!$H:$H},2,0),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D279" s="121" t="str">
        <f t="array" ref="D279">ifs(and(isblank($A279),isblank($B279)),"", not(iserror(vlookup($A279&amp;$B279,'5) Release_Track'!$F:$F&amp;'5) Release_Track'!$G:$G,1,0))),vlookup($A279&amp;$B279,{'5) Release_Track'!$F:$F&amp;'5) Release_Track'!$G:$G,'5) Release_Track'!$I:$I},2,0),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E279" s="150" t="b">
        <v>0</v>
      </c>
      <c r="F279" s="150" t="b">
        <v>0</v>
      </c>
      <c r="G279" s="150" t="b">
        <v>0</v>
      </c>
      <c r="H279" s="150" t="b">
        <v>0</v>
      </c>
      <c r="I279" s="150" t="b">
        <v>0</v>
      </c>
      <c r="J279" s="150" t="b">
        <v>0</v>
      </c>
      <c r="K279" s="150" t="b">
        <v>0</v>
      </c>
      <c r="L279" s="8" t="b">
        <v>0</v>
      </c>
    </row>
    <row r="280">
      <c r="B280" s="97"/>
      <c r="C280" s="121" t="str">
        <f t="array" ref="C280">ifs(and(isblank($A280),isblank($B280)),"", not(iserror(vlookup($A280&amp;$B280,'5) Release_Track'!$F:$F&amp;'5) Release_Track'!$G:$G,1,0))),vlookup($A280&amp;$B280,{'5) Release_Track'!$F:$F&amp;'5) Release_Track'!$G:$G,'5) Release_Track'!$H:$H},2,0),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D280" s="121" t="str">
        <f t="array" ref="D280">ifs(and(isblank($A280),isblank($B280)),"", not(iserror(vlookup($A280&amp;$B280,'5) Release_Track'!$F:$F&amp;'5) Release_Track'!$G:$G,1,0))),vlookup($A280&amp;$B280,{'5) Release_Track'!$F:$F&amp;'5) Release_Track'!$G:$G,'5) Release_Track'!$I:$I},2,0),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E280" s="150" t="b">
        <v>0</v>
      </c>
      <c r="F280" s="150" t="b">
        <v>0</v>
      </c>
      <c r="G280" s="150" t="b">
        <v>0</v>
      </c>
      <c r="H280" s="150" t="b">
        <v>0</v>
      </c>
      <c r="I280" s="150" t="b">
        <v>0</v>
      </c>
      <c r="J280" s="150" t="b">
        <v>0</v>
      </c>
      <c r="K280" s="150" t="b">
        <v>0</v>
      </c>
      <c r="L280" s="8" t="b">
        <v>0</v>
      </c>
    </row>
    <row r="281">
      <c r="B281" s="97"/>
      <c r="C281" s="121" t="str">
        <f t="array" ref="C281">ifs(and(isblank($A281),isblank($B281)),"", not(iserror(vlookup($A281&amp;$B281,'5) Release_Track'!$F:$F&amp;'5) Release_Track'!$G:$G,1,0))),vlookup($A281&amp;$B281,{'5) Release_Track'!$F:$F&amp;'5) Release_Track'!$G:$G,'5) Release_Track'!$H:$H},2,0),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D281" s="121" t="str">
        <f t="array" ref="D281">ifs(and(isblank($A281),isblank($B281)),"", not(iserror(vlookup($A281&amp;$B281,'5) Release_Track'!$F:$F&amp;'5) Release_Track'!$G:$G,1,0))),vlookup($A281&amp;$B281,{'5) Release_Track'!$F:$F&amp;'5) Release_Track'!$G:$G,'5) Release_Track'!$I:$I},2,0),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E281" s="150" t="b">
        <v>0</v>
      </c>
      <c r="F281" s="150" t="b">
        <v>0</v>
      </c>
      <c r="G281" s="150" t="b">
        <v>0</v>
      </c>
      <c r="H281" s="150" t="b">
        <v>0</v>
      </c>
      <c r="I281" s="150" t="b">
        <v>0</v>
      </c>
      <c r="J281" s="150" t="b">
        <v>0</v>
      </c>
      <c r="K281" s="150" t="b">
        <v>0</v>
      </c>
      <c r="L281" s="8" t="b">
        <v>0</v>
      </c>
    </row>
    <row r="282">
      <c r="B282" s="97"/>
      <c r="C282" s="121" t="str">
        <f t="array" ref="C282">ifs(and(isblank($A282),isblank($B282)),"", not(iserror(vlookup($A282&amp;$B282,'5) Release_Track'!$F:$F&amp;'5) Release_Track'!$G:$G,1,0))),vlookup($A282&amp;$B282,{'5) Release_Track'!$F:$F&amp;'5) Release_Track'!$G:$G,'5) Release_Track'!$H:$H},2,0),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D282" s="121" t="str">
        <f t="array" ref="D282">ifs(and(isblank($A282),isblank($B282)),"", not(iserror(vlookup($A282&amp;$B282,'5) Release_Track'!$F:$F&amp;'5) Release_Track'!$G:$G,1,0))),vlookup($A282&amp;$B282,{'5) Release_Track'!$F:$F&amp;'5) Release_Track'!$G:$G,'5) Release_Track'!$I:$I},2,0),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E282" s="150" t="b">
        <v>0</v>
      </c>
      <c r="F282" s="150" t="b">
        <v>0</v>
      </c>
      <c r="G282" s="150" t="b">
        <v>0</v>
      </c>
      <c r="H282" s="150" t="b">
        <v>0</v>
      </c>
      <c r="I282" s="150" t="b">
        <v>0</v>
      </c>
      <c r="J282" s="150" t="b">
        <v>0</v>
      </c>
      <c r="K282" s="150" t="b">
        <v>0</v>
      </c>
      <c r="L282" s="8" t="b">
        <v>0</v>
      </c>
    </row>
    <row r="283">
      <c r="B283" s="97"/>
      <c r="C283" s="121" t="str">
        <f t="array" ref="C283">ifs(and(isblank($A283),isblank($B283)),"", not(iserror(vlookup($A283&amp;$B283,'5) Release_Track'!$F:$F&amp;'5) Release_Track'!$G:$G,1,0))),vlookup($A283&amp;$B283,{'5) Release_Track'!$F:$F&amp;'5) Release_Track'!$G:$G,'5) Release_Track'!$H:$H},2,0),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D283" s="121" t="str">
        <f t="array" ref="D283">ifs(and(isblank($A283),isblank($B283)),"", not(iserror(vlookup($A283&amp;$B283,'5) Release_Track'!$F:$F&amp;'5) Release_Track'!$G:$G,1,0))),vlookup($A283&amp;$B283,{'5) Release_Track'!$F:$F&amp;'5) Release_Track'!$G:$G,'5) Release_Track'!$I:$I},2,0),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E283" s="150" t="b">
        <v>0</v>
      </c>
      <c r="F283" s="150" t="b">
        <v>0</v>
      </c>
      <c r="G283" s="150" t="b">
        <v>0</v>
      </c>
      <c r="H283" s="150" t="b">
        <v>0</v>
      </c>
      <c r="I283" s="150" t="b">
        <v>0</v>
      </c>
      <c r="J283" s="150" t="b">
        <v>0</v>
      </c>
      <c r="K283" s="150" t="b">
        <v>0</v>
      </c>
      <c r="L283" s="8" t="b">
        <v>0</v>
      </c>
    </row>
    <row r="284">
      <c r="B284" s="97"/>
      <c r="C284" s="121" t="str">
        <f t="array" ref="C284">ifs(and(isblank($A284),isblank($B284)),"", not(iserror(vlookup($A284&amp;$B284,'5) Release_Track'!$F:$F&amp;'5) Release_Track'!$G:$G,1,0))),vlookup($A284&amp;$B284,{'5) Release_Track'!$F:$F&amp;'5) Release_Track'!$G:$G,'5) Release_Track'!$H:$H},2,0),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D284" s="121" t="str">
        <f t="array" ref="D284">ifs(and(isblank($A284),isblank($B284)),"", not(iserror(vlookup($A284&amp;$B284,'5) Release_Track'!$F:$F&amp;'5) Release_Track'!$G:$G,1,0))),vlookup($A284&amp;$B284,{'5) Release_Track'!$F:$F&amp;'5) Release_Track'!$G:$G,'5) Release_Track'!$I:$I},2,0),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E284" s="150" t="b">
        <v>0</v>
      </c>
      <c r="F284" s="150" t="b">
        <v>0</v>
      </c>
      <c r="G284" s="150" t="b">
        <v>0</v>
      </c>
      <c r="H284" s="150" t="b">
        <v>0</v>
      </c>
      <c r="I284" s="150" t="b">
        <v>0</v>
      </c>
      <c r="J284" s="150" t="b">
        <v>0</v>
      </c>
      <c r="K284" s="150" t="b">
        <v>0</v>
      </c>
      <c r="L284" s="8" t="b">
        <v>0</v>
      </c>
    </row>
    <row r="285">
      <c r="B285" s="97"/>
      <c r="C285" s="121" t="str">
        <f t="array" ref="C285">ifs(and(isblank($A285),isblank($B285)),"", not(iserror(vlookup($A285&amp;$B285,'5) Release_Track'!$F:$F&amp;'5) Release_Track'!$G:$G,1,0))),vlookup($A285&amp;$B285,{'5) Release_Track'!$F:$F&amp;'5) Release_Track'!$G:$G,'5) Release_Track'!$H:$H},2,0),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D285" s="121" t="str">
        <f t="array" ref="D285">ifs(and(isblank($A285),isblank($B285)),"", not(iserror(vlookup($A285&amp;$B285,'5) Release_Track'!$F:$F&amp;'5) Release_Track'!$G:$G,1,0))),vlookup($A285&amp;$B285,{'5) Release_Track'!$F:$F&amp;'5) Release_Track'!$G:$G,'5) Release_Track'!$I:$I},2,0),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E285" s="150" t="b">
        <v>0</v>
      </c>
      <c r="F285" s="150" t="b">
        <v>0</v>
      </c>
      <c r="G285" s="150" t="b">
        <v>0</v>
      </c>
      <c r="H285" s="150" t="b">
        <v>0</v>
      </c>
      <c r="I285" s="150" t="b">
        <v>0</v>
      </c>
      <c r="J285" s="150" t="b">
        <v>0</v>
      </c>
      <c r="K285" s="150" t="b">
        <v>0</v>
      </c>
      <c r="L285" s="8" t="b">
        <v>0</v>
      </c>
    </row>
    <row r="286">
      <c r="B286" s="97"/>
      <c r="C286" s="121" t="str">
        <f t="array" ref="C286">ifs(and(isblank($A286),isblank($B286)),"", not(iserror(vlookup($A286&amp;$B286,'5) Release_Track'!$F:$F&amp;'5) Release_Track'!$G:$G,1,0))),vlookup($A286&amp;$B286,{'5) Release_Track'!$F:$F&amp;'5) Release_Track'!$G:$G,'5) Release_Track'!$H:$H},2,0),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D286" s="121" t="str">
        <f t="array" ref="D286">ifs(and(isblank($A286),isblank($B286)),"", not(iserror(vlookup($A286&amp;$B286,'5) Release_Track'!$F:$F&amp;'5) Release_Track'!$G:$G,1,0))),vlookup($A286&amp;$B286,{'5) Release_Track'!$F:$F&amp;'5) Release_Track'!$G:$G,'5) Release_Track'!$I:$I},2,0),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E286" s="150" t="b">
        <v>0</v>
      </c>
      <c r="F286" s="150" t="b">
        <v>0</v>
      </c>
      <c r="G286" s="150" t="b">
        <v>0</v>
      </c>
      <c r="H286" s="150" t="b">
        <v>0</v>
      </c>
      <c r="I286" s="150" t="b">
        <v>0</v>
      </c>
      <c r="J286" s="150" t="b">
        <v>0</v>
      </c>
      <c r="K286" s="150" t="b">
        <v>0</v>
      </c>
      <c r="L286" s="8" t="b">
        <v>0</v>
      </c>
    </row>
    <row r="287">
      <c r="B287" s="97"/>
      <c r="C287" s="121" t="str">
        <f t="array" ref="C287">ifs(and(isblank($A287),isblank($B287)),"", not(iserror(vlookup($A287&amp;$B287,'5) Release_Track'!$F:$F&amp;'5) Release_Track'!$G:$G,1,0))),vlookup($A287&amp;$B287,{'5) Release_Track'!$F:$F&amp;'5) Release_Track'!$G:$G,'5) Release_Track'!$H:$H},2,0),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D287" s="121" t="str">
        <f t="array" ref="D287">ifs(and(isblank($A287),isblank($B287)),"", not(iserror(vlookup($A287&amp;$B287,'5) Release_Track'!$F:$F&amp;'5) Release_Track'!$G:$G,1,0))),vlookup($A287&amp;$B287,{'5) Release_Track'!$F:$F&amp;'5) Release_Track'!$G:$G,'5) Release_Track'!$I:$I},2,0),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E287" s="150" t="b">
        <v>0</v>
      </c>
      <c r="F287" s="150" t="b">
        <v>0</v>
      </c>
      <c r="G287" s="150" t="b">
        <v>0</v>
      </c>
      <c r="H287" s="150" t="b">
        <v>0</v>
      </c>
      <c r="I287" s="150" t="b">
        <v>0</v>
      </c>
      <c r="J287" s="150" t="b">
        <v>0</v>
      </c>
      <c r="K287" s="150" t="b">
        <v>0</v>
      </c>
      <c r="L287" s="8" t="b">
        <v>0</v>
      </c>
    </row>
    <row r="288">
      <c r="B288" s="97"/>
      <c r="C288" s="121" t="str">
        <f t="array" ref="C288">ifs(and(isblank($A288),isblank($B288)),"", not(iserror(vlookup($A288&amp;$B288,'5) Release_Track'!$F:$F&amp;'5) Release_Track'!$G:$G,1,0))),vlookup($A288&amp;$B288,{'5) Release_Track'!$F:$F&amp;'5) Release_Track'!$G:$G,'5) Release_Track'!$H:$H},2,0),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D288" s="121" t="str">
        <f t="array" ref="D288">ifs(and(isblank($A288),isblank($B288)),"", not(iserror(vlookup($A288&amp;$B288,'5) Release_Track'!$F:$F&amp;'5) Release_Track'!$G:$G,1,0))),vlookup($A288&amp;$B288,{'5) Release_Track'!$F:$F&amp;'5) Release_Track'!$G:$G,'5) Release_Track'!$I:$I},2,0),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E288" s="150" t="b">
        <v>0</v>
      </c>
      <c r="F288" s="150" t="b">
        <v>0</v>
      </c>
      <c r="G288" s="150" t="b">
        <v>0</v>
      </c>
      <c r="H288" s="150" t="b">
        <v>0</v>
      </c>
      <c r="I288" s="150" t="b">
        <v>0</v>
      </c>
      <c r="J288" s="150" t="b">
        <v>0</v>
      </c>
      <c r="K288" s="150" t="b">
        <v>0</v>
      </c>
      <c r="L288" s="8" t="b">
        <v>0</v>
      </c>
    </row>
    <row r="289">
      <c r="B289" s="97"/>
      <c r="C289" s="121" t="str">
        <f t="array" ref="C289">ifs(and(isblank($A289),isblank($B289)),"", not(iserror(vlookup($A289&amp;$B289,'5) Release_Track'!$F:$F&amp;'5) Release_Track'!$G:$G,1,0))),vlookup($A289&amp;$B289,{'5) Release_Track'!$F:$F&amp;'5) Release_Track'!$G:$G,'5) Release_Track'!$H:$H},2,0),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D289" s="121" t="str">
        <f t="array" ref="D289">ifs(and(isblank($A289),isblank($B289)),"", not(iserror(vlookup($A289&amp;$B289,'5) Release_Track'!$F:$F&amp;'5) Release_Track'!$G:$G,1,0))),vlookup($A289&amp;$B289,{'5) Release_Track'!$F:$F&amp;'5) Release_Track'!$G:$G,'5) Release_Track'!$I:$I},2,0),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E289" s="150" t="b">
        <v>0</v>
      </c>
      <c r="F289" s="150" t="b">
        <v>0</v>
      </c>
      <c r="G289" s="150" t="b">
        <v>0</v>
      </c>
      <c r="H289" s="150" t="b">
        <v>0</v>
      </c>
      <c r="I289" s="150" t="b">
        <v>0</v>
      </c>
      <c r="J289" s="150" t="b">
        <v>0</v>
      </c>
      <c r="K289" s="150" t="b">
        <v>0</v>
      </c>
      <c r="L289" s="8" t="b">
        <v>0</v>
      </c>
    </row>
    <row r="290">
      <c r="B290" s="97"/>
      <c r="C290" s="121" t="str">
        <f t="array" ref="C290">ifs(and(isblank($A290),isblank($B290)),"", not(iserror(vlookup($A290&amp;$B290,'5) Release_Track'!$F:$F&amp;'5) Release_Track'!$G:$G,1,0))),vlookup($A290&amp;$B290,{'5) Release_Track'!$F:$F&amp;'5) Release_Track'!$G:$G,'5) Release_Track'!$H:$H},2,0),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D290" s="121" t="str">
        <f t="array" ref="D290">ifs(and(isblank($A290),isblank($B290)),"", not(iserror(vlookup($A290&amp;$B290,'5) Release_Track'!$F:$F&amp;'5) Release_Track'!$G:$G,1,0))),vlookup($A290&amp;$B290,{'5) Release_Track'!$F:$F&amp;'5) Release_Track'!$G:$G,'5) Release_Track'!$I:$I},2,0),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E290" s="150" t="b">
        <v>0</v>
      </c>
      <c r="F290" s="150" t="b">
        <v>0</v>
      </c>
      <c r="G290" s="150" t="b">
        <v>0</v>
      </c>
      <c r="H290" s="150" t="b">
        <v>0</v>
      </c>
      <c r="I290" s="150" t="b">
        <v>0</v>
      </c>
      <c r="J290" s="150" t="b">
        <v>0</v>
      </c>
      <c r="K290" s="150" t="b">
        <v>0</v>
      </c>
      <c r="L290" s="8" t="b">
        <v>0</v>
      </c>
    </row>
    <row r="291">
      <c r="B291" s="97"/>
      <c r="C291" s="121" t="str">
        <f t="array" ref="C291">ifs(and(isblank($A291),isblank($B291)),"", not(iserror(vlookup($A291&amp;$B291,'5) Release_Track'!$F:$F&amp;'5) Release_Track'!$G:$G,1,0))),vlookup($A291&amp;$B291,{'5) Release_Track'!$F:$F&amp;'5) Release_Track'!$G:$G,'5) Release_Track'!$H:$H},2,0),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D291" s="121" t="str">
        <f t="array" ref="D291">ifs(and(isblank($A291),isblank($B291)),"", not(iserror(vlookup($A291&amp;$B291,'5) Release_Track'!$F:$F&amp;'5) Release_Track'!$G:$G,1,0))),vlookup($A291&amp;$B291,{'5) Release_Track'!$F:$F&amp;'5) Release_Track'!$G:$G,'5) Release_Track'!$I:$I},2,0),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E291" s="150" t="b">
        <v>0</v>
      </c>
      <c r="F291" s="150" t="b">
        <v>0</v>
      </c>
      <c r="G291" s="150" t="b">
        <v>0</v>
      </c>
      <c r="H291" s="150" t="b">
        <v>0</v>
      </c>
      <c r="I291" s="150" t="b">
        <v>0</v>
      </c>
      <c r="J291" s="150" t="b">
        <v>0</v>
      </c>
      <c r="K291" s="150" t="b">
        <v>0</v>
      </c>
      <c r="L291" s="8" t="b">
        <v>0</v>
      </c>
    </row>
    <row r="292">
      <c r="B292" s="97"/>
      <c r="C292" s="121" t="str">
        <f t="array" ref="C292">ifs(and(isblank($A292),isblank($B292)),"", not(iserror(vlookup($A292&amp;$B292,'5) Release_Track'!$F:$F&amp;'5) Release_Track'!$G:$G,1,0))),vlookup($A292&amp;$B292,{'5) Release_Track'!$F:$F&amp;'5) Release_Track'!$G:$G,'5) Release_Track'!$H:$H},2,0),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D292" s="121" t="str">
        <f t="array" ref="D292">ifs(and(isblank($A292),isblank($B292)),"", not(iserror(vlookup($A292&amp;$B292,'5) Release_Track'!$F:$F&amp;'5) Release_Track'!$G:$G,1,0))),vlookup($A292&amp;$B292,{'5) Release_Track'!$F:$F&amp;'5) Release_Track'!$G:$G,'5) Release_Track'!$I:$I},2,0),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E292" s="150" t="b">
        <v>0</v>
      </c>
      <c r="F292" s="150" t="b">
        <v>0</v>
      </c>
      <c r="G292" s="150" t="b">
        <v>0</v>
      </c>
      <c r="H292" s="150" t="b">
        <v>0</v>
      </c>
      <c r="I292" s="150" t="b">
        <v>0</v>
      </c>
      <c r="J292" s="150" t="b">
        <v>0</v>
      </c>
      <c r="K292" s="150" t="b">
        <v>0</v>
      </c>
      <c r="L292" s="8" t="b">
        <v>0</v>
      </c>
    </row>
    <row r="293">
      <c r="B293" s="97"/>
      <c r="C293" s="121" t="str">
        <f t="array" ref="C293">ifs(and(isblank($A293),isblank($B293)),"", not(iserror(vlookup($A293&amp;$B293,'5) Release_Track'!$F:$F&amp;'5) Release_Track'!$G:$G,1,0))),vlookup($A293&amp;$B293,{'5) Release_Track'!$F:$F&amp;'5) Release_Track'!$G:$G,'5) Release_Track'!$H:$H},2,0),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D293" s="121" t="str">
        <f t="array" ref="D293">ifs(and(isblank($A293),isblank($B293)),"", not(iserror(vlookup($A293&amp;$B293,'5) Release_Track'!$F:$F&amp;'5) Release_Track'!$G:$G,1,0))),vlookup($A293&amp;$B293,{'5) Release_Track'!$F:$F&amp;'5) Release_Track'!$G:$G,'5) Release_Track'!$I:$I},2,0),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E293" s="150" t="b">
        <v>0</v>
      </c>
      <c r="F293" s="150" t="b">
        <v>0</v>
      </c>
      <c r="G293" s="150" t="b">
        <v>0</v>
      </c>
      <c r="H293" s="150" t="b">
        <v>0</v>
      </c>
      <c r="I293" s="150" t="b">
        <v>0</v>
      </c>
      <c r="J293" s="150" t="b">
        <v>0</v>
      </c>
      <c r="K293" s="150" t="b">
        <v>0</v>
      </c>
      <c r="L293" s="8" t="b">
        <v>0</v>
      </c>
    </row>
    <row r="294">
      <c r="B294" s="97"/>
      <c r="C294" s="121" t="str">
        <f t="array" ref="C294">ifs(and(isblank($A294),isblank($B294)),"", not(iserror(vlookup($A294&amp;$B294,'5) Release_Track'!$F:$F&amp;'5) Release_Track'!$G:$G,1,0))),vlookup($A294&amp;$B294,{'5) Release_Track'!$F:$F&amp;'5) Release_Track'!$G:$G,'5) Release_Track'!$H:$H},2,0),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D294" s="121" t="str">
        <f t="array" ref="D294">ifs(and(isblank($A294),isblank($B294)),"", not(iserror(vlookup($A294&amp;$B294,'5) Release_Track'!$F:$F&amp;'5) Release_Track'!$G:$G,1,0))),vlookup($A294&amp;$B294,{'5) Release_Track'!$F:$F&amp;'5) Release_Track'!$G:$G,'5) Release_Track'!$I:$I},2,0),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E294" s="150" t="b">
        <v>0</v>
      </c>
      <c r="F294" s="150" t="b">
        <v>0</v>
      </c>
      <c r="G294" s="150" t="b">
        <v>0</v>
      </c>
      <c r="H294" s="150" t="b">
        <v>0</v>
      </c>
      <c r="I294" s="150" t="b">
        <v>0</v>
      </c>
      <c r="J294" s="150" t="b">
        <v>0</v>
      </c>
      <c r="K294" s="150" t="b">
        <v>0</v>
      </c>
      <c r="L294" s="8" t="b">
        <v>0</v>
      </c>
    </row>
    <row r="295">
      <c r="B295" s="97"/>
      <c r="C295" s="121" t="str">
        <f t="array" ref="C295">ifs(and(isblank($A295),isblank($B295)),"", not(iserror(vlookup($A295&amp;$B295,'5) Release_Track'!$F:$F&amp;'5) Release_Track'!$G:$G,1,0))),vlookup($A295&amp;$B295,{'5) Release_Track'!$F:$F&amp;'5) Release_Track'!$G:$G,'5) Release_Track'!$H:$H},2,0),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D295" s="121" t="str">
        <f t="array" ref="D295">ifs(and(isblank($A295),isblank($B295)),"", not(iserror(vlookup($A295&amp;$B295,'5) Release_Track'!$F:$F&amp;'5) Release_Track'!$G:$G,1,0))),vlookup($A295&amp;$B295,{'5) Release_Track'!$F:$F&amp;'5) Release_Track'!$G:$G,'5) Release_Track'!$I:$I},2,0),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E295" s="150" t="b">
        <v>0</v>
      </c>
      <c r="F295" s="150" t="b">
        <v>0</v>
      </c>
      <c r="G295" s="150" t="b">
        <v>0</v>
      </c>
      <c r="H295" s="150" t="b">
        <v>0</v>
      </c>
      <c r="I295" s="150" t="b">
        <v>0</v>
      </c>
      <c r="J295" s="150" t="b">
        <v>0</v>
      </c>
      <c r="K295" s="150" t="b">
        <v>0</v>
      </c>
      <c r="L295" s="8" t="b">
        <v>0</v>
      </c>
    </row>
    <row r="296">
      <c r="B296" s="97"/>
      <c r="C296" s="121" t="str">
        <f t="array" ref="C296">ifs(and(isblank($A296),isblank($B296)),"", not(iserror(vlookup($A296&amp;$B296,'5) Release_Track'!$F:$F&amp;'5) Release_Track'!$G:$G,1,0))),vlookup($A296&amp;$B296,{'5) Release_Track'!$F:$F&amp;'5) Release_Track'!$G:$G,'5) Release_Track'!$H:$H},2,0),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D296" s="121" t="str">
        <f t="array" ref="D296">ifs(and(isblank($A296),isblank($B296)),"", not(iserror(vlookup($A296&amp;$B296,'5) Release_Track'!$F:$F&amp;'5) Release_Track'!$G:$G,1,0))),vlookup($A296&amp;$B296,{'5) Release_Track'!$F:$F&amp;'5) Release_Track'!$G:$G,'5) Release_Track'!$I:$I},2,0),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E296" s="150" t="b">
        <v>0</v>
      </c>
      <c r="F296" s="150" t="b">
        <v>0</v>
      </c>
      <c r="G296" s="150" t="b">
        <v>0</v>
      </c>
      <c r="H296" s="150" t="b">
        <v>0</v>
      </c>
      <c r="I296" s="150" t="b">
        <v>0</v>
      </c>
      <c r="J296" s="150" t="b">
        <v>0</v>
      </c>
      <c r="K296" s="150" t="b">
        <v>0</v>
      </c>
      <c r="L296" s="8" t="b">
        <v>0</v>
      </c>
    </row>
    <row r="297">
      <c r="B297" s="97"/>
      <c r="C297" s="121" t="str">
        <f t="array" ref="C297">ifs(and(isblank($A297),isblank($B297)),"", not(iserror(vlookup($A297&amp;$B297,'5) Release_Track'!$F:$F&amp;'5) Release_Track'!$G:$G,1,0))),vlookup($A297&amp;$B297,{'5) Release_Track'!$F:$F&amp;'5) Release_Track'!$G:$G,'5) Release_Track'!$H:$H},2,0),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D297" s="121" t="str">
        <f t="array" ref="D297">ifs(and(isblank($A297),isblank($B297)),"", not(iserror(vlookup($A297&amp;$B297,'5) Release_Track'!$F:$F&amp;'5) Release_Track'!$G:$G,1,0))),vlookup($A297&amp;$B297,{'5) Release_Track'!$F:$F&amp;'5) Release_Track'!$G:$G,'5) Release_Track'!$I:$I},2,0),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E297" s="150" t="b">
        <v>0</v>
      </c>
      <c r="F297" s="150" t="b">
        <v>0</v>
      </c>
      <c r="G297" s="150" t="b">
        <v>0</v>
      </c>
      <c r="H297" s="150" t="b">
        <v>0</v>
      </c>
      <c r="I297" s="150" t="b">
        <v>0</v>
      </c>
      <c r="J297" s="150" t="b">
        <v>0</v>
      </c>
      <c r="K297" s="150" t="b">
        <v>0</v>
      </c>
      <c r="L297" s="8" t="b">
        <v>0</v>
      </c>
    </row>
    <row r="298">
      <c r="B298" s="97"/>
      <c r="C298" s="121" t="str">
        <f t="array" ref="C298">ifs(and(isblank($A298),isblank($B298)),"", not(iserror(vlookup($A298&amp;$B298,'5) Release_Track'!$F:$F&amp;'5) Release_Track'!$G:$G,1,0))),vlookup($A298&amp;$B298,{'5) Release_Track'!$F:$F&amp;'5) Release_Track'!$G:$G,'5) Release_Track'!$H:$H},2,0),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D298" s="121" t="str">
        <f t="array" ref="D298">ifs(and(isblank($A298),isblank($B298)),"", not(iserror(vlookup($A298&amp;$B298,'5) Release_Track'!$F:$F&amp;'5) Release_Track'!$G:$G,1,0))),vlookup($A298&amp;$B298,{'5) Release_Track'!$F:$F&amp;'5) Release_Track'!$G:$G,'5) Release_Track'!$I:$I},2,0),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E298" s="150" t="b">
        <v>0</v>
      </c>
      <c r="F298" s="150" t="b">
        <v>0</v>
      </c>
      <c r="G298" s="150" t="b">
        <v>0</v>
      </c>
      <c r="H298" s="150" t="b">
        <v>0</v>
      </c>
      <c r="I298" s="150" t="b">
        <v>0</v>
      </c>
      <c r="J298" s="150" t="b">
        <v>0</v>
      </c>
      <c r="K298" s="150" t="b">
        <v>0</v>
      </c>
      <c r="L298" s="8" t="b">
        <v>0</v>
      </c>
    </row>
    <row r="299">
      <c r="B299" s="97"/>
      <c r="C299" s="121" t="str">
        <f t="array" ref="C299">ifs(and(isblank($A299),isblank($B299)),"", not(iserror(vlookup($A299&amp;$B299,'5) Release_Track'!$F:$F&amp;'5) Release_Track'!$G:$G,1,0))),vlookup($A299&amp;$B299,{'5) Release_Track'!$F:$F&amp;'5) Release_Track'!$G:$G,'5) Release_Track'!$H:$H},2,0),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D299" s="121" t="str">
        <f t="array" ref="D299">ifs(and(isblank($A299),isblank($B299)),"", not(iserror(vlookup($A299&amp;$B299,'5) Release_Track'!$F:$F&amp;'5) Release_Track'!$G:$G,1,0))),vlookup($A299&amp;$B299,{'5) Release_Track'!$F:$F&amp;'5) Release_Track'!$G:$G,'5) Release_Track'!$I:$I},2,0),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E299" s="150" t="b">
        <v>0</v>
      </c>
      <c r="F299" s="150" t="b">
        <v>0</v>
      </c>
      <c r="G299" s="150" t="b">
        <v>0</v>
      </c>
      <c r="H299" s="150" t="b">
        <v>0</v>
      </c>
      <c r="I299" s="150" t="b">
        <v>0</v>
      </c>
      <c r="J299" s="150" t="b">
        <v>0</v>
      </c>
      <c r="K299" s="150" t="b">
        <v>0</v>
      </c>
      <c r="L299" s="8" t="b">
        <v>0</v>
      </c>
    </row>
    <row r="300">
      <c r="B300" s="97"/>
      <c r="C300" s="121" t="str">
        <f t="array" ref="C300">ifs(and(isblank($A300),isblank($B300)),"", not(iserror(vlookup($A300&amp;$B300,'5) Release_Track'!$F:$F&amp;'5) Release_Track'!$G:$G,1,0))),vlookup($A300&amp;$B300,{'5) Release_Track'!$F:$F&amp;'5) Release_Track'!$G:$G,'5) Release_Track'!$H:$H},2,0),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D300" s="121" t="str">
        <f t="array" ref="D300">ifs(and(isblank($A300),isblank($B300)),"", not(iserror(vlookup($A300&amp;$B300,'5) Release_Track'!$F:$F&amp;'5) Release_Track'!$G:$G,1,0))),vlookup($A300&amp;$B300,{'5) Release_Track'!$F:$F&amp;'5) Release_Track'!$G:$G,'5) Release_Track'!$I:$I},2,0),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E300" s="150" t="b">
        <v>0</v>
      </c>
      <c r="F300" s="150" t="b">
        <v>0</v>
      </c>
      <c r="G300" s="150" t="b">
        <v>0</v>
      </c>
      <c r="H300" s="150" t="b">
        <v>0</v>
      </c>
      <c r="I300" s="150" t="b">
        <v>0</v>
      </c>
      <c r="J300" s="150" t="b">
        <v>0</v>
      </c>
      <c r="K300" s="150" t="b">
        <v>0</v>
      </c>
      <c r="L300" s="8" t="b">
        <v>0</v>
      </c>
    </row>
    <row r="301">
      <c r="B301" s="97"/>
      <c r="C301" s="121" t="str">
        <f t="array" ref="C301">ifs(and(isblank($A301),isblank($B301)),"", not(iserror(vlookup($A301&amp;$B301,'5) Release_Track'!$F:$F&amp;'5) Release_Track'!$G:$G,1,0))),vlookup($A301&amp;$B301,{'5) Release_Track'!$F:$F&amp;'5) Release_Track'!$G:$G,'5) Release_Track'!$H:$H},2,0),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D301" s="121" t="str">
        <f t="array" ref="D301">ifs(and(isblank($A301),isblank($B301)),"", not(iserror(vlookup($A301&amp;$B301,'5) Release_Track'!$F:$F&amp;'5) Release_Track'!$G:$G,1,0))),vlookup($A301&amp;$B301,{'5) Release_Track'!$F:$F&amp;'5) Release_Track'!$G:$G,'5) Release_Track'!$I:$I},2,0),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E301" s="150" t="b">
        <v>0</v>
      </c>
      <c r="F301" s="150" t="b">
        <v>0</v>
      </c>
      <c r="G301" s="150" t="b">
        <v>0</v>
      </c>
      <c r="H301" s="150" t="b">
        <v>0</v>
      </c>
      <c r="I301" s="150" t="b">
        <v>0</v>
      </c>
      <c r="J301" s="150" t="b">
        <v>0</v>
      </c>
      <c r="K301" s="150" t="b">
        <v>0</v>
      </c>
      <c r="L301" s="8" t="b">
        <v>0</v>
      </c>
    </row>
    <row r="302">
      <c r="B302" s="97"/>
      <c r="C302" s="121" t="str">
        <f t="array" ref="C302">ifs(and(isblank($A302),isblank($B302)),"", not(iserror(vlookup($A302&amp;$B302,'5) Release_Track'!$F:$F&amp;'5) Release_Track'!$G:$G,1,0))),vlookup($A302&amp;$B302,{'5) Release_Track'!$F:$F&amp;'5) Release_Track'!$G:$G,'5) Release_Track'!$H:$H},2,0),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D302" s="121" t="str">
        <f t="array" ref="D302">ifs(and(isblank($A302),isblank($B302)),"", not(iserror(vlookup($A302&amp;$B302,'5) Release_Track'!$F:$F&amp;'5) Release_Track'!$G:$G,1,0))),vlookup($A302&amp;$B302,{'5) Release_Track'!$F:$F&amp;'5) Release_Track'!$G:$G,'5) Release_Track'!$I:$I},2,0),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E302" s="150" t="b">
        <v>0</v>
      </c>
      <c r="F302" s="150" t="b">
        <v>0</v>
      </c>
      <c r="G302" s="150" t="b">
        <v>0</v>
      </c>
      <c r="H302" s="150" t="b">
        <v>0</v>
      </c>
      <c r="I302" s="150" t="b">
        <v>0</v>
      </c>
      <c r="J302" s="150" t="b">
        <v>0</v>
      </c>
      <c r="K302" s="150" t="b">
        <v>0</v>
      </c>
      <c r="L302" s="8" t="b">
        <v>0</v>
      </c>
    </row>
    <row r="303">
      <c r="B303" s="97"/>
      <c r="C303" s="121" t="str">
        <f t="array" ref="C303">ifs(and(isblank($A303),isblank($B303)),"", not(iserror(vlookup($A303&amp;$B303,'5) Release_Track'!$F:$F&amp;'5) Release_Track'!$G:$G,1,0))),vlookup($A303&amp;$B303,{'5) Release_Track'!$F:$F&amp;'5) Release_Track'!$G:$G,'5) Release_Track'!$H:$H},2,0),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D303" s="121" t="str">
        <f t="array" ref="D303">ifs(and(isblank($A303),isblank($B303)),"", not(iserror(vlookup($A303&amp;$B303,'5) Release_Track'!$F:$F&amp;'5) Release_Track'!$G:$G,1,0))),vlookup($A303&amp;$B303,{'5) Release_Track'!$F:$F&amp;'5) Release_Track'!$G:$G,'5) Release_Track'!$I:$I},2,0),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E303" s="150" t="b">
        <v>0</v>
      </c>
      <c r="F303" s="150" t="b">
        <v>0</v>
      </c>
      <c r="G303" s="150" t="b">
        <v>0</v>
      </c>
      <c r="H303" s="150" t="b">
        <v>0</v>
      </c>
      <c r="I303" s="150" t="b">
        <v>0</v>
      </c>
      <c r="J303" s="150" t="b">
        <v>0</v>
      </c>
      <c r="K303" s="150" t="b">
        <v>0</v>
      </c>
      <c r="L303" s="8" t="b">
        <v>0</v>
      </c>
    </row>
    <row r="304">
      <c r="B304" s="97"/>
      <c r="C304" s="121" t="str">
        <f t="array" ref="C304">ifs(and(isblank($A304),isblank($B304)),"", not(iserror(vlookup($A304&amp;$B304,'5) Release_Track'!$F:$F&amp;'5) Release_Track'!$G:$G,1,0))),vlookup($A304&amp;$B304,{'5) Release_Track'!$F:$F&amp;'5) Release_Track'!$G:$G,'5) Release_Track'!$H:$H},2,0),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D304" s="121" t="str">
        <f t="array" ref="D304">ifs(and(isblank($A304),isblank($B304)),"", not(iserror(vlookup($A304&amp;$B304,'5) Release_Track'!$F:$F&amp;'5) Release_Track'!$G:$G,1,0))),vlookup($A304&amp;$B304,{'5) Release_Track'!$F:$F&amp;'5) Release_Track'!$G:$G,'5) Release_Track'!$I:$I},2,0),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E304" s="150" t="b">
        <v>0</v>
      </c>
      <c r="F304" s="150" t="b">
        <v>0</v>
      </c>
      <c r="G304" s="150" t="b">
        <v>0</v>
      </c>
      <c r="H304" s="150" t="b">
        <v>0</v>
      </c>
      <c r="I304" s="150" t="b">
        <v>0</v>
      </c>
      <c r="J304" s="150" t="b">
        <v>0</v>
      </c>
      <c r="K304" s="150" t="b">
        <v>0</v>
      </c>
      <c r="L304" s="8" t="b">
        <v>0</v>
      </c>
    </row>
    <row r="305">
      <c r="B305" s="97"/>
      <c r="C305" s="121" t="str">
        <f t="array" ref="C305">ifs(and(isblank($A305),isblank($B305)),"", not(iserror(vlookup($A305&amp;$B305,'5) Release_Track'!$F:$F&amp;'5) Release_Track'!$G:$G,1,0))),vlookup($A305&amp;$B305,{'5) Release_Track'!$F:$F&amp;'5) Release_Track'!$G:$G,'5) Release_Track'!$H:$H},2,0),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D305" s="121" t="str">
        <f t="array" ref="D305">ifs(and(isblank($A305),isblank($B305)),"", not(iserror(vlookup($A305&amp;$B305,'5) Release_Track'!$F:$F&amp;'5) Release_Track'!$G:$G,1,0))),vlookup($A305&amp;$B305,{'5) Release_Track'!$F:$F&amp;'5) Release_Track'!$G:$G,'5) Release_Track'!$I:$I},2,0),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E305" s="150" t="b">
        <v>0</v>
      </c>
      <c r="F305" s="150" t="b">
        <v>0</v>
      </c>
      <c r="G305" s="150" t="b">
        <v>0</v>
      </c>
      <c r="H305" s="150" t="b">
        <v>0</v>
      </c>
      <c r="I305" s="150" t="b">
        <v>0</v>
      </c>
      <c r="J305" s="150" t="b">
        <v>0</v>
      </c>
      <c r="K305" s="150" t="b">
        <v>0</v>
      </c>
      <c r="L305" s="8" t="b">
        <v>0</v>
      </c>
    </row>
    <row r="306">
      <c r="B306" s="97"/>
      <c r="C306" s="121" t="str">
        <f t="array" ref="C306">ifs(and(isblank($A306),isblank($B306)),"", not(iserror(vlookup($A306&amp;$B306,'5) Release_Track'!$F:$F&amp;'5) Release_Track'!$G:$G,1,0))),vlookup($A306&amp;$B306,{'5) Release_Track'!$F:$F&amp;'5) Release_Track'!$G:$G,'5) Release_Track'!$H:$H},2,0),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D306" s="121" t="str">
        <f t="array" ref="D306">ifs(and(isblank($A306),isblank($B306)),"", not(iserror(vlookup($A306&amp;$B306,'5) Release_Track'!$F:$F&amp;'5) Release_Track'!$G:$G,1,0))),vlookup($A306&amp;$B306,{'5) Release_Track'!$F:$F&amp;'5) Release_Track'!$G:$G,'5) Release_Track'!$I:$I},2,0),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E306" s="150" t="b">
        <v>0</v>
      </c>
      <c r="F306" s="150" t="b">
        <v>0</v>
      </c>
      <c r="G306" s="150" t="b">
        <v>0</v>
      </c>
      <c r="H306" s="150" t="b">
        <v>0</v>
      </c>
      <c r="I306" s="150" t="b">
        <v>0</v>
      </c>
      <c r="J306" s="150" t="b">
        <v>0</v>
      </c>
      <c r="K306" s="150" t="b">
        <v>0</v>
      </c>
      <c r="L306" s="8" t="b">
        <v>0</v>
      </c>
    </row>
    <row r="307">
      <c r="B307" s="97"/>
      <c r="C307" s="121" t="str">
        <f t="array" ref="C307">ifs(and(isblank($A307),isblank($B307)),"", not(iserror(vlookup($A307&amp;$B307,'5) Release_Track'!$F:$F&amp;'5) Release_Track'!$G:$G,1,0))),vlookup($A307&amp;$B307,{'5) Release_Track'!$F:$F&amp;'5) Release_Track'!$G:$G,'5) Release_Track'!$H:$H},2,0),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D307" s="121" t="str">
        <f t="array" ref="D307">ifs(and(isblank($A307),isblank($B307)),"", not(iserror(vlookup($A307&amp;$B307,'5) Release_Track'!$F:$F&amp;'5) Release_Track'!$G:$G,1,0))),vlookup($A307&amp;$B307,{'5) Release_Track'!$F:$F&amp;'5) Release_Track'!$G:$G,'5) Release_Track'!$I:$I},2,0),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E307" s="150" t="b">
        <v>0</v>
      </c>
      <c r="F307" s="150" t="b">
        <v>0</v>
      </c>
      <c r="G307" s="150" t="b">
        <v>0</v>
      </c>
      <c r="H307" s="150" t="b">
        <v>0</v>
      </c>
      <c r="I307" s="150" t="b">
        <v>0</v>
      </c>
      <c r="J307" s="150" t="b">
        <v>0</v>
      </c>
      <c r="K307" s="150" t="b">
        <v>0</v>
      </c>
      <c r="L307" s="8" t="b">
        <v>0</v>
      </c>
    </row>
    <row r="308">
      <c r="B308" s="97"/>
      <c r="C308" s="121" t="str">
        <f t="array" ref="C308">ifs(and(isblank($A308),isblank($B308)),"", not(iserror(vlookup($A308&amp;$B308,'5) Release_Track'!$F:$F&amp;'5) Release_Track'!$G:$G,1,0))),vlookup($A308&amp;$B308,{'5) Release_Track'!$F:$F&amp;'5) Release_Track'!$G:$G,'5) Release_Track'!$H:$H},2,0),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D308" s="121" t="str">
        <f t="array" ref="D308">ifs(and(isblank($A308),isblank($B308)),"", not(iserror(vlookup($A308&amp;$B308,'5) Release_Track'!$F:$F&amp;'5) Release_Track'!$G:$G,1,0))),vlookup($A308&amp;$B308,{'5) Release_Track'!$F:$F&amp;'5) Release_Track'!$G:$G,'5) Release_Track'!$I:$I},2,0),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E308" s="150" t="b">
        <v>0</v>
      </c>
      <c r="F308" s="150" t="b">
        <v>0</v>
      </c>
      <c r="G308" s="150" t="b">
        <v>0</v>
      </c>
      <c r="H308" s="150" t="b">
        <v>0</v>
      </c>
      <c r="I308" s="150" t="b">
        <v>0</v>
      </c>
      <c r="J308" s="150" t="b">
        <v>0</v>
      </c>
      <c r="K308" s="150" t="b">
        <v>0</v>
      </c>
      <c r="L308" s="8" t="b">
        <v>0</v>
      </c>
    </row>
    <row r="309">
      <c r="B309" s="97"/>
      <c r="C309" s="121" t="str">
        <f t="array" ref="C309">ifs(and(isblank($A309),isblank($B309)),"", not(iserror(vlookup($A309&amp;$B309,'5) Release_Track'!$F:$F&amp;'5) Release_Track'!$G:$G,1,0))),vlookup($A309&amp;$B309,{'5) Release_Track'!$F:$F&amp;'5) Release_Track'!$G:$G,'5) Release_Track'!$H:$H},2,0),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D309" s="121" t="str">
        <f t="array" ref="D309">ifs(and(isblank($A309),isblank($B309)),"", not(iserror(vlookup($A309&amp;$B309,'5) Release_Track'!$F:$F&amp;'5) Release_Track'!$G:$G,1,0))),vlookup($A309&amp;$B309,{'5) Release_Track'!$F:$F&amp;'5) Release_Track'!$G:$G,'5) Release_Track'!$I:$I},2,0),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E309" s="150" t="b">
        <v>0</v>
      </c>
      <c r="F309" s="150" t="b">
        <v>0</v>
      </c>
      <c r="G309" s="150" t="b">
        <v>0</v>
      </c>
      <c r="H309" s="150" t="b">
        <v>0</v>
      </c>
      <c r="I309" s="150" t="b">
        <v>0</v>
      </c>
      <c r="J309" s="150" t="b">
        <v>0</v>
      </c>
      <c r="K309" s="150" t="b">
        <v>0</v>
      </c>
      <c r="L309" s="8" t="b">
        <v>0</v>
      </c>
    </row>
    <row r="310">
      <c r="B310" s="97"/>
      <c r="C310" s="121" t="str">
        <f t="array" ref="C310">ifs(and(isblank($A310),isblank($B310)),"", not(iserror(vlookup($A310&amp;$B310,'5) Release_Track'!$F:$F&amp;'5) Release_Track'!$G:$G,1,0))),vlookup($A310&amp;$B310,{'5) Release_Track'!$F:$F&amp;'5) Release_Track'!$G:$G,'5) Release_Track'!$H:$H},2,0),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D310" s="121" t="str">
        <f t="array" ref="D310">ifs(and(isblank($A310),isblank($B310)),"", not(iserror(vlookup($A310&amp;$B310,'5) Release_Track'!$F:$F&amp;'5) Release_Track'!$G:$G,1,0))),vlookup($A310&amp;$B310,{'5) Release_Track'!$F:$F&amp;'5) Release_Track'!$G:$G,'5) Release_Track'!$I:$I},2,0),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E310" s="150" t="b">
        <v>0</v>
      </c>
      <c r="F310" s="150" t="b">
        <v>0</v>
      </c>
      <c r="G310" s="150" t="b">
        <v>0</v>
      </c>
      <c r="H310" s="150" t="b">
        <v>0</v>
      </c>
      <c r="I310" s="150" t="b">
        <v>0</v>
      </c>
      <c r="J310" s="150" t="b">
        <v>0</v>
      </c>
      <c r="K310" s="150" t="b">
        <v>0</v>
      </c>
      <c r="L310" s="8" t="b">
        <v>0</v>
      </c>
    </row>
    <row r="311">
      <c r="B311" s="97"/>
      <c r="C311" s="121" t="str">
        <f t="array" ref="C311">ifs(and(isblank($A311),isblank($B311)),"", not(iserror(vlookup($A311&amp;$B311,'5) Release_Track'!$F:$F&amp;'5) Release_Track'!$G:$G,1,0))),vlookup($A311&amp;$B311,{'5) Release_Track'!$F:$F&amp;'5) Release_Track'!$G:$G,'5) Release_Track'!$H:$H},2,0),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D311" s="121" t="str">
        <f t="array" ref="D311">ifs(and(isblank($A311),isblank($B311)),"", not(iserror(vlookup($A311&amp;$B311,'5) Release_Track'!$F:$F&amp;'5) Release_Track'!$G:$G,1,0))),vlookup($A311&amp;$B311,{'5) Release_Track'!$F:$F&amp;'5) Release_Track'!$G:$G,'5) Release_Track'!$I:$I},2,0),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E311" s="150" t="b">
        <v>0</v>
      </c>
      <c r="F311" s="150" t="b">
        <v>0</v>
      </c>
      <c r="G311" s="150" t="b">
        <v>0</v>
      </c>
      <c r="H311" s="150" t="b">
        <v>0</v>
      </c>
      <c r="I311" s="150" t="b">
        <v>0</v>
      </c>
      <c r="J311" s="150" t="b">
        <v>0</v>
      </c>
      <c r="K311" s="150" t="b">
        <v>0</v>
      </c>
      <c r="L311" s="8" t="b">
        <v>0</v>
      </c>
    </row>
    <row r="312">
      <c r="B312" s="97"/>
      <c r="C312" s="121" t="str">
        <f t="array" ref="C312">ifs(and(isblank($A312),isblank($B312)),"", not(iserror(vlookup($A312&amp;$B312,'5) Release_Track'!$F:$F&amp;'5) Release_Track'!$G:$G,1,0))),vlookup($A312&amp;$B312,{'5) Release_Track'!$F:$F&amp;'5) Release_Track'!$G:$G,'5) Release_Track'!$H:$H},2,0),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D312" s="121" t="str">
        <f t="array" ref="D312">ifs(and(isblank($A312),isblank($B312)),"", not(iserror(vlookup($A312&amp;$B312,'5) Release_Track'!$F:$F&amp;'5) Release_Track'!$G:$G,1,0))),vlookup($A312&amp;$B312,{'5) Release_Track'!$F:$F&amp;'5) Release_Track'!$G:$G,'5) Release_Track'!$I:$I},2,0),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E312" s="150" t="b">
        <v>0</v>
      </c>
      <c r="F312" s="150" t="b">
        <v>0</v>
      </c>
      <c r="G312" s="150" t="b">
        <v>0</v>
      </c>
      <c r="H312" s="150" t="b">
        <v>0</v>
      </c>
      <c r="I312" s="150" t="b">
        <v>0</v>
      </c>
      <c r="J312" s="150" t="b">
        <v>0</v>
      </c>
      <c r="K312" s="150" t="b">
        <v>0</v>
      </c>
      <c r="L312" s="8" t="b">
        <v>0</v>
      </c>
    </row>
    <row r="313">
      <c r="B313" s="97"/>
      <c r="C313" s="121" t="str">
        <f t="array" ref="C313">ifs(and(isblank($A313),isblank($B313)),"", not(iserror(vlookup($A313&amp;$B313,'5) Release_Track'!$F:$F&amp;'5) Release_Track'!$G:$G,1,0))),vlookup($A313&amp;$B313,{'5) Release_Track'!$F:$F&amp;'5) Release_Track'!$G:$G,'5) Release_Track'!$H:$H},2,0),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D313" s="121" t="str">
        <f t="array" ref="D313">ifs(and(isblank($A313),isblank($B313)),"", not(iserror(vlookup($A313&amp;$B313,'5) Release_Track'!$F:$F&amp;'5) Release_Track'!$G:$G,1,0))),vlookup($A313&amp;$B313,{'5) Release_Track'!$F:$F&amp;'5) Release_Track'!$G:$G,'5) Release_Track'!$I:$I},2,0),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E313" s="150" t="b">
        <v>0</v>
      </c>
      <c r="F313" s="150" t="b">
        <v>0</v>
      </c>
      <c r="G313" s="150" t="b">
        <v>0</v>
      </c>
      <c r="H313" s="150" t="b">
        <v>0</v>
      </c>
      <c r="I313" s="150" t="b">
        <v>0</v>
      </c>
      <c r="J313" s="150" t="b">
        <v>0</v>
      </c>
      <c r="K313" s="150" t="b">
        <v>0</v>
      </c>
      <c r="L313" s="8" t="b">
        <v>0</v>
      </c>
    </row>
    <row r="314">
      <c r="B314" s="97"/>
      <c r="C314" s="121" t="str">
        <f t="array" ref="C314">ifs(and(isblank($A314),isblank($B314)),"", not(iserror(vlookup($A314&amp;$B314,'5) Release_Track'!$F:$F&amp;'5) Release_Track'!$G:$G,1,0))),vlookup($A314&amp;$B314,{'5) Release_Track'!$F:$F&amp;'5) Release_Track'!$G:$G,'5) Release_Track'!$H:$H},2,0),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D314" s="121" t="str">
        <f t="array" ref="D314">ifs(and(isblank($A314),isblank($B314)),"", not(iserror(vlookup($A314&amp;$B314,'5) Release_Track'!$F:$F&amp;'5) Release_Track'!$G:$G,1,0))),vlookup($A314&amp;$B314,{'5) Release_Track'!$F:$F&amp;'5) Release_Track'!$G:$G,'5) Release_Track'!$I:$I},2,0),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E314" s="150" t="b">
        <v>0</v>
      </c>
      <c r="F314" s="150" t="b">
        <v>0</v>
      </c>
      <c r="G314" s="150" t="b">
        <v>0</v>
      </c>
      <c r="H314" s="150" t="b">
        <v>0</v>
      </c>
      <c r="I314" s="150" t="b">
        <v>0</v>
      </c>
      <c r="J314" s="150" t="b">
        <v>0</v>
      </c>
      <c r="K314" s="150" t="b">
        <v>0</v>
      </c>
      <c r="L314" s="8" t="b">
        <v>0</v>
      </c>
    </row>
    <row r="315">
      <c r="B315" s="97"/>
      <c r="C315" s="121" t="str">
        <f t="array" ref="C315">ifs(and(isblank($A315),isblank($B315)),"", not(iserror(vlookup($A315&amp;$B315,'5) Release_Track'!$F:$F&amp;'5) Release_Track'!$G:$G,1,0))),vlookup($A315&amp;$B315,{'5) Release_Track'!$F:$F&amp;'5) Release_Track'!$G:$G,'5) Release_Track'!$H:$H},2,0),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D315" s="121" t="str">
        <f t="array" ref="D315">ifs(and(isblank($A315),isblank($B315)),"", not(iserror(vlookup($A315&amp;$B315,'5) Release_Track'!$F:$F&amp;'5) Release_Track'!$G:$G,1,0))),vlookup($A315&amp;$B315,{'5) Release_Track'!$F:$F&amp;'5) Release_Track'!$G:$G,'5) Release_Track'!$I:$I},2,0),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E315" s="150" t="b">
        <v>0</v>
      </c>
      <c r="F315" s="150" t="b">
        <v>0</v>
      </c>
      <c r="G315" s="150" t="b">
        <v>0</v>
      </c>
      <c r="H315" s="150" t="b">
        <v>0</v>
      </c>
      <c r="I315" s="150" t="b">
        <v>0</v>
      </c>
      <c r="J315" s="150" t="b">
        <v>0</v>
      </c>
      <c r="K315" s="150" t="b">
        <v>0</v>
      </c>
      <c r="L315" s="8" t="b">
        <v>0</v>
      </c>
    </row>
    <row r="316">
      <c r="B316" s="97"/>
      <c r="C316" s="121" t="str">
        <f t="array" ref="C316">ifs(and(isblank($A316),isblank($B316)),"", not(iserror(vlookup($A316&amp;$B316,'5) Release_Track'!$F:$F&amp;'5) Release_Track'!$G:$G,1,0))),vlookup($A316&amp;$B316,{'5) Release_Track'!$F:$F&amp;'5) Release_Track'!$G:$G,'5) Release_Track'!$H:$H},2,0),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D316" s="121" t="str">
        <f t="array" ref="D316">ifs(and(isblank($A316),isblank($B316)),"", not(iserror(vlookup($A316&amp;$B316,'5) Release_Track'!$F:$F&amp;'5) Release_Track'!$G:$G,1,0))),vlookup($A316&amp;$B316,{'5) Release_Track'!$F:$F&amp;'5) Release_Track'!$G:$G,'5) Release_Track'!$I:$I},2,0),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E316" s="150" t="b">
        <v>0</v>
      </c>
      <c r="F316" s="150" t="b">
        <v>0</v>
      </c>
      <c r="G316" s="150" t="b">
        <v>0</v>
      </c>
      <c r="H316" s="150" t="b">
        <v>0</v>
      </c>
      <c r="I316" s="150" t="b">
        <v>0</v>
      </c>
      <c r="J316" s="150" t="b">
        <v>0</v>
      </c>
      <c r="K316" s="150" t="b">
        <v>0</v>
      </c>
      <c r="L316" s="8" t="b">
        <v>0</v>
      </c>
    </row>
    <row r="317">
      <c r="B317" s="97"/>
      <c r="C317" s="121" t="str">
        <f t="array" ref="C317">ifs(and(isblank($A317),isblank($B317)),"", not(iserror(vlookup($A317&amp;$B317,'5) Release_Track'!$F:$F&amp;'5) Release_Track'!$G:$G,1,0))),vlookup($A317&amp;$B317,{'5) Release_Track'!$F:$F&amp;'5) Release_Track'!$G:$G,'5) Release_Track'!$H:$H},2,0),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D317" s="121" t="str">
        <f t="array" ref="D317">ifs(and(isblank($A317),isblank($B317)),"", not(iserror(vlookup($A317&amp;$B317,'5) Release_Track'!$F:$F&amp;'5) Release_Track'!$G:$G,1,0))),vlookup($A317&amp;$B317,{'5) Release_Track'!$F:$F&amp;'5) Release_Track'!$G:$G,'5) Release_Track'!$I:$I},2,0),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E317" s="150" t="b">
        <v>0</v>
      </c>
      <c r="F317" s="150" t="b">
        <v>0</v>
      </c>
      <c r="G317" s="150" t="b">
        <v>0</v>
      </c>
      <c r="H317" s="150" t="b">
        <v>0</v>
      </c>
      <c r="I317" s="150" t="b">
        <v>0</v>
      </c>
      <c r="J317" s="150" t="b">
        <v>0</v>
      </c>
      <c r="K317" s="150" t="b">
        <v>0</v>
      </c>
      <c r="L317" s="8" t="b">
        <v>0</v>
      </c>
    </row>
    <row r="318">
      <c r="B318" s="97"/>
      <c r="C318" s="121" t="str">
        <f t="array" ref="C318">ifs(and(isblank($A318),isblank($B318)),"", not(iserror(vlookup($A318&amp;$B318,'5) Release_Track'!$F:$F&amp;'5) Release_Track'!$G:$G,1,0))),vlookup($A318&amp;$B318,{'5) Release_Track'!$F:$F&amp;'5) Release_Track'!$G:$G,'5) Release_Track'!$H:$H},2,0),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D318" s="121" t="str">
        <f t="array" ref="D318">ifs(and(isblank($A318),isblank($B318)),"", not(iserror(vlookup($A318&amp;$B318,'5) Release_Track'!$F:$F&amp;'5) Release_Track'!$G:$G,1,0))),vlookup($A318&amp;$B318,{'5) Release_Track'!$F:$F&amp;'5) Release_Track'!$G:$G,'5) Release_Track'!$I:$I},2,0),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E318" s="150" t="b">
        <v>0</v>
      </c>
      <c r="F318" s="150" t="b">
        <v>0</v>
      </c>
      <c r="G318" s="150" t="b">
        <v>0</v>
      </c>
      <c r="H318" s="150" t="b">
        <v>0</v>
      </c>
      <c r="I318" s="150" t="b">
        <v>0</v>
      </c>
      <c r="J318" s="150" t="b">
        <v>0</v>
      </c>
      <c r="K318" s="150" t="b">
        <v>0</v>
      </c>
      <c r="L318" s="8" t="b">
        <v>0</v>
      </c>
    </row>
    <row r="319">
      <c r="B319" s="97"/>
      <c r="C319" s="121" t="str">
        <f t="array" ref="C319">ifs(and(isblank($A319),isblank($B319)),"", not(iserror(vlookup($A319&amp;$B319,'5) Release_Track'!$F:$F&amp;'5) Release_Track'!$G:$G,1,0))),vlookup($A319&amp;$B319,{'5) Release_Track'!$F:$F&amp;'5) Release_Track'!$G:$G,'5) Release_Track'!$H:$H},2,0),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D319" s="121" t="str">
        <f t="array" ref="D319">ifs(and(isblank($A319),isblank($B319)),"", not(iserror(vlookup($A319&amp;$B319,'5) Release_Track'!$F:$F&amp;'5) Release_Track'!$G:$G,1,0))),vlookup($A319&amp;$B319,{'5) Release_Track'!$F:$F&amp;'5) Release_Track'!$G:$G,'5) Release_Track'!$I:$I},2,0),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E319" s="150" t="b">
        <v>0</v>
      </c>
      <c r="F319" s="150" t="b">
        <v>0</v>
      </c>
      <c r="G319" s="150" t="b">
        <v>0</v>
      </c>
      <c r="H319" s="150" t="b">
        <v>0</v>
      </c>
      <c r="I319" s="150" t="b">
        <v>0</v>
      </c>
      <c r="J319" s="150" t="b">
        <v>0</v>
      </c>
      <c r="K319" s="150" t="b">
        <v>0</v>
      </c>
      <c r="L319" s="8" t="b">
        <v>0</v>
      </c>
    </row>
    <row r="320">
      <c r="B320" s="97"/>
      <c r="C320" s="121" t="str">
        <f t="array" ref="C320">ifs(and(isblank($A320),isblank($B320)),"", not(iserror(vlookup($A320&amp;$B320,'5) Release_Track'!$F:$F&amp;'5) Release_Track'!$G:$G,1,0))),vlookup($A320&amp;$B320,{'5) Release_Track'!$F:$F&amp;'5) Release_Track'!$G:$G,'5) Release_Track'!$H:$H},2,0),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D320" s="121" t="str">
        <f t="array" ref="D320">ifs(and(isblank($A320),isblank($B320)),"", not(iserror(vlookup($A320&amp;$B320,'5) Release_Track'!$F:$F&amp;'5) Release_Track'!$G:$G,1,0))),vlookup($A320&amp;$B320,{'5) Release_Track'!$F:$F&amp;'5) Release_Track'!$G:$G,'5) Release_Track'!$I:$I},2,0),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E320" s="150" t="b">
        <v>0</v>
      </c>
      <c r="F320" s="150" t="b">
        <v>0</v>
      </c>
      <c r="G320" s="150" t="b">
        <v>0</v>
      </c>
      <c r="H320" s="150" t="b">
        <v>0</v>
      </c>
      <c r="I320" s="150" t="b">
        <v>0</v>
      </c>
      <c r="J320" s="150" t="b">
        <v>0</v>
      </c>
      <c r="K320" s="150" t="b">
        <v>0</v>
      </c>
      <c r="L320" s="8" t="b">
        <v>0</v>
      </c>
    </row>
    <row r="321">
      <c r="B321" s="97"/>
      <c r="C321" s="121" t="str">
        <f t="array" ref="C321">ifs(and(isblank($A321),isblank($B321)),"", not(iserror(vlookup($A321&amp;$B321,'5) Release_Track'!$F:$F&amp;'5) Release_Track'!$G:$G,1,0))),vlookup($A321&amp;$B321,{'5) Release_Track'!$F:$F&amp;'5) Release_Track'!$G:$G,'5) Release_Track'!$H:$H},2,0),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D321" s="121" t="str">
        <f t="array" ref="D321">ifs(and(isblank($A321),isblank($B321)),"", not(iserror(vlookup($A321&amp;$B321,'5) Release_Track'!$F:$F&amp;'5) Release_Track'!$G:$G,1,0))),vlookup($A321&amp;$B321,{'5) Release_Track'!$F:$F&amp;'5) Release_Track'!$G:$G,'5) Release_Track'!$I:$I},2,0),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E321" s="150" t="b">
        <v>0</v>
      </c>
      <c r="F321" s="150" t="b">
        <v>0</v>
      </c>
      <c r="G321" s="150" t="b">
        <v>0</v>
      </c>
      <c r="H321" s="150" t="b">
        <v>0</v>
      </c>
      <c r="I321" s="150" t="b">
        <v>0</v>
      </c>
      <c r="J321" s="150" t="b">
        <v>0</v>
      </c>
      <c r="K321" s="150" t="b">
        <v>0</v>
      </c>
      <c r="L321" s="8" t="b">
        <v>0</v>
      </c>
    </row>
    <row r="322">
      <c r="B322" s="97"/>
      <c r="C322" s="121" t="str">
        <f t="array" ref="C322">ifs(and(isblank($A322),isblank($B322)),"", not(iserror(vlookup($A322&amp;$B322,'5) Release_Track'!$F:$F&amp;'5) Release_Track'!$G:$G,1,0))),vlookup($A322&amp;$B322,{'5) Release_Track'!$F:$F&amp;'5) Release_Track'!$G:$G,'5) Release_Track'!$H:$H},2,0),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D322" s="121" t="str">
        <f t="array" ref="D322">ifs(and(isblank($A322),isblank($B322)),"", not(iserror(vlookup($A322&amp;$B322,'5) Release_Track'!$F:$F&amp;'5) Release_Track'!$G:$G,1,0))),vlookup($A322&amp;$B322,{'5) Release_Track'!$F:$F&amp;'5) Release_Track'!$G:$G,'5) Release_Track'!$I:$I},2,0),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E322" s="150" t="b">
        <v>0</v>
      </c>
      <c r="F322" s="150" t="b">
        <v>0</v>
      </c>
      <c r="G322" s="150" t="b">
        <v>0</v>
      </c>
      <c r="H322" s="150" t="b">
        <v>0</v>
      </c>
      <c r="I322" s="150" t="b">
        <v>0</v>
      </c>
      <c r="J322" s="150" t="b">
        <v>0</v>
      </c>
      <c r="K322" s="150" t="b">
        <v>0</v>
      </c>
      <c r="L322" s="8" t="b">
        <v>0</v>
      </c>
    </row>
    <row r="323">
      <c r="B323" s="97"/>
      <c r="C323" s="121" t="str">
        <f t="array" ref="C323">ifs(and(isblank($A323),isblank($B323)),"", not(iserror(vlookup($A323&amp;$B323,'5) Release_Track'!$F:$F&amp;'5) Release_Track'!$G:$G,1,0))),vlookup($A323&amp;$B323,{'5) Release_Track'!$F:$F&amp;'5) Release_Track'!$G:$G,'5) Release_Track'!$H:$H},2,0),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D323" s="121" t="str">
        <f t="array" ref="D323">ifs(and(isblank($A323),isblank($B323)),"", not(iserror(vlookup($A323&amp;$B323,'5) Release_Track'!$F:$F&amp;'5) Release_Track'!$G:$G,1,0))),vlookup($A323&amp;$B323,{'5) Release_Track'!$F:$F&amp;'5) Release_Track'!$G:$G,'5) Release_Track'!$I:$I},2,0),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E323" s="150" t="b">
        <v>0</v>
      </c>
      <c r="F323" s="150" t="b">
        <v>0</v>
      </c>
      <c r="G323" s="150" t="b">
        <v>0</v>
      </c>
      <c r="H323" s="150" t="b">
        <v>0</v>
      </c>
      <c r="I323" s="150" t="b">
        <v>0</v>
      </c>
      <c r="J323" s="150" t="b">
        <v>0</v>
      </c>
      <c r="K323" s="150" t="b">
        <v>0</v>
      </c>
      <c r="L323" s="8" t="b">
        <v>0</v>
      </c>
    </row>
    <row r="324">
      <c r="B324" s="97"/>
      <c r="C324" s="121" t="str">
        <f t="array" ref="C324">ifs(and(isblank($A324),isblank($B324)),"", not(iserror(vlookup($A324&amp;$B324,'5) Release_Track'!$F:$F&amp;'5) Release_Track'!$G:$G,1,0))),vlookup($A324&amp;$B324,{'5) Release_Track'!$F:$F&amp;'5) Release_Track'!$G:$G,'5) Release_Track'!$H:$H},2,0),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D324" s="121" t="str">
        <f t="array" ref="D324">ifs(and(isblank($A324),isblank($B324)),"", not(iserror(vlookup($A324&amp;$B324,'5) Release_Track'!$F:$F&amp;'5) Release_Track'!$G:$G,1,0))),vlookup($A324&amp;$B324,{'5) Release_Track'!$F:$F&amp;'5) Release_Track'!$G:$G,'5) Release_Track'!$I:$I},2,0),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E324" s="150" t="b">
        <v>0</v>
      </c>
      <c r="F324" s="150" t="b">
        <v>0</v>
      </c>
      <c r="G324" s="150" t="b">
        <v>0</v>
      </c>
      <c r="H324" s="150" t="b">
        <v>0</v>
      </c>
      <c r="I324" s="150" t="b">
        <v>0</v>
      </c>
      <c r="J324" s="150" t="b">
        <v>0</v>
      </c>
      <c r="K324" s="150" t="b">
        <v>0</v>
      </c>
      <c r="L324" s="8" t="b">
        <v>0</v>
      </c>
    </row>
    <row r="325">
      <c r="B325" s="97"/>
      <c r="C325" s="121" t="str">
        <f t="array" ref="C325">ifs(and(isblank($A325),isblank($B325)),"", not(iserror(vlookup($A325&amp;$B325,'5) Release_Track'!$F:$F&amp;'5) Release_Track'!$G:$G,1,0))),vlookup($A325&amp;$B325,{'5) Release_Track'!$F:$F&amp;'5) Release_Track'!$G:$G,'5) Release_Track'!$H:$H},2,0),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D325" s="121" t="str">
        <f t="array" ref="D325">ifs(and(isblank($A325),isblank($B325)),"", not(iserror(vlookup($A325&amp;$B325,'5) Release_Track'!$F:$F&amp;'5) Release_Track'!$G:$G,1,0))),vlookup($A325&amp;$B325,{'5) Release_Track'!$F:$F&amp;'5) Release_Track'!$G:$G,'5) Release_Track'!$I:$I},2,0),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E325" s="150" t="b">
        <v>0</v>
      </c>
      <c r="F325" s="150" t="b">
        <v>0</v>
      </c>
      <c r="G325" s="150" t="b">
        <v>0</v>
      </c>
      <c r="H325" s="150" t="b">
        <v>0</v>
      </c>
      <c r="I325" s="150" t="b">
        <v>0</v>
      </c>
      <c r="J325" s="150" t="b">
        <v>0</v>
      </c>
      <c r="K325" s="150" t="b">
        <v>0</v>
      </c>
      <c r="L325" s="8" t="b">
        <v>0</v>
      </c>
    </row>
    <row r="326">
      <c r="B326" s="97"/>
      <c r="C326" s="121" t="str">
        <f t="array" ref="C326">ifs(and(isblank($A326),isblank($B326)),"", not(iserror(vlookup($A326&amp;$B326,'5) Release_Track'!$F:$F&amp;'5) Release_Track'!$G:$G,1,0))),vlookup($A326&amp;$B326,{'5) Release_Track'!$F:$F&amp;'5) Release_Track'!$G:$G,'5) Release_Track'!$H:$H},2,0),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D326" s="121" t="str">
        <f t="array" ref="D326">ifs(and(isblank($A326),isblank($B326)),"", not(iserror(vlookup($A326&amp;$B326,'5) Release_Track'!$F:$F&amp;'5) Release_Track'!$G:$G,1,0))),vlookup($A326&amp;$B326,{'5) Release_Track'!$F:$F&amp;'5) Release_Track'!$G:$G,'5) Release_Track'!$I:$I},2,0),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E326" s="150" t="b">
        <v>0</v>
      </c>
      <c r="F326" s="150" t="b">
        <v>0</v>
      </c>
      <c r="G326" s="150" t="b">
        <v>0</v>
      </c>
      <c r="H326" s="150" t="b">
        <v>0</v>
      </c>
      <c r="I326" s="150" t="b">
        <v>0</v>
      </c>
      <c r="J326" s="150" t="b">
        <v>0</v>
      </c>
      <c r="K326" s="150" t="b">
        <v>0</v>
      </c>
      <c r="L326" s="8" t="b">
        <v>0</v>
      </c>
    </row>
    <row r="327">
      <c r="B327" s="97"/>
      <c r="C327" s="121" t="str">
        <f t="array" ref="C327">ifs(and(isblank($A327),isblank($B327)),"", not(iserror(vlookup($A327&amp;$B327,'5) Release_Track'!$F:$F&amp;'5) Release_Track'!$G:$G,1,0))),vlookup($A327&amp;$B327,{'5) Release_Track'!$F:$F&amp;'5) Release_Track'!$G:$G,'5) Release_Track'!$H:$H},2,0),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D327" s="121" t="str">
        <f t="array" ref="D327">ifs(and(isblank($A327),isblank($B327)),"", not(iserror(vlookup($A327&amp;$B327,'5) Release_Track'!$F:$F&amp;'5) Release_Track'!$G:$G,1,0))),vlookup($A327&amp;$B327,{'5) Release_Track'!$F:$F&amp;'5) Release_Track'!$G:$G,'5) Release_Track'!$I:$I},2,0),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E327" s="150" t="b">
        <v>0</v>
      </c>
      <c r="F327" s="150" t="b">
        <v>0</v>
      </c>
      <c r="G327" s="150" t="b">
        <v>0</v>
      </c>
      <c r="H327" s="150" t="b">
        <v>0</v>
      </c>
      <c r="I327" s="150" t="b">
        <v>0</v>
      </c>
      <c r="J327" s="150" t="b">
        <v>0</v>
      </c>
      <c r="K327" s="150" t="b">
        <v>0</v>
      </c>
      <c r="L327" s="8" t="b">
        <v>0</v>
      </c>
    </row>
    <row r="328">
      <c r="B328" s="97"/>
      <c r="C328" s="121" t="str">
        <f t="array" ref="C328">ifs(and(isblank($A328),isblank($B328)),"", not(iserror(vlookup($A328&amp;$B328,'5) Release_Track'!$F:$F&amp;'5) Release_Track'!$G:$G,1,0))),vlookup($A328&amp;$B328,{'5) Release_Track'!$F:$F&amp;'5) Release_Track'!$G:$G,'5) Release_Track'!$H:$H},2,0),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D328" s="121" t="str">
        <f t="array" ref="D328">ifs(and(isblank($A328),isblank($B328)),"", not(iserror(vlookup($A328&amp;$B328,'5) Release_Track'!$F:$F&amp;'5) Release_Track'!$G:$G,1,0))),vlookup($A328&amp;$B328,{'5) Release_Track'!$F:$F&amp;'5) Release_Track'!$G:$G,'5) Release_Track'!$I:$I},2,0),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E328" s="150" t="b">
        <v>0</v>
      </c>
      <c r="F328" s="150" t="b">
        <v>0</v>
      </c>
      <c r="G328" s="150" t="b">
        <v>0</v>
      </c>
      <c r="H328" s="150" t="b">
        <v>0</v>
      </c>
      <c r="I328" s="150" t="b">
        <v>0</v>
      </c>
      <c r="J328" s="150" t="b">
        <v>0</v>
      </c>
      <c r="K328" s="150" t="b">
        <v>0</v>
      </c>
      <c r="L328" s="8" t="b">
        <v>0</v>
      </c>
    </row>
    <row r="329">
      <c r="B329" s="97"/>
      <c r="C329" s="121" t="str">
        <f t="array" ref="C329">ifs(and(isblank($A329),isblank($B329)),"", not(iserror(vlookup($A329&amp;$B329,'5) Release_Track'!$F:$F&amp;'5) Release_Track'!$G:$G,1,0))),vlookup($A329&amp;$B329,{'5) Release_Track'!$F:$F&amp;'5) Release_Track'!$G:$G,'5) Release_Track'!$H:$H},2,0),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D329" s="121" t="str">
        <f t="array" ref="D329">ifs(and(isblank($A329),isblank($B329)),"", not(iserror(vlookup($A329&amp;$B329,'5) Release_Track'!$F:$F&amp;'5) Release_Track'!$G:$G,1,0))),vlookup($A329&amp;$B329,{'5) Release_Track'!$F:$F&amp;'5) Release_Track'!$G:$G,'5) Release_Track'!$I:$I},2,0),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E329" s="150" t="b">
        <v>0</v>
      </c>
      <c r="F329" s="150" t="b">
        <v>0</v>
      </c>
      <c r="G329" s="150" t="b">
        <v>0</v>
      </c>
      <c r="H329" s="150" t="b">
        <v>0</v>
      </c>
      <c r="I329" s="150" t="b">
        <v>0</v>
      </c>
      <c r="J329" s="150" t="b">
        <v>0</v>
      </c>
      <c r="K329" s="150" t="b">
        <v>0</v>
      </c>
      <c r="L329" s="8" t="b">
        <v>0</v>
      </c>
    </row>
    <row r="330">
      <c r="B330" s="97"/>
      <c r="C330" s="121" t="str">
        <f t="array" ref="C330">ifs(and(isblank($A330),isblank($B330)),"", not(iserror(vlookup($A330&amp;$B330,'5) Release_Track'!$F:$F&amp;'5) Release_Track'!$G:$G,1,0))),vlookup($A330&amp;$B330,{'5) Release_Track'!$F:$F&amp;'5) Release_Track'!$G:$G,'5) Release_Track'!$H:$H},2,0),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D330" s="121" t="str">
        <f t="array" ref="D330">ifs(and(isblank($A330),isblank($B330)),"", not(iserror(vlookup($A330&amp;$B330,'5) Release_Track'!$F:$F&amp;'5) Release_Track'!$G:$G,1,0))),vlookup($A330&amp;$B330,{'5) Release_Track'!$F:$F&amp;'5) Release_Track'!$G:$G,'5) Release_Track'!$I:$I},2,0),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E330" s="150" t="b">
        <v>0</v>
      </c>
      <c r="F330" s="150" t="b">
        <v>0</v>
      </c>
      <c r="G330" s="150" t="b">
        <v>0</v>
      </c>
      <c r="H330" s="150" t="b">
        <v>0</v>
      </c>
      <c r="I330" s="150" t="b">
        <v>0</v>
      </c>
      <c r="J330" s="150" t="b">
        <v>0</v>
      </c>
      <c r="K330" s="150" t="b">
        <v>0</v>
      </c>
      <c r="L330" s="8" t="b">
        <v>0</v>
      </c>
    </row>
    <row r="331">
      <c r="B331" s="97"/>
      <c r="C331" s="121" t="str">
        <f t="array" ref="C331">ifs(and(isblank($A331),isblank($B331)),"", not(iserror(vlookup($A331&amp;$B331,'5) Release_Track'!$F:$F&amp;'5) Release_Track'!$G:$G,1,0))),vlookup($A331&amp;$B331,{'5) Release_Track'!$F:$F&amp;'5) Release_Track'!$G:$G,'5) Release_Track'!$H:$H},2,0),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D331" s="121" t="str">
        <f t="array" ref="D331">ifs(and(isblank($A331),isblank($B331)),"", not(iserror(vlookup($A331&amp;$B331,'5) Release_Track'!$F:$F&amp;'5) Release_Track'!$G:$G,1,0))),vlookup($A331&amp;$B331,{'5) Release_Track'!$F:$F&amp;'5) Release_Track'!$G:$G,'5) Release_Track'!$I:$I},2,0),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E331" s="150" t="b">
        <v>0</v>
      </c>
      <c r="F331" s="150" t="b">
        <v>0</v>
      </c>
      <c r="G331" s="150" t="b">
        <v>0</v>
      </c>
      <c r="H331" s="150" t="b">
        <v>0</v>
      </c>
      <c r="I331" s="150" t="b">
        <v>0</v>
      </c>
      <c r="J331" s="150" t="b">
        <v>0</v>
      </c>
      <c r="K331" s="150" t="b">
        <v>0</v>
      </c>
      <c r="L331" s="8" t="b">
        <v>0</v>
      </c>
    </row>
    <row r="332">
      <c r="B332" s="97"/>
      <c r="C332" s="121" t="str">
        <f t="array" ref="C332">ifs(and(isblank($A332),isblank($B332)),"", not(iserror(vlookup($A332&amp;$B332,'5) Release_Track'!$F:$F&amp;'5) Release_Track'!$G:$G,1,0))),vlookup($A332&amp;$B332,{'5) Release_Track'!$F:$F&amp;'5) Release_Track'!$G:$G,'5) Release_Track'!$H:$H},2,0),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D332" s="121" t="str">
        <f t="array" ref="D332">ifs(and(isblank($A332),isblank($B332)),"", not(iserror(vlookup($A332&amp;$B332,'5) Release_Track'!$F:$F&amp;'5) Release_Track'!$G:$G,1,0))),vlookup($A332&amp;$B332,{'5) Release_Track'!$F:$F&amp;'5) Release_Track'!$G:$G,'5) Release_Track'!$I:$I},2,0),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E332" s="150" t="b">
        <v>0</v>
      </c>
      <c r="F332" s="150" t="b">
        <v>0</v>
      </c>
      <c r="G332" s="150" t="b">
        <v>0</v>
      </c>
      <c r="H332" s="150" t="b">
        <v>0</v>
      </c>
      <c r="I332" s="150" t="b">
        <v>0</v>
      </c>
      <c r="J332" s="150" t="b">
        <v>0</v>
      </c>
      <c r="K332" s="150" t="b">
        <v>0</v>
      </c>
      <c r="L332" s="8" t="b">
        <v>0</v>
      </c>
    </row>
    <row r="333">
      <c r="B333" s="97"/>
      <c r="C333" s="121" t="str">
        <f t="array" ref="C333">ifs(and(isblank($A333),isblank($B333)),"", not(iserror(vlookup($A333&amp;$B333,'5) Release_Track'!$F:$F&amp;'5) Release_Track'!$G:$G,1,0))),vlookup($A333&amp;$B333,{'5) Release_Track'!$F:$F&amp;'5) Release_Track'!$G:$G,'5) Release_Track'!$H:$H},2,0),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D333" s="121" t="str">
        <f t="array" ref="D333">ifs(and(isblank($A333),isblank($B333)),"", not(iserror(vlookup($A333&amp;$B333,'5) Release_Track'!$F:$F&amp;'5) Release_Track'!$G:$G,1,0))),vlookup($A333&amp;$B333,{'5) Release_Track'!$F:$F&amp;'5) Release_Track'!$G:$G,'5) Release_Track'!$I:$I},2,0),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E333" s="150" t="b">
        <v>0</v>
      </c>
      <c r="F333" s="150" t="b">
        <v>0</v>
      </c>
      <c r="G333" s="150" t="b">
        <v>0</v>
      </c>
      <c r="H333" s="150" t="b">
        <v>0</v>
      </c>
      <c r="I333" s="150" t="b">
        <v>0</v>
      </c>
      <c r="J333" s="150" t="b">
        <v>0</v>
      </c>
      <c r="K333" s="150" t="b">
        <v>0</v>
      </c>
      <c r="L333" s="8" t="b">
        <v>0</v>
      </c>
    </row>
    <row r="334">
      <c r="B334" s="97"/>
      <c r="C334" s="121" t="str">
        <f t="array" ref="C334">ifs(and(isblank($A334),isblank($B334)),"", not(iserror(vlookup($A334&amp;$B334,'5) Release_Track'!$F:$F&amp;'5) Release_Track'!$G:$G,1,0))),vlookup($A334&amp;$B334,{'5) Release_Track'!$F:$F&amp;'5) Release_Track'!$G:$G,'5) Release_Track'!$H:$H},2,0),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D334" s="121" t="str">
        <f t="array" ref="D334">ifs(and(isblank($A334),isblank($B334)),"", not(iserror(vlookup($A334&amp;$B334,'5) Release_Track'!$F:$F&amp;'5) Release_Track'!$G:$G,1,0))),vlookup($A334&amp;$B334,{'5) Release_Track'!$F:$F&amp;'5) Release_Track'!$G:$G,'5) Release_Track'!$I:$I},2,0),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E334" s="150" t="b">
        <v>0</v>
      </c>
      <c r="F334" s="150" t="b">
        <v>0</v>
      </c>
      <c r="G334" s="150" t="b">
        <v>0</v>
      </c>
      <c r="H334" s="150" t="b">
        <v>0</v>
      </c>
      <c r="I334" s="150" t="b">
        <v>0</v>
      </c>
      <c r="J334" s="150" t="b">
        <v>0</v>
      </c>
      <c r="K334" s="150" t="b">
        <v>0</v>
      </c>
      <c r="L334" s="8" t="b">
        <v>0</v>
      </c>
    </row>
    <row r="335">
      <c r="B335" s="97"/>
      <c r="C335" s="121" t="str">
        <f t="array" ref="C335">ifs(and(isblank($A335),isblank($B335)),"", not(iserror(vlookup($A335&amp;$B335,'5) Release_Track'!$F:$F&amp;'5) Release_Track'!$G:$G,1,0))),vlookup($A335&amp;$B335,{'5) Release_Track'!$F:$F&amp;'5) Release_Track'!$G:$G,'5) Release_Track'!$H:$H},2,0),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D335" s="121" t="str">
        <f t="array" ref="D335">ifs(and(isblank($A335),isblank($B335)),"", not(iserror(vlookup($A335&amp;$B335,'5) Release_Track'!$F:$F&amp;'5) Release_Track'!$G:$G,1,0))),vlookup($A335&amp;$B335,{'5) Release_Track'!$F:$F&amp;'5) Release_Track'!$G:$G,'5) Release_Track'!$I:$I},2,0),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E335" s="150" t="b">
        <v>0</v>
      </c>
      <c r="F335" s="150" t="b">
        <v>0</v>
      </c>
      <c r="G335" s="150" t="b">
        <v>0</v>
      </c>
      <c r="H335" s="150" t="b">
        <v>0</v>
      </c>
      <c r="I335" s="150" t="b">
        <v>0</v>
      </c>
      <c r="J335" s="150" t="b">
        <v>0</v>
      </c>
      <c r="K335" s="150" t="b">
        <v>0</v>
      </c>
      <c r="L335" s="8" t="b">
        <v>0</v>
      </c>
    </row>
    <row r="336">
      <c r="B336" s="97"/>
      <c r="C336" s="121" t="str">
        <f t="array" ref="C336">ifs(and(isblank($A336),isblank($B336)),"", not(iserror(vlookup($A336&amp;$B336,'5) Release_Track'!$F:$F&amp;'5) Release_Track'!$G:$G,1,0))),vlookup($A336&amp;$B336,{'5) Release_Track'!$F:$F&amp;'5) Release_Track'!$G:$G,'5) Release_Track'!$H:$H},2,0),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D336" s="121" t="str">
        <f t="array" ref="D336">ifs(and(isblank($A336),isblank($B336)),"", not(iserror(vlookup($A336&amp;$B336,'5) Release_Track'!$F:$F&amp;'5) Release_Track'!$G:$G,1,0))),vlookup($A336&amp;$B336,{'5) Release_Track'!$F:$F&amp;'5) Release_Track'!$G:$G,'5) Release_Track'!$I:$I},2,0),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E336" s="150" t="b">
        <v>0</v>
      </c>
      <c r="F336" s="150" t="b">
        <v>0</v>
      </c>
      <c r="G336" s="150" t="b">
        <v>0</v>
      </c>
      <c r="H336" s="150" t="b">
        <v>0</v>
      </c>
      <c r="I336" s="150" t="b">
        <v>0</v>
      </c>
      <c r="J336" s="150" t="b">
        <v>0</v>
      </c>
      <c r="K336" s="150" t="b">
        <v>0</v>
      </c>
      <c r="L336" s="8" t="b">
        <v>0</v>
      </c>
    </row>
    <row r="337">
      <c r="B337" s="97"/>
      <c r="C337" s="121" t="str">
        <f t="array" ref="C337">ifs(and(isblank($A337),isblank($B337)),"", not(iserror(vlookup($A337&amp;$B337,'5) Release_Track'!$F:$F&amp;'5) Release_Track'!$G:$G,1,0))),vlookup($A337&amp;$B337,{'5) Release_Track'!$F:$F&amp;'5) Release_Track'!$G:$G,'5) Release_Track'!$H:$H},2,0),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D337" s="121" t="str">
        <f t="array" ref="D337">ifs(and(isblank($A337),isblank($B337)),"", not(iserror(vlookup($A337&amp;$B337,'5) Release_Track'!$F:$F&amp;'5) Release_Track'!$G:$G,1,0))),vlookup($A337&amp;$B337,{'5) Release_Track'!$F:$F&amp;'5) Release_Track'!$G:$G,'5) Release_Track'!$I:$I},2,0),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E337" s="150" t="b">
        <v>0</v>
      </c>
      <c r="F337" s="150" t="b">
        <v>0</v>
      </c>
      <c r="G337" s="150" t="b">
        <v>0</v>
      </c>
      <c r="H337" s="150" t="b">
        <v>0</v>
      </c>
      <c r="I337" s="150" t="b">
        <v>0</v>
      </c>
      <c r="J337" s="150" t="b">
        <v>0</v>
      </c>
      <c r="K337" s="150" t="b">
        <v>0</v>
      </c>
      <c r="L337" s="8" t="b">
        <v>0</v>
      </c>
    </row>
    <row r="338">
      <c r="B338" s="97"/>
      <c r="C338" s="121" t="str">
        <f t="array" ref="C338">ifs(and(isblank($A338),isblank($B338)),"", not(iserror(vlookup($A338&amp;$B338,'5) Release_Track'!$F:$F&amp;'5) Release_Track'!$G:$G,1,0))),vlookup($A338&amp;$B338,{'5) Release_Track'!$F:$F&amp;'5) Release_Track'!$G:$G,'5) Release_Track'!$H:$H},2,0),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D338" s="121" t="str">
        <f t="array" ref="D338">ifs(and(isblank($A338),isblank($B338)),"", not(iserror(vlookup($A338&amp;$B338,'5) Release_Track'!$F:$F&amp;'5) Release_Track'!$G:$G,1,0))),vlookup($A338&amp;$B338,{'5) Release_Track'!$F:$F&amp;'5) Release_Track'!$G:$G,'5) Release_Track'!$I:$I},2,0),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E338" s="150" t="b">
        <v>0</v>
      </c>
      <c r="F338" s="150" t="b">
        <v>0</v>
      </c>
      <c r="G338" s="150" t="b">
        <v>0</v>
      </c>
      <c r="H338" s="150" t="b">
        <v>0</v>
      </c>
      <c r="I338" s="150" t="b">
        <v>0</v>
      </c>
      <c r="J338" s="150" t="b">
        <v>0</v>
      </c>
      <c r="K338" s="150" t="b">
        <v>0</v>
      </c>
      <c r="L338" s="8" t="b">
        <v>0</v>
      </c>
    </row>
    <row r="339">
      <c r="B339" s="97"/>
      <c r="C339" s="121" t="str">
        <f t="array" ref="C339">ifs(and(isblank($A339),isblank($B339)),"", not(iserror(vlookup($A339&amp;$B339,'5) Release_Track'!$F:$F&amp;'5) Release_Track'!$G:$G,1,0))),vlookup($A339&amp;$B339,{'5) Release_Track'!$F:$F&amp;'5) Release_Track'!$G:$G,'5) Release_Track'!$H:$H},2,0),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D339" s="121" t="str">
        <f t="array" ref="D339">ifs(and(isblank($A339),isblank($B339)),"", not(iserror(vlookup($A339&amp;$B339,'5) Release_Track'!$F:$F&amp;'5) Release_Track'!$G:$G,1,0))),vlookup($A339&amp;$B339,{'5) Release_Track'!$F:$F&amp;'5) Release_Track'!$G:$G,'5) Release_Track'!$I:$I},2,0),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E339" s="150" t="b">
        <v>0</v>
      </c>
      <c r="F339" s="150" t="b">
        <v>0</v>
      </c>
      <c r="G339" s="150" t="b">
        <v>0</v>
      </c>
      <c r="H339" s="150" t="b">
        <v>0</v>
      </c>
      <c r="I339" s="150" t="b">
        <v>0</v>
      </c>
      <c r="J339" s="150" t="b">
        <v>0</v>
      </c>
      <c r="K339" s="150" t="b">
        <v>0</v>
      </c>
      <c r="L339" s="8" t="b">
        <v>0</v>
      </c>
    </row>
    <row r="340">
      <c r="B340" s="97"/>
      <c r="C340" s="121" t="str">
        <f t="array" ref="C340">ifs(and(isblank($A340),isblank($B340)),"", not(iserror(vlookup($A340&amp;$B340,'5) Release_Track'!$F:$F&amp;'5) Release_Track'!$G:$G,1,0))),vlookup($A340&amp;$B340,{'5) Release_Track'!$F:$F&amp;'5) Release_Track'!$G:$G,'5) Release_Track'!$H:$H},2,0),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D340" s="121" t="str">
        <f t="array" ref="D340">ifs(and(isblank($A340),isblank($B340)),"", not(iserror(vlookup($A340&amp;$B340,'5) Release_Track'!$F:$F&amp;'5) Release_Track'!$G:$G,1,0))),vlookup($A340&amp;$B340,{'5) Release_Track'!$F:$F&amp;'5) Release_Track'!$G:$G,'5) Release_Track'!$I:$I},2,0),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E340" s="150" t="b">
        <v>0</v>
      </c>
      <c r="F340" s="150" t="b">
        <v>0</v>
      </c>
      <c r="G340" s="150" t="b">
        <v>0</v>
      </c>
      <c r="H340" s="150" t="b">
        <v>0</v>
      </c>
      <c r="I340" s="150" t="b">
        <v>0</v>
      </c>
      <c r="J340" s="150" t="b">
        <v>0</v>
      </c>
      <c r="K340" s="150" t="b">
        <v>0</v>
      </c>
      <c r="L340" s="8" t="b">
        <v>0</v>
      </c>
    </row>
    <row r="341">
      <c r="B341" s="97"/>
      <c r="C341" s="121" t="str">
        <f t="array" ref="C341">ifs(and(isblank($A341),isblank($B341)),"", not(iserror(vlookup($A341&amp;$B341,'5) Release_Track'!$F:$F&amp;'5) Release_Track'!$G:$G,1,0))),vlookup($A341&amp;$B341,{'5) Release_Track'!$F:$F&amp;'5) Release_Track'!$G:$G,'5) Release_Track'!$H:$H},2,0),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D341" s="121" t="str">
        <f t="array" ref="D341">ifs(and(isblank($A341),isblank($B341)),"", not(iserror(vlookup($A341&amp;$B341,'5) Release_Track'!$F:$F&amp;'5) Release_Track'!$G:$G,1,0))),vlookup($A341&amp;$B341,{'5) Release_Track'!$F:$F&amp;'5) Release_Track'!$G:$G,'5) Release_Track'!$I:$I},2,0),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E341" s="150" t="b">
        <v>0</v>
      </c>
      <c r="F341" s="150" t="b">
        <v>0</v>
      </c>
      <c r="G341" s="150" t="b">
        <v>0</v>
      </c>
      <c r="H341" s="150" t="b">
        <v>0</v>
      </c>
      <c r="I341" s="150" t="b">
        <v>0</v>
      </c>
      <c r="J341" s="150" t="b">
        <v>0</v>
      </c>
      <c r="K341" s="150" t="b">
        <v>0</v>
      </c>
      <c r="L341" s="8" t="b">
        <v>0</v>
      </c>
    </row>
    <row r="342">
      <c r="B342" s="97"/>
      <c r="C342" s="121" t="str">
        <f t="array" ref="C342">ifs(and(isblank($A342),isblank($B342)),"", not(iserror(vlookup($A342&amp;$B342,'5) Release_Track'!$F:$F&amp;'5) Release_Track'!$G:$G,1,0))),vlookup($A342&amp;$B342,{'5) Release_Track'!$F:$F&amp;'5) Release_Track'!$G:$G,'5) Release_Track'!$H:$H},2,0),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D342" s="121" t="str">
        <f t="array" ref="D342">ifs(and(isblank($A342),isblank($B342)),"", not(iserror(vlookup($A342&amp;$B342,'5) Release_Track'!$F:$F&amp;'5) Release_Track'!$G:$G,1,0))),vlookup($A342&amp;$B342,{'5) Release_Track'!$F:$F&amp;'5) Release_Track'!$G:$G,'5) Release_Track'!$I:$I},2,0),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E342" s="150" t="b">
        <v>0</v>
      </c>
      <c r="F342" s="150" t="b">
        <v>0</v>
      </c>
      <c r="G342" s="150" t="b">
        <v>0</v>
      </c>
      <c r="H342" s="150" t="b">
        <v>0</v>
      </c>
      <c r="I342" s="150" t="b">
        <v>0</v>
      </c>
      <c r="J342" s="150" t="b">
        <v>0</v>
      </c>
      <c r="K342" s="150" t="b">
        <v>0</v>
      </c>
      <c r="L342" s="8" t="b">
        <v>0</v>
      </c>
    </row>
    <row r="343">
      <c r="B343" s="97"/>
      <c r="C343" s="121" t="str">
        <f t="array" ref="C343">ifs(and(isblank($A343),isblank($B343)),"", not(iserror(vlookup($A343&amp;$B343,'5) Release_Track'!$F:$F&amp;'5) Release_Track'!$G:$G,1,0))),vlookup($A343&amp;$B343,{'5) Release_Track'!$F:$F&amp;'5) Release_Track'!$G:$G,'5) Release_Track'!$H:$H},2,0),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D343" s="121" t="str">
        <f t="array" ref="D343">ifs(and(isblank($A343),isblank($B343)),"", not(iserror(vlookup($A343&amp;$B343,'5) Release_Track'!$F:$F&amp;'5) Release_Track'!$G:$G,1,0))),vlookup($A343&amp;$B343,{'5) Release_Track'!$F:$F&amp;'5) Release_Track'!$G:$G,'5) Release_Track'!$I:$I},2,0),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E343" s="150" t="b">
        <v>0</v>
      </c>
      <c r="F343" s="150" t="b">
        <v>0</v>
      </c>
      <c r="G343" s="150" t="b">
        <v>0</v>
      </c>
      <c r="H343" s="150" t="b">
        <v>0</v>
      </c>
      <c r="I343" s="150" t="b">
        <v>0</v>
      </c>
      <c r="J343" s="150" t="b">
        <v>0</v>
      </c>
      <c r="K343" s="150" t="b">
        <v>0</v>
      </c>
      <c r="L343" s="8" t="b">
        <v>0</v>
      </c>
    </row>
    <row r="344">
      <c r="B344" s="97"/>
      <c r="C344" s="121" t="str">
        <f t="array" ref="C344">ifs(and(isblank($A344),isblank($B344)),"", not(iserror(vlookup($A344&amp;$B344,'5) Release_Track'!$F:$F&amp;'5) Release_Track'!$G:$G,1,0))),vlookup($A344&amp;$B344,{'5) Release_Track'!$F:$F&amp;'5) Release_Track'!$G:$G,'5) Release_Track'!$H:$H},2,0),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D344" s="121" t="str">
        <f t="array" ref="D344">ifs(and(isblank($A344),isblank($B344)),"", not(iserror(vlookup($A344&amp;$B344,'5) Release_Track'!$F:$F&amp;'5) Release_Track'!$G:$G,1,0))),vlookup($A344&amp;$B344,{'5) Release_Track'!$F:$F&amp;'5) Release_Track'!$G:$G,'5) Release_Track'!$I:$I},2,0),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E344" s="150" t="b">
        <v>0</v>
      </c>
      <c r="F344" s="150" t="b">
        <v>0</v>
      </c>
      <c r="G344" s="150" t="b">
        <v>0</v>
      </c>
      <c r="H344" s="150" t="b">
        <v>0</v>
      </c>
      <c r="I344" s="150" t="b">
        <v>0</v>
      </c>
      <c r="J344" s="150" t="b">
        <v>0</v>
      </c>
      <c r="K344" s="150" t="b">
        <v>0</v>
      </c>
      <c r="L344" s="8" t="b">
        <v>0</v>
      </c>
    </row>
    <row r="345">
      <c r="B345" s="97"/>
      <c r="C345" s="121" t="str">
        <f t="array" ref="C345">ifs(and(isblank($A345),isblank($B345)),"", not(iserror(vlookup($A345&amp;$B345,'5) Release_Track'!$F:$F&amp;'5) Release_Track'!$G:$G,1,0))),vlookup($A345&amp;$B345,{'5) Release_Track'!$F:$F&amp;'5) Release_Track'!$G:$G,'5) Release_Track'!$H:$H},2,0),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D345" s="121" t="str">
        <f t="array" ref="D345">ifs(and(isblank($A345),isblank($B345)),"", not(iserror(vlookup($A345&amp;$B345,'5) Release_Track'!$F:$F&amp;'5) Release_Track'!$G:$G,1,0))),vlookup($A345&amp;$B345,{'5) Release_Track'!$F:$F&amp;'5) Release_Track'!$G:$G,'5) Release_Track'!$I:$I},2,0),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E345" s="150" t="b">
        <v>0</v>
      </c>
      <c r="F345" s="150" t="b">
        <v>0</v>
      </c>
      <c r="G345" s="150" t="b">
        <v>0</v>
      </c>
      <c r="H345" s="150" t="b">
        <v>0</v>
      </c>
      <c r="I345" s="150" t="b">
        <v>0</v>
      </c>
      <c r="J345" s="150" t="b">
        <v>0</v>
      </c>
      <c r="K345" s="150" t="b">
        <v>0</v>
      </c>
      <c r="L345" s="8" t="b">
        <v>0</v>
      </c>
    </row>
    <row r="346">
      <c r="B346" s="97"/>
      <c r="C346" s="121" t="str">
        <f t="array" ref="C346">ifs(and(isblank($A346),isblank($B346)),"", not(iserror(vlookup($A346&amp;$B346,'5) Release_Track'!$F:$F&amp;'5) Release_Track'!$G:$G,1,0))),vlookup($A346&amp;$B346,{'5) Release_Track'!$F:$F&amp;'5) Release_Track'!$G:$G,'5) Release_Track'!$H:$H},2,0),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D346" s="121" t="str">
        <f t="array" ref="D346">ifs(and(isblank($A346),isblank($B346)),"", not(iserror(vlookup($A346&amp;$B346,'5) Release_Track'!$F:$F&amp;'5) Release_Track'!$G:$G,1,0))),vlookup($A346&amp;$B346,{'5) Release_Track'!$F:$F&amp;'5) Release_Track'!$G:$G,'5) Release_Track'!$I:$I},2,0),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E346" s="150" t="b">
        <v>0</v>
      </c>
      <c r="F346" s="150" t="b">
        <v>0</v>
      </c>
      <c r="G346" s="150" t="b">
        <v>0</v>
      </c>
      <c r="H346" s="150" t="b">
        <v>0</v>
      </c>
      <c r="I346" s="150" t="b">
        <v>0</v>
      </c>
      <c r="J346" s="150" t="b">
        <v>0</v>
      </c>
      <c r="K346" s="150" t="b">
        <v>0</v>
      </c>
      <c r="L346" s="8" t="b">
        <v>0</v>
      </c>
    </row>
    <row r="347">
      <c r="B347" s="97"/>
      <c r="C347" s="121" t="str">
        <f t="array" ref="C347">ifs(and(isblank($A347),isblank($B347)),"", not(iserror(vlookup($A347&amp;$B347,'5) Release_Track'!$F:$F&amp;'5) Release_Track'!$G:$G,1,0))),vlookup($A347&amp;$B347,{'5) Release_Track'!$F:$F&amp;'5) Release_Track'!$G:$G,'5) Release_Track'!$H:$H},2,0),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D347" s="121" t="str">
        <f t="array" ref="D347">ifs(and(isblank($A347),isblank($B347)),"", not(iserror(vlookup($A347&amp;$B347,'5) Release_Track'!$F:$F&amp;'5) Release_Track'!$G:$G,1,0))),vlookup($A347&amp;$B347,{'5) Release_Track'!$F:$F&amp;'5) Release_Track'!$G:$G,'5) Release_Track'!$I:$I},2,0),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E347" s="150" t="b">
        <v>0</v>
      </c>
      <c r="F347" s="150" t="b">
        <v>0</v>
      </c>
      <c r="G347" s="150" t="b">
        <v>0</v>
      </c>
      <c r="H347" s="150" t="b">
        <v>0</v>
      </c>
      <c r="I347" s="150" t="b">
        <v>0</v>
      </c>
      <c r="J347" s="150" t="b">
        <v>0</v>
      </c>
      <c r="K347" s="150" t="b">
        <v>0</v>
      </c>
      <c r="L347" s="8" t="b">
        <v>0</v>
      </c>
    </row>
    <row r="348">
      <c r="B348" s="97"/>
      <c r="C348" s="121" t="str">
        <f t="array" ref="C348">ifs(and(isblank($A348),isblank($B348)),"", not(iserror(vlookup($A348&amp;$B348,'5) Release_Track'!$F:$F&amp;'5) Release_Track'!$G:$G,1,0))),vlookup($A348&amp;$B348,{'5) Release_Track'!$F:$F&amp;'5) Release_Track'!$G:$G,'5) Release_Track'!$H:$H},2,0),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D348" s="121" t="str">
        <f t="array" ref="D348">ifs(and(isblank($A348),isblank($B348)),"", not(iserror(vlookup($A348&amp;$B348,'5) Release_Track'!$F:$F&amp;'5) Release_Track'!$G:$G,1,0))),vlookup($A348&amp;$B348,{'5) Release_Track'!$F:$F&amp;'5) Release_Track'!$G:$G,'5) Release_Track'!$I:$I},2,0),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E348" s="150" t="b">
        <v>0</v>
      </c>
      <c r="F348" s="150" t="b">
        <v>0</v>
      </c>
      <c r="G348" s="150" t="b">
        <v>0</v>
      </c>
      <c r="H348" s="150" t="b">
        <v>0</v>
      </c>
      <c r="I348" s="150" t="b">
        <v>0</v>
      </c>
      <c r="J348" s="150" t="b">
        <v>0</v>
      </c>
      <c r="K348" s="150" t="b">
        <v>0</v>
      </c>
      <c r="L348" s="8" t="b">
        <v>0</v>
      </c>
    </row>
    <row r="349">
      <c r="B349" s="97"/>
      <c r="C349" s="121" t="str">
        <f t="array" ref="C349">ifs(and(isblank($A349),isblank($B349)),"", not(iserror(vlookup($A349&amp;$B349,'5) Release_Track'!$F:$F&amp;'5) Release_Track'!$G:$G,1,0))),vlookup($A349&amp;$B349,{'5) Release_Track'!$F:$F&amp;'5) Release_Track'!$G:$G,'5) Release_Track'!$H:$H},2,0),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D349" s="121" t="str">
        <f t="array" ref="D349">ifs(and(isblank($A349),isblank($B349)),"", not(iserror(vlookup($A349&amp;$B349,'5) Release_Track'!$F:$F&amp;'5) Release_Track'!$G:$G,1,0))),vlookup($A349&amp;$B349,{'5) Release_Track'!$F:$F&amp;'5) Release_Track'!$G:$G,'5) Release_Track'!$I:$I},2,0),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E349" s="150" t="b">
        <v>0</v>
      </c>
      <c r="F349" s="150" t="b">
        <v>0</v>
      </c>
      <c r="G349" s="150" t="b">
        <v>0</v>
      </c>
      <c r="H349" s="150" t="b">
        <v>0</v>
      </c>
      <c r="I349" s="150" t="b">
        <v>0</v>
      </c>
      <c r="J349" s="150" t="b">
        <v>0</v>
      </c>
      <c r="K349" s="150" t="b">
        <v>0</v>
      </c>
      <c r="L349" s="8" t="b">
        <v>0</v>
      </c>
    </row>
    <row r="350">
      <c r="B350" s="97"/>
      <c r="C350" s="121" t="str">
        <f t="array" ref="C350">ifs(and(isblank($A350),isblank($B350)),"", not(iserror(vlookup($A350&amp;$B350,'5) Release_Track'!$F:$F&amp;'5) Release_Track'!$G:$G,1,0))),vlookup($A350&amp;$B350,{'5) Release_Track'!$F:$F&amp;'5) Release_Track'!$G:$G,'5) Release_Track'!$H:$H},2,0),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D350" s="121" t="str">
        <f t="array" ref="D350">ifs(and(isblank($A350),isblank($B350)),"", not(iserror(vlookup($A350&amp;$B350,'5) Release_Track'!$F:$F&amp;'5) Release_Track'!$G:$G,1,0))),vlookup($A350&amp;$B350,{'5) Release_Track'!$F:$F&amp;'5) Release_Track'!$G:$G,'5) Release_Track'!$I:$I},2,0),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E350" s="150" t="b">
        <v>0</v>
      </c>
      <c r="F350" s="150" t="b">
        <v>0</v>
      </c>
      <c r="G350" s="150" t="b">
        <v>0</v>
      </c>
      <c r="H350" s="150" t="b">
        <v>0</v>
      </c>
      <c r="I350" s="150" t="b">
        <v>0</v>
      </c>
      <c r="J350" s="150" t="b">
        <v>0</v>
      </c>
      <c r="K350" s="150" t="b">
        <v>0</v>
      </c>
      <c r="L350" s="8" t="b">
        <v>0</v>
      </c>
    </row>
    <row r="351">
      <c r="B351" s="97"/>
      <c r="C351" s="121" t="str">
        <f t="array" ref="C351">ifs(and(isblank($A351),isblank($B351)),"", not(iserror(vlookup($A351&amp;$B351,'5) Release_Track'!$F:$F&amp;'5) Release_Track'!$G:$G,1,0))),vlookup($A351&amp;$B351,{'5) Release_Track'!$F:$F&amp;'5) Release_Track'!$G:$G,'5) Release_Track'!$H:$H},2,0),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D351" s="121" t="str">
        <f t="array" ref="D351">ifs(and(isblank($A351),isblank($B351)),"", not(iserror(vlookup($A351&amp;$B351,'5) Release_Track'!$F:$F&amp;'5) Release_Track'!$G:$G,1,0))),vlookup($A351&amp;$B351,{'5) Release_Track'!$F:$F&amp;'5) Release_Track'!$G:$G,'5) Release_Track'!$I:$I},2,0),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E351" s="150" t="b">
        <v>0</v>
      </c>
      <c r="F351" s="150" t="b">
        <v>0</v>
      </c>
      <c r="G351" s="150" t="b">
        <v>0</v>
      </c>
      <c r="H351" s="150" t="b">
        <v>0</v>
      </c>
      <c r="I351" s="150" t="b">
        <v>0</v>
      </c>
      <c r="J351" s="150" t="b">
        <v>0</v>
      </c>
      <c r="K351" s="150" t="b">
        <v>0</v>
      </c>
      <c r="L351" s="8" t="b">
        <v>0</v>
      </c>
    </row>
    <row r="352">
      <c r="B352" s="97"/>
      <c r="C352" s="121" t="str">
        <f t="array" ref="C352">ifs(and(isblank($A352),isblank($B352)),"", not(iserror(vlookup($A352&amp;$B352,'5) Release_Track'!$F:$F&amp;'5) Release_Track'!$G:$G,1,0))),vlookup($A352&amp;$B352,{'5) Release_Track'!$F:$F&amp;'5) Release_Track'!$G:$G,'5) Release_Track'!$H:$H},2,0),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D352" s="121" t="str">
        <f t="array" ref="D352">ifs(and(isblank($A352),isblank($B352)),"", not(iserror(vlookup($A352&amp;$B352,'5) Release_Track'!$F:$F&amp;'5) Release_Track'!$G:$G,1,0))),vlookup($A352&amp;$B352,{'5) Release_Track'!$F:$F&amp;'5) Release_Track'!$G:$G,'5) Release_Track'!$I:$I},2,0),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E352" s="150" t="b">
        <v>0</v>
      </c>
      <c r="F352" s="150" t="b">
        <v>0</v>
      </c>
      <c r="G352" s="150" t="b">
        <v>0</v>
      </c>
      <c r="H352" s="150" t="b">
        <v>0</v>
      </c>
      <c r="I352" s="150" t="b">
        <v>0</v>
      </c>
      <c r="J352" s="150" t="b">
        <v>0</v>
      </c>
      <c r="K352" s="150" t="b">
        <v>0</v>
      </c>
      <c r="L352" s="8" t="b">
        <v>0</v>
      </c>
    </row>
    <row r="353">
      <c r="B353" s="97"/>
      <c r="C353" s="121" t="str">
        <f t="array" ref="C353">ifs(and(isblank($A353),isblank($B353)),"", not(iserror(vlookup($A353&amp;$B353,'5) Release_Track'!$F:$F&amp;'5) Release_Track'!$G:$G,1,0))),vlookup($A353&amp;$B353,{'5) Release_Track'!$F:$F&amp;'5) Release_Track'!$G:$G,'5) Release_Track'!$H:$H},2,0),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D353" s="121" t="str">
        <f t="array" ref="D353">ifs(and(isblank($A353),isblank($B353)),"", not(iserror(vlookup($A353&amp;$B353,'5) Release_Track'!$F:$F&amp;'5) Release_Track'!$G:$G,1,0))),vlookup($A353&amp;$B353,{'5) Release_Track'!$F:$F&amp;'5) Release_Track'!$G:$G,'5) Release_Track'!$I:$I},2,0),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E353" s="150" t="b">
        <v>0</v>
      </c>
      <c r="F353" s="150" t="b">
        <v>0</v>
      </c>
      <c r="G353" s="150" t="b">
        <v>0</v>
      </c>
      <c r="H353" s="150" t="b">
        <v>0</v>
      </c>
      <c r="I353" s="150" t="b">
        <v>0</v>
      </c>
      <c r="J353" s="150" t="b">
        <v>0</v>
      </c>
      <c r="K353" s="150" t="b">
        <v>0</v>
      </c>
      <c r="L353" s="8" t="b">
        <v>0</v>
      </c>
    </row>
    <row r="354">
      <c r="B354" s="97"/>
      <c r="C354" s="121" t="str">
        <f t="array" ref="C354">ifs(and(isblank($A354),isblank($B354)),"", not(iserror(vlookup($A354&amp;$B354,'5) Release_Track'!$F:$F&amp;'5) Release_Track'!$G:$G,1,0))),vlookup($A354&amp;$B354,{'5) Release_Track'!$F:$F&amp;'5) Release_Track'!$G:$G,'5) Release_Track'!$H:$H},2,0),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D354" s="121" t="str">
        <f t="array" ref="D354">ifs(and(isblank($A354),isblank($B354)),"", not(iserror(vlookup($A354&amp;$B354,'5) Release_Track'!$F:$F&amp;'5) Release_Track'!$G:$G,1,0))),vlookup($A354&amp;$B354,{'5) Release_Track'!$F:$F&amp;'5) Release_Track'!$G:$G,'5) Release_Track'!$I:$I},2,0),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E354" s="150" t="b">
        <v>0</v>
      </c>
      <c r="F354" s="150" t="b">
        <v>0</v>
      </c>
      <c r="G354" s="150" t="b">
        <v>0</v>
      </c>
      <c r="H354" s="150" t="b">
        <v>0</v>
      </c>
      <c r="I354" s="150" t="b">
        <v>0</v>
      </c>
      <c r="J354" s="150" t="b">
        <v>0</v>
      </c>
      <c r="K354" s="150" t="b">
        <v>0</v>
      </c>
      <c r="L354" s="8" t="b">
        <v>0</v>
      </c>
    </row>
    <row r="355">
      <c r="B355" s="97"/>
      <c r="C355" s="121" t="str">
        <f t="array" ref="C355">ifs(and(isblank($A355),isblank($B355)),"", not(iserror(vlookup($A355&amp;$B355,'5) Release_Track'!$F:$F&amp;'5) Release_Track'!$G:$G,1,0))),vlookup($A355&amp;$B355,{'5) Release_Track'!$F:$F&amp;'5) Release_Track'!$G:$G,'5) Release_Track'!$H:$H},2,0),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D355" s="121" t="str">
        <f t="array" ref="D355">ifs(and(isblank($A355),isblank($B355)),"", not(iserror(vlookup($A355&amp;$B355,'5) Release_Track'!$F:$F&amp;'5) Release_Track'!$G:$G,1,0))),vlookup($A355&amp;$B355,{'5) Release_Track'!$F:$F&amp;'5) Release_Track'!$G:$G,'5) Release_Track'!$I:$I},2,0),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E355" s="150" t="b">
        <v>0</v>
      </c>
      <c r="F355" s="150" t="b">
        <v>0</v>
      </c>
      <c r="G355" s="150" t="b">
        <v>0</v>
      </c>
      <c r="H355" s="150" t="b">
        <v>0</v>
      </c>
      <c r="I355" s="150" t="b">
        <v>0</v>
      </c>
      <c r="J355" s="150" t="b">
        <v>0</v>
      </c>
      <c r="K355" s="150" t="b">
        <v>0</v>
      </c>
      <c r="L355" s="8" t="b">
        <v>0</v>
      </c>
    </row>
    <row r="356">
      <c r="B356" s="97"/>
      <c r="C356" s="121" t="str">
        <f t="array" ref="C356">ifs(and(isblank($A356),isblank($B356)),"", not(iserror(vlookup($A356&amp;$B356,'5) Release_Track'!$F:$F&amp;'5) Release_Track'!$G:$G,1,0))),vlookup($A356&amp;$B356,{'5) Release_Track'!$F:$F&amp;'5) Release_Track'!$G:$G,'5) Release_Track'!$H:$H},2,0),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D356" s="121" t="str">
        <f t="array" ref="D356">ifs(and(isblank($A356),isblank($B356)),"", not(iserror(vlookup($A356&amp;$B356,'5) Release_Track'!$F:$F&amp;'5) Release_Track'!$G:$G,1,0))),vlookup($A356&amp;$B356,{'5) Release_Track'!$F:$F&amp;'5) Release_Track'!$G:$G,'5) Release_Track'!$I:$I},2,0),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E356" s="150" t="b">
        <v>0</v>
      </c>
      <c r="F356" s="150" t="b">
        <v>0</v>
      </c>
      <c r="G356" s="150" t="b">
        <v>0</v>
      </c>
      <c r="H356" s="150" t="b">
        <v>0</v>
      </c>
      <c r="I356" s="150" t="b">
        <v>0</v>
      </c>
      <c r="J356" s="150" t="b">
        <v>0</v>
      </c>
      <c r="K356" s="150" t="b">
        <v>0</v>
      </c>
      <c r="L356" s="8" t="b">
        <v>0</v>
      </c>
    </row>
    <row r="357">
      <c r="B357" s="97"/>
      <c r="C357" s="121" t="str">
        <f t="array" ref="C357">ifs(and(isblank($A357),isblank($B357)),"", not(iserror(vlookup($A357&amp;$B357,'5) Release_Track'!$F:$F&amp;'5) Release_Track'!$G:$G,1,0))),vlookup($A357&amp;$B357,{'5) Release_Track'!$F:$F&amp;'5) Release_Track'!$G:$G,'5) Release_Track'!$H:$H},2,0),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D357" s="121" t="str">
        <f t="array" ref="D357">ifs(and(isblank($A357),isblank($B357)),"", not(iserror(vlookup($A357&amp;$B357,'5) Release_Track'!$F:$F&amp;'5) Release_Track'!$G:$G,1,0))),vlookup($A357&amp;$B357,{'5) Release_Track'!$F:$F&amp;'5) Release_Track'!$G:$G,'5) Release_Track'!$I:$I},2,0),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E357" s="150" t="b">
        <v>0</v>
      </c>
      <c r="F357" s="150" t="b">
        <v>0</v>
      </c>
      <c r="G357" s="150" t="b">
        <v>0</v>
      </c>
      <c r="H357" s="150" t="b">
        <v>0</v>
      </c>
      <c r="I357" s="150" t="b">
        <v>0</v>
      </c>
      <c r="J357" s="150" t="b">
        <v>0</v>
      </c>
      <c r="K357" s="150" t="b">
        <v>0</v>
      </c>
      <c r="L357" s="8" t="b">
        <v>0</v>
      </c>
    </row>
    <row r="358">
      <c r="B358" s="97"/>
      <c r="C358" s="121" t="str">
        <f t="array" ref="C358">ifs(and(isblank($A358),isblank($B358)),"", not(iserror(vlookup($A358&amp;$B358,'5) Release_Track'!$F:$F&amp;'5) Release_Track'!$G:$G,1,0))),vlookup($A358&amp;$B358,{'5) Release_Track'!$F:$F&amp;'5) Release_Track'!$G:$G,'5) Release_Track'!$H:$H},2,0),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D358" s="121" t="str">
        <f t="array" ref="D358">ifs(and(isblank($A358),isblank($B358)),"", not(iserror(vlookup($A358&amp;$B358,'5) Release_Track'!$F:$F&amp;'5) Release_Track'!$G:$G,1,0))),vlookup($A358&amp;$B358,{'5) Release_Track'!$F:$F&amp;'5) Release_Track'!$G:$G,'5) Release_Track'!$I:$I},2,0),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E358" s="150" t="b">
        <v>0</v>
      </c>
      <c r="F358" s="150" t="b">
        <v>0</v>
      </c>
      <c r="G358" s="150" t="b">
        <v>0</v>
      </c>
      <c r="H358" s="150" t="b">
        <v>0</v>
      </c>
      <c r="I358" s="150" t="b">
        <v>0</v>
      </c>
      <c r="J358" s="150" t="b">
        <v>0</v>
      </c>
      <c r="K358" s="150" t="b">
        <v>0</v>
      </c>
      <c r="L358" s="8" t="b">
        <v>0</v>
      </c>
    </row>
    <row r="359">
      <c r="B359" s="97"/>
      <c r="C359" s="121" t="str">
        <f t="array" ref="C359">ifs(and(isblank($A359),isblank($B359)),"", not(iserror(vlookup($A359&amp;$B359,'5) Release_Track'!$F:$F&amp;'5) Release_Track'!$G:$G,1,0))),vlookup($A359&amp;$B359,{'5) Release_Track'!$F:$F&amp;'5) Release_Track'!$G:$G,'5) Release_Track'!$H:$H},2,0),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D359" s="121" t="str">
        <f t="array" ref="D359">ifs(and(isblank($A359),isblank($B359)),"", not(iserror(vlookup($A359&amp;$B359,'5) Release_Track'!$F:$F&amp;'5) Release_Track'!$G:$G,1,0))),vlookup($A359&amp;$B359,{'5) Release_Track'!$F:$F&amp;'5) Release_Track'!$G:$G,'5) Release_Track'!$I:$I},2,0),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E359" s="150" t="b">
        <v>0</v>
      </c>
      <c r="F359" s="150" t="b">
        <v>0</v>
      </c>
      <c r="G359" s="150" t="b">
        <v>0</v>
      </c>
      <c r="H359" s="150" t="b">
        <v>0</v>
      </c>
      <c r="I359" s="150" t="b">
        <v>0</v>
      </c>
      <c r="J359" s="150" t="b">
        <v>0</v>
      </c>
      <c r="K359" s="150" t="b">
        <v>0</v>
      </c>
      <c r="L359" s="8" t="b">
        <v>0</v>
      </c>
    </row>
    <row r="360">
      <c r="B360" s="97"/>
      <c r="C360" s="121" t="str">
        <f t="array" ref="C360">ifs(and(isblank($A360),isblank($B360)),"", not(iserror(vlookup($A360&amp;$B360,'5) Release_Track'!$F:$F&amp;'5) Release_Track'!$G:$G,1,0))),vlookup($A360&amp;$B360,{'5) Release_Track'!$F:$F&amp;'5) Release_Track'!$G:$G,'5) Release_Track'!$H:$H},2,0),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D360" s="121" t="str">
        <f t="array" ref="D360">ifs(and(isblank($A360),isblank($B360)),"", not(iserror(vlookup($A360&amp;$B360,'5) Release_Track'!$F:$F&amp;'5) Release_Track'!$G:$G,1,0))),vlookup($A360&amp;$B360,{'5) Release_Track'!$F:$F&amp;'5) Release_Track'!$G:$G,'5) Release_Track'!$I:$I},2,0),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E360" s="150" t="b">
        <v>0</v>
      </c>
      <c r="F360" s="150" t="b">
        <v>0</v>
      </c>
      <c r="G360" s="150" t="b">
        <v>0</v>
      </c>
      <c r="H360" s="150" t="b">
        <v>0</v>
      </c>
      <c r="I360" s="150" t="b">
        <v>0</v>
      </c>
      <c r="J360" s="150" t="b">
        <v>0</v>
      </c>
      <c r="K360" s="150" t="b">
        <v>0</v>
      </c>
      <c r="L360" s="8" t="b">
        <v>0</v>
      </c>
    </row>
    <row r="361">
      <c r="B361" s="97"/>
      <c r="C361" s="121" t="str">
        <f t="array" ref="C361">ifs(and(isblank($A361),isblank($B361)),"", not(iserror(vlookup($A361&amp;$B361,'5) Release_Track'!$F:$F&amp;'5) Release_Track'!$G:$G,1,0))),vlookup($A361&amp;$B361,{'5) Release_Track'!$F:$F&amp;'5) Release_Track'!$G:$G,'5) Release_Track'!$H:$H},2,0),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D361" s="121" t="str">
        <f t="array" ref="D361">ifs(and(isblank($A361),isblank($B361)),"", not(iserror(vlookup($A361&amp;$B361,'5) Release_Track'!$F:$F&amp;'5) Release_Track'!$G:$G,1,0))),vlookup($A361&amp;$B361,{'5) Release_Track'!$F:$F&amp;'5) Release_Track'!$G:$G,'5) Release_Track'!$I:$I},2,0),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E361" s="150" t="b">
        <v>0</v>
      </c>
      <c r="F361" s="150" t="b">
        <v>0</v>
      </c>
      <c r="G361" s="150" t="b">
        <v>0</v>
      </c>
      <c r="H361" s="150" t="b">
        <v>0</v>
      </c>
      <c r="I361" s="150" t="b">
        <v>0</v>
      </c>
      <c r="J361" s="150" t="b">
        <v>0</v>
      </c>
      <c r="K361" s="150" t="b">
        <v>0</v>
      </c>
      <c r="L361" s="8" t="b">
        <v>0</v>
      </c>
    </row>
    <row r="362">
      <c r="B362" s="97"/>
      <c r="C362" s="121" t="str">
        <f t="array" ref="C362">ifs(and(isblank($A362),isblank($B362)),"", not(iserror(vlookup($A362&amp;$B362,'5) Release_Track'!$F:$F&amp;'5) Release_Track'!$G:$G,1,0))),vlookup($A362&amp;$B362,{'5) Release_Track'!$F:$F&amp;'5) Release_Track'!$G:$G,'5) Release_Track'!$H:$H},2,0),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D362" s="121" t="str">
        <f t="array" ref="D362">ifs(and(isblank($A362),isblank($B362)),"", not(iserror(vlookup($A362&amp;$B362,'5) Release_Track'!$F:$F&amp;'5) Release_Track'!$G:$G,1,0))),vlookup($A362&amp;$B362,{'5) Release_Track'!$F:$F&amp;'5) Release_Track'!$G:$G,'5) Release_Track'!$I:$I},2,0),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E362" s="150" t="b">
        <v>0</v>
      </c>
      <c r="F362" s="150" t="b">
        <v>0</v>
      </c>
      <c r="G362" s="150" t="b">
        <v>0</v>
      </c>
      <c r="H362" s="150" t="b">
        <v>0</v>
      </c>
      <c r="I362" s="150" t="b">
        <v>0</v>
      </c>
      <c r="J362" s="150" t="b">
        <v>0</v>
      </c>
      <c r="K362" s="150" t="b">
        <v>0</v>
      </c>
      <c r="L362" s="8" t="b">
        <v>0</v>
      </c>
    </row>
    <row r="363">
      <c r="B363" s="97"/>
      <c r="C363" s="121" t="str">
        <f t="array" ref="C363">ifs(and(isblank($A363),isblank($B363)),"", not(iserror(vlookup($A363&amp;$B363,'5) Release_Track'!$F:$F&amp;'5) Release_Track'!$G:$G,1,0))),vlookup($A363&amp;$B363,{'5) Release_Track'!$F:$F&amp;'5) Release_Track'!$G:$G,'5) Release_Track'!$H:$H},2,0),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D363" s="121" t="str">
        <f t="array" ref="D363">ifs(and(isblank($A363),isblank($B363)),"", not(iserror(vlookup($A363&amp;$B363,'5) Release_Track'!$F:$F&amp;'5) Release_Track'!$G:$G,1,0))),vlookup($A363&amp;$B363,{'5) Release_Track'!$F:$F&amp;'5) Release_Track'!$G:$G,'5) Release_Track'!$I:$I},2,0),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E363" s="150" t="b">
        <v>0</v>
      </c>
      <c r="F363" s="150" t="b">
        <v>0</v>
      </c>
      <c r="G363" s="150" t="b">
        <v>0</v>
      </c>
      <c r="H363" s="150" t="b">
        <v>0</v>
      </c>
      <c r="I363" s="150" t="b">
        <v>0</v>
      </c>
      <c r="J363" s="150" t="b">
        <v>0</v>
      </c>
      <c r="K363" s="150" t="b">
        <v>0</v>
      </c>
      <c r="L363" s="8" t="b">
        <v>0</v>
      </c>
    </row>
    <row r="364">
      <c r="B364" s="97"/>
      <c r="C364" s="121" t="str">
        <f t="array" ref="C364">ifs(and(isblank($A364),isblank($B364)),"", not(iserror(vlookup($A364&amp;$B364,'5) Release_Track'!$F:$F&amp;'5) Release_Track'!$G:$G,1,0))),vlookup($A364&amp;$B364,{'5) Release_Track'!$F:$F&amp;'5) Release_Track'!$G:$G,'5) Release_Track'!$H:$H},2,0),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D364" s="121" t="str">
        <f t="array" ref="D364">ifs(and(isblank($A364),isblank($B364)),"", not(iserror(vlookup($A364&amp;$B364,'5) Release_Track'!$F:$F&amp;'5) Release_Track'!$G:$G,1,0))),vlookup($A364&amp;$B364,{'5) Release_Track'!$F:$F&amp;'5) Release_Track'!$G:$G,'5) Release_Track'!$I:$I},2,0),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E364" s="150" t="b">
        <v>0</v>
      </c>
      <c r="F364" s="150" t="b">
        <v>0</v>
      </c>
      <c r="G364" s="150" t="b">
        <v>0</v>
      </c>
      <c r="H364" s="150" t="b">
        <v>0</v>
      </c>
      <c r="I364" s="150" t="b">
        <v>0</v>
      </c>
      <c r="J364" s="150" t="b">
        <v>0</v>
      </c>
      <c r="K364" s="150" t="b">
        <v>0</v>
      </c>
      <c r="L364" s="8" t="b">
        <v>0</v>
      </c>
    </row>
    <row r="365">
      <c r="B365" s="97"/>
      <c r="C365" s="121" t="str">
        <f t="array" ref="C365">ifs(and(isblank($A365),isblank($B365)),"", not(iserror(vlookup($A365&amp;$B365,'5) Release_Track'!$F:$F&amp;'5) Release_Track'!$G:$G,1,0))),vlookup($A365&amp;$B365,{'5) Release_Track'!$F:$F&amp;'5) Release_Track'!$G:$G,'5) Release_Track'!$H:$H},2,0),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D365" s="121" t="str">
        <f t="array" ref="D365">ifs(and(isblank($A365),isblank($B365)),"", not(iserror(vlookup($A365&amp;$B365,'5) Release_Track'!$F:$F&amp;'5) Release_Track'!$G:$G,1,0))),vlookup($A365&amp;$B365,{'5) Release_Track'!$F:$F&amp;'5) Release_Track'!$G:$G,'5) Release_Track'!$I:$I},2,0),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E365" s="150" t="b">
        <v>0</v>
      </c>
      <c r="F365" s="150" t="b">
        <v>0</v>
      </c>
      <c r="G365" s="150" t="b">
        <v>0</v>
      </c>
      <c r="H365" s="150" t="b">
        <v>0</v>
      </c>
      <c r="I365" s="150" t="b">
        <v>0</v>
      </c>
      <c r="J365" s="150" t="b">
        <v>0</v>
      </c>
      <c r="K365" s="150" t="b">
        <v>0</v>
      </c>
      <c r="L365" s="8" t="b">
        <v>0</v>
      </c>
    </row>
    <row r="366">
      <c r="B366" s="97"/>
      <c r="C366" s="121" t="str">
        <f t="array" ref="C366">ifs(and(isblank($A366),isblank($B366)),"", not(iserror(vlookup($A366&amp;$B366,'5) Release_Track'!$F:$F&amp;'5) Release_Track'!$G:$G,1,0))),vlookup($A366&amp;$B366,{'5) Release_Track'!$F:$F&amp;'5) Release_Track'!$G:$G,'5) Release_Track'!$H:$H},2,0),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D366" s="121" t="str">
        <f t="array" ref="D366">ifs(and(isblank($A366),isblank($B366)),"", not(iserror(vlookup($A366&amp;$B366,'5) Release_Track'!$F:$F&amp;'5) Release_Track'!$G:$G,1,0))),vlookup($A366&amp;$B366,{'5) Release_Track'!$F:$F&amp;'5) Release_Track'!$G:$G,'5) Release_Track'!$I:$I},2,0),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E366" s="150" t="b">
        <v>0</v>
      </c>
      <c r="F366" s="150" t="b">
        <v>0</v>
      </c>
      <c r="G366" s="150" t="b">
        <v>0</v>
      </c>
      <c r="H366" s="150" t="b">
        <v>0</v>
      </c>
      <c r="I366" s="150" t="b">
        <v>0</v>
      </c>
      <c r="J366" s="150" t="b">
        <v>0</v>
      </c>
      <c r="K366" s="150" t="b">
        <v>0</v>
      </c>
      <c r="L366" s="8" t="b">
        <v>0</v>
      </c>
    </row>
    <row r="367">
      <c r="B367" s="97"/>
      <c r="C367" s="121" t="str">
        <f t="array" ref="C367">ifs(and(isblank($A367),isblank($B367)),"", not(iserror(vlookup($A367&amp;$B367,'5) Release_Track'!$F:$F&amp;'5) Release_Track'!$G:$G,1,0))),vlookup($A367&amp;$B367,{'5) Release_Track'!$F:$F&amp;'5) Release_Track'!$G:$G,'5) Release_Track'!$H:$H},2,0),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D367" s="121" t="str">
        <f t="array" ref="D367">ifs(and(isblank($A367),isblank($B367)),"", not(iserror(vlookup($A367&amp;$B367,'5) Release_Track'!$F:$F&amp;'5) Release_Track'!$G:$G,1,0))),vlookup($A367&amp;$B367,{'5) Release_Track'!$F:$F&amp;'5) Release_Track'!$G:$G,'5) Release_Track'!$I:$I},2,0),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E367" s="150" t="b">
        <v>0</v>
      </c>
      <c r="F367" s="150" t="b">
        <v>0</v>
      </c>
      <c r="G367" s="150" t="b">
        <v>0</v>
      </c>
      <c r="H367" s="150" t="b">
        <v>0</v>
      </c>
      <c r="I367" s="150" t="b">
        <v>0</v>
      </c>
      <c r="J367" s="150" t="b">
        <v>0</v>
      </c>
      <c r="K367" s="150" t="b">
        <v>0</v>
      </c>
      <c r="L367" s="8" t="b">
        <v>0</v>
      </c>
    </row>
    <row r="368">
      <c r="B368" s="97"/>
      <c r="C368" s="121" t="str">
        <f t="array" ref="C368">ifs(and(isblank($A368),isblank($B368)),"", not(iserror(vlookup($A368&amp;$B368,'5) Release_Track'!$F:$F&amp;'5) Release_Track'!$G:$G,1,0))),vlookup($A368&amp;$B368,{'5) Release_Track'!$F:$F&amp;'5) Release_Track'!$G:$G,'5) Release_Track'!$H:$H},2,0),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D368" s="121" t="str">
        <f t="array" ref="D368">ifs(and(isblank($A368),isblank($B368)),"", not(iserror(vlookup($A368&amp;$B368,'5) Release_Track'!$F:$F&amp;'5) Release_Track'!$G:$G,1,0))),vlookup($A368&amp;$B368,{'5) Release_Track'!$F:$F&amp;'5) Release_Track'!$G:$G,'5) Release_Track'!$I:$I},2,0),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E368" s="150" t="b">
        <v>0</v>
      </c>
      <c r="F368" s="150" t="b">
        <v>0</v>
      </c>
      <c r="G368" s="150" t="b">
        <v>0</v>
      </c>
      <c r="H368" s="150" t="b">
        <v>0</v>
      </c>
      <c r="I368" s="150" t="b">
        <v>0</v>
      </c>
      <c r="J368" s="150" t="b">
        <v>0</v>
      </c>
      <c r="K368" s="150" t="b">
        <v>0</v>
      </c>
      <c r="L368" s="8" t="b">
        <v>0</v>
      </c>
    </row>
    <row r="369">
      <c r="B369" s="97"/>
      <c r="C369" s="121" t="str">
        <f t="array" ref="C369">ifs(and(isblank($A369),isblank($B369)),"", not(iserror(vlookup($A369&amp;$B369,'5) Release_Track'!$F:$F&amp;'5) Release_Track'!$G:$G,1,0))),vlookup($A369&amp;$B369,{'5) Release_Track'!$F:$F&amp;'5) Release_Track'!$G:$G,'5) Release_Track'!$H:$H},2,0),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D369" s="121" t="str">
        <f t="array" ref="D369">ifs(and(isblank($A369),isblank($B369)),"", not(iserror(vlookup($A369&amp;$B369,'5) Release_Track'!$F:$F&amp;'5) Release_Track'!$G:$G,1,0))),vlookup($A369&amp;$B369,{'5) Release_Track'!$F:$F&amp;'5) Release_Track'!$G:$G,'5) Release_Track'!$I:$I},2,0),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E369" s="150" t="b">
        <v>0</v>
      </c>
      <c r="F369" s="150" t="b">
        <v>0</v>
      </c>
      <c r="G369" s="150" t="b">
        <v>0</v>
      </c>
      <c r="H369" s="150" t="b">
        <v>0</v>
      </c>
      <c r="I369" s="150" t="b">
        <v>0</v>
      </c>
      <c r="J369" s="150" t="b">
        <v>0</v>
      </c>
      <c r="K369" s="150" t="b">
        <v>0</v>
      </c>
      <c r="L369" s="8" t="b">
        <v>0</v>
      </c>
    </row>
    <row r="370">
      <c r="B370" s="97"/>
      <c r="C370" s="121" t="str">
        <f t="array" ref="C370">ifs(and(isblank($A370),isblank($B370)),"", not(iserror(vlookup($A370&amp;$B370,'5) Release_Track'!$F:$F&amp;'5) Release_Track'!$G:$G,1,0))),vlookup($A370&amp;$B370,{'5) Release_Track'!$F:$F&amp;'5) Release_Track'!$G:$G,'5) Release_Track'!$H:$H},2,0),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D370" s="121" t="str">
        <f t="array" ref="D370">ifs(and(isblank($A370),isblank($B370)),"", not(iserror(vlookup($A370&amp;$B370,'5) Release_Track'!$F:$F&amp;'5) Release_Track'!$G:$G,1,0))),vlookup($A370&amp;$B370,{'5) Release_Track'!$F:$F&amp;'5) Release_Track'!$G:$G,'5) Release_Track'!$I:$I},2,0),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E370" s="150" t="b">
        <v>0</v>
      </c>
      <c r="F370" s="150" t="b">
        <v>0</v>
      </c>
      <c r="G370" s="150" t="b">
        <v>0</v>
      </c>
      <c r="H370" s="150" t="b">
        <v>0</v>
      </c>
      <c r="I370" s="150" t="b">
        <v>0</v>
      </c>
      <c r="J370" s="150" t="b">
        <v>0</v>
      </c>
      <c r="K370" s="150" t="b">
        <v>0</v>
      </c>
      <c r="L370" s="8" t="b">
        <v>0</v>
      </c>
    </row>
    <row r="371">
      <c r="B371" s="97"/>
      <c r="C371" s="121" t="str">
        <f t="array" ref="C371">ifs(and(isblank($A371),isblank($B371)),"", not(iserror(vlookup($A371&amp;$B371,'5) Release_Track'!$F:$F&amp;'5) Release_Track'!$G:$G,1,0))),vlookup($A371&amp;$B371,{'5) Release_Track'!$F:$F&amp;'5) Release_Track'!$G:$G,'5) Release_Track'!$H:$H},2,0),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D371" s="121" t="str">
        <f t="array" ref="D371">ifs(and(isblank($A371),isblank($B371)),"", not(iserror(vlookup($A371&amp;$B371,'5) Release_Track'!$F:$F&amp;'5) Release_Track'!$G:$G,1,0))),vlookup($A371&amp;$B371,{'5) Release_Track'!$F:$F&amp;'5) Release_Track'!$G:$G,'5) Release_Track'!$I:$I},2,0),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E371" s="150" t="b">
        <v>0</v>
      </c>
      <c r="F371" s="150" t="b">
        <v>0</v>
      </c>
      <c r="G371" s="150" t="b">
        <v>0</v>
      </c>
      <c r="H371" s="150" t="b">
        <v>0</v>
      </c>
      <c r="I371" s="150" t="b">
        <v>0</v>
      </c>
      <c r="J371" s="150" t="b">
        <v>0</v>
      </c>
      <c r="K371" s="150" t="b">
        <v>0</v>
      </c>
      <c r="L371" s="8" t="b">
        <v>0</v>
      </c>
    </row>
    <row r="372">
      <c r="B372" s="97"/>
      <c r="C372" s="121" t="str">
        <f t="array" ref="C372">ifs(and(isblank($A372),isblank($B372)),"", not(iserror(vlookup($A372&amp;$B372,'5) Release_Track'!$F:$F&amp;'5) Release_Track'!$G:$G,1,0))),vlookup($A372&amp;$B372,{'5) Release_Track'!$F:$F&amp;'5) Release_Track'!$G:$G,'5) Release_Track'!$H:$H},2,0),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D372" s="121" t="str">
        <f t="array" ref="D372">ifs(and(isblank($A372),isblank($B372)),"", not(iserror(vlookup($A372&amp;$B372,'5) Release_Track'!$F:$F&amp;'5) Release_Track'!$G:$G,1,0))),vlookup($A372&amp;$B372,{'5) Release_Track'!$F:$F&amp;'5) Release_Track'!$G:$G,'5) Release_Track'!$I:$I},2,0),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E372" s="150" t="b">
        <v>0</v>
      </c>
      <c r="F372" s="150" t="b">
        <v>0</v>
      </c>
      <c r="G372" s="150" t="b">
        <v>0</v>
      </c>
      <c r="H372" s="150" t="b">
        <v>0</v>
      </c>
      <c r="I372" s="150" t="b">
        <v>0</v>
      </c>
      <c r="J372" s="150" t="b">
        <v>0</v>
      </c>
      <c r="K372" s="150" t="b">
        <v>0</v>
      </c>
      <c r="L372" s="8" t="b">
        <v>0</v>
      </c>
    </row>
    <row r="373">
      <c r="B373" s="97"/>
      <c r="C373" s="121" t="str">
        <f t="array" ref="C373">ifs(and(isblank($A373),isblank($B373)),"", not(iserror(vlookup($A373&amp;$B373,'5) Release_Track'!$F:$F&amp;'5) Release_Track'!$G:$G,1,0))),vlookup($A373&amp;$B373,{'5) Release_Track'!$F:$F&amp;'5) Release_Track'!$G:$G,'5) Release_Track'!$H:$H},2,0),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D373" s="121" t="str">
        <f t="array" ref="D373">ifs(and(isblank($A373),isblank($B373)),"", not(iserror(vlookup($A373&amp;$B373,'5) Release_Track'!$F:$F&amp;'5) Release_Track'!$G:$G,1,0))),vlookup($A373&amp;$B373,{'5) Release_Track'!$F:$F&amp;'5) Release_Track'!$G:$G,'5) Release_Track'!$I:$I},2,0),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E373" s="150" t="b">
        <v>0</v>
      </c>
      <c r="F373" s="150" t="b">
        <v>0</v>
      </c>
      <c r="G373" s="150" t="b">
        <v>0</v>
      </c>
      <c r="H373" s="150" t="b">
        <v>0</v>
      </c>
      <c r="I373" s="150" t="b">
        <v>0</v>
      </c>
      <c r="J373" s="150" t="b">
        <v>0</v>
      </c>
      <c r="K373" s="150" t="b">
        <v>0</v>
      </c>
      <c r="L373" s="8" t="b">
        <v>0</v>
      </c>
    </row>
    <row r="374">
      <c r="B374" s="97"/>
      <c r="C374" s="121" t="str">
        <f t="array" ref="C374">ifs(and(isblank($A374),isblank($B374)),"", not(iserror(vlookup($A374&amp;$B374,'5) Release_Track'!$F:$F&amp;'5) Release_Track'!$G:$G,1,0))),vlookup($A374&amp;$B374,{'5) Release_Track'!$F:$F&amp;'5) Release_Track'!$G:$G,'5) Release_Track'!$H:$H},2,0),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D374" s="121" t="str">
        <f t="array" ref="D374">ifs(and(isblank($A374),isblank($B374)),"", not(iserror(vlookup($A374&amp;$B374,'5) Release_Track'!$F:$F&amp;'5) Release_Track'!$G:$G,1,0))),vlookup($A374&amp;$B374,{'5) Release_Track'!$F:$F&amp;'5) Release_Track'!$G:$G,'5) Release_Track'!$I:$I},2,0),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E374" s="150" t="b">
        <v>0</v>
      </c>
      <c r="F374" s="150" t="b">
        <v>0</v>
      </c>
      <c r="G374" s="150" t="b">
        <v>0</v>
      </c>
      <c r="H374" s="150" t="b">
        <v>0</v>
      </c>
      <c r="I374" s="150" t="b">
        <v>0</v>
      </c>
      <c r="J374" s="150" t="b">
        <v>0</v>
      </c>
      <c r="K374" s="150" t="b">
        <v>0</v>
      </c>
      <c r="L374" s="8" t="b">
        <v>0</v>
      </c>
    </row>
    <row r="375">
      <c r="B375" s="97"/>
      <c r="C375" s="121" t="str">
        <f t="array" ref="C375">ifs(and(isblank($A375),isblank($B375)),"", not(iserror(vlookup($A375&amp;$B375,'5) Release_Track'!$F:$F&amp;'5) Release_Track'!$G:$G,1,0))),vlookup($A375&amp;$B375,{'5) Release_Track'!$F:$F&amp;'5) Release_Track'!$G:$G,'5) Release_Track'!$H:$H},2,0),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D375" s="121" t="str">
        <f t="array" ref="D375">ifs(and(isblank($A375),isblank($B375)),"", not(iserror(vlookup($A375&amp;$B375,'5) Release_Track'!$F:$F&amp;'5) Release_Track'!$G:$G,1,0))),vlookup($A375&amp;$B375,{'5) Release_Track'!$F:$F&amp;'5) Release_Track'!$G:$G,'5) Release_Track'!$I:$I},2,0),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E375" s="150" t="b">
        <v>0</v>
      </c>
      <c r="F375" s="150" t="b">
        <v>0</v>
      </c>
      <c r="G375" s="150" t="b">
        <v>0</v>
      </c>
      <c r="H375" s="150" t="b">
        <v>0</v>
      </c>
      <c r="I375" s="150" t="b">
        <v>0</v>
      </c>
      <c r="J375" s="150" t="b">
        <v>0</v>
      </c>
      <c r="K375" s="150" t="b">
        <v>0</v>
      </c>
      <c r="L375" s="8" t="b">
        <v>0</v>
      </c>
    </row>
    <row r="376">
      <c r="B376" s="97"/>
      <c r="C376" s="121" t="str">
        <f t="array" ref="C376">ifs(and(isblank($A376),isblank($B376)),"", not(iserror(vlookup($A376&amp;$B376,'5) Release_Track'!$F:$F&amp;'5) Release_Track'!$G:$G,1,0))),vlookup($A376&amp;$B376,{'5) Release_Track'!$F:$F&amp;'5) Release_Track'!$G:$G,'5) Release_Track'!$H:$H},2,0),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D376" s="121" t="str">
        <f t="array" ref="D376">ifs(and(isblank($A376),isblank($B376)),"", not(iserror(vlookup($A376&amp;$B376,'5) Release_Track'!$F:$F&amp;'5) Release_Track'!$G:$G,1,0))),vlookup($A376&amp;$B376,{'5) Release_Track'!$F:$F&amp;'5) Release_Track'!$G:$G,'5) Release_Track'!$I:$I},2,0),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E376" s="150" t="b">
        <v>0</v>
      </c>
      <c r="F376" s="150" t="b">
        <v>0</v>
      </c>
      <c r="G376" s="150" t="b">
        <v>0</v>
      </c>
      <c r="H376" s="150" t="b">
        <v>0</v>
      </c>
      <c r="I376" s="150" t="b">
        <v>0</v>
      </c>
      <c r="J376" s="150" t="b">
        <v>0</v>
      </c>
      <c r="K376" s="150" t="b">
        <v>0</v>
      </c>
      <c r="L376" s="8" t="b">
        <v>0</v>
      </c>
    </row>
    <row r="377">
      <c r="B377" s="97"/>
      <c r="C377" s="121" t="str">
        <f t="array" ref="C377">ifs(and(isblank($A377),isblank($B377)),"", not(iserror(vlookup($A377&amp;$B377,'5) Release_Track'!$F:$F&amp;'5) Release_Track'!$G:$G,1,0))),vlookup($A377&amp;$B377,{'5) Release_Track'!$F:$F&amp;'5) Release_Track'!$G:$G,'5) Release_Track'!$H:$H},2,0),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D377" s="121" t="str">
        <f t="array" ref="D377">ifs(and(isblank($A377),isblank($B377)),"", not(iserror(vlookup($A377&amp;$B377,'5) Release_Track'!$F:$F&amp;'5) Release_Track'!$G:$G,1,0))),vlookup($A377&amp;$B377,{'5) Release_Track'!$F:$F&amp;'5) Release_Track'!$G:$G,'5) Release_Track'!$I:$I},2,0),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E377" s="150" t="b">
        <v>0</v>
      </c>
      <c r="F377" s="150" t="b">
        <v>0</v>
      </c>
      <c r="G377" s="150" t="b">
        <v>0</v>
      </c>
      <c r="H377" s="150" t="b">
        <v>0</v>
      </c>
      <c r="I377" s="150" t="b">
        <v>0</v>
      </c>
      <c r="J377" s="150" t="b">
        <v>0</v>
      </c>
      <c r="K377" s="150" t="b">
        <v>0</v>
      </c>
      <c r="L377" s="8" t="b">
        <v>0</v>
      </c>
    </row>
    <row r="378">
      <c r="B378" s="97"/>
      <c r="C378" s="121" t="str">
        <f t="array" ref="C378">ifs(and(isblank($A378),isblank($B378)),"", not(iserror(vlookup($A378&amp;$B378,'5) Release_Track'!$F:$F&amp;'5) Release_Track'!$G:$G,1,0))),vlookup($A378&amp;$B378,{'5) Release_Track'!$F:$F&amp;'5) Release_Track'!$G:$G,'5) Release_Track'!$H:$H},2,0),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D378" s="121" t="str">
        <f t="array" ref="D378">ifs(and(isblank($A378),isblank($B378)),"", not(iserror(vlookup($A378&amp;$B378,'5) Release_Track'!$F:$F&amp;'5) Release_Track'!$G:$G,1,0))),vlookup($A378&amp;$B378,{'5) Release_Track'!$F:$F&amp;'5) Release_Track'!$G:$G,'5) Release_Track'!$I:$I},2,0),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E378" s="150" t="b">
        <v>0</v>
      </c>
      <c r="F378" s="150" t="b">
        <v>0</v>
      </c>
      <c r="G378" s="150" t="b">
        <v>0</v>
      </c>
      <c r="H378" s="150" t="b">
        <v>0</v>
      </c>
      <c r="I378" s="150" t="b">
        <v>0</v>
      </c>
      <c r="J378" s="150" t="b">
        <v>0</v>
      </c>
      <c r="K378" s="150" t="b">
        <v>0</v>
      </c>
      <c r="L378" s="8" t="b">
        <v>0</v>
      </c>
    </row>
    <row r="379">
      <c r="B379" s="97"/>
      <c r="C379" s="121" t="str">
        <f t="array" ref="C379">ifs(and(isblank($A379),isblank($B379)),"", not(iserror(vlookup($A379&amp;$B379,'5) Release_Track'!$F:$F&amp;'5) Release_Track'!$G:$G,1,0))),vlookup($A379&amp;$B379,{'5) Release_Track'!$F:$F&amp;'5) Release_Track'!$G:$G,'5) Release_Track'!$H:$H},2,0),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D379" s="121" t="str">
        <f t="array" ref="D379">ifs(and(isblank($A379),isblank($B379)),"", not(iserror(vlookup($A379&amp;$B379,'5) Release_Track'!$F:$F&amp;'5) Release_Track'!$G:$G,1,0))),vlookup($A379&amp;$B379,{'5) Release_Track'!$F:$F&amp;'5) Release_Track'!$G:$G,'5) Release_Track'!$I:$I},2,0),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E379" s="150" t="b">
        <v>0</v>
      </c>
      <c r="F379" s="150" t="b">
        <v>0</v>
      </c>
      <c r="G379" s="150" t="b">
        <v>0</v>
      </c>
      <c r="H379" s="150" t="b">
        <v>0</v>
      </c>
      <c r="I379" s="150" t="b">
        <v>0</v>
      </c>
      <c r="J379" s="150" t="b">
        <v>0</v>
      </c>
      <c r="K379" s="150" t="b">
        <v>0</v>
      </c>
      <c r="L379" s="8" t="b">
        <v>0</v>
      </c>
    </row>
    <row r="380">
      <c r="B380" s="97"/>
      <c r="C380" s="121" t="str">
        <f t="array" ref="C380">ifs(and(isblank($A380),isblank($B380)),"", not(iserror(vlookup($A380&amp;$B380,'5) Release_Track'!$F:$F&amp;'5) Release_Track'!$G:$G,1,0))),vlookup($A380&amp;$B380,{'5) Release_Track'!$F:$F&amp;'5) Release_Track'!$G:$G,'5) Release_Track'!$H:$H},2,0),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D380" s="121" t="str">
        <f t="array" ref="D380">ifs(and(isblank($A380),isblank($B380)),"", not(iserror(vlookup($A380&amp;$B380,'5) Release_Track'!$F:$F&amp;'5) Release_Track'!$G:$G,1,0))),vlookup($A380&amp;$B380,{'5) Release_Track'!$F:$F&amp;'5) Release_Track'!$G:$G,'5) Release_Track'!$I:$I},2,0),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E380" s="150" t="b">
        <v>0</v>
      </c>
      <c r="F380" s="150" t="b">
        <v>0</v>
      </c>
      <c r="G380" s="150" t="b">
        <v>0</v>
      </c>
      <c r="H380" s="150" t="b">
        <v>0</v>
      </c>
      <c r="I380" s="150" t="b">
        <v>0</v>
      </c>
      <c r="J380" s="150" t="b">
        <v>0</v>
      </c>
      <c r="K380" s="150" t="b">
        <v>0</v>
      </c>
      <c r="L380" s="8" t="b">
        <v>0</v>
      </c>
    </row>
    <row r="381">
      <c r="B381" s="97"/>
      <c r="C381" s="121" t="str">
        <f t="array" ref="C381">ifs(and(isblank($A381),isblank($B381)),"", not(iserror(vlookup($A381&amp;$B381,'5) Release_Track'!$F:$F&amp;'5) Release_Track'!$G:$G,1,0))),vlookup($A381&amp;$B381,{'5) Release_Track'!$F:$F&amp;'5) Release_Track'!$G:$G,'5) Release_Track'!$H:$H},2,0),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D381" s="121" t="str">
        <f t="array" ref="D381">ifs(and(isblank($A381),isblank($B381)),"", not(iserror(vlookup($A381&amp;$B381,'5) Release_Track'!$F:$F&amp;'5) Release_Track'!$G:$G,1,0))),vlookup($A381&amp;$B381,{'5) Release_Track'!$F:$F&amp;'5) Release_Track'!$G:$G,'5) Release_Track'!$I:$I},2,0),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E381" s="150" t="b">
        <v>0</v>
      </c>
      <c r="F381" s="150" t="b">
        <v>0</v>
      </c>
      <c r="G381" s="150" t="b">
        <v>0</v>
      </c>
      <c r="H381" s="150" t="b">
        <v>0</v>
      </c>
      <c r="I381" s="150" t="b">
        <v>0</v>
      </c>
      <c r="J381" s="150" t="b">
        <v>0</v>
      </c>
      <c r="K381" s="150" t="b">
        <v>0</v>
      </c>
      <c r="L381" s="8" t="b">
        <v>0</v>
      </c>
    </row>
    <row r="382">
      <c r="B382" s="97"/>
      <c r="C382" s="121" t="str">
        <f t="array" ref="C382">ifs(and(isblank($A382),isblank($B382)),"", not(iserror(vlookup($A382&amp;$B382,'5) Release_Track'!$F:$F&amp;'5) Release_Track'!$G:$G,1,0))),vlookup($A382&amp;$B382,{'5) Release_Track'!$F:$F&amp;'5) Release_Track'!$G:$G,'5) Release_Track'!$H:$H},2,0),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D382" s="121" t="str">
        <f t="array" ref="D382">ifs(and(isblank($A382),isblank($B382)),"", not(iserror(vlookup($A382&amp;$B382,'5) Release_Track'!$F:$F&amp;'5) Release_Track'!$G:$G,1,0))),vlookup($A382&amp;$B382,{'5) Release_Track'!$F:$F&amp;'5) Release_Track'!$G:$G,'5) Release_Track'!$I:$I},2,0),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E382" s="150" t="b">
        <v>0</v>
      </c>
      <c r="F382" s="150" t="b">
        <v>0</v>
      </c>
      <c r="G382" s="150" t="b">
        <v>0</v>
      </c>
      <c r="H382" s="150" t="b">
        <v>0</v>
      </c>
      <c r="I382" s="150" t="b">
        <v>0</v>
      </c>
      <c r="J382" s="150" t="b">
        <v>0</v>
      </c>
      <c r="K382" s="150" t="b">
        <v>0</v>
      </c>
      <c r="L382" s="8" t="b">
        <v>0</v>
      </c>
    </row>
    <row r="383">
      <c r="B383" s="97"/>
      <c r="C383" s="121" t="str">
        <f t="array" ref="C383">ifs(and(isblank($A383),isblank($B383)),"", not(iserror(vlookup($A383&amp;$B383,'5) Release_Track'!$F:$F&amp;'5) Release_Track'!$G:$G,1,0))),vlookup($A383&amp;$B383,{'5) Release_Track'!$F:$F&amp;'5) Release_Track'!$G:$G,'5) Release_Track'!$H:$H},2,0),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D383" s="121" t="str">
        <f t="array" ref="D383">ifs(and(isblank($A383),isblank($B383)),"", not(iserror(vlookup($A383&amp;$B383,'5) Release_Track'!$F:$F&amp;'5) Release_Track'!$G:$G,1,0))),vlookup($A383&amp;$B383,{'5) Release_Track'!$F:$F&amp;'5) Release_Track'!$G:$G,'5) Release_Track'!$I:$I},2,0),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E383" s="150" t="b">
        <v>0</v>
      </c>
      <c r="F383" s="150" t="b">
        <v>0</v>
      </c>
      <c r="G383" s="150" t="b">
        <v>0</v>
      </c>
      <c r="H383" s="150" t="b">
        <v>0</v>
      </c>
      <c r="I383" s="150" t="b">
        <v>0</v>
      </c>
      <c r="J383" s="150" t="b">
        <v>0</v>
      </c>
      <c r="K383" s="150" t="b">
        <v>0</v>
      </c>
      <c r="L383" s="8" t="b">
        <v>0</v>
      </c>
    </row>
    <row r="384">
      <c r="B384" s="97"/>
      <c r="C384" s="121" t="str">
        <f t="array" ref="C384">ifs(and(isblank($A384),isblank($B384)),"", not(iserror(vlookup($A384&amp;$B384,'5) Release_Track'!$F:$F&amp;'5) Release_Track'!$G:$G,1,0))),vlookup($A384&amp;$B384,{'5) Release_Track'!$F:$F&amp;'5) Release_Track'!$G:$G,'5) Release_Track'!$H:$H},2,0),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D384" s="121" t="str">
        <f t="array" ref="D384">ifs(and(isblank($A384),isblank($B384)),"", not(iserror(vlookup($A384&amp;$B384,'5) Release_Track'!$F:$F&amp;'5) Release_Track'!$G:$G,1,0))),vlookup($A384&amp;$B384,{'5) Release_Track'!$F:$F&amp;'5) Release_Track'!$G:$G,'5) Release_Track'!$I:$I},2,0),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E384" s="150" t="b">
        <v>0</v>
      </c>
      <c r="F384" s="150" t="b">
        <v>0</v>
      </c>
      <c r="G384" s="150" t="b">
        <v>0</v>
      </c>
      <c r="H384" s="150" t="b">
        <v>0</v>
      </c>
      <c r="I384" s="150" t="b">
        <v>0</v>
      </c>
      <c r="J384" s="150" t="b">
        <v>0</v>
      </c>
      <c r="K384" s="150" t="b">
        <v>0</v>
      </c>
      <c r="L384" s="8" t="b">
        <v>0</v>
      </c>
    </row>
    <row r="385">
      <c r="B385" s="97"/>
      <c r="C385" s="121" t="str">
        <f t="array" ref="C385">ifs(and(isblank($A385),isblank($B385)),"", not(iserror(vlookup($A385&amp;$B385,'5) Release_Track'!$F:$F&amp;'5) Release_Track'!$G:$G,1,0))),vlookup($A385&amp;$B385,{'5) Release_Track'!$F:$F&amp;'5) Release_Track'!$G:$G,'5) Release_Track'!$H:$H},2,0),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D385" s="121" t="str">
        <f t="array" ref="D385">ifs(and(isblank($A385),isblank($B385)),"", not(iserror(vlookup($A385&amp;$B385,'5) Release_Track'!$F:$F&amp;'5) Release_Track'!$G:$G,1,0))),vlookup($A385&amp;$B385,{'5) Release_Track'!$F:$F&amp;'5) Release_Track'!$G:$G,'5) Release_Track'!$I:$I},2,0),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E385" s="150" t="b">
        <v>0</v>
      </c>
      <c r="F385" s="150" t="b">
        <v>0</v>
      </c>
      <c r="G385" s="150" t="b">
        <v>0</v>
      </c>
      <c r="H385" s="150" t="b">
        <v>0</v>
      </c>
      <c r="I385" s="150" t="b">
        <v>0</v>
      </c>
      <c r="J385" s="150" t="b">
        <v>0</v>
      </c>
      <c r="K385" s="150" t="b">
        <v>0</v>
      </c>
      <c r="L385" s="8" t="b">
        <v>0</v>
      </c>
    </row>
    <row r="386">
      <c r="B386" s="97"/>
      <c r="C386" s="121" t="str">
        <f t="array" ref="C386">ifs(and(isblank($A386),isblank($B386)),"", not(iserror(vlookup($A386&amp;$B386,'5) Release_Track'!$F:$F&amp;'5) Release_Track'!$G:$G,1,0))),vlookup($A386&amp;$B386,{'5) Release_Track'!$F:$F&amp;'5) Release_Track'!$G:$G,'5) Release_Track'!$H:$H},2,0),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D386" s="121" t="str">
        <f t="array" ref="D386">ifs(and(isblank($A386),isblank($B386)),"", not(iserror(vlookup($A386&amp;$B386,'5) Release_Track'!$F:$F&amp;'5) Release_Track'!$G:$G,1,0))),vlookup($A386&amp;$B386,{'5) Release_Track'!$F:$F&amp;'5) Release_Track'!$G:$G,'5) Release_Track'!$I:$I},2,0),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E386" s="150" t="b">
        <v>0</v>
      </c>
      <c r="F386" s="150" t="b">
        <v>0</v>
      </c>
      <c r="G386" s="150" t="b">
        <v>0</v>
      </c>
      <c r="H386" s="150" t="b">
        <v>0</v>
      </c>
      <c r="I386" s="150" t="b">
        <v>0</v>
      </c>
      <c r="J386" s="150" t="b">
        <v>0</v>
      </c>
      <c r="K386" s="150" t="b">
        <v>0</v>
      </c>
      <c r="L386" s="8" t="b">
        <v>0</v>
      </c>
    </row>
    <row r="387">
      <c r="B387" s="97"/>
      <c r="C387" s="121" t="str">
        <f t="array" ref="C387">ifs(and(isblank($A387),isblank($B387)),"", not(iserror(vlookup($A387&amp;$B387,'5) Release_Track'!$F:$F&amp;'5) Release_Track'!$G:$G,1,0))),vlookup($A387&amp;$B387,{'5) Release_Track'!$F:$F&amp;'5) Release_Track'!$G:$G,'5) Release_Track'!$H:$H},2,0),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D387" s="121" t="str">
        <f t="array" ref="D387">ifs(and(isblank($A387),isblank($B387)),"", not(iserror(vlookup($A387&amp;$B387,'5) Release_Track'!$F:$F&amp;'5) Release_Track'!$G:$G,1,0))),vlookup($A387&amp;$B387,{'5) Release_Track'!$F:$F&amp;'5) Release_Track'!$G:$G,'5) Release_Track'!$I:$I},2,0),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E387" s="150" t="b">
        <v>0</v>
      </c>
      <c r="F387" s="150" t="b">
        <v>0</v>
      </c>
      <c r="G387" s="150" t="b">
        <v>0</v>
      </c>
      <c r="H387" s="150" t="b">
        <v>0</v>
      </c>
      <c r="I387" s="150" t="b">
        <v>0</v>
      </c>
      <c r="J387" s="150" t="b">
        <v>0</v>
      </c>
      <c r="K387" s="150" t="b">
        <v>0</v>
      </c>
      <c r="L387" s="8" t="b">
        <v>0</v>
      </c>
    </row>
    <row r="388">
      <c r="B388" s="97"/>
      <c r="C388" s="121" t="str">
        <f t="array" ref="C388">ifs(and(isblank($A388),isblank($B388)),"", not(iserror(vlookup($A388&amp;$B388,'5) Release_Track'!$F:$F&amp;'5) Release_Track'!$G:$G,1,0))),vlookup($A388&amp;$B388,{'5) Release_Track'!$F:$F&amp;'5) Release_Track'!$G:$G,'5) Release_Track'!$H:$H},2,0),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D388" s="121" t="str">
        <f t="array" ref="D388">ifs(and(isblank($A388),isblank($B388)),"", not(iserror(vlookup($A388&amp;$B388,'5) Release_Track'!$F:$F&amp;'5) Release_Track'!$G:$G,1,0))),vlookup($A388&amp;$B388,{'5) Release_Track'!$F:$F&amp;'5) Release_Track'!$G:$G,'5) Release_Track'!$I:$I},2,0),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E388" s="150" t="b">
        <v>0</v>
      </c>
      <c r="F388" s="150" t="b">
        <v>0</v>
      </c>
      <c r="G388" s="150" t="b">
        <v>0</v>
      </c>
      <c r="H388" s="150" t="b">
        <v>0</v>
      </c>
      <c r="I388" s="150" t="b">
        <v>0</v>
      </c>
      <c r="J388" s="150" t="b">
        <v>0</v>
      </c>
      <c r="K388" s="150" t="b">
        <v>0</v>
      </c>
      <c r="L388" s="8" t="b">
        <v>0</v>
      </c>
    </row>
    <row r="389">
      <c r="B389" s="97"/>
      <c r="C389" s="121" t="str">
        <f t="array" ref="C389">ifs(and(isblank($A389),isblank($B389)),"", not(iserror(vlookup($A389&amp;$B389,'5) Release_Track'!$F:$F&amp;'5) Release_Track'!$G:$G,1,0))),vlookup($A389&amp;$B389,{'5) Release_Track'!$F:$F&amp;'5) Release_Track'!$G:$G,'5) Release_Track'!$H:$H},2,0),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D389" s="121" t="str">
        <f t="array" ref="D389">ifs(and(isblank($A389),isblank($B389)),"", not(iserror(vlookup($A389&amp;$B389,'5) Release_Track'!$F:$F&amp;'5) Release_Track'!$G:$G,1,0))),vlookup($A389&amp;$B389,{'5) Release_Track'!$F:$F&amp;'5) Release_Track'!$G:$G,'5) Release_Track'!$I:$I},2,0),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E389" s="150" t="b">
        <v>0</v>
      </c>
      <c r="F389" s="150" t="b">
        <v>0</v>
      </c>
      <c r="G389" s="150" t="b">
        <v>0</v>
      </c>
      <c r="H389" s="150" t="b">
        <v>0</v>
      </c>
      <c r="I389" s="150" t="b">
        <v>0</v>
      </c>
      <c r="J389" s="150" t="b">
        <v>0</v>
      </c>
      <c r="K389" s="150" t="b">
        <v>0</v>
      </c>
      <c r="L389" s="8" t="b">
        <v>0</v>
      </c>
    </row>
    <row r="390">
      <c r="B390" s="97"/>
      <c r="C390" s="121" t="str">
        <f t="array" ref="C390">ifs(and(isblank($A390),isblank($B390)),"", not(iserror(vlookup($A390&amp;$B390,'5) Release_Track'!$F:$F&amp;'5) Release_Track'!$G:$G,1,0))),vlookup($A390&amp;$B390,{'5) Release_Track'!$F:$F&amp;'5) Release_Track'!$G:$G,'5) Release_Track'!$H:$H},2,0),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D390" s="121" t="str">
        <f t="array" ref="D390">ifs(and(isblank($A390),isblank($B390)),"", not(iserror(vlookup($A390&amp;$B390,'5) Release_Track'!$F:$F&amp;'5) Release_Track'!$G:$G,1,0))),vlookup($A390&amp;$B390,{'5) Release_Track'!$F:$F&amp;'5) Release_Track'!$G:$G,'5) Release_Track'!$I:$I},2,0),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E390" s="150" t="b">
        <v>0</v>
      </c>
      <c r="F390" s="150" t="b">
        <v>0</v>
      </c>
      <c r="G390" s="150" t="b">
        <v>0</v>
      </c>
      <c r="H390" s="150" t="b">
        <v>0</v>
      </c>
      <c r="I390" s="150" t="b">
        <v>0</v>
      </c>
      <c r="J390" s="150" t="b">
        <v>0</v>
      </c>
      <c r="K390" s="150" t="b">
        <v>0</v>
      </c>
      <c r="L390" s="8" t="b">
        <v>0</v>
      </c>
    </row>
    <row r="391">
      <c r="B391" s="97"/>
      <c r="C391" s="121" t="str">
        <f t="array" ref="C391">ifs(and(isblank($A391),isblank($B391)),"", not(iserror(vlookup($A391&amp;$B391,'5) Release_Track'!$F:$F&amp;'5) Release_Track'!$G:$G,1,0))),vlookup($A391&amp;$B391,{'5) Release_Track'!$F:$F&amp;'5) Release_Track'!$G:$G,'5) Release_Track'!$H:$H},2,0),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D391" s="121" t="str">
        <f t="array" ref="D391">ifs(and(isblank($A391),isblank($B391)),"", not(iserror(vlookup($A391&amp;$B391,'5) Release_Track'!$F:$F&amp;'5) Release_Track'!$G:$G,1,0))),vlookup($A391&amp;$B391,{'5) Release_Track'!$F:$F&amp;'5) Release_Track'!$G:$G,'5) Release_Track'!$I:$I},2,0),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E391" s="150" t="b">
        <v>0</v>
      </c>
      <c r="F391" s="150" t="b">
        <v>0</v>
      </c>
      <c r="G391" s="150" t="b">
        <v>0</v>
      </c>
      <c r="H391" s="150" t="b">
        <v>0</v>
      </c>
      <c r="I391" s="150" t="b">
        <v>0</v>
      </c>
      <c r="J391" s="150" t="b">
        <v>0</v>
      </c>
      <c r="K391" s="150" t="b">
        <v>0</v>
      </c>
      <c r="L391" s="8" t="b">
        <v>0</v>
      </c>
    </row>
    <row r="392">
      <c r="B392" s="97"/>
      <c r="C392" s="121" t="str">
        <f t="array" ref="C392">ifs(and(isblank($A392),isblank($B392)),"", not(iserror(vlookup($A392&amp;$B392,'5) Release_Track'!$F:$F&amp;'5) Release_Track'!$G:$G,1,0))),vlookup($A392&amp;$B392,{'5) Release_Track'!$F:$F&amp;'5) Release_Track'!$G:$G,'5) Release_Track'!$H:$H},2,0),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D392" s="121" t="str">
        <f t="array" ref="D392">ifs(and(isblank($A392),isblank($B392)),"", not(iserror(vlookup($A392&amp;$B392,'5) Release_Track'!$F:$F&amp;'5) Release_Track'!$G:$G,1,0))),vlookup($A392&amp;$B392,{'5) Release_Track'!$F:$F&amp;'5) Release_Track'!$G:$G,'5) Release_Track'!$I:$I},2,0),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E392" s="150" t="b">
        <v>0</v>
      </c>
      <c r="F392" s="150" t="b">
        <v>0</v>
      </c>
      <c r="G392" s="150" t="b">
        <v>0</v>
      </c>
      <c r="H392" s="150" t="b">
        <v>0</v>
      </c>
      <c r="I392" s="150" t="b">
        <v>0</v>
      </c>
      <c r="J392" s="150" t="b">
        <v>0</v>
      </c>
      <c r="K392" s="150" t="b">
        <v>0</v>
      </c>
      <c r="L392" s="8" t="b">
        <v>0</v>
      </c>
    </row>
    <row r="393">
      <c r="B393" s="97"/>
      <c r="C393" s="121" t="str">
        <f t="array" ref="C393">ifs(and(isblank($A393),isblank($B393)),"", not(iserror(vlookup($A393&amp;$B393,'5) Release_Track'!$F:$F&amp;'5) Release_Track'!$G:$G,1,0))),vlookup($A393&amp;$B393,{'5) Release_Track'!$F:$F&amp;'5) Release_Track'!$G:$G,'5) Release_Track'!$H:$H},2,0),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D393" s="121" t="str">
        <f t="array" ref="D393">ifs(and(isblank($A393),isblank($B393)),"", not(iserror(vlookup($A393&amp;$B393,'5) Release_Track'!$F:$F&amp;'5) Release_Track'!$G:$G,1,0))),vlookup($A393&amp;$B393,{'5) Release_Track'!$F:$F&amp;'5) Release_Track'!$G:$G,'5) Release_Track'!$I:$I},2,0),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E393" s="150" t="b">
        <v>0</v>
      </c>
      <c r="F393" s="150" t="b">
        <v>0</v>
      </c>
      <c r="G393" s="150" t="b">
        <v>0</v>
      </c>
      <c r="H393" s="150" t="b">
        <v>0</v>
      </c>
      <c r="I393" s="150" t="b">
        <v>0</v>
      </c>
      <c r="J393" s="150" t="b">
        <v>0</v>
      </c>
      <c r="K393" s="150" t="b">
        <v>0</v>
      </c>
      <c r="L393" s="8" t="b">
        <v>0</v>
      </c>
    </row>
    <row r="394">
      <c r="B394" s="97"/>
      <c r="C394" s="121" t="str">
        <f t="array" ref="C394">ifs(and(isblank($A394),isblank($B394)),"", not(iserror(vlookup($A394&amp;$B394,'5) Release_Track'!$F:$F&amp;'5) Release_Track'!$G:$G,1,0))),vlookup($A394&amp;$B394,{'5) Release_Track'!$F:$F&amp;'5) Release_Track'!$G:$G,'5) Release_Track'!$H:$H},2,0),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D394" s="121" t="str">
        <f t="array" ref="D394">ifs(and(isblank($A394),isblank($B394)),"", not(iserror(vlookup($A394&amp;$B394,'5) Release_Track'!$F:$F&amp;'5) Release_Track'!$G:$G,1,0))),vlookup($A394&amp;$B394,{'5) Release_Track'!$F:$F&amp;'5) Release_Track'!$G:$G,'5) Release_Track'!$I:$I},2,0),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E394" s="150" t="b">
        <v>0</v>
      </c>
      <c r="F394" s="150" t="b">
        <v>0</v>
      </c>
      <c r="G394" s="150" t="b">
        <v>0</v>
      </c>
      <c r="H394" s="150" t="b">
        <v>0</v>
      </c>
      <c r="I394" s="150" t="b">
        <v>0</v>
      </c>
      <c r="J394" s="150" t="b">
        <v>0</v>
      </c>
      <c r="K394" s="150" t="b">
        <v>0</v>
      </c>
      <c r="L394" s="8" t="b">
        <v>0</v>
      </c>
    </row>
    <row r="395">
      <c r="B395" s="97"/>
      <c r="C395" s="121" t="str">
        <f t="array" ref="C395">ifs(and(isblank($A395),isblank($B395)),"", not(iserror(vlookup($A395&amp;$B395,'5) Release_Track'!$F:$F&amp;'5) Release_Track'!$G:$G,1,0))),vlookup($A395&amp;$B395,{'5) Release_Track'!$F:$F&amp;'5) Release_Track'!$G:$G,'5) Release_Track'!$H:$H},2,0),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D395" s="121" t="str">
        <f t="array" ref="D395">ifs(and(isblank($A395),isblank($B395)),"", not(iserror(vlookup($A395&amp;$B395,'5) Release_Track'!$F:$F&amp;'5) Release_Track'!$G:$G,1,0))),vlookup($A395&amp;$B395,{'5) Release_Track'!$F:$F&amp;'5) Release_Track'!$G:$G,'5) Release_Track'!$I:$I},2,0),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E395" s="150" t="b">
        <v>0</v>
      </c>
      <c r="F395" s="150" t="b">
        <v>0</v>
      </c>
      <c r="G395" s="150" t="b">
        <v>0</v>
      </c>
      <c r="H395" s="150" t="b">
        <v>0</v>
      </c>
      <c r="I395" s="150" t="b">
        <v>0</v>
      </c>
      <c r="J395" s="150" t="b">
        <v>0</v>
      </c>
      <c r="K395" s="150" t="b">
        <v>0</v>
      </c>
      <c r="L395" s="8" t="b">
        <v>0</v>
      </c>
    </row>
    <row r="396">
      <c r="B396" s="97"/>
      <c r="C396" s="121" t="str">
        <f t="array" ref="C396">ifs(and(isblank($A396),isblank($B396)),"", not(iserror(vlookup($A396&amp;$B396,'5) Release_Track'!$F:$F&amp;'5) Release_Track'!$G:$G,1,0))),vlookup($A396&amp;$B396,{'5) Release_Track'!$F:$F&amp;'5) Release_Track'!$G:$G,'5) Release_Track'!$H:$H},2,0),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D396" s="121" t="str">
        <f t="array" ref="D396">ifs(and(isblank($A396),isblank($B396)),"", not(iserror(vlookup($A396&amp;$B396,'5) Release_Track'!$F:$F&amp;'5) Release_Track'!$G:$G,1,0))),vlookup($A396&amp;$B396,{'5) Release_Track'!$F:$F&amp;'5) Release_Track'!$G:$G,'5) Release_Track'!$I:$I},2,0),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E396" s="150" t="b">
        <v>0</v>
      </c>
      <c r="F396" s="150" t="b">
        <v>0</v>
      </c>
      <c r="G396" s="150" t="b">
        <v>0</v>
      </c>
      <c r="H396" s="150" t="b">
        <v>0</v>
      </c>
      <c r="I396" s="150" t="b">
        <v>0</v>
      </c>
      <c r="J396" s="150" t="b">
        <v>0</v>
      </c>
      <c r="K396" s="150" t="b">
        <v>0</v>
      </c>
      <c r="L396" s="8" t="b">
        <v>0</v>
      </c>
    </row>
    <row r="397">
      <c r="B397" s="97"/>
      <c r="C397" s="121" t="str">
        <f t="array" ref="C397">ifs(and(isblank($A397),isblank($B397)),"", not(iserror(vlookup($A397&amp;$B397,'5) Release_Track'!$F:$F&amp;'5) Release_Track'!$G:$G,1,0))),vlookup($A397&amp;$B397,{'5) Release_Track'!$F:$F&amp;'5) Release_Track'!$G:$G,'5) Release_Track'!$H:$H},2,0),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D397" s="121" t="str">
        <f t="array" ref="D397">ifs(and(isblank($A397),isblank($B397)),"", not(iserror(vlookup($A397&amp;$B397,'5) Release_Track'!$F:$F&amp;'5) Release_Track'!$G:$G,1,0))),vlookup($A397&amp;$B397,{'5) Release_Track'!$F:$F&amp;'5) Release_Track'!$G:$G,'5) Release_Track'!$I:$I},2,0),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E397" s="150" t="b">
        <v>0</v>
      </c>
      <c r="F397" s="150" t="b">
        <v>0</v>
      </c>
      <c r="G397" s="150" t="b">
        <v>0</v>
      </c>
      <c r="H397" s="150" t="b">
        <v>0</v>
      </c>
      <c r="I397" s="150" t="b">
        <v>0</v>
      </c>
      <c r="J397" s="150" t="b">
        <v>0</v>
      </c>
      <c r="K397" s="150" t="b">
        <v>0</v>
      </c>
      <c r="L397" s="8" t="b">
        <v>0</v>
      </c>
    </row>
    <row r="398">
      <c r="B398" s="97"/>
      <c r="C398" s="121" t="str">
        <f t="array" ref="C398">ifs(and(isblank($A398),isblank($B398)),"", not(iserror(vlookup($A398&amp;$B398,'5) Release_Track'!$F:$F&amp;'5) Release_Track'!$G:$G,1,0))),vlookup($A398&amp;$B398,{'5) Release_Track'!$F:$F&amp;'5) Release_Track'!$G:$G,'5) Release_Track'!$H:$H},2,0),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D398" s="121" t="str">
        <f t="array" ref="D398">ifs(and(isblank($A398),isblank($B398)),"", not(iserror(vlookup($A398&amp;$B398,'5) Release_Track'!$F:$F&amp;'5) Release_Track'!$G:$G,1,0))),vlookup($A398&amp;$B398,{'5) Release_Track'!$F:$F&amp;'5) Release_Track'!$G:$G,'5) Release_Track'!$I:$I},2,0),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E398" s="150" t="b">
        <v>0</v>
      </c>
      <c r="F398" s="150" t="b">
        <v>0</v>
      </c>
      <c r="G398" s="150" t="b">
        <v>0</v>
      </c>
      <c r="H398" s="150" t="b">
        <v>0</v>
      </c>
      <c r="I398" s="150" t="b">
        <v>0</v>
      </c>
      <c r="J398" s="150" t="b">
        <v>0</v>
      </c>
      <c r="K398" s="150" t="b">
        <v>0</v>
      </c>
      <c r="L398" s="8" t="b">
        <v>0</v>
      </c>
    </row>
    <row r="399">
      <c r="B399" s="97"/>
      <c r="C399" s="121" t="str">
        <f t="array" ref="C399">ifs(and(isblank($A399),isblank($B399)),"", not(iserror(vlookup($A399&amp;$B399,'5) Release_Track'!$F:$F&amp;'5) Release_Track'!$G:$G,1,0))),vlookup($A399&amp;$B399,{'5) Release_Track'!$F:$F&amp;'5) Release_Track'!$G:$G,'5) Release_Track'!$H:$H},2,0),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D399" s="121" t="str">
        <f t="array" ref="D399">ifs(and(isblank($A399),isblank($B399)),"", not(iserror(vlookup($A399&amp;$B399,'5) Release_Track'!$F:$F&amp;'5) Release_Track'!$G:$G,1,0))),vlookup($A399&amp;$B399,{'5) Release_Track'!$F:$F&amp;'5) Release_Track'!$G:$G,'5) Release_Track'!$I:$I},2,0),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E399" s="150" t="b">
        <v>0</v>
      </c>
      <c r="F399" s="150" t="b">
        <v>0</v>
      </c>
      <c r="G399" s="150" t="b">
        <v>0</v>
      </c>
      <c r="H399" s="150" t="b">
        <v>0</v>
      </c>
      <c r="I399" s="150" t="b">
        <v>0</v>
      </c>
      <c r="J399" s="150" t="b">
        <v>0</v>
      </c>
      <c r="K399" s="150" t="b">
        <v>0</v>
      </c>
      <c r="L399" s="8" t="b">
        <v>0</v>
      </c>
    </row>
    <row r="400">
      <c r="B400" s="97"/>
      <c r="C400" s="121" t="str">
        <f t="array" ref="C400">ifs(and(isblank($A400),isblank($B400)),"", not(iserror(vlookup($A400&amp;$B400,'5) Release_Track'!$F:$F&amp;'5) Release_Track'!$G:$G,1,0))),vlookup($A400&amp;$B400,{'5) Release_Track'!$F:$F&amp;'5) Release_Track'!$G:$G,'5) Release_Track'!$H:$H},2,0),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D400" s="121" t="str">
        <f t="array" ref="D400">ifs(and(isblank($A400),isblank($B400)),"", not(iserror(vlookup($A400&amp;$B400,'5) Release_Track'!$F:$F&amp;'5) Release_Track'!$G:$G,1,0))),vlookup($A400&amp;$B400,{'5) Release_Track'!$F:$F&amp;'5) Release_Track'!$G:$G,'5) Release_Track'!$I:$I},2,0),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E400" s="150" t="b">
        <v>0</v>
      </c>
      <c r="F400" s="150" t="b">
        <v>0</v>
      </c>
      <c r="G400" s="150" t="b">
        <v>0</v>
      </c>
      <c r="H400" s="150" t="b">
        <v>0</v>
      </c>
      <c r="I400" s="150" t="b">
        <v>0</v>
      </c>
      <c r="J400" s="150" t="b">
        <v>0</v>
      </c>
      <c r="K400" s="150" t="b">
        <v>0</v>
      </c>
      <c r="L400" s="8" t="b">
        <v>0</v>
      </c>
    </row>
    <row r="401">
      <c r="B401" s="97"/>
      <c r="C401" s="121" t="str">
        <f t="array" ref="C401">ifs(and(isblank($A401),isblank($B401)),"", not(iserror(vlookup($A401&amp;$B401,'5) Release_Track'!$F:$F&amp;'5) Release_Track'!$G:$G,1,0))),vlookup($A401&amp;$B401,{'5) Release_Track'!$F:$F&amp;'5) Release_Track'!$G:$G,'5) Release_Track'!$H:$H},2,0),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D401" s="121" t="str">
        <f t="array" ref="D401">ifs(and(isblank($A401),isblank($B401)),"", not(iserror(vlookup($A401&amp;$B401,'5) Release_Track'!$F:$F&amp;'5) Release_Track'!$G:$G,1,0))),vlookup($A401&amp;$B401,{'5) Release_Track'!$F:$F&amp;'5) Release_Track'!$G:$G,'5) Release_Track'!$I:$I},2,0),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E401" s="150" t="b">
        <v>0</v>
      </c>
      <c r="F401" s="150" t="b">
        <v>0</v>
      </c>
      <c r="G401" s="150" t="b">
        <v>0</v>
      </c>
      <c r="H401" s="150" t="b">
        <v>0</v>
      </c>
      <c r="I401" s="150" t="b">
        <v>0</v>
      </c>
      <c r="J401" s="150" t="b">
        <v>0</v>
      </c>
      <c r="K401" s="150" t="b">
        <v>0</v>
      </c>
      <c r="L401" s="8" t="b">
        <v>0</v>
      </c>
    </row>
    <row r="402">
      <c r="B402" s="97"/>
      <c r="C402" s="121" t="str">
        <f t="array" ref="C402">ifs(and(isblank($A402),isblank($B402)),"", not(iserror(vlookup($A402&amp;$B402,'5) Release_Track'!$F:$F&amp;'5) Release_Track'!$G:$G,1,0))),vlookup($A402&amp;$B402,{'5) Release_Track'!$F:$F&amp;'5) Release_Track'!$G:$G,'5) Release_Track'!$H:$H},2,0),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D402" s="121" t="str">
        <f t="array" ref="D402">ifs(and(isblank($A402),isblank($B402)),"", not(iserror(vlookup($A402&amp;$B402,'5) Release_Track'!$F:$F&amp;'5) Release_Track'!$G:$G,1,0))),vlookup($A402&amp;$B402,{'5) Release_Track'!$F:$F&amp;'5) Release_Track'!$G:$G,'5) Release_Track'!$I:$I},2,0),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E402" s="150" t="b">
        <v>0</v>
      </c>
      <c r="F402" s="150" t="b">
        <v>0</v>
      </c>
      <c r="G402" s="150" t="b">
        <v>0</v>
      </c>
      <c r="H402" s="150" t="b">
        <v>0</v>
      </c>
      <c r="I402" s="150" t="b">
        <v>0</v>
      </c>
      <c r="J402" s="150" t="b">
        <v>0</v>
      </c>
      <c r="K402" s="150" t="b">
        <v>0</v>
      </c>
      <c r="L402" s="8" t="b">
        <v>0</v>
      </c>
    </row>
    <row r="403">
      <c r="B403" s="97"/>
      <c r="C403" s="121" t="str">
        <f t="array" ref="C403">ifs(and(isblank($A403),isblank($B403)),"", not(iserror(vlookup($A403&amp;$B403,'5) Release_Track'!$F:$F&amp;'5) Release_Track'!$G:$G,1,0))),vlookup($A403&amp;$B403,{'5) Release_Track'!$F:$F&amp;'5) Release_Track'!$G:$G,'5) Release_Track'!$H:$H},2,0),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D403" s="121" t="str">
        <f t="array" ref="D403">ifs(and(isblank($A403),isblank($B403)),"", not(iserror(vlookup($A403&amp;$B403,'5) Release_Track'!$F:$F&amp;'5) Release_Track'!$G:$G,1,0))),vlookup($A403&amp;$B403,{'5) Release_Track'!$F:$F&amp;'5) Release_Track'!$G:$G,'5) Release_Track'!$I:$I},2,0),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E403" s="150" t="b">
        <v>0</v>
      </c>
      <c r="F403" s="150" t="b">
        <v>0</v>
      </c>
      <c r="G403" s="150" t="b">
        <v>0</v>
      </c>
      <c r="H403" s="150" t="b">
        <v>0</v>
      </c>
      <c r="I403" s="150" t="b">
        <v>0</v>
      </c>
      <c r="J403" s="150" t="b">
        <v>0</v>
      </c>
      <c r="K403" s="150" t="b">
        <v>0</v>
      </c>
      <c r="L403" s="8" t="b">
        <v>0</v>
      </c>
    </row>
    <row r="404">
      <c r="B404" s="97"/>
      <c r="C404" s="121" t="str">
        <f t="array" ref="C404">ifs(and(isblank($A404),isblank($B404)),"", not(iserror(vlookup($A404&amp;$B404,'5) Release_Track'!$F:$F&amp;'5) Release_Track'!$G:$G,1,0))),vlookup($A404&amp;$B404,{'5) Release_Track'!$F:$F&amp;'5) Release_Track'!$G:$G,'5) Release_Track'!$H:$H},2,0),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D404" s="121" t="str">
        <f t="array" ref="D404">ifs(and(isblank($A404),isblank($B404)),"", not(iserror(vlookup($A404&amp;$B404,'5) Release_Track'!$F:$F&amp;'5) Release_Track'!$G:$G,1,0))),vlookup($A404&amp;$B404,{'5) Release_Track'!$F:$F&amp;'5) Release_Track'!$G:$G,'5) Release_Track'!$I:$I},2,0),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E404" s="150" t="b">
        <v>0</v>
      </c>
      <c r="F404" s="150" t="b">
        <v>0</v>
      </c>
      <c r="G404" s="150" t="b">
        <v>0</v>
      </c>
      <c r="H404" s="150" t="b">
        <v>0</v>
      </c>
      <c r="I404" s="150" t="b">
        <v>0</v>
      </c>
      <c r="J404" s="150" t="b">
        <v>0</v>
      </c>
      <c r="K404" s="150" t="b">
        <v>0</v>
      </c>
      <c r="L404" s="8" t="b">
        <v>0</v>
      </c>
    </row>
    <row r="405">
      <c r="B405" s="97"/>
      <c r="C405" s="121" t="str">
        <f t="array" ref="C405">ifs(and(isblank($A405),isblank($B405)),"", not(iserror(vlookup($A405&amp;$B405,'5) Release_Track'!$F:$F&amp;'5) Release_Track'!$G:$G,1,0))),vlookup($A405&amp;$B405,{'5) Release_Track'!$F:$F&amp;'5) Release_Track'!$G:$G,'5) Release_Track'!$H:$H},2,0),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D405" s="121" t="str">
        <f t="array" ref="D405">ifs(and(isblank($A405),isblank($B405)),"", not(iserror(vlookup($A405&amp;$B405,'5) Release_Track'!$F:$F&amp;'5) Release_Track'!$G:$G,1,0))),vlookup($A405&amp;$B405,{'5) Release_Track'!$F:$F&amp;'5) Release_Track'!$G:$G,'5) Release_Track'!$I:$I},2,0),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E405" s="150" t="b">
        <v>0</v>
      </c>
      <c r="F405" s="150" t="b">
        <v>0</v>
      </c>
      <c r="G405" s="150" t="b">
        <v>0</v>
      </c>
      <c r="H405" s="150" t="b">
        <v>0</v>
      </c>
      <c r="I405" s="150" t="b">
        <v>0</v>
      </c>
      <c r="J405" s="150" t="b">
        <v>0</v>
      </c>
      <c r="K405" s="150" t="b">
        <v>0</v>
      </c>
      <c r="L405" s="8" t="b">
        <v>0</v>
      </c>
    </row>
    <row r="406">
      <c r="B406" s="97"/>
      <c r="C406" s="121" t="str">
        <f t="array" ref="C406">ifs(and(isblank($A406),isblank($B406)),"", not(iserror(vlookup($A406&amp;$B406,'5) Release_Track'!$F:$F&amp;'5) Release_Track'!$G:$G,1,0))),vlookup($A406&amp;$B406,{'5) Release_Track'!$F:$F&amp;'5) Release_Track'!$G:$G,'5) Release_Track'!$H:$H},2,0),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D406" s="121" t="str">
        <f t="array" ref="D406">ifs(and(isblank($A406),isblank($B406)),"", not(iserror(vlookup($A406&amp;$B406,'5) Release_Track'!$F:$F&amp;'5) Release_Track'!$G:$G,1,0))),vlookup($A406&amp;$B406,{'5) Release_Track'!$F:$F&amp;'5) Release_Track'!$G:$G,'5) Release_Track'!$I:$I},2,0),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E406" s="150" t="b">
        <v>0</v>
      </c>
      <c r="F406" s="150" t="b">
        <v>0</v>
      </c>
      <c r="G406" s="150" t="b">
        <v>0</v>
      </c>
      <c r="H406" s="150" t="b">
        <v>0</v>
      </c>
      <c r="I406" s="150" t="b">
        <v>0</v>
      </c>
      <c r="J406" s="150" t="b">
        <v>0</v>
      </c>
      <c r="K406" s="150" t="b">
        <v>0</v>
      </c>
      <c r="L406" s="8" t="b">
        <v>0</v>
      </c>
    </row>
    <row r="407">
      <c r="B407" s="97"/>
      <c r="C407" s="121" t="str">
        <f t="array" ref="C407">ifs(and(isblank($A407),isblank($B407)),"", not(iserror(vlookup($A407&amp;$B407,'5) Release_Track'!$F:$F&amp;'5) Release_Track'!$G:$G,1,0))),vlookup($A407&amp;$B407,{'5) Release_Track'!$F:$F&amp;'5) Release_Track'!$G:$G,'5) Release_Track'!$H:$H},2,0),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D407" s="121" t="str">
        <f t="array" ref="D407">ifs(and(isblank($A407),isblank($B407)),"", not(iserror(vlookup($A407&amp;$B407,'5) Release_Track'!$F:$F&amp;'5) Release_Track'!$G:$G,1,0))),vlookup($A407&amp;$B407,{'5) Release_Track'!$F:$F&amp;'5) Release_Track'!$G:$G,'5) Release_Track'!$I:$I},2,0),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E407" s="150" t="b">
        <v>0</v>
      </c>
      <c r="F407" s="150" t="b">
        <v>0</v>
      </c>
      <c r="G407" s="150" t="b">
        <v>0</v>
      </c>
      <c r="H407" s="150" t="b">
        <v>0</v>
      </c>
      <c r="I407" s="150" t="b">
        <v>0</v>
      </c>
      <c r="J407" s="150" t="b">
        <v>0</v>
      </c>
      <c r="K407" s="150" t="b">
        <v>0</v>
      </c>
      <c r="L407" s="8" t="b">
        <v>0</v>
      </c>
    </row>
    <row r="408">
      <c r="B408" s="97"/>
      <c r="C408" s="121" t="str">
        <f t="array" ref="C408">ifs(and(isblank($A408),isblank($B408)),"", not(iserror(vlookup($A408&amp;$B408,'5) Release_Track'!$F:$F&amp;'5) Release_Track'!$G:$G,1,0))),vlookup($A408&amp;$B408,{'5) Release_Track'!$F:$F&amp;'5) Release_Track'!$G:$G,'5) Release_Track'!$H:$H},2,0),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D408" s="121" t="str">
        <f t="array" ref="D408">ifs(and(isblank($A408),isblank($B408)),"", not(iserror(vlookup($A408&amp;$B408,'5) Release_Track'!$F:$F&amp;'5) Release_Track'!$G:$G,1,0))),vlookup($A408&amp;$B408,{'5) Release_Track'!$F:$F&amp;'5) Release_Track'!$G:$G,'5) Release_Track'!$I:$I},2,0),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E408" s="150" t="b">
        <v>0</v>
      </c>
      <c r="F408" s="150" t="b">
        <v>0</v>
      </c>
      <c r="G408" s="150" t="b">
        <v>0</v>
      </c>
      <c r="H408" s="150" t="b">
        <v>0</v>
      </c>
      <c r="I408" s="150" t="b">
        <v>0</v>
      </c>
      <c r="J408" s="150" t="b">
        <v>0</v>
      </c>
      <c r="K408" s="150" t="b">
        <v>0</v>
      </c>
      <c r="L408" s="8" t="b">
        <v>0</v>
      </c>
    </row>
    <row r="409">
      <c r="B409" s="97"/>
      <c r="C409" s="121" t="str">
        <f t="array" ref="C409">ifs(and(isblank($A409),isblank($B409)),"", not(iserror(vlookup($A409&amp;$B409,'5) Release_Track'!$F:$F&amp;'5) Release_Track'!$G:$G,1,0))),vlookup($A409&amp;$B409,{'5) Release_Track'!$F:$F&amp;'5) Release_Track'!$G:$G,'5) Release_Track'!$H:$H},2,0),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D409" s="121" t="str">
        <f t="array" ref="D409">ifs(and(isblank($A409),isblank($B409)),"", not(iserror(vlookup($A409&amp;$B409,'5) Release_Track'!$F:$F&amp;'5) Release_Track'!$G:$G,1,0))),vlookup($A409&amp;$B409,{'5) Release_Track'!$F:$F&amp;'5) Release_Track'!$G:$G,'5) Release_Track'!$I:$I},2,0),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E409" s="150" t="b">
        <v>0</v>
      </c>
      <c r="F409" s="150" t="b">
        <v>0</v>
      </c>
      <c r="G409" s="150" t="b">
        <v>0</v>
      </c>
      <c r="H409" s="150" t="b">
        <v>0</v>
      </c>
      <c r="I409" s="150" t="b">
        <v>0</v>
      </c>
      <c r="J409" s="150" t="b">
        <v>0</v>
      </c>
      <c r="K409" s="150" t="b">
        <v>0</v>
      </c>
      <c r="L409" s="8" t="b">
        <v>0</v>
      </c>
    </row>
    <row r="410">
      <c r="B410" s="97"/>
      <c r="C410" s="121" t="str">
        <f t="array" ref="C410">ifs(and(isblank($A410),isblank($B410)),"", not(iserror(vlookup($A410&amp;$B410,'5) Release_Track'!$F:$F&amp;'5) Release_Track'!$G:$G,1,0))),vlookup($A410&amp;$B410,{'5) Release_Track'!$F:$F&amp;'5) Release_Track'!$G:$G,'5) Release_Track'!$H:$H},2,0),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D410" s="121" t="str">
        <f t="array" ref="D410">ifs(and(isblank($A410),isblank($B410)),"", not(iserror(vlookup($A410&amp;$B410,'5) Release_Track'!$F:$F&amp;'5) Release_Track'!$G:$G,1,0))),vlookup($A410&amp;$B410,{'5) Release_Track'!$F:$F&amp;'5) Release_Track'!$G:$G,'5) Release_Track'!$I:$I},2,0),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E410" s="150" t="b">
        <v>0</v>
      </c>
      <c r="F410" s="150" t="b">
        <v>0</v>
      </c>
      <c r="G410" s="150" t="b">
        <v>0</v>
      </c>
      <c r="H410" s="150" t="b">
        <v>0</v>
      </c>
      <c r="I410" s="150" t="b">
        <v>0</v>
      </c>
      <c r="J410" s="150" t="b">
        <v>0</v>
      </c>
      <c r="K410" s="150" t="b">
        <v>0</v>
      </c>
      <c r="L410" s="8" t="b">
        <v>0</v>
      </c>
    </row>
    <row r="411">
      <c r="B411" s="97"/>
      <c r="C411" s="121" t="str">
        <f t="array" ref="C411">ifs(and(isblank($A411),isblank($B411)),"", not(iserror(vlookup($A411&amp;$B411,'5) Release_Track'!$F:$F&amp;'5) Release_Track'!$G:$G,1,0))),vlookup($A411&amp;$B411,{'5) Release_Track'!$F:$F&amp;'5) Release_Track'!$G:$G,'5) Release_Track'!$H:$H},2,0),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D411" s="121" t="str">
        <f t="array" ref="D411">ifs(and(isblank($A411),isblank($B411)),"", not(iserror(vlookup($A411&amp;$B411,'5) Release_Track'!$F:$F&amp;'5) Release_Track'!$G:$G,1,0))),vlookup($A411&amp;$B411,{'5) Release_Track'!$F:$F&amp;'5) Release_Track'!$G:$G,'5) Release_Track'!$I:$I},2,0),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E411" s="150" t="b">
        <v>0</v>
      </c>
      <c r="F411" s="150" t="b">
        <v>0</v>
      </c>
      <c r="G411" s="150" t="b">
        <v>0</v>
      </c>
      <c r="H411" s="150" t="b">
        <v>0</v>
      </c>
      <c r="I411" s="150" t="b">
        <v>0</v>
      </c>
      <c r="J411" s="150" t="b">
        <v>0</v>
      </c>
      <c r="K411" s="150" t="b">
        <v>0</v>
      </c>
      <c r="L411" s="8" t="b">
        <v>0</v>
      </c>
    </row>
    <row r="412">
      <c r="B412" s="97"/>
      <c r="C412" s="121" t="str">
        <f t="array" ref="C412">ifs(and(isblank($A412),isblank($B412)),"", not(iserror(vlookup($A412&amp;$B412,'5) Release_Track'!$F:$F&amp;'5) Release_Track'!$G:$G,1,0))),vlookup($A412&amp;$B412,{'5) Release_Track'!$F:$F&amp;'5) Release_Track'!$G:$G,'5) Release_Track'!$H:$H},2,0),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D412" s="121" t="str">
        <f t="array" ref="D412">ifs(and(isblank($A412),isblank($B412)),"", not(iserror(vlookup($A412&amp;$B412,'5) Release_Track'!$F:$F&amp;'5) Release_Track'!$G:$G,1,0))),vlookup($A412&amp;$B412,{'5) Release_Track'!$F:$F&amp;'5) Release_Track'!$G:$G,'5) Release_Track'!$I:$I},2,0),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E412" s="150" t="b">
        <v>0</v>
      </c>
      <c r="F412" s="150" t="b">
        <v>0</v>
      </c>
      <c r="G412" s="150" t="b">
        <v>0</v>
      </c>
      <c r="H412" s="150" t="b">
        <v>0</v>
      </c>
      <c r="I412" s="150" t="b">
        <v>0</v>
      </c>
      <c r="J412" s="150" t="b">
        <v>0</v>
      </c>
      <c r="K412" s="150" t="b">
        <v>0</v>
      </c>
      <c r="L412" s="8" t="b">
        <v>0</v>
      </c>
    </row>
    <row r="413">
      <c r="B413" s="97"/>
      <c r="C413" s="121" t="str">
        <f t="array" ref="C413">ifs(and(isblank($A413),isblank($B413)),"", not(iserror(vlookup($A413&amp;$B413,'5) Release_Track'!$F:$F&amp;'5) Release_Track'!$G:$G,1,0))),vlookup($A413&amp;$B413,{'5) Release_Track'!$F:$F&amp;'5) Release_Track'!$G:$G,'5) Release_Track'!$H:$H},2,0),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D413" s="121" t="str">
        <f t="array" ref="D413">ifs(and(isblank($A413),isblank($B413)),"", not(iserror(vlookup($A413&amp;$B413,'5) Release_Track'!$F:$F&amp;'5) Release_Track'!$G:$G,1,0))),vlookup($A413&amp;$B413,{'5) Release_Track'!$F:$F&amp;'5) Release_Track'!$G:$G,'5) Release_Track'!$I:$I},2,0),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E413" s="150" t="b">
        <v>0</v>
      </c>
      <c r="F413" s="150" t="b">
        <v>0</v>
      </c>
      <c r="G413" s="150" t="b">
        <v>0</v>
      </c>
      <c r="H413" s="150" t="b">
        <v>0</v>
      </c>
      <c r="I413" s="150" t="b">
        <v>0</v>
      </c>
      <c r="J413" s="150" t="b">
        <v>0</v>
      </c>
      <c r="K413" s="150" t="b">
        <v>0</v>
      </c>
      <c r="L413" s="8" t="b">
        <v>0</v>
      </c>
    </row>
    <row r="414">
      <c r="B414" s="97"/>
      <c r="C414" s="121" t="str">
        <f t="array" ref="C414">ifs(and(isblank($A414),isblank($B414)),"", not(iserror(vlookup($A414&amp;$B414,'5) Release_Track'!$F:$F&amp;'5) Release_Track'!$G:$G,1,0))),vlookup($A414&amp;$B414,{'5) Release_Track'!$F:$F&amp;'5) Release_Track'!$G:$G,'5) Release_Track'!$H:$H},2,0),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D414" s="121" t="str">
        <f t="array" ref="D414">ifs(and(isblank($A414),isblank($B414)),"", not(iserror(vlookup($A414&amp;$B414,'5) Release_Track'!$F:$F&amp;'5) Release_Track'!$G:$G,1,0))),vlookup($A414&amp;$B414,{'5) Release_Track'!$F:$F&amp;'5) Release_Track'!$G:$G,'5) Release_Track'!$I:$I},2,0),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E414" s="150" t="b">
        <v>0</v>
      </c>
      <c r="F414" s="150" t="b">
        <v>0</v>
      </c>
      <c r="G414" s="150" t="b">
        <v>0</v>
      </c>
      <c r="H414" s="150" t="b">
        <v>0</v>
      </c>
      <c r="I414" s="150" t="b">
        <v>0</v>
      </c>
      <c r="J414" s="150" t="b">
        <v>0</v>
      </c>
      <c r="K414" s="150" t="b">
        <v>0</v>
      </c>
      <c r="L414" s="8" t="b">
        <v>0</v>
      </c>
    </row>
    <row r="415">
      <c r="B415" s="97"/>
      <c r="C415" s="121" t="str">
        <f t="array" ref="C415">ifs(and(isblank($A415),isblank($B415)),"", not(iserror(vlookup($A415&amp;$B415,'5) Release_Track'!$F:$F&amp;'5) Release_Track'!$G:$G,1,0))),vlookup($A415&amp;$B415,{'5) Release_Track'!$F:$F&amp;'5) Release_Track'!$G:$G,'5) Release_Track'!$H:$H},2,0),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D415" s="121" t="str">
        <f t="array" ref="D415">ifs(and(isblank($A415),isblank($B415)),"", not(iserror(vlookup($A415&amp;$B415,'5) Release_Track'!$F:$F&amp;'5) Release_Track'!$G:$G,1,0))),vlookup($A415&amp;$B415,{'5) Release_Track'!$F:$F&amp;'5) Release_Track'!$G:$G,'5) Release_Track'!$I:$I},2,0),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E415" s="150" t="b">
        <v>0</v>
      </c>
      <c r="F415" s="150" t="b">
        <v>0</v>
      </c>
      <c r="G415" s="150" t="b">
        <v>0</v>
      </c>
      <c r="H415" s="150" t="b">
        <v>0</v>
      </c>
      <c r="I415" s="150" t="b">
        <v>0</v>
      </c>
      <c r="J415" s="150" t="b">
        <v>0</v>
      </c>
      <c r="K415" s="150" t="b">
        <v>0</v>
      </c>
      <c r="L415" s="8" t="b">
        <v>0</v>
      </c>
    </row>
    <row r="416">
      <c r="B416" s="97"/>
      <c r="C416" s="121" t="str">
        <f t="array" ref="C416">ifs(and(isblank($A416),isblank($B416)),"", not(iserror(vlookup($A416&amp;$B416,'5) Release_Track'!$F:$F&amp;'5) Release_Track'!$G:$G,1,0))),vlookup($A416&amp;$B416,{'5) Release_Track'!$F:$F&amp;'5) Release_Track'!$G:$G,'5) Release_Track'!$H:$H},2,0),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D416" s="121" t="str">
        <f t="array" ref="D416">ifs(and(isblank($A416),isblank($B416)),"", not(iserror(vlookup($A416&amp;$B416,'5) Release_Track'!$F:$F&amp;'5) Release_Track'!$G:$G,1,0))),vlookup($A416&amp;$B416,{'5) Release_Track'!$F:$F&amp;'5) Release_Track'!$G:$G,'5) Release_Track'!$I:$I},2,0),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E416" s="150" t="b">
        <v>0</v>
      </c>
      <c r="F416" s="150" t="b">
        <v>0</v>
      </c>
      <c r="G416" s="150" t="b">
        <v>0</v>
      </c>
      <c r="H416" s="150" t="b">
        <v>0</v>
      </c>
      <c r="I416" s="150" t="b">
        <v>0</v>
      </c>
      <c r="J416" s="150" t="b">
        <v>0</v>
      </c>
      <c r="K416" s="150" t="b">
        <v>0</v>
      </c>
      <c r="L416" s="8" t="b">
        <v>0</v>
      </c>
    </row>
    <row r="417">
      <c r="B417" s="97"/>
      <c r="C417" s="121" t="str">
        <f t="array" ref="C417">ifs(and(isblank($A417),isblank($B417)),"", not(iserror(vlookup($A417&amp;$B417,'5) Release_Track'!$F:$F&amp;'5) Release_Track'!$G:$G,1,0))),vlookup($A417&amp;$B417,{'5) Release_Track'!$F:$F&amp;'5) Release_Track'!$G:$G,'5) Release_Track'!$H:$H},2,0),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D417" s="121" t="str">
        <f t="array" ref="D417">ifs(and(isblank($A417),isblank($B417)),"", not(iserror(vlookup($A417&amp;$B417,'5) Release_Track'!$F:$F&amp;'5) Release_Track'!$G:$G,1,0))),vlookup($A417&amp;$B417,{'5) Release_Track'!$F:$F&amp;'5) Release_Track'!$G:$G,'5) Release_Track'!$I:$I},2,0),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E417" s="150" t="b">
        <v>0</v>
      </c>
      <c r="F417" s="150" t="b">
        <v>0</v>
      </c>
      <c r="G417" s="150" t="b">
        <v>0</v>
      </c>
      <c r="H417" s="150" t="b">
        <v>0</v>
      </c>
      <c r="I417" s="150" t="b">
        <v>0</v>
      </c>
      <c r="J417" s="150" t="b">
        <v>0</v>
      </c>
      <c r="K417" s="150" t="b">
        <v>0</v>
      </c>
      <c r="L417" s="8" t="b">
        <v>0</v>
      </c>
    </row>
    <row r="418">
      <c r="B418" s="97"/>
      <c r="C418" s="121" t="str">
        <f t="array" ref="C418">ifs(and(isblank($A418),isblank($B418)),"", not(iserror(vlookup($A418&amp;$B418,'5) Release_Track'!$F:$F&amp;'5) Release_Track'!$G:$G,1,0))),vlookup($A418&amp;$B418,{'5) Release_Track'!$F:$F&amp;'5) Release_Track'!$G:$G,'5) Release_Track'!$H:$H},2,0),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D418" s="121" t="str">
        <f t="array" ref="D418">ifs(and(isblank($A418),isblank($B418)),"", not(iserror(vlookup($A418&amp;$B418,'5) Release_Track'!$F:$F&amp;'5) Release_Track'!$G:$G,1,0))),vlookup($A418&amp;$B418,{'5) Release_Track'!$F:$F&amp;'5) Release_Track'!$G:$G,'5) Release_Track'!$I:$I},2,0),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E418" s="150" t="b">
        <v>0</v>
      </c>
      <c r="F418" s="150" t="b">
        <v>0</v>
      </c>
      <c r="G418" s="150" t="b">
        <v>0</v>
      </c>
      <c r="H418" s="150" t="b">
        <v>0</v>
      </c>
      <c r="I418" s="150" t="b">
        <v>0</v>
      </c>
      <c r="J418" s="150" t="b">
        <v>0</v>
      </c>
      <c r="K418" s="150" t="b">
        <v>0</v>
      </c>
      <c r="L418" s="8" t="b">
        <v>0</v>
      </c>
    </row>
    <row r="419">
      <c r="B419" s="97"/>
      <c r="C419" s="121" t="str">
        <f t="array" ref="C419">ifs(and(isblank($A419),isblank($B419)),"", not(iserror(vlookup($A419&amp;$B419,'5) Release_Track'!$F:$F&amp;'5) Release_Track'!$G:$G,1,0))),vlookup($A419&amp;$B419,{'5) Release_Track'!$F:$F&amp;'5) Release_Track'!$G:$G,'5) Release_Track'!$H:$H},2,0),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D419" s="121" t="str">
        <f t="array" ref="D419">ifs(and(isblank($A419),isblank($B419)),"", not(iserror(vlookup($A419&amp;$B419,'5) Release_Track'!$F:$F&amp;'5) Release_Track'!$G:$G,1,0))),vlookup($A419&amp;$B419,{'5) Release_Track'!$F:$F&amp;'5) Release_Track'!$G:$G,'5) Release_Track'!$I:$I},2,0),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E419" s="150" t="b">
        <v>0</v>
      </c>
      <c r="F419" s="150" t="b">
        <v>0</v>
      </c>
      <c r="G419" s="150" t="b">
        <v>0</v>
      </c>
      <c r="H419" s="150" t="b">
        <v>0</v>
      </c>
      <c r="I419" s="150" t="b">
        <v>0</v>
      </c>
      <c r="J419" s="150" t="b">
        <v>0</v>
      </c>
      <c r="K419" s="150" t="b">
        <v>0</v>
      </c>
      <c r="L419" s="8" t="b">
        <v>0</v>
      </c>
    </row>
    <row r="420">
      <c r="B420" s="97"/>
      <c r="C420" s="121" t="str">
        <f t="array" ref="C420">ifs(and(isblank($A420),isblank($B420)),"", not(iserror(vlookup($A420&amp;$B420,'5) Release_Track'!$F:$F&amp;'5) Release_Track'!$G:$G,1,0))),vlookup($A420&amp;$B420,{'5) Release_Track'!$F:$F&amp;'5) Release_Track'!$G:$G,'5) Release_Track'!$H:$H},2,0),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D420" s="121" t="str">
        <f t="array" ref="D420">ifs(and(isblank($A420),isblank($B420)),"", not(iserror(vlookup($A420&amp;$B420,'5) Release_Track'!$F:$F&amp;'5) Release_Track'!$G:$G,1,0))),vlookup($A420&amp;$B420,{'5) Release_Track'!$F:$F&amp;'5) Release_Track'!$G:$G,'5) Release_Track'!$I:$I},2,0),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E420" s="150" t="b">
        <v>0</v>
      </c>
      <c r="F420" s="150" t="b">
        <v>0</v>
      </c>
      <c r="G420" s="150" t="b">
        <v>0</v>
      </c>
      <c r="H420" s="150" t="b">
        <v>0</v>
      </c>
      <c r="I420" s="150" t="b">
        <v>0</v>
      </c>
      <c r="J420" s="150" t="b">
        <v>0</v>
      </c>
      <c r="K420" s="150" t="b">
        <v>0</v>
      </c>
      <c r="L420" s="8" t="b">
        <v>0</v>
      </c>
    </row>
    <row r="421">
      <c r="B421" s="97"/>
      <c r="C421" s="121" t="str">
        <f t="array" ref="C421">ifs(and(isblank($A421),isblank($B421)),"", not(iserror(vlookup($A421&amp;$B421,'5) Release_Track'!$F:$F&amp;'5) Release_Track'!$G:$G,1,0))),vlookup($A421&amp;$B421,{'5) Release_Track'!$F:$F&amp;'5) Release_Track'!$G:$G,'5) Release_Track'!$H:$H},2,0),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D421" s="121" t="str">
        <f t="array" ref="D421">ifs(and(isblank($A421),isblank($B421)),"", not(iserror(vlookup($A421&amp;$B421,'5) Release_Track'!$F:$F&amp;'5) Release_Track'!$G:$G,1,0))),vlookup($A421&amp;$B421,{'5) Release_Track'!$F:$F&amp;'5) Release_Track'!$G:$G,'5) Release_Track'!$I:$I},2,0),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E421" s="150" t="b">
        <v>0</v>
      </c>
      <c r="F421" s="150" t="b">
        <v>0</v>
      </c>
      <c r="G421" s="150" t="b">
        <v>0</v>
      </c>
      <c r="H421" s="150" t="b">
        <v>0</v>
      </c>
      <c r="I421" s="150" t="b">
        <v>0</v>
      </c>
      <c r="J421" s="150" t="b">
        <v>0</v>
      </c>
      <c r="K421" s="150" t="b">
        <v>0</v>
      </c>
      <c r="L421" s="8" t="b">
        <v>0</v>
      </c>
    </row>
    <row r="422">
      <c r="B422" s="97"/>
      <c r="C422" s="121" t="str">
        <f t="array" ref="C422">ifs(and(isblank($A422),isblank($B422)),"", not(iserror(vlookup($A422&amp;$B422,'5) Release_Track'!$F:$F&amp;'5) Release_Track'!$G:$G,1,0))),vlookup($A422&amp;$B422,{'5) Release_Track'!$F:$F&amp;'5) Release_Track'!$G:$G,'5) Release_Track'!$H:$H},2,0),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D422" s="121" t="str">
        <f t="array" ref="D422">ifs(and(isblank($A422),isblank($B422)),"", not(iserror(vlookup($A422&amp;$B422,'5) Release_Track'!$F:$F&amp;'5) Release_Track'!$G:$G,1,0))),vlookup($A422&amp;$B422,{'5) Release_Track'!$F:$F&amp;'5) Release_Track'!$G:$G,'5) Release_Track'!$I:$I},2,0),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E422" s="150" t="b">
        <v>0</v>
      </c>
      <c r="F422" s="150" t="b">
        <v>0</v>
      </c>
      <c r="G422" s="150" t="b">
        <v>0</v>
      </c>
      <c r="H422" s="150" t="b">
        <v>0</v>
      </c>
      <c r="I422" s="150" t="b">
        <v>0</v>
      </c>
      <c r="J422" s="150" t="b">
        <v>0</v>
      </c>
      <c r="K422" s="150" t="b">
        <v>0</v>
      </c>
      <c r="L422" s="8" t="b">
        <v>0</v>
      </c>
    </row>
    <row r="423">
      <c r="B423" s="97"/>
      <c r="C423" s="121" t="str">
        <f t="array" ref="C423">ifs(and(isblank($A423),isblank($B423)),"", not(iserror(vlookup($A423&amp;$B423,'5) Release_Track'!$F:$F&amp;'5) Release_Track'!$G:$G,1,0))),vlookup($A423&amp;$B423,{'5) Release_Track'!$F:$F&amp;'5) Release_Track'!$G:$G,'5) Release_Track'!$H:$H},2,0),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D423" s="121" t="str">
        <f t="array" ref="D423">ifs(and(isblank($A423),isblank($B423)),"", not(iserror(vlookup($A423&amp;$B423,'5) Release_Track'!$F:$F&amp;'5) Release_Track'!$G:$G,1,0))),vlookup($A423&amp;$B423,{'5) Release_Track'!$F:$F&amp;'5) Release_Track'!$G:$G,'5) Release_Track'!$I:$I},2,0),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E423" s="150" t="b">
        <v>0</v>
      </c>
      <c r="F423" s="150" t="b">
        <v>0</v>
      </c>
      <c r="G423" s="150" t="b">
        <v>0</v>
      </c>
      <c r="H423" s="150" t="b">
        <v>0</v>
      </c>
      <c r="I423" s="150" t="b">
        <v>0</v>
      </c>
      <c r="J423" s="150" t="b">
        <v>0</v>
      </c>
      <c r="K423" s="150" t="b">
        <v>0</v>
      </c>
      <c r="L423" s="8" t="b">
        <v>0</v>
      </c>
    </row>
    <row r="424">
      <c r="B424" s="97"/>
      <c r="C424" s="121" t="str">
        <f t="array" ref="C424">ifs(and(isblank($A424),isblank($B424)),"", not(iserror(vlookup($A424&amp;$B424,'5) Release_Track'!$F:$F&amp;'5) Release_Track'!$G:$G,1,0))),vlookup($A424&amp;$B424,{'5) Release_Track'!$F:$F&amp;'5) Release_Track'!$G:$G,'5) Release_Track'!$H:$H},2,0),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D424" s="121" t="str">
        <f t="array" ref="D424">ifs(and(isblank($A424),isblank($B424)),"", not(iserror(vlookup($A424&amp;$B424,'5) Release_Track'!$F:$F&amp;'5) Release_Track'!$G:$G,1,0))),vlookup($A424&amp;$B424,{'5) Release_Track'!$F:$F&amp;'5) Release_Track'!$G:$G,'5) Release_Track'!$I:$I},2,0),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E424" s="150" t="b">
        <v>0</v>
      </c>
      <c r="F424" s="150" t="b">
        <v>0</v>
      </c>
      <c r="G424" s="150" t="b">
        <v>0</v>
      </c>
      <c r="H424" s="150" t="b">
        <v>0</v>
      </c>
      <c r="I424" s="150" t="b">
        <v>0</v>
      </c>
      <c r="J424" s="150" t="b">
        <v>0</v>
      </c>
      <c r="K424" s="150" t="b">
        <v>0</v>
      </c>
      <c r="L424" s="8" t="b">
        <v>0</v>
      </c>
    </row>
    <row r="425">
      <c r="B425" s="97"/>
      <c r="C425" s="121" t="str">
        <f t="array" ref="C425">ifs(and(isblank($A425),isblank($B425)),"", not(iserror(vlookup($A425&amp;$B425,'5) Release_Track'!$F:$F&amp;'5) Release_Track'!$G:$G,1,0))),vlookup($A425&amp;$B425,{'5) Release_Track'!$F:$F&amp;'5) Release_Track'!$G:$G,'5) Release_Track'!$H:$H},2,0),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D425" s="121" t="str">
        <f t="array" ref="D425">ifs(and(isblank($A425),isblank($B425)),"", not(iserror(vlookup($A425&amp;$B425,'5) Release_Track'!$F:$F&amp;'5) Release_Track'!$G:$G,1,0))),vlookup($A425&amp;$B425,{'5) Release_Track'!$F:$F&amp;'5) Release_Track'!$G:$G,'5) Release_Track'!$I:$I},2,0),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E425" s="150" t="b">
        <v>0</v>
      </c>
      <c r="F425" s="150" t="b">
        <v>0</v>
      </c>
      <c r="G425" s="150" t="b">
        <v>0</v>
      </c>
      <c r="H425" s="150" t="b">
        <v>0</v>
      </c>
      <c r="I425" s="150" t="b">
        <v>0</v>
      </c>
      <c r="J425" s="150" t="b">
        <v>0</v>
      </c>
      <c r="K425" s="150" t="b">
        <v>0</v>
      </c>
      <c r="L425" s="8" t="b">
        <v>0</v>
      </c>
    </row>
    <row r="426">
      <c r="B426" s="97"/>
      <c r="C426" s="121" t="str">
        <f t="array" ref="C426">ifs(and(isblank($A426),isblank($B426)),"", not(iserror(vlookup($A426&amp;$B426,'5) Release_Track'!$F:$F&amp;'5) Release_Track'!$G:$G,1,0))),vlookup($A426&amp;$B426,{'5) Release_Track'!$F:$F&amp;'5) Release_Track'!$G:$G,'5) Release_Track'!$H:$H},2,0),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D426" s="121" t="str">
        <f t="array" ref="D426">ifs(and(isblank($A426),isblank($B426)),"", not(iserror(vlookup($A426&amp;$B426,'5) Release_Track'!$F:$F&amp;'5) Release_Track'!$G:$G,1,0))),vlookup($A426&amp;$B426,{'5) Release_Track'!$F:$F&amp;'5) Release_Track'!$G:$G,'5) Release_Track'!$I:$I},2,0),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E426" s="150" t="b">
        <v>0</v>
      </c>
      <c r="F426" s="150" t="b">
        <v>0</v>
      </c>
      <c r="G426" s="150" t="b">
        <v>0</v>
      </c>
      <c r="H426" s="150" t="b">
        <v>0</v>
      </c>
      <c r="I426" s="150" t="b">
        <v>0</v>
      </c>
      <c r="J426" s="150" t="b">
        <v>0</v>
      </c>
      <c r="K426" s="150" t="b">
        <v>0</v>
      </c>
      <c r="L426" s="8" t="b">
        <v>0</v>
      </c>
    </row>
    <row r="427">
      <c r="B427" s="97"/>
      <c r="C427" s="121" t="str">
        <f t="array" ref="C427">ifs(and(isblank($A427),isblank($B427)),"", not(iserror(vlookup($A427&amp;$B427,'5) Release_Track'!$F:$F&amp;'5) Release_Track'!$G:$G,1,0))),vlookup($A427&amp;$B427,{'5) Release_Track'!$F:$F&amp;'5) Release_Track'!$G:$G,'5) Release_Track'!$H:$H},2,0),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D427" s="121" t="str">
        <f t="array" ref="D427">ifs(and(isblank($A427),isblank($B427)),"", not(iserror(vlookup($A427&amp;$B427,'5) Release_Track'!$F:$F&amp;'5) Release_Track'!$G:$G,1,0))),vlookup($A427&amp;$B427,{'5) Release_Track'!$F:$F&amp;'5) Release_Track'!$G:$G,'5) Release_Track'!$I:$I},2,0),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E427" s="150" t="b">
        <v>0</v>
      </c>
      <c r="F427" s="150" t="b">
        <v>0</v>
      </c>
      <c r="G427" s="150" t="b">
        <v>0</v>
      </c>
      <c r="H427" s="150" t="b">
        <v>0</v>
      </c>
      <c r="I427" s="150" t="b">
        <v>0</v>
      </c>
      <c r="J427" s="150" t="b">
        <v>0</v>
      </c>
      <c r="K427" s="150" t="b">
        <v>0</v>
      </c>
      <c r="L427" s="8" t="b">
        <v>0</v>
      </c>
    </row>
    <row r="428">
      <c r="B428" s="97"/>
      <c r="C428" s="121" t="str">
        <f t="array" ref="C428">ifs(and(isblank($A428),isblank($B428)),"", not(iserror(vlookup($A428&amp;$B428,'5) Release_Track'!$F:$F&amp;'5) Release_Track'!$G:$G,1,0))),vlookup($A428&amp;$B428,{'5) Release_Track'!$F:$F&amp;'5) Release_Track'!$G:$G,'5) Release_Track'!$H:$H},2,0),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D428" s="121" t="str">
        <f t="array" ref="D428">ifs(and(isblank($A428),isblank($B428)),"", not(iserror(vlookup($A428&amp;$B428,'5) Release_Track'!$F:$F&amp;'5) Release_Track'!$G:$G,1,0))),vlookup($A428&amp;$B428,{'5) Release_Track'!$F:$F&amp;'5) Release_Track'!$G:$G,'5) Release_Track'!$I:$I},2,0),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E428" s="150" t="b">
        <v>0</v>
      </c>
      <c r="F428" s="150" t="b">
        <v>0</v>
      </c>
      <c r="G428" s="150" t="b">
        <v>0</v>
      </c>
      <c r="H428" s="150" t="b">
        <v>0</v>
      </c>
      <c r="I428" s="150" t="b">
        <v>0</v>
      </c>
      <c r="J428" s="150" t="b">
        <v>0</v>
      </c>
      <c r="K428" s="150" t="b">
        <v>0</v>
      </c>
      <c r="L428" s="8" t="b">
        <v>0</v>
      </c>
    </row>
    <row r="429">
      <c r="B429" s="97"/>
      <c r="C429" s="121" t="str">
        <f t="array" ref="C429">ifs(and(isblank($A429),isblank($B429)),"", not(iserror(vlookup($A429&amp;$B429,'5) Release_Track'!$F:$F&amp;'5) Release_Track'!$G:$G,1,0))),vlookup($A429&amp;$B429,{'5) Release_Track'!$F:$F&amp;'5) Release_Track'!$G:$G,'5) Release_Track'!$H:$H},2,0),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D429" s="121" t="str">
        <f t="array" ref="D429">ifs(and(isblank($A429),isblank($B429)),"", not(iserror(vlookup($A429&amp;$B429,'5) Release_Track'!$F:$F&amp;'5) Release_Track'!$G:$G,1,0))),vlookup($A429&amp;$B429,{'5) Release_Track'!$F:$F&amp;'5) Release_Track'!$G:$G,'5) Release_Track'!$I:$I},2,0),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E429" s="150" t="b">
        <v>0</v>
      </c>
      <c r="F429" s="150" t="b">
        <v>0</v>
      </c>
      <c r="G429" s="150" t="b">
        <v>0</v>
      </c>
      <c r="H429" s="150" t="b">
        <v>0</v>
      </c>
      <c r="I429" s="150" t="b">
        <v>0</v>
      </c>
      <c r="J429" s="150" t="b">
        <v>0</v>
      </c>
      <c r="K429" s="150" t="b">
        <v>0</v>
      </c>
      <c r="L429" s="8" t="b">
        <v>0</v>
      </c>
    </row>
    <row r="430">
      <c r="B430" s="97"/>
      <c r="C430" s="121" t="str">
        <f t="array" ref="C430">ifs(and(isblank($A430),isblank($B430)),"", not(iserror(vlookup($A430&amp;$B430,'5) Release_Track'!$F:$F&amp;'5) Release_Track'!$G:$G,1,0))),vlookup($A430&amp;$B430,{'5) Release_Track'!$F:$F&amp;'5) Release_Track'!$G:$G,'5) Release_Track'!$H:$H},2,0),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D430" s="121" t="str">
        <f t="array" ref="D430">ifs(and(isblank($A430),isblank($B430)),"", not(iserror(vlookup($A430&amp;$B430,'5) Release_Track'!$F:$F&amp;'5) Release_Track'!$G:$G,1,0))),vlookup($A430&amp;$B430,{'5) Release_Track'!$F:$F&amp;'5) Release_Track'!$G:$G,'5) Release_Track'!$I:$I},2,0),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E430" s="150" t="b">
        <v>0</v>
      </c>
      <c r="F430" s="150" t="b">
        <v>0</v>
      </c>
      <c r="G430" s="150" t="b">
        <v>0</v>
      </c>
      <c r="H430" s="150" t="b">
        <v>0</v>
      </c>
      <c r="I430" s="150" t="b">
        <v>0</v>
      </c>
      <c r="J430" s="150" t="b">
        <v>0</v>
      </c>
      <c r="K430" s="150" t="b">
        <v>0</v>
      </c>
      <c r="L430" s="8" t="b">
        <v>0</v>
      </c>
    </row>
    <row r="431">
      <c r="B431" s="97"/>
      <c r="C431" s="121" t="str">
        <f t="array" ref="C431">ifs(and(isblank($A431),isblank($B431)),"", not(iserror(vlookup($A431&amp;$B431,'5) Release_Track'!$F:$F&amp;'5) Release_Track'!$G:$G,1,0))),vlookup($A431&amp;$B431,{'5) Release_Track'!$F:$F&amp;'5) Release_Track'!$G:$G,'5) Release_Track'!$H:$H},2,0),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D431" s="121" t="str">
        <f t="array" ref="D431">ifs(and(isblank($A431),isblank($B431)),"", not(iserror(vlookup($A431&amp;$B431,'5) Release_Track'!$F:$F&amp;'5) Release_Track'!$G:$G,1,0))),vlookup($A431&amp;$B431,{'5) Release_Track'!$F:$F&amp;'5) Release_Track'!$G:$G,'5) Release_Track'!$I:$I},2,0),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E431" s="150" t="b">
        <v>0</v>
      </c>
      <c r="F431" s="150" t="b">
        <v>0</v>
      </c>
      <c r="G431" s="150" t="b">
        <v>0</v>
      </c>
      <c r="H431" s="150" t="b">
        <v>0</v>
      </c>
      <c r="I431" s="150" t="b">
        <v>0</v>
      </c>
      <c r="J431" s="150" t="b">
        <v>0</v>
      </c>
      <c r="K431" s="150" t="b">
        <v>0</v>
      </c>
      <c r="L431" s="8" t="b">
        <v>0</v>
      </c>
    </row>
    <row r="432">
      <c r="B432" s="97"/>
      <c r="C432" s="121" t="str">
        <f t="array" ref="C432">ifs(and(isblank($A432),isblank($B432)),"", not(iserror(vlookup($A432&amp;$B432,'5) Release_Track'!$F:$F&amp;'5) Release_Track'!$G:$G,1,0))),vlookup($A432&amp;$B432,{'5) Release_Track'!$F:$F&amp;'5) Release_Track'!$G:$G,'5) Release_Track'!$H:$H},2,0),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D432" s="121" t="str">
        <f t="array" ref="D432">ifs(and(isblank($A432),isblank($B432)),"", not(iserror(vlookup($A432&amp;$B432,'5) Release_Track'!$F:$F&amp;'5) Release_Track'!$G:$G,1,0))),vlookup($A432&amp;$B432,{'5) Release_Track'!$F:$F&amp;'5) Release_Track'!$G:$G,'5) Release_Track'!$I:$I},2,0),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E432" s="150" t="b">
        <v>0</v>
      </c>
      <c r="F432" s="150" t="b">
        <v>0</v>
      </c>
      <c r="G432" s="150" t="b">
        <v>0</v>
      </c>
      <c r="H432" s="150" t="b">
        <v>0</v>
      </c>
      <c r="I432" s="150" t="b">
        <v>0</v>
      </c>
      <c r="J432" s="150" t="b">
        <v>0</v>
      </c>
      <c r="K432" s="150" t="b">
        <v>0</v>
      </c>
      <c r="L432" s="8" t="b">
        <v>0</v>
      </c>
    </row>
    <row r="433">
      <c r="B433" s="97"/>
      <c r="C433" s="121" t="str">
        <f t="array" ref="C433">ifs(and(isblank($A433),isblank($B433)),"", not(iserror(vlookup($A433&amp;$B433,'5) Release_Track'!$F:$F&amp;'5) Release_Track'!$G:$G,1,0))),vlookup($A433&amp;$B433,{'5) Release_Track'!$F:$F&amp;'5) Release_Track'!$G:$G,'5) Release_Track'!$H:$H},2,0),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D433" s="121" t="str">
        <f t="array" ref="D433">ifs(and(isblank($A433),isblank($B433)),"", not(iserror(vlookup($A433&amp;$B433,'5) Release_Track'!$F:$F&amp;'5) Release_Track'!$G:$G,1,0))),vlookup($A433&amp;$B433,{'5) Release_Track'!$F:$F&amp;'5) Release_Track'!$G:$G,'5) Release_Track'!$I:$I},2,0),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E433" s="150" t="b">
        <v>0</v>
      </c>
      <c r="F433" s="150" t="b">
        <v>0</v>
      </c>
      <c r="G433" s="150" t="b">
        <v>0</v>
      </c>
      <c r="H433" s="150" t="b">
        <v>0</v>
      </c>
      <c r="I433" s="150" t="b">
        <v>0</v>
      </c>
      <c r="J433" s="150" t="b">
        <v>0</v>
      </c>
      <c r="K433" s="150" t="b">
        <v>0</v>
      </c>
      <c r="L433" s="8" t="b">
        <v>0</v>
      </c>
    </row>
    <row r="434">
      <c r="B434" s="97"/>
      <c r="C434" s="121" t="str">
        <f t="array" ref="C434">ifs(and(isblank($A434),isblank($B434)),"", not(iserror(vlookup($A434&amp;$B434,'5) Release_Track'!$F:$F&amp;'5) Release_Track'!$G:$G,1,0))),vlookup($A434&amp;$B434,{'5) Release_Track'!$F:$F&amp;'5) Release_Track'!$G:$G,'5) Release_Track'!$H:$H},2,0),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D434" s="121" t="str">
        <f t="array" ref="D434">ifs(and(isblank($A434),isblank($B434)),"", not(iserror(vlookup($A434&amp;$B434,'5) Release_Track'!$F:$F&amp;'5) Release_Track'!$G:$G,1,0))),vlookup($A434&amp;$B434,{'5) Release_Track'!$F:$F&amp;'5) Release_Track'!$G:$G,'5) Release_Track'!$I:$I},2,0),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E434" s="150" t="b">
        <v>0</v>
      </c>
      <c r="F434" s="150" t="b">
        <v>0</v>
      </c>
      <c r="G434" s="150" t="b">
        <v>0</v>
      </c>
      <c r="H434" s="150" t="b">
        <v>0</v>
      </c>
      <c r="I434" s="150" t="b">
        <v>0</v>
      </c>
      <c r="J434" s="150" t="b">
        <v>0</v>
      </c>
      <c r="K434" s="150" t="b">
        <v>0</v>
      </c>
      <c r="L434" s="8" t="b">
        <v>0</v>
      </c>
    </row>
    <row r="435">
      <c r="B435" s="97"/>
      <c r="C435" s="121" t="str">
        <f t="array" ref="C435">ifs(and(isblank($A435),isblank($B435)),"", not(iserror(vlookup($A435&amp;$B435,'5) Release_Track'!$F:$F&amp;'5) Release_Track'!$G:$G,1,0))),vlookup($A435&amp;$B435,{'5) Release_Track'!$F:$F&amp;'5) Release_Track'!$G:$G,'5) Release_Track'!$H:$H},2,0),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D435" s="121" t="str">
        <f t="array" ref="D435">ifs(and(isblank($A435),isblank($B435)),"", not(iserror(vlookup($A435&amp;$B435,'5) Release_Track'!$F:$F&amp;'5) Release_Track'!$G:$G,1,0))),vlookup($A435&amp;$B435,{'5) Release_Track'!$F:$F&amp;'5) Release_Track'!$G:$G,'5) Release_Track'!$I:$I},2,0),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E435" s="150" t="b">
        <v>0</v>
      </c>
      <c r="F435" s="150" t="b">
        <v>0</v>
      </c>
      <c r="G435" s="150" t="b">
        <v>0</v>
      </c>
      <c r="H435" s="150" t="b">
        <v>0</v>
      </c>
      <c r="I435" s="150" t="b">
        <v>0</v>
      </c>
      <c r="J435" s="150" t="b">
        <v>0</v>
      </c>
      <c r="K435" s="150" t="b">
        <v>0</v>
      </c>
      <c r="L435" s="8" t="b">
        <v>0</v>
      </c>
    </row>
    <row r="436">
      <c r="B436" s="97"/>
      <c r="C436" s="121" t="str">
        <f t="array" ref="C436">ifs(and(isblank($A436),isblank($B436)),"", not(iserror(vlookup($A436&amp;$B436,'5) Release_Track'!$F:$F&amp;'5) Release_Track'!$G:$G,1,0))),vlookup($A436&amp;$B436,{'5) Release_Track'!$F:$F&amp;'5) Release_Track'!$G:$G,'5) Release_Track'!$H:$H},2,0),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D436" s="121" t="str">
        <f t="array" ref="D436">ifs(and(isblank($A436),isblank($B436)),"", not(iserror(vlookup($A436&amp;$B436,'5) Release_Track'!$F:$F&amp;'5) Release_Track'!$G:$G,1,0))),vlookup($A436&amp;$B436,{'5) Release_Track'!$F:$F&amp;'5) Release_Track'!$G:$G,'5) Release_Track'!$I:$I},2,0),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E436" s="150" t="b">
        <v>0</v>
      </c>
      <c r="F436" s="150" t="b">
        <v>0</v>
      </c>
      <c r="G436" s="150" t="b">
        <v>0</v>
      </c>
      <c r="H436" s="150" t="b">
        <v>0</v>
      </c>
      <c r="I436" s="150" t="b">
        <v>0</v>
      </c>
      <c r="J436" s="150" t="b">
        <v>0</v>
      </c>
      <c r="K436" s="150" t="b">
        <v>0</v>
      </c>
      <c r="L436" s="8" t="b">
        <v>0</v>
      </c>
    </row>
    <row r="437">
      <c r="B437" s="97"/>
      <c r="C437" s="121" t="str">
        <f t="array" ref="C437">ifs(and(isblank($A437),isblank($B437)),"", not(iserror(vlookup($A437&amp;$B437,'5) Release_Track'!$F:$F&amp;'5) Release_Track'!$G:$G,1,0))),vlookup($A437&amp;$B437,{'5) Release_Track'!$F:$F&amp;'5) Release_Track'!$G:$G,'5) Release_Track'!$H:$H},2,0),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D437" s="121" t="str">
        <f t="array" ref="D437">ifs(and(isblank($A437),isblank($B437)),"", not(iserror(vlookup($A437&amp;$B437,'5) Release_Track'!$F:$F&amp;'5) Release_Track'!$G:$G,1,0))),vlookup($A437&amp;$B437,{'5) Release_Track'!$F:$F&amp;'5) Release_Track'!$G:$G,'5) Release_Track'!$I:$I},2,0),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E437" s="150" t="b">
        <v>0</v>
      </c>
      <c r="F437" s="150" t="b">
        <v>0</v>
      </c>
      <c r="G437" s="150" t="b">
        <v>0</v>
      </c>
      <c r="H437" s="150" t="b">
        <v>0</v>
      </c>
      <c r="I437" s="150" t="b">
        <v>0</v>
      </c>
      <c r="J437" s="150" t="b">
        <v>0</v>
      </c>
      <c r="K437" s="150" t="b">
        <v>0</v>
      </c>
      <c r="L437" s="8" t="b">
        <v>0</v>
      </c>
    </row>
    <row r="438">
      <c r="B438" s="97"/>
      <c r="C438" s="121" t="str">
        <f t="array" ref="C438">ifs(and(isblank($A438),isblank($B438)),"", not(iserror(vlookup($A438&amp;$B438,'5) Release_Track'!$F:$F&amp;'5) Release_Track'!$G:$G,1,0))),vlookup($A438&amp;$B438,{'5) Release_Track'!$F:$F&amp;'5) Release_Track'!$G:$G,'5) Release_Track'!$H:$H},2,0),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D438" s="121" t="str">
        <f t="array" ref="D438">ifs(and(isblank($A438),isblank($B438)),"", not(iserror(vlookup($A438&amp;$B438,'5) Release_Track'!$F:$F&amp;'5) Release_Track'!$G:$G,1,0))),vlookup($A438&amp;$B438,{'5) Release_Track'!$F:$F&amp;'5) Release_Track'!$G:$G,'5) Release_Track'!$I:$I},2,0),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E438" s="150" t="b">
        <v>0</v>
      </c>
      <c r="F438" s="150" t="b">
        <v>0</v>
      </c>
      <c r="G438" s="150" t="b">
        <v>0</v>
      </c>
      <c r="H438" s="150" t="b">
        <v>0</v>
      </c>
      <c r="I438" s="150" t="b">
        <v>0</v>
      </c>
      <c r="J438" s="150" t="b">
        <v>0</v>
      </c>
      <c r="K438" s="150" t="b">
        <v>0</v>
      </c>
      <c r="L438" s="8" t="b">
        <v>0</v>
      </c>
    </row>
    <row r="439">
      <c r="B439" s="97"/>
      <c r="C439" s="121" t="str">
        <f t="array" ref="C439">ifs(and(isblank($A439),isblank($B439)),"", not(iserror(vlookup($A439&amp;$B439,'5) Release_Track'!$F:$F&amp;'5) Release_Track'!$G:$G,1,0))),vlookup($A439&amp;$B439,{'5) Release_Track'!$F:$F&amp;'5) Release_Track'!$G:$G,'5) Release_Track'!$H:$H},2,0),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D439" s="121" t="str">
        <f t="array" ref="D439">ifs(and(isblank($A439),isblank($B439)),"", not(iserror(vlookup($A439&amp;$B439,'5) Release_Track'!$F:$F&amp;'5) Release_Track'!$G:$G,1,0))),vlookup($A439&amp;$B439,{'5) Release_Track'!$F:$F&amp;'5) Release_Track'!$G:$G,'5) Release_Track'!$I:$I},2,0),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E439" s="150" t="b">
        <v>0</v>
      </c>
      <c r="F439" s="150" t="b">
        <v>0</v>
      </c>
      <c r="G439" s="150" t="b">
        <v>0</v>
      </c>
      <c r="H439" s="150" t="b">
        <v>0</v>
      </c>
      <c r="I439" s="150" t="b">
        <v>0</v>
      </c>
      <c r="J439" s="150" t="b">
        <v>0</v>
      </c>
      <c r="K439" s="150" t="b">
        <v>0</v>
      </c>
      <c r="L439" s="8" t="b">
        <v>0</v>
      </c>
    </row>
    <row r="440">
      <c r="B440" s="97"/>
      <c r="C440" s="121" t="str">
        <f t="array" ref="C440">ifs(and(isblank($A440),isblank($B440)),"", not(iserror(vlookup($A440&amp;$B440,'5) Release_Track'!$F:$F&amp;'5) Release_Track'!$G:$G,1,0))),vlookup($A440&amp;$B440,{'5) Release_Track'!$F:$F&amp;'5) Release_Track'!$G:$G,'5) Release_Track'!$H:$H},2,0),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D440" s="121" t="str">
        <f t="array" ref="D440">ifs(and(isblank($A440),isblank($B440)),"", not(iserror(vlookup($A440&amp;$B440,'5) Release_Track'!$F:$F&amp;'5) Release_Track'!$G:$G,1,0))),vlookup($A440&amp;$B440,{'5) Release_Track'!$F:$F&amp;'5) Release_Track'!$G:$G,'5) Release_Track'!$I:$I},2,0),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E440" s="150" t="b">
        <v>0</v>
      </c>
      <c r="F440" s="150" t="b">
        <v>0</v>
      </c>
      <c r="G440" s="150" t="b">
        <v>0</v>
      </c>
      <c r="H440" s="150" t="b">
        <v>0</v>
      </c>
      <c r="I440" s="150" t="b">
        <v>0</v>
      </c>
      <c r="J440" s="150" t="b">
        <v>0</v>
      </c>
      <c r="K440" s="150" t="b">
        <v>0</v>
      </c>
      <c r="L440" s="8" t="b">
        <v>0</v>
      </c>
    </row>
    <row r="441">
      <c r="B441" s="97"/>
      <c r="C441" s="121" t="str">
        <f t="array" ref="C441">ifs(and(isblank($A441),isblank($B441)),"", not(iserror(vlookup($A441&amp;$B441,'5) Release_Track'!$F:$F&amp;'5) Release_Track'!$G:$G,1,0))),vlookup($A441&amp;$B441,{'5) Release_Track'!$F:$F&amp;'5) Release_Track'!$G:$G,'5) Release_Track'!$H:$H},2,0),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D441" s="121" t="str">
        <f t="array" ref="D441">ifs(and(isblank($A441),isblank($B441)),"", not(iserror(vlookup($A441&amp;$B441,'5) Release_Track'!$F:$F&amp;'5) Release_Track'!$G:$G,1,0))),vlookup($A441&amp;$B441,{'5) Release_Track'!$F:$F&amp;'5) Release_Track'!$G:$G,'5) Release_Track'!$I:$I},2,0),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E441" s="150" t="b">
        <v>0</v>
      </c>
      <c r="F441" s="150" t="b">
        <v>0</v>
      </c>
      <c r="G441" s="150" t="b">
        <v>0</v>
      </c>
      <c r="H441" s="150" t="b">
        <v>0</v>
      </c>
      <c r="I441" s="150" t="b">
        <v>0</v>
      </c>
      <c r="J441" s="150" t="b">
        <v>0</v>
      </c>
      <c r="K441" s="150" t="b">
        <v>0</v>
      </c>
      <c r="L441" s="8" t="b">
        <v>0</v>
      </c>
    </row>
    <row r="442">
      <c r="B442" s="97"/>
      <c r="C442" s="121" t="str">
        <f t="array" ref="C442">ifs(and(isblank($A442),isblank($B442)),"", not(iserror(vlookup($A442&amp;$B442,'5) Release_Track'!$F:$F&amp;'5) Release_Track'!$G:$G,1,0))),vlookup($A442&amp;$B442,{'5) Release_Track'!$F:$F&amp;'5) Release_Track'!$G:$G,'5) Release_Track'!$H:$H},2,0),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D442" s="121" t="str">
        <f t="array" ref="D442">ifs(and(isblank($A442),isblank($B442)),"", not(iserror(vlookup($A442&amp;$B442,'5) Release_Track'!$F:$F&amp;'5) Release_Track'!$G:$G,1,0))),vlookup($A442&amp;$B442,{'5) Release_Track'!$F:$F&amp;'5) Release_Track'!$G:$G,'5) Release_Track'!$I:$I},2,0),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E442" s="150" t="b">
        <v>0</v>
      </c>
      <c r="F442" s="150" t="b">
        <v>0</v>
      </c>
      <c r="G442" s="150" t="b">
        <v>0</v>
      </c>
      <c r="H442" s="150" t="b">
        <v>0</v>
      </c>
      <c r="I442" s="150" t="b">
        <v>0</v>
      </c>
      <c r="J442" s="150" t="b">
        <v>0</v>
      </c>
      <c r="K442" s="150" t="b">
        <v>0</v>
      </c>
      <c r="L442" s="8" t="b">
        <v>0</v>
      </c>
    </row>
    <row r="443">
      <c r="B443" s="97"/>
      <c r="C443" s="121" t="str">
        <f t="array" ref="C443">ifs(and(isblank($A443),isblank($B443)),"", not(iserror(vlookup($A443&amp;$B443,'5) Release_Track'!$F:$F&amp;'5) Release_Track'!$G:$G,1,0))),vlookup($A443&amp;$B443,{'5) Release_Track'!$F:$F&amp;'5) Release_Track'!$G:$G,'5) Release_Track'!$H:$H},2,0),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D443" s="121" t="str">
        <f t="array" ref="D443">ifs(and(isblank($A443),isblank($B443)),"", not(iserror(vlookup($A443&amp;$B443,'5) Release_Track'!$F:$F&amp;'5) Release_Track'!$G:$G,1,0))),vlookup($A443&amp;$B443,{'5) Release_Track'!$F:$F&amp;'5) Release_Track'!$G:$G,'5) Release_Track'!$I:$I},2,0),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E443" s="150" t="b">
        <v>0</v>
      </c>
      <c r="F443" s="150" t="b">
        <v>0</v>
      </c>
      <c r="G443" s="150" t="b">
        <v>0</v>
      </c>
      <c r="H443" s="150" t="b">
        <v>0</v>
      </c>
      <c r="I443" s="150" t="b">
        <v>0</v>
      </c>
      <c r="J443" s="150" t="b">
        <v>0</v>
      </c>
      <c r="K443" s="150" t="b">
        <v>0</v>
      </c>
      <c r="L443" s="8" t="b">
        <v>0</v>
      </c>
    </row>
    <row r="444">
      <c r="B444" s="97"/>
      <c r="C444" s="121" t="str">
        <f t="array" ref="C444">ifs(and(isblank($A444),isblank($B444)),"", not(iserror(vlookup($A444&amp;$B444,'5) Release_Track'!$F:$F&amp;'5) Release_Track'!$G:$G,1,0))),vlookup($A444&amp;$B444,{'5) Release_Track'!$F:$F&amp;'5) Release_Track'!$G:$G,'5) Release_Track'!$H:$H},2,0),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D444" s="121" t="str">
        <f t="array" ref="D444">ifs(and(isblank($A444),isblank($B444)),"", not(iserror(vlookup($A444&amp;$B444,'5) Release_Track'!$F:$F&amp;'5) Release_Track'!$G:$G,1,0))),vlookup($A444&amp;$B444,{'5) Release_Track'!$F:$F&amp;'5) Release_Track'!$G:$G,'5) Release_Track'!$I:$I},2,0),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E444" s="150" t="b">
        <v>0</v>
      </c>
      <c r="F444" s="150" t="b">
        <v>0</v>
      </c>
      <c r="G444" s="150" t="b">
        <v>0</v>
      </c>
      <c r="H444" s="150" t="b">
        <v>0</v>
      </c>
      <c r="I444" s="150" t="b">
        <v>0</v>
      </c>
      <c r="J444" s="150" t="b">
        <v>0</v>
      </c>
      <c r="K444" s="150" t="b">
        <v>0</v>
      </c>
      <c r="L444" s="8" t="b">
        <v>0</v>
      </c>
    </row>
    <row r="445">
      <c r="B445" s="97"/>
      <c r="C445" s="121" t="str">
        <f t="array" ref="C445">ifs(and(isblank($A445),isblank($B445)),"", not(iserror(vlookup($A445&amp;$B445,'5) Release_Track'!$F:$F&amp;'5) Release_Track'!$G:$G,1,0))),vlookup($A445&amp;$B445,{'5) Release_Track'!$F:$F&amp;'5) Release_Track'!$G:$G,'5) Release_Track'!$H:$H},2,0),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D445" s="121" t="str">
        <f t="array" ref="D445">ifs(and(isblank($A445),isblank($B445)),"", not(iserror(vlookup($A445&amp;$B445,'5) Release_Track'!$F:$F&amp;'5) Release_Track'!$G:$G,1,0))),vlookup($A445&amp;$B445,{'5) Release_Track'!$F:$F&amp;'5) Release_Track'!$G:$G,'5) Release_Track'!$I:$I},2,0),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E445" s="150" t="b">
        <v>0</v>
      </c>
      <c r="F445" s="150" t="b">
        <v>0</v>
      </c>
      <c r="G445" s="150" t="b">
        <v>0</v>
      </c>
      <c r="H445" s="150" t="b">
        <v>0</v>
      </c>
      <c r="I445" s="150" t="b">
        <v>0</v>
      </c>
      <c r="J445" s="150" t="b">
        <v>0</v>
      </c>
      <c r="K445" s="150" t="b">
        <v>0</v>
      </c>
      <c r="L445" s="8" t="b">
        <v>0</v>
      </c>
    </row>
    <row r="446">
      <c r="B446" s="97"/>
      <c r="C446" s="121" t="str">
        <f t="array" ref="C446">ifs(and(isblank($A446),isblank($B446)),"", not(iserror(vlookup($A446&amp;$B446,'5) Release_Track'!$F:$F&amp;'5) Release_Track'!$G:$G,1,0))),vlookup($A446&amp;$B446,{'5) Release_Track'!$F:$F&amp;'5) Release_Track'!$G:$G,'5) Release_Track'!$H:$H},2,0),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D446" s="121" t="str">
        <f t="array" ref="D446">ifs(and(isblank($A446),isblank($B446)),"", not(iserror(vlookup($A446&amp;$B446,'5) Release_Track'!$F:$F&amp;'5) Release_Track'!$G:$G,1,0))),vlookup($A446&amp;$B446,{'5) Release_Track'!$F:$F&amp;'5) Release_Track'!$G:$G,'5) Release_Track'!$I:$I},2,0),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E446" s="150" t="b">
        <v>0</v>
      </c>
      <c r="F446" s="150" t="b">
        <v>0</v>
      </c>
      <c r="G446" s="150" t="b">
        <v>0</v>
      </c>
      <c r="H446" s="150" t="b">
        <v>0</v>
      </c>
      <c r="I446" s="150" t="b">
        <v>0</v>
      </c>
      <c r="J446" s="150" t="b">
        <v>0</v>
      </c>
      <c r="K446" s="150" t="b">
        <v>0</v>
      </c>
      <c r="L446" s="8" t="b">
        <v>0</v>
      </c>
    </row>
    <row r="447">
      <c r="B447" s="97"/>
      <c r="C447" s="121" t="str">
        <f t="array" ref="C447">ifs(and(isblank($A447),isblank($B447)),"", not(iserror(vlookup($A447&amp;$B447,'5) Release_Track'!$F:$F&amp;'5) Release_Track'!$G:$G,1,0))),vlookup($A447&amp;$B447,{'5) Release_Track'!$F:$F&amp;'5) Release_Track'!$G:$G,'5) Release_Track'!$H:$H},2,0),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D447" s="121" t="str">
        <f t="array" ref="D447">ifs(and(isblank($A447),isblank($B447)),"", not(iserror(vlookup($A447&amp;$B447,'5) Release_Track'!$F:$F&amp;'5) Release_Track'!$G:$G,1,0))),vlookup($A447&amp;$B447,{'5) Release_Track'!$F:$F&amp;'5) Release_Track'!$G:$G,'5) Release_Track'!$I:$I},2,0),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E447" s="150" t="b">
        <v>0</v>
      </c>
      <c r="F447" s="150" t="b">
        <v>0</v>
      </c>
      <c r="G447" s="150" t="b">
        <v>0</v>
      </c>
      <c r="H447" s="150" t="b">
        <v>0</v>
      </c>
      <c r="I447" s="150" t="b">
        <v>0</v>
      </c>
      <c r="J447" s="150" t="b">
        <v>0</v>
      </c>
      <c r="K447" s="150" t="b">
        <v>0</v>
      </c>
      <c r="L447" s="8" t="b">
        <v>0</v>
      </c>
    </row>
    <row r="448">
      <c r="B448" s="97"/>
      <c r="C448" s="121" t="str">
        <f t="array" ref="C448">ifs(and(isblank($A448),isblank($B448)),"", not(iserror(vlookup($A448&amp;$B448,'5) Release_Track'!$F:$F&amp;'5) Release_Track'!$G:$G,1,0))),vlookup($A448&amp;$B448,{'5) Release_Track'!$F:$F&amp;'5) Release_Track'!$G:$G,'5) Release_Track'!$H:$H},2,0),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D448" s="121" t="str">
        <f t="array" ref="D448">ifs(and(isblank($A448),isblank($B448)),"", not(iserror(vlookup($A448&amp;$B448,'5) Release_Track'!$F:$F&amp;'5) Release_Track'!$G:$G,1,0))),vlookup($A448&amp;$B448,{'5) Release_Track'!$F:$F&amp;'5) Release_Track'!$G:$G,'5) Release_Track'!$I:$I},2,0),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E448" s="150" t="b">
        <v>0</v>
      </c>
      <c r="F448" s="150" t="b">
        <v>0</v>
      </c>
      <c r="G448" s="150" t="b">
        <v>0</v>
      </c>
      <c r="H448" s="150" t="b">
        <v>0</v>
      </c>
      <c r="I448" s="150" t="b">
        <v>0</v>
      </c>
      <c r="J448" s="150" t="b">
        <v>0</v>
      </c>
      <c r="K448" s="150" t="b">
        <v>0</v>
      </c>
      <c r="L448" s="8" t="b">
        <v>0</v>
      </c>
    </row>
    <row r="449">
      <c r="B449" s="97"/>
      <c r="C449" s="121" t="str">
        <f t="array" ref="C449">ifs(and(isblank($A449),isblank($B449)),"", not(iserror(vlookup($A449&amp;$B449,'5) Release_Track'!$F:$F&amp;'5) Release_Track'!$G:$G,1,0))),vlookup($A449&amp;$B449,{'5) Release_Track'!$F:$F&amp;'5) Release_Track'!$G:$G,'5) Release_Track'!$H:$H},2,0),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D449" s="121" t="str">
        <f t="array" ref="D449">ifs(and(isblank($A449),isblank($B449)),"", not(iserror(vlookup($A449&amp;$B449,'5) Release_Track'!$F:$F&amp;'5) Release_Track'!$G:$G,1,0))),vlookup($A449&amp;$B449,{'5) Release_Track'!$F:$F&amp;'5) Release_Track'!$G:$G,'5) Release_Track'!$I:$I},2,0),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E449" s="150" t="b">
        <v>0</v>
      </c>
      <c r="F449" s="150" t="b">
        <v>0</v>
      </c>
      <c r="G449" s="150" t="b">
        <v>0</v>
      </c>
      <c r="H449" s="150" t="b">
        <v>0</v>
      </c>
      <c r="I449" s="150" t="b">
        <v>0</v>
      </c>
      <c r="J449" s="150" t="b">
        <v>0</v>
      </c>
      <c r="K449" s="150" t="b">
        <v>0</v>
      </c>
      <c r="L449" s="8" t="b">
        <v>0</v>
      </c>
    </row>
    <row r="450">
      <c r="B450" s="97"/>
      <c r="C450" s="121" t="str">
        <f t="array" ref="C450">ifs(and(isblank($A450),isblank($B450)),"", not(iserror(vlookup($A450&amp;$B450,'5) Release_Track'!$F:$F&amp;'5) Release_Track'!$G:$G,1,0))),vlookup($A450&amp;$B450,{'5) Release_Track'!$F:$F&amp;'5) Release_Track'!$G:$G,'5) Release_Track'!$H:$H},2,0),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D450" s="121" t="str">
        <f t="array" ref="D450">ifs(and(isblank($A450),isblank($B450)),"", not(iserror(vlookup($A450&amp;$B450,'5) Release_Track'!$F:$F&amp;'5) Release_Track'!$G:$G,1,0))),vlookup($A450&amp;$B450,{'5) Release_Track'!$F:$F&amp;'5) Release_Track'!$G:$G,'5) Release_Track'!$I:$I},2,0),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E450" s="150" t="b">
        <v>0</v>
      </c>
      <c r="F450" s="150" t="b">
        <v>0</v>
      </c>
      <c r="G450" s="150" t="b">
        <v>0</v>
      </c>
      <c r="H450" s="150" t="b">
        <v>0</v>
      </c>
      <c r="I450" s="150" t="b">
        <v>0</v>
      </c>
      <c r="J450" s="150" t="b">
        <v>0</v>
      </c>
      <c r="K450" s="150" t="b">
        <v>0</v>
      </c>
      <c r="L450" s="8" t="b">
        <v>0</v>
      </c>
    </row>
    <row r="451">
      <c r="B451" s="97"/>
      <c r="C451" s="121" t="str">
        <f t="array" ref="C451">ifs(and(isblank($A451),isblank($B451)),"", not(iserror(vlookup($A451&amp;$B451,'5) Release_Track'!$F:$F&amp;'5) Release_Track'!$G:$G,1,0))),vlookup($A451&amp;$B451,{'5) Release_Track'!$F:$F&amp;'5) Release_Track'!$G:$G,'5) Release_Track'!$H:$H},2,0),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D451" s="121" t="str">
        <f t="array" ref="D451">ifs(and(isblank($A451),isblank($B451)),"", not(iserror(vlookup($A451&amp;$B451,'5) Release_Track'!$F:$F&amp;'5) Release_Track'!$G:$G,1,0))),vlookup($A451&amp;$B451,{'5) Release_Track'!$F:$F&amp;'5) Release_Track'!$G:$G,'5) Release_Track'!$I:$I},2,0),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E451" s="150" t="b">
        <v>0</v>
      </c>
      <c r="F451" s="150" t="b">
        <v>0</v>
      </c>
      <c r="G451" s="150" t="b">
        <v>0</v>
      </c>
      <c r="H451" s="150" t="b">
        <v>0</v>
      </c>
      <c r="I451" s="150" t="b">
        <v>0</v>
      </c>
      <c r="J451" s="150" t="b">
        <v>0</v>
      </c>
      <c r="K451" s="150" t="b">
        <v>0</v>
      </c>
      <c r="L451" s="8" t="b">
        <v>0</v>
      </c>
    </row>
    <row r="452">
      <c r="B452" s="97"/>
      <c r="C452" s="121" t="str">
        <f t="array" ref="C452">ifs(and(isblank($A452),isblank($B452)),"", not(iserror(vlookup($A452&amp;$B452,'5) Release_Track'!$F:$F&amp;'5) Release_Track'!$G:$G,1,0))),vlookup($A452&amp;$B452,{'5) Release_Track'!$F:$F&amp;'5) Release_Track'!$G:$G,'5) Release_Track'!$H:$H},2,0),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D452" s="121" t="str">
        <f t="array" ref="D452">ifs(and(isblank($A452),isblank($B452)),"", not(iserror(vlookup($A452&amp;$B452,'5) Release_Track'!$F:$F&amp;'5) Release_Track'!$G:$G,1,0))),vlookup($A452&amp;$B452,{'5) Release_Track'!$F:$F&amp;'5) Release_Track'!$G:$G,'5) Release_Track'!$I:$I},2,0),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E452" s="150" t="b">
        <v>0</v>
      </c>
      <c r="F452" s="150" t="b">
        <v>0</v>
      </c>
      <c r="G452" s="150" t="b">
        <v>0</v>
      </c>
      <c r="H452" s="150" t="b">
        <v>0</v>
      </c>
      <c r="I452" s="150" t="b">
        <v>0</v>
      </c>
      <c r="J452" s="150" t="b">
        <v>0</v>
      </c>
      <c r="K452" s="150" t="b">
        <v>0</v>
      </c>
      <c r="L452" s="8" t="b">
        <v>0</v>
      </c>
    </row>
    <row r="453">
      <c r="B453" s="97"/>
      <c r="C453" s="121" t="str">
        <f t="array" ref="C453">ifs(and(isblank($A453),isblank($B453)),"", not(iserror(vlookup($A453&amp;$B453,'5) Release_Track'!$F:$F&amp;'5) Release_Track'!$G:$G,1,0))),vlookup($A453&amp;$B453,{'5) Release_Track'!$F:$F&amp;'5) Release_Track'!$G:$G,'5) Release_Track'!$H:$H},2,0),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D453" s="121" t="str">
        <f t="array" ref="D453">ifs(and(isblank($A453),isblank($B453)),"", not(iserror(vlookup($A453&amp;$B453,'5) Release_Track'!$F:$F&amp;'5) Release_Track'!$G:$G,1,0))),vlookup($A453&amp;$B453,{'5) Release_Track'!$F:$F&amp;'5) Release_Track'!$G:$G,'5) Release_Track'!$I:$I},2,0),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E453" s="150" t="b">
        <v>0</v>
      </c>
      <c r="F453" s="150" t="b">
        <v>0</v>
      </c>
      <c r="G453" s="150" t="b">
        <v>0</v>
      </c>
      <c r="H453" s="150" t="b">
        <v>0</v>
      </c>
      <c r="I453" s="150" t="b">
        <v>0</v>
      </c>
      <c r="J453" s="150" t="b">
        <v>0</v>
      </c>
      <c r="K453" s="150" t="b">
        <v>0</v>
      </c>
      <c r="L453" s="8" t="b">
        <v>0</v>
      </c>
    </row>
    <row r="454">
      <c r="B454" s="97"/>
      <c r="C454" s="121" t="str">
        <f t="array" ref="C454">ifs(and(isblank($A454),isblank($B454)),"", not(iserror(vlookup($A454&amp;$B454,'5) Release_Track'!$F:$F&amp;'5) Release_Track'!$G:$G,1,0))),vlookup($A454&amp;$B454,{'5) Release_Track'!$F:$F&amp;'5) Release_Track'!$G:$G,'5) Release_Track'!$H:$H},2,0),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D454" s="121" t="str">
        <f t="array" ref="D454">ifs(and(isblank($A454),isblank($B454)),"", not(iserror(vlookup($A454&amp;$B454,'5) Release_Track'!$F:$F&amp;'5) Release_Track'!$G:$G,1,0))),vlookup($A454&amp;$B454,{'5) Release_Track'!$F:$F&amp;'5) Release_Track'!$G:$G,'5) Release_Track'!$I:$I},2,0),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E454" s="150" t="b">
        <v>0</v>
      </c>
      <c r="F454" s="150" t="b">
        <v>0</v>
      </c>
      <c r="G454" s="150" t="b">
        <v>0</v>
      </c>
      <c r="H454" s="150" t="b">
        <v>0</v>
      </c>
      <c r="I454" s="150" t="b">
        <v>0</v>
      </c>
      <c r="J454" s="150" t="b">
        <v>0</v>
      </c>
      <c r="K454" s="150" t="b">
        <v>0</v>
      </c>
      <c r="L454" s="8" t="b">
        <v>0</v>
      </c>
    </row>
    <row r="455">
      <c r="B455" s="97"/>
      <c r="C455" s="121" t="str">
        <f t="array" ref="C455">ifs(and(isblank($A455),isblank($B455)),"", not(iserror(vlookup($A455&amp;$B455,'5) Release_Track'!$F:$F&amp;'5) Release_Track'!$G:$G,1,0))),vlookup($A455&amp;$B455,{'5) Release_Track'!$F:$F&amp;'5) Release_Track'!$G:$G,'5) Release_Track'!$H:$H},2,0),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D455" s="121" t="str">
        <f t="array" ref="D455">ifs(and(isblank($A455),isblank($B455)),"", not(iserror(vlookup($A455&amp;$B455,'5) Release_Track'!$F:$F&amp;'5) Release_Track'!$G:$G,1,0))),vlookup($A455&amp;$B455,{'5) Release_Track'!$F:$F&amp;'5) Release_Track'!$G:$G,'5) Release_Track'!$I:$I},2,0),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E455" s="150" t="b">
        <v>0</v>
      </c>
      <c r="F455" s="150" t="b">
        <v>0</v>
      </c>
      <c r="G455" s="150" t="b">
        <v>0</v>
      </c>
      <c r="H455" s="150" t="b">
        <v>0</v>
      </c>
      <c r="I455" s="150" t="b">
        <v>0</v>
      </c>
      <c r="J455" s="150" t="b">
        <v>0</v>
      </c>
      <c r="K455" s="150" t="b">
        <v>0</v>
      </c>
      <c r="L455" s="8" t="b">
        <v>0</v>
      </c>
    </row>
    <row r="456">
      <c r="B456" s="97"/>
      <c r="C456" s="121" t="str">
        <f t="array" ref="C456">ifs(and(isblank($A456),isblank($B456)),"", not(iserror(vlookup($A456&amp;$B456,'5) Release_Track'!$F:$F&amp;'5) Release_Track'!$G:$G,1,0))),vlookup($A456&amp;$B456,{'5) Release_Track'!$F:$F&amp;'5) Release_Track'!$G:$G,'5) Release_Track'!$H:$H},2,0),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D456" s="121" t="str">
        <f t="array" ref="D456">ifs(and(isblank($A456),isblank($B456)),"", not(iserror(vlookup($A456&amp;$B456,'5) Release_Track'!$F:$F&amp;'5) Release_Track'!$G:$G,1,0))),vlookup($A456&amp;$B456,{'5) Release_Track'!$F:$F&amp;'5) Release_Track'!$G:$G,'5) Release_Track'!$I:$I},2,0),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E456" s="150" t="b">
        <v>0</v>
      </c>
      <c r="F456" s="150" t="b">
        <v>0</v>
      </c>
      <c r="G456" s="150" t="b">
        <v>0</v>
      </c>
      <c r="H456" s="150" t="b">
        <v>0</v>
      </c>
      <c r="I456" s="150" t="b">
        <v>0</v>
      </c>
      <c r="J456" s="150" t="b">
        <v>0</v>
      </c>
      <c r="K456" s="150" t="b">
        <v>0</v>
      </c>
      <c r="L456" s="8" t="b">
        <v>0</v>
      </c>
    </row>
    <row r="457">
      <c r="B457" s="97"/>
      <c r="C457" s="121" t="str">
        <f t="array" ref="C457">ifs(and(isblank($A457),isblank($B457)),"", not(iserror(vlookup($A457&amp;$B457,'5) Release_Track'!$F:$F&amp;'5) Release_Track'!$G:$G,1,0))),vlookup($A457&amp;$B457,{'5) Release_Track'!$F:$F&amp;'5) Release_Track'!$G:$G,'5) Release_Track'!$H:$H},2,0),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D457" s="121" t="str">
        <f t="array" ref="D457">ifs(and(isblank($A457),isblank($B457)),"", not(iserror(vlookup($A457&amp;$B457,'5) Release_Track'!$F:$F&amp;'5) Release_Track'!$G:$G,1,0))),vlookup($A457&amp;$B457,{'5) Release_Track'!$F:$F&amp;'5) Release_Track'!$G:$G,'5) Release_Track'!$I:$I},2,0),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E457" s="150" t="b">
        <v>0</v>
      </c>
      <c r="F457" s="150" t="b">
        <v>0</v>
      </c>
      <c r="G457" s="150" t="b">
        <v>0</v>
      </c>
      <c r="H457" s="150" t="b">
        <v>0</v>
      </c>
      <c r="I457" s="150" t="b">
        <v>0</v>
      </c>
      <c r="J457" s="150" t="b">
        <v>0</v>
      </c>
      <c r="K457" s="150" t="b">
        <v>0</v>
      </c>
      <c r="L457" s="8" t="b">
        <v>0</v>
      </c>
    </row>
    <row r="458">
      <c r="B458" s="97"/>
      <c r="C458" s="121" t="str">
        <f t="array" ref="C458">ifs(and(isblank($A458),isblank($B458)),"", not(iserror(vlookup($A458&amp;$B458,'5) Release_Track'!$F:$F&amp;'5) Release_Track'!$G:$G,1,0))),vlookup($A458&amp;$B458,{'5) Release_Track'!$F:$F&amp;'5) Release_Track'!$G:$G,'5) Release_Track'!$H:$H},2,0),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D458" s="121" t="str">
        <f t="array" ref="D458">ifs(and(isblank($A458),isblank($B458)),"", not(iserror(vlookup($A458&amp;$B458,'5) Release_Track'!$F:$F&amp;'5) Release_Track'!$G:$G,1,0))),vlookup($A458&amp;$B458,{'5) Release_Track'!$F:$F&amp;'5) Release_Track'!$G:$G,'5) Release_Track'!$I:$I},2,0),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E458" s="150" t="b">
        <v>0</v>
      </c>
      <c r="F458" s="150" t="b">
        <v>0</v>
      </c>
      <c r="G458" s="150" t="b">
        <v>0</v>
      </c>
      <c r="H458" s="150" t="b">
        <v>0</v>
      </c>
      <c r="I458" s="150" t="b">
        <v>0</v>
      </c>
      <c r="J458" s="150" t="b">
        <v>0</v>
      </c>
      <c r="K458" s="150" t="b">
        <v>0</v>
      </c>
      <c r="L458" s="8" t="b">
        <v>0</v>
      </c>
    </row>
    <row r="459">
      <c r="B459" s="97"/>
      <c r="C459" s="121" t="str">
        <f t="array" ref="C459">ifs(and(isblank($A459),isblank($B459)),"", not(iserror(vlookup($A459&amp;$B459,'5) Release_Track'!$F:$F&amp;'5) Release_Track'!$G:$G,1,0))),vlookup($A459&amp;$B459,{'5) Release_Track'!$F:$F&amp;'5) Release_Track'!$G:$G,'5) Release_Track'!$H:$H},2,0),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D459" s="121" t="str">
        <f t="array" ref="D459">ifs(and(isblank($A459),isblank($B459)),"", not(iserror(vlookup($A459&amp;$B459,'5) Release_Track'!$F:$F&amp;'5) Release_Track'!$G:$G,1,0))),vlookup($A459&amp;$B459,{'5) Release_Track'!$F:$F&amp;'5) Release_Track'!$G:$G,'5) Release_Track'!$I:$I},2,0),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E459" s="150" t="b">
        <v>0</v>
      </c>
      <c r="F459" s="150" t="b">
        <v>0</v>
      </c>
      <c r="G459" s="150" t="b">
        <v>0</v>
      </c>
      <c r="H459" s="150" t="b">
        <v>0</v>
      </c>
      <c r="I459" s="150" t="b">
        <v>0</v>
      </c>
      <c r="J459" s="150" t="b">
        <v>0</v>
      </c>
      <c r="K459" s="150" t="b">
        <v>0</v>
      </c>
      <c r="L459" s="8" t="b">
        <v>0</v>
      </c>
    </row>
    <row r="460">
      <c r="B460" s="97"/>
      <c r="C460" s="121" t="str">
        <f t="array" ref="C460">ifs(and(isblank($A460),isblank($B460)),"", not(iserror(vlookup($A460&amp;$B460,'5) Release_Track'!$F:$F&amp;'5) Release_Track'!$G:$G,1,0))),vlookup($A460&amp;$B460,{'5) Release_Track'!$F:$F&amp;'5) Release_Track'!$G:$G,'5) Release_Track'!$H:$H},2,0),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D460" s="121" t="str">
        <f t="array" ref="D460">ifs(and(isblank($A460),isblank($B460)),"", not(iserror(vlookup($A460&amp;$B460,'5) Release_Track'!$F:$F&amp;'5) Release_Track'!$G:$G,1,0))),vlookup($A460&amp;$B460,{'5) Release_Track'!$F:$F&amp;'5) Release_Track'!$G:$G,'5) Release_Track'!$I:$I},2,0),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E460" s="150" t="b">
        <v>0</v>
      </c>
      <c r="F460" s="150" t="b">
        <v>0</v>
      </c>
      <c r="G460" s="150" t="b">
        <v>0</v>
      </c>
      <c r="H460" s="150" t="b">
        <v>0</v>
      </c>
      <c r="I460" s="150" t="b">
        <v>0</v>
      </c>
      <c r="J460" s="150" t="b">
        <v>0</v>
      </c>
      <c r="K460" s="150" t="b">
        <v>0</v>
      </c>
      <c r="L460" s="8" t="b">
        <v>0</v>
      </c>
    </row>
    <row r="461">
      <c r="B461" s="97"/>
      <c r="C461" s="121" t="str">
        <f t="array" ref="C461">ifs(and(isblank($A461),isblank($B461)),"", not(iserror(vlookup($A461&amp;$B461,'5) Release_Track'!$F:$F&amp;'5) Release_Track'!$G:$G,1,0))),vlookup($A461&amp;$B461,{'5) Release_Track'!$F:$F&amp;'5) Release_Track'!$G:$G,'5) Release_Track'!$H:$H},2,0),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D461" s="121" t="str">
        <f t="array" ref="D461">ifs(and(isblank($A461),isblank($B461)),"", not(iserror(vlookup($A461&amp;$B461,'5) Release_Track'!$F:$F&amp;'5) Release_Track'!$G:$G,1,0))),vlookup($A461&amp;$B461,{'5) Release_Track'!$F:$F&amp;'5) Release_Track'!$G:$G,'5) Release_Track'!$I:$I},2,0),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E461" s="150" t="b">
        <v>0</v>
      </c>
      <c r="F461" s="150" t="b">
        <v>0</v>
      </c>
      <c r="G461" s="150" t="b">
        <v>0</v>
      </c>
      <c r="H461" s="150" t="b">
        <v>0</v>
      </c>
      <c r="I461" s="150" t="b">
        <v>0</v>
      </c>
      <c r="J461" s="150" t="b">
        <v>0</v>
      </c>
      <c r="K461" s="150" t="b">
        <v>0</v>
      </c>
      <c r="L461" s="8" t="b">
        <v>0</v>
      </c>
    </row>
    <row r="462">
      <c r="B462" s="97"/>
      <c r="C462" s="121" t="str">
        <f t="array" ref="C462">ifs(and(isblank($A462),isblank($B462)),"", not(iserror(vlookup($A462&amp;$B462,'5) Release_Track'!$F:$F&amp;'5) Release_Track'!$G:$G,1,0))),vlookup($A462&amp;$B462,{'5) Release_Track'!$F:$F&amp;'5) Release_Track'!$G:$G,'5) Release_Track'!$H:$H},2,0),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D462" s="121" t="str">
        <f t="array" ref="D462">ifs(and(isblank($A462),isblank($B462)),"", not(iserror(vlookup($A462&amp;$B462,'5) Release_Track'!$F:$F&amp;'5) Release_Track'!$G:$G,1,0))),vlookup($A462&amp;$B462,{'5) Release_Track'!$F:$F&amp;'5) Release_Track'!$G:$G,'5) Release_Track'!$I:$I},2,0),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E462" s="150" t="b">
        <v>0</v>
      </c>
      <c r="F462" s="150" t="b">
        <v>0</v>
      </c>
      <c r="G462" s="150" t="b">
        <v>0</v>
      </c>
      <c r="H462" s="150" t="b">
        <v>0</v>
      </c>
      <c r="I462" s="150" t="b">
        <v>0</v>
      </c>
      <c r="J462" s="150" t="b">
        <v>0</v>
      </c>
      <c r="K462" s="150" t="b">
        <v>0</v>
      </c>
      <c r="L462" s="8" t="b">
        <v>0</v>
      </c>
    </row>
    <row r="463">
      <c r="B463" s="97"/>
      <c r="C463" s="121" t="str">
        <f t="array" ref="C463">ifs(and(isblank($A463),isblank($B463)),"", not(iserror(vlookup($A463&amp;$B463,'5) Release_Track'!$F:$F&amp;'5) Release_Track'!$G:$G,1,0))),vlookup($A463&amp;$B463,{'5) Release_Track'!$F:$F&amp;'5) Release_Track'!$G:$G,'5) Release_Track'!$H:$H},2,0),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D463" s="121" t="str">
        <f t="array" ref="D463">ifs(and(isblank($A463),isblank($B463)),"", not(iserror(vlookup($A463&amp;$B463,'5) Release_Track'!$F:$F&amp;'5) Release_Track'!$G:$G,1,0))),vlookup($A463&amp;$B463,{'5) Release_Track'!$F:$F&amp;'5) Release_Track'!$G:$G,'5) Release_Track'!$I:$I},2,0),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E463" s="150" t="b">
        <v>0</v>
      </c>
      <c r="F463" s="150" t="b">
        <v>0</v>
      </c>
      <c r="G463" s="150" t="b">
        <v>0</v>
      </c>
      <c r="H463" s="150" t="b">
        <v>0</v>
      </c>
      <c r="I463" s="150" t="b">
        <v>0</v>
      </c>
      <c r="J463" s="150" t="b">
        <v>0</v>
      </c>
      <c r="K463" s="150" t="b">
        <v>0</v>
      </c>
      <c r="L463" s="8" t="b">
        <v>0</v>
      </c>
    </row>
    <row r="464">
      <c r="B464" s="97"/>
      <c r="C464" s="121" t="str">
        <f t="array" ref="C464">ifs(and(isblank($A464),isblank($B464)),"", not(iserror(vlookup($A464&amp;$B464,'5) Release_Track'!$F:$F&amp;'5) Release_Track'!$G:$G,1,0))),vlookup($A464&amp;$B464,{'5) Release_Track'!$F:$F&amp;'5) Release_Track'!$G:$G,'5) Release_Track'!$H:$H},2,0),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D464" s="121" t="str">
        <f t="array" ref="D464">ifs(and(isblank($A464),isblank($B464)),"", not(iserror(vlookup($A464&amp;$B464,'5) Release_Track'!$F:$F&amp;'5) Release_Track'!$G:$G,1,0))),vlookup($A464&amp;$B464,{'5) Release_Track'!$F:$F&amp;'5) Release_Track'!$G:$G,'5) Release_Track'!$I:$I},2,0),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E464" s="150" t="b">
        <v>0</v>
      </c>
      <c r="F464" s="150" t="b">
        <v>0</v>
      </c>
      <c r="G464" s="150" t="b">
        <v>0</v>
      </c>
      <c r="H464" s="150" t="b">
        <v>0</v>
      </c>
      <c r="I464" s="150" t="b">
        <v>0</v>
      </c>
      <c r="J464" s="150" t="b">
        <v>0</v>
      </c>
      <c r="K464" s="150" t="b">
        <v>0</v>
      </c>
      <c r="L464" s="8" t="b">
        <v>0</v>
      </c>
    </row>
    <row r="465">
      <c r="B465" s="97"/>
      <c r="C465" s="121" t="str">
        <f t="array" ref="C465">ifs(and(isblank($A465),isblank($B465)),"", not(iserror(vlookup($A465&amp;$B465,'5) Release_Track'!$F:$F&amp;'5) Release_Track'!$G:$G,1,0))),vlookup($A465&amp;$B465,{'5) Release_Track'!$F:$F&amp;'5) Release_Track'!$G:$G,'5) Release_Track'!$H:$H},2,0),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D465" s="121" t="str">
        <f t="array" ref="D465">ifs(and(isblank($A465),isblank($B465)),"", not(iserror(vlookup($A465&amp;$B465,'5) Release_Track'!$F:$F&amp;'5) Release_Track'!$G:$G,1,0))),vlookup($A465&amp;$B465,{'5) Release_Track'!$F:$F&amp;'5) Release_Track'!$G:$G,'5) Release_Track'!$I:$I},2,0),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E465" s="150" t="b">
        <v>0</v>
      </c>
      <c r="F465" s="150" t="b">
        <v>0</v>
      </c>
      <c r="G465" s="150" t="b">
        <v>0</v>
      </c>
      <c r="H465" s="150" t="b">
        <v>0</v>
      </c>
      <c r="I465" s="150" t="b">
        <v>0</v>
      </c>
      <c r="J465" s="150" t="b">
        <v>0</v>
      </c>
      <c r="K465" s="150" t="b">
        <v>0</v>
      </c>
      <c r="L465" s="8" t="b">
        <v>0</v>
      </c>
    </row>
    <row r="466">
      <c r="B466" s="97"/>
      <c r="C466" s="121" t="str">
        <f t="array" ref="C466">ifs(and(isblank($A466),isblank($B466)),"", not(iserror(vlookup($A466&amp;$B466,'5) Release_Track'!$F:$F&amp;'5) Release_Track'!$G:$G,1,0))),vlookup($A466&amp;$B466,{'5) Release_Track'!$F:$F&amp;'5) Release_Track'!$G:$G,'5) Release_Track'!$H:$H},2,0),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D466" s="121" t="str">
        <f t="array" ref="D466">ifs(and(isblank($A466),isblank($B466)),"", not(iserror(vlookup($A466&amp;$B466,'5) Release_Track'!$F:$F&amp;'5) Release_Track'!$G:$G,1,0))),vlookup($A466&amp;$B466,{'5) Release_Track'!$F:$F&amp;'5) Release_Track'!$G:$G,'5) Release_Track'!$I:$I},2,0),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E466" s="150" t="b">
        <v>0</v>
      </c>
      <c r="F466" s="150" t="b">
        <v>0</v>
      </c>
      <c r="G466" s="150" t="b">
        <v>0</v>
      </c>
      <c r="H466" s="150" t="b">
        <v>0</v>
      </c>
      <c r="I466" s="150" t="b">
        <v>0</v>
      </c>
      <c r="J466" s="150" t="b">
        <v>0</v>
      </c>
      <c r="K466" s="150" t="b">
        <v>0</v>
      </c>
      <c r="L466" s="8" t="b">
        <v>0</v>
      </c>
    </row>
    <row r="467">
      <c r="B467" s="97"/>
      <c r="C467" s="121" t="str">
        <f t="array" ref="C467">ifs(and(isblank($A467),isblank($B467)),"", not(iserror(vlookup($A467&amp;$B467,'5) Release_Track'!$F:$F&amp;'5) Release_Track'!$G:$G,1,0))),vlookup($A467&amp;$B467,{'5) Release_Track'!$F:$F&amp;'5) Release_Track'!$G:$G,'5) Release_Track'!$H:$H},2,0),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D467" s="121" t="str">
        <f t="array" ref="D467">ifs(and(isblank($A467),isblank($B467)),"", not(iserror(vlookup($A467&amp;$B467,'5) Release_Track'!$F:$F&amp;'5) Release_Track'!$G:$G,1,0))),vlookup($A467&amp;$B467,{'5) Release_Track'!$F:$F&amp;'5) Release_Track'!$G:$G,'5) Release_Track'!$I:$I},2,0),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E467" s="150" t="b">
        <v>0</v>
      </c>
      <c r="F467" s="150" t="b">
        <v>0</v>
      </c>
      <c r="G467" s="150" t="b">
        <v>0</v>
      </c>
      <c r="H467" s="150" t="b">
        <v>0</v>
      </c>
      <c r="I467" s="150" t="b">
        <v>0</v>
      </c>
      <c r="J467" s="150" t="b">
        <v>0</v>
      </c>
      <c r="K467" s="150" t="b">
        <v>0</v>
      </c>
      <c r="L467" s="8" t="b">
        <v>0</v>
      </c>
    </row>
    <row r="468">
      <c r="B468" s="97"/>
      <c r="C468" s="121" t="str">
        <f t="array" ref="C468">ifs(and(isblank($A468),isblank($B468)),"", not(iserror(vlookup($A468&amp;$B468,'5) Release_Track'!$F:$F&amp;'5) Release_Track'!$G:$G,1,0))),vlookup($A468&amp;$B468,{'5) Release_Track'!$F:$F&amp;'5) Release_Track'!$G:$G,'5) Release_Track'!$H:$H},2,0),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D468" s="121" t="str">
        <f t="array" ref="D468">ifs(and(isblank($A468),isblank($B468)),"", not(iserror(vlookup($A468&amp;$B468,'5) Release_Track'!$F:$F&amp;'5) Release_Track'!$G:$G,1,0))),vlookup($A468&amp;$B468,{'5) Release_Track'!$F:$F&amp;'5) Release_Track'!$G:$G,'5) Release_Track'!$I:$I},2,0),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E468" s="150" t="b">
        <v>0</v>
      </c>
      <c r="F468" s="150" t="b">
        <v>0</v>
      </c>
      <c r="G468" s="150" t="b">
        <v>0</v>
      </c>
      <c r="H468" s="150" t="b">
        <v>0</v>
      </c>
      <c r="I468" s="150" t="b">
        <v>0</v>
      </c>
      <c r="J468" s="150" t="b">
        <v>0</v>
      </c>
      <c r="K468" s="150" t="b">
        <v>0</v>
      </c>
      <c r="L468" s="8" t="b">
        <v>0</v>
      </c>
    </row>
    <row r="469">
      <c r="B469" s="97"/>
      <c r="C469" s="121" t="str">
        <f t="array" ref="C469">ifs(and(isblank($A469),isblank($B469)),"", not(iserror(vlookup($A469&amp;$B469,'5) Release_Track'!$F:$F&amp;'5) Release_Track'!$G:$G,1,0))),vlookup($A469&amp;$B469,{'5) Release_Track'!$F:$F&amp;'5) Release_Track'!$G:$G,'5) Release_Track'!$H:$H},2,0),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D469" s="121" t="str">
        <f t="array" ref="D469">ifs(and(isblank($A469),isblank($B469)),"", not(iserror(vlookup($A469&amp;$B469,'5) Release_Track'!$F:$F&amp;'5) Release_Track'!$G:$G,1,0))),vlookup($A469&amp;$B469,{'5) Release_Track'!$F:$F&amp;'5) Release_Track'!$G:$G,'5) Release_Track'!$I:$I},2,0),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E469" s="150" t="b">
        <v>0</v>
      </c>
      <c r="F469" s="150" t="b">
        <v>0</v>
      </c>
      <c r="G469" s="150" t="b">
        <v>0</v>
      </c>
      <c r="H469" s="150" t="b">
        <v>0</v>
      </c>
      <c r="I469" s="150" t="b">
        <v>0</v>
      </c>
      <c r="J469" s="150" t="b">
        <v>0</v>
      </c>
      <c r="K469" s="150" t="b">
        <v>0</v>
      </c>
      <c r="L469" s="8" t="b">
        <v>0</v>
      </c>
    </row>
    <row r="470">
      <c r="B470" s="97"/>
      <c r="C470" s="121" t="str">
        <f t="array" ref="C470">ifs(and(isblank($A470),isblank($B470)),"", not(iserror(vlookup($A470&amp;$B470,'5) Release_Track'!$F:$F&amp;'5) Release_Track'!$G:$G,1,0))),vlookup($A470&amp;$B470,{'5) Release_Track'!$F:$F&amp;'5) Release_Track'!$G:$G,'5) Release_Track'!$H:$H},2,0),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D470" s="121" t="str">
        <f t="array" ref="D470">ifs(and(isblank($A470),isblank($B470)),"", not(iserror(vlookup($A470&amp;$B470,'5) Release_Track'!$F:$F&amp;'5) Release_Track'!$G:$G,1,0))),vlookup($A470&amp;$B470,{'5) Release_Track'!$F:$F&amp;'5) Release_Track'!$G:$G,'5) Release_Track'!$I:$I},2,0),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E470" s="150" t="b">
        <v>0</v>
      </c>
      <c r="F470" s="150" t="b">
        <v>0</v>
      </c>
      <c r="G470" s="150" t="b">
        <v>0</v>
      </c>
      <c r="H470" s="150" t="b">
        <v>0</v>
      </c>
      <c r="I470" s="150" t="b">
        <v>0</v>
      </c>
      <c r="J470" s="150" t="b">
        <v>0</v>
      </c>
      <c r="K470" s="150" t="b">
        <v>0</v>
      </c>
      <c r="L470" s="8" t="b">
        <v>0</v>
      </c>
    </row>
    <row r="471">
      <c r="B471" s="97"/>
      <c r="C471" s="121" t="str">
        <f t="array" ref="C471">ifs(and(isblank($A471),isblank($B471)),"", not(iserror(vlookup($A471&amp;$B471,'5) Release_Track'!$F:$F&amp;'5) Release_Track'!$G:$G,1,0))),vlookup($A471&amp;$B471,{'5) Release_Track'!$F:$F&amp;'5) Release_Track'!$G:$G,'5) Release_Track'!$H:$H},2,0),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D471" s="121" t="str">
        <f t="array" ref="D471">ifs(and(isblank($A471),isblank($B471)),"", not(iserror(vlookup($A471&amp;$B471,'5) Release_Track'!$F:$F&amp;'5) Release_Track'!$G:$G,1,0))),vlookup($A471&amp;$B471,{'5) Release_Track'!$F:$F&amp;'5) Release_Track'!$G:$G,'5) Release_Track'!$I:$I},2,0),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E471" s="150" t="b">
        <v>0</v>
      </c>
      <c r="F471" s="150" t="b">
        <v>0</v>
      </c>
      <c r="G471" s="150" t="b">
        <v>0</v>
      </c>
      <c r="H471" s="150" t="b">
        <v>0</v>
      </c>
      <c r="I471" s="150" t="b">
        <v>0</v>
      </c>
      <c r="J471" s="150" t="b">
        <v>0</v>
      </c>
      <c r="K471" s="150" t="b">
        <v>0</v>
      </c>
      <c r="L471" s="8" t="b">
        <v>0</v>
      </c>
    </row>
    <row r="472">
      <c r="B472" s="97"/>
      <c r="C472" s="121" t="str">
        <f t="array" ref="C472">ifs(and(isblank($A472),isblank($B472)),"", not(iserror(vlookup($A472&amp;$B472,'5) Release_Track'!$F:$F&amp;'5) Release_Track'!$G:$G,1,0))),vlookup($A472&amp;$B472,{'5) Release_Track'!$F:$F&amp;'5) Release_Track'!$G:$G,'5) Release_Track'!$H:$H},2,0),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D472" s="121" t="str">
        <f t="array" ref="D472">ifs(and(isblank($A472),isblank($B472)),"", not(iserror(vlookup($A472&amp;$B472,'5) Release_Track'!$F:$F&amp;'5) Release_Track'!$G:$G,1,0))),vlookup($A472&amp;$B472,{'5) Release_Track'!$F:$F&amp;'5) Release_Track'!$G:$G,'5) Release_Track'!$I:$I},2,0),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E472" s="150" t="b">
        <v>0</v>
      </c>
      <c r="F472" s="150" t="b">
        <v>0</v>
      </c>
      <c r="G472" s="150" t="b">
        <v>0</v>
      </c>
      <c r="H472" s="150" t="b">
        <v>0</v>
      </c>
      <c r="I472" s="150" t="b">
        <v>0</v>
      </c>
      <c r="J472" s="150" t="b">
        <v>0</v>
      </c>
      <c r="K472" s="150" t="b">
        <v>0</v>
      </c>
      <c r="L472" s="8" t="b">
        <v>0</v>
      </c>
    </row>
    <row r="473">
      <c r="B473" s="97"/>
      <c r="C473" s="121" t="str">
        <f t="array" ref="C473">ifs(and(isblank($A473),isblank($B473)),"", not(iserror(vlookup($A473&amp;$B473,'5) Release_Track'!$F:$F&amp;'5) Release_Track'!$G:$G,1,0))),vlookup($A473&amp;$B473,{'5) Release_Track'!$F:$F&amp;'5) Release_Track'!$G:$G,'5) Release_Track'!$H:$H},2,0),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D473" s="121" t="str">
        <f t="array" ref="D473">ifs(and(isblank($A473),isblank($B473)),"", not(iserror(vlookup($A473&amp;$B473,'5) Release_Track'!$F:$F&amp;'5) Release_Track'!$G:$G,1,0))),vlookup($A473&amp;$B473,{'5) Release_Track'!$F:$F&amp;'5) Release_Track'!$G:$G,'5) Release_Track'!$I:$I},2,0),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E473" s="150" t="b">
        <v>0</v>
      </c>
      <c r="F473" s="150" t="b">
        <v>0</v>
      </c>
      <c r="G473" s="150" t="b">
        <v>0</v>
      </c>
      <c r="H473" s="150" t="b">
        <v>0</v>
      </c>
      <c r="I473" s="150" t="b">
        <v>0</v>
      </c>
      <c r="J473" s="150" t="b">
        <v>0</v>
      </c>
      <c r="K473" s="150" t="b">
        <v>0</v>
      </c>
      <c r="L473" s="8" t="b">
        <v>0</v>
      </c>
    </row>
    <row r="474">
      <c r="B474" s="97"/>
      <c r="C474" s="121" t="str">
        <f t="array" ref="C474">ifs(and(isblank($A474),isblank($B474)),"", not(iserror(vlookup($A474&amp;$B474,'5) Release_Track'!$F:$F&amp;'5) Release_Track'!$G:$G,1,0))),vlookup($A474&amp;$B474,{'5) Release_Track'!$F:$F&amp;'5) Release_Track'!$G:$G,'5) Release_Track'!$H:$H},2,0),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D474" s="121" t="str">
        <f t="array" ref="D474">ifs(and(isblank($A474),isblank($B474)),"", not(iserror(vlookup($A474&amp;$B474,'5) Release_Track'!$F:$F&amp;'5) Release_Track'!$G:$G,1,0))),vlookup($A474&amp;$B474,{'5) Release_Track'!$F:$F&amp;'5) Release_Track'!$G:$G,'5) Release_Track'!$I:$I},2,0),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E474" s="150" t="b">
        <v>0</v>
      </c>
      <c r="F474" s="150" t="b">
        <v>0</v>
      </c>
      <c r="G474" s="150" t="b">
        <v>0</v>
      </c>
      <c r="H474" s="150" t="b">
        <v>0</v>
      </c>
      <c r="I474" s="150" t="b">
        <v>0</v>
      </c>
      <c r="J474" s="150" t="b">
        <v>0</v>
      </c>
      <c r="K474" s="150" t="b">
        <v>0</v>
      </c>
      <c r="L474" s="8" t="b">
        <v>0</v>
      </c>
    </row>
    <row r="475">
      <c r="B475" s="97"/>
      <c r="C475" s="121" t="str">
        <f t="array" ref="C475">ifs(and(isblank($A475),isblank($B475)),"", not(iserror(vlookup($A475&amp;$B475,'5) Release_Track'!$F:$F&amp;'5) Release_Track'!$G:$G,1,0))),vlookup($A475&amp;$B475,{'5) Release_Track'!$F:$F&amp;'5) Release_Track'!$G:$G,'5) Release_Track'!$H:$H},2,0),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D475" s="121" t="str">
        <f t="array" ref="D475">ifs(and(isblank($A475),isblank($B475)),"", not(iserror(vlookup($A475&amp;$B475,'5) Release_Track'!$F:$F&amp;'5) Release_Track'!$G:$G,1,0))),vlookup($A475&amp;$B475,{'5) Release_Track'!$F:$F&amp;'5) Release_Track'!$G:$G,'5) Release_Track'!$I:$I},2,0),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E475" s="150" t="b">
        <v>0</v>
      </c>
      <c r="F475" s="150" t="b">
        <v>0</v>
      </c>
      <c r="G475" s="150" t="b">
        <v>0</v>
      </c>
      <c r="H475" s="150" t="b">
        <v>0</v>
      </c>
      <c r="I475" s="150" t="b">
        <v>0</v>
      </c>
      <c r="J475" s="150" t="b">
        <v>0</v>
      </c>
      <c r="K475" s="150" t="b">
        <v>0</v>
      </c>
      <c r="L475" s="8" t="b">
        <v>0</v>
      </c>
    </row>
    <row r="476">
      <c r="B476" s="97"/>
      <c r="C476" s="121" t="str">
        <f t="array" ref="C476">ifs(and(isblank($A476),isblank($B476)),"", not(iserror(vlookup($A476&amp;$B476,'5) Release_Track'!$F:$F&amp;'5) Release_Track'!$G:$G,1,0))),vlookup($A476&amp;$B476,{'5) Release_Track'!$F:$F&amp;'5) Release_Track'!$G:$G,'5) Release_Track'!$H:$H},2,0),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D476" s="121" t="str">
        <f t="array" ref="D476">ifs(and(isblank($A476),isblank($B476)),"", not(iserror(vlookup($A476&amp;$B476,'5) Release_Track'!$F:$F&amp;'5) Release_Track'!$G:$G,1,0))),vlookup($A476&amp;$B476,{'5) Release_Track'!$F:$F&amp;'5) Release_Track'!$G:$G,'5) Release_Track'!$I:$I},2,0),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E476" s="150" t="b">
        <v>0</v>
      </c>
      <c r="F476" s="150" t="b">
        <v>0</v>
      </c>
      <c r="G476" s="150" t="b">
        <v>0</v>
      </c>
      <c r="H476" s="150" t="b">
        <v>0</v>
      </c>
      <c r="I476" s="150" t="b">
        <v>0</v>
      </c>
      <c r="J476" s="150" t="b">
        <v>0</v>
      </c>
      <c r="K476" s="150" t="b">
        <v>0</v>
      </c>
      <c r="L476" s="8" t="b">
        <v>0</v>
      </c>
    </row>
    <row r="477">
      <c r="B477" s="97"/>
      <c r="C477" s="121" t="str">
        <f t="array" ref="C477">ifs(and(isblank($A477),isblank($B477)),"", not(iserror(vlookup($A477&amp;$B477,'5) Release_Track'!$F:$F&amp;'5) Release_Track'!$G:$G,1,0))),vlookup($A477&amp;$B477,{'5) Release_Track'!$F:$F&amp;'5) Release_Track'!$G:$G,'5) Release_Track'!$H:$H},2,0),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D477" s="121" t="str">
        <f t="array" ref="D477">ifs(and(isblank($A477),isblank($B477)),"", not(iserror(vlookup($A477&amp;$B477,'5) Release_Track'!$F:$F&amp;'5) Release_Track'!$G:$G,1,0))),vlookup($A477&amp;$B477,{'5) Release_Track'!$F:$F&amp;'5) Release_Track'!$G:$G,'5) Release_Track'!$I:$I},2,0),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E477" s="150" t="b">
        <v>0</v>
      </c>
      <c r="F477" s="150" t="b">
        <v>0</v>
      </c>
      <c r="G477" s="150" t="b">
        <v>0</v>
      </c>
      <c r="H477" s="150" t="b">
        <v>0</v>
      </c>
      <c r="I477" s="150" t="b">
        <v>0</v>
      </c>
      <c r="J477" s="150" t="b">
        <v>0</v>
      </c>
      <c r="K477" s="150" t="b">
        <v>0</v>
      </c>
      <c r="L477" s="8" t="b">
        <v>0</v>
      </c>
    </row>
    <row r="478">
      <c r="B478" s="97"/>
      <c r="C478" s="121" t="str">
        <f t="array" ref="C478">ifs(and(isblank($A478),isblank($B478)),"", not(iserror(vlookup($A478&amp;$B478,'5) Release_Track'!$F:$F&amp;'5) Release_Track'!$G:$G,1,0))),vlookup($A478&amp;$B478,{'5) Release_Track'!$F:$F&amp;'5) Release_Track'!$G:$G,'5) Release_Track'!$H:$H},2,0),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D478" s="121" t="str">
        <f t="array" ref="D478">ifs(and(isblank($A478),isblank($B478)),"", not(iserror(vlookup($A478&amp;$B478,'5) Release_Track'!$F:$F&amp;'5) Release_Track'!$G:$G,1,0))),vlookup($A478&amp;$B478,{'5) Release_Track'!$F:$F&amp;'5) Release_Track'!$G:$G,'5) Release_Track'!$I:$I},2,0),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E478" s="150" t="b">
        <v>0</v>
      </c>
      <c r="F478" s="150" t="b">
        <v>0</v>
      </c>
      <c r="G478" s="150" t="b">
        <v>0</v>
      </c>
      <c r="H478" s="150" t="b">
        <v>0</v>
      </c>
      <c r="I478" s="150" t="b">
        <v>0</v>
      </c>
      <c r="J478" s="150" t="b">
        <v>0</v>
      </c>
      <c r="K478" s="150" t="b">
        <v>0</v>
      </c>
      <c r="L478" s="8" t="b">
        <v>0</v>
      </c>
    </row>
    <row r="479">
      <c r="B479" s="97"/>
      <c r="C479" s="121" t="str">
        <f t="array" ref="C479">ifs(and(isblank($A479),isblank($B479)),"", not(iserror(vlookup($A479&amp;$B479,'5) Release_Track'!$F:$F&amp;'5) Release_Track'!$G:$G,1,0))),vlookup($A479&amp;$B479,{'5) Release_Track'!$F:$F&amp;'5) Release_Track'!$G:$G,'5) Release_Track'!$H:$H},2,0),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D479" s="121" t="str">
        <f t="array" ref="D479">ifs(and(isblank($A479),isblank($B479)),"", not(iserror(vlookup($A479&amp;$B479,'5) Release_Track'!$F:$F&amp;'5) Release_Track'!$G:$G,1,0))),vlookup($A479&amp;$B479,{'5) Release_Track'!$F:$F&amp;'5) Release_Track'!$G:$G,'5) Release_Track'!$I:$I},2,0),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E479" s="150" t="b">
        <v>0</v>
      </c>
      <c r="F479" s="150" t="b">
        <v>0</v>
      </c>
      <c r="G479" s="150" t="b">
        <v>0</v>
      </c>
      <c r="H479" s="150" t="b">
        <v>0</v>
      </c>
      <c r="I479" s="150" t="b">
        <v>0</v>
      </c>
      <c r="J479" s="150" t="b">
        <v>0</v>
      </c>
      <c r="K479" s="150" t="b">
        <v>0</v>
      </c>
      <c r="L479" s="8" t="b">
        <v>0</v>
      </c>
    </row>
    <row r="480">
      <c r="B480" s="97"/>
      <c r="C480" s="121" t="str">
        <f t="array" ref="C480">ifs(and(isblank($A480),isblank($B480)),"", not(iserror(vlookup($A480&amp;$B480,'5) Release_Track'!$F:$F&amp;'5) Release_Track'!$G:$G,1,0))),vlookup($A480&amp;$B480,{'5) Release_Track'!$F:$F&amp;'5) Release_Track'!$G:$G,'5) Release_Track'!$H:$H},2,0),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D480" s="121" t="str">
        <f t="array" ref="D480">ifs(and(isblank($A480),isblank($B480)),"", not(iserror(vlookup($A480&amp;$B480,'5) Release_Track'!$F:$F&amp;'5) Release_Track'!$G:$G,1,0))),vlookup($A480&amp;$B480,{'5) Release_Track'!$F:$F&amp;'5) Release_Track'!$G:$G,'5) Release_Track'!$I:$I},2,0),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E480" s="150" t="b">
        <v>0</v>
      </c>
      <c r="F480" s="150" t="b">
        <v>0</v>
      </c>
      <c r="G480" s="150" t="b">
        <v>0</v>
      </c>
      <c r="H480" s="150" t="b">
        <v>0</v>
      </c>
      <c r="I480" s="150" t="b">
        <v>0</v>
      </c>
      <c r="J480" s="150" t="b">
        <v>0</v>
      </c>
      <c r="K480" s="150" t="b">
        <v>0</v>
      </c>
      <c r="L480" s="8" t="b">
        <v>0</v>
      </c>
    </row>
    <row r="481">
      <c r="B481" s="97"/>
      <c r="C481" s="121" t="str">
        <f t="array" ref="C481">ifs(and(isblank($A481),isblank($B481)),"", not(iserror(vlookup($A481&amp;$B481,'5) Release_Track'!$F:$F&amp;'5) Release_Track'!$G:$G,1,0))),vlookup($A481&amp;$B481,{'5) Release_Track'!$F:$F&amp;'5) Release_Track'!$G:$G,'5) Release_Track'!$H:$H},2,0),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D481" s="121" t="str">
        <f t="array" ref="D481">ifs(and(isblank($A481),isblank($B481)),"", not(iserror(vlookup($A481&amp;$B481,'5) Release_Track'!$F:$F&amp;'5) Release_Track'!$G:$G,1,0))),vlookup($A481&amp;$B481,{'5) Release_Track'!$F:$F&amp;'5) Release_Track'!$G:$G,'5) Release_Track'!$I:$I},2,0),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E481" s="150" t="b">
        <v>0</v>
      </c>
      <c r="F481" s="150" t="b">
        <v>0</v>
      </c>
      <c r="G481" s="150" t="b">
        <v>0</v>
      </c>
      <c r="H481" s="150" t="b">
        <v>0</v>
      </c>
      <c r="I481" s="150" t="b">
        <v>0</v>
      </c>
      <c r="J481" s="150" t="b">
        <v>0</v>
      </c>
      <c r="K481" s="150" t="b">
        <v>0</v>
      </c>
      <c r="L481" s="8" t="b">
        <v>0</v>
      </c>
    </row>
    <row r="482">
      <c r="B482" s="97"/>
      <c r="C482" s="121" t="str">
        <f t="array" ref="C482">ifs(and(isblank($A482),isblank($B482)),"", not(iserror(vlookup($A482&amp;$B482,'5) Release_Track'!$F:$F&amp;'5) Release_Track'!$G:$G,1,0))),vlookup($A482&amp;$B482,{'5) Release_Track'!$F:$F&amp;'5) Release_Track'!$G:$G,'5) Release_Track'!$H:$H},2,0),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D482" s="121" t="str">
        <f t="array" ref="D482">ifs(and(isblank($A482),isblank($B482)),"", not(iserror(vlookup($A482&amp;$B482,'5) Release_Track'!$F:$F&amp;'5) Release_Track'!$G:$G,1,0))),vlookup($A482&amp;$B482,{'5) Release_Track'!$F:$F&amp;'5) Release_Track'!$G:$G,'5) Release_Track'!$I:$I},2,0),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E482" s="150" t="b">
        <v>0</v>
      </c>
      <c r="F482" s="150" t="b">
        <v>0</v>
      </c>
      <c r="G482" s="150" t="b">
        <v>0</v>
      </c>
      <c r="H482" s="150" t="b">
        <v>0</v>
      </c>
      <c r="I482" s="150" t="b">
        <v>0</v>
      </c>
      <c r="J482" s="150" t="b">
        <v>0</v>
      </c>
      <c r="K482" s="150" t="b">
        <v>0</v>
      </c>
      <c r="L482" s="8" t="b">
        <v>0</v>
      </c>
    </row>
    <row r="483">
      <c r="B483" s="97"/>
      <c r="C483" s="121" t="str">
        <f t="array" ref="C483">ifs(and(isblank($A483),isblank($B483)),"", not(iserror(vlookup($A483&amp;$B483,'5) Release_Track'!$F:$F&amp;'5) Release_Track'!$G:$G,1,0))),vlookup($A483&amp;$B483,{'5) Release_Track'!$F:$F&amp;'5) Release_Track'!$G:$G,'5) Release_Track'!$H:$H},2,0),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D483" s="121" t="str">
        <f t="array" ref="D483">ifs(and(isblank($A483),isblank($B483)),"", not(iserror(vlookup($A483&amp;$B483,'5) Release_Track'!$F:$F&amp;'5) Release_Track'!$G:$G,1,0))),vlookup($A483&amp;$B483,{'5) Release_Track'!$F:$F&amp;'5) Release_Track'!$G:$G,'5) Release_Track'!$I:$I},2,0),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E483" s="150" t="b">
        <v>0</v>
      </c>
      <c r="F483" s="150" t="b">
        <v>0</v>
      </c>
      <c r="G483" s="150" t="b">
        <v>0</v>
      </c>
      <c r="H483" s="150" t="b">
        <v>0</v>
      </c>
      <c r="I483" s="150" t="b">
        <v>0</v>
      </c>
      <c r="J483" s="150" t="b">
        <v>0</v>
      </c>
      <c r="K483" s="150" t="b">
        <v>0</v>
      </c>
      <c r="L483" s="8" t="b">
        <v>0</v>
      </c>
    </row>
    <row r="484">
      <c r="B484" s="97"/>
      <c r="C484" s="121" t="str">
        <f t="array" ref="C484">ifs(and(isblank($A484),isblank($B484)),"", not(iserror(vlookup($A484&amp;$B484,'5) Release_Track'!$F:$F&amp;'5) Release_Track'!$G:$G,1,0))),vlookup($A484&amp;$B484,{'5) Release_Track'!$F:$F&amp;'5) Release_Track'!$G:$G,'5) Release_Track'!$H:$H},2,0),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D484" s="121" t="str">
        <f t="array" ref="D484">ifs(and(isblank($A484),isblank($B484)),"", not(iserror(vlookup($A484&amp;$B484,'5) Release_Track'!$F:$F&amp;'5) Release_Track'!$G:$G,1,0))),vlookup($A484&amp;$B484,{'5) Release_Track'!$F:$F&amp;'5) Release_Track'!$G:$G,'5) Release_Track'!$I:$I},2,0),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E484" s="150" t="b">
        <v>0</v>
      </c>
      <c r="F484" s="150" t="b">
        <v>0</v>
      </c>
      <c r="G484" s="150" t="b">
        <v>0</v>
      </c>
      <c r="H484" s="150" t="b">
        <v>0</v>
      </c>
      <c r="I484" s="150" t="b">
        <v>0</v>
      </c>
      <c r="J484" s="150" t="b">
        <v>0</v>
      </c>
      <c r="K484" s="150" t="b">
        <v>0</v>
      </c>
      <c r="L484" s="8" t="b">
        <v>0</v>
      </c>
    </row>
    <row r="485">
      <c r="B485" s="97"/>
      <c r="C485" s="121" t="str">
        <f t="array" ref="C485">ifs(and(isblank($A485),isblank($B485)),"", not(iserror(vlookup($A485&amp;$B485,'5) Release_Track'!$F:$F&amp;'5) Release_Track'!$G:$G,1,0))),vlookup($A485&amp;$B485,{'5) Release_Track'!$F:$F&amp;'5) Release_Track'!$G:$G,'5) Release_Track'!$H:$H},2,0),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D485" s="121" t="str">
        <f t="array" ref="D485">ifs(and(isblank($A485),isblank($B485)),"", not(iserror(vlookup($A485&amp;$B485,'5) Release_Track'!$F:$F&amp;'5) Release_Track'!$G:$G,1,0))),vlookup($A485&amp;$B485,{'5) Release_Track'!$F:$F&amp;'5) Release_Track'!$G:$G,'5) Release_Track'!$I:$I},2,0),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E485" s="150" t="b">
        <v>0</v>
      </c>
      <c r="F485" s="150" t="b">
        <v>0</v>
      </c>
      <c r="G485" s="150" t="b">
        <v>0</v>
      </c>
      <c r="H485" s="150" t="b">
        <v>0</v>
      </c>
      <c r="I485" s="150" t="b">
        <v>0</v>
      </c>
      <c r="J485" s="150" t="b">
        <v>0</v>
      </c>
      <c r="K485" s="150" t="b">
        <v>0</v>
      </c>
      <c r="L485" s="8" t="b">
        <v>0</v>
      </c>
    </row>
    <row r="486">
      <c r="B486" s="97"/>
      <c r="C486" s="121" t="str">
        <f t="array" ref="C486">ifs(and(isblank($A486),isblank($B486)),"", not(iserror(vlookup($A486&amp;$B486,'5) Release_Track'!$F:$F&amp;'5) Release_Track'!$G:$G,1,0))),vlookup($A486&amp;$B486,{'5) Release_Track'!$F:$F&amp;'5) Release_Track'!$G:$G,'5) Release_Track'!$H:$H},2,0),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D486" s="121" t="str">
        <f t="array" ref="D486">ifs(and(isblank($A486),isblank($B486)),"", not(iserror(vlookup($A486&amp;$B486,'5) Release_Track'!$F:$F&amp;'5) Release_Track'!$G:$G,1,0))),vlookup($A486&amp;$B486,{'5) Release_Track'!$F:$F&amp;'5) Release_Track'!$G:$G,'5) Release_Track'!$I:$I},2,0),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E486" s="150" t="b">
        <v>0</v>
      </c>
      <c r="F486" s="150" t="b">
        <v>0</v>
      </c>
      <c r="G486" s="150" t="b">
        <v>0</v>
      </c>
      <c r="H486" s="150" t="b">
        <v>0</v>
      </c>
      <c r="I486" s="150" t="b">
        <v>0</v>
      </c>
      <c r="J486" s="150" t="b">
        <v>0</v>
      </c>
      <c r="K486" s="150" t="b">
        <v>0</v>
      </c>
      <c r="L486" s="8" t="b">
        <v>0</v>
      </c>
    </row>
    <row r="487">
      <c r="B487" s="97"/>
      <c r="C487" s="121" t="str">
        <f t="array" ref="C487">ifs(and(isblank($A487),isblank($B487)),"", not(iserror(vlookup($A487&amp;$B487,'5) Release_Track'!$F:$F&amp;'5) Release_Track'!$G:$G,1,0))),vlookup($A487&amp;$B487,{'5) Release_Track'!$F:$F&amp;'5) Release_Track'!$G:$G,'5) Release_Track'!$H:$H},2,0),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D487" s="121" t="str">
        <f t="array" ref="D487">ifs(and(isblank($A487),isblank($B487)),"", not(iserror(vlookup($A487&amp;$B487,'5) Release_Track'!$F:$F&amp;'5) Release_Track'!$G:$G,1,0))),vlookup($A487&amp;$B487,{'5) Release_Track'!$F:$F&amp;'5) Release_Track'!$G:$G,'5) Release_Track'!$I:$I},2,0),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E487" s="150" t="b">
        <v>0</v>
      </c>
      <c r="F487" s="150" t="b">
        <v>0</v>
      </c>
      <c r="G487" s="150" t="b">
        <v>0</v>
      </c>
      <c r="H487" s="150" t="b">
        <v>0</v>
      </c>
      <c r="I487" s="150" t="b">
        <v>0</v>
      </c>
      <c r="J487" s="150" t="b">
        <v>0</v>
      </c>
      <c r="K487" s="150" t="b">
        <v>0</v>
      </c>
      <c r="L487" s="8" t="b">
        <v>0</v>
      </c>
    </row>
    <row r="488">
      <c r="B488" s="97"/>
      <c r="C488" s="121" t="str">
        <f t="array" ref="C488">ifs(and(isblank($A488),isblank($B488)),"", not(iserror(vlookup($A488&amp;$B488,'5) Release_Track'!$F:$F&amp;'5) Release_Track'!$G:$G,1,0))),vlookup($A488&amp;$B488,{'5) Release_Track'!$F:$F&amp;'5) Release_Track'!$G:$G,'5) Release_Track'!$H:$H},2,0),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D488" s="121" t="str">
        <f t="array" ref="D488">ifs(and(isblank($A488),isblank($B488)),"", not(iserror(vlookup($A488&amp;$B488,'5) Release_Track'!$F:$F&amp;'5) Release_Track'!$G:$G,1,0))),vlookup($A488&amp;$B488,{'5) Release_Track'!$F:$F&amp;'5) Release_Track'!$G:$G,'5) Release_Track'!$I:$I},2,0),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E488" s="150" t="b">
        <v>0</v>
      </c>
      <c r="F488" s="150" t="b">
        <v>0</v>
      </c>
      <c r="G488" s="150" t="b">
        <v>0</v>
      </c>
      <c r="H488" s="150" t="b">
        <v>0</v>
      </c>
      <c r="I488" s="150" t="b">
        <v>0</v>
      </c>
      <c r="J488" s="150" t="b">
        <v>0</v>
      </c>
      <c r="K488" s="150" t="b">
        <v>0</v>
      </c>
      <c r="L488" s="8" t="b">
        <v>0</v>
      </c>
    </row>
    <row r="489">
      <c r="B489" s="97"/>
      <c r="C489" s="121" t="str">
        <f t="array" ref="C489">ifs(and(isblank($A489),isblank($B489)),"", not(iserror(vlookup($A489&amp;$B489,'5) Release_Track'!$F:$F&amp;'5) Release_Track'!$G:$G,1,0))),vlookup($A489&amp;$B489,{'5) Release_Track'!$F:$F&amp;'5) Release_Track'!$G:$G,'5) Release_Track'!$H:$H},2,0),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D489" s="121" t="str">
        <f t="array" ref="D489">ifs(and(isblank($A489),isblank($B489)),"", not(iserror(vlookup($A489&amp;$B489,'5) Release_Track'!$F:$F&amp;'5) Release_Track'!$G:$G,1,0))),vlookup($A489&amp;$B489,{'5) Release_Track'!$F:$F&amp;'5) Release_Track'!$G:$G,'5) Release_Track'!$I:$I},2,0),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E489" s="150" t="b">
        <v>0</v>
      </c>
      <c r="F489" s="150" t="b">
        <v>0</v>
      </c>
      <c r="G489" s="150" t="b">
        <v>0</v>
      </c>
      <c r="H489" s="150" t="b">
        <v>0</v>
      </c>
      <c r="I489" s="150" t="b">
        <v>0</v>
      </c>
      <c r="J489" s="150" t="b">
        <v>0</v>
      </c>
      <c r="K489" s="150" t="b">
        <v>0</v>
      </c>
      <c r="L489" s="8" t="b">
        <v>0</v>
      </c>
    </row>
    <row r="490">
      <c r="B490" s="97"/>
      <c r="C490" s="121" t="str">
        <f t="array" ref="C490">ifs(and(isblank($A490),isblank($B490)),"", not(iserror(vlookup($A490&amp;$B490,'5) Release_Track'!$F:$F&amp;'5) Release_Track'!$G:$G,1,0))),vlookup($A490&amp;$B490,{'5) Release_Track'!$F:$F&amp;'5) Release_Track'!$G:$G,'5) Release_Track'!$H:$H},2,0),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D490" s="121" t="str">
        <f t="array" ref="D490">ifs(and(isblank($A490),isblank($B490)),"", not(iserror(vlookup($A490&amp;$B490,'5) Release_Track'!$F:$F&amp;'5) Release_Track'!$G:$G,1,0))),vlookup($A490&amp;$B490,{'5) Release_Track'!$F:$F&amp;'5) Release_Track'!$G:$G,'5) Release_Track'!$I:$I},2,0),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E490" s="150" t="b">
        <v>0</v>
      </c>
      <c r="F490" s="150" t="b">
        <v>0</v>
      </c>
      <c r="G490" s="150" t="b">
        <v>0</v>
      </c>
      <c r="H490" s="150" t="b">
        <v>0</v>
      </c>
      <c r="I490" s="150" t="b">
        <v>0</v>
      </c>
      <c r="J490" s="150" t="b">
        <v>0</v>
      </c>
      <c r="K490" s="150" t="b">
        <v>0</v>
      </c>
      <c r="L490" s="8" t="b">
        <v>0</v>
      </c>
    </row>
    <row r="491">
      <c r="B491" s="97"/>
      <c r="C491" s="121" t="str">
        <f t="array" ref="C491">ifs(and(isblank($A491),isblank($B491)),"", not(iserror(vlookup($A491&amp;$B491,'5) Release_Track'!$F:$F&amp;'5) Release_Track'!$G:$G,1,0))),vlookup($A491&amp;$B491,{'5) Release_Track'!$F:$F&amp;'5) Release_Track'!$G:$G,'5) Release_Track'!$H:$H},2,0),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D491" s="121" t="str">
        <f t="array" ref="D491">ifs(and(isblank($A491),isblank($B491)),"", not(iserror(vlookup($A491&amp;$B491,'5) Release_Track'!$F:$F&amp;'5) Release_Track'!$G:$G,1,0))),vlookup($A491&amp;$B491,{'5) Release_Track'!$F:$F&amp;'5) Release_Track'!$G:$G,'5) Release_Track'!$I:$I},2,0),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E491" s="150" t="b">
        <v>0</v>
      </c>
      <c r="F491" s="150" t="b">
        <v>0</v>
      </c>
      <c r="G491" s="150" t="b">
        <v>0</v>
      </c>
      <c r="H491" s="150" t="b">
        <v>0</v>
      </c>
      <c r="I491" s="150" t="b">
        <v>0</v>
      </c>
      <c r="J491" s="150" t="b">
        <v>0</v>
      </c>
      <c r="K491" s="150" t="b">
        <v>0</v>
      </c>
      <c r="L491" s="8" t="b">
        <v>0</v>
      </c>
    </row>
    <row r="492">
      <c r="B492" s="97"/>
      <c r="C492" s="121" t="str">
        <f t="array" ref="C492">ifs(and(isblank($A492),isblank($B492)),"", not(iserror(vlookup($A492&amp;$B492,'5) Release_Track'!$F:$F&amp;'5) Release_Track'!$G:$G,1,0))),vlookup($A492&amp;$B492,{'5) Release_Track'!$F:$F&amp;'5) Release_Track'!$G:$G,'5) Release_Track'!$H:$H},2,0),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D492" s="121" t="str">
        <f t="array" ref="D492">ifs(and(isblank($A492),isblank($B492)),"", not(iserror(vlookup($A492&amp;$B492,'5) Release_Track'!$F:$F&amp;'5) Release_Track'!$G:$G,1,0))),vlookup($A492&amp;$B492,{'5) Release_Track'!$F:$F&amp;'5) Release_Track'!$G:$G,'5) Release_Track'!$I:$I},2,0),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E492" s="150" t="b">
        <v>0</v>
      </c>
      <c r="F492" s="150" t="b">
        <v>0</v>
      </c>
      <c r="G492" s="150" t="b">
        <v>0</v>
      </c>
      <c r="H492" s="150" t="b">
        <v>0</v>
      </c>
      <c r="I492" s="150" t="b">
        <v>0</v>
      </c>
      <c r="J492" s="150" t="b">
        <v>0</v>
      </c>
      <c r="K492" s="150" t="b">
        <v>0</v>
      </c>
      <c r="L492" s="8" t="b">
        <v>0</v>
      </c>
    </row>
    <row r="493">
      <c r="B493" s="97"/>
      <c r="C493" s="121" t="str">
        <f t="array" ref="C493">ifs(and(isblank($A493),isblank($B493)),"", not(iserror(vlookup($A493&amp;$B493,'5) Release_Track'!$F:$F&amp;'5) Release_Track'!$G:$G,1,0))),vlookup($A493&amp;$B493,{'5) Release_Track'!$F:$F&amp;'5) Release_Track'!$G:$G,'5) Release_Track'!$H:$H},2,0),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D493" s="121" t="str">
        <f t="array" ref="D493">ifs(and(isblank($A493),isblank($B493)),"", not(iserror(vlookup($A493&amp;$B493,'5) Release_Track'!$F:$F&amp;'5) Release_Track'!$G:$G,1,0))),vlookup($A493&amp;$B493,{'5) Release_Track'!$F:$F&amp;'5) Release_Track'!$G:$G,'5) Release_Track'!$I:$I},2,0),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E493" s="150" t="b">
        <v>0</v>
      </c>
      <c r="F493" s="150" t="b">
        <v>0</v>
      </c>
      <c r="G493" s="150" t="b">
        <v>0</v>
      </c>
      <c r="H493" s="150" t="b">
        <v>0</v>
      </c>
      <c r="I493" s="150" t="b">
        <v>0</v>
      </c>
      <c r="J493" s="150" t="b">
        <v>0</v>
      </c>
      <c r="K493" s="150" t="b">
        <v>0</v>
      </c>
      <c r="L493" s="8" t="b">
        <v>0</v>
      </c>
    </row>
    <row r="494">
      <c r="B494" s="97"/>
      <c r="C494" s="121" t="str">
        <f t="array" ref="C494">ifs(and(isblank($A494),isblank($B494)),"", not(iserror(vlookup($A494&amp;$B494,'5) Release_Track'!$F:$F&amp;'5) Release_Track'!$G:$G,1,0))),vlookup($A494&amp;$B494,{'5) Release_Track'!$F:$F&amp;'5) Release_Track'!$G:$G,'5) Release_Track'!$H:$H},2,0),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D494" s="121" t="str">
        <f t="array" ref="D494">ifs(and(isblank($A494),isblank($B494)),"", not(iserror(vlookup($A494&amp;$B494,'5) Release_Track'!$F:$F&amp;'5) Release_Track'!$G:$G,1,0))),vlookup($A494&amp;$B494,{'5) Release_Track'!$F:$F&amp;'5) Release_Track'!$G:$G,'5) Release_Track'!$I:$I},2,0),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E494" s="150" t="b">
        <v>0</v>
      </c>
      <c r="F494" s="150" t="b">
        <v>0</v>
      </c>
      <c r="G494" s="150" t="b">
        <v>0</v>
      </c>
      <c r="H494" s="150" t="b">
        <v>0</v>
      </c>
      <c r="I494" s="150" t="b">
        <v>0</v>
      </c>
      <c r="J494" s="150" t="b">
        <v>0</v>
      </c>
      <c r="K494" s="150" t="b">
        <v>0</v>
      </c>
      <c r="L494" s="8" t="b">
        <v>0</v>
      </c>
    </row>
    <row r="495">
      <c r="B495" s="97"/>
      <c r="C495" s="121" t="str">
        <f t="array" ref="C495">ifs(and(isblank($A495),isblank($B495)),"", not(iserror(vlookup($A495&amp;$B495,'5) Release_Track'!$F:$F&amp;'5) Release_Track'!$G:$G,1,0))),vlookup($A495&amp;$B495,{'5) Release_Track'!$F:$F&amp;'5) Release_Track'!$G:$G,'5) Release_Track'!$H:$H},2,0),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D495" s="121" t="str">
        <f t="array" ref="D495">ifs(and(isblank($A495),isblank($B495)),"", not(iserror(vlookup($A495&amp;$B495,'5) Release_Track'!$F:$F&amp;'5) Release_Track'!$G:$G,1,0))),vlookup($A495&amp;$B495,{'5) Release_Track'!$F:$F&amp;'5) Release_Track'!$G:$G,'5) Release_Track'!$I:$I},2,0),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E495" s="150" t="b">
        <v>0</v>
      </c>
      <c r="F495" s="150" t="b">
        <v>0</v>
      </c>
      <c r="G495" s="150" t="b">
        <v>0</v>
      </c>
      <c r="H495" s="150" t="b">
        <v>0</v>
      </c>
      <c r="I495" s="150" t="b">
        <v>0</v>
      </c>
      <c r="J495" s="150" t="b">
        <v>0</v>
      </c>
      <c r="K495" s="150" t="b">
        <v>0</v>
      </c>
      <c r="L495" s="8" t="b">
        <v>0</v>
      </c>
    </row>
    <row r="496">
      <c r="B496" s="97"/>
      <c r="C496" s="121" t="str">
        <f t="array" ref="C496">ifs(and(isblank($A496),isblank($B496)),"", not(iserror(vlookup($A496&amp;$B496,'5) Release_Track'!$F:$F&amp;'5) Release_Track'!$G:$G,1,0))),vlookup($A496&amp;$B496,{'5) Release_Track'!$F:$F&amp;'5) Release_Track'!$G:$G,'5) Release_Track'!$H:$H},2,0),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D496" s="121" t="str">
        <f t="array" ref="D496">ifs(and(isblank($A496),isblank($B496)),"", not(iserror(vlookup($A496&amp;$B496,'5) Release_Track'!$F:$F&amp;'5) Release_Track'!$G:$G,1,0))),vlookup($A496&amp;$B496,{'5) Release_Track'!$F:$F&amp;'5) Release_Track'!$G:$G,'5) Release_Track'!$I:$I},2,0),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E496" s="150" t="b">
        <v>0</v>
      </c>
      <c r="F496" s="150" t="b">
        <v>0</v>
      </c>
      <c r="G496" s="150" t="b">
        <v>0</v>
      </c>
      <c r="H496" s="150" t="b">
        <v>0</v>
      </c>
      <c r="I496" s="150" t="b">
        <v>0</v>
      </c>
      <c r="J496" s="150" t="b">
        <v>0</v>
      </c>
      <c r="K496" s="150" t="b">
        <v>0</v>
      </c>
      <c r="L496" s="8" t="b">
        <v>0</v>
      </c>
    </row>
    <row r="497">
      <c r="B497" s="97"/>
      <c r="C497" s="121" t="str">
        <f t="array" ref="C497">ifs(and(isblank($A497),isblank($B497)),"", not(iserror(vlookup($A497&amp;$B497,'5) Release_Track'!$F:$F&amp;'5) Release_Track'!$G:$G,1,0))),vlookup($A497&amp;$B497,{'5) Release_Track'!$F:$F&amp;'5) Release_Track'!$G:$G,'5) Release_Track'!$H:$H},2,0),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D497" s="121" t="str">
        <f t="array" ref="D497">ifs(and(isblank($A497),isblank($B497)),"", not(iserror(vlookup($A497&amp;$B497,'5) Release_Track'!$F:$F&amp;'5) Release_Track'!$G:$G,1,0))),vlookup($A497&amp;$B497,{'5) Release_Track'!$F:$F&amp;'5) Release_Track'!$G:$G,'5) Release_Track'!$I:$I},2,0),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E497" s="150" t="b">
        <v>0</v>
      </c>
      <c r="F497" s="150" t="b">
        <v>0</v>
      </c>
      <c r="G497" s="150" t="b">
        <v>0</v>
      </c>
      <c r="H497" s="150" t="b">
        <v>0</v>
      </c>
      <c r="I497" s="150" t="b">
        <v>0</v>
      </c>
      <c r="J497" s="150" t="b">
        <v>0</v>
      </c>
      <c r="K497" s="150" t="b">
        <v>0</v>
      </c>
      <c r="L497" s="8" t="b">
        <v>0</v>
      </c>
    </row>
    <row r="498">
      <c r="B498" s="97"/>
      <c r="C498" s="121" t="str">
        <f t="array" ref="C498">ifs(and(isblank($A498),isblank($B498)),"", not(iserror(vlookup($A498&amp;$B498,'5) Release_Track'!$F:$F&amp;'5) Release_Track'!$G:$G,1,0))),vlookup($A498&amp;$B498,{'5) Release_Track'!$F:$F&amp;'5) Release_Track'!$G:$G,'5) Release_Track'!$H:$H},2,0),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D498" s="121" t="str">
        <f t="array" ref="D498">ifs(and(isblank($A498),isblank($B498)),"", not(iserror(vlookup($A498&amp;$B498,'5) Release_Track'!$F:$F&amp;'5) Release_Track'!$G:$G,1,0))),vlookup($A498&amp;$B498,{'5) Release_Track'!$F:$F&amp;'5) Release_Track'!$G:$G,'5) Release_Track'!$I:$I},2,0),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E498" s="150" t="b">
        <v>0</v>
      </c>
      <c r="F498" s="150" t="b">
        <v>0</v>
      </c>
      <c r="G498" s="150" t="b">
        <v>0</v>
      </c>
      <c r="H498" s="150" t="b">
        <v>0</v>
      </c>
      <c r="I498" s="150" t="b">
        <v>0</v>
      </c>
      <c r="J498" s="150" t="b">
        <v>0</v>
      </c>
      <c r="K498" s="150" t="b">
        <v>0</v>
      </c>
      <c r="L498" s="8" t="b">
        <v>0</v>
      </c>
    </row>
    <row r="499">
      <c r="B499" s="97"/>
      <c r="C499" s="121" t="str">
        <f t="array" ref="C499">ifs(and(isblank($A499),isblank($B499)),"", not(iserror(vlookup($A499&amp;$B499,'5) Release_Track'!$F:$F&amp;'5) Release_Track'!$G:$G,1,0))),vlookup($A499&amp;$B499,{'5) Release_Track'!$F:$F&amp;'5) Release_Track'!$G:$G,'5) Release_Track'!$H:$H},2,0),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D499" s="121" t="str">
        <f t="array" ref="D499">ifs(and(isblank($A499),isblank($B499)),"", not(iserror(vlookup($A499&amp;$B499,'5) Release_Track'!$F:$F&amp;'5) Release_Track'!$G:$G,1,0))),vlookup($A499&amp;$B499,{'5) Release_Track'!$F:$F&amp;'5) Release_Track'!$G:$G,'5) Release_Track'!$I:$I},2,0),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E499" s="150" t="b">
        <v>0</v>
      </c>
      <c r="F499" s="150" t="b">
        <v>0</v>
      </c>
      <c r="G499" s="150" t="b">
        <v>0</v>
      </c>
      <c r="H499" s="150" t="b">
        <v>0</v>
      </c>
      <c r="I499" s="150" t="b">
        <v>0</v>
      </c>
      <c r="J499" s="150" t="b">
        <v>0</v>
      </c>
      <c r="K499" s="150" t="b">
        <v>0</v>
      </c>
      <c r="L499" s="8" t="b">
        <v>0</v>
      </c>
    </row>
    <row r="500">
      <c r="B500" s="97"/>
      <c r="C500" s="121" t="str">
        <f t="array" ref="C500">ifs(and(isblank($A500),isblank($B500)),"", not(iserror(vlookup($A500&amp;$B500,'5) Release_Track'!$F:$F&amp;'5) Release_Track'!$G:$G,1,0))),vlookup($A500&amp;$B500,{'5) Release_Track'!$F:$F&amp;'5) Release_Track'!$G:$G,'5) Release_Track'!$H:$H},2,0),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D500" s="121" t="str">
        <f t="array" ref="D500">ifs(and(isblank($A500),isblank($B500)),"", not(iserror(vlookup($A500&amp;$B500,'5) Release_Track'!$F:$F&amp;'5) Release_Track'!$G:$G,1,0))),vlookup($A500&amp;$B500,{'5) Release_Track'!$F:$F&amp;'5) Release_Track'!$G:$G,'5) Release_Track'!$I:$I},2,0),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E500" s="150" t="b">
        <v>0</v>
      </c>
      <c r="F500" s="150" t="b">
        <v>0</v>
      </c>
      <c r="G500" s="150" t="b">
        <v>0</v>
      </c>
      <c r="H500" s="150" t="b">
        <v>0</v>
      </c>
      <c r="I500" s="150" t="b">
        <v>0</v>
      </c>
      <c r="J500" s="150" t="b">
        <v>0</v>
      </c>
      <c r="K500" s="150" t="b">
        <v>0</v>
      </c>
      <c r="L500" s="8" t="b">
        <v>0</v>
      </c>
    </row>
    <row r="501">
      <c r="B501" s="97"/>
      <c r="C501" s="121" t="str">
        <f t="array" ref="C501">ifs(and(isblank($A501),isblank($B501)),"", not(iserror(vlookup($A501&amp;$B501,'5) Release_Track'!$F:$F&amp;'5) Release_Track'!$G:$G,1,0))),vlookup($A501&amp;$B501,{'5) Release_Track'!$F:$F&amp;'5) Release_Track'!$G:$G,'5) Release_Track'!$H:$H},2,0),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D501" s="121" t="str">
        <f t="array" ref="D501">ifs(and(isblank($A501),isblank($B501)),"", not(iserror(vlookup($A501&amp;$B501,'5) Release_Track'!$F:$F&amp;'5) Release_Track'!$G:$G,1,0))),vlookup($A501&amp;$B501,{'5) Release_Track'!$F:$F&amp;'5) Release_Track'!$G:$G,'5) Release_Track'!$I:$I},2,0),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E501" s="150" t="b">
        <v>0</v>
      </c>
      <c r="F501" s="150" t="b">
        <v>0</v>
      </c>
      <c r="G501" s="150" t="b">
        <v>0</v>
      </c>
      <c r="H501" s="150" t="b">
        <v>0</v>
      </c>
      <c r="I501" s="150" t="b">
        <v>0</v>
      </c>
      <c r="J501" s="150" t="b">
        <v>0</v>
      </c>
      <c r="K501" s="150" t="b">
        <v>0</v>
      </c>
      <c r="L501" s="8" t="b">
        <v>0</v>
      </c>
    </row>
    <row r="502">
      <c r="B502" s="97"/>
      <c r="C502" s="121" t="str">
        <f t="array" ref="C502">ifs(and(isblank($A502),isblank($B502)),"", not(iserror(vlookup($A502&amp;$B502,'5) Release_Track'!$F:$F&amp;'5) Release_Track'!$G:$G,1,0))),vlookup($A502&amp;$B502,{'5) Release_Track'!$F:$F&amp;'5) Release_Track'!$G:$G,'5) Release_Track'!$H:$H},2,0),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D502" s="121" t="str">
        <f t="array" ref="D502">ifs(and(isblank($A502),isblank($B502)),"", not(iserror(vlookup($A502&amp;$B502,'5) Release_Track'!$F:$F&amp;'5) Release_Track'!$G:$G,1,0))),vlookup($A502&amp;$B502,{'5) Release_Track'!$F:$F&amp;'5) Release_Track'!$G:$G,'5) Release_Track'!$I:$I},2,0),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E502" s="150" t="b">
        <v>0</v>
      </c>
      <c r="F502" s="150" t="b">
        <v>0</v>
      </c>
      <c r="G502" s="150" t="b">
        <v>0</v>
      </c>
      <c r="H502" s="150" t="b">
        <v>0</v>
      </c>
      <c r="I502" s="150" t="b">
        <v>0</v>
      </c>
      <c r="J502" s="150" t="b">
        <v>0</v>
      </c>
      <c r="K502" s="150" t="b">
        <v>0</v>
      </c>
      <c r="L502" s="8" t="b">
        <v>0</v>
      </c>
    </row>
    <row r="503">
      <c r="B503" s="97"/>
      <c r="C503" s="121" t="str">
        <f t="array" ref="C503">ifs(and(isblank($A503),isblank($B503)),"", not(iserror(vlookup($A503&amp;$B503,'5) Release_Track'!$F:$F&amp;'5) Release_Track'!$G:$G,1,0))),vlookup($A503&amp;$B503,{'5) Release_Track'!$F:$F&amp;'5) Release_Track'!$G:$G,'5) Release_Track'!$H:$H},2,0),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D503" s="121" t="str">
        <f t="array" ref="D503">ifs(and(isblank($A503),isblank($B503)),"", not(iserror(vlookup($A503&amp;$B503,'5) Release_Track'!$F:$F&amp;'5) Release_Track'!$G:$G,1,0))),vlookup($A503&amp;$B503,{'5) Release_Track'!$F:$F&amp;'5) Release_Track'!$G:$G,'5) Release_Track'!$I:$I},2,0),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E503" s="150" t="b">
        <v>0</v>
      </c>
      <c r="F503" s="150" t="b">
        <v>0</v>
      </c>
      <c r="G503" s="150" t="b">
        <v>0</v>
      </c>
      <c r="H503" s="150" t="b">
        <v>0</v>
      </c>
      <c r="I503" s="150" t="b">
        <v>0</v>
      </c>
      <c r="J503" s="150" t="b">
        <v>0</v>
      </c>
      <c r="K503" s="150" t="b">
        <v>0</v>
      </c>
      <c r="L503" s="8" t="b">
        <v>0</v>
      </c>
    </row>
    <row r="504">
      <c r="B504" s="97"/>
      <c r="C504" s="121" t="str">
        <f t="array" ref="C504">ifs(and(isblank($A504),isblank($B504)),"", not(iserror(vlookup($A504&amp;$B504,'5) Release_Track'!$F:$F&amp;'5) Release_Track'!$G:$G,1,0))),vlookup($A504&amp;$B504,{'5) Release_Track'!$F:$F&amp;'5) Release_Track'!$G:$G,'5) Release_Track'!$H:$H},2,0),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D504" s="121" t="str">
        <f t="array" ref="D504">ifs(and(isblank($A504),isblank($B504)),"", not(iserror(vlookup($A504&amp;$B504,'5) Release_Track'!$F:$F&amp;'5) Release_Track'!$G:$G,1,0))),vlookup($A504&amp;$B504,{'5) Release_Track'!$F:$F&amp;'5) Release_Track'!$G:$G,'5) Release_Track'!$I:$I},2,0),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E504" s="150" t="b">
        <v>0</v>
      </c>
      <c r="F504" s="150" t="b">
        <v>0</v>
      </c>
      <c r="G504" s="150" t="b">
        <v>0</v>
      </c>
      <c r="H504" s="150" t="b">
        <v>0</v>
      </c>
      <c r="I504" s="150" t="b">
        <v>0</v>
      </c>
      <c r="J504" s="150" t="b">
        <v>0</v>
      </c>
      <c r="K504" s="150" t="b">
        <v>0</v>
      </c>
      <c r="L504" s="8" t="b">
        <v>0</v>
      </c>
    </row>
    <row r="505">
      <c r="B505" s="97"/>
      <c r="C505" s="121" t="str">
        <f t="array" ref="C505">ifs(and(isblank($A505),isblank($B505)),"", not(iserror(vlookup($A505&amp;$B505,'5) Release_Track'!$F:$F&amp;'5) Release_Track'!$G:$G,1,0))),vlookup($A505&amp;$B505,{'5) Release_Track'!$F:$F&amp;'5) Release_Track'!$G:$G,'5) Release_Track'!$H:$H},2,0),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D505" s="121" t="str">
        <f t="array" ref="D505">ifs(and(isblank($A505),isblank($B505)),"", not(iserror(vlookup($A505&amp;$B505,'5) Release_Track'!$F:$F&amp;'5) Release_Track'!$G:$G,1,0))),vlookup($A505&amp;$B505,{'5) Release_Track'!$F:$F&amp;'5) Release_Track'!$G:$G,'5) Release_Track'!$I:$I},2,0),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E505" s="150" t="b">
        <v>0</v>
      </c>
      <c r="F505" s="150" t="b">
        <v>0</v>
      </c>
      <c r="G505" s="150" t="b">
        <v>0</v>
      </c>
      <c r="H505" s="150" t="b">
        <v>0</v>
      </c>
      <c r="I505" s="150" t="b">
        <v>0</v>
      </c>
      <c r="J505" s="150" t="b">
        <v>0</v>
      </c>
      <c r="K505" s="150" t="b">
        <v>0</v>
      </c>
      <c r="L505" s="8" t="b">
        <v>0</v>
      </c>
    </row>
    <row r="506">
      <c r="B506" s="97"/>
      <c r="C506" s="121" t="str">
        <f t="array" ref="C506">ifs(and(isblank($A506),isblank($B506)),"", not(iserror(vlookup($A506&amp;$B506,'5) Release_Track'!$F:$F&amp;'5) Release_Track'!$G:$G,1,0))),vlookup($A506&amp;$B506,{'5) Release_Track'!$F:$F&amp;'5) Release_Track'!$G:$G,'5) Release_Track'!$H:$H},2,0),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D506" s="121" t="str">
        <f t="array" ref="D506">ifs(and(isblank($A506),isblank($B506)),"", not(iserror(vlookup($A506&amp;$B506,'5) Release_Track'!$F:$F&amp;'5) Release_Track'!$G:$G,1,0))),vlookup($A506&amp;$B506,{'5) Release_Track'!$F:$F&amp;'5) Release_Track'!$G:$G,'5) Release_Track'!$I:$I},2,0),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E506" s="150" t="b">
        <v>0</v>
      </c>
      <c r="F506" s="150" t="b">
        <v>0</v>
      </c>
      <c r="G506" s="150" t="b">
        <v>0</v>
      </c>
      <c r="H506" s="150" t="b">
        <v>0</v>
      </c>
      <c r="I506" s="150" t="b">
        <v>0</v>
      </c>
      <c r="J506" s="150" t="b">
        <v>0</v>
      </c>
      <c r="K506" s="150" t="b">
        <v>0</v>
      </c>
      <c r="L506" s="8" t="b">
        <v>0</v>
      </c>
    </row>
    <row r="507">
      <c r="B507" s="97"/>
      <c r="C507" s="121" t="str">
        <f t="array" ref="C507">ifs(and(isblank($A507),isblank($B507)),"", not(iserror(vlookup($A507&amp;$B507,'5) Release_Track'!$F:$F&amp;'5) Release_Track'!$G:$G,1,0))),vlookup($A507&amp;$B507,{'5) Release_Track'!$F:$F&amp;'5) Release_Track'!$G:$G,'5) Release_Track'!$H:$H},2,0),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D507" s="121" t="str">
        <f t="array" ref="D507">ifs(and(isblank($A507),isblank($B507)),"", not(iserror(vlookup($A507&amp;$B507,'5) Release_Track'!$F:$F&amp;'5) Release_Track'!$G:$G,1,0))),vlookup($A507&amp;$B507,{'5) Release_Track'!$F:$F&amp;'5) Release_Track'!$G:$G,'5) Release_Track'!$I:$I},2,0),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E507" s="150" t="b">
        <v>0</v>
      </c>
      <c r="F507" s="150" t="b">
        <v>0</v>
      </c>
      <c r="G507" s="150" t="b">
        <v>0</v>
      </c>
      <c r="H507" s="150" t="b">
        <v>0</v>
      </c>
      <c r="I507" s="150" t="b">
        <v>0</v>
      </c>
      <c r="J507" s="150" t="b">
        <v>0</v>
      </c>
      <c r="K507" s="150" t="b">
        <v>0</v>
      </c>
      <c r="L507" s="8" t="b">
        <v>0</v>
      </c>
    </row>
    <row r="508">
      <c r="B508" s="97"/>
      <c r="C508" s="121" t="str">
        <f t="array" ref="C508">ifs(and(isblank($A508),isblank($B508)),"", not(iserror(vlookup($A508&amp;$B508,'5) Release_Track'!$F:$F&amp;'5) Release_Track'!$G:$G,1,0))),vlookup($A508&amp;$B508,{'5) Release_Track'!$F:$F&amp;'5) Release_Track'!$G:$G,'5) Release_Track'!$H:$H},2,0),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D508" s="121" t="str">
        <f t="array" ref="D508">ifs(and(isblank($A508),isblank($B508)),"", not(iserror(vlookup($A508&amp;$B508,'5) Release_Track'!$F:$F&amp;'5) Release_Track'!$G:$G,1,0))),vlookup($A508&amp;$B508,{'5) Release_Track'!$F:$F&amp;'5) Release_Track'!$G:$G,'5) Release_Track'!$I:$I},2,0),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E508" s="150" t="b">
        <v>0</v>
      </c>
      <c r="F508" s="150" t="b">
        <v>0</v>
      </c>
      <c r="G508" s="150" t="b">
        <v>0</v>
      </c>
      <c r="H508" s="150" t="b">
        <v>0</v>
      </c>
      <c r="I508" s="150" t="b">
        <v>0</v>
      </c>
      <c r="J508" s="150" t="b">
        <v>0</v>
      </c>
      <c r="K508" s="150" t="b">
        <v>0</v>
      </c>
      <c r="L508" s="8" t="b">
        <v>0</v>
      </c>
    </row>
    <row r="509">
      <c r="B509" s="97"/>
      <c r="C509" s="121" t="str">
        <f t="array" ref="C509">ifs(and(isblank($A509),isblank($B509)),"", not(iserror(vlookup($A509&amp;$B509,'5) Release_Track'!$F:$F&amp;'5) Release_Track'!$G:$G,1,0))),vlookup($A509&amp;$B509,{'5) Release_Track'!$F:$F&amp;'5) Release_Track'!$G:$G,'5) Release_Track'!$H:$H},2,0),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D509" s="121" t="str">
        <f t="array" ref="D509">ifs(and(isblank($A509),isblank($B509)),"", not(iserror(vlookup($A509&amp;$B509,'5) Release_Track'!$F:$F&amp;'5) Release_Track'!$G:$G,1,0))),vlookup($A509&amp;$B509,{'5) Release_Track'!$F:$F&amp;'5) Release_Track'!$G:$G,'5) Release_Track'!$I:$I},2,0),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E509" s="150" t="b">
        <v>0</v>
      </c>
      <c r="F509" s="150" t="b">
        <v>0</v>
      </c>
      <c r="G509" s="150" t="b">
        <v>0</v>
      </c>
      <c r="H509" s="150" t="b">
        <v>0</v>
      </c>
      <c r="I509" s="150" t="b">
        <v>0</v>
      </c>
      <c r="J509" s="150" t="b">
        <v>0</v>
      </c>
      <c r="K509" s="150" t="b">
        <v>0</v>
      </c>
      <c r="L509" s="8" t="b">
        <v>0</v>
      </c>
    </row>
    <row r="510">
      <c r="B510" s="97"/>
      <c r="C510" s="121" t="str">
        <f t="array" ref="C510">ifs(and(isblank($A510),isblank($B510)),"", not(iserror(vlookup($A510&amp;$B510,'5) Release_Track'!$F:$F&amp;'5) Release_Track'!$G:$G,1,0))),vlookup($A510&amp;$B510,{'5) Release_Track'!$F:$F&amp;'5) Release_Track'!$G:$G,'5) Release_Track'!$H:$H},2,0),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D510" s="121" t="str">
        <f t="array" ref="D510">ifs(and(isblank($A510),isblank($B510)),"", not(iserror(vlookup($A510&amp;$B510,'5) Release_Track'!$F:$F&amp;'5) Release_Track'!$G:$G,1,0))),vlookup($A510&amp;$B510,{'5) Release_Track'!$F:$F&amp;'5) Release_Track'!$G:$G,'5) Release_Track'!$I:$I},2,0),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E510" s="150" t="b">
        <v>0</v>
      </c>
      <c r="F510" s="150" t="b">
        <v>0</v>
      </c>
      <c r="G510" s="150" t="b">
        <v>0</v>
      </c>
      <c r="H510" s="150" t="b">
        <v>0</v>
      </c>
      <c r="I510" s="150" t="b">
        <v>0</v>
      </c>
      <c r="J510" s="150" t="b">
        <v>0</v>
      </c>
      <c r="K510" s="150" t="b">
        <v>0</v>
      </c>
      <c r="L510" s="8" t="b">
        <v>0</v>
      </c>
    </row>
    <row r="511">
      <c r="B511" s="97"/>
      <c r="C511" s="121" t="str">
        <f t="array" ref="C511">ifs(and(isblank($A511),isblank($B511)),"", not(iserror(vlookup($A511&amp;$B511,'5) Release_Track'!$F:$F&amp;'5) Release_Track'!$G:$G,1,0))),vlookup($A511&amp;$B511,{'5) Release_Track'!$F:$F&amp;'5) Release_Track'!$G:$G,'5) Release_Track'!$H:$H},2,0),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D511" s="121" t="str">
        <f t="array" ref="D511">ifs(and(isblank($A511),isblank($B511)),"", not(iserror(vlookup($A511&amp;$B511,'5) Release_Track'!$F:$F&amp;'5) Release_Track'!$G:$G,1,0))),vlookup($A511&amp;$B511,{'5) Release_Track'!$F:$F&amp;'5) Release_Track'!$G:$G,'5) Release_Track'!$I:$I},2,0),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E511" s="150" t="b">
        <v>0</v>
      </c>
      <c r="F511" s="150" t="b">
        <v>0</v>
      </c>
      <c r="G511" s="150" t="b">
        <v>0</v>
      </c>
      <c r="H511" s="150" t="b">
        <v>0</v>
      </c>
      <c r="I511" s="150" t="b">
        <v>0</v>
      </c>
      <c r="J511" s="150" t="b">
        <v>0</v>
      </c>
      <c r="K511" s="150" t="b">
        <v>0</v>
      </c>
      <c r="L511" s="8" t="b">
        <v>0</v>
      </c>
    </row>
    <row r="512">
      <c r="B512" s="97"/>
      <c r="C512" s="121" t="str">
        <f t="array" ref="C512">ifs(and(isblank($A512),isblank($B512)),"", not(iserror(vlookup($A512&amp;$B512,'5) Release_Track'!$F:$F&amp;'5) Release_Track'!$G:$G,1,0))),vlookup($A512&amp;$B512,{'5) Release_Track'!$F:$F&amp;'5) Release_Track'!$G:$G,'5) Release_Track'!$H:$H},2,0),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D512" s="121" t="str">
        <f t="array" ref="D512">ifs(and(isblank($A512),isblank($B512)),"", not(iserror(vlookup($A512&amp;$B512,'5) Release_Track'!$F:$F&amp;'5) Release_Track'!$G:$G,1,0))),vlookup($A512&amp;$B512,{'5) Release_Track'!$F:$F&amp;'5) Release_Track'!$G:$G,'5) Release_Track'!$I:$I},2,0),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E512" s="150" t="b">
        <v>0</v>
      </c>
      <c r="F512" s="150" t="b">
        <v>0</v>
      </c>
      <c r="G512" s="150" t="b">
        <v>0</v>
      </c>
      <c r="H512" s="150" t="b">
        <v>0</v>
      </c>
      <c r="I512" s="150" t="b">
        <v>0</v>
      </c>
      <c r="J512" s="150" t="b">
        <v>0</v>
      </c>
      <c r="K512" s="150" t="b">
        <v>0</v>
      </c>
      <c r="L512" s="8" t="b">
        <v>0</v>
      </c>
    </row>
    <row r="513">
      <c r="B513" s="97"/>
      <c r="C513" s="121" t="str">
        <f t="array" ref="C513">ifs(and(isblank($A513),isblank($B513)),"", not(iserror(vlookup($A513&amp;$B513,'5) Release_Track'!$F:$F&amp;'5) Release_Track'!$G:$G,1,0))),vlookup($A513&amp;$B513,{'5) Release_Track'!$F:$F&amp;'5) Release_Track'!$G:$G,'5) Release_Track'!$H:$H},2,0),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D513" s="121" t="str">
        <f t="array" ref="D513">ifs(and(isblank($A513),isblank($B513)),"", not(iserror(vlookup($A513&amp;$B513,'5) Release_Track'!$F:$F&amp;'5) Release_Track'!$G:$G,1,0))),vlookup($A513&amp;$B513,{'5) Release_Track'!$F:$F&amp;'5) Release_Track'!$G:$G,'5) Release_Track'!$I:$I},2,0),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E513" s="150" t="b">
        <v>0</v>
      </c>
      <c r="F513" s="150" t="b">
        <v>0</v>
      </c>
      <c r="G513" s="150" t="b">
        <v>0</v>
      </c>
      <c r="H513" s="150" t="b">
        <v>0</v>
      </c>
      <c r="I513" s="150" t="b">
        <v>0</v>
      </c>
      <c r="J513" s="150" t="b">
        <v>0</v>
      </c>
      <c r="K513" s="150" t="b">
        <v>0</v>
      </c>
      <c r="L513" s="8" t="b">
        <v>0</v>
      </c>
    </row>
    <row r="514">
      <c r="B514" s="97"/>
      <c r="C514" s="121" t="str">
        <f t="array" ref="C514">ifs(and(isblank($A514),isblank($B514)),"", not(iserror(vlookup($A514&amp;$B514,'5) Release_Track'!$F:$F&amp;'5) Release_Track'!$G:$G,1,0))),vlookup($A514&amp;$B514,{'5) Release_Track'!$F:$F&amp;'5) Release_Track'!$G:$G,'5) Release_Track'!$H:$H},2,0),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D514" s="121" t="str">
        <f t="array" ref="D514">ifs(and(isblank($A514),isblank($B514)),"", not(iserror(vlookup($A514&amp;$B514,'5) Release_Track'!$F:$F&amp;'5) Release_Track'!$G:$G,1,0))),vlookup($A514&amp;$B514,{'5) Release_Track'!$F:$F&amp;'5) Release_Track'!$G:$G,'5) Release_Track'!$I:$I},2,0),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E514" s="150" t="b">
        <v>0</v>
      </c>
      <c r="F514" s="150" t="b">
        <v>0</v>
      </c>
      <c r="G514" s="150" t="b">
        <v>0</v>
      </c>
      <c r="H514" s="150" t="b">
        <v>0</v>
      </c>
      <c r="I514" s="150" t="b">
        <v>0</v>
      </c>
      <c r="J514" s="150" t="b">
        <v>0</v>
      </c>
      <c r="K514" s="150" t="b">
        <v>0</v>
      </c>
      <c r="L514" s="8" t="b">
        <v>0</v>
      </c>
    </row>
    <row r="515">
      <c r="B515" s="97"/>
      <c r="C515" s="121" t="str">
        <f t="array" ref="C515">ifs(and(isblank($A515),isblank($B515)),"", not(iserror(vlookup($A515&amp;$B515,'5) Release_Track'!$F:$F&amp;'5) Release_Track'!$G:$G,1,0))),vlookup($A515&amp;$B515,{'5) Release_Track'!$F:$F&amp;'5) Release_Track'!$G:$G,'5) Release_Track'!$H:$H},2,0),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D515" s="121" t="str">
        <f t="array" ref="D515">ifs(and(isblank($A515),isblank($B515)),"", not(iserror(vlookup($A515&amp;$B515,'5) Release_Track'!$F:$F&amp;'5) Release_Track'!$G:$G,1,0))),vlookup($A515&amp;$B515,{'5) Release_Track'!$F:$F&amp;'5) Release_Track'!$G:$G,'5) Release_Track'!$I:$I},2,0),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E515" s="150" t="b">
        <v>0</v>
      </c>
      <c r="F515" s="150" t="b">
        <v>0</v>
      </c>
      <c r="G515" s="150" t="b">
        <v>0</v>
      </c>
      <c r="H515" s="150" t="b">
        <v>0</v>
      </c>
      <c r="I515" s="150" t="b">
        <v>0</v>
      </c>
      <c r="J515" s="150" t="b">
        <v>0</v>
      </c>
      <c r="K515" s="150" t="b">
        <v>0</v>
      </c>
      <c r="L515" s="8" t="b">
        <v>0</v>
      </c>
    </row>
    <row r="516">
      <c r="B516" s="97"/>
      <c r="C516" s="121" t="str">
        <f t="array" ref="C516">ifs(and(isblank($A516),isblank($B516)),"", not(iserror(vlookup($A516&amp;$B516,'5) Release_Track'!$F:$F&amp;'5) Release_Track'!$G:$G,1,0))),vlookup($A516&amp;$B516,{'5) Release_Track'!$F:$F&amp;'5) Release_Track'!$G:$G,'5) Release_Track'!$H:$H},2,0),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D516" s="121" t="str">
        <f t="array" ref="D516">ifs(and(isblank($A516),isblank($B516)),"", not(iserror(vlookup($A516&amp;$B516,'5) Release_Track'!$F:$F&amp;'5) Release_Track'!$G:$G,1,0))),vlookup($A516&amp;$B516,{'5) Release_Track'!$F:$F&amp;'5) Release_Track'!$G:$G,'5) Release_Track'!$I:$I},2,0),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E516" s="150" t="b">
        <v>0</v>
      </c>
      <c r="F516" s="150" t="b">
        <v>0</v>
      </c>
      <c r="G516" s="150" t="b">
        <v>0</v>
      </c>
      <c r="H516" s="150" t="b">
        <v>0</v>
      </c>
      <c r="I516" s="150" t="b">
        <v>0</v>
      </c>
      <c r="J516" s="150" t="b">
        <v>0</v>
      </c>
      <c r="K516" s="150" t="b">
        <v>0</v>
      </c>
      <c r="L516" s="8" t="b">
        <v>0</v>
      </c>
    </row>
    <row r="517">
      <c r="B517" s="97"/>
      <c r="C517" s="121" t="str">
        <f t="array" ref="C517">ifs(and(isblank($A517),isblank($B517)),"", not(iserror(vlookup($A517&amp;$B517,'5) Release_Track'!$F:$F&amp;'5) Release_Track'!$G:$G,1,0))),vlookup($A517&amp;$B517,{'5) Release_Track'!$F:$F&amp;'5) Release_Track'!$G:$G,'5) Release_Track'!$H:$H},2,0),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D517" s="121" t="str">
        <f t="array" ref="D517">ifs(and(isblank($A517),isblank($B517)),"", not(iserror(vlookup($A517&amp;$B517,'5) Release_Track'!$F:$F&amp;'5) Release_Track'!$G:$G,1,0))),vlookup($A517&amp;$B517,{'5) Release_Track'!$F:$F&amp;'5) Release_Track'!$G:$G,'5) Release_Track'!$I:$I},2,0),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E517" s="150" t="b">
        <v>0</v>
      </c>
      <c r="F517" s="150" t="b">
        <v>0</v>
      </c>
      <c r="G517" s="150" t="b">
        <v>0</v>
      </c>
      <c r="H517" s="150" t="b">
        <v>0</v>
      </c>
      <c r="I517" s="150" t="b">
        <v>0</v>
      </c>
      <c r="J517" s="150" t="b">
        <v>0</v>
      </c>
      <c r="K517" s="150" t="b">
        <v>0</v>
      </c>
      <c r="L517" s="8" t="b">
        <v>0</v>
      </c>
    </row>
    <row r="518">
      <c r="B518" s="97"/>
      <c r="C518" s="121" t="str">
        <f t="array" ref="C518">ifs(and(isblank($A518),isblank($B518)),"", not(iserror(vlookup($A518&amp;$B518,'5) Release_Track'!$F:$F&amp;'5) Release_Track'!$G:$G,1,0))),vlookup($A518&amp;$B518,{'5) Release_Track'!$F:$F&amp;'5) Release_Track'!$G:$G,'5) Release_Track'!$H:$H},2,0),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D518" s="121" t="str">
        <f t="array" ref="D518">ifs(and(isblank($A518),isblank($B518)),"", not(iserror(vlookup($A518&amp;$B518,'5) Release_Track'!$F:$F&amp;'5) Release_Track'!$G:$G,1,0))),vlookup($A518&amp;$B518,{'5) Release_Track'!$F:$F&amp;'5) Release_Track'!$G:$G,'5) Release_Track'!$I:$I},2,0),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E518" s="150" t="b">
        <v>0</v>
      </c>
      <c r="F518" s="150" t="b">
        <v>0</v>
      </c>
      <c r="G518" s="150" t="b">
        <v>0</v>
      </c>
      <c r="H518" s="150" t="b">
        <v>0</v>
      </c>
      <c r="I518" s="150" t="b">
        <v>0</v>
      </c>
      <c r="J518" s="150" t="b">
        <v>0</v>
      </c>
      <c r="K518" s="150" t="b">
        <v>0</v>
      </c>
      <c r="L518" s="8" t="b">
        <v>0</v>
      </c>
    </row>
    <row r="519">
      <c r="B519" s="97"/>
      <c r="C519" s="121" t="str">
        <f t="array" ref="C519">ifs(and(isblank($A519),isblank($B519)),"", not(iserror(vlookup($A519&amp;$B519,'5) Release_Track'!$F:$F&amp;'5) Release_Track'!$G:$G,1,0))),vlookup($A519&amp;$B519,{'5) Release_Track'!$F:$F&amp;'5) Release_Track'!$G:$G,'5) Release_Track'!$H:$H},2,0),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D519" s="121" t="str">
        <f t="array" ref="D519">ifs(and(isblank($A519),isblank($B519)),"", not(iserror(vlookup($A519&amp;$B519,'5) Release_Track'!$F:$F&amp;'5) Release_Track'!$G:$G,1,0))),vlookup($A519&amp;$B519,{'5) Release_Track'!$F:$F&amp;'5) Release_Track'!$G:$G,'5) Release_Track'!$I:$I},2,0),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E519" s="150" t="b">
        <v>0</v>
      </c>
      <c r="F519" s="150" t="b">
        <v>0</v>
      </c>
      <c r="G519" s="150" t="b">
        <v>0</v>
      </c>
      <c r="H519" s="150" t="b">
        <v>0</v>
      </c>
      <c r="I519" s="150" t="b">
        <v>0</v>
      </c>
      <c r="J519" s="150" t="b">
        <v>0</v>
      </c>
      <c r="K519" s="150" t="b">
        <v>0</v>
      </c>
      <c r="L519" s="8" t="b">
        <v>0</v>
      </c>
    </row>
    <row r="520">
      <c r="B520" s="97"/>
      <c r="C520" s="121" t="str">
        <f t="array" ref="C520">ifs(and(isblank($A520),isblank($B520)),"", not(iserror(vlookup($A520&amp;$B520,'5) Release_Track'!$F:$F&amp;'5) Release_Track'!$G:$G,1,0))),vlookup($A520&amp;$B520,{'5) Release_Track'!$F:$F&amp;'5) Release_Track'!$G:$G,'5) Release_Track'!$H:$H},2,0),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D520" s="121" t="str">
        <f t="array" ref="D520">ifs(and(isblank($A520),isblank($B520)),"", not(iserror(vlookup($A520&amp;$B520,'5) Release_Track'!$F:$F&amp;'5) Release_Track'!$G:$G,1,0))),vlookup($A520&amp;$B520,{'5) Release_Track'!$F:$F&amp;'5) Release_Track'!$G:$G,'5) Release_Track'!$I:$I},2,0),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E520" s="150" t="b">
        <v>0</v>
      </c>
      <c r="F520" s="150" t="b">
        <v>0</v>
      </c>
      <c r="G520" s="150" t="b">
        <v>0</v>
      </c>
      <c r="H520" s="150" t="b">
        <v>0</v>
      </c>
      <c r="I520" s="150" t="b">
        <v>0</v>
      </c>
      <c r="J520" s="150" t="b">
        <v>0</v>
      </c>
      <c r="K520" s="150" t="b">
        <v>0</v>
      </c>
      <c r="L520" s="8" t="b">
        <v>0</v>
      </c>
    </row>
    <row r="521">
      <c r="B521" s="97"/>
      <c r="C521" s="121" t="str">
        <f t="array" ref="C521">ifs(and(isblank($A521),isblank($B521)),"", not(iserror(vlookup($A521&amp;$B521,'5) Release_Track'!$F:$F&amp;'5) Release_Track'!$G:$G,1,0))),vlookup($A521&amp;$B521,{'5) Release_Track'!$F:$F&amp;'5) Release_Track'!$G:$G,'5) Release_Track'!$H:$H},2,0),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D521" s="121" t="str">
        <f t="array" ref="D521">ifs(and(isblank($A521),isblank($B521)),"", not(iserror(vlookup($A521&amp;$B521,'5) Release_Track'!$F:$F&amp;'5) Release_Track'!$G:$G,1,0))),vlookup($A521&amp;$B521,{'5) Release_Track'!$F:$F&amp;'5) Release_Track'!$G:$G,'5) Release_Track'!$I:$I},2,0),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E521" s="150" t="b">
        <v>0</v>
      </c>
      <c r="F521" s="150" t="b">
        <v>0</v>
      </c>
      <c r="G521" s="150" t="b">
        <v>0</v>
      </c>
      <c r="H521" s="150" t="b">
        <v>0</v>
      </c>
      <c r="I521" s="150" t="b">
        <v>0</v>
      </c>
      <c r="J521" s="150" t="b">
        <v>0</v>
      </c>
      <c r="K521" s="150" t="b">
        <v>0</v>
      </c>
      <c r="L521" s="8" t="b">
        <v>0</v>
      </c>
    </row>
    <row r="522">
      <c r="B522" s="97"/>
      <c r="C522" s="121" t="str">
        <f t="array" ref="C522">ifs(and(isblank($A522),isblank($B522)),"", not(iserror(vlookup($A522&amp;$B522,'5) Release_Track'!$F:$F&amp;'5) Release_Track'!$G:$G,1,0))),vlookup($A522&amp;$B522,{'5) Release_Track'!$F:$F&amp;'5) Release_Track'!$G:$G,'5) Release_Track'!$H:$H},2,0),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D522" s="121" t="str">
        <f t="array" ref="D522">ifs(and(isblank($A522),isblank($B522)),"", not(iserror(vlookup($A522&amp;$B522,'5) Release_Track'!$F:$F&amp;'5) Release_Track'!$G:$G,1,0))),vlookup($A522&amp;$B522,{'5) Release_Track'!$F:$F&amp;'5) Release_Track'!$G:$G,'5) Release_Track'!$I:$I},2,0),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E522" s="150" t="b">
        <v>0</v>
      </c>
      <c r="F522" s="150" t="b">
        <v>0</v>
      </c>
      <c r="G522" s="150" t="b">
        <v>0</v>
      </c>
      <c r="H522" s="150" t="b">
        <v>0</v>
      </c>
      <c r="I522" s="150" t="b">
        <v>0</v>
      </c>
      <c r="J522" s="150" t="b">
        <v>0</v>
      </c>
      <c r="K522" s="150" t="b">
        <v>0</v>
      </c>
      <c r="L522" s="8" t="b">
        <v>0</v>
      </c>
    </row>
    <row r="523">
      <c r="B523" s="97"/>
      <c r="C523" s="121" t="str">
        <f t="array" ref="C523">ifs(and(isblank($A523),isblank($B523)),"", not(iserror(vlookup($A523&amp;$B523,'5) Release_Track'!$F:$F&amp;'5) Release_Track'!$G:$G,1,0))),vlookup($A523&amp;$B523,{'5) Release_Track'!$F:$F&amp;'5) Release_Track'!$G:$G,'5) Release_Track'!$H:$H},2,0),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D523" s="121" t="str">
        <f t="array" ref="D523">ifs(and(isblank($A523),isblank($B523)),"", not(iserror(vlookup($A523&amp;$B523,'5) Release_Track'!$F:$F&amp;'5) Release_Track'!$G:$G,1,0))),vlookup($A523&amp;$B523,{'5) Release_Track'!$F:$F&amp;'5) Release_Track'!$G:$G,'5) Release_Track'!$I:$I},2,0),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E523" s="150" t="b">
        <v>0</v>
      </c>
      <c r="F523" s="150" t="b">
        <v>0</v>
      </c>
      <c r="G523" s="150" t="b">
        <v>0</v>
      </c>
      <c r="H523" s="150" t="b">
        <v>0</v>
      </c>
      <c r="I523" s="150" t="b">
        <v>0</v>
      </c>
      <c r="J523" s="150" t="b">
        <v>0</v>
      </c>
      <c r="K523" s="150" t="b">
        <v>0</v>
      </c>
      <c r="L523" s="8" t="b">
        <v>0</v>
      </c>
    </row>
    <row r="524">
      <c r="B524" s="97"/>
      <c r="C524" s="121" t="str">
        <f t="array" ref="C524">ifs(and(isblank($A524),isblank($B524)),"", not(iserror(vlookup($A524&amp;$B524,'5) Release_Track'!$F:$F&amp;'5) Release_Track'!$G:$G,1,0))),vlookup($A524&amp;$B524,{'5) Release_Track'!$F:$F&amp;'5) Release_Track'!$G:$G,'5) Release_Track'!$H:$H},2,0),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D524" s="121" t="str">
        <f t="array" ref="D524">ifs(and(isblank($A524),isblank($B524)),"", not(iserror(vlookup($A524&amp;$B524,'5) Release_Track'!$F:$F&amp;'5) Release_Track'!$G:$G,1,0))),vlookup($A524&amp;$B524,{'5) Release_Track'!$F:$F&amp;'5) Release_Track'!$G:$G,'5) Release_Track'!$I:$I},2,0),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E524" s="150" t="b">
        <v>0</v>
      </c>
      <c r="F524" s="150" t="b">
        <v>0</v>
      </c>
      <c r="G524" s="150" t="b">
        <v>0</v>
      </c>
      <c r="H524" s="150" t="b">
        <v>0</v>
      </c>
      <c r="I524" s="150" t="b">
        <v>0</v>
      </c>
      <c r="J524" s="150" t="b">
        <v>0</v>
      </c>
      <c r="K524" s="150" t="b">
        <v>0</v>
      </c>
      <c r="L524" s="8" t="b">
        <v>0</v>
      </c>
    </row>
    <row r="525">
      <c r="B525" s="97"/>
      <c r="C525" s="121" t="str">
        <f t="array" ref="C525">ifs(and(isblank($A525),isblank($B525)),"", not(iserror(vlookup($A525&amp;$B525,'5) Release_Track'!$F:$F&amp;'5) Release_Track'!$G:$G,1,0))),vlookup($A525&amp;$B525,{'5) Release_Track'!$F:$F&amp;'5) Release_Track'!$G:$G,'5) Release_Track'!$H:$H},2,0),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D525" s="121" t="str">
        <f t="array" ref="D525">ifs(and(isblank($A525),isblank($B525)),"", not(iserror(vlookup($A525&amp;$B525,'5) Release_Track'!$F:$F&amp;'5) Release_Track'!$G:$G,1,0))),vlookup($A525&amp;$B525,{'5) Release_Track'!$F:$F&amp;'5) Release_Track'!$G:$G,'5) Release_Track'!$I:$I},2,0),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E525" s="150" t="b">
        <v>0</v>
      </c>
      <c r="F525" s="150" t="b">
        <v>0</v>
      </c>
      <c r="G525" s="150" t="b">
        <v>0</v>
      </c>
      <c r="H525" s="150" t="b">
        <v>0</v>
      </c>
      <c r="I525" s="150" t="b">
        <v>0</v>
      </c>
      <c r="J525" s="150" t="b">
        <v>0</v>
      </c>
      <c r="K525" s="150" t="b">
        <v>0</v>
      </c>
      <c r="L525" s="8" t="b">
        <v>0</v>
      </c>
    </row>
    <row r="526">
      <c r="B526" s="97"/>
      <c r="C526" s="121" t="str">
        <f t="array" ref="C526">ifs(and(isblank($A526),isblank($B526)),"", not(iserror(vlookup($A526&amp;$B526,'5) Release_Track'!$F:$F&amp;'5) Release_Track'!$G:$G,1,0))),vlookup($A526&amp;$B526,{'5) Release_Track'!$F:$F&amp;'5) Release_Track'!$G:$G,'5) Release_Track'!$H:$H},2,0),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D526" s="121" t="str">
        <f t="array" ref="D526">ifs(and(isblank($A526),isblank($B526)),"", not(iserror(vlookup($A526&amp;$B526,'5) Release_Track'!$F:$F&amp;'5) Release_Track'!$G:$G,1,0))),vlookup($A526&amp;$B526,{'5) Release_Track'!$F:$F&amp;'5) Release_Track'!$G:$G,'5) Release_Track'!$I:$I},2,0),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E526" s="150" t="b">
        <v>0</v>
      </c>
      <c r="F526" s="150" t="b">
        <v>0</v>
      </c>
      <c r="G526" s="150" t="b">
        <v>0</v>
      </c>
      <c r="H526" s="150" t="b">
        <v>0</v>
      </c>
      <c r="I526" s="150" t="b">
        <v>0</v>
      </c>
      <c r="J526" s="150" t="b">
        <v>0</v>
      </c>
      <c r="K526" s="150" t="b">
        <v>0</v>
      </c>
      <c r="L526" s="8" t="b">
        <v>0</v>
      </c>
    </row>
    <row r="527">
      <c r="B527" s="97"/>
      <c r="C527" s="121" t="str">
        <f t="array" ref="C527">ifs(and(isblank($A527),isblank($B527)),"", not(iserror(vlookup($A527&amp;$B527,'5) Release_Track'!$F:$F&amp;'5) Release_Track'!$G:$G,1,0))),vlookup($A527&amp;$B527,{'5) Release_Track'!$F:$F&amp;'5) Release_Track'!$G:$G,'5) Release_Track'!$H:$H},2,0),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D527" s="121" t="str">
        <f t="array" ref="D527">ifs(and(isblank($A527),isblank($B527)),"", not(iserror(vlookup($A527&amp;$B527,'5) Release_Track'!$F:$F&amp;'5) Release_Track'!$G:$G,1,0))),vlookup($A527&amp;$B527,{'5) Release_Track'!$F:$F&amp;'5) Release_Track'!$G:$G,'5) Release_Track'!$I:$I},2,0),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E527" s="150" t="b">
        <v>0</v>
      </c>
      <c r="F527" s="150" t="b">
        <v>0</v>
      </c>
      <c r="G527" s="150" t="b">
        <v>0</v>
      </c>
      <c r="H527" s="150" t="b">
        <v>0</v>
      </c>
      <c r="I527" s="150" t="b">
        <v>0</v>
      </c>
      <c r="J527" s="150" t="b">
        <v>0</v>
      </c>
      <c r="K527" s="150" t="b">
        <v>0</v>
      </c>
      <c r="L527" s="8" t="b">
        <v>0</v>
      </c>
    </row>
    <row r="528">
      <c r="B528" s="97"/>
      <c r="C528" s="121" t="str">
        <f t="array" ref="C528">ifs(and(isblank($A528),isblank($B528)),"", not(iserror(vlookup($A528&amp;$B528,'5) Release_Track'!$F:$F&amp;'5) Release_Track'!$G:$G,1,0))),vlookup($A528&amp;$B528,{'5) Release_Track'!$F:$F&amp;'5) Release_Track'!$G:$G,'5) Release_Track'!$H:$H},2,0),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D528" s="121" t="str">
        <f t="array" ref="D528">ifs(and(isblank($A528),isblank($B528)),"", not(iserror(vlookup($A528&amp;$B528,'5) Release_Track'!$F:$F&amp;'5) Release_Track'!$G:$G,1,0))),vlookup($A528&amp;$B528,{'5) Release_Track'!$F:$F&amp;'5) Release_Track'!$G:$G,'5) Release_Track'!$I:$I},2,0),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E528" s="150" t="b">
        <v>0</v>
      </c>
      <c r="F528" s="150" t="b">
        <v>0</v>
      </c>
      <c r="G528" s="150" t="b">
        <v>0</v>
      </c>
      <c r="H528" s="150" t="b">
        <v>0</v>
      </c>
      <c r="I528" s="150" t="b">
        <v>0</v>
      </c>
      <c r="J528" s="150" t="b">
        <v>0</v>
      </c>
      <c r="K528" s="150" t="b">
        <v>0</v>
      </c>
      <c r="L528" s="8" t="b">
        <v>0</v>
      </c>
    </row>
    <row r="529">
      <c r="B529" s="97"/>
      <c r="C529" s="121" t="str">
        <f t="array" ref="C529">ifs(and(isblank($A529),isblank($B529)),"", not(iserror(vlookup($A529&amp;$B529,'5) Release_Track'!$F:$F&amp;'5) Release_Track'!$G:$G,1,0))),vlookup($A529&amp;$B529,{'5) Release_Track'!$F:$F&amp;'5) Release_Track'!$G:$G,'5) Release_Track'!$H:$H},2,0),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D529" s="121" t="str">
        <f t="array" ref="D529">ifs(and(isblank($A529),isblank($B529)),"", not(iserror(vlookup($A529&amp;$B529,'5) Release_Track'!$F:$F&amp;'5) Release_Track'!$G:$G,1,0))),vlookup($A529&amp;$B529,{'5) Release_Track'!$F:$F&amp;'5) Release_Track'!$G:$G,'5) Release_Track'!$I:$I},2,0),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E529" s="150" t="b">
        <v>0</v>
      </c>
      <c r="F529" s="150" t="b">
        <v>0</v>
      </c>
      <c r="G529" s="150" t="b">
        <v>0</v>
      </c>
      <c r="H529" s="150" t="b">
        <v>0</v>
      </c>
      <c r="I529" s="150" t="b">
        <v>0</v>
      </c>
      <c r="J529" s="150" t="b">
        <v>0</v>
      </c>
      <c r="K529" s="150" t="b">
        <v>0</v>
      </c>
      <c r="L529" s="8" t="b">
        <v>0</v>
      </c>
    </row>
    <row r="530">
      <c r="B530" s="97"/>
      <c r="C530" s="121" t="str">
        <f t="array" ref="C530">ifs(and(isblank($A530),isblank($B530)),"", not(iserror(vlookup($A530&amp;$B530,'5) Release_Track'!$F:$F&amp;'5) Release_Track'!$G:$G,1,0))),vlookup($A530&amp;$B530,{'5) Release_Track'!$F:$F&amp;'5) Release_Track'!$G:$G,'5) Release_Track'!$H:$H},2,0),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D530" s="121" t="str">
        <f t="array" ref="D530">ifs(and(isblank($A530),isblank($B530)),"", not(iserror(vlookup($A530&amp;$B530,'5) Release_Track'!$F:$F&amp;'5) Release_Track'!$G:$G,1,0))),vlookup($A530&amp;$B530,{'5) Release_Track'!$F:$F&amp;'5) Release_Track'!$G:$G,'5) Release_Track'!$I:$I},2,0),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E530" s="150" t="b">
        <v>0</v>
      </c>
      <c r="F530" s="150" t="b">
        <v>0</v>
      </c>
      <c r="G530" s="150" t="b">
        <v>0</v>
      </c>
      <c r="H530" s="150" t="b">
        <v>0</v>
      </c>
      <c r="I530" s="150" t="b">
        <v>0</v>
      </c>
      <c r="J530" s="150" t="b">
        <v>0</v>
      </c>
      <c r="K530" s="150" t="b">
        <v>0</v>
      </c>
      <c r="L530" s="8" t="b">
        <v>0</v>
      </c>
    </row>
    <row r="531">
      <c r="B531" s="97"/>
      <c r="C531" s="121" t="str">
        <f t="array" ref="C531">ifs(and(isblank($A531),isblank($B531)),"", not(iserror(vlookup($A531&amp;$B531,'5) Release_Track'!$F:$F&amp;'5) Release_Track'!$G:$G,1,0))),vlookup($A531&amp;$B531,{'5) Release_Track'!$F:$F&amp;'5) Release_Track'!$G:$G,'5) Release_Track'!$H:$H},2,0),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D531" s="121" t="str">
        <f t="array" ref="D531">ifs(and(isblank($A531),isblank($B531)),"", not(iserror(vlookup($A531&amp;$B531,'5) Release_Track'!$F:$F&amp;'5) Release_Track'!$G:$G,1,0))),vlookup($A531&amp;$B531,{'5) Release_Track'!$F:$F&amp;'5) Release_Track'!$G:$G,'5) Release_Track'!$I:$I},2,0),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E531" s="150" t="b">
        <v>0</v>
      </c>
      <c r="F531" s="150" t="b">
        <v>0</v>
      </c>
      <c r="G531" s="150" t="b">
        <v>0</v>
      </c>
      <c r="H531" s="150" t="b">
        <v>0</v>
      </c>
      <c r="I531" s="150" t="b">
        <v>0</v>
      </c>
      <c r="J531" s="150" t="b">
        <v>0</v>
      </c>
      <c r="K531" s="150" t="b">
        <v>0</v>
      </c>
      <c r="L531" s="8" t="b">
        <v>0</v>
      </c>
    </row>
    <row r="532">
      <c r="B532" s="97"/>
      <c r="C532" s="121" t="str">
        <f t="array" ref="C532">ifs(and(isblank($A532),isblank($B532)),"", not(iserror(vlookup($A532&amp;$B532,'5) Release_Track'!$F:$F&amp;'5) Release_Track'!$G:$G,1,0))),vlookup($A532&amp;$B532,{'5) Release_Track'!$F:$F&amp;'5) Release_Track'!$G:$G,'5) Release_Track'!$H:$H},2,0),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D532" s="121" t="str">
        <f t="array" ref="D532">ifs(and(isblank($A532),isblank($B532)),"", not(iserror(vlookup($A532&amp;$B532,'5) Release_Track'!$F:$F&amp;'5) Release_Track'!$G:$G,1,0))),vlookup($A532&amp;$B532,{'5) Release_Track'!$F:$F&amp;'5) Release_Track'!$G:$G,'5) Release_Track'!$I:$I},2,0),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E532" s="150" t="b">
        <v>0</v>
      </c>
      <c r="F532" s="150" t="b">
        <v>0</v>
      </c>
      <c r="G532" s="150" t="b">
        <v>0</v>
      </c>
      <c r="H532" s="150" t="b">
        <v>0</v>
      </c>
      <c r="I532" s="150" t="b">
        <v>0</v>
      </c>
      <c r="J532" s="150" t="b">
        <v>0</v>
      </c>
      <c r="K532" s="150" t="b">
        <v>0</v>
      </c>
      <c r="L532" s="8" t="b">
        <v>0</v>
      </c>
    </row>
    <row r="533">
      <c r="B533" s="97"/>
      <c r="C533" s="121" t="str">
        <f t="array" ref="C533">ifs(and(isblank($A533),isblank($B533)),"", not(iserror(vlookup($A533&amp;$B533,'5) Release_Track'!$F:$F&amp;'5) Release_Track'!$G:$G,1,0))),vlookup($A533&amp;$B533,{'5) Release_Track'!$F:$F&amp;'5) Release_Track'!$G:$G,'5) Release_Track'!$H:$H},2,0),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D533" s="121" t="str">
        <f t="array" ref="D533">ifs(and(isblank($A533),isblank($B533)),"", not(iserror(vlookup($A533&amp;$B533,'5) Release_Track'!$F:$F&amp;'5) Release_Track'!$G:$G,1,0))),vlookup($A533&amp;$B533,{'5) Release_Track'!$F:$F&amp;'5) Release_Track'!$G:$G,'5) Release_Track'!$I:$I},2,0),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E533" s="150" t="b">
        <v>0</v>
      </c>
      <c r="F533" s="150" t="b">
        <v>0</v>
      </c>
      <c r="G533" s="150" t="b">
        <v>0</v>
      </c>
      <c r="H533" s="150" t="b">
        <v>0</v>
      </c>
      <c r="I533" s="150" t="b">
        <v>0</v>
      </c>
      <c r="J533" s="150" t="b">
        <v>0</v>
      </c>
      <c r="K533" s="150" t="b">
        <v>0</v>
      </c>
      <c r="L533" s="8" t="b">
        <v>0</v>
      </c>
    </row>
    <row r="534">
      <c r="B534" s="97"/>
      <c r="C534" s="121" t="str">
        <f t="array" ref="C534">ifs(and(isblank($A534),isblank($B534)),"", not(iserror(vlookup($A534&amp;$B534,'5) Release_Track'!$F:$F&amp;'5) Release_Track'!$G:$G,1,0))),vlookup($A534&amp;$B534,{'5) Release_Track'!$F:$F&amp;'5) Release_Track'!$G:$G,'5) Release_Track'!$H:$H},2,0),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D534" s="121" t="str">
        <f t="array" ref="D534">ifs(and(isblank($A534),isblank($B534)),"", not(iserror(vlookup($A534&amp;$B534,'5) Release_Track'!$F:$F&amp;'5) Release_Track'!$G:$G,1,0))),vlookup($A534&amp;$B534,{'5) Release_Track'!$F:$F&amp;'5) Release_Track'!$G:$G,'5) Release_Track'!$I:$I},2,0),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E534" s="150" t="b">
        <v>0</v>
      </c>
      <c r="F534" s="150" t="b">
        <v>0</v>
      </c>
      <c r="G534" s="150" t="b">
        <v>0</v>
      </c>
      <c r="H534" s="150" t="b">
        <v>0</v>
      </c>
      <c r="I534" s="150" t="b">
        <v>0</v>
      </c>
      <c r="J534" s="150" t="b">
        <v>0</v>
      </c>
      <c r="K534" s="150" t="b">
        <v>0</v>
      </c>
      <c r="L534" s="8" t="b">
        <v>0</v>
      </c>
    </row>
    <row r="535">
      <c r="B535" s="97"/>
      <c r="C535" s="121" t="str">
        <f t="array" ref="C535">ifs(and(isblank($A535),isblank($B535)),"", not(iserror(vlookup($A535&amp;$B535,'5) Release_Track'!$F:$F&amp;'5) Release_Track'!$G:$G,1,0))),vlookup($A535&amp;$B535,{'5) Release_Track'!$F:$F&amp;'5) Release_Track'!$G:$G,'5) Release_Track'!$H:$H},2,0),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D535" s="121" t="str">
        <f t="array" ref="D535">ifs(and(isblank($A535),isblank($B535)),"", not(iserror(vlookup($A535&amp;$B535,'5) Release_Track'!$F:$F&amp;'5) Release_Track'!$G:$G,1,0))),vlookup($A535&amp;$B535,{'5) Release_Track'!$F:$F&amp;'5) Release_Track'!$G:$G,'5) Release_Track'!$I:$I},2,0),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E535" s="150" t="b">
        <v>0</v>
      </c>
      <c r="F535" s="150" t="b">
        <v>0</v>
      </c>
      <c r="G535" s="150" t="b">
        <v>0</v>
      </c>
      <c r="H535" s="150" t="b">
        <v>0</v>
      </c>
      <c r="I535" s="150" t="b">
        <v>0</v>
      </c>
      <c r="J535" s="150" t="b">
        <v>0</v>
      </c>
      <c r="K535" s="150" t="b">
        <v>0</v>
      </c>
      <c r="L535" s="8" t="b">
        <v>0</v>
      </c>
    </row>
    <row r="536">
      <c r="B536" s="97"/>
      <c r="C536" s="121" t="str">
        <f t="array" ref="C536">ifs(and(isblank($A536),isblank($B536)),"", not(iserror(vlookup($A536&amp;$B536,'5) Release_Track'!$F:$F&amp;'5) Release_Track'!$G:$G,1,0))),vlookup($A536&amp;$B536,{'5) Release_Track'!$F:$F&amp;'5) Release_Track'!$G:$G,'5) Release_Track'!$H:$H},2,0),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D536" s="121" t="str">
        <f t="array" ref="D536">ifs(and(isblank($A536),isblank($B536)),"", not(iserror(vlookup($A536&amp;$B536,'5) Release_Track'!$F:$F&amp;'5) Release_Track'!$G:$G,1,0))),vlookup($A536&amp;$B536,{'5) Release_Track'!$F:$F&amp;'5) Release_Track'!$G:$G,'5) Release_Track'!$I:$I},2,0),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E536" s="150" t="b">
        <v>0</v>
      </c>
      <c r="F536" s="150" t="b">
        <v>0</v>
      </c>
      <c r="G536" s="150" t="b">
        <v>0</v>
      </c>
      <c r="H536" s="150" t="b">
        <v>0</v>
      </c>
      <c r="I536" s="150" t="b">
        <v>0</v>
      </c>
      <c r="J536" s="150" t="b">
        <v>0</v>
      </c>
      <c r="K536" s="150" t="b">
        <v>0</v>
      </c>
      <c r="L536" s="8" t="b">
        <v>0</v>
      </c>
    </row>
    <row r="537">
      <c r="B537" s="97"/>
      <c r="C537" s="121" t="str">
        <f t="array" ref="C537">ifs(and(isblank($A537),isblank($B537)),"", not(iserror(vlookup($A537&amp;$B537,'5) Release_Track'!$F:$F&amp;'5) Release_Track'!$G:$G,1,0))),vlookup($A537&amp;$B537,{'5) Release_Track'!$F:$F&amp;'5) Release_Track'!$G:$G,'5) Release_Track'!$H:$H},2,0),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D537" s="121" t="str">
        <f t="array" ref="D537">ifs(and(isblank($A537),isblank($B537)),"", not(iserror(vlookup($A537&amp;$B537,'5) Release_Track'!$F:$F&amp;'5) Release_Track'!$G:$G,1,0))),vlookup($A537&amp;$B537,{'5) Release_Track'!$F:$F&amp;'5) Release_Track'!$G:$G,'5) Release_Track'!$I:$I},2,0),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E537" s="150" t="b">
        <v>0</v>
      </c>
      <c r="F537" s="150" t="b">
        <v>0</v>
      </c>
      <c r="G537" s="150" t="b">
        <v>0</v>
      </c>
      <c r="H537" s="150" t="b">
        <v>0</v>
      </c>
      <c r="I537" s="150" t="b">
        <v>0</v>
      </c>
      <c r="J537" s="150" t="b">
        <v>0</v>
      </c>
      <c r="K537" s="150" t="b">
        <v>0</v>
      </c>
      <c r="L537" s="8" t="b">
        <v>0</v>
      </c>
    </row>
    <row r="538">
      <c r="B538" s="97"/>
      <c r="C538" s="121" t="str">
        <f t="array" ref="C538">ifs(and(isblank($A538),isblank($B538)),"", not(iserror(vlookup($A538&amp;$B538,'5) Release_Track'!$F:$F&amp;'5) Release_Track'!$G:$G,1,0))),vlookup($A538&amp;$B538,{'5) Release_Track'!$F:$F&amp;'5) Release_Track'!$G:$G,'5) Release_Track'!$H:$H},2,0),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D538" s="121" t="str">
        <f t="array" ref="D538">ifs(and(isblank($A538),isblank($B538)),"", not(iserror(vlookup($A538&amp;$B538,'5) Release_Track'!$F:$F&amp;'5) Release_Track'!$G:$G,1,0))),vlookup($A538&amp;$B538,{'5) Release_Track'!$F:$F&amp;'5) Release_Track'!$G:$G,'5) Release_Track'!$I:$I},2,0),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E538" s="150" t="b">
        <v>0</v>
      </c>
      <c r="F538" s="150" t="b">
        <v>0</v>
      </c>
      <c r="G538" s="150" t="b">
        <v>0</v>
      </c>
      <c r="H538" s="150" t="b">
        <v>0</v>
      </c>
      <c r="I538" s="150" t="b">
        <v>0</v>
      </c>
      <c r="J538" s="150" t="b">
        <v>0</v>
      </c>
      <c r="K538" s="150" t="b">
        <v>0</v>
      </c>
      <c r="L538" s="8" t="b">
        <v>0</v>
      </c>
    </row>
    <row r="539">
      <c r="B539" s="97"/>
      <c r="C539" s="121" t="str">
        <f t="array" ref="C539">ifs(and(isblank($A539),isblank($B539)),"", not(iserror(vlookup($A539&amp;$B539,'5) Release_Track'!$F:$F&amp;'5) Release_Track'!$G:$G,1,0))),vlookup($A539&amp;$B539,{'5) Release_Track'!$F:$F&amp;'5) Release_Track'!$G:$G,'5) Release_Track'!$H:$H},2,0),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D539" s="121" t="str">
        <f t="array" ref="D539">ifs(and(isblank($A539),isblank($B539)),"", not(iserror(vlookup($A539&amp;$B539,'5) Release_Track'!$F:$F&amp;'5) Release_Track'!$G:$G,1,0))),vlookup($A539&amp;$B539,{'5) Release_Track'!$F:$F&amp;'5) Release_Track'!$G:$G,'5) Release_Track'!$I:$I},2,0),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E539" s="150" t="b">
        <v>0</v>
      </c>
      <c r="F539" s="150" t="b">
        <v>0</v>
      </c>
      <c r="G539" s="150" t="b">
        <v>0</v>
      </c>
      <c r="H539" s="150" t="b">
        <v>0</v>
      </c>
      <c r="I539" s="150" t="b">
        <v>0</v>
      </c>
      <c r="J539" s="150" t="b">
        <v>0</v>
      </c>
      <c r="K539" s="150" t="b">
        <v>0</v>
      </c>
      <c r="L539" s="8" t="b">
        <v>0</v>
      </c>
    </row>
    <row r="540">
      <c r="B540" s="97"/>
      <c r="C540" s="121" t="str">
        <f t="array" ref="C540">ifs(and(isblank($A540),isblank($B540)),"", not(iserror(vlookup($A540&amp;$B540,'5) Release_Track'!$F:$F&amp;'5) Release_Track'!$G:$G,1,0))),vlookup($A540&amp;$B540,{'5) Release_Track'!$F:$F&amp;'5) Release_Track'!$G:$G,'5) Release_Track'!$H:$H},2,0),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D540" s="121" t="str">
        <f t="array" ref="D540">ifs(and(isblank($A540),isblank($B540)),"", not(iserror(vlookup($A540&amp;$B540,'5) Release_Track'!$F:$F&amp;'5) Release_Track'!$G:$G,1,0))),vlookup($A540&amp;$B540,{'5) Release_Track'!$F:$F&amp;'5) Release_Track'!$G:$G,'5) Release_Track'!$I:$I},2,0),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E540" s="150" t="b">
        <v>0</v>
      </c>
      <c r="F540" s="150" t="b">
        <v>0</v>
      </c>
      <c r="G540" s="150" t="b">
        <v>0</v>
      </c>
      <c r="H540" s="150" t="b">
        <v>0</v>
      </c>
      <c r="I540" s="150" t="b">
        <v>0</v>
      </c>
      <c r="J540" s="150" t="b">
        <v>0</v>
      </c>
      <c r="K540" s="150" t="b">
        <v>0</v>
      </c>
      <c r="L540" s="8" t="b">
        <v>0</v>
      </c>
    </row>
    <row r="541">
      <c r="B541" s="97"/>
      <c r="C541" s="121" t="str">
        <f t="array" ref="C541">ifs(and(isblank($A541),isblank($B541)),"", not(iserror(vlookup($A541&amp;$B541,'5) Release_Track'!$F:$F&amp;'5) Release_Track'!$G:$G,1,0))),vlookup($A541&amp;$B541,{'5) Release_Track'!$F:$F&amp;'5) Release_Track'!$G:$G,'5) Release_Track'!$H:$H},2,0),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D541" s="121" t="str">
        <f t="array" ref="D541">ifs(and(isblank($A541),isblank($B541)),"", not(iserror(vlookup($A541&amp;$B541,'5) Release_Track'!$F:$F&amp;'5) Release_Track'!$G:$G,1,0))),vlookup($A541&amp;$B541,{'5) Release_Track'!$F:$F&amp;'5) Release_Track'!$G:$G,'5) Release_Track'!$I:$I},2,0),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E541" s="150" t="b">
        <v>0</v>
      </c>
      <c r="F541" s="150" t="b">
        <v>0</v>
      </c>
      <c r="G541" s="150" t="b">
        <v>0</v>
      </c>
      <c r="H541" s="150" t="b">
        <v>0</v>
      </c>
      <c r="I541" s="150" t="b">
        <v>0</v>
      </c>
      <c r="J541" s="150" t="b">
        <v>0</v>
      </c>
      <c r="K541" s="150" t="b">
        <v>0</v>
      </c>
      <c r="L541" s="8" t="b">
        <v>0</v>
      </c>
    </row>
    <row r="542">
      <c r="B542" s="97"/>
      <c r="C542" s="121" t="str">
        <f t="array" ref="C542">ifs(and(isblank($A542),isblank($B542)),"", not(iserror(vlookup($A542&amp;$B542,'5) Release_Track'!$F:$F&amp;'5) Release_Track'!$G:$G,1,0))),vlookup($A542&amp;$B542,{'5) Release_Track'!$F:$F&amp;'5) Release_Track'!$G:$G,'5) Release_Track'!$H:$H},2,0),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D542" s="121" t="str">
        <f t="array" ref="D542">ifs(and(isblank($A542),isblank($B542)),"", not(iserror(vlookup($A542&amp;$B542,'5) Release_Track'!$F:$F&amp;'5) Release_Track'!$G:$G,1,0))),vlookup($A542&amp;$B542,{'5) Release_Track'!$F:$F&amp;'5) Release_Track'!$G:$G,'5) Release_Track'!$I:$I},2,0),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E542" s="150" t="b">
        <v>0</v>
      </c>
      <c r="F542" s="150" t="b">
        <v>0</v>
      </c>
      <c r="G542" s="150" t="b">
        <v>0</v>
      </c>
      <c r="H542" s="150" t="b">
        <v>0</v>
      </c>
      <c r="I542" s="150" t="b">
        <v>0</v>
      </c>
      <c r="J542" s="150" t="b">
        <v>0</v>
      </c>
      <c r="K542" s="150" t="b">
        <v>0</v>
      </c>
      <c r="L542" s="8" t="b">
        <v>0</v>
      </c>
    </row>
    <row r="543">
      <c r="B543" s="97"/>
      <c r="C543" s="121" t="str">
        <f t="array" ref="C543">ifs(and(isblank($A543),isblank($B543)),"", not(iserror(vlookup($A543&amp;$B543,'5) Release_Track'!$F:$F&amp;'5) Release_Track'!$G:$G,1,0))),vlookup($A543&amp;$B543,{'5) Release_Track'!$F:$F&amp;'5) Release_Track'!$G:$G,'5) Release_Track'!$H:$H},2,0),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D543" s="121" t="str">
        <f t="array" ref="D543">ifs(and(isblank($A543),isblank($B543)),"", not(iserror(vlookup($A543&amp;$B543,'5) Release_Track'!$F:$F&amp;'5) Release_Track'!$G:$G,1,0))),vlookup($A543&amp;$B543,{'5) Release_Track'!$F:$F&amp;'5) Release_Track'!$G:$G,'5) Release_Track'!$I:$I},2,0),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E543" s="150" t="b">
        <v>0</v>
      </c>
      <c r="F543" s="150" t="b">
        <v>0</v>
      </c>
      <c r="G543" s="150" t="b">
        <v>0</v>
      </c>
      <c r="H543" s="150" t="b">
        <v>0</v>
      </c>
      <c r="I543" s="150" t="b">
        <v>0</v>
      </c>
      <c r="J543" s="150" t="b">
        <v>0</v>
      </c>
      <c r="K543" s="150" t="b">
        <v>0</v>
      </c>
      <c r="L543" s="8" t="b">
        <v>0</v>
      </c>
    </row>
    <row r="544">
      <c r="B544" s="97"/>
      <c r="C544" s="121" t="str">
        <f t="array" ref="C544">ifs(and(isblank($A544),isblank($B544)),"", not(iserror(vlookup($A544&amp;$B544,'5) Release_Track'!$F:$F&amp;'5) Release_Track'!$G:$G,1,0))),vlookup($A544&amp;$B544,{'5) Release_Track'!$F:$F&amp;'5) Release_Track'!$G:$G,'5) Release_Track'!$H:$H},2,0),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D544" s="121" t="str">
        <f t="array" ref="D544">ifs(and(isblank($A544),isblank($B544)),"", not(iserror(vlookup($A544&amp;$B544,'5) Release_Track'!$F:$F&amp;'5) Release_Track'!$G:$G,1,0))),vlookup($A544&amp;$B544,{'5) Release_Track'!$F:$F&amp;'5) Release_Track'!$G:$G,'5) Release_Track'!$I:$I},2,0),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E544" s="150" t="b">
        <v>0</v>
      </c>
      <c r="F544" s="150" t="b">
        <v>0</v>
      </c>
      <c r="G544" s="150" t="b">
        <v>0</v>
      </c>
      <c r="H544" s="150" t="b">
        <v>0</v>
      </c>
      <c r="I544" s="150" t="b">
        <v>0</v>
      </c>
      <c r="J544" s="150" t="b">
        <v>0</v>
      </c>
      <c r="K544" s="150" t="b">
        <v>0</v>
      </c>
      <c r="L544" s="8" t="b">
        <v>0</v>
      </c>
    </row>
    <row r="545">
      <c r="B545" s="97"/>
      <c r="C545" s="121" t="str">
        <f t="array" ref="C545">ifs(and(isblank($A545),isblank($B545)),"", not(iserror(vlookup($A545&amp;$B545,'5) Release_Track'!$F:$F&amp;'5) Release_Track'!$G:$G,1,0))),vlookup($A545&amp;$B545,{'5) Release_Track'!$F:$F&amp;'5) Release_Track'!$G:$G,'5) Release_Track'!$H:$H},2,0),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D545" s="121" t="str">
        <f t="array" ref="D545">ifs(and(isblank($A545),isblank($B545)),"", not(iserror(vlookup($A545&amp;$B545,'5) Release_Track'!$F:$F&amp;'5) Release_Track'!$G:$G,1,0))),vlookup($A545&amp;$B545,{'5) Release_Track'!$F:$F&amp;'5) Release_Track'!$G:$G,'5) Release_Track'!$I:$I},2,0),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E545" s="150" t="b">
        <v>0</v>
      </c>
      <c r="F545" s="150" t="b">
        <v>0</v>
      </c>
      <c r="G545" s="150" t="b">
        <v>0</v>
      </c>
      <c r="H545" s="150" t="b">
        <v>0</v>
      </c>
      <c r="I545" s="150" t="b">
        <v>0</v>
      </c>
      <c r="J545" s="150" t="b">
        <v>0</v>
      </c>
      <c r="K545" s="150" t="b">
        <v>0</v>
      </c>
      <c r="L545" s="8" t="b">
        <v>0</v>
      </c>
    </row>
    <row r="546">
      <c r="B546" s="97"/>
      <c r="C546" s="121" t="str">
        <f t="array" ref="C546">ifs(and(isblank($A546),isblank($B546)),"", not(iserror(vlookup($A546&amp;$B546,'5) Release_Track'!$F:$F&amp;'5) Release_Track'!$G:$G,1,0))),vlookup($A546&amp;$B546,{'5) Release_Track'!$F:$F&amp;'5) Release_Track'!$G:$G,'5) Release_Track'!$H:$H},2,0),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D546" s="121" t="str">
        <f t="array" ref="D546">ifs(and(isblank($A546),isblank($B546)),"", not(iserror(vlookup($A546&amp;$B546,'5) Release_Track'!$F:$F&amp;'5) Release_Track'!$G:$G,1,0))),vlookup($A546&amp;$B546,{'5) Release_Track'!$F:$F&amp;'5) Release_Track'!$G:$G,'5) Release_Track'!$I:$I},2,0),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E546" s="150" t="b">
        <v>0</v>
      </c>
      <c r="F546" s="150" t="b">
        <v>0</v>
      </c>
      <c r="G546" s="150" t="b">
        <v>0</v>
      </c>
      <c r="H546" s="150" t="b">
        <v>0</v>
      </c>
      <c r="I546" s="150" t="b">
        <v>0</v>
      </c>
      <c r="J546" s="150" t="b">
        <v>0</v>
      </c>
      <c r="K546" s="150" t="b">
        <v>0</v>
      </c>
      <c r="L546" s="8" t="b">
        <v>0</v>
      </c>
    </row>
    <row r="547">
      <c r="B547" s="97"/>
      <c r="C547" s="121" t="str">
        <f t="array" ref="C547">ifs(and(isblank($A547),isblank($B547)),"", not(iserror(vlookup($A547&amp;$B547,'5) Release_Track'!$F:$F&amp;'5) Release_Track'!$G:$G,1,0))),vlookup($A547&amp;$B547,{'5) Release_Track'!$F:$F&amp;'5) Release_Track'!$G:$G,'5) Release_Track'!$H:$H},2,0),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D547" s="121" t="str">
        <f t="array" ref="D547">ifs(and(isblank($A547),isblank($B547)),"", not(iserror(vlookup($A547&amp;$B547,'5) Release_Track'!$F:$F&amp;'5) Release_Track'!$G:$G,1,0))),vlookup($A547&amp;$B547,{'5) Release_Track'!$F:$F&amp;'5) Release_Track'!$G:$G,'5) Release_Track'!$I:$I},2,0),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E547" s="150" t="b">
        <v>0</v>
      </c>
      <c r="F547" s="150" t="b">
        <v>0</v>
      </c>
      <c r="G547" s="150" t="b">
        <v>0</v>
      </c>
      <c r="H547" s="150" t="b">
        <v>0</v>
      </c>
      <c r="I547" s="150" t="b">
        <v>0</v>
      </c>
      <c r="J547" s="150" t="b">
        <v>0</v>
      </c>
      <c r="K547" s="150" t="b">
        <v>0</v>
      </c>
      <c r="L547" s="8" t="b">
        <v>0</v>
      </c>
    </row>
    <row r="548">
      <c r="B548" s="97"/>
      <c r="C548" s="121" t="str">
        <f t="array" ref="C548">ifs(and(isblank($A548),isblank($B548)),"", not(iserror(vlookup($A548&amp;$B548,'5) Release_Track'!$F:$F&amp;'5) Release_Track'!$G:$G,1,0))),vlookup($A548&amp;$B548,{'5) Release_Track'!$F:$F&amp;'5) Release_Track'!$G:$G,'5) Release_Track'!$H:$H},2,0),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D548" s="121" t="str">
        <f t="array" ref="D548">ifs(and(isblank($A548),isblank($B548)),"", not(iserror(vlookup($A548&amp;$B548,'5) Release_Track'!$F:$F&amp;'5) Release_Track'!$G:$G,1,0))),vlookup($A548&amp;$B548,{'5) Release_Track'!$F:$F&amp;'5) Release_Track'!$G:$G,'5) Release_Track'!$I:$I},2,0),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E548" s="150" t="b">
        <v>0</v>
      </c>
      <c r="F548" s="150" t="b">
        <v>0</v>
      </c>
      <c r="G548" s="150" t="b">
        <v>0</v>
      </c>
      <c r="H548" s="150" t="b">
        <v>0</v>
      </c>
      <c r="I548" s="150" t="b">
        <v>0</v>
      </c>
      <c r="J548" s="150" t="b">
        <v>0</v>
      </c>
      <c r="K548" s="150" t="b">
        <v>0</v>
      </c>
      <c r="L548" s="8" t="b">
        <v>0</v>
      </c>
    </row>
    <row r="549">
      <c r="B549" s="97"/>
      <c r="C549" s="121" t="str">
        <f t="array" ref="C549">ifs(and(isblank($A549),isblank($B549)),"", not(iserror(vlookup($A549&amp;$B549,'5) Release_Track'!$F:$F&amp;'5) Release_Track'!$G:$G,1,0))),vlookup($A549&amp;$B549,{'5) Release_Track'!$F:$F&amp;'5) Release_Track'!$G:$G,'5) Release_Track'!$H:$H},2,0),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D549" s="121" t="str">
        <f t="array" ref="D549">ifs(and(isblank($A549),isblank($B549)),"", not(iserror(vlookup($A549&amp;$B549,'5) Release_Track'!$F:$F&amp;'5) Release_Track'!$G:$G,1,0))),vlookup($A549&amp;$B549,{'5) Release_Track'!$F:$F&amp;'5) Release_Track'!$G:$G,'5) Release_Track'!$I:$I},2,0),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E549" s="150" t="b">
        <v>0</v>
      </c>
      <c r="F549" s="150" t="b">
        <v>0</v>
      </c>
      <c r="G549" s="150" t="b">
        <v>0</v>
      </c>
      <c r="H549" s="150" t="b">
        <v>0</v>
      </c>
      <c r="I549" s="150" t="b">
        <v>0</v>
      </c>
      <c r="J549" s="150" t="b">
        <v>0</v>
      </c>
      <c r="K549" s="150" t="b">
        <v>0</v>
      </c>
      <c r="L549" s="8" t="b">
        <v>0</v>
      </c>
    </row>
    <row r="550">
      <c r="B550" s="97"/>
      <c r="C550" s="121" t="str">
        <f t="array" ref="C550">ifs(and(isblank($A550),isblank($B550)),"", not(iserror(vlookup($A550&amp;$B550,'5) Release_Track'!$F:$F&amp;'5) Release_Track'!$G:$G,1,0))),vlookup($A550&amp;$B550,{'5) Release_Track'!$F:$F&amp;'5) Release_Track'!$G:$G,'5) Release_Track'!$H:$H},2,0),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D550" s="121" t="str">
        <f t="array" ref="D550">ifs(and(isblank($A550),isblank($B550)),"", not(iserror(vlookup($A550&amp;$B550,'5) Release_Track'!$F:$F&amp;'5) Release_Track'!$G:$G,1,0))),vlookup($A550&amp;$B550,{'5) Release_Track'!$F:$F&amp;'5) Release_Track'!$G:$G,'5) Release_Track'!$I:$I},2,0),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E550" s="150" t="b">
        <v>0</v>
      </c>
      <c r="F550" s="150" t="b">
        <v>0</v>
      </c>
      <c r="G550" s="150" t="b">
        <v>0</v>
      </c>
      <c r="H550" s="150" t="b">
        <v>0</v>
      </c>
      <c r="I550" s="150" t="b">
        <v>0</v>
      </c>
      <c r="J550" s="150" t="b">
        <v>0</v>
      </c>
      <c r="K550" s="150" t="b">
        <v>0</v>
      </c>
      <c r="L550" s="8" t="b">
        <v>0</v>
      </c>
    </row>
    <row r="551">
      <c r="B551" s="97"/>
      <c r="C551" s="121" t="str">
        <f t="array" ref="C551">ifs(and(isblank($A551),isblank($B551)),"", not(iserror(vlookup($A551&amp;$B551,'5) Release_Track'!$F:$F&amp;'5) Release_Track'!$G:$G,1,0))),vlookup($A551&amp;$B551,{'5) Release_Track'!$F:$F&amp;'5) Release_Track'!$G:$G,'5) Release_Track'!$H:$H},2,0),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D551" s="121" t="str">
        <f t="array" ref="D551">ifs(and(isblank($A551),isblank($B551)),"", not(iserror(vlookup($A551&amp;$B551,'5) Release_Track'!$F:$F&amp;'5) Release_Track'!$G:$G,1,0))),vlookup($A551&amp;$B551,{'5) Release_Track'!$F:$F&amp;'5) Release_Track'!$G:$G,'5) Release_Track'!$I:$I},2,0),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E551" s="150" t="b">
        <v>0</v>
      </c>
      <c r="F551" s="150" t="b">
        <v>0</v>
      </c>
      <c r="G551" s="150" t="b">
        <v>0</v>
      </c>
      <c r="H551" s="150" t="b">
        <v>0</v>
      </c>
      <c r="I551" s="150" t="b">
        <v>0</v>
      </c>
      <c r="J551" s="150" t="b">
        <v>0</v>
      </c>
      <c r="K551" s="150" t="b">
        <v>0</v>
      </c>
      <c r="L551" s="8" t="b">
        <v>0</v>
      </c>
    </row>
    <row r="552">
      <c r="B552" s="97"/>
      <c r="C552" s="121" t="str">
        <f t="array" ref="C552">ifs(and(isblank($A552),isblank($B552)),"", not(iserror(vlookup($A552&amp;$B552,'5) Release_Track'!$F:$F&amp;'5) Release_Track'!$G:$G,1,0))),vlookup($A552&amp;$B552,{'5) Release_Track'!$F:$F&amp;'5) Release_Track'!$G:$G,'5) Release_Track'!$H:$H},2,0),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D552" s="121" t="str">
        <f t="array" ref="D552">ifs(and(isblank($A552),isblank($B552)),"", not(iserror(vlookup($A552&amp;$B552,'5) Release_Track'!$F:$F&amp;'5) Release_Track'!$G:$G,1,0))),vlookup($A552&amp;$B552,{'5) Release_Track'!$F:$F&amp;'5) Release_Track'!$G:$G,'5) Release_Track'!$I:$I},2,0),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E552" s="150" t="b">
        <v>0</v>
      </c>
      <c r="F552" s="150" t="b">
        <v>0</v>
      </c>
      <c r="G552" s="150" t="b">
        <v>0</v>
      </c>
      <c r="H552" s="150" t="b">
        <v>0</v>
      </c>
      <c r="I552" s="150" t="b">
        <v>0</v>
      </c>
      <c r="J552" s="150" t="b">
        <v>0</v>
      </c>
      <c r="K552" s="150" t="b">
        <v>0</v>
      </c>
      <c r="L552" s="8" t="b">
        <v>0</v>
      </c>
    </row>
    <row r="553">
      <c r="B553" s="97"/>
      <c r="C553" s="121" t="str">
        <f t="array" ref="C553">ifs(and(isblank($A553),isblank($B553)),"", not(iserror(vlookup($A553&amp;$B553,'5) Release_Track'!$F:$F&amp;'5) Release_Track'!$G:$G,1,0))),vlookup($A553&amp;$B553,{'5) Release_Track'!$F:$F&amp;'5) Release_Track'!$G:$G,'5) Release_Track'!$H:$H},2,0),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D553" s="121" t="str">
        <f t="array" ref="D553">ifs(and(isblank($A553),isblank($B553)),"", not(iserror(vlookup($A553&amp;$B553,'5) Release_Track'!$F:$F&amp;'5) Release_Track'!$G:$G,1,0))),vlookup($A553&amp;$B553,{'5) Release_Track'!$F:$F&amp;'5) Release_Track'!$G:$G,'5) Release_Track'!$I:$I},2,0),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E553" s="150" t="b">
        <v>0</v>
      </c>
      <c r="F553" s="150" t="b">
        <v>0</v>
      </c>
      <c r="G553" s="150" t="b">
        <v>0</v>
      </c>
      <c r="H553" s="150" t="b">
        <v>0</v>
      </c>
      <c r="I553" s="150" t="b">
        <v>0</v>
      </c>
      <c r="J553" s="150" t="b">
        <v>0</v>
      </c>
      <c r="K553" s="150" t="b">
        <v>0</v>
      </c>
      <c r="L553" s="8" t="b">
        <v>0</v>
      </c>
    </row>
    <row r="554">
      <c r="B554" s="97"/>
      <c r="C554" s="121" t="str">
        <f t="array" ref="C554">ifs(and(isblank($A554),isblank($B554)),"", not(iserror(vlookup($A554&amp;$B554,'5) Release_Track'!$F:$F&amp;'5) Release_Track'!$G:$G,1,0))),vlookup($A554&amp;$B554,{'5) Release_Track'!$F:$F&amp;'5) Release_Track'!$G:$G,'5) Release_Track'!$H:$H},2,0),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D554" s="121" t="str">
        <f t="array" ref="D554">ifs(and(isblank($A554),isblank($B554)),"", not(iserror(vlookup($A554&amp;$B554,'5) Release_Track'!$F:$F&amp;'5) Release_Track'!$G:$G,1,0))),vlookup($A554&amp;$B554,{'5) Release_Track'!$F:$F&amp;'5) Release_Track'!$G:$G,'5) Release_Track'!$I:$I},2,0),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E554" s="150" t="b">
        <v>0</v>
      </c>
      <c r="F554" s="150" t="b">
        <v>0</v>
      </c>
      <c r="G554" s="150" t="b">
        <v>0</v>
      </c>
      <c r="H554" s="150" t="b">
        <v>0</v>
      </c>
      <c r="I554" s="150" t="b">
        <v>0</v>
      </c>
      <c r="J554" s="150" t="b">
        <v>0</v>
      </c>
      <c r="K554" s="150" t="b">
        <v>0</v>
      </c>
      <c r="L554" s="8" t="b">
        <v>0</v>
      </c>
    </row>
    <row r="555">
      <c r="B555" s="97"/>
      <c r="C555" s="121" t="str">
        <f t="array" ref="C555">ifs(and(isblank($A555),isblank($B555)),"", not(iserror(vlookup($A555&amp;$B555,'5) Release_Track'!$F:$F&amp;'5) Release_Track'!$G:$G,1,0))),vlookup($A555&amp;$B555,{'5) Release_Track'!$F:$F&amp;'5) Release_Track'!$G:$G,'5) Release_Track'!$H:$H},2,0),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D555" s="121" t="str">
        <f t="array" ref="D555">ifs(and(isblank($A555),isblank($B555)),"", not(iserror(vlookup($A555&amp;$B555,'5) Release_Track'!$F:$F&amp;'5) Release_Track'!$G:$G,1,0))),vlookup($A555&amp;$B555,{'5) Release_Track'!$F:$F&amp;'5) Release_Track'!$G:$G,'5) Release_Track'!$I:$I},2,0),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E555" s="150" t="b">
        <v>0</v>
      </c>
      <c r="F555" s="150" t="b">
        <v>0</v>
      </c>
      <c r="G555" s="150" t="b">
        <v>0</v>
      </c>
      <c r="H555" s="150" t="b">
        <v>0</v>
      </c>
      <c r="I555" s="150" t="b">
        <v>0</v>
      </c>
      <c r="J555" s="150" t="b">
        <v>0</v>
      </c>
      <c r="K555" s="150" t="b">
        <v>0</v>
      </c>
      <c r="L555" s="8" t="b">
        <v>0</v>
      </c>
    </row>
    <row r="556">
      <c r="B556" s="97"/>
      <c r="C556" s="121" t="str">
        <f t="array" ref="C556">ifs(and(isblank($A556),isblank($B556)),"", not(iserror(vlookup($A556&amp;$B556,'5) Release_Track'!$F:$F&amp;'5) Release_Track'!$G:$G,1,0))),vlookup($A556&amp;$B556,{'5) Release_Track'!$F:$F&amp;'5) Release_Track'!$G:$G,'5) Release_Track'!$H:$H},2,0),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D556" s="121" t="str">
        <f t="array" ref="D556">ifs(and(isblank($A556),isblank($B556)),"", not(iserror(vlookup($A556&amp;$B556,'5) Release_Track'!$F:$F&amp;'5) Release_Track'!$G:$G,1,0))),vlookup($A556&amp;$B556,{'5) Release_Track'!$F:$F&amp;'5) Release_Track'!$G:$G,'5) Release_Track'!$I:$I},2,0),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E556" s="150" t="b">
        <v>0</v>
      </c>
      <c r="F556" s="150" t="b">
        <v>0</v>
      </c>
      <c r="G556" s="150" t="b">
        <v>0</v>
      </c>
      <c r="H556" s="150" t="b">
        <v>0</v>
      </c>
      <c r="I556" s="150" t="b">
        <v>0</v>
      </c>
      <c r="J556" s="150" t="b">
        <v>0</v>
      </c>
      <c r="K556" s="150" t="b">
        <v>0</v>
      </c>
      <c r="L556" s="8" t="b">
        <v>0</v>
      </c>
    </row>
    <row r="557">
      <c r="B557" s="97"/>
      <c r="C557" s="121" t="str">
        <f t="array" ref="C557">ifs(and(isblank($A557),isblank($B557)),"", not(iserror(vlookup($A557&amp;$B557,'5) Release_Track'!$F:$F&amp;'5) Release_Track'!$G:$G,1,0))),vlookup($A557&amp;$B557,{'5) Release_Track'!$F:$F&amp;'5) Release_Track'!$G:$G,'5) Release_Track'!$H:$H},2,0),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D557" s="121" t="str">
        <f t="array" ref="D557">ifs(and(isblank($A557),isblank($B557)),"", not(iserror(vlookup($A557&amp;$B557,'5) Release_Track'!$F:$F&amp;'5) Release_Track'!$G:$G,1,0))),vlookup($A557&amp;$B557,{'5) Release_Track'!$F:$F&amp;'5) Release_Track'!$G:$G,'5) Release_Track'!$I:$I},2,0),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E557" s="150" t="b">
        <v>0</v>
      </c>
      <c r="F557" s="150" t="b">
        <v>0</v>
      </c>
      <c r="G557" s="150" t="b">
        <v>0</v>
      </c>
      <c r="H557" s="150" t="b">
        <v>0</v>
      </c>
      <c r="I557" s="150" t="b">
        <v>0</v>
      </c>
      <c r="J557" s="150" t="b">
        <v>0</v>
      </c>
      <c r="K557" s="150" t="b">
        <v>0</v>
      </c>
      <c r="L557" s="8" t="b">
        <v>0</v>
      </c>
    </row>
    <row r="558">
      <c r="B558" s="97"/>
      <c r="C558" s="121" t="str">
        <f t="array" ref="C558">ifs(and(isblank($A558),isblank($B558)),"", not(iserror(vlookup($A558&amp;$B558,'5) Release_Track'!$F:$F&amp;'5) Release_Track'!$G:$G,1,0))),vlookup($A558&amp;$B558,{'5) Release_Track'!$F:$F&amp;'5) Release_Track'!$G:$G,'5) Release_Track'!$H:$H},2,0),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D558" s="121" t="str">
        <f t="array" ref="D558">ifs(and(isblank($A558),isblank($B558)),"", not(iserror(vlookup($A558&amp;$B558,'5) Release_Track'!$F:$F&amp;'5) Release_Track'!$G:$G,1,0))),vlookup($A558&amp;$B558,{'5) Release_Track'!$F:$F&amp;'5) Release_Track'!$G:$G,'5) Release_Track'!$I:$I},2,0),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E558" s="150" t="b">
        <v>0</v>
      </c>
      <c r="F558" s="150" t="b">
        <v>0</v>
      </c>
      <c r="G558" s="150" t="b">
        <v>0</v>
      </c>
      <c r="H558" s="150" t="b">
        <v>0</v>
      </c>
      <c r="I558" s="150" t="b">
        <v>0</v>
      </c>
      <c r="J558" s="150" t="b">
        <v>0</v>
      </c>
      <c r="K558" s="150" t="b">
        <v>0</v>
      </c>
      <c r="L558" s="8" t="b">
        <v>0</v>
      </c>
    </row>
    <row r="559">
      <c r="B559" s="97"/>
      <c r="C559" s="121" t="str">
        <f t="array" ref="C559">ifs(and(isblank($A559),isblank($B559)),"", not(iserror(vlookup($A559&amp;$B559,'5) Release_Track'!$F:$F&amp;'5) Release_Track'!$G:$G,1,0))),vlookup($A559&amp;$B559,{'5) Release_Track'!$F:$F&amp;'5) Release_Track'!$G:$G,'5) Release_Track'!$H:$H},2,0),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D559" s="121" t="str">
        <f t="array" ref="D559">ifs(and(isblank($A559),isblank($B559)),"", not(iserror(vlookup($A559&amp;$B559,'5) Release_Track'!$F:$F&amp;'5) Release_Track'!$G:$G,1,0))),vlookup($A559&amp;$B559,{'5) Release_Track'!$F:$F&amp;'5) Release_Track'!$G:$G,'5) Release_Track'!$I:$I},2,0),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E559" s="150" t="b">
        <v>0</v>
      </c>
      <c r="F559" s="150" t="b">
        <v>0</v>
      </c>
      <c r="G559" s="150" t="b">
        <v>0</v>
      </c>
      <c r="H559" s="150" t="b">
        <v>0</v>
      </c>
      <c r="I559" s="150" t="b">
        <v>0</v>
      </c>
      <c r="J559" s="150" t="b">
        <v>0</v>
      </c>
      <c r="K559" s="150" t="b">
        <v>0</v>
      </c>
      <c r="L559" s="8" t="b">
        <v>0</v>
      </c>
    </row>
    <row r="560">
      <c r="B560" s="97"/>
      <c r="C560" s="121" t="str">
        <f t="array" ref="C560">ifs(and(isblank($A560),isblank($B560)),"", not(iserror(vlookup($A560&amp;$B560,'5) Release_Track'!$F:$F&amp;'5) Release_Track'!$G:$G,1,0))),vlookup($A560&amp;$B560,{'5) Release_Track'!$F:$F&amp;'5) Release_Track'!$G:$G,'5) Release_Track'!$H:$H},2,0),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D560" s="121" t="str">
        <f t="array" ref="D560">ifs(and(isblank($A560),isblank($B560)),"", not(iserror(vlookup($A560&amp;$B560,'5) Release_Track'!$F:$F&amp;'5) Release_Track'!$G:$G,1,0))),vlookup($A560&amp;$B560,{'5) Release_Track'!$F:$F&amp;'5) Release_Track'!$G:$G,'5) Release_Track'!$I:$I},2,0),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E560" s="150" t="b">
        <v>0</v>
      </c>
      <c r="F560" s="150" t="b">
        <v>0</v>
      </c>
      <c r="G560" s="150" t="b">
        <v>0</v>
      </c>
      <c r="H560" s="150" t="b">
        <v>0</v>
      </c>
      <c r="I560" s="150" t="b">
        <v>0</v>
      </c>
      <c r="J560" s="150" t="b">
        <v>0</v>
      </c>
      <c r="K560" s="150" t="b">
        <v>0</v>
      </c>
      <c r="L560" s="8" t="b">
        <v>0</v>
      </c>
    </row>
    <row r="561">
      <c r="B561" s="97"/>
      <c r="C561" s="121" t="str">
        <f t="array" ref="C561">ifs(and(isblank($A561),isblank($B561)),"", not(iserror(vlookup($A561&amp;$B561,'5) Release_Track'!$F:$F&amp;'5) Release_Track'!$G:$G,1,0))),vlookup($A561&amp;$B561,{'5) Release_Track'!$F:$F&amp;'5) Release_Track'!$G:$G,'5) Release_Track'!$H:$H},2,0),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D561" s="121" t="str">
        <f t="array" ref="D561">ifs(and(isblank($A561),isblank($B561)),"", not(iserror(vlookup($A561&amp;$B561,'5) Release_Track'!$F:$F&amp;'5) Release_Track'!$G:$G,1,0))),vlookup($A561&amp;$B561,{'5) Release_Track'!$F:$F&amp;'5) Release_Track'!$G:$G,'5) Release_Track'!$I:$I},2,0),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E561" s="150" t="b">
        <v>0</v>
      </c>
      <c r="F561" s="150" t="b">
        <v>0</v>
      </c>
      <c r="G561" s="150" t="b">
        <v>0</v>
      </c>
      <c r="H561" s="150" t="b">
        <v>0</v>
      </c>
      <c r="I561" s="150" t="b">
        <v>0</v>
      </c>
      <c r="J561" s="150" t="b">
        <v>0</v>
      </c>
      <c r="K561" s="150" t="b">
        <v>0</v>
      </c>
      <c r="L561" s="8" t="b">
        <v>0</v>
      </c>
    </row>
    <row r="562">
      <c r="B562" s="97"/>
      <c r="C562" s="121" t="str">
        <f t="array" ref="C562">ifs(and(isblank($A562),isblank($B562)),"", not(iserror(vlookup($A562&amp;$B562,'5) Release_Track'!$F:$F&amp;'5) Release_Track'!$G:$G,1,0))),vlookup($A562&amp;$B562,{'5) Release_Track'!$F:$F&amp;'5) Release_Track'!$G:$G,'5) Release_Track'!$H:$H},2,0),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D562" s="121" t="str">
        <f t="array" ref="D562">ifs(and(isblank($A562),isblank($B562)),"", not(iserror(vlookup($A562&amp;$B562,'5) Release_Track'!$F:$F&amp;'5) Release_Track'!$G:$G,1,0))),vlookup($A562&amp;$B562,{'5) Release_Track'!$F:$F&amp;'5) Release_Track'!$G:$G,'5) Release_Track'!$I:$I},2,0),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E562" s="150" t="b">
        <v>0</v>
      </c>
      <c r="F562" s="150" t="b">
        <v>0</v>
      </c>
      <c r="G562" s="150" t="b">
        <v>0</v>
      </c>
      <c r="H562" s="150" t="b">
        <v>0</v>
      </c>
      <c r="I562" s="150" t="b">
        <v>0</v>
      </c>
      <c r="J562" s="150" t="b">
        <v>0</v>
      </c>
      <c r="K562" s="150" t="b">
        <v>0</v>
      </c>
      <c r="L562" s="8" t="b">
        <v>0</v>
      </c>
    </row>
    <row r="563">
      <c r="B563" s="97"/>
      <c r="C563" s="121" t="str">
        <f t="array" ref="C563">ifs(and(isblank($A563),isblank($B563)),"", not(iserror(vlookup($A563&amp;$B563,'5) Release_Track'!$F:$F&amp;'5) Release_Track'!$G:$G,1,0))),vlookup($A563&amp;$B563,{'5) Release_Track'!$F:$F&amp;'5) Release_Track'!$G:$G,'5) Release_Track'!$H:$H},2,0),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D563" s="121" t="str">
        <f t="array" ref="D563">ifs(and(isblank($A563),isblank($B563)),"", not(iserror(vlookup($A563&amp;$B563,'5) Release_Track'!$F:$F&amp;'5) Release_Track'!$G:$G,1,0))),vlookup($A563&amp;$B563,{'5) Release_Track'!$F:$F&amp;'5) Release_Track'!$G:$G,'5) Release_Track'!$I:$I},2,0),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E563" s="150" t="b">
        <v>0</v>
      </c>
      <c r="F563" s="150" t="b">
        <v>0</v>
      </c>
      <c r="G563" s="150" t="b">
        <v>0</v>
      </c>
      <c r="H563" s="150" t="b">
        <v>0</v>
      </c>
      <c r="I563" s="150" t="b">
        <v>0</v>
      </c>
      <c r="J563" s="150" t="b">
        <v>0</v>
      </c>
      <c r="K563" s="150" t="b">
        <v>0</v>
      </c>
      <c r="L563" s="8" t="b">
        <v>0</v>
      </c>
    </row>
    <row r="564">
      <c r="B564" s="97"/>
      <c r="C564" s="121" t="str">
        <f t="array" ref="C564">ifs(and(isblank($A564),isblank($B564)),"", not(iserror(vlookup($A564&amp;$B564,'5) Release_Track'!$F:$F&amp;'5) Release_Track'!$G:$G,1,0))),vlookup($A564&amp;$B564,{'5) Release_Track'!$F:$F&amp;'5) Release_Track'!$G:$G,'5) Release_Track'!$H:$H},2,0),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D564" s="121" t="str">
        <f t="array" ref="D564">ifs(and(isblank($A564),isblank($B564)),"", not(iserror(vlookup($A564&amp;$B564,'5) Release_Track'!$F:$F&amp;'5) Release_Track'!$G:$G,1,0))),vlookup($A564&amp;$B564,{'5) Release_Track'!$F:$F&amp;'5) Release_Track'!$G:$G,'5) Release_Track'!$I:$I},2,0),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E564" s="150" t="b">
        <v>0</v>
      </c>
      <c r="F564" s="150" t="b">
        <v>0</v>
      </c>
      <c r="G564" s="150" t="b">
        <v>0</v>
      </c>
      <c r="H564" s="150" t="b">
        <v>0</v>
      </c>
      <c r="I564" s="150" t="b">
        <v>0</v>
      </c>
      <c r="J564" s="150" t="b">
        <v>0</v>
      </c>
      <c r="K564" s="150" t="b">
        <v>0</v>
      </c>
      <c r="L564" s="8" t="b">
        <v>0</v>
      </c>
    </row>
    <row r="565">
      <c r="B565" s="97"/>
      <c r="C565" s="121" t="str">
        <f t="array" ref="C565">ifs(and(isblank($A565),isblank($B565)),"", not(iserror(vlookup($A565&amp;$B565,'5) Release_Track'!$F:$F&amp;'5) Release_Track'!$G:$G,1,0))),vlookup($A565&amp;$B565,{'5) Release_Track'!$F:$F&amp;'5) Release_Track'!$G:$G,'5) Release_Track'!$H:$H},2,0),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D565" s="121" t="str">
        <f t="array" ref="D565">ifs(and(isblank($A565),isblank($B565)),"", not(iserror(vlookup($A565&amp;$B565,'5) Release_Track'!$F:$F&amp;'5) Release_Track'!$G:$G,1,0))),vlookup($A565&amp;$B565,{'5) Release_Track'!$F:$F&amp;'5) Release_Track'!$G:$G,'5) Release_Track'!$I:$I},2,0),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E565" s="150" t="b">
        <v>0</v>
      </c>
      <c r="F565" s="150" t="b">
        <v>0</v>
      </c>
      <c r="G565" s="150" t="b">
        <v>0</v>
      </c>
      <c r="H565" s="150" t="b">
        <v>0</v>
      </c>
      <c r="I565" s="150" t="b">
        <v>0</v>
      </c>
      <c r="J565" s="150" t="b">
        <v>0</v>
      </c>
      <c r="K565" s="150" t="b">
        <v>0</v>
      </c>
      <c r="L565" s="8" t="b">
        <v>0</v>
      </c>
    </row>
    <row r="566">
      <c r="B566" s="97"/>
      <c r="C566" s="121" t="str">
        <f t="array" ref="C566">ifs(and(isblank($A566),isblank($B566)),"", not(iserror(vlookup($A566&amp;$B566,'5) Release_Track'!$F:$F&amp;'5) Release_Track'!$G:$G,1,0))),vlookup($A566&amp;$B566,{'5) Release_Track'!$F:$F&amp;'5) Release_Track'!$G:$G,'5) Release_Track'!$H:$H},2,0),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D566" s="121" t="str">
        <f t="array" ref="D566">ifs(and(isblank($A566),isblank($B566)),"", not(iserror(vlookup($A566&amp;$B566,'5) Release_Track'!$F:$F&amp;'5) Release_Track'!$G:$G,1,0))),vlookup($A566&amp;$B566,{'5) Release_Track'!$F:$F&amp;'5) Release_Track'!$G:$G,'5) Release_Track'!$I:$I},2,0),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E566" s="150" t="b">
        <v>0</v>
      </c>
      <c r="F566" s="150" t="b">
        <v>0</v>
      </c>
      <c r="G566" s="150" t="b">
        <v>0</v>
      </c>
      <c r="H566" s="150" t="b">
        <v>0</v>
      </c>
      <c r="I566" s="150" t="b">
        <v>0</v>
      </c>
      <c r="J566" s="150" t="b">
        <v>0</v>
      </c>
      <c r="K566" s="150" t="b">
        <v>0</v>
      </c>
      <c r="L566" s="8" t="b">
        <v>0</v>
      </c>
    </row>
    <row r="567">
      <c r="B567" s="97"/>
      <c r="C567" s="121" t="str">
        <f t="array" ref="C567">ifs(and(isblank($A567),isblank($B567)),"", not(iserror(vlookup($A567&amp;$B567,'5) Release_Track'!$F:$F&amp;'5) Release_Track'!$G:$G,1,0))),vlookup($A567&amp;$B567,{'5) Release_Track'!$F:$F&amp;'5) Release_Track'!$G:$G,'5) Release_Track'!$H:$H},2,0),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D567" s="121" t="str">
        <f t="array" ref="D567">ifs(and(isblank($A567),isblank($B567)),"", not(iserror(vlookup($A567&amp;$B567,'5) Release_Track'!$F:$F&amp;'5) Release_Track'!$G:$G,1,0))),vlookup($A567&amp;$B567,{'5) Release_Track'!$F:$F&amp;'5) Release_Track'!$G:$G,'5) Release_Track'!$I:$I},2,0),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E567" s="150" t="b">
        <v>0</v>
      </c>
      <c r="F567" s="150" t="b">
        <v>0</v>
      </c>
      <c r="G567" s="150" t="b">
        <v>0</v>
      </c>
      <c r="H567" s="150" t="b">
        <v>0</v>
      </c>
      <c r="I567" s="150" t="b">
        <v>0</v>
      </c>
      <c r="J567" s="150" t="b">
        <v>0</v>
      </c>
      <c r="K567" s="150" t="b">
        <v>0</v>
      </c>
      <c r="L567" s="8" t="b">
        <v>0</v>
      </c>
    </row>
    <row r="568">
      <c r="B568" s="97"/>
      <c r="C568" s="121" t="str">
        <f t="array" ref="C568">ifs(and(isblank($A568),isblank($B568)),"", not(iserror(vlookup($A568&amp;$B568,'5) Release_Track'!$F:$F&amp;'5) Release_Track'!$G:$G,1,0))),vlookup($A568&amp;$B568,{'5) Release_Track'!$F:$F&amp;'5) Release_Track'!$G:$G,'5) Release_Track'!$H:$H},2,0),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D568" s="121" t="str">
        <f t="array" ref="D568">ifs(and(isblank($A568),isblank($B568)),"", not(iserror(vlookup($A568&amp;$B568,'5) Release_Track'!$F:$F&amp;'5) Release_Track'!$G:$G,1,0))),vlookup($A568&amp;$B568,{'5) Release_Track'!$F:$F&amp;'5) Release_Track'!$G:$G,'5) Release_Track'!$I:$I},2,0),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E568" s="150" t="b">
        <v>0</v>
      </c>
      <c r="F568" s="150" t="b">
        <v>0</v>
      </c>
      <c r="G568" s="150" t="b">
        <v>0</v>
      </c>
      <c r="H568" s="150" t="b">
        <v>0</v>
      </c>
      <c r="I568" s="150" t="b">
        <v>0</v>
      </c>
      <c r="J568" s="150" t="b">
        <v>0</v>
      </c>
      <c r="K568" s="150" t="b">
        <v>0</v>
      </c>
      <c r="L568" s="8" t="b">
        <v>0</v>
      </c>
    </row>
    <row r="569">
      <c r="B569" s="97"/>
      <c r="C569" s="121" t="str">
        <f t="array" ref="C569">ifs(and(isblank($A569),isblank($B569)),"", not(iserror(vlookup($A569&amp;$B569,'5) Release_Track'!$F:$F&amp;'5) Release_Track'!$G:$G,1,0))),vlookup($A569&amp;$B569,{'5) Release_Track'!$F:$F&amp;'5) Release_Track'!$G:$G,'5) Release_Track'!$H:$H},2,0),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D569" s="121" t="str">
        <f t="array" ref="D569">ifs(and(isblank($A569),isblank($B569)),"", not(iserror(vlookup($A569&amp;$B569,'5) Release_Track'!$F:$F&amp;'5) Release_Track'!$G:$G,1,0))),vlookup($A569&amp;$B569,{'5) Release_Track'!$F:$F&amp;'5) Release_Track'!$G:$G,'5) Release_Track'!$I:$I},2,0),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E569" s="150" t="b">
        <v>0</v>
      </c>
      <c r="F569" s="150" t="b">
        <v>0</v>
      </c>
      <c r="G569" s="150" t="b">
        <v>0</v>
      </c>
      <c r="H569" s="150" t="b">
        <v>0</v>
      </c>
      <c r="I569" s="150" t="b">
        <v>0</v>
      </c>
      <c r="J569" s="150" t="b">
        <v>0</v>
      </c>
      <c r="K569" s="150" t="b">
        <v>0</v>
      </c>
      <c r="L569" s="8" t="b">
        <v>0</v>
      </c>
    </row>
    <row r="570">
      <c r="B570" s="97"/>
      <c r="C570" s="121" t="str">
        <f t="array" ref="C570">ifs(and(isblank($A570),isblank($B570)),"", not(iserror(vlookup($A570&amp;$B570,'5) Release_Track'!$F:$F&amp;'5) Release_Track'!$G:$G,1,0))),vlookup($A570&amp;$B570,{'5) Release_Track'!$F:$F&amp;'5) Release_Track'!$G:$G,'5) Release_Track'!$H:$H},2,0),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D570" s="121" t="str">
        <f t="array" ref="D570">ifs(and(isblank($A570),isblank($B570)),"", not(iserror(vlookup($A570&amp;$B570,'5) Release_Track'!$F:$F&amp;'5) Release_Track'!$G:$G,1,0))),vlookup($A570&amp;$B570,{'5) Release_Track'!$F:$F&amp;'5) Release_Track'!$G:$G,'5) Release_Track'!$I:$I},2,0),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E570" s="150" t="b">
        <v>0</v>
      </c>
      <c r="F570" s="150" t="b">
        <v>0</v>
      </c>
      <c r="G570" s="150" t="b">
        <v>0</v>
      </c>
      <c r="H570" s="150" t="b">
        <v>0</v>
      </c>
      <c r="I570" s="150" t="b">
        <v>0</v>
      </c>
      <c r="J570" s="150" t="b">
        <v>0</v>
      </c>
      <c r="K570" s="150" t="b">
        <v>0</v>
      </c>
      <c r="L570" s="8" t="b">
        <v>0</v>
      </c>
    </row>
    <row r="571">
      <c r="B571" s="97"/>
      <c r="C571" s="121" t="str">
        <f t="array" ref="C571">ifs(and(isblank($A571),isblank($B571)),"", not(iserror(vlookup($A571&amp;$B571,'5) Release_Track'!$F:$F&amp;'5) Release_Track'!$G:$G,1,0))),vlookup($A571&amp;$B571,{'5) Release_Track'!$F:$F&amp;'5) Release_Track'!$G:$G,'5) Release_Track'!$H:$H},2,0),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D571" s="121" t="str">
        <f t="array" ref="D571">ifs(and(isblank($A571),isblank($B571)),"", not(iserror(vlookup($A571&amp;$B571,'5) Release_Track'!$F:$F&amp;'5) Release_Track'!$G:$G,1,0))),vlookup($A571&amp;$B571,{'5) Release_Track'!$F:$F&amp;'5) Release_Track'!$G:$G,'5) Release_Track'!$I:$I},2,0),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E571" s="150" t="b">
        <v>0</v>
      </c>
      <c r="F571" s="150" t="b">
        <v>0</v>
      </c>
      <c r="G571" s="150" t="b">
        <v>0</v>
      </c>
      <c r="H571" s="150" t="b">
        <v>0</v>
      </c>
      <c r="I571" s="150" t="b">
        <v>0</v>
      </c>
      <c r="J571" s="150" t="b">
        <v>0</v>
      </c>
      <c r="K571" s="150" t="b">
        <v>0</v>
      </c>
      <c r="L571" s="8" t="b">
        <v>0</v>
      </c>
    </row>
    <row r="572">
      <c r="B572" s="97"/>
      <c r="C572" s="121" t="str">
        <f t="array" ref="C572">ifs(and(isblank($A572),isblank($B572)),"", not(iserror(vlookup($A572&amp;$B572,'5) Release_Track'!$F:$F&amp;'5) Release_Track'!$G:$G,1,0))),vlookup($A572&amp;$B572,{'5) Release_Track'!$F:$F&amp;'5) Release_Track'!$G:$G,'5) Release_Track'!$H:$H},2,0),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D572" s="121" t="str">
        <f t="array" ref="D572">ifs(and(isblank($A572),isblank($B572)),"", not(iserror(vlookup($A572&amp;$B572,'5) Release_Track'!$F:$F&amp;'5) Release_Track'!$G:$G,1,0))),vlookup($A572&amp;$B572,{'5) Release_Track'!$F:$F&amp;'5) Release_Track'!$G:$G,'5) Release_Track'!$I:$I},2,0),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E572" s="150" t="b">
        <v>0</v>
      </c>
      <c r="F572" s="150" t="b">
        <v>0</v>
      </c>
      <c r="G572" s="150" t="b">
        <v>0</v>
      </c>
      <c r="H572" s="150" t="b">
        <v>0</v>
      </c>
      <c r="I572" s="150" t="b">
        <v>0</v>
      </c>
      <c r="J572" s="150" t="b">
        <v>0</v>
      </c>
      <c r="K572" s="150" t="b">
        <v>0</v>
      </c>
      <c r="L572" s="8" t="b">
        <v>0</v>
      </c>
    </row>
    <row r="573">
      <c r="B573" s="97"/>
      <c r="C573" s="121" t="str">
        <f t="array" ref="C573">ifs(and(isblank($A573),isblank($B573)),"", not(iserror(vlookup($A573&amp;$B573,'5) Release_Track'!$F:$F&amp;'5) Release_Track'!$G:$G,1,0))),vlookup($A573&amp;$B573,{'5) Release_Track'!$F:$F&amp;'5) Release_Track'!$G:$G,'5) Release_Track'!$H:$H},2,0),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D573" s="121" t="str">
        <f t="array" ref="D573">ifs(and(isblank($A573),isblank($B573)),"", not(iserror(vlookup($A573&amp;$B573,'5) Release_Track'!$F:$F&amp;'5) Release_Track'!$G:$G,1,0))),vlookup($A573&amp;$B573,{'5) Release_Track'!$F:$F&amp;'5) Release_Track'!$G:$G,'5) Release_Track'!$I:$I},2,0),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E573" s="150" t="b">
        <v>0</v>
      </c>
      <c r="F573" s="150" t="b">
        <v>0</v>
      </c>
      <c r="G573" s="150" t="b">
        <v>0</v>
      </c>
      <c r="H573" s="150" t="b">
        <v>0</v>
      </c>
      <c r="I573" s="150" t="b">
        <v>0</v>
      </c>
      <c r="J573" s="150" t="b">
        <v>0</v>
      </c>
      <c r="K573" s="150" t="b">
        <v>0</v>
      </c>
      <c r="L573" s="8" t="b">
        <v>0</v>
      </c>
    </row>
    <row r="574">
      <c r="B574" s="97"/>
      <c r="C574" s="121" t="str">
        <f t="array" ref="C574">ifs(and(isblank($A574),isblank($B574)),"", not(iserror(vlookup($A574&amp;$B574,'5) Release_Track'!$F:$F&amp;'5) Release_Track'!$G:$G,1,0))),vlookup($A574&amp;$B574,{'5) Release_Track'!$F:$F&amp;'5) Release_Track'!$G:$G,'5) Release_Track'!$H:$H},2,0),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D574" s="121" t="str">
        <f t="array" ref="D574">ifs(and(isblank($A574),isblank($B574)),"", not(iserror(vlookup($A574&amp;$B574,'5) Release_Track'!$F:$F&amp;'5) Release_Track'!$G:$G,1,0))),vlookup($A574&amp;$B574,{'5) Release_Track'!$F:$F&amp;'5) Release_Track'!$G:$G,'5) Release_Track'!$I:$I},2,0),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E574" s="150" t="b">
        <v>0</v>
      </c>
      <c r="F574" s="150" t="b">
        <v>0</v>
      </c>
      <c r="G574" s="150" t="b">
        <v>0</v>
      </c>
      <c r="H574" s="150" t="b">
        <v>0</v>
      </c>
      <c r="I574" s="150" t="b">
        <v>0</v>
      </c>
      <c r="J574" s="150" t="b">
        <v>0</v>
      </c>
      <c r="K574" s="150" t="b">
        <v>0</v>
      </c>
      <c r="L574" s="8" t="b">
        <v>0</v>
      </c>
    </row>
    <row r="575">
      <c r="B575" s="97"/>
      <c r="C575" s="121" t="str">
        <f t="array" ref="C575">ifs(and(isblank($A575),isblank($B575)),"", not(iserror(vlookup($A575&amp;$B575,'5) Release_Track'!$F:$F&amp;'5) Release_Track'!$G:$G,1,0))),vlookup($A575&amp;$B575,{'5) Release_Track'!$F:$F&amp;'5) Release_Track'!$G:$G,'5) Release_Track'!$H:$H},2,0),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D575" s="121" t="str">
        <f t="array" ref="D575">ifs(and(isblank($A575),isblank($B575)),"", not(iserror(vlookup($A575&amp;$B575,'5) Release_Track'!$F:$F&amp;'5) Release_Track'!$G:$G,1,0))),vlookup($A575&amp;$B575,{'5) Release_Track'!$F:$F&amp;'5) Release_Track'!$G:$G,'5) Release_Track'!$I:$I},2,0),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E575" s="150" t="b">
        <v>0</v>
      </c>
      <c r="F575" s="150" t="b">
        <v>0</v>
      </c>
      <c r="G575" s="150" t="b">
        <v>0</v>
      </c>
      <c r="H575" s="150" t="b">
        <v>0</v>
      </c>
      <c r="I575" s="150" t="b">
        <v>0</v>
      </c>
      <c r="J575" s="150" t="b">
        <v>0</v>
      </c>
      <c r="K575" s="150" t="b">
        <v>0</v>
      </c>
      <c r="L575" s="8" t="b">
        <v>0</v>
      </c>
    </row>
    <row r="576">
      <c r="B576" s="97"/>
      <c r="C576" s="121" t="str">
        <f t="array" ref="C576">ifs(and(isblank($A576),isblank($B576)),"", not(iserror(vlookup($A576&amp;$B576,'5) Release_Track'!$F:$F&amp;'5) Release_Track'!$G:$G,1,0))),vlookup($A576&amp;$B576,{'5) Release_Track'!$F:$F&amp;'5) Release_Track'!$G:$G,'5) Release_Track'!$H:$H},2,0),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D576" s="121" t="str">
        <f t="array" ref="D576">ifs(and(isblank($A576),isblank($B576)),"", not(iserror(vlookup($A576&amp;$B576,'5) Release_Track'!$F:$F&amp;'5) Release_Track'!$G:$G,1,0))),vlookup($A576&amp;$B576,{'5) Release_Track'!$F:$F&amp;'5) Release_Track'!$G:$G,'5) Release_Track'!$I:$I},2,0),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E576" s="150" t="b">
        <v>0</v>
      </c>
      <c r="F576" s="150" t="b">
        <v>0</v>
      </c>
      <c r="G576" s="150" t="b">
        <v>0</v>
      </c>
      <c r="H576" s="150" t="b">
        <v>0</v>
      </c>
      <c r="I576" s="150" t="b">
        <v>0</v>
      </c>
      <c r="J576" s="150" t="b">
        <v>0</v>
      </c>
      <c r="K576" s="150" t="b">
        <v>0</v>
      </c>
      <c r="L576" s="8" t="b">
        <v>0</v>
      </c>
    </row>
    <row r="577">
      <c r="B577" s="97"/>
      <c r="C577" s="121" t="str">
        <f t="array" ref="C577">ifs(and(isblank($A577),isblank($B577)),"", not(iserror(vlookup($A577&amp;$B577,'5) Release_Track'!$F:$F&amp;'5) Release_Track'!$G:$G,1,0))),vlookup($A577&amp;$B577,{'5) Release_Track'!$F:$F&amp;'5) Release_Track'!$G:$G,'5) Release_Track'!$H:$H},2,0),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D577" s="121" t="str">
        <f t="array" ref="D577">ifs(and(isblank($A577),isblank($B577)),"", not(iserror(vlookup($A577&amp;$B577,'5) Release_Track'!$F:$F&amp;'5) Release_Track'!$G:$G,1,0))),vlookup($A577&amp;$B577,{'5) Release_Track'!$F:$F&amp;'5) Release_Track'!$G:$G,'5) Release_Track'!$I:$I},2,0),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E577" s="150" t="b">
        <v>0</v>
      </c>
      <c r="F577" s="150" t="b">
        <v>0</v>
      </c>
      <c r="G577" s="150" t="b">
        <v>0</v>
      </c>
      <c r="H577" s="150" t="b">
        <v>0</v>
      </c>
      <c r="I577" s="150" t="b">
        <v>0</v>
      </c>
      <c r="J577" s="150" t="b">
        <v>0</v>
      </c>
      <c r="K577" s="150" t="b">
        <v>0</v>
      </c>
      <c r="L577" s="8" t="b">
        <v>0</v>
      </c>
    </row>
    <row r="578">
      <c r="B578" s="97"/>
      <c r="C578" s="121" t="str">
        <f t="array" ref="C578">ifs(and(isblank($A578),isblank($B578)),"", not(iserror(vlookup($A578&amp;$B578,'5) Release_Track'!$F:$F&amp;'5) Release_Track'!$G:$G,1,0))),vlookup($A578&amp;$B578,{'5) Release_Track'!$F:$F&amp;'5) Release_Track'!$G:$G,'5) Release_Track'!$H:$H},2,0),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D578" s="121" t="str">
        <f t="array" ref="D578">ifs(and(isblank($A578),isblank($B578)),"", not(iserror(vlookup($A578&amp;$B578,'5) Release_Track'!$F:$F&amp;'5) Release_Track'!$G:$G,1,0))),vlookup($A578&amp;$B578,{'5) Release_Track'!$F:$F&amp;'5) Release_Track'!$G:$G,'5) Release_Track'!$I:$I},2,0),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E578" s="150" t="b">
        <v>0</v>
      </c>
      <c r="F578" s="150" t="b">
        <v>0</v>
      </c>
      <c r="G578" s="150" t="b">
        <v>0</v>
      </c>
      <c r="H578" s="150" t="b">
        <v>0</v>
      </c>
      <c r="I578" s="150" t="b">
        <v>0</v>
      </c>
      <c r="J578" s="150" t="b">
        <v>0</v>
      </c>
      <c r="K578" s="150" t="b">
        <v>0</v>
      </c>
      <c r="L578" s="8" t="b">
        <v>0</v>
      </c>
    </row>
    <row r="579">
      <c r="B579" s="97"/>
      <c r="C579" s="121" t="str">
        <f t="array" ref="C579">ifs(and(isblank($A579),isblank($B579)),"", not(iserror(vlookup($A579&amp;$B579,'5) Release_Track'!$F:$F&amp;'5) Release_Track'!$G:$G,1,0))),vlookup($A579&amp;$B579,{'5) Release_Track'!$F:$F&amp;'5) Release_Track'!$G:$G,'5) Release_Track'!$H:$H},2,0),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D579" s="121" t="str">
        <f t="array" ref="D579">ifs(and(isblank($A579),isblank($B579)),"", not(iserror(vlookup($A579&amp;$B579,'5) Release_Track'!$F:$F&amp;'5) Release_Track'!$G:$G,1,0))),vlookup($A579&amp;$B579,{'5) Release_Track'!$F:$F&amp;'5) Release_Track'!$G:$G,'5) Release_Track'!$I:$I},2,0),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E579" s="150" t="b">
        <v>0</v>
      </c>
      <c r="F579" s="150" t="b">
        <v>0</v>
      </c>
      <c r="G579" s="150" t="b">
        <v>0</v>
      </c>
      <c r="H579" s="150" t="b">
        <v>0</v>
      </c>
      <c r="I579" s="150" t="b">
        <v>0</v>
      </c>
      <c r="J579" s="150" t="b">
        <v>0</v>
      </c>
      <c r="K579" s="150" t="b">
        <v>0</v>
      </c>
      <c r="L579" s="8" t="b">
        <v>0</v>
      </c>
    </row>
    <row r="580">
      <c r="B580" s="97"/>
      <c r="C580" s="121" t="str">
        <f t="array" ref="C580">ifs(and(isblank($A580),isblank($B580)),"", not(iserror(vlookup($A580&amp;$B580,'5) Release_Track'!$F:$F&amp;'5) Release_Track'!$G:$G,1,0))),vlookup($A580&amp;$B580,{'5) Release_Track'!$F:$F&amp;'5) Release_Track'!$G:$G,'5) Release_Track'!$H:$H},2,0),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D580" s="121" t="str">
        <f t="array" ref="D580">ifs(and(isblank($A580),isblank($B580)),"", not(iserror(vlookup($A580&amp;$B580,'5) Release_Track'!$F:$F&amp;'5) Release_Track'!$G:$G,1,0))),vlookup($A580&amp;$B580,{'5) Release_Track'!$F:$F&amp;'5) Release_Track'!$G:$G,'5) Release_Track'!$I:$I},2,0),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E580" s="150" t="b">
        <v>0</v>
      </c>
      <c r="F580" s="150" t="b">
        <v>0</v>
      </c>
      <c r="G580" s="150" t="b">
        <v>0</v>
      </c>
      <c r="H580" s="150" t="b">
        <v>0</v>
      </c>
      <c r="I580" s="150" t="b">
        <v>0</v>
      </c>
      <c r="J580" s="150" t="b">
        <v>0</v>
      </c>
      <c r="K580" s="150" t="b">
        <v>0</v>
      </c>
      <c r="L580" s="8" t="b">
        <v>0</v>
      </c>
    </row>
    <row r="581">
      <c r="B581" s="97"/>
      <c r="C581" s="121" t="str">
        <f t="array" ref="C581">ifs(and(isblank($A581),isblank($B581)),"", not(iserror(vlookup($A581&amp;$B581,'5) Release_Track'!$F:$F&amp;'5) Release_Track'!$G:$G,1,0))),vlookup($A581&amp;$B581,{'5) Release_Track'!$F:$F&amp;'5) Release_Track'!$G:$G,'5) Release_Track'!$H:$H},2,0),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D581" s="121" t="str">
        <f t="array" ref="D581">ifs(and(isblank($A581),isblank($B581)),"", not(iserror(vlookup($A581&amp;$B581,'5) Release_Track'!$F:$F&amp;'5) Release_Track'!$G:$G,1,0))),vlookup($A581&amp;$B581,{'5) Release_Track'!$F:$F&amp;'5) Release_Track'!$G:$G,'5) Release_Track'!$I:$I},2,0),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E581" s="150" t="b">
        <v>0</v>
      </c>
      <c r="F581" s="150" t="b">
        <v>0</v>
      </c>
      <c r="G581" s="150" t="b">
        <v>0</v>
      </c>
      <c r="H581" s="150" t="b">
        <v>0</v>
      </c>
      <c r="I581" s="150" t="b">
        <v>0</v>
      </c>
      <c r="J581" s="150" t="b">
        <v>0</v>
      </c>
      <c r="K581" s="150" t="b">
        <v>0</v>
      </c>
      <c r="L581" s="8" t="b">
        <v>0</v>
      </c>
    </row>
    <row r="582">
      <c r="B582" s="97"/>
      <c r="C582" s="121" t="str">
        <f t="array" ref="C582">ifs(and(isblank($A582),isblank($B582)),"", not(iserror(vlookup($A582&amp;$B582,'5) Release_Track'!$F:$F&amp;'5) Release_Track'!$G:$G,1,0))),vlookup($A582&amp;$B582,{'5) Release_Track'!$F:$F&amp;'5) Release_Track'!$G:$G,'5) Release_Track'!$H:$H},2,0),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D582" s="121" t="str">
        <f t="array" ref="D582">ifs(and(isblank($A582),isblank($B582)),"", not(iserror(vlookup($A582&amp;$B582,'5) Release_Track'!$F:$F&amp;'5) Release_Track'!$G:$G,1,0))),vlookup($A582&amp;$B582,{'5) Release_Track'!$F:$F&amp;'5) Release_Track'!$G:$G,'5) Release_Track'!$I:$I},2,0),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E582" s="150" t="b">
        <v>0</v>
      </c>
      <c r="F582" s="150" t="b">
        <v>0</v>
      </c>
      <c r="G582" s="150" t="b">
        <v>0</v>
      </c>
      <c r="H582" s="150" t="b">
        <v>0</v>
      </c>
      <c r="I582" s="150" t="b">
        <v>0</v>
      </c>
      <c r="J582" s="150" t="b">
        <v>0</v>
      </c>
      <c r="K582" s="150" t="b">
        <v>0</v>
      </c>
      <c r="L582" s="8" t="b">
        <v>0</v>
      </c>
    </row>
    <row r="583">
      <c r="B583" s="97"/>
      <c r="C583" s="121" t="str">
        <f t="array" ref="C583">ifs(and(isblank($A583),isblank($B583)),"", not(iserror(vlookup($A583&amp;$B583,'5) Release_Track'!$F:$F&amp;'5) Release_Track'!$G:$G,1,0))),vlookup($A583&amp;$B583,{'5) Release_Track'!$F:$F&amp;'5) Release_Track'!$G:$G,'5) Release_Track'!$H:$H},2,0),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D583" s="121" t="str">
        <f t="array" ref="D583">ifs(and(isblank($A583),isblank($B583)),"", not(iserror(vlookup($A583&amp;$B583,'5) Release_Track'!$F:$F&amp;'5) Release_Track'!$G:$G,1,0))),vlookup($A583&amp;$B583,{'5) Release_Track'!$F:$F&amp;'5) Release_Track'!$G:$G,'5) Release_Track'!$I:$I},2,0),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E583" s="150" t="b">
        <v>0</v>
      </c>
      <c r="F583" s="150" t="b">
        <v>0</v>
      </c>
      <c r="G583" s="150" t="b">
        <v>0</v>
      </c>
      <c r="H583" s="150" t="b">
        <v>0</v>
      </c>
      <c r="I583" s="150" t="b">
        <v>0</v>
      </c>
      <c r="J583" s="150" t="b">
        <v>0</v>
      </c>
      <c r="K583" s="150" t="b">
        <v>0</v>
      </c>
      <c r="L583" s="8" t="b">
        <v>0</v>
      </c>
    </row>
    <row r="584">
      <c r="B584" s="97"/>
      <c r="C584" s="121" t="str">
        <f t="array" ref="C584">ifs(and(isblank($A584),isblank($B584)),"", not(iserror(vlookup($A584&amp;$B584,'5) Release_Track'!$F:$F&amp;'5) Release_Track'!$G:$G,1,0))),vlookup($A584&amp;$B584,{'5) Release_Track'!$F:$F&amp;'5) Release_Track'!$G:$G,'5) Release_Track'!$H:$H},2,0),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D584" s="121" t="str">
        <f t="array" ref="D584">ifs(and(isblank($A584),isblank($B584)),"", not(iserror(vlookup($A584&amp;$B584,'5) Release_Track'!$F:$F&amp;'5) Release_Track'!$G:$G,1,0))),vlookup($A584&amp;$B584,{'5) Release_Track'!$F:$F&amp;'5) Release_Track'!$G:$G,'5) Release_Track'!$I:$I},2,0),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E584" s="150" t="b">
        <v>0</v>
      </c>
      <c r="F584" s="150" t="b">
        <v>0</v>
      </c>
      <c r="G584" s="150" t="b">
        <v>0</v>
      </c>
      <c r="H584" s="150" t="b">
        <v>0</v>
      </c>
      <c r="I584" s="150" t="b">
        <v>0</v>
      </c>
      <c r="J584" s="150" t="b">
        <v>0</v>
      </c>
      <c r="K584" s="150" t="b">
        <v>0</v>
      </c>
      <c r="L584" s="8" t="b">
        <v>0</v>
      </c>
    </row>
    <row r="585">
      <c r="B585" s="97"/>
      <c r="C585" s="121" t="str">
        <f t="array" ref="C585">ifs(and(isblank($A585),isblank($B585)),"", not(iserror(vlookup($A585&amp;$B585,'5) Release_Track'!$F:$F&amp;'5) Release_Track'!$G:$G,1,0))),vlookup($A585&amp;$B585,{'5) Release_Track'!$F:$F&amp;'5) Release_Track'!$G:$G,'5) Release_Track'!$H:$H},2,0),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D585" s="121" t="str">
        <f t="array" ref="D585">ifs(and(isblank($A585),isblank($B585)),"", not(iserror(vlookup($A585&amp;$B585,'5) Release_Track'!$F:$F&amp;'5) Release_Track'!$G:$G,1,0))),vlookup($A585&amp;$B585,{'5) Release_Track'!$F:$F&amp;'5) Release_Track'!$G:$G,'5) Release_Track'!$I:$I},2,0),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E585" s="150" t="b">
        <v>0</v>
      </c>
      <c r="F585" s="150" t="b">
        <v>0</v>
      </c>
      <c r="G585" s="150" t="b">
        <v>0</v>
      </c>
      <c r="H585" s="150" t="b">
        <v>0</v>
      </c>
      <c r="I585" s="150" t="b">
        <v>0</v>
      </c>
      <c r="J585" s="150" t="b">
        <v>0</v>
      </c>
      <c r="K585" s="150" t="b">
        <v>0</v>
      </c>
      <c r="L585" s="8" t="b">
        <v>0</v>
      </c>
    </row>
    <row r="586">
      <c r="B586" s="97"/>
      <c r="C586" s="121" t="str">
        <f t="array" ref="C586">ifs(and(isblank($A586),isblank($B586)),"", not(iserror(vlookup($A586&amp;$B586,'5) Release_Track'!$F:$F&amp;'5) Release_Track'!$G:$G,1,0))),vlookup($A586&amp;$B586,{'5) Release_Track'!$F:$F&amp;'5) Release_Track'!$G:$G,'5) Release_Track'!$H:$H},2,0),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D586" s="121" t="str">
        <f t="array" ref="D586">ifs(and(isblank($A586),isblank($B586)),"", not(iserror(vlookup($A586&amp;$B586,'5) Release_Track'!$F:$F&amp;'5) Release_Track'!$G:$G,1,0))),vlookup($A586&amp;$B586,{'5) Release_Track'!$F:$F&amp;'5) Release_Track'!$G:$G,'5) Release_Track'!$I:$I},2,0),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E586" s="150" t="b">
        <v>0</v>
      </c>
      <c r="F586" s="150" t="b">
        <v>0</v>
      </c>
      <c r="G586" s="150" t="b">
        <v>0</v>
      </c>
      <c r="H586" s="150" t="b">
        <v>0</v>
      </c>
      <c r="I586" s="150" t="b">
        <v>0</v>
      </c>
      <c r="J586" s="150" t="b">
        <v>0</v>
      </c>
      <c r="K586" s="150" t="b">
        <v>0</v>
      </c>
      <c r="L586" s="8" t="b">
        <v>0</v>
      </c>
    </row>
    <row r="587">
      <c r="B587" s="97"/>
      <c r="C587" s="121" t="str">
        <f t="array" ref="C587">ifs(and(isblank($A587),isblank($B587)),"", not(iserror(vlookup($A587&amp;$B587,'5) Release_Track'!$F:$F&amp;'5) Release_Track'!$G:$G,1,0))),vlookup($A587&amp;$B587,{'5) Release_Track'!$F:$F&amp;'5) Release_Track'!$G:$G,'5) Release_Track'!$H:$H},2,0),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D587" s="121" t="str">
        <f t="array" ref="D587">ifs(and(isblank($A587),isblank($B587)),"", not(iserror(vlookup($A587&amp;$B587,'5) Release_Track'!$F:$F&amp;'5) Release_Track'!$G:$G,1,0))),vlookup($A587&amp;$B587,{'5) Release_Track'!$F:$F&amp;'5) Release_Track'!$G:$G,'5) Release_Track'!$I:$I},2,0),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E587" s="150" t="b">
        <v>0</v>
      </c>
      <c r="F587" s="150" t="b">
        <v>0</v>
      </c>
      <c r="G587" s="150" t="b">
        <v>0</v>
      </c>
      <c r="H587" s="150" t="b">
        <v>0</v>
      </c>
      <c r="I587" s="150" t="b">
        <v>0</v>
      </c>
      <c r="J587" s="150" t="b">
        <v>0</v>
      </c>
      <c r="K587" s="150" t="b">
        <v>0</v>
      </c>
      <c r="L587" s="8" t="b">
        <v>0</v>
      </c>
    </row>
    <row r="588">
      <c r="B588" s="97"/>
      <c r="C588" s="121" t="str">
        <f t="array" ref="C588">ifs(and(isblank($A588),isblank($B588)),"", not(iserror(vlookup($A588&amp;$B588,'5) Release_Track'!$F:$F&amp;'5) Release_Track'!$G:$G,1,0))),vlookup($A588&amp;$B588,{'5) Release_Track'!$F:$F&amp;'5) Release_Track'!$G:$G,'5) Release_Track'!$H:$H},2,0),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D588" s="121" t="str">
        <f t="array" ref="D588">ifs(and(isblank($A588),isblank($B588)),"", not(iserror(vlookup($A588&amp;$B588,'5) Release_Track'!$F:$F&amp;'5) Release_Track'!$G:$G,1,0))),vlookup($A588&amp;$B588,{'5) Release_Track'!$F:$F&amp;'5) Release_Track'!$G:$G,'5) Release_Track'!$I:$I},2,0),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E588" s="150" t="b">
        <v>0</v>
      </c>
      <c r="F588" s="150" t="b">
        <v>0</v>
      </c>
      <c r="G588" s="150" t="b">
        <v>0</v>
      </c>
      <c r="H588" s="150" t="b">
        <v>0</v>
      </c>
      <c r="I588" s="150" t="b">
        <v>0</v>
      </c>
      <c r="J588" s="150" t="b">
        <v>0</v>
      </c>
      <c r="K588" s="150" t="b">
        <v>0</v>
      </c>
      <c r="L588" s="8" t="b">
        <v>0</v>
      </c>
    </row>
    <row r="589">
      <c r="B589" s="97"/>
      <c r="C589" s="121" t="str">
        <f t="array" ref="C589">ifs(and(isblank($A589),isblank($B589)),"", not(iserror(vlookup($A589&amp;$B589,'5) Release_Track'!$F:$F&amp;'5) Release_Track'!$G:$G,1,0))),vlookup($A589&amp;$B589,{'5) Release_Track'!$F:$F&amp;'5) Release_Track'!$G:$G,'5) Release_Track'!$H:$H},2,0),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D589" s="121" t="str">
        <f t="array" ref="D589">ifs(and(isblank($A589),isblank($B589)),"", not(iserror(vlookup($A589&amp;$B589,'5) Release_Track'!$F:$F&amp;'5) Release_Track'!$G:$G,1,0))),vlookup($A589&amp;$B589,{'5) Release_Track'!$F:$F&amp;'5) Release_Track'!$G:$G,'5) Release_Track'!$I:$I},2,0),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E589" s="150" t="b">
        <v>0</v>
      </c>
      <c r="F589" s="150" t="b">
        <v>0</v>
      </c>
      <c r="G589" s="150" t="b">
        <v>0</v>
      </c>
      <c r="H589" s="150" t="b">
        <v>0</v>
      </c>
      <c r="I589" s="150" t="b">
        <v>0</v>
      </c>
      <c r="J589" s="150" t="b">
        <v>0</v>
      </c>
      <c r="K589" s="150" t="b">
        <v>0</v>
      </c>
      <c r="L589" s="8" t="b">
        <v>0</v>
      </c>
    </row>
    <row r="590">
      <c r="B590" s="97"/>
      <c r="C590" s="121" t="str">
        <f t="array" ref="C590">ifs(and(isblank($A590),isblank($B590)),"", not(iserror(vlookup($A590&amp;$B590,'5) Release_Track'!$F:$F&amp;'5) Release_Track'!$G:$G,1,0))),vlookup($A590&amp;$B590,{'5) Release_Track'!$F:$F&amp;'5) Release_Track'!$G:$G,'5) Release_Track'!$H:$H},2,0),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D590" s="121" t="str">
        <f t="array" ref="D590">ifs(and(isblank($A590),isblank($B590)),"", not(iserror(vlookup($A590&amp;$B590,'5) Release_Track'!$F:$F&amp;'5) Release_Track'!$G:$G,1,0))),vlookup($A590&amp;$B590,{'5) Release_Track'!$F:$F&amp;'5) Release_Track'!$G:$G,'5) Release_Track'!$I:$I},2,0),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E590" s="150" t="b">
        <v>0</v>
      </c>
      <c r="F590" s="150" t="b">
        <v>0</v>
      </c>
      <c r="G590" s="150" t="b">
        <v>0</v>
      </c>
      <c r="H590" s="150" t="b">
        <v>0</v>
      </c>
      <c r="I590" s="150" t="b">
        <v>0</v>
      </c>
      <c r="J590" s="150" t="b">
        <v>0</v>
      </c>
      <c r="K590" s="150" t="b">
        <v>0</v>
      </c>
      <c r="L590" s="8" t="b">
        <v>0</v>
      </c>
    </row>
    <row r="591">
      <c r="B591" s="97"/>
      <c r="C591" s="121" t="str">
        <f t="array" ref="C591">ifs(and(isblank($A591),isblank($B591)),"", not(iserror(vlookup($A591&amp;$B591,'5) Release_Track'!$F:$F&amp;'5) Release_Track'!$G:$G,1,0))),vlookup($A591&amp;$B591,{'5) Release_Track'!$F:$F&amp;'5) Release_Track'!$G:$G,'5) Release_Track'!$H:$H},2,0),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D591" s="121" t="str">
        <f t="array" ref="D591">ifs(and(isblank($A591),isblank($B591)),"", not(iserror(vlookup($A591&amp;$B591,'5) Release_Track'!$F:$F&amp;'5) Release_Track'!$G:$G,1,0))),vlookup($A591&amp;$B591,{'5) Release_Track'!$F:$F&amp;'5) Release_Track'!$G:$G,'5) Release_Track'!$I:$I},2,0),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E591" s="150" t="b">
        <v>0</v>
      </c>
      <c r="F591" s="150" t="b">
        <v>0</v>
      </c>
      <c r="G591" s="150" t="b">
        <v>0</v>
      </c>
      <c r="H591" s="150" t="b">
        <v>0</v>
      </c>
      <c r="I591" s="150" t="b">
        <v>0</v>
      </c>
      <c r="J591" s="150" t="b">
        <v>0</v>
      </c>
      <c r="K591" s="150" t="b">
        <v>0</v>
      </c>
      <c r="L591" s="8" t="b">
        <v>0</v>
      </c>
    </row>
    <row r="592">
      <c r="B592" s="97"/>
      <c r="C592" s="121" t="str">
        <f t="array" ref="C592">ifs(and(isblank($A592),isblank($B592)),"", not(iserror(vlookup($A592&amp;$B592,'5) Release_Track'!$F:$F&amp;'5) Release_Track'!$G:$G,1,0))),vlookup($A592&amp;$B592,{'5) Release_Track'!$F:$F&amp;'5) Release_Track'!$G:$G,'5) Release_Track'!$H:$H},2,0),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D592" s="121" t="str">
        <f t="array" ref="D592">ifs(and(isblank($A592),isblank($B592)),"", not(iserror(vlookup($A592&amp;$B592,'5) Release_Track'!$F:$F&amp;'5) Release_Track'!$G:$G,1,0))),vlookup($A592&amp;$B592,{'5) Release_Track'!$F:$F&amp;'5) Release_Track'!$G:$G,'5) Release_Track'!$I:$I},2,0),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E592" s="150" t="b">
        <v>0</v>
      </c>
      <c r="F592" s="150" t="b">
        <v>0</v>
      </c>
      <c r="G592" s="150" t="b">
        <v>0</v>
      </c>
      <c r="H592" s="150" t="b">
        <v>0</v>
      </c>
      <c r="I592" s="150" t="b">
        <v>0</v>
      </c>
      <c r="J592" s="150" t="b">
        <v>0</v>
      </c>
      <c r="K592" s="150" t="b">
        <v>0</v>
      </c>
      <c r="L592" s="8" t="b">
        <v>0</v>
      </c>
    </row>
    <row r="593">
      <c r="B593" s="97"/>
      <c r="C593" s="121" t="str">
        <f t="array" ref="C593">ifs(and(isblank($A593),isblank($B593)),"", not(iserror(vlookup($A593&amp;$B593,'5) Release_Track'!$F:$F&amp;'5) Release_Track'!$G:$G,1,0))),vlookup($A593&amp;$B593,{'5) Release_Track'!$F:$F&amp;'5) Release_Track'!$G:$G,'5) Release_Track'!$H:$H},2,0),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D593" s="121" t="str">
        <f t="array" ref="D593">ifs(and(isblank($A593),isblank($B593)),"", not(iserror(vlookup($A593&amp;$B593,'5) Release_Track'!$F:$F&amp;'5) Release_Track'!$G:$G,1,0))),vlookup($A593&amp;$B593,{'5) Release_Track'!$F:$F&amp;'5) Release_Track'!$G:$G,'5) Release_Track'!$I:$I},2,0),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E593" s="150" t="b">
        <v>0</v>
      </c>
      <c r="F593" s="150" t="b">
        <v>0</v>
      </c>
      <c r="G593" s="150" t="b">
        <v>0</v>
      </c>
      <c r="H593" s="150" t="b">
        <v>0</v>
      </c>
      <c r="I593" s="150" t="b">
        <v>0</v>
      </c>
      <c r="J593" s="150" t="b">
        <v>0</v>
      </c>
      <c r="K593" s="150" t="b">
        <v>0</v>
      </c>
      <c r="L593" s="8" t="b">
        <v>0</v>
      </c>
    </row>
    <row r="594">
      <c r="B594" s="97"/>
      <c r="C594" s="121" t="str">
        <f t="array" ref="C594">ifs(and(isblank($A594),isblank($B594)),"", not(iserror(vlookup($A594&amp;$B594,'5) Release_Track'!$F:$F&amp;'5) Release_Track'!$G:$G,1,0))),vlookup($A594&amp;$B594,{'5) Release_Track'!$F:$F&amp;'5) Release_Track'!$G:$G,'5) Release_Track'!$H:$H},2,0),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D594" s="121" t="str">
        <f t="array" ref="D594">ifs(and(isblank($A594),isblank($B594)),"", not(iserror(vlookup($A594&amp;$B594,'5) Release_Track'!$F:$F&amp;'5) Release_Track'!$G:$G,1,0))),vlookup($A594&amp;$B594,{'5) Release_Track'!$F:$F&amp;'5) Release_Track'!$G:$G,'5) Release_Track'!$I:$I},2,0),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E594" s="150" t="b">
        <v>0</v>
      </c>
      <c r="F594" s="150" t="b">
        <v>0</v>
      </c>
      <c r="G594" s="150" t="b">
        <v>0</v>
      </c>
      <c r="H594" s="150" t="b">
        <v>0</v>
      </c>
      <c r="I594" s="150" t="b">
        <v>0</v>
      </c>
      <c r="J594" s="150" t="b">
        <v>0</v>
      </c>
      <c r="K594" s="150" t="b">
        <v>0</v>
      </c>
      <c r="L594" s="8" t="b">
        <v>0</v>
      </c>
    </row>
    <row r="595">
      <c r="B595" s="97"/>
      <c r="C595" s="121" t="str">
        <f t="array" ref="C595">ifs(and(isblank($A595),isblank($B595)),"", not(iserror(vlookup($A595&amp;$B595,'5) Release_Track'!$F:$F&amp;'5) Release_Track'!$G:$G,1,0))),vlookup($A595&amp;$B595,{'5) Release_Track'!$F:$F&amp;'5) Release_Track'!$G:$G,'5) Release_Track'!$H:$H},2,0),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D595" s="121" t="str">
        <f t="array" ref="D595">ifs(and(isblank($A595),isblank($B595)),"", not(iserror(vlookup($A595&amp;$B595,'5) Release_Track'!$F:$F&amp;'5) Release_Track'!$G:$G,1,0))),vlookup($A595&amp;$B595,{'5) Release_Track'!$F:$F&amp;'5) Release_Track'!$G:$G,'5) Release_Track'!$I:$I},2,0),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E595" s="150" t="b">
        <v>0</v>
      </c>
      <c r="F595" s="150" t="b">
        <v>0</v>
      </c>
      <c r="G595" s="150" t="b">
        <v>0</v>
      </c>
      <c r="H595" s="150" t="b">
        <v>0</v>
      </c>
      <c r="I595" s="150" t="b">
        <v>0</v>
      </c>
      <c r="J595" s="150" t="b">
        <v>0</v>
      </c>
      <c r="K595" s="150" t="b">
        <v>0</v>
      </c>
      <c r="L595" s="8" t="b">
        <v>0</v>
      </c>
    </row>
    <row r="596">
      <c r="B596" s="97"/>
      <c r="C596" s="121" t="str">
        <f t="array" ref="C596">ifs(and(isblank($A596),isblank($B596)),"", not(iserror(vlookup($A596&amp;$B596,'5) Release_Track'!$F:$F&amp;'5) Release_Track'!$G:$G,1,0))),vlookup($A596&amp;$B596,{'5) Release_Track'!$F:$F&amp;'5) Release_Track'!$G:$G,'5) Release_Track'!$H:$H},2,0),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D596" s="121" t="str">
        <f t="array" ref="D596">ifs(and(isblank($A596),isblank($B596)),"", not(iserror(vlookup($A596&amp;$B596,'5) Release_Track'!$F:$F&amp;'5) Release_Track'!$G:$G,1,0))),vlookup($A596&amp;$B596,{'5) Release_Track'!$F:$F&amp;'5) Release_Track'!$G:$G,'5) Release_Track'!$I:$I},2,0),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E596" s="150" t="b">
        <v>0</v>
      </c>
      <c r="F596" s="150" t="b">
        <v>0</v>
      </c>
      <c r="G596" s="150" t="b">
        <v>0</v>
      </c>
      <c r="H596" s="150" t="b">
        <v>0</v>
      </c>
      <c r="I596" s="150" t="b">
        <v>0</v>
      </c>
      <c r="J596" s="150" t="b">
        <v>0</v>
      </c>
      <c r="K596" s="150" t="b">
        <v>0</v>
      </c>
      <c r="L596" s="8" t="b">
        <v>0</v>
      </c>
    </row>
    <row r="597">
      <c r="B597" s="97"/>
      <c r="C597" s="121" t="str">
        <f t="array" ref="C597">ifs(and(isblank($A597),isblank($B597)),"", not(iserror(vlookup($A597&amp;$B597,'5) Release_Track'!$F:$F&amp;'5) Release_Track'!$G:$G,1,0))),vlookup($A597&amp;$B597,{'5) Release_Track'!$F:$F&amp;'5) Release_Track'!$G:$G,'5) Release_Track'!$H:$H},2,0),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D597" s="121" t="str">
        <f t="array" ref="D597">ifs(and(isblank($A597),isblank($B597)),"", not(iserror(vlookup($A597&amp;$B597,'5) Release_Track'!$F:$F&amp;'5) Release_Track'!$G:$G,1,0))),vlookup($A597&amp;$B597,{'5) Release_Track'!$F:$F&amp;'5) Release_Track'!$G:$G,'5) Release_Track'!$I:$I},2,0),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E597" s="150" t="b">
        <v>0</v>
      </c>
      <c r="F597" s="150" t="b">
        <v>0</v>
      </c>
      <c r="G597" s="150" t="b">
        <v>0</v>
      </c>
      <c r="H597" s="150" t="b">
        <v>0</v>
      </c>
      <c r="I597" s="150" t="b">
        <v>0</v>
      </c>
      <c r="J597" s="150" t="b">
        <v>0</v>
      </c>
      <c r="K597" s="150" t="b">
        <v>0</v>
      </c>
      <c r="L597" s="8" t="b">
        <v>0</v>
      </c>
    </row>
    <row r="598">
      <c r="B598" s="97"/>
      <c r="C598" s="121" t="str">
        <f t="array" ref="C598">ifs(and(isblank($A598),isblank($B598)),"", not(iserror(vlookup($A598&amp;$B598,'5) Release_Track'!$F:$F&amp;'5) Release_Track'!$G:$G,1,0))),vlookup($A598&amp;$B598,{'5) Release_Track'!$F:$F&amp;'5) Release_Track'!$G:$G,'5) Release_Track'!$H:$H},2,0),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D598" s="121" t="str">
        <f t="array" ref="D598">ifs(and(isblank($A598),isblank($B598)),"", not(iserror(vlookup($A598&amp;$B598,'5) Release_Track'!$F:$F&amp;'5) Release_Track'!$G:$G,1,0))),vlookup($A598&amp;$B598,{'5) Release_Track'!$F:$F&amp;'5) Release_Track'!$G:$G,'5) Release_Track'!$I:$I},2,0),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E598" s="150" t="b">
        <v>0</v>
      </c>
      <c r="F598" s="150" t="b">
        <v>0</v>
      </c>
      <c r="G598" s="150" t="b">
        <v>0</v>
      </c>
      <c r="H598" s="150" t="b">
        <v>0</v>
      </c>
      <c r="I598" s="150" t="b">
        <v>0</v>
      </c>
      <c r="J598" s="150" t="b">
        <v>0</v>
      </c>
      <c r="K598" s="150" t="b">
        <v>0</v>
      </c>
      <c r="L598" s="8" t="b">
        <v>0</v>
      </c>
    </row>
    <row r="599">
      <c r="B599" s="97"/>
      <c r="C599" s="121" t="str">
        <f t="array" ref="C599">ifs(and(isblank($A599),isblank($B599)),"", not(iserror(vlookup($A599&amp;$B599,'5) Release_Track'!$F:$F&amp;'5) Release_Track'!$G:$G,1,0))),vlookup($A599&amp;$B599,{'5) Release_Track'!$F:$F&amp;'5) Release_Track'!$G:$G,'5) Release_Track'!$H:$H},2,0),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D599" s="121" t="str">
        <f t="array" ref="D599">ifs(and(isblank($A599),isblank($B599)),"", not(iserror(vlookup($A599&amp;$B599,'5) Release_Track'!$F:$F&amp;'5) Release_Track'!$G:$G,1,0))),vlookup($A599&amp;$B599,{'5) Release_Track'!$F:$F&amp;'5) Release_Track'!$G:$G,'5) Release_Track'!$I:$I},2,0),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E599" s="150" t="b">
        <v>0</v>
      </c>
      <c r="F599" s="150" t="b">
        <v>0</v>
      </c>
      <c r="G599" s="150" t="b">
        <v>0</v>
      </c>
      <c r="H599" s="150" t="b">
        <v>0</v>
      </c>
      <c r="I599" s="150" t="b">
        <v>0</v>
      </c>
      <c r="J599" s="150" t="b">
        <v>0</v>
      </c>
      <c r="K599" s="150" t="b">
        <v>0</v>
      </c>
      <c r="L599" s="8" t="b">
        <v>0</v>
      </c>
    </row>
    <row r="600">
      <c r="B600" s="97"/>
      <c r="C600" s="121" t="str">
        <f t="array" ref="C600">ifs(and(isblank($A600),isblank($B600)),"", not(iserror(vlookup($A600&amp;$B600,'5) Release_Track'!$F:$F&amp;'5) Release_Track'!$G:$G,1,0))),vlookup($A600&amp;$B600,{'5) Release_Track'!$F:$F&amp;'5) Release_Track'!$G:$G,'5) Release_Track'!$H:$H},2,0),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D600" s="121" t="str">
        <f t="array" ref="D600">ifs(and(isblank($A600),isblank($B600)),"", not(iserror(vlookup($A600&amp;$B600,'5) Release_Track'!$F:$F&amp;'5) Release_Track'!$G:$G,1,0))),vlookup($A600&amp;$B600,{'5) Release_Track'!$F:$F&amp;'5) Release_Track'!$G:$G,'5) Release_Track'!$I:$I},2,0),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E600" s="150" t="b">
        <v>0</v>
      </c>
      <c r="F600" s="150" t="b">
        <v>0</v>
      </c>
      <c r="G600" s="150" t="b">
        <v>0</v>
      </c>
      <c r="H600" s="150" t="b">
        <v>0</v>
      </c>
      <c r="I600" s="150" t="b">
        <v>0</v>
      </c>
      <c r="J600" s="150" t="b">
        <v>0</v>
      </c>
      <c r="K600" s="150" t="b">
        <v>0</v>
      </c>
      <c r="L600" s="8" t="b">
        <v>0</v>
      </c>
    </row>
    <row r="601">
      <c r="B601" s="97"/>
      <c r="C601" s="121" t="str">
        <f t="array" ref="C601">ifs(and(isblank($A601),isblank($B601)),"", not(iserror(vlookup($A601&amp;$B601,'5) Release_Track'!$F:$F&amp;'5) Release_Track'!$G:$G,1,0))),vlookup($A601&amp;$B601,{'5) Release_Track'!$F:$F&amp;'5) Release_Track'!$G:$G,'5) Release_Track'!$H:$H},2,0),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D601" s="121" t="str">
        <f t="array" ref="D601">ifs(and(isblank($A601),isblank($B601)),"", not(iserror(vlookup($A601&amp;$B601,'5) Release_Track'!$F:$F&amp;'5) Release_Track'!$G:$G,1,0))),vlookup($A601&amp;$B601,{'5) Release_Track'!$F:$F&amp;'5) Release_Track'!$G:$G,'5) Release_Track'!$I:$I},2,0),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E601" s="150" t="b">
        <v>0</v>
      </c>
      <c r="F601" s="150" t="b">
        <v>0</v>
      </c>
      <c r="G601" s="150" t="b">
        <v>0</v>
      </c>
      <c r="H601" s="150" t="b">
        <v>0</v>
      </c>
      <c r="I601" s="150" t="b">
        <v>0</v>
      </c>
      <c r="J601" s="150" t="b">
        <v>0</v>
      </c>
      <c r="K601" s="150" t="b">
        <v>0</v>
      </c>
      <c r="L601" s="8" t="b">
        <v>0</v>
      </c>
    </row>
    <row r="602">
      <c r="B602" s="97"/>
      <c r="C602" s="121" t="str">
        <f t="array" ref="C602">ifs(and(isblank($A602),isblank($B602)),"", not(iserror(vlookup($A602&amp;$B602,'5) Release_Track'!$F:$F&amp;'5) Release_Track'!$G:$G,1,0))),vlookup($A602&amp;$B602,{'5) Release_Track'!$F:$F&amp;'5) Release_Track'!$G:$G,'5) Release_Track'!$H:$H},2,0),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D602" s="121" t="str">
        <f t="array" ref="D602">ifs(and(isblank($A602),isblank($B602)),"", not(iserror(vlookup($A602&amp;$B602,'5) Release_Track'!$F:$F&amp;'5) Release_Track'!$G:$G,1,0))),vlookup($A602&amp;$B602,{'5) Release_Track'!$F:$F&amp;'5) Release_Track'!$G:$G,'5) Release_Track'!$I:$I},2,0),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E602" s="150" t="b">
        <v>0</v>
      </c>
      <c r="F602" s="150" t="b">
        <v>0</v>
      </c>
      <c r="G602" s="150" t="b">
        <v>0</v>
      </c>
      <c r="H602" s="150" t="b">
        <v>0</v>
      </c>
      <c r="I602" s="150" t="b">
        <v>0</v>
      </c>
      <c r="J602" s="150" t="b">
        <v>0</v>
      </c>
      <c r="K602" s="150" t="b">
        <v>0</v>
      </c>
      <c r="L602" s="8" t="b">
        <v>0</v>
      </c>
    </row>
    <row r="603">
      <c r="B603" s="97"/>
      <c r="C603" s="121" t="str">
        <f t="array" ref="C603">ifs(and(isblank($A603),isblank($B603)),"", not(iserror(vlookup($A603&amp;$B603,'5) Release_Track'!$F:$F&amp;'5) Release_Track'!$G:$G,1,0))),vlookup($A603&amp;$B603,{'5) Release_Track'!$F:$F&amp;'5) Release_Track'!$G:$G,'5) Release_Track'!$H:$H},2,0),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D603" s="121" t="str">
        <f t="array" ref="D603">ifs(and(isblank($A603),isblank($B603)),"", not(iserror(vlookup($A603&amp;$B603,'5) Release_Track'!$F:$F&amp;'5) Release_Track'!$G:$G,1,0))),vlookup($A603&amp;$B603,{'5) Release_Track'!$F:$F&amp;'5) Release_Track'!$G:$G,'5) Release_Track'!$I:$I},2,0),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E603" s="150" t="b">
        <v>0</v>
      </c>
      <c r="F603" s="150" t="b">
        <v>0</v>
      </c>
      <c r="G603" s="150" t="b">
        <v>0</v>
      </c>
      <c r="H603" s="150" t="b">
        <v>0</v>
      </c>
      <c r="I603" s="150" t="b">
        <v>0</v>
      </c>
      <c r="J603" s="150" t="b">
        <v>0</v>
      </c>
      <c r="K603" s="150" t="b">
        <v>0</v>
      </c>
      <c r="L603" s="8" t="b">
        <v>0</v>
      </c>
    </row>
    <row r="604">
      <c r="B604" s="97"/>
      <c r="C604" s="121" t="str">
        <f t="array" ref="C604">ifs(and(isblank($A604),isblank($B604)),"", not(iserror(vlookup($A604&amp;$B604,'5) Release_Track'!$F:$F&amp;'5) Release_Track'!$G:$G,1,0))),vlookup($A604&amp;$B604,{'5) Release_Track'!$F:$F&amp;'5) Release_Track'!$G:$G,'5) Release_Track'!$H:$H},2,0),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D604" s="121" t="str">
        <f t="array" ref="D604">ifs(and(isblank($A604),isblank($B604)),"", not(iserror(vlookup($A604&amp;$B604,'5) Release_Track'!$F:$F&amp;'5) Release_Track'!$G:$G,1,0))),vlookup($A604&amp;$B604,{'5) Release_Track'!$F:$F&amp;'5) Release_Track'!$G:$G,'5) Release_Track'!$I:$I},2,0),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E604" s="150" t="b">
        <v>0</v>
      </c>
      <c r="F604" s="150" t="b">
        <v>0</v>
      </c>
      <c r="G604" s="150" t="b">
        <v>0</v>
      </c>
      <c r="H604" s="150" t="b">
        <v>0</v>
      </c>
      <c r="I604" s="150" t="b">
        <v>0</v>
      </c>
      <c r="J604" s="150" t="b">
        <v>0</v>
      </c>
      <c r="K604" s="150" t="b">
        <v>0</v>
      </c>
      <c r="L604" s="8" t="b">
        <v>0</v>
      </c>
    </row>
    <row r="605">
      <c r="B605" s="97"/>
      <c r="C605" s="121" t="str">
        <f t="array" ref="C605">ifs(and(isblank($A605),isblank($B605)),"", not(iserror(vlookup($A605&amp;$B605,'5) Release_Track'!$F:$F&amp;'5) Release_Track'!$G:$G,1,0))),vlookup($A605&amp;$B605,{'5) Release_Track'!$F:$F&amp;'5) Release_Track'!$G:$G,'5) Release_Track'!$H:$H},2,0),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D605" s="121" t="str">
        <f t="array" ref="D605">ifs(and(isblank($A605),isblank($B605)),"", not(iserror(vlookup($A605&amp;$B605,'5) Release_Track'!$F:$F&amp;'5) Release_Track'!$G:$G,1,0))),vlookup($A605&amp;$B605,{'5) Release_Track'!$F:$F&amp;'5) Release_Track'!$G:$G,'5) Release_Track'!$I:$I},2,0),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E605" s="150" t="b">
        <v>0</v>
      </c>
      <c r="F605" s="150" t="b">
        <v>0</v>
      </c>
      <c r="G605" s="150" t="b">
        <v>0</v>
      </c>
      <c r="H605" s="150" t="b">
        <v>0</v>
      </c>
      <c r="I605" s="150" t="b">
        <v>0</v>
      </c>
      <c r="J605" s="150" t="b">
        <v>0</v>
      </c>
      <c r="K605" s="150" t="b">
        <v>0</v>
      </c>
      <c r="L605" s="8" t="b">
        <v>0</v>
      </c>
    </row>
    <row r="606">
      <c r="B606" s="97"/>
      <c r="C606" s="121" t="str">
        <f t="array" ref="C606">ifs(and(isblank($A606),isblank($B606)),"", not(iserror(vlookup($A606&amp;$B606,'5) Release_Track'!$F:$F&amp;'5) Release_Track'!$G:$G,1,0))),vlookup($A606&amp;$B606,{'5) Release_Track'!$F:$F&amp;'5) Release_Track'!$G:$G,'5) Release_Track'!$H:$H},2,0),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D606" s="121" t="str">
        <f t="array" ref="D606">ifs(and(isblank($A606),isblank($B606)),"", not(iserror(vlookup($A606&amp;$B606,'5) Release_Track'!$F:$F&amp;'5) Release_Track'!$G:$G,1,0))),vlookup($A606&amp;$B606,{'5) Release_Track'!$F:$F&amp;'5) Release_Track'!$G:$G,'5) Release_Track'!$I:$I},2,0),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E606" s="150" t="b">
        <v>0</v>
      </c>
      <c r="F606" s="150" t="b">
        <v>0</v>
      </c>
      <c r="G606" s="150" t="b">
        <v>0</v>
      </c>
      <c r="H606" s="150" t="b">
        <v>0</v>
      </c>
      <c r="I606" s="150" t="b">
        <v>0</v>
      </c>
      <c r="J606" s="150" t="b">
        <v>0</v>
      </c>
      <c r="K606" s="150" t="b">
        <v>0</v>
      </c>
      <c r="L606" s="8" t="b">
        <v>0</v>
      </c>
    </row>
    <row r="607">
      <c r="B607" s="97"/>
      <c r="C607" s="121" t="str">
        <f t="array" ref="C607">ifs(and(isblank($A607),isblank($B607)),"", not(iserror(vlookup($A607&amp;$B607,'5) Release_Track'!$F:$F&amp;'5) Release_Track'!$G:$G,1,0))),vlookup($A607&amp;$B607,{'5) Release_Track'!$F:$F&amp;'5) Release_Track'!$G:$G,'5) Release_Track'!$H:$H},2,0),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D607" s="121" t="str">
        <f t="array" ref="D607">ifs(and(isblank($A607),isblank($B607)),"", not(iserror(vlookup($A607&amp;$B607,'5) Release_Track'!$F:$F&amp;'5) Release_Track'!$G:$G,1,0))),vlookup($A607&amp;$B607,{'5) Release_Track'!$F:$F&amp;'5) Release_Track'!$G:$G,'5) Release_Track'!$I:$I},2,0),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E607" s="150" t="b">
        <v>0</v>
      </c>
      <c r="F607" s="150" t="b">
        <v>0</v>
      </c>
      <c r="G607" s="150" t="b">
        <v>0</v>
      </c>
      <c r="H607" s="150" t="b">
        <v>0</v>
      </c>
      <c r="I607" s="150" t="b">
        <v>0</v>
      </c>
      <c r="J607" s="150" t="b">
        <v>0</v>
      </c>
      <c r="K607" s="150" t="b">
        <v>0</v>
      </c>
      <c r="L607" s="8" t="b">
        <v>0</v>
      </c>
    </row>
    <row r="608">
      <c r="B608" s="97"/>
      <c r="C608" s="121" t="str">
        <f t="array" ref="C608">ifs(and(isblank($A608),isblank($B608)),"", not(iserror(vlookup($A608&amp;$B608,'5) Release_Track'!$F:$F&amp;'5) Release_Track'!$G:$G,1,0))),vlookup($A608&amp;$B608,{'5) Release_Track'!$F:$F&amp;'5) Release_Track'!$G:$G,'5) Release_Track'!$H:$H},2,0),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D608" s="121" t="str">
        <f t="array" ref="D608">ifs(and(isblank($A608),isblank($B608)),"", not(iserror(vlookup($A608&amp;$B608,'5) Release_Track'!$F:$F&amp;'5) Release_Track'!$G:$G,1,0))),vlookup($A608&amp;$B608,{'5) Release_Track'!$F:$F&amp;'5) Release_Track'!$G:$G,'5) Release_Track'!$I:$I},2,0),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E608" s="150" t="b">
        <v>0</v>
      </c>
      <c r="F608" s="150" t="b">
        <v>0</v>
      </c>
      <c r="G608" s="150" t="b">
        <v>0</v>
      </c>
      <c r="H608" s="150" t="b">
        <v>0</v>
      </c>
      <c r="I608" s="150" t="b">
        <v>0</v>
      </c>
      <c r="J608" s="150" t="b">
        <v>0</v>
      </c>
      <c r="K608" s="150" t="b">
        <v>0</v>
      </c>
      <c r="L608" s="8" t="b">
        <v>0</v>
      </c>
    </row>
    <row r="609">
      <c r="B609" s="97"/>
      <c r="C609" s="121" t="str">
        <f t="array" ref="C609">ifs(and(isblank($A609),isblank($B609)),"", not(iserror(vlookup($A609&amp;$B609,'5) Release_Track'!$F:$F&amp;'5) Release_Track'!$G:$G,1,0))),vlookup($A609&amp;$B609,{'5) Release_Track'!$F:$F&amp;'5) Release_Track'!$G:$G,'5) Release_Track'!$H:$H},2,0),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D609" s="121" t="str">
        <f t="array" ref="D609">ifs(and(isblank($A609),isblank($B609)),"", not(iserror(vlookup($A609&amp;$B609,'5) Release_Track'!$F:$F&amp;'5) Release_Track'!$G:$G,1,0))),vlookup($A609&amp;$B609,{'5) Release_Track'!$F:$F&amp;'5) Release_Track'!$G:$G,'5) Release_Track'!$I:$I},2,0),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E609" s="150" t="b">
        <v>0</v>
      </c>
      <c r="F609" s="150" t="b">
        <v>0</v>
      </c>
      <c r="G609" s="150" t="b">
        <v>0</v>
      </c>
      <c r="H609" s="150" t="b">
        <v>0</v>
      </c>
      <c r="I609" s="150" t="b">
        <v>0</v>
      </c>
      <c r="J609" s="150" t="b">
        <v>0</v>
      </c>
      <c r="K609" s="150" t="b">
        <v>0</v>
      </c>
      <c r="L609" s="8" t="b">
        <v>0</v>
      </c>
    </row>
    <row r="610">
      <c r="B610" s="97"/>
      <c r="C610" s="121" t="str">
        <f t="array" ref="C610">ifs(and(isblank($A610),isblank($B610)),"", not(iserror(vlookup($A610&amp;$B610,'5) Release_Track'!$F:$F&amp;'5) Release_Track'!$G:$G,1,0))),vlookup($A610&amp;$B610,{'5) Release_Track'!$F:$F&amp;'5) Release_Track'!$G:$G,'5) Release_Track'!$H:$H},2,0),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D610" s="121" t="str">
        <f t="array" ref="D610">ifs(and(isblank($A610),isblank($B610)),"", not(iserror(vlookup($A610&amp;$B610,'5) Release_Track'!$F:$F&amp;'5) Release_Track'!$G:$G,1,0))),vlookup($A610&amp;$B610,{'5) Release_Track'!$F:$F&amp;'5) Release_Track'!$G:$G,'5) Release_Track'!$I:$I},2,0),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E610" s="150" t="b">
        <v>0</v>
      </c>
      <c r="F610" s="150" t="b">
        <v>0</v>
      </c>
      <c r="G610" s="150" t="b">
        <v>0</v>
      </c>
      <c r="H610" s="150" t="b">
        <v>0</v>
      </c>
      <c r="I610" s="150" t="b">
        <v>0</v>
      </c>
      <c r="J610" s="150" t="b">
        <v>0</v>
      </c>
      <c r="K610" s="150" t="b">
        <v>0</v>
      </c>
      <c r="L610" s="8" t="b">
        <v>0</v>
      </c>
    </row>
    <row r="611">
      <c r="B611" s="97"/>
      <c r="C611" s="121" t="str">
        <f t="array" ref="C611">ifs(and(isblank($A611),isblank($B611)),"", not(iserror(vlookup($A611&amp;$B611,'5) Release_Track'!$F:$F&amp;'5) Release_Track'!$G:$G,1,0))),vlookup($A611&amp;$B611,{'5) Release_Track'!$F:$F&amp;'5) Release_Track'!$G:$G,'5) Release_Track'!$H:$H},2,0),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D611" s="121" t="str">
        <f t="array" ref="D611">ifs(and(isblank($A611),isblank($B611)),"", not(iserror(vlookup($A611&amp;$B611,'5) Release_Track'!$F:$F&amp;'5) Release_Track'!$G:$G,1,0))),vlookup($A611&amp;$B611,{'5) Release_Track'!$F:$F&amp;'5) Release_Track'!$G:$G,'5) Release_Track'!$I:$I},2,0),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E611" s="150" t="b">
        <v>0</v>
      </c>
      <c r="F611" s="150" t="b">
        <v>0</v>
      </c>
      <c r="G611" s="150" t="b">
        <v>0</v>
      </c>
      <c r="H611" s="150" t="b">
        <v>0</v>
      </c>
      <c r="I611" s="150" t="b">
        <v>0</v>
      </c>
      <c r="J611" s="150" t="b">
        <v>0</v>
      </c>
      <c r="K611" s="150" t="b">
        <v>0</v>
      </c>
      <c r="L611" s="8" t="b">
        <v>0</v>
      </c>
    </row>
    <row r="612">
      <c r="B612" s="97"/>
      <c r="C612" s="121" t="str">
        <f t="array" ref="C612">ifs(and(isblank($A612),isblank($B612)),"", not(iserror(vlookup($A612&amp;$B612,'5) Release_Track'!$F:$F&amp;'5) Release_Track'!$G:$G,1,0))),vlookup($A612&amp;$B612,{'5) Release_Track'!$F:$F&amp;'5) Release_Track'!$G:$G,'5) Release_Track'!$H:$H},2,0),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D612" s="121" t="str">
        <f t="array" ref="D612">ifs(and(isblank($A612),isblank($B612)),"", not(iserror(vlookup($A612&amp;$B612,'5) Release_Track'!$F:$F&amp;'5) Release_Track'!$G:$G,1,0))),vlookup($A612&amp;$B612,{'5) Release_Track'!$F:$F&amp;'5) Release_Track'!$G:$G,'5) Release_Track'!$I:$I},2,0),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E612" s="150" t="b">
        <v>0</v>
      </c>
      <c r="F612" s="150" t="b">
        <v>0</v>
      </c>
      <c r="G612" s="150" t="b">
        <v>0</v>
      </c>
      <c r="H612" s="150" t="b">
        <v>0</v>
      </c>
      <c r="I612" s="150" t="b">
        <v>0</v>
      </c>
      <c r="J612" s="150" t="b">
        <v>0</v>
      </c>
      <c r="K612" s="150" t="b">
        <v>0</v>
      </c>
      <c r="L612" s="8" t="b">
        <v>0</v>
      </c>
    </row>
    <row r="613">
      <c r="B613" s="97"/>
      <c r="C613" s="121" t="str">
        <f t="array" ref="C613">ifs(and(isblank($A613),isblank($B613)),"", not(iserror(vlookup($A613&amp;$B613,'5) Release_Track'!$F:$F&amp;'5) Release_Track'!$G:$G,1,0))),vlookup($A613&amp;$B613,{'5) Release_Track'!$F:$F&amp;'5) Release_Track'!$G:$G,'5) Release_Track'!$H:$H},2,0),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D613" s="121" t="str">
        <f t="array" ref="D613">ifs(and(isblank($A613),isblank($B613)),"", not(iserror(vlookup($A613&amp;$B613,'5) Release_Track'!$F:$F&amp;'5) Release_Track'!$G:$G,1,0))),vlookup($A613&amp;$B613,{'5) Release_Track'!$F:$F&amp;'5) Release_Track'!$G:$G,'5) Release_Track'!$I:$I},2,0),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E613" s="150" t="b">
        <v>0</v>
      </c>
      <c r="F613" s="150" t="b">
        <v>0</v>
      </c>
      <c r="G613" s="150" t="b">
        <v>0</v>
      </c>
      <c r="H613" s="150" t="b">
        <v>0</v>
      </c>
      <c r="I613" s="150" t="b">
        <v>0</v>
      </c>
      <c r="J613" s="150" t="b">
        <v>0</v>
      </c>
      <c r="K613" s="150" t="b">
        <v>0</v>
      </c>
      <c r="L613" s="8" t="b">
        <v>0</v>
      </c>
    </row>
    <row r="614">
      <c r="B614" s="97"/>
      <c r="C614" s="121" t="str">
        <f t="array" ref="C614">ifs(and(isblank($A614),isblank($B614)),"", not(iserror(vlookup($A614&amp;$B614,'5) Release_Track'!$F:$F&amp;'5) Release_Track'!$G:$G,1,0))),vlookup($A614&amp;$B614,{'5) Release_Track'!$F:$F&amp;'5) Release_Track'!$G:$G,'5) Release_Track'!$H:$H},2,0),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D614" s="121" t="str">
        <f t="array" ref="D614">ifs(and(isblank($A614),isblank($B614)),"", not(iserror(vlookup($A614&amp;$B614,'5) Release_Track'!$F:$F&amp;'5) Release_Track'!$G:$G,1,0))),vlookup($A614&amp;$B614,{'5) Release_Track'!$F:$F&amp;'5) Release_Track'!$G:$G,'5) Release_Track'!$I:$I},2,0),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E614" s="150" t="b">
        <v>0</v>
      </c>
      <c r="F614" s="150" t="b">
        <v>0</v>
      </c>
      <c r="G614" s="150" t="b">
        <v>0</v>
      </c>
      <c r="H614" s="150" t="b">
        <v>0</v>
      </c>
      <c r="I614" s="150" t="b">
        <v>0</v>
      </c>
      <c r="J614" s="150" t="b">
        <v>0</v>
      </c>
      <c r="K614" s="150" t="b">
        <v>0</v>
      </c>
      <c r="L614" s="8" t="b">
        <v>0</v>
      </c>
    </row>
    <row r="615">
      <c r="B615" s="97"/>
      <c r="C615" s="121" t="str">
        <f t="array" ref="C615">ifs(and(isblank($A615),isblank($B615)),"", not(iserror(vlookup($A615&amp;$B615,'5) Release_Track'!$F:$F&amp;'5) Release_Track'!$G:$G,1,0))),vlookup($A615&amp;$B615,{'5) Release_Track'!$F:$F&amp;'5) Release_Track'!$G:$G,'5) Release_Track'!$H:$H},2,0),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D615" s="121" t="str">
        <f t="array" ref="D615">ifs(and(isblank($A615),isblank($B615)),"", not(iserror(vlookup($A615&amp;$B615,'5) Release_Track'!$F:$F&amp;'5) Release_Track'!$G:$G,1,0))),vlookup($A615&amp;$B615,{'5) Release_Track'!$F:$F&amp;'5) Release_Track'!$G:$G,'5) Release_Track'!$I:$I},2,0),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E615" s="150" t="b">
        <v>0</v>
      </c>
      <c r="F615" s="150" t="b">
        <v>0</v>
      </c>
      <c r="G615" s="150" t="b">
        <v>0</v>
      </c>
      <c r="H615" s="150" t="b">
        <v>0</v>
      </c>
      <c r="I615" s="150" t="b">
        <v>0</v>
      </c>
      <c r="J615" s="150" t="b">
        <v>0</v>
      </c>
      <c r="K615" s="150" t="b">
        <v>0</v>
      </c>
      <c r="L615" s="8" t="b">
        <v>0</v>
      </c>
    </row>
    <row r="616">
      <c r="B616" s="97"/>
      <c r="C616" s="121" t="str">
        <f t="array" ref="C616">ifs(and(isblank($A616),isblank($B616)),"", not(iserror(vlookup($A616&amp;$B616,'5) Release_Track'!$F:$F&amp;'5) Release_Track'!$G:$G,1,0))),vlookup($A616&amp;$B616,{'5) Release_Track'!$F:$F&amp;'5) Release_Track'!$G:$G,'5) Release_Track'!$H:$H},2,0),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D616" s="121" t="str">
        <f t="array" ref="D616">ifs(and(isblank($A616),isblank($B616)),"", not(iserror(vlookup($A616&amp;$B616,'5) Release_Track'!$F:$F&amp;'5) Release_Track'!$G:$G,1,0))),vlookup($A616&amp;$B616,{'5) Release_Track'!$F:$F&amp;'5) Release_Track'!$G:$G,'5) Release_Track'!$I:$I},2,0),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E616" s="150" t="b">
        <v>0</v>
      </c>
      <c r="F616" s="150" t="b">
        <v>0</v>
      </c>
      <c r="G616" s="150" t="b">
        <v>0</v>
      </c>
      <c r="H616" s="150" t="b">
        <v>0</v>
      </c>
      <c r="I616" s="150" t="b">
        <v>0</v>
      </c>
      <c r="J616" s="150" t="b">
        <v>0</v>
      </c>
      <c r="K616" s="150" t="b">
        <v>0</v>
      </c>
      <c r="L616" s="8" t="b">
        <v>0</v>
      </c>
    </row>
    <row r="617">
      <c r="B617" s="97"/>
      <c r="C617" s="121" t="str">
        <f t="array" ref="C617">ifs(and(isblank($A617),isblank($B617)),"", not(iserror(vlookup($A617&amp;$B617,'5) Release_Track'!$F:$F&amp;'5) Release_Track'!$G:$G,1,0))),vlookup($A617&amp;$B617,{'5) Release_Track'!$F:$F&amp;'5) Release_Track'!$G:$G,'5) Release_Track'!$H:$H},2,0),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D617" s="121" t="str">
        <f t="array" ref="D617">ifs(and(isblank($A617),isblank($B617)),"", not(iserror(vlookup($A617&amp;$B617,'5) Release_Track'!$F:$F&amp;'5) Release_Track'!$G:$G,1,0))),vlookup($A617&amp;$B617,{'5) Release_Track'!$F:$F&amp;'5) Release_Track'!$G:$G,'5) Release_Track'!$I:$I},2,0),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E617" s="150" t="b">
        <v>0</v>
      </c>
      <c r="F617" s="150" t="b">
        <v>0</v>
      </c>
      <c r="G617" s="150" t="b">
        <v>0</v>
      </c>
      <c r="H617" s="150" t="b">
        <v>0</v>
      </c>
      <c r="I617" s="150" t="b">
        <v>0</v>
      </c>
      <c r="J617" s="150" t="b">
        <v>0</v>
      </c>
      <c r="K617" s="150" t="b">
        <v>0</v>
      </c>
      <c r="L617" s="8" t="b">
        <v>0</v>
      </c>
    </row>
    <row r="618">
      <c r="B618" s="97"/>
      <c r="C618" s="121" t="str">
        <f t="array" ref="C618">ifs(and(isblank($A618),isblank($B618)),"", not(iserror(vlookup($A618&amp;$B618,'5) Release_Track'!$F:$F&amp;'5) Release_Track'!$G:$G,1,0))),vlookup($A618&amp;$B618,{'5) Release_Track'!$F:$F&amp;'5) Release_Track'!$G:$G,'5) Release_Track'!$H:$H},2,0),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D618" s="121" t="str">
        <f t="array" ref="D618">ifs(and(isblank($A618),isblank($B618)),"", not(iserror(vlookup($A618&amp;$B618,'5) Release_Track'!$F:$F&amp;'5) Release_Track'!$G:$G,1,0))),vlookup($A618&amp;$B618,{'5) Release_Track'!$F:$F&amp;'5) Release_Track'!$G:$G,'5) Release_Track'!$I:$I},2,0),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E618" s="150" t="b">
        <v>0</v>
      </c>
      <c r="F618" s="150" t="b">
        <v>0</v>
      </c>
      <c r="G618" s="150" t="b">
        <v>0</v>
      </c>
      <c r="H618" s="150" t="b">
        <v>0</v>
      </c>
      <c r="I618" s="150" t="b">
        <v>0</v>
      </c>
      <c r="J618" s="150" t="b">
        <v>0</v>
      </c>
      <c r="K618" s="150" t="b">
        <v>0</v>
      </c>
      <c r="L618" s="8" t="b">
        <v>0</v>
      </c>
    </row>
    <row r="619">
      <c r="B619" s="97"/>
      <c r="C619" s="121" t="str">
        <f t="array" ref="C619">ifs(and(isblank($A619),isblank($B619)),"", not(iserror(vlookup($A619&amp;$B619,'5) Release_Track'!$F:$F&amp;'5) Release_Track'!$G:$G,1,0))),vlookup($A619&amp;$B619,{'5) Release_Track'!$F:$F&amp;'5) Release_Track'!$G:$G,'5) Release_Track'!$H:$H},2,0),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D619" s="121" t="str">
        <f t="array" ref="D619">ifs(and(isblank($A619),isblank($B619)),"", not(iserror(vlookup($A619&amp;$B619,'5) Release_Track'!$F:$F&amp;'5) Release_Track'!$G:$G,1,0))),vlookup($A619&amp;$B619,{'5) Release_Track'!$F:$F&amp;'5) Release_Track'!$G:$G,'5) Release_Track'!$I:$I},2,0),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E619" s="150" t="b">
        <v>0</v>
      </c>
      <c r="F619" s="150" t="b">
        <v>0</v>
      </c>
      <c r="G619" s="150" t="b">
        <v>0</v>
      </c>
      <c r="H619" s="150" t="b">
        <v>0</v>
      </c>
      <c r="I619" s="150" t="b">
        <v>0</v>
      </c>
      <c r="J619" s="150" t="b">
        <v>0</v>
      </c>
      <c r="K619" s="150" t="b">
        <v>0</v>
      </c>
      <c r="L619" s="8" t="b">
        <v>0</v>
      </c>
    </row>
    <row r="620">
      <c r="B620" s="97"/>
      <c r="C620" s="121" t="str">
        <f t="array" ref="C620">ifs(and(isblank($A620),isblank($B620)),"", not(iserror(vlookup($A620&amp;$B620,'5) Release_Track'!$F:$F&amp;'5) Release_Track'!$G:$G,1,0))),vlookup($A620&amp;$B620,{'5) Release_Track'!$F:$F&amp;'5) Release_Track'!$G:$G,'5) Release_Track'!$H:$H},2,0),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D620" s="121" t="str">
        <f t="array" ref="D620">ifs(and(isblank($A620),isblank($B620)),"", not(iserror(vlookup($A620&amp;$B620,'5) Release_Track'!$F:$F&amp;'5) Release_Track'!$G:$G,1,0))),vlookup($A620&amp;$B620,{'5) Release_Track'!$F:$F&amp;'5) Release_Track'!$G:$G,'5) Release_Track'!$I:$I},2,0),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E620" s="150" t="b">
        <v>0</v>
      </c>
      <c r="F620" s="150" t="b">
        <v>0</v>
      </c>
      <c r="G620" s="150" t="b">
        <v>0</v>
      </c>
      <c r="H620" s="150" t="b">
        <v>0</v>
      </c>
      <c r="I620" s="150" t="b">
        <v>0</v>
      </c>
      <c r="J620" s="150" t="b">
        <v>0</v>
      </c>
      <c r="K620" s="150" t="b">
        <v>0</v>
      </c>
      <c r="L620" s="8" t="b">
        <v>0</v>
      </c>
    </row>
    <row r="621">
      <c r="B621" s="97"/>
      <c r="C621" s="121" t="str">
        <f t="array" ref="C621">ifs(and(isblank($A621),isblank($B621)),"", not(iserror(vlookup($A621&amp;$B621,'5) Release_Track'!$F:$F&amp;'5) Release_Track'!$G:$G,1,0))),vlookup($A621&amp;$B621,{'5) Release_Track'!$F:$F&amp;'5) Release_Track'!$G:$G,'5) Release_Track'!$H:$H},2,0),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D621" s="121" t="str">
        <f t="array" ref="D621">ifs(and(isblank($A621),isblank($B621)),"", not(iserror(vlookup($A621&amp;$B621,'5) Release_Track'!$F:$F&amp;'5) Release_Track'!$G:$G,1,0))),vlookup($A621&amp;$B621,{'5) Release_Track'!$F:$F&amp;'5) Release_Track'!$G:$G,'5) Release_Track'!$I:$I},2,0),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E621" s="150" t="b">
        <v>0</v>
      </c>
      <c r="F621" s="150" t="b">
        <v>0</v>
      </c>
      <c r="G621" s="150" t="b">
        <v>0</v>
      </c>
      <c r="H621" s="150" t="b">
        <v>0</v>
      </c>
      <c r="I621" s="150" t="b">
        <v>0</v>
      </c>
      <c r="J621" s="150" t="b">
        <v>0</v>
      </c>
      <c r="K621" s="150" t="b">
        <v>0</v>
      </c>
      <c r="L621" s="8" t="b">
        <v>0</v>
      </c>
    </row>
    <row r="622">
      <c r="B622" s="97"/>
      <c r="C622" s="121" t="str">
        <f t="array" ref="C622">ifs(and(isblank($A622),isblank($B622)),"", not(iserror(vlookup($A622&amp;$B622,'5) Release_Track'!$F:$F&amp;'5) Release_Track'!$G:$G,1,0))),vlookup($A622&amp;$B622,{'5) Release_Track'!$F:$F&amp;'5) Release_Track'!$G:$G,'5) Release_Track'!$H:$H},2,0),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D622" s="121" t="str">
        <f t="array" ref="D622">ifs(and(isblank($A622),isblank($B622)),"", not(iserror(vlookup($A622&amp;$B622,'5) Release_Track'!$F:$F&amp;'5) Release_Track'!$G:$G,1,0))),vlookup($A622&amp;$B622,{'5) Release_Track'!$F:$F&amp;'5) Release_Track'!$G:$G,'5) Release_Track'!$I:$I},2,0),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E622" s="150" t="b">
        <v>0</v>
      </c>
      <c r="F622" s="150" t="b">
        <v>0</v>
      </c>
      <c r="G622" s="150" t="b">
        <v>0</v>
      </c>
      <c r="H622" s="150" t="b">
        <v>0</v>
      </c>
      <c r="I622" s="150" t="b">
        <v>0</v>
      </c>
      <c r="J622" s="150" t="b">
        <v>0</v>
      </c>
      <c r="K622" s="150" t="b">
        <v>0</v>
      </c>
      <c r="L622" s="8" t="b">
        <v>0</v>
      </c>
    </row>
    <row r="623">
      <c r="B623" s="97"/>
      <c r="C623" s="121" t="str">
        <f t="array" ref="C623">ifs(and(isblank($A623),isblank($B623)),"", not(iserror(vlookup($A623&amp;$B623,'5) Release_Track'!$F:$F&amp;'5) Release_Track'!$G:$G,1,0))),vlookup($A623&amp;$B623,{'5) Release_Track'!$F:$F&amp;'5) Release_Track'!$G:$G,'5) Release_Track'!$H:$H},2,0),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D623" s="121" t="str">
        <f t="array" ref="D623">ifs(and(isblank($A623),isblank($B623)),"", not(iserror(vlookup($A623&amp;$B623,'5) Release_Track'!$F:$F&amp;'5) Release_Track'!$G:$G,1,0))),vlookup($A623&amp;$B623,{'5) Release_Track'!$F:$F&amp;'5) Release_Track'!$G:$G,'5) Release_Track'!$I:$I},2,0),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E623" s="150" t="b">
        <v>0</v>
      </c>
      <c r="F623" s="150" t="b">
        <v>0</v>
      </c>
      <c r="G623" s="150" t="b">
        <v>0</v>
      </c>
      <c r="H623" s="150" t="b">
        <v>0</v>
      </c>
      <c r="I623" s="150" t="b">
        <v>0</v>
      </c>
      <c r="J623" s="150" t="b">
        <v>0</v>
      </c>
      <c r="K623" s="150" t="b">
        <v>0</v>
      </c>
      <c r="L623" s="8" t="b">
        <v>0</v>
      </c>
    </row>
    <row r="624">
      <c r="B624" s="97"/>
      <c r="C624" s="121" t="str">
        <f t="array" ref="C624">ifs(and(isblank($A624),isblank($B624)),"", not(iserror(vlookup($A624&amp;$B624,'5) Release_Track'!$F:$F&amp;'5) Release_Track'!$G:$G,1,0))),vlookup($A624&amp;$B624,{'5) Release_Track'!$F:$F&amp;'5) Release_Track'!$G:$G,'5) Release_Track'!$H:$H},2,0),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D624" s="121" t="str">
        <f t="array" ref="D624">ifs(and(isblank($A624),isblank($B624)),"", not(iserror(vlookup($A624&amp;$B624,'5) Release_Track'!$F:$F&amp;'5) Release_Track'!$G:$G,1,0))),vlookup($A624&amp;$B624,{'5) Release_Track'!$F:$F&amp;'5) Release_Track'!$G:$G,'5) Release_Track'!$I:$I},2,0),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E624" s="150" t="b">
        <v>0</v>
      </c>
      <c r="F624" s="150" t="b">
        <v>0</v>
      </c>
      <c r="G624" s="150" t="b">
        <v>0</v>
      </c>
      <c r="H624" s="150" t="b">
        <v>0</v>
      </c>
      <c r="I624" s="150" t="b">
        <v>0</v>
      </c>
      <c r="J624" s="150" t="b">
        <v>0</v>
      </c>
      <c r="K624" s="150" t="b">
        <v>0</v>
      </c>
      <c r="L624" s="8" t="b">
        <v>0</v>
      </c>
    </row>
    <row r="625">
      <c r="B625" s="97"/>
      <c r="C625" s="121" t="str">
        <f t="array" ref="C625">ifs(and(isblank($A625),isblank($B625)),"", not(iserror(vlookup($A625&amp;$B625,'5) Release_Track'!$F:$F&amp;'5) Release_Track'!$G:$G,1,0))),vlookup($A625&amp;$B625,{'5) Release_Track'!$F:$F&amp;'5) Release_Track'!$G:$G,'5) Release_Track'!$H:$H},2,0),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D625" s="121" t="str">
        <f t="array" ref="D625">ifs(and(isblank($A625),isblank($B625)),"", not(iserror(vlookup($A625&amp;$B625,'5) Release_Track'!$F:$F&amp;'5) Release_Track'!$G:$G,1,0))),vlookup($A625&amp;$B625,{'5) Release_Track'!$F:$F&amp;'5) Release_Track'!$G:$G,'5) Release_Track'!$I:$I},2,0),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E625" s="150" t="b">
        <v>0</v>
      </c>
      <c r="F625" s="150" t="b">
        <v>0</v>
      </c>
      <c r="G625" s="150" t="b">
        <v>0</v>
      </c>
      <c r="H625" s="150" t="b">
        <v>0</v>
      </c>
      <c r="I625" s="150" t="b">
        <v>0</v>
      </c>
      <c r="J625" s="150" t="b">
        <v>0</v>
      </c>
      <c r="K625" s="150" t="b">
        <v>0</v>
      </c>
      <c r="L625" s="8" t="b">
        <v>0</v>
      </c>
    </row>
    <row r="626">
      <c r="B626" s="97"/>
      <c r="C626" s="121" t="str">
        <f t="array" ref="C626">ifs(and(isblank($A626),isblank($B626)),"", not(iserror(vlookup($A626&amp;$B626,'5) Release_Track'!$F:$F&amp;'5) Release_Track'!$G:$G,1,0))),vlookup($A626&amp;$B626,{'5) Release_Track'!$F:$F&amp;'5) Release_Track'!$G:$G,'5) Release_Track'!$H:$H},2,0),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D626" s="121" t="str">
        <f t="array" ref="D626">ifs(and(isblank($A626),isblank($B626)),"", not(iserror(vlookup($A626&amp;$B626,'5) Release_Track'!$F:$F&amp;'5) Release_Track'!$G:$G,1,0))),vlookup($A626&amp;$B626,{'5) Release_Track'!$F:$F&amp;'5) Release_Track'!$G:$G,'5) Release_Track'!$I:$I},2,0),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E626" s="150" t="b">
        <v>0</v>
      </c>
      <c r="F626" s="150" t="b">
        <v>0</v>
      </c>
      <c r="G626" s="150" t="b">
        <v>0</v>
      </c>
      <c r="H626" s="150" t="b">
        <v>0</v>
      </c>
      <c r="I626" s="150" t="b">
        <v>0</v>
      </c>
      <c r="J626" s="150" t="b">
        <v>0</v>
      </c>
      <c r="K626" s="150" t="b">
        <v>0</v>
      </c>
      <c r="L626" s="8" t="b">
        <v>0</v>
      </c>
    </row>
    <row r="627">
      <c r="B627" s="97"/>
      <c r="C627" s="121" t="str">
        <f t="array" ref="C627">ifs(and(isblank($A627),isblank($B627)),"", not(iserror(vlookup($A627&amp;$B627,'5) Release_Track'!$F:$F&amp;'5) Release_Track'!$G:$G,1,0))),vlookup($A627&amp;$B627,{'5) Release_Track'!$F:$F&amp;'5) Release_Track'!$G:$G,'5) Release_Track'!$H:$H},2,0),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D627" s="121" t="str">
        <f t="array" ref="D627">ifs(and(isblank($A627),isblank($B627)),"", not(iserror(vlookup($A627&amp;$B627,'5) Release_Track'!$F:$F&amp;'5) Release_Track'!$G:$G,1,0))),vlookup($A627&amp;$B627,{'5) Release_Track'!$F:$F&amp;'5) Release_Track'!$G:$G,'5) Release_Track'!$I:$I},2,0),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E627" s="150" t="b">
        <v>0</v>
      </c>
      <c r="F627" s="150" t="b">
        <v>0</v>
      </c>
      <c r="G627" s="150" t="b">
        <v>0</v>
      </c>
      <c r="H627" s="150" t="b">
        <v>0</v>
      </c>
      <c r="I627" s="150" t="b">
        <v>0</v>
      </c>
      <c r="J627" s="150" t="b">
        <v>0</v>
      </c>
      <c r="K627" s="150" t="b">
        <v>0</v>
      </c>
      <c r="L627" s="8" t="b">
        <v>0</v>
      </c>
    </row>
    <row r="628">
      <c r="B628" s="97"/>
      <c r="C628" s="121" t="str">
        <f t="array" ref="C628">ifs(and(isblank($A628),isblank($B628)),"", not(iserror(vlookup($A628&amp;$B628,'5) Release_Track'!$F:$F&amp;'5) Release_Track'!$G:$G,1,0))),vlookup($A628&amp;$B628,{'5) Release_Track'!$F:$F&amp;'5) Release_Track'!$G:$G,'5) Release_Track'!$H:$H},2,0),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D628" s="121" t="str">
        <f t="array" ref="D628">ifs(and(isblank($A628),isblank($B628)),"", not(iserror(vlookup($A628&amp;$B628,'5) Release_Track'!$F:$F&amp;'5) Release_Track'!$G:$G,1,0))),vlookup($A628&amp;$B628,{'5) Release_Track'!$F:$F&amp;'5) Release_Track'!$G:$G,'5) Release_Track'!$I:$I},2,0),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E628" s="150" t="b">
        <v>0</v>
      </c>
      <c r="F628" s="150" t="b">
        <v>0</v>
      </c>
      <c r="G628" s="150" t="b">
        <v>0</v>
      </c>
      <c r="H628" s="150" t="b">
        <v>0</v>
      </c>
      <c r="I628" s="150" t="b">
        <v>0</v>
      </c>
      <c r="J628" s="150" t="b">
        <v>0</v>
      </c>
      <c r="K628" s="150" t="b">
        <v>0</v>
      </c>
      <c r="L628" s="8" t="b">
        <v>0</v>
      </c>
    </row>
    <row r="629">
      <c r="B629" s="97"/>
      <c r="C629" s="121" t="str">
        <f t="array" ref="C629">ifs(and(isblank($A629),isblank($B629)),"", not(iserror(vlookup($A629&amp;$B629,'5) Release_Track'!$F:$F&amp;'5) Release_Track'!$G:$G,1,0))),vlookup($A629&amp;$B629,{'5) Release_Track'!$F:$F&amp;'5) Release_Track'!$G:$G,'5) Release_Track'!$H:$H},2,0),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D629" s="121" t="str">
        <f t="array" ref="D629">ifs(and(isblank($A629),isblank($B629)),"", not(iserror(vlookup($A629&amp;$B629,'5) Release_Track'!$F:$F&amp;'5) Release_Track'!$G:$G,1,0))),vlookup($A629&amp;$B629,{'5) Release_Track'!$F:$F&amp;'5) Release_Track'!$G:$G,'5) Release_Track'!$I:$I},2,0),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E629" s="150" t="b">
        <v>0</v>
      </c>
      <c r="F629" s="150" t="b">
        <v>0</v>
      </c>
      <c r="G629" s="150" t="b">
        <v>0</v>
      </c>
      <c r="H629" s="150" t="b">
        <v>0</v>
      </c>
      <c r="I629" s="150" t="b">
        <v>0</v>
      </c>
      <c r="J629" s="150" t="b">
        <v>0</v>
      </c>
      <c r="K629" s="150" t="b">
        <v>0</v>
      </c>
      <c r="L629" s="8" t="b">
        <v>0</v>
      </c>
    </row>
    <row r="630">
      <c r="B630" s="97"/>
      <c r="C630" s="121" t="str">
        <f t="array" ref="C630">ifs(and(isblank($A630),isblank($B630)),"", not(iserror(vlookup($A630&amp;$B630,'5) Release_Track'!$F:$F&amp;'5) Release_Track'!$G:$G,1,0))),vlookup($A630&amp;$B630,{'5) Release_Track'!$F:$F&amp;'5) Release_Track'!$G:$G,'5) Release_Track'!$H:$H},2,0),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D630" s="121" t="str">
        <f t="array" ref="D630">ifs(and(isblank($A630),isblank($B630)),"", not(iserror(vlookup($A630&amp;$B630,'5) Release_Track'!$F:$F&amp;'5) Release_Track'!$G:$G,1,0))),vlookup($A630&amp;$B630,{'5) Release_Track'!$F:$F&amp;'5) Release_Track'!$G:$G,'5) Release_Track'!$I:$I},2,0),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E630" s="150" t="b">
        <v>0</v>
      </c>
      <c r="F630" s="150" t="b">
        <v>0</v>
      </c>
      <c r="G630" s="150" t="b">
        <v>0</v>
      </c>
      <c r="H630" s="150" t="b">
        <v>0</v>
      </c>
      <c r="I630" s="150" t="b">
        <v>0</v>
      </c>
      <c r="J630" s="150" t="b">
        <v>0</v>
      </c>
      <c r="K630" s="150" t="b">
        <v>0</v>
      </c>
      <c r="L630" s="8" t="b">
        <v>0</v>
      </c>
    </row>
    <row r="631">
      <c r="B631" s="97"/>
      <c r="C631" s="121" t="str">
        <f t="array" ref="C631">ifs(and(isblank($A631),isblank($B631)),"", not(iserror(vlookup($A631&amp;$B631,'5) Release_Track'!$F:$F&amp;'5) Release_Track'!$G:$G,1,0))),vlookup($A631&amp;$B631,{'5) Release_Track'!$F:$F&amp;'5) Release_Track'!$G:$G,'5) Release_Track'!$H:$H},2,0),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D631" s="121" t="str">
        <f t="array" ref="D631">ifs(and(isblank($A631),isblank($B631)),"", not(iserror(vlookup($A631&amp;$B631,'5) Release_Track'!$F:$F&amp;'5) Release_Track'!$G:$G,1,0))),vlookup($A631&amp;$B631,{'5) Release_Track'!$F:$F&amp;'5) Release_Track'!$G:$G,'5) Release_Track'!$I:$I},2,0),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E631" s="150" t="b">
        <v>0</v>
      </c>
      <c r="F631" s="150" t="b">
        <v>0</v>
      </c>
      <c r="G631" s="150" t="b">
        <v>0</v>
      </c>
      <c r="H631" s="150" t="b">
        <v>0</v>
      </c>
      <c r="I631" s="150" t="b">
        <v>0</v>
      </c>
      <c r="J631" s="150" t="b">
        <v>0</v>
      </c>
      <c r="K631" s="150" t="b">
        <v>0</v>
      </c>
      <c r="L631" s="8" t="b">
        <v>0</v>
      </c>
    </row>
    <row r="632">
      <c r="B632" s="97"/>
      <c r="C632" s="121" t="str">
        <f t="array" ref="C632">ifs(and(isblank($A632),isblank($B632)),"", not(iserror(vlookup($A632&amp;$B632,'5) Release_Track'!$F:$F&amp;'5) Release_Track'!$G:$G,1,0))),vlookup($A632&amp;$B632,{'5) Release_Track'!$F:$F&amp;'5) Release_Track'!$G:$G,'5) Release_Track'!$H:$H},2,0),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D632" s="121" t="str">
        <f t="array" ref="D632">ifs(and(isblank($A632),isblank($B632)),"", not(iserror(vlookup($A632&amp;$B632,'5) Release_Track'!$F:$F&amp;'5) Release_Track'!$G:$G,1,0))),vlookup($A632&amp;$B632,{'5) Release_Track'!$F:$F&amp;'5) Release_Track'!$G:$G,'5) Release_Track'!$I:$I},2,0),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E632" s="150" t="b">
        <v>0</v>
      </c>
      <c r="F632" s="150" t="b">
        <v>0</v>
      </c>
      <c r="G632" s="150" t="b">
        <v>0</v>
      </c>
      <c r="H632" s="150" t="b">
        <v>0</v>
      </c>
      <c r="I632" s="150" t="b">
        <v>0</v>
      </c>
      <c r="J632" s="150" t="b">
        <v>0</v>
      </c>
      <c r="K632" s="150" t="b">
        <v>0</v>
      </c>
      <c r="L632" s="8" t="b">
        <v>0</v>
      </c>
    </row>
    <row r="633">
      <c r="B633" s="97"/>
      <c r="C633" s="121" t="str">
        <f t="array" ref="C633">ifs(and(isblank($A633),isblank($B633)),"", not(iserror(vlookup($A633&amp;$B633,'5) Release_Track'!$F:$F&amp;'5) Release_Track'!$G:$G,1,0))),vlookup($A633&amp;$B633,{'5) Release_Track'!$F:$F&amp;'5) Release_Track'!$G:$G,'5) Release_Track'!$H:$H},2,0),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D633" s="121" t="str">
        <f t="array" ref="D633">ifs(and(isblank($A633),isblank($B633)),"", not(iserror(vlookup($A633&amp;$B633,'5) Release_Track'!$F:$F&amp;'5) Release_Track'!$G:$G,1,0))),vlookup($A633&amp;$B633,{'5) Release_Track'!$F:$F&amp;'5) Release_Track'!$G:$G,'5) Release_Track'!$I:$I},2,0),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E633" s="150" t="b">
        <v>0</v>
      </c>
      <c r="F633" s="150" t="b">
        <v>0</v>
      </c>
      <c r="G633" s="150" t="b">
        <v>0</v>
      </c>
      <c r="H633" s="150" t="b">
        <v>0</v>
      </c>
      <c r="I633" s="150" t="b">
        <v>0</v>
      </c>
      <c r="J633" s="150" t="b">
        <v>0</v>
      </c>
      <c r="K633" s="150" t="b">
        <v>0</v>
      </c>
      <c r="L633" s="8" t="b">
        <v>0</v>
      </c>
    </row>
    <row r="634">
      <c r="B634" s="97"/>
      <c r="C634" s="121" t="str">
        <f t="array" ref="C634">ifs(and(isblank($A634),isblank($B634)),"", not(iserror(vlookup($A634&amp;$B634,'5) Release_Track'!$F:$F&amp;'5) Release_Track'!$G:$G,1,0))),vlookup($A634&amp;$B634,{'5) Release_Track'!$F:$F&amp;'5) Release_Track'!$G:$G,'5) Release_Track'!$H:$H},2,0),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D634" s="121" t="str">
        <f t="array" ref="D634">ifs(and(isblank($A634),isblank($B634)),"", not(iserror(vlookup($A634&amp;$B634,'5) Release_Track'!$F:$F&amp;'5) Release_Track'!$G:$G,1,0))),vlookup($A634&amp;$B634,{'5) Release_Track'!$F:$F&amp;'5) Release_Track'!$G:$G,'5) Release_Track'!$I:$I},2,0),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E634" s="150" t="b">
        <v>0</v>
      </c>
      <c r="F634" s="150" t="b">
        <v>0</v>
      </c>
      <c r="G634" s="150" t="b">
        <v>0</v>
      </c>
      <c r="H634" s="150" t="b">
        <v>0</v>
      </c>
      <c r="I634" s="150" t="b">
        <v>0</v>
      </c>
      <c r="J634" s="150" t="b">
        <v>0</v>
      </c>
      <c r="K634" s="150" t="b">
        <v>0</v>
      </c>
      <c r="L634" s="8" t="b">
        <v>0</v>
      </c>
    </row>
    <row r="635">
      <c r="B635" s="97"/>
      <c r="C635" s="121" t="str">
        <f t="array" ref="C635">ifs(and(isblank($A635),isblank($B635)),"", not(iserror(vlookup($A635&amp;$B635,'5) Release_Track'!$F:$F&amp;'5) Release_Track'!$G:$G,1,0))),vlookup($A635&amp;$B635,{'5) Release_Track'!$F:$F&amp;'5) Release_Track'!$G:$G,'5) Release_Track'!$H:$H},2,0),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D635" s="121" t="str">
        <f t="array" ref="D635">ifs(and(isblank($A635),isblank($B635)),"", not(iserror(vlookup($A635&amp;$B635,'5) Release_Track'!$F:$F&amp;'5) Release_Track'!$G:$G,1,0))),vlookup($A635&amp;$B635,{'5) Release_Track'!$F:$F&amp;'5) Release_Track'!$G:$G,'5) Release_Track'!$I:$I},2,0),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E635" s="150" t="b">
        <v>0</v>
      </c>
      <c r="F635" s="150" t="b">
        <v>0</v>
      </c>
      <c r="G635" s="150" t="b">
        <v>0</v>
      </c>
      <c r="H635" s="150" t="b">
        <v>0</v>
      </c>
      <c r="I635" s="150" t="b">
        <v>0</v>
      </c>
      <c r="J635" s="150" t="b">
        <v>0</v>
      </c>
      <c r="K635" s="150" t="b">
        <v>0</v>
      </c>
      <c r="L635" s="8" t="b">
        <v>0</v>
      </c>
    </row>
    <row r="636">
      <c r="B636" s="97"/>
      <c r="C636" s="121" t="str">
        <f t="array" ref="C636">ifs(and(isblank($A636),isblank($B636)),"", not(iserror(vlookup($A636&amp;$B636,'5) Release_Track'!$F:$F&amp;'5) Release_Track'!$G:$G,1,0))),vlookup($A636&amp;$B636,{'5) Release_Track'!$F:$F&amp;'5) Release_Track'!$G:$G,'5) Release_Track'!$H:$H},2,0),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D636" s="121" t="str">
        <f t="array" ref="D636">ifs(and(isblank($A636),isblank($B636)),"", not(iserror(vlookup($A636&amp;$B636,'5) Release_Track'!$F:$F&amp;'5) Release_Track'!$G:$G,1,0))),vlookup($A636&amp;$B636,{'5) Release_Track'!$F:$F&amp;'5) Release_Track'!$G:$G,'5) Release_Track'!$I:$I},2,0),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E636" s="150" t="b">
        <v>0</v>
      </c>
      <c r="F636" s="150" t="b">
        <v>0</v>
      </c>
      <c r="G636" s="150" t="b">
        <v>0</v>
      </c>
      <c r="H636" s="150" t="b">
        <v>0</v>
      </c>
      <c r="I636" s="150" t="b">
        <v>0</v>
      </c>
      <c r="J636" s="150" t="b">
        <v>0</v>
      </c>
      <c r="K636" s="150" t="b">
        <v>0</v>
      </c>
      <c r="L636" s="8" t="b">
        <v>0</v>
      </c>
    </row>
    <row r="637">
      <c r="B637" s="97"/>
      <c r="C637" s="121" t="str">
        <f t="array" ref="C637">ifs(and(isblank($A637),isblank($B637)),"", not(iserror(vlookup($A637&amp;$B637,'5) Release_Track'!$F:$F&amp;'5) Release_Track'!$G:$G,1,0))),vlookup($A637&amp;$B637,{'5) Release_Track'!$F:$F&amp;'5) Release_Track'!$G:$G,'5) Release_Track'!$H:$H},2,0),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D637" s="121" t="str">
        <f t="array" ref="D637">ifs(and(isblank($A637),isblank($B637)),"", not(iserror(vlookup($A637&amp;$B637,'5) Release_Track'!$F:$F&amp;'5) Release_Track'!$G:$G,1,0))),vlookup($A637&amp;$B637,{'5) Release_Track'!$F:$F&amp;'5) Release_Track'!$G:$G,'5) Release_Track'!$I:$I},2,0),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E637" s="150" t="b">
        <v>0</v>
      </c>
      <c r="F637" s="150" t="b">
        <v>0</v>
      </c>
      <c r="G637" s="150" t="b">
        <v>0</v>
      </c>
      <c r="H637" s="150" t="b">
        <v>0</v>
      </c>
      <c r="I637" s="150" t="b">
        <v>0</v>
      </c>
      <c r="J637" s="150" t="b">
        <v>0</v>
      </c>
      <c r="K637" s="150" t="b">
        <v>0</v>
      </c>
      <c r="L637" s="8" t="b">
        <v>0</v>
      </c>
    </row>
    <row r="638">
      <c r="B638" s="97"/>
      <c r="C638" s="121" t="str">
        <f t="array" ref="C638">ifs(and(isblank($A638),isblank($B638)),"", not(iserror(vlookup($A638&amp;$B638,'5) Release_Track'!$F:$F&amp;'5) Release_Track'!$G:$G,1,0))),vlookup($A638&amp;$B638,{'5) Release_Track'!$F:$F&amp;'5) Release_Track'!$G:$G,'5) Release_Track'!$H:$H},2,0),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D638" s="121" t="str">
        <f t="array" ref="D638">ifs(and(isblank($A638),isblank($B638)),"", not(iserror(vlookup($A638&amp;$B638,'5) Release_Track'!$F:$F&amp;'5) Release_Track'!$G:$G,1,0))),vlookup($A638&amp;$B638,{'5) Release_Track'!$F:$F&amp;'5) Release_Track'!$G:$G,'5) Release_Track'!$I:$I},2,0),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E638" s="150" t="b">
        <v>0</v>
      </c>
      <c r="F638" s="150" t="b">
        <v>0</v>
      </c>
      <c r="G638" s="150" t="b">
        <v>0</v>
      </c>
      <c r="H638" s="150" t="b">
        <v>0</v>
      </c>
      <c r="I638" s="150" t="b">
        <v>0</v>
      </c>
      <c r="J638" s="150" t="b">
        <v>0</v>
      </c>
      <c r="K638" s="150" t="b">
        <v>0</v>
      </c>
      <c r="L638" s="8" t="b">
        <v>0</v>
      </c>
    </row>
    <row r="639">
      <c r="B639" s="97"/>
      <c r="C639" s="121" t="str">
        <f t="array" ref="C639">ifs(and(isblank($A639),isblank($B639)),"", not(iserror(vlookup($A639&amp;$B639,'5) Release_Track'!$F:$F&amp;'5) Release_Track'!$G:$G,1,0))),vlookup($A639&amp;$B639,{'5) Release_Track'!$F:$F&amp;'5) Release_Track'!$G:$G,'5) Release_Track'!$H:$H},2,0),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D639" s="121" t="str">
        <f t="array" ref="D639">ifs(and(isblank($A639),isblank($B639)),"", not(iserror(vlookup($A639&amp;$B639,'5) Release_Track'!$F:$F&amp;'5) Release_Track'!$G:$G,1,0))),vlookup($A639&amp;$B639,{'5) Release_Track'!$F:$F&amp;'5) Release_Track'!$G:$G,'5) Release_Track'!$I:$I},2,0),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E639" s="150" t="b">
        <v>0</v>
      </c>
      <c r="F639" s="150" t="b">
        <v>0</v>
      </c>
      <c r="G639" s="150" t="b">
        <v>0</v>
      </c>
      <c r="H639" s="150" t="b">
        <v>0</v>
      </c>
      <c r="I639" s="150" t="b">
        <v>0</v>
      </c>
      <c r="J639" s="150" t="b">
        <v>0</v>
      </c>
      <c r="K639" s="150" t="b">
        <v>0</v>
      </c>
      <c r="L639" s="8" t="b">
        <v>0</v>
      </c>
    </row>
    <row r="640">
      <c r="B640" s="97"/>
      <c r="C640" s="121" t="str">
        <f t="array" ref="C640">ifs(and(isblank($A640),isblank($B640)),"", not(iserror(vlookup($A640&amp;$B640,'5) Release_Track'!$F:$F&amp;'5) Release_Track'!$G:$G,1,0))),vlookup($A640&amp;$B640,{'5) Release_Track'!$F:$F&amp;'5) Release_Track'!$G:$G,'5) Release_Track'!$H:$H},2,0),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D640" s="121" t="str">
        <f t="array" ref="D640">ifs(and(isblank($A640),isblank($B640)),"", not(iserror(vlookup($A640&amp;$B640,'5) Release_Track'!$F:$F&amp;'5) Release_Track'!$G:$G,1,0))),vlookup($A640&amp;$B640,{'5) Release_Track'!$F:$F&amp;'5) Release_Track'!$G:$G,'5) Release_Track'!$I:$I},2,0),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E640" s="150" t="b">
        <v>0</v>
      </c>
      <c r="F640" s="150" t="b">
        <v>0</v>
      </c>
      <c r="G640" s="150" t="b">
        <v>0</v>
      </c>
      <c r="H640" s="150" t="b">
        <v>0</v>
      </c>
      <c r="I640" s="150" t="b">
        <v>0</v>
      </c>
      <c r="J640" s="150" t="b">
        <v>0</v>
      </c>
      <c r="K640" s="150" t="b">
        <v>0</v>
      </c>
      <c r="L640" s="8" t="b">
        <v>0</v>
      </c>
    </row>
    <row r="641">
      <c r="B641" s="97"/>
      <c r="C641" s="121" t="str">
        <f t="array" ref="C641">ifs(and(isblank($A641),isblank($B641)),"", not(iserror(vlookup($A641&amp;$B641,'5) Release_Track'!$F:$F&amp;'5) Release_Track'!$G:$G,1,0))),vlookup($A641&amp;$B641,{'5) Release_Track'!$F:$F&amp;'5) Release_Track'!$G:$G,'5) Release_Track'!$H:$H},2,0),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D641" s="121" t="str">
        <f t="array" ref="D641">ifs(and(isblank($A641),isblank($B641)),"", not(iserror(vlookup($A641&amp;$B641,'5) Release_Track'!$F:$F&amp;'5) Release_Track'!$G:$G,1,0))),vlookup($A641&amp;$B641,{'5) Release_Track'!$F:$F&amp;'5) Release_Track'!$G:$G,'5) Release_Track'!$I:$I},2,0),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E641" s="150" t="b">
        <v>0</v>
      </c>
      <c r="F641" s="150" t="b">
        <v>0</v>
      </c>
      <c r="G641" s="150" t="b">
        <v>0</v>
      </c>
      <c r="H641" s="150" t="b">
        <v>0</v>
      </c>
      <c r="I641" s="150" t="b">
        <v>0</v>
      </c>
      <c r="J641" s="150" t="b">
        <v>0</v>
      </c>
      <c r="K641" s="150" t="b">
        <v>0</v>
      </c>
      <c r="L641" s="8" t="b">
        <v>0</v>
      </c>
    </row>
    <row r="642">
      <c r="B642" s="97"/>
      <c r="C642" s="121" t="str">
        <f t="array" ref="C642">ifs(and(isblank($A642),isblank($B642)),"", not(iserror(vlookup($A642&amp;$B642,'5) Release_Track'!$F:$F&amp;'5) Release_Track'!$G:$G,1,0))),vlookup($A642&amp;$B642,{'5) Release_Track'!$F:$F&amp;'5) Release_Track'!$G:$G,'5) Release_Track'!$H:$H},2,0),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D642" s="121" t="str">
        <f t="array" ref="D642">ifs(and(isblank($A642),isblank($B642)),"", not(iserror(vlookup($A642&amp;$B642,'5) Release_Track'!$F:$F&amp;'5) Release_Track'!$G:$G,1,0))),vlookup($A642&amp;$B642,{'5) Release_Track'!$F:$F&amp;'5) Release_Track'!$G:$G,'5) Release_Track'!$I:$I},2,0),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E642" s="150" t="b">
        <v>0</v>
      </c>
      <c r="F642" s="150" t="b">
        <v>0</v>
      </c>
      <c r="G642" s="150" t="b">
        <v>0</v>
      </c>
      <c r="H642" s="150" t="b">
        <v>0</v>
      </c>
      <c r="I642" s="150" t="b">
        <v>0</v>
      </c>
      <c r="J642" s="150" t="b">
        <v>0</v>
      </c>
      <c r="K642" s="150" t="b">
        <v>0</v>
      </c>
      <c r="L642" s="8" t="b">
        <v>0</v>
      </c>
    </row>
    <row r="643">
      <c r="B643" s="97"/>
      <c r="C643" s="121" t="str">
        <f t="array" ref="C643">ifs(and(isblank($A643),isblank($B643)),"", not(iserror(vlookup($A643&amp;$B643,'5) Release_Track'!$F:$F&amp;'5) Release_Track'!$G:$G,1,0))),vlookup($A643&amp;$B643,{'5) Release_Track'!$F:$F&amp;'5) Release_Track'!$G:$G,'5) Release_Track'!$H:$H},2,0),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D643" s="121" t="str">
        <f t="array" ref="D643">ifs(and(isblank($A643),isblank($B643)),"", not(iserror(vlookup($A643&amp;$B643,'5) Release_Track'!$F:$F&amp;'5) Release_Track'!$G:$G,1,0))),vlookup($A643&amp;$B643,{'5) Release_Track'!$F:$F&amp;'5) Release_Track'!$G:$G,'5) Release_Track'!$I:$I},2,0),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E643" s="150" t="b">
        <v>0</v>
      </c>
      <c r="F643" s="150" t="b">
        <v>0</v>
      </c>
      <c r="G643" s="150" t="b">
        <v>0</v>
      </c>
      <c r="H643" s="150" t="b">
        <v>0</v>
      </c>
      <c r="I643" s="150" t="b">
        <v>0</v>
      </c>
      <c r="J643" s="150" t="b">
        <v>0</v>
      </c>
      <c r="K643" s="150" t="b">
        <v>0</v>
      </c>
      <c r="L643" s="8" t="b">
        <v>0</v>
      </c>
    </row>
    <row r="644">
      <c r="B644" s="97"/>
      <c r="C644" s="121" t="str">
        <f t="array" ref="C644">ifs(and(isblank($A644),isblank($B644)),"", not(iserror(vlookup($A644&amp;$B644,'5) Release_Track'!$F:$F&amp;'5) Release_Track'!$G:$G,1,0))),vlookup($A644&amp;$B644,{'5) Release_Track'!$F:$F&amp;'5) Release_Track'!$G:$G,'5) Release_Track'!$H:$H},2,0),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D644" s="121" t="str">
        <f t="array" ref="D644">ifs(and(isblank($A644),isblank($B644)),"", not(iserror(vlookup($A644&amp;$B644,'5) Release_Track'!$F:$F&amp;'5) Release_Track'!$G:$G,1,0))),vlookup($A644&amp;$B644,{'5) Release_Track'!$F:$F&amp;'5) Release_Track'!$G:$G,'5) Release_Track'!$I:$I},2,0),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E644" s="150" t="b">
        <v>0</v>
      </c>
      <c r="F644" s="150" t="b">
        <v>0</v>
      </c>
      <c r="G644" s="150" t="b">
        <v>0</v>
      </c>
      <c r="H644" s="150" t="b">
        <v>0</v>
      </c>
      <c r="I644" s="150" t="b">
        <v>0</v>
      </c>
      <c r="J644" s="150" t="b">
        <v>0</v>
      </c>
      <c r="K644" s="150" t="b">
        <v>0</v>
      </c>
      <c r="L644" s="8" t="b">
        <v>0</v>
      </c>
    </row>
    <row r="645">
      <c r="B645" s="97"/>
      <c r="C645" s="121" t="str">
        <f t="array" ref="C645">ifs(and(isblank($A645),isblank($B645)),"", not(iserror(vlookup($A645&amp;$B645,'5) Release_Track'!$F:$F&amp;'5) Release_Track'!$G:$G,1,0))),vlookup($A645&amp;$B645,{'5) Release_Track'!$F:$F&amp;'5) Release_Track'!$G:$G,'5) Release_Track'!$H:$H},2,0),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D645" s="121" t="str">
        <f t="array" ref="D645">ifs(and(isblank($A645),isblank($B645)),"", not(iserror(vlookup($A645&amp;$B645,'5) Release_Track'!$F:$F&amp;'5) Release_Track'!$G:$G,1,0))),vlookup($A645&amp;$B645,{'5) Release_Track'!$F:$F&amp;'5) Release_Track'!$G:$G,'5) Release_Track'!$I:$I},2,0),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E645" s="150" t="b">
        <v>0</v>
      </c>
      <c r="F645" s="150" t="b">
        <v>0</v>
      </c>
      <c r="G645" s="150" t="b">
        <v>0</v>
      </c>
      <c r="H645" s="150" t="b">
        <v>0</v>
      </c>
      <c r="I645" s="150" t="b">
        <v>0</v>
      </c>
      <c r="J645" s="150" t="b">
        <v>0</v>
      </c>
      <c r="K645" s="150" t="b">
        <v>0</v>
      </c>
      <c r="L645" s="8" t="b">
        <v>0</v>
      </c>
    </row>
    <row r="646">
      <c r="B646" s="97"/>
      <c r="C646" s="121" t="str">
        <f t="array" ref="C646">ifs(and(isblank($A646),isblank($B646)),"", not(iserror(vlookup($A646&amp;$B646,'5) Release_Track'!$F:$F&amp;'5) Release_Track'!$G:$G,1,0))),vlookup($A646&amp;$B646,{'5) Release_Track'!$F:$F&amp;'5) Release_Track'!$G:$G,'5) Release_Track'!$H:$H},2,0),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D646" s="121" t="str">
        <f t="array" ref="D646">ifs(and(isblank($A646),isblank($B646)),"", not(iserror(vlookup($A646&amp;$B646,'5) Release_Track'!$F:$F&amp;'5) Release_Track'!$G:$G,1,0))),vlookup($A646&amp;$B646,{'5) Release_Track'!$F:$F&amp;'5) Release_Track'!$G:$G,'5) Release_Track'!$I:$I},2,0),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E646" s="150" t="b">
        <v>0</v>
      </c>
      <c r="F646" s="150" t="b">
        <v>0</v>
      </c>
      <c r="G646" s="150" t="b">
        <v>0</v>
      </c>
      <c r="H646" s="150" t="b">
        <v>0</v>
      </c>
      <c r="I646" s="150" t="b">
        <v>0</v>
      </c>
      <c r="J646" s="150" t="b">
        <v>0</v>
      </c>
      <c r="K646" s="150" t="b">
        <v>0</v>
      </c>
      <c r="L646" s="8" t="b">
        <v>0</v>
      </c>
    </row>
    <row r="647">
      <c r="B647" s="97"/>
      <c r="C647" s="121" t="str">
        <f t="array" ref="C647">ifs(and(isblank($A647),isblank($B647)),"", not(iserror(vlookup($A647&amp;$B647,'5) Release_Track'!$F:$F&amp;'5) Release_Track'!$G:$G,1,0))),vlookup($A647&amp;$B647,{'5) Release_Track'!$F:$F&amp;'5) Release_Track'!$G:$G,'5) Release_Track'!$H:$H},2,0),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D647" s="121" t="str">
        <f t="array" ref="D647">ifs(and(isblank($A647),isblank($B647)),"", not(iserror(vlookup($A647&amp;$B647,'5) Release_Track'!$F:$F&amp;'5) Release_Track'!$G:$G,1,0))),vlookup($A647&amp;$B647,{'5) Release_Track'!$F:$F&amp;'5) Release_Track'!$G:$G,'5) Release_Track'!$I:$I},2,0),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E647" s="150" t="b">
        <v>0</v>
      </c>
      <c r="F647" s="150" t="b">
        <v>0</v>
      </c>
      <c r="G647" s="150" t="b">
        <v>0</v>
      </c>
      <c r="H647" s="150" t="b">
        <v>0</v>
      </c>
      <c r="I647" s="150" t="b">
        <v>0</v>
      </c>
      <c r="J647" s="150" t="b">
        <v>0</v>
      </c>
      <c r="K647" s="150" t="b">
        <v>0</v>
      </c>
      <c r="L647" s="8" t="b">
        <v>0</v>
      </c>
    </row>
    <row r="648">
      <c r="B648" s="97"/>
      <c r="C648" s="121" t="str">
        <f t="array" ref="C648">ifs(and(isblank($A648),isblank($B648)),"", not(iserror(vlookup($A648&amp;$B648,'5) Release_Track'!$F:$F&amp;'5) Release_Track'!$G:$G,1,0))),vlookup($A648&amp;$B648,{'5) Release_Track'!$F:$F&amp;'5) Release_Track'!$G:$G,'5) Release_Track'!$H:$H},2,0),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D648" s="121" t="str">
        <f t="array" ref="D648">ifs(and(isblank($A648),isblank($B648)),"", not(iserror(vlookup($A648&amp;$B648,'5) Release_Track'!$F:$F&amp;'5) Release_Track'!$G:$G,1,0))),vlookup($A648&amp;$B648,{'5) Release_Track'!$F:$F&amp;'5) Release_Track'!$G:$G,'5) Release_Track'!$I:$I},2,0),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E648" s="150" t="b">
        <v>0</v>
      </c>
      <c r="F648" s="150" t="b">
        <v>0</v>
      </c>
      <c r="G648" s="150" t="b">
        <v>0</v>
      </c>
      <c r="H648" s="150" t="b">
        <v>0</v>
      </c>
      <c r="I648" s="150" t="b">
        <v>0</v>
      </c>
      <c r="J648" s="150" t="b">
        <v>0</v>
      </c>
      <c r="K648" s="150" t="b">
        <v>0</v>
      </c>
      <c r="L648" s="8" t="b">
        <v>0</v>
      </c>
    </row>
    <row r="649">
      <c r="B649" s="97"/>
      <c r="C649" s="121" t="str">
        <f t="array" ref="C649">ifs(and(isblank($A649),isblank($B649)),"", not(iserror(vlookup($A649&amp;$B649,'5) Release_Track'!$F:$F&amp;'5) Release_Track'!$G:$G,1,0))),vlookup($A649&amp;$B649,{'5) Release_Track'!$F:$F&amp;'5) Release_Track'!$G:$G,'5) Release_Track'!$H:$H},2,0),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D649" s="121" t="str">
        <f t="array" ref="D649">ifs(and(isblank($A649),isblank($B649)),"", not(iserror(vlookup($A649&amp;$B649,'5) Release_Track'!$F:$F&amp;'5) Release_Track'!$G:$G,1,0))),vlookup($A649&amp;$B649,{'5) Release_Track'!$F:$F&amp;'5) Release_Track'!$G:$G,'5) Release_Track'!$I:$I},2,0),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E649" s="150" t="b">
        <v>0</v>
      </c>
      <c r="F649" s="150" t="b">
        <v>0</v>
      </c>
      <c r="G649" s="150" t="b">
        <v>0</v>
      </c>
      <c r="H649" s="150" t="b">
        <v>0</v>
      </c>
      <c r="I649" s="150" t="b">
        <v>0</v>
      </c>
      <c r="J649" s="150" t="b">
        <v>0</v>
      </c>
      <c r="K649" s="150" t="b">
        <v>0</v>
      </c>
      <c r="L649" s="8" t="b">
        <v>0</v>
      </c>
    </row>
    <row r="650">
      <c r="B650" s="97"/>
      <c r="C650" s="121" t="str">
        <f t="array" ref="C650">ifs(and(isblank($A650),isblank($B650)),"", not(iserror(vlookup($A650&amp;$B650,'5) Release_Track'!$F:$F&amp;'5) Release_Track'!$G:$G,1,0))),vlookup($A650&amp;$B650,{'5) Release_Track'!$F:$F&amp;'5) Release_Track'!$G:$G,'5) Release_Track'!$H:$H},2,0),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D650" s="121" t="str">
        <f t="array" ref="D650">ifs(and(isblank($A650),isblank($B650)),"", not(iserror(vlookup($A650&amp;$B650,'5) Release_Track'!$F:$F&amp;'5) Release_Track'!$G:$G,1,0))),vlookup($A650&amp;$B650,{'5) Release_Track'!$F:$F&amp;'5) Release_Track'!$G:$G,'5) Release_Track'!$I:$I},2,0),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E650" s="150" t="b">
        <v>0</v>
      </c>
      <c r="F650" s="150" t="b">
        <v>0</v>
      </c>
      <c r="G650" s="150" t="b">
        <v>0</v>
      </c>
      <c r="H650" s="150" t="b">
        <v>0</v>
      </c>
      <c r="I650" s="150" t="b">
        <v>0</v>
      </c>
      <c r="J650" s="150" t="b">
        <v>0</v>
      </c>
      <c r="K650" s="150" t="b">
        <v>0</v>
      </c>
      <c r="L650" s="8" t="b">
        <v>0</v>
      </c>
    </row>
    <row r="651">
      <c r="B651" s="97"/>
      <c r="C651" s="121" t="str">
        <f t="array" ref="C651">ifs(and(isblank($A651),isblank($B651)),"", not(iserror(vlookup($A651&amp;$B651,'5) Release_Track'!$F:$F&amp;'5) Release_Track'!$G:$G,1,0))),vlookup($A651&amp;$B651,{'5) Release_Track'!$F:$F&amp;'5) Release_Track'!$G:$G,'5) Release_Track'!$H:$H},2,0),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D651" s="121" t="str">
        <f t="array" ref="D651">ifs(and(isblank($A651),isblank($B651)),"", not(iserror(vlookup($A651&amp;$B651,'5) Release_Track'!$F:$F&amp;'5) Release_Track'!$G:$G,1,0))),vlookup($A651&amp;$B651,{'5) Release_Track'!$F:$F&amp;'5) Release_Track'!$G:$G,'5) Release_Track'!$I:$I},2,0),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E651" s="150" t="b">
        <v>0</v>
      </c>
      <c r="F651" s="150" t="b">
        <v>0</v>
      </c>
      <c r="G651" s="150" t="b">
        <v>0</v>
      </c>
      <c r="H651" s="150" t="b">
        <v>0</v>
      </c>
      <c r="I651" s="150" t="b">
        <v>0</v>
      </c>
      <c r="J651" s="150" t="b">
        <v>0</v>
      </c>
      <c r="K651" s="150" t="b">
        <v>0</v>
      </c>
      <c r="L651" s="8" t="b">
        <v>0</v>
      </c>
    </row>
    <row r="652">
      <c r="B652" s="97"/>
      <c r="C652" s="121" t="str">
        <f t="array" ref="C652">ifs(and(isblank($A652),isblank($B652)),"", not(iserror(vlookup($A652&amp;$B652,'5) Release_Track'!$F:$F&amp;'5) Release_Track'!$G:$G,1,0))),vlookup($A652&amp;$B652,{'5) Release_Track'!$F:$F&amp;'5) Release_Track'!$G:$G,'5) Release_Track'!$H:$H},2,0),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D652" s="121" t="str">
        <f t="array" ref="D652">ifs(and(isblank($A652),isblank($B652)),"", not(iserror(vlookup($A652&amp;$B652,'5) Release_Track'!$F:$F&amp;'5) Release_Track'!$G:$G,1,0))),vlookup($A652&amp;$B652,{'5) Release_Track'!$F:$F&amp;'5) Release_Track'!$G:$G,'5) Release_Track'!$I:$I},2,0),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E652" s="150" t="b">
        <v>0</v>
      </c>
      <c r="F652" s="150" t="b">
        <v>0</v>
      </c>
      <c r="G652" s="150" t="b">
        <v>0</v>
      </c>
      <c r="H652" s="150" t="b">
        <v>0</v>
      </c>
      <c r="I652" s="150" t="b">
        <v>0</v>
      </c>
      <c r="J652" s="150" t="b">
        <v>0</v>
      </c>
      <c r="K652" s="150" t="b">
        <v>0</v>
      </c>
      <c r="L652" s="8" t="b">
        <v>0</v>
      </c>
    </row>
    <row r="653">
      <c r="B653" s="97"/>
      <c r="C653" s="121" t="str">
        <f t="array" ref="C653">ifs(and(isblank($A653),isblank($B653)),"", not(iserror(vlookup($A653&amp;$B653,'5) Release_Track'!$F:$F&amp;'5) Release_Track'!$G:$G,1,0))),vlookup($A653&amp;$B653,{'5) Release_Track'!$F:$F&amp;'5) Release_Track'!$G:$G,'5) Release_Track'!$H:$H},2,0),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D653" s="121" t="str">
        <f t="array" ref="D653">ifs(and(isblank($A653),isblank($B653)),"", not(iserror(vlookup($A653&amp;$B653,'5) Release_Track'!$F:$F&amp;'5) Release_Track'!$G:$G,1,0))),vlookup($A653&amp;$B653,{'5) Release_Track'!$F:$F&amp;'5) Release_Track'!$G:$G,'5) Release_Track'!$I:$I},2,0),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E653" s="150" t="b">
        <v>0</v>
      </c>
      <c r="F653" s="150" t="b">
        <v>0</v>
      </c>
      <c r="G653" s="150" t="b">
        <v>0</v>
      </c>
      <c r="H653" s="150" t="b">
        <v>0</v>
      </c>
      <c r="I653" s="150" t="b">
        <v>0</v>
      </c>
      <c r="J653" s="150" t="b">
        <v>0</v>
      </c>
      <c r="K653" s="150" t="b">
        <v>0</v>
      </c>
      <c r="L653" s="8" t="b">
        <v>0</v>
      </c>
    </row>
    <row r="654">
      <c r="B654" s="97"/>
      <c r="C654" s="121" t="str">
        <f t="array" ref="C654">ifs(and(isblank($A654),isblank($B654)),"", not(iserror(vlookup($A654&amp;$B654,'5) Release_Track'!$F:$F&amp;'5) Release_Track'!$G:$G,1,0))),vlookup($A654&amp;$B654,{'5) Release_Track'!$F:$F&amp;'5) Release_Track'!$G:$G,'5) Release_Track'!$H:$H},2,0),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D654" s="121" t="str">
        <f t="array" ref="D654">ifs(and(isblank($A654),isblank($B654)),"", not(iserror(vlookup($A654&amp;$B654,'5) Release_Track'!$F:$F&amp;'5) Release_Track'!$G:$G,1,0))),vlookup($A654&amp;$B654,{'5) Release_Track'!$F:$F&amp;'5) Release_Track'!$G:$G,'5) Release_Track'!$I:$I},2,0),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E654" s="150" t="b">
        <v>0</v>
      </c>
      <c r="F654" s="150" t="b">
        <v>0</v>
      </c>
      <c r="G654" s="150" t="b">
        <v>0</v>
      </c>
      <c r="H654" s="150" t="b">
        <v>0</v>
      </c>
      <c r="I654" s="150" t="b">
        <v>0</v>
      </c>
      <c r="J654" s="150" t="b">
        <v>0</v>
      </c>
      <c r="K654" s="150" t="b">
        <v>0</v>
      </c>
      <c r="L654" s="8" t="b">
        <v>0</v>
      </c>
    </row>
    <row r="655">
      <c r="B655" s="97"/>
      <c r="C655" s="121" t="str">
        <f t="array" ref="C655">ifs(and(isblank($A655),isblank($B655)),"", not(iserror(vlookup($A655&amp;$B655,'5) Release_Track'!$F:$F&amp;'5) Release_Track'!$G:$G,1,0))),vlookup($A655&amp;$B655,{'5) Release_Track'!$F:$F&amp;'5) Release_Track'!$G:$G,'5) Release_Track'!$H:$H},2,0),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D655" s="121" t="str">
        <f t="array" ref="D655">ifs(and(isblank($A655),isblank($B655)),"", not(iserror(vlookup($A655&amp;$B655,'5) Release_Track'!$F:$F&amp;'5) Release_Track'!$G:$G,1,0))),vlookup($A655&amp;$B655,{'5) Release_Track'!$F:$F&amp;'5) Release_Track'!$G:$G,'5) Release_Track'!$I:$I},2,0),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E655" s="150" t="b">
        <v>0</v>
      </c>
      <c r="F655" s="150" t="b">
        <v>0</v>
      </c>
      <c r="G655" s="150" t="b">
        <v>0</v>
      </c>
      <c r="H655" s="150" t="b">
        <v>0</v>
      </c>
      <c r="I655" s="150" t="b">
        <v>0</v>
      </c>
      <c r="J655" s="150" t="b">
        <v>0</v>
      </c>
      <c r="K655" s="150" t="b">
        <v>0</v>
      </c>
      <c r="L655" s="8" t="b">
        <v>0</v>
      </c>
    </row>
    <row r="656">
      <c r="B656" s="97"/>
      <c r="C656" s="121" t="str">
        <f t="array" ref="C656">ifs(and(isblank($A656),isblank($B656)),"", not(iserror(vlookup($A656&amp;$B656,'5) Release_Track'!$F:$F&amp;'5) Release_Track'!$G:$G,1,0))),vlookup($A656&amp;$B656,{'5) Release_Track'!$F:$F&amp;'5) Release_Track'!$G:$G,'5) Release_Track'!$H:$H},2,0),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D656" s="121" t="str">
        <f t="array" ref="D656">ifs(and(isblank($A656),isblank($B656)),"", not(iserror(vlookup($A656&amp;$B656,'5) Release_Track'!$F:$F&amp;'5) Release_Track'!$G:$G,1,0))),vlookup($A656&amp;$B656,{'5) Release_Track'!$F:$F&amp;'5) Release_Track'!$G:$G,'5) Release_Track'!$I:$I},2,0),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E656" s="150" t="b">
        <v>0</v>
      </c>
      <c r="F656" s="150" t="b">
        <v>0</v>
      </c>
      <c r="G656" s="150" t="b">
        <v>0</v>
      </c>
      <c r="H656" s="150" t="b">
        <v>0</v>
      </c>
      <c r="I656" s="150" t="b">
        <v>0</v>
      </c>
      <c r="J656" s="150" t="b">
        <v>0</v>
      </c>
      <c r="K656" s="150" t="b">
        <v>0</v>
      </c>
      <c r="L656" s="8" t="b">
        <v>0</v>
      </c>
    </row>
    <row r="657">
      <c r="B657" s="97"/>
      <c r="C657" s="121" t="str">
        <f t="array" ref="C657">ifs(and(isblank($A657),isblank($B657)),"", not(iserror(vlookup($A657&amp;$B657,'5) Release_Track'!$F:$F&amp;'5) Release_Track'!$G:$G,1,0))),vlookup($A657&amp;$B657,{'5) Release_Track'!$F:$F&amp;'5) Release_Track'!$G:$G,'5) Release_Track'!$H:$H},2,0),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D657" s="121" t="str">
        <f t="array" ref="D657">ifs(and(isblank($A657),isblank($B657)),"", not(iserror(vlookup($A657&amp;$B657,'5) Release_Track'!$F:$F&amp;'5) Release_Track'!$G:$G,1,0))),vlookup($A657&amp;$B657,{'5) Release_Track'!$F:$F&amp;'5) Release_Track'!$G:$G,'5) Release_Track'!$I:$I},2,0),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E657" s="150" t="b">
        <v>0</v>
      </c>
      <c r="F657" s="150" t="b">
        <v>0</v>
      </c>
      <c r="G657" s="150" t="b">
        <v>0</v>
      </c>
      <c r="H657" s="150" t="b">
        <v>0</v>
      </c>
      <c r="I657" s="150" t="b">
        <v>0</v>
      </c>
      <c r="J657" s="150" t="b">
        <v>0</v>
      </c>
      <c r="K657" s="150" t="b">
        <v>0</v>
      </c>
      <c r="L657" s="8" t="b">
        <v>0</v>
      </c>
    </row>
    <row r="658">
      <c r="B658" s="97"/>
      <c r="C658" s="121" t="str">
        <f t="array" ref="C658">ifs(and(isblank($A658),isblank($B658)),"", not(iserror(vlookup($A658&amp;$B658,'5) Release_Track'!$F:$F&amp;'5) Release_Track'!$G:$G,1,0))),vlookup($A658&amp;$B658,{'5) Release_Track'!$F:$F&amp;'5) Release_Track'!$G:$G,'5) Release_Track'!$H:$H},2,0),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D658" s="121" t="str">
        <f t="array" ref="D658">ifs(and(isblank($A658),isblank($B658)),"", not(iserror(vlookup($A658&amp;$B658,'5) Release_Track'!$F:$F&amp;'5) Release_Track'!$G:$G,1,0))),vlookup($A658&amp;$B658,{'5) Release_Track'!$F:$F&amp;'5) Release_Track'!$G:$G,'5) Release_Track'!$I:$I},2,0),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E658" s="150" t="b">
        <v>0</v>
      </c>
      <c r="F658" s="150" t="b">
        <v>0</v>
      </c>
      <c r="G658" s="150" t="b">
        <v>0</v>
      </c>
      <c r="H658" s="150" t="b">
        <v>0</v>
      </c>
      <c r="I658" s="150" t="b">
        <v>0</v>
      </c>
      <c r="J658" s="150" t="b">
        <v>0</v>
      </c>
      <c r="K658" s="150" t="b">
        <v>0</v>
      </c>
      <c r="L658" s="8" t="b">
        <v>0</v>
      </c>
    </row>
    <row r="659">
      <c r="B659" s="97"/>
      <c r="C659" s="121" t="str">
        <f t="array" ref="C659">ifs(and(isblank($A659),isblank($B659)),"", not(iserror(vlookup($A659&amp;$B659,'5) Release_Track'!$F:$F&amp;'5) Release_Track'!$G:$G,1,0))),vlookup($A659&amp;$B659,{'5) Release_Track'!$F:$F&amp;'5) Release_Track'!$G:$G,'5) Release_Track'!$H:$H},2,0),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D659" s="121" t="str">
        <f t="array" ref="D659">ifs(and(isblank($A659),isblank($B659)),"", not(iserror(vlookup($A659&amp;$B659,'5) Release_Track'!$F:$F&amp;'5) Release_Track'!$G:$G,1,0))),vlookup($A659&amp;$B659,{'5) Release_Track'!$F:$F&amp;'5) Release_Track'!$G:$G,'5) Release_Track'!$I:$I},2,0),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E659" s="150" t="b">
        <v>0</v>
      </c>
      <c r="F659" s="150" t="b">
        <v>0</v>
      </c>
      <c r="G659" s="150" t="b">
        <v>0</v>
      </c>
      <c r="H659" s="150" t="b">
        <v>0</v>
      </c>
      <c r="I659" s="150" t="b">
        <v>0</v>
      </c>
      <c r="J659" s="150" t="b">
        <v>0</v>
      </c>
      <c r="K659" s="150" t="b">
        <v>0</v>
      </c>
      <c r="L659" s="8" t="b">
        <v>0</v>
      </c>
    </row>
    <row r="660">
      <c r="B660" s="97"/>
      <c r="C660" s="121" t="str">
        <f t="array" ref="C660">ifs(and(isblank($A660),isblank($B660)),"", not(iserror(vlookup($A660&amp;$B660,'5) Release_Track'!$F:$F&amp;'5) Release_Track'!$G:$G,1,0))),vlookup($A660&amp;$B660,{'5) Release_Track'!$F:$F&amp;'5) Release_Track'!$G:$G,'5) Release_Track'!$H:$H},2,0),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D660" s="121" t="str">
        <f t="array" ref="D660">ifs(and(isblank($A660),isblank($B660)),"", not(iserror(vlookup($A660&amp;$B660,'5) Release_Track'!$F:$F&amp;'5) Release_Track'!$G:$G,1,0))),vlookup($A660&amp;$B660,{'5) Release_Track'!$F:$F&amp;'5) Release_Track'!$G:$G,'5) Release_Track'!$I:$I},2,0),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E660" s="150" t="b">
        <v>0</v>
      </c>
      <c r="F660" s="150" t="b">
        <v>0</v>
      </c>
      <c r="G660" s="150" t="b">
        <v>0</v>
      </c>
      <c r="H660" s="150" t="b">
        <v>0</v>
      </c>
      <c r="I660" s="150" t="b">
        <v>0</v>
      </c>
      <c r="J660" s="150" t="b">
        <v>0</v>
      </c>
      <c r="K660" s="150" t="b">
        <v>0</v>
      </c>
      <c r="L660" s="8" t="b">
        <v>0</v>
      </c>
    </row>
    <row r="661">
      <c r="B661" s="97"/>
      <c r="C661" s="121" t="str">
        <f t="array" ref="C661">ifs(and(isblank($A661),isblank($B661)),"", not(iserror(vlookup($A661&amp;$B661,'5) Release_Track'!$F:$F&amp;'5) Release_Track'!$G:$G,1,0))),vlookup($A661&amp;$B661,{'5) Release_Track'!$F:$F&amp;'5) Release_Track'!$G:$G,'5) Release_Track'!$H:$H},2,0),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D661" s="121" t="str">
        <f t="array" ref="D661">ifs(and(isblank($A661),isblank($B661)),"", not(iserror(vlookup($A661&amp;$B661,'5) Release_Track'!$F:$F&amp;'5) Release_Track'!$G:$G,1,0))),vlookup($A661&amp;$B661,{'5) Release_Track'!$F:$F&amp;'5) Release_Track'!$G:$G,'5) Release_Track'!$I:$I},2,0),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E661" s="150" t="b">
        <v>0</v>
      </c>
      <c r="F661" s="150" t="b">
        <v>0</v>
      </c>
      <c r="G661" s="150" t="b">
        <v>0</v>
      </c>
      <c r="H661" s="150" t="b">
        <v>0</v>
      </c>
      <c r="I661" s="150" t="b">
        <v>0</v>
      </c>
      <c r="J661" s="150" t="b">
        <v>0</v>
      </c>
      <c r="K661" s="150" t="b">
        <v>0</v>
      </c>
      <c r="L661" s="8" t="b">
        <v>0</v>
      </c>
    </row>
    <row r="662">
      <c r="B662" s="97"/>
      <c r="C662" s="121" t="str">
        <f t="array" ref="C662">ifs(and(isblank($A662),isblank($B662)),"", not(iserror(vlookup($A662&amp;$B662,'5) Release_Track'!$F:$F&amp;'5) Release_Track'!$G:$G,1,0))),vlookup($A662&amp;$B662,{'5) Release_Track'!$F:$F&amp;'5) Release_Track'!$G:$G,'5) Release_Track'!$H:$H},2,0),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D662" s="121" t="str">
        <f t="array" ref="D662">ifs(and(isblank($A662),isblank($B662)),"", not(iserror(vlookup($A662&amp;$B662,'5) Release_Track'!$F:$F&amp;'5) Release_Track'!$G:$G,1,0))),vlookup($A662&amp;$B662,{'5) Release_Track'!$F:$F&amp;'5) Release_Track'!$G:$G,'5) Release_Track'!$I:$I},2,0),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E662" s="150" t="b">
        <v>0</v>
      </c>
      <c r="F662" s="150" t="b">
        <v>0</v>
      </c>
      <c r="G662" s="150" t="b">
        <v>0</v>
      </c>
      <c r="H662" s="150" t="b">
        <v>0</v>
      </c>
      <c r="I662" s="150" t="b">
        <v>0</v>
      </c>
      <c r="J662" s="150" t="b">
        <v>0</v>
      </c>
      <c r="K662" s="150" t="b">
        <v>0</v>
      </c>
      <c r="L662" s="8" t="b">
        <v>0</v>
      </c>
    </row>
    <row r="663">
      <c r="B663" s="97"/>
      <c r="C663" s="121" t="str">
        <f t="array" ref="C663">ifs(and(isblank($A663),isblank($B663)),"", not(iserror(vlookup($A663&amp;$B663,'5) Release_Track'!$F:$F&amp;'5) Release_Track'!$G:$G,1,0))),vlookup($A663&amp;$B663,{'5) Release_Track'!$F:$F&amp;'5) Release_Track'!$G:$G,'5) Release_Track'!$H:$H},2,0),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D663" s="121" t="str">
        <f t="array" ref="D663">ifs(and(isblank($A663),isblank($B663)),"", not(iserror(vlookup($A663&amp;$B663,'5) Release_Track'!$F:$F&amp;'5) Release_Track'!$G:$G,1,0))),vlookup($A663&amp;$B663,{'5) Release_Track'!$F:$F&amp;'5) Release_Track'!$G:$G,'5) Release_Track'!$I:$I},2,0),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E663" s="150" t="b">
        <v>0</v>
      </c>
      <c r="F663" s="150" t="b">
        <v>0</v>
      </c>
      <c r="G663" s="150" t="b">
        <v>0</v>
      </c>
      <c r="H663" s="150" t="b">
        <v>0</v>
      </c>
      <c r="I663" s="150" t="b">
        <v>0</v>
      </c>
      <c r="J663" s="150" t="b">
        <v>0</v>
      </c>
      <c r="K663" s="150" t="b">
        <v>0</v>
      </c>
      <c r="L663" s="8" t="b">
        <v>0</v>
      </c>
    </row>
    <row r="664">
      <c r="B664" s="97"/>
      <c r="C664" s="121" t="str">
        <f t="array" ref="C664">ifs(and(isblank($A664),isblank($B664)),"", not(iserror(vlookup($A664&amp;$B664,'5) Release_Track'!$F:$F&amp;'5) Release_Track'!$G:$G,1,0))),vlookup($A664&amp;$B664,{'5) Release_Track'!$F:$F&amp;'5) Release_Track'!$G:$G,'5) Release_Track'!$H:$H},2,0),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D664" s="121" t="str">
        <f t="array" ref="D664">ifs(and(isblank($A664),isblank($B664)),"", not(iserror(vlookup($A664&amp;$B664,'5) Release_Track'!$F:$F&amp;'5) Release_Track'!$G:$G,1,0))),vlookup($A664&amp;$B664,{'5) Release_Track'!$F:$F&amp;'5) Release_Track'!$G:$G,'5) Release_Track'!$I:$I},2,0),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E664" s="150" t="b">
        <v>0</v>
      </c>
      <c r="F664" s="150" t="b">
        <v>0</v>
      </c>
      <c r="G664" s="150" t="b">
        <v>0</v>
      </c>
      <c r="H664" s="150" t="b">
        <v>0</v>
      </c>
      <c r="I664" s="150" t="b">
        <v>0</v>
      </c>
      <c r="J664" s="150" t="b">
        <v>0</v>
      </c>
      <c r="K664" s="150" t="b">
        <v>0</v>
      </c>
      <c r="L664" s="8" t="b">
        <v>0</v>
      </c>
    </row>
    <row r="665">
      <c r="B665" s="97"/>
      <c r="C665" s="121" t="str">
        <f t="array" ref="C665">ifs(and(isblank($A665),isblank($B665)),"", not(iserror(vlookup($A665&amp;$B665,'5) Release_Track'!$F:$F&amp;'5) Release_Track'!$G:$G,1,0))),vlookup($A665&amp;$B665,{'5) Release_Track'!$F:$F&amp;'5) Release_Track'!$G:$G,'5) Release_Track'!$H:$H},2,0),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D665" s="121" t="str">
        <f t="array" ref="D665">ifs(and(isblank($A665),isblank($B665)),"", not(iserror(vlookup($A665&amp;$B665,'5) Release_Track'!$F:$F&amp;'5) Release_Track'!$G:$G,1,0))),vlookup($A665&amp;$B665,{'5) Release_Track'!$F:$F&amp;'5) Release_Track'!$G:$G,'5) Release_Track'!$I:$I},2,0),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E665" s="150" t="b">
        <v>0</v>
      </c>
      <c r="F665" s="150" t="b">
        <v>0</v>
      </c>
      <c r="G665" s="150" t="b">
        <v>0</v>
      </c>
      <c r="H665" s="150" t="b">
        <v>0</v>
      </c>
      <c r="I665" s="150" t="b">
        <v>0</v>
      </c>
      <c r="J665" s="150" t="b">
        <v>0</v>
      </c>
      <c r="K665" s="150" t="b">
        <v>0</v>
      </c>
      <c r="L665" s="8" t="b">
        <v>0</v>
      </c>
    </row>
    <row r="666">
      <c r="B666" s="97"/>
      <c r="C666" s="121" t="str">
        <f t="array" ref="C666">ifs(and(isblank($A666),isblank($B666)),"", not(iserror(vlookup($A666&amp;$B666,'5) Release_Track'!$F:$F&amp;'5) Release_Track'!$G:$G,1,0))),vlookup($A666&amp;$B666,{'5) Release_Track'!$F:$F&amp;'5) Release_Track'!$G:$G,'5) Release_Track'!$H:$H},2,0),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D666" s="121" t="str">
        <f t="array" ref="D666">ifs(and(isblank($A666),isblank($B666)),"", not(iserror(vlookup($A666&amp;$B666,'5) Release_Track'!$F:$F&amp;'5) Release_Track'!$G:$G,1,0))),vlookup($A666&amp;$B666,{'5) Release_Track'!$F:$F&amp;'5) Release_Track'!$G:$G,'5) Release_Track'!$I:$I},2,0),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E666" s="150" t="b">
        <v>0</v>
      </c>
      <c r="F666" s="150" t="b">
        <v>0</v>
      </c>
      <c r="G666" s="150" t="b">
        <v>0</v>
      </c>
      <c r="H666" s="150" t="b">
        <v>0</v>
      </c>
      <c r="I666" s="150" t="b">
        <v>0</v>
      </c>
      <c r="J666" s="150" t="b">
        <v>0</v>
      </c>
      <c r="K666" s="150" t="b">
        <v>0</v>
      </c>
      <c r="L666" s="8" t="b">
        <v>0</v>
      </c>
    </row>
    <row r="667">
      <c r="B667" s="97"/>
      <c r="C667" s="121" t="str">
        <f t="array" ref="C667">ifs(and(isblank($A667),isblank($B667)),"", not(iserror(vlookup($A667&amp;$B667,'5) Release_Track'!$F:$F&amp;'5) Release_Track'!$G:$G,1,0))),vlookup($A667&amp;$B667,{'5) Release_Track'!$F:$F&amp;'5) Release_Track'!$G:$G,'5) Release_Track'!$H:$H},2,0),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D667" s="121" t="str">
        <f t="array" ref="D667">ifs(and(isblank($A667),isblank($B667)),"", not(iserror(vlookup($A667&amp;$B667,'5) Release_Track'!$F:$F&amp;'5) Release_Track'!$G:$G,1,0))),vlookup($A667&amp;$B667,{'5) Release_Track'!$F:$F&amp;'5) Release_Track'!$G:$G,'5) Release_Track'!$I:$I},2,0),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E667" s="150" t="b">
        <v>0</v>
      </c>
      <c r="F667" s="150" t="b">
        <v>0</v>
      </c>
      <c r="G667" s="150" t="b">
        <v>0</v>
      </c>
      <c r="H667" s="150" t="b">
        <v>0</v>
      </c>
      <c r="I667" s="150" t="b">
        <v>0</v>
      </c>
      <c r="J667" s="150" t="b">
        <v>0</v>
      </c>
      <c r="K667" s="150" t="b">
        <v>0</v>
      </c>
      <c r="L667" s="8" t="b">
        <v>0</v>
      </c>
    </row>
    <row r="668">
      <c r="B668" s="97"/>
      <c r="C668" s="121" t="str">
        <f t="array" ref="C668">ifs(and(isblank($A668),isblank($B668)),"", not(iserror(vlookup($A668&amp;$B668,'5) Release_Track'!$F:$F&amp;'5) Release_Track'!$G:$G,1,0))),vlookup($A668&amp;$B668,{'5) Release_Track'!$F:$F&amp;'5) Release_Track'!$G:$G,'5) Release_Track'!$H:$H},2,0),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D668" s="121" t="str">
        <f t="array" ref="D668">ifs(and(isblank($A668),isblank($B668)),"", not(iserror(vlookup($A668&amp;$B668,'5) Release_Track'!$F:$F&amp;'5) Release_Track'!$G:$G,1,0))),vlookup($A668&amp;$B668,{'5) Release_Track'!$F:$F&amp;'5) Release_Track'!$G:$G,'5) Release_Track'!$I:$I},2,0),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E668" s="150" t="b">
        <v>0</v>
      </c>
      <c r="F668" s="150" t="b">
        <v>0</v>
      </c>
      <c r="G668" s="150" t="b">
        <v>0</v>
      </c>
      <c r="H668" s="150" t="b">
        <v>0</v>
      </c>
      <c r="I668" s="150" t="b">
        <v>0</v>
      </c>
      <c r="J668" s="150" t="b">
        <v>0</v>
      </c>
      <c r="K668" s="150" t="b">
        <v>0</v>
      </c>
      <c r="L668" s="8" t="b">
        <v>0</v>
      </c>
    </row>
    <row r="669">
      <c r="B669" s="97"/>
      <c r="C669" s="121" t="str">
        <f t="array" ref="C669">ifs(and(isblank($A669),isblank($B669)),"", not(iserror(vlookup($A669&amp;$B669,'5) Release_Track'!$F:$F&amp;'5) Release_Track'!$G:$G,1,0))),vlookup($A669&amp;$B669,{'5) Release_Track'!$F:$F&amp;'5) Release_Track'!$G:$G,'5) Release_Track'!$H:$H},2,0),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D669" s="121" t="str">
        <f t="array" ref="D669">ifs(and(isblank($A669),isblank($B669)),"", not(iserror(vlookup($A669&amp;$B669,'5) Release_Track'!$F:$F&amp;'5) Release_Track'!$G:$G,1,0))),vlookup($A669&amp;$B669,{'5) Release_Track'!$F:$F&amp;'5) Release_Track'!$G:$G,'5) Release_Track'!$I:$I},2,0),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E669" s="150" t="b">
        <v>0</v>
      </c>
      <c r="F669" s="150" t="b">
        <v>0</v>
      </c>
      <c r="G669" s="150" t="b">
        <v>0</v>
      </c>
      <c r="H669" s="150" t="b">
        <v>0</v>
      </c>
      <c r="I669" s="150" t="b">
        <v>0</v>
      </c>
      <c r="J669" s="150" t="b">
        <v>0</v>
      </c>
      <c r="K669" s="150" t="b">
        <v>0</v>
      </c>
      <c r="L669" s="8" t="b">
        <v>0</v>
      </c>
    </row>
    <row r="670">
      <c r="B670" s="97"/>
      <c r="C670" s="121" t="str">
        <f t="array" ref="C670">ifs(and(isblank($A670),isblank($B670)),"", not(iserror(vlookup($A670&amp;$B670,'5) Release_Track'!$F:$F&amp;'5) Release_Track'!$G:$G,1,0))),vlookup($A670&amp;$B670,{'5) Release_Track'!$F:$F&amp;'5) Release_Track'!$G:$G,'5) Release_Track'!$H:$H},2,0),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D670" s="121" t="str">
        <f t="array" ref="D670">ifs(and(isblank($A670),isblank($B670)),"", not(iserror(vlookup($A670&amp;$B670,'5) Release_Track'!$F:$F&amp;'5) Release_Track'!$G:$G,1,0))),vlookup($A670&amp;$B670,{'5) Release_Track'!$F:$F&amp;'5) Release_Track'!$G:$G,'5) Release_Track'!$I:$I},2,0),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E670" s="150" t="b">
        <v>0</v>
      </c>
      <c r="F670" s="150" t="b">
        <v>0</v>
      </c>
      <c r="G670" s="150" t="b">
        <v>0</v>
      </c>
      <c r="H670" s="150" t="b">
        <v>0</v>
      </c>
      <c r="I670" s="150" t="b">
        <v>0</v>
      </c>
      <c r="J670" s="150" t="b">
        <v>0</v>
      </c>
      <c r="K670" s="150" t="b">
        <v>0</v>
      </c>
      <c r="L670" s="8" t="b">
        <v>0</v>
      </c>
    </row>
    <row r="671">
      <c r="B671" s="97"/>
      <c r="C671" s="121" t="str">
        <f t="array" ref="C671">ifs(and(isblank($A671),isblank($B671)),"", not(iserror(vlookup($A671&amp;$B671,'5) Release_Track'!$F:$F&amp;'5) Release_Track'!$G:$G,1,0))),vlookup($A671&amp;$B671,{'5) Release_Track'!$F:$F&amp;'5) Release_Track'!$G:$G,'5) Release_Track'!$H:$H},2,0),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D671" s="121" t="str">
        <f t="array" ref="D671">ifs(and(isblank($A671),isblank($B671)),"", not(iserror(vlookup($A671&amp;$B671,'5) Release_Track'!$F:$F&amp;'5) Release_Track'!$G:$G,1,0))),vlookup($A671&amp;$B671,{'5) Release_Track'!$F:$F&amp;'5) Release_Track'!$G:$G,'5) Release_Track'!$I:$I},2,0),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E671" s="150" t="b">
        <v>0</v>
      </c>
      <c r="F671" s="150" t="b">
        <v>0</v>
      </c>
      <c r="G671" s="150" t="b">
        <v>0</v>
      </c>
      <c r="H671" s="150" t="b">
        <v>0</v>
      </c>
      <c r="I671" s="150" t="b">
        <v>0</v>
      </c>
      <c r="J671" s="150" t="b">
        <v>0</v>
      </c>
      <c r="K671" s="150" t="b">
        <v>0</v>
      </c>
      <c r="L671" s="8" t="b">
        <v>0</v>
      </c>
    </row>
    <row r="672">
      <c r="B672" s="97"/>
      <c r="C672" s="121" t="str">
        <f t="array" ref="C672">ifs(and(isblank($A672),isblank($B672)),"", not(iserror(vlookup($A672&amp;$B672,'5) Release_Track'!$F:$F&amp;'5) Release_Track'!$G:$G,1,0))),vlookup($A672&amp;$B672,{'5) Release_Track'!$F:$F&amp;'5) Release_Track'!$G:$G,'5) Release_Track'!$H:$H},2,0),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D672" s="121" t="str">
        <f t="array" ref="D672">ifs(and(isblank($A672),isblank($B672)),"", not(iserror(vlookup($A672&amp;$B672,'5) Release_Track'!$F:$F&amp;'5) Release_Track'!$G:$G,1,0))),vlookup($A672&amp;$B672,{'5) Release_Track'!$F:$F&amp;'5) Release_Track'!$G:$G,'5) Release_Track'!$I:$I},2,0),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E672" s="150" t="b">
        <v>0</v>
      </c>
      <c r="F672" s="150" t="b">
        <v>0</v>
      </c>
      <c r="G672" s="150" t="b">
        <v>0</v>
      </c>
      <c r="H672" s="150" t="b">
        <v>0</v>
      </c>
      <c r="I672" s="150" t="b">
        <v>0</v>
      </c>
      <c r="J672" s="150" t="b">
        <v>0</v>
      </c>
      <c r="K672" s="150" t="b">
        <v>0</v>
      </c>
      <c r="L672" s="8" t="b">
        <v>0</v>
      </c>
    </row>
    <row r="673">
      <c r="B673" s="97"/>
      <c r="C673" s="121" t="str">
        <f t="array" ref="C673">ifs(and(isblank($A673),isblank($B673)),"", not(iserror(vlookup($A673&amp;$B673,'5) Release_Track'!$F:$F&amp;'5) Release_Track'!$G:$G,1,0))),vlookup($A673&amp;$B673,{'5) Release_Track'!$F:$F&amp;'5) Release_Track'!$G:$G,'5) Release_Track'!$H:$H},2,0),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D673" s="121" t="str">
        <f t="array" ref="D673">ifs(and(isblank($A673),isblank($B673)),"", not(iserror(vlookup($A673&amp;$B673,'5) Release_Track'!$F:$F&amp;'5) Release_Track'!$G:$G,1,0))),vlookup($A673&amp;$B673,{'5) Release_Track'!$F:$F&amp;'5) Release_Track'!$G:$G,'5) Release_Track'!$I:$I},2,0),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E673" s="150" t="b">
        <v>0</v>
      </c>
      <c r="F673" s="150" t="b">
        <v>0</v>
      </c>
      <c r="G673" s="150" t="b">
        <v>0</v>
      </c>
      <c r="H673" s="150" t="b">
        <v>0</v>
      </c>
      <c r="I673" s="150" t="b">
        <v>0</v>
      </c>
      <c r="J673" s="150" t="b">
        <v>0</v>
      </c>
      <c r="K673" s="150" t="b">
        <v>0</v>
      </c>
      <c r="L673" s="8" t="b">
        <v>0</v>
      </c>
    </row>
    <row r="674">
      <c r="B674" s="97"/>
      <c r="C674" s="121" t="str">
        <f t="array" ref="C674">ifs(and(isblank($A674),isblank($B674)),"", not(iserror(vlookup($A674&amp;$B674,'5) Release_Track'!$F:$F&amp;'5) Release_Track'!$G:$G,1,0))),vlookup($A674&amp;$B674,{'5) Release_Track'!$F:$F&amp;'5) Release_Track'!$G:$G,'5) Release_Track'!$H:$H},2,0),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D674" s="121" t="str">
        <f t="array" ref="D674">ifs(and(isblank($A674),isblank($B674)),"", not(iserror(vlookup($A674&amp;$B674,'5) Release_Track'!$F:$F&amp;'5) Release_Track'!$G:$G,1,0))),vlookup($A674&amp;$B674,{'5) Release_Track'!$F:$F&amp;'5) Release_Track'!$G:$G,'5) Release_Track'!$I:$I},2,0),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E674" s="150" t="b">
        <v>0</v>
      </c>
      <c r="F674" s="150" t="b">
        <v>0</v>
      </c>
      <c r="G674" s="150" t="b">
        <v>0</v>
      </c>
      <c r="H674" s="150" t="b">
        <v>0</v>
      </c>
      <c r="I674" s="150" t="b">
        <v>0</v>
      </c>
      <c r="J674" s="150" t="b">
        <v>0</v>
      </c>
      <c r="K674" s="150" t="b">
        <v>0</v>
      </c>
      <c r="L674" s="8" t="b">
        <v>0</v>
      </c>
    </row>
    <row r="675">
      <c r="B675" s="97"/>
      <c r="C675" s="121" t="str">
        <f t="array" ref="C675">ifs(and(isblank($A675),isblank($B675)),"", not(iserror(vlookup($A675&amp;$B675,'5) Release_Track'!$F:$F&amp;'5) Release_Track'!$G:$G,1,0))),vlookup($A675&amp;$B675,{'5) Release_Track'!$F:$F&amp;'5) Release_Track'!$G:$G,'5) Release_Track'!$H:$H},2,0),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D675" s="121" t="str">
        <f t="array" ref="D675">ifs(and(isblank($A675),isblank($B675)),"", not(iserror(vlookup($A675&amp;$B675,'5) Release_Track'!$F:$F&amp;'5) Release_Track'!$G:$G,1,0))),vlookup($A675&amp;$B675,{'5) Release_Track'!$F:$F&amp;'5) Release_Track'!$G:$G,'5) Release_Track'!$I:$I},2,0),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E675" s="150" t="b">
        <v>0</v>
      </c>
      <c r="F675" s="150" t="b">
        <v>0</v>
      </c>
      <c r="G675" s="150" t="b">
        <v>0</v>
      </c>
      <c r="H675" s="150" t="b">
        <v>0</v>
      </c>
      <c r="I675" s="150" t="b">
        <v>0</v>
      </c>
      <c r="J675" s="150" t="b">
        <v>0</v>
      </c>
      <c r="K675" s="150" t="b">
        <v>0</v>
      </c>
      <c r="L675" s="8" t="b">
        <v>0</v>
      </c>
    </row>
    <row r="676">
      <c r="B676" s="97"/>
      <c r="C676" s="121" t="str">
        <f t="array" ref="C676">ifs(and(isblank($A676),isblank($B676)),"", not(iserror(vlookup($A676&amp;$B676,'5) Release_Track'!$F:$F&amp;'5) Release_Track'!$G:$G,1,0))),vlookup($A676&amp;$B676,{'5) Release_Track'!$F:$F&amp;'5) Release_Track'!$G:$G,'5) Release_Track'!$H:$H},2,0),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D676" s="121" t="str">
        <f t="array" ref="D676">ifs(and(isblank($A676),isblank($B676)),"", not(iserror(vlookup($A676&amp;$B676,'5) Release_Track'!$F:$F&amp;'5) Release_Track'!$G:$G,1,0))),vlookup($A676&amp;$B676,{'5) Release_Track'!$F:$F&amp;'5) Release_Track'!$G:$G,'5) Release_Track'!$I:$I},2,0),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E676" s="150" t="b">
        <v>0</v>
      </c>
      <c r="F676" s="150" t="b">
        <v>0</v>
      </c>
      <c r="G676" s="150" t="b">
        <v>0</v>
      </c>
      <c r="H676" s="150" t="b">
        <v>0</v>
      </c>
      <c r="I676" s="150" t="b">
        <v>0</v>
      </c>
      <c r="J676" s="150" t="b">
        <v>0</v>
      </c>
      <c r="K676" s="150" t="b">
        <v>0</v>
      </c>
      <c r="L676" s="8" t="b">
        <v>0</v>
      </c>
    </row>
    <row r="677">
      <c r="B677" s="97"/>
      <c r="C677" s="121" t="str">
        <f t="array" ref="C677">ifs(and(isblank($A677),isblank($B677)),"", not(iserror(vlookup($A677&amp;$B677,'5) Release_Track'!$F:$F&amp;'5) Release_Track'!$G:$G,1,0))),vlookup($A677&amp;$B677,{'5) Release_Track'!$F:$F&amp;'5) Release_Track'!$G:$G,'5) Release_Track'!$H:$H},2,0),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D677" s="121" t="str">
        <f t="array" ref="D677">ifs(and(isblank($A677),isblank($B677)),"", not(iserror(vlookup($A677&amp;$B677,'5) Release_Track'!$F:$F&amp;'5) Release_Track'!$G:$G,1,0))),vlookup($A677&amp;$B677,{'5) Release_Track'!$F:$F&amp;'5) Release_Track'!$G:$G,'5) Release_Track'!$I:$I},2,0),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E677" s="150" t="b">
        <v>0</v>
      </c>
      <c r="F677" s="150" t="b">
        <v>0</v>
      </c>
      <c r="G677" s="150" t="b">
        <v>0</v>
      </c>
      <c r="H677" s="150" t="b">
        <v>0</v>
      </c>
      <c r="I677" s="150" t="b">
        <v>0</v>
      </c>
      <c r="J677" s="150" t="b">
        <v>0</v>
      </c>
      <c r="K677" s="150" t="b">
        <v>0</v>
      </c>
      <c r="L677" s="8" t="b">
        <v>0</v>
      </c>
    </row>
    <row r="678">
      <c r="B678" s="97"/>
      <c r="C678" s="121" t="str">
        <f t="array" ref="C678">ifs(and(isblank($A678),isblank($B678)),"", not(iserror(vlookup($A678&amp;$B678,'5) Release_Track'!$F:$F&amp;'5) Release_Track'!$G:$G,1,0))),vlookup($A678&amp;$B678,{'5) Release_Track'!$F:$F&amp;'5) Release_Track'!$G:$G,'5) Release_Track'!$H:$H},2,0),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D678" s="121" t="str">
        <f t="array" ref="D678">ifs(and(isblank($A678),isblank($B678)),"", not(iserror(vlookup($A678&amp;$B678,'5) Release_Track'!$F:$F&amp;'5) Release_Track'!$G:$G,1,0))),vlookup($A678&amp;$B678,{'5) Release_Track'!$F:$F&amp;'5) Release_Track'!$G:$G,'5) Release_Track'!$I:$I},2,0),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E678" s="150" t="b">
        <v>0</v>
      </c>
      <c r="F678" s="150" t="b">
        <v>0</v>
      </c>
      <c r="G678" s="150" t="b">
        <v>0</v>
      </c>
      <c r="H678" s="150" t="b">
        <v>0</v>
      </c>
      <c r="I678" s="150" t="b">
        <v>0</v>
      </c>
      <c r="J678" s="150" t="b">
        <v>0</v>
      </c>
      <c r="K678" s="150" t="b">
        <v>0</v>
      </c>
      <c r="L678" s="8" t="b">
        <v>0</v>
      </c>
    </row>
    <row r="679">
      <c r="B679" s="97"/>
      <c r="C679" s="121" t="str">
        <f t="array" ref="C679">ifs(and(isblank($A679),isblank($B679)),"", not(iserror(vlookup($A679&amp;$B679,'5) Release_Track'!$F:$F&amp;'5) Release_Track'!$G:$G,1,0))),vlookup($A679&amp;$B679,{'5) Release_Track'!$F:$F&amp;'5) Release_Track'!$G:$G,'5) Release_Track'!$H:$H},2,0),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D679" s="121" t="str">
        <f t="array" ref="D679">ifs(and(isblank($A679),isblank($B679)),"", not(iserror(vlookup($A679&amp;$B679,'5) Release_Track'!$F:$F&amp;'5) Release_Track'!$G:$G,1,0))),vlookup($A679&amp;$B679,{'5) Release_Track'!$F:$F&amp;'5) Release_Track'!$G:$G,'5) Release_Track'!$I:$I},2,0),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E679" s="150" t="b">
        <v>0</v>
      </c>
      <c r="F679" s="150" t="b">
        <v>0</v>
      </c>
      <c r="G679" s="150" t="b">
        <v>0</v>
      </c>
      <c r="H679" s="150" t="b">
        <v>0</v>
      </c>
      <c r="I679" s="150" t="b">
        <v>0</v>
      </c>
      <c r="J679" s="150" t="b">
        <v>0</v>
      </c>
      <c r="K679" s="150" t="b">
        <v>0</v>
      </c>
      <c r="L679" s="8" t="b">
        <v>0</v>
      </c>
    </row>
    <row r="680">
      <c r="B680" s="97"/>
      <c r="C680" s="121" t="str">
        <f t="array" ref="C680">ifs(and(isblank($A680),isblank($B680)),"", not(iserror(vlookup($A680&amp;$B680,'5) Release_Track'!$F:$F&amp;'5) Release_Track'!$G:$G,1,0))),vlookup($A680&amp;$B680,{'5) Release_Track'!$F:$F&amp;'5) Release_Track'!$G:$G,'5) Release_Track'!$H:$H},2,0),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D680" s="121" t="str">
        <f t="array" ref="D680">ifs(and(isblank($A680),isblank($B680)),"", not(iserror(vlookup($A680&amp;$B680,'5) Release_Track'!$F:$F&amp;'5) Release_Track'!$G:$G,1,0))),vlookup($A680&amp;$B680,{'5) Release_Track'!$F:$F&amp;'5) Release_Track'!$G:$G,'5) Release_Track'!$I:$I},2,0),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E680" s="150" t="b">
        <v>0</v>
      </c>
      <c r="F680" s="150" t="b">
        <v>0</v>
      </c>
      <c r="G680" s="150" t="b">
        <v>0</v>
      </c>
      <c r="H680" s="150" t="b">
        <v>0</v>
      </c>
      <c r="I680" s="150" t="b">
        <v>0</v>
      </c>
      <c r="J680" s="150" t="b">
        <v>0</v>
      </c>
      <c r="K680" s="150" t="b">
        <v>0</v>
      </c>
      <c r="L680" s="8" t="b">
        <v>0</v>
      </c>
    </row>
    <row r="681">
      <c r="B681" s="97"/>
      <c r="C681" s="121" t="str">
        <f t="array" ref="C681">ifs(and(isblank($A681),isblank($B681)),"", not(iserror(vlookup($A681&amp;$B681,'5) Release_Track'!$F:$F&amp;'5) Release_Track'!$G:$G,1,0))),vlookup($A681&amp;$B681,{'5) Release_Track'!$F:$F&amp;'5) Release_Track'!$G:$G,'5) Release_Track'!$H:$H},2,0),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D681" s="121" t="str">
        <f t="array" ref="D681">ifs(and(isblank($A681),isblank($B681)),"", not(iserror(vlookup($A681&amp;$B681,'5) Release_Track'!$F:$F&amp;'5) Release_Track'!$G:$G,1,0))),vlookup($A681&amp;$B681,{'5) Release_Track'!$F:$F&amp;'5) Release_Track'!$G:$G,'5) Release_Track'!$I:$I},2,0),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E681" s="150" t="b">
        <v>0</v>
      </c>
      <c r="F681" s="150" t="b">
        <v>0</v>
      </c>
      <c r="G681" s="150" t="b">
        <v>0</v>
      </c>
      <c r="H681" s="150" t="b">
        <v>0</v>
      </c>
      <c r="I681" s="150" t="b">
        <v>0</v>
      </c>
      <c r="J681" s="150" t="b">
        <v>0</v>
      </c>
      <c r="K681" s="150" t="b">
        <v>0</v>
      </c>
      <c r="L681" s="8" t="b">
        <v>0</v>
      </c>
    </row>
    <row r="682">
      <c r="B682" s="97"/>
      <c r="C682" s="121" t="str">
        <f t="array" ref="C682">ifs(and(isblank($A682),isblank($B682)),"", not(iserror(vlookup($A682&amp;$B682,'5) Release_Track'!$F:$F&amp;'5) Release_Track'!$G:$G,1,0))),vlookup($A682&amp;$B682,{'5) Release_Track'!$F:$F&amp;'5) Release_Track'!$G:$G,'5) Release_Track'!$H:$H},2,0),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D682" s="121" t="str">
        <f t="array" ref="D682">ifs(and(isblank($A682),isblank($B682)),"", not(iserror(vlookup($A682&amp;$B682,'5) Release_Track'!$F:$F&amp;'5) Release_Track'!$G:$G,1,0))),vlookup($A682&amp;$B682,{'5) Release_Track'!$F:$F&amp;'5) Release_Track'!$G:$G,'5) Release_Track'!$I:$I},2,0),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E682" s="150" t="b">
        <v>0</v>
      </c>
      <c r="F682" s="150" t="b">
        <v>0</v>
      </c>
      <c r="G682" s="150" t="b">
        <v>0</v>
      </c>
      <c r="H682" s="150" t="b">
        <v>0</v>
      </c>
      <c r="I682" s="150" t="b">
        <v>0</v>
      </c>
      <c r="J682" s="150" t="b">
        <v>0</v>
      </c>
      <c r="K682" s="150" t="b">
        <v>0</v>
      </c>
      <c r="L682" s="8" t="b">
        <v>0</v>
      </c>
    </row>
    <row r="683">
      <c r="B683" s="97"/>
      <c r="C683" s="121" t="str">
        <f t="array" ref="C683">ifs(and(isblank($A683),isblank($B683)),"", not(iserror(vlookup($A683&amp;$B683,'5) Release_Track'!$F:$F&amp;'5) Release_Track'!$G:$G,1,0))),vlookup($A683&amp;$B683,{'5) Release_Track'!$F:$F&amp;'5) Release_Track'!$G:$G,'5) Release_Track'!$H:$H},2,0),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D683" s="121" t="str">
        <f t="array" ref="D683">ifs(and(isblank($A683),isblank($B683)),"", not(iserror(vlookup($A683&amp;$B683,'5) Release_Track'!$F:$F&amp;'5) Release_Track'!$G:$G,1,0))),vlookup($A683&amp;$B683,{'5) Release_Track'!$F:$F&amp;'5) Release_Track'!$G:$G,'5) Release_Track'!$I:$I},2,0),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E683" s="150" t="b">
        <v>0</v>
      </c>
      <c r="F683" s="150" t="b">
        <v>0</v>
      </c>
      <c r="G683" s="150" t="b">
        <v>0</v>
      </c>
      <c r="H683" s="150" t="b">
        <v>0</v>
      </c>
      <c r="I683" s="150" t="b">
        <v>0</v>
      </c>
      <c r="J683" s="150" t="b">
        <v>0</v>
      </c>
      <c r="K683" s="150" t="b">
        <v>0</v>
      </c>
      <c r="L683" s="8" t="b">
        <v>0</v>
      </c>
    </row>
    <row r="684">
      <c r="B684" s="97"/>
      <c r="C684" s="121" t="str">
        <f t="array" ref="C684">ifs(and(isblank($A684),isblank($B684)),"", not(iserror(vlookup($A684&amp;$B684,'5) Release_Track'!$F:$F&amp;'5) Release_Track'!$G:$G,1,0))),vlookup($A684&amp;$B684,{'5) Release_Track'!$F:$F&amp;'5) Release_Track'!$G:$G,'5) Release_Track'!$H:$H},2,0),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D684" s="121" t="str">
        <f t="array" ref="D684">ifs(and(isblank($A684),isblank($B684)),"", not(iserror(vlookup($A684&amp;$B684,'5) Release_Track'!$F:$F&amp;'5) Release_Track'!$G:$G,1,0))),vlookup($A684&amp;$B684,{'5) Release_Track'!$F:$F&amp;'5) Release_Track'!$G:$G,'5) Release_Track'!$I:$I},2,0),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E684" s="150" t="b">
        <v>0</v>
      </c>
      <c r="F684" s="150" t="b">
        <v>0</v>
      </c>
      <c r="G684" s="150" t="b">
        <v>0</v>
      </c>
      <c r="H684" s="150" t="b">
        <v>0</v>
      </c>
      <c r="I684" s="150" t="b">
        <v>0</v>
      </c>
      <c r="J684" s="150" t="b">
        <v>0</v>
      </c>
      <c r="K684" s="150" t="b">
        <v>0</v>
      </c>
      <c r="L684" s="8" t="b">
        <v>0</v>
      </c>
    </row>
    <row r="685">
      <c r="B685" s="97"/>
      <c r="C685" s="121" t="str">
        <f t="array" ref="C685">ifs(and(isblank($A685),isblank($B685)),"", not(iserror(vlookup($A685&amp;$B685,'5) Release_Track'!$F:$F&amp;'5) Release_Track'!$G:$G,1,0))),vlookup($A685&amp;$B685,{'5) Release_Track'!$F:$F&amp;'5) Release_Track'!$G:$G,'5) Release_Track'!$H:$H},2,0),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D685" s="121" t="str">
        <f t="array" ref="D685">ifs(and(isblank($A685),isblank($B685)),"", not(iserror(vlookup($A685&amp;$B685,'5) Release_Track'!$F:$F&amp;'5) Release_Track'!$G:$G,1,0))),vlookup($A685&amp;$B685,{'5) Release_Track'!$F:$F&amp;'5) Release_Track'!$G:$G,'5) Release_Track'!$I:$I},2,0),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E685" s="150" t="b">
        <v>0</v>
      </c>
      <c r="F685" s="150" t="b">
        <v>0</v>
      </c>
      <c r="G685" s="150" t="b">
        <v>0</v>
      </c>
      <c r="H685" s="150" t="b">
        <v>0</v>
      </c>
      <c r="I685" s="150" t="b">
        <v>0</v>
      </c>
      <c r="J685" s="150" t="b">
        <v>0</v>
      </c>
      <c r="K685" s="150" t="b">
        <v>0</v>
      </c>
      <c r="L685" s="8" t="b">
        <v>0</v>
      </c>
    </row>
    <row r="686">
      <c r="B686" s="97"/>
      <c r="C686" s="121" t="str">
        <f t="array" ref="C686">ifs(and(isblank($A686),isblank($B686)),"", not(iserror(vlookup($A686&amp;$B686,'5) Release_Track'!$F:$F&amp;'5) Release_Track'!$G:$G,1,0))),vlookup($A686&amp;$B686,{'5) Release_Track'!$F:$F&amp;'5) Release_Track'!$G:$G,'5) Release_Track'!$H:$H},2,0),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D686" s="121" t="str">
        <f t="array" ref="D686">ifs(and(isblank($A686),isblank($B686)),"", not(iserror(vlookup($A686&amp;$B686,'5) Release_Track'!$F:$F&amp;'5) Release_Track'!$G:$G,1,0))),vlookup($A686&amp;$B686,{'5) Release_Track'!$F:$F&amp;'5) Release_Track'!$G:$G,'5) Release_Track'!$I:$I},2,0),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E686" s="150" t="b">
        <v>0</v>
      </c>
      <c r="F686" s="150" t="b">
        <v>0</v>
      </c>
      <c r="G686" s="150" t="b">
        <v>0</v>
      </c>
      <c r="H686" s="150" t="b">
        <v>0</v>
      </c>
      <c r="I686" s="150" t="b">
        <v>0</v>
      </c>
      <c r="J686" s="150" t="b">
        <v>0</v>
      </c>
      <c r="K686" s="150" t="b">
        <v>0</v>
      </c>
      <c r="L686" s="8" t="b">
        <v>0</v>
      </c>
    </row>
    <row r="687">
      <c r="B687" s="97"/>
      <c r="C687" s="121" t="str">
        <f t="array" ref="C687">ifs(and(isblank($A687),isblank($B687)),"", not(iserror(vlookup($A687&amp;$B687,'5) Release_Track'!$F:$F&amp;'5) Release_Track'!$G:$G,1,0))),vlookup($A687&amp;$B687,{'5) Release_Track'!$F:$F&amp;'5) Release_Track'!$G:$G,'5) Release_Track'!$H:$H},2,0),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D687" s="121" t="str">
        <f t="array" ref="D687">ifs(and(isblank($A687),isblank($B687)),"", not(iserror(vlookup($A687&amp;$B687,'5) Release_Track'!$F:$F&amp;'5) Release_Track'!$G:$G,1,0))),vlookup($A687&amp;$B687,{'5) Release_Track'!$F:$F&amp;'5) Release_Track'!$G:$G,'5) Release_Track'!$I:$I},2,0),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E687" s="150" t="b">
        <v>0</v>
      </c>
      <c r="F687" s="150" t="b">
        <v>0</v>
      </c>
      <c r="G687" s="150" t="b">
        <v>0</v>
      </c>
      <c r="H687" s="150" t="b">
        <v>0</v>
      </c>
      <c r="I687" s="150" t="b">
        <v>0</v>
      </c>
      <c r="J687" s="150" t="b">
        <v>0</v>
      </c>
      <c r="K687" s="150" t="b">
        <v>0</v>
      </c>
      <c r="L687" s="8" t="b">
        <v>0</v>
      </c>
    </row>
    <row r="688">
      <c r="B688" s="97"/>
      <c r="C688" s="121" t="str">
        <f t="array" ref="C688">ifs(and(isblank($A688),isblank($B688)),"", not(iserror(vlookup($A688&amp;$B688,'5) Release_Track'!$F:$F&amp;'5) Release_Track'!$G:$G,1,0))),vlookup($A688&amp;$B688,{'5) Release_Track'!$F:$F&amp;'5) Release_Track'!$G:$G,'5) Release_Track'!$H:$H},2,0),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D688" s="121" t="str">
        <f t="array" ref="D688">ifs(and(isblank($A688),isblank($B688)),"", not(iserror(vlookup($A688&amp;$B688,'5) Release_Track'!$F:$F&amp;'5) Release_Track'!$G:$G,1,0))),vlookup($A688&amp;$B688,{'5) Release_Track'!$F:$F&amp;'5) Release_Track'!$G:$G,'5) Release_Track'!$I:$I},2,0),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E688" s="150" t="b">
        <v>0</v>
      </c>
      <c r="F688" s="150" t="b">
        <v>0</v>
      </c>
      <c r="G688" s="150" t="b">
        <v>0</v>
      </c>
      <c r="H688" s="150" t="b">
        <v>0</v>
      </c>
      <c r="I688" s="150" t="b">
        <v>0</v>
      </c>
      <c r="J688" s="150" t="b">
        <v>0</v>
      </c>
      <c r="K688" s="150" t="b">
        <v>0</v>
      </c>
      <c r="L688" s="8" t="b">
        <v>0</v>
      </c>
    </row>
    <row r="689">
      <c r="B689" s="97"/>
      <c r="C689" s="121" t="str">
        <f t="array" ref="C689">ifs(and(isblank($A689),isblank($B689)),"", not(iserror(vlookup($A689&amp;$B689,'5) Release_Track'!$F:$F&amp;'5) Release_Track'!$G:$G,1,0))),vlookup($A689&amp;$B689,{'5) Release_Track'!$F:$F&amp;'5) Release_Track'!$G:$G,'5) Release_Track'!$H:$H},2,0),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D689" s="121" t="str">
        <f t="array" ref="D689">ifs(and(isblank($A689),isblank($B689)),"", not(iserror(vlookup($A689&amp;$B689,'5) Release_Track'!$F:$F&amp;'5) Release_Track'!$G:$G,1,0))),vlookup($A689&amp;$B689,{'5) Release_Track'!$F:$F&amp;'5) Release_Track'!$G:$G,'5) Release_Track'!$I:$I},2,0),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E689" s="150" t="b">
        <v>0</v>
      </c>
      <c r="F689" s="150" t="b">
        <v>0</v>
      </c>
      <c r="G689" s="150" t="b">
        <v>0</v>
      </c>
      <c r="H689" s="150" t="b">
        <v>0</v>
      </c>
      <c r="I689" s="150" t="b">
        <v>0</v>
      </c>
      <c r="J689" s="150" t="b">
        <v>0</v>
      </c>
      <c r="K689" s="150" t="b">
        <v>0</v>
      </c>
      <c r="L689" s="8" t="b">
        <v>0</v>
      </c>
    </row>
    <row r="690">
      <c r="B690" s="97"/>
      <c r="C690" s="121" t="str">
        <f t="array" ref="C690">ifs(and(isblank($A690),isblank($B690)),"", not(iserror(vlookup($A690&amp;$B690,'5) Release_Track'!$F:$F&amp;'5) Release_Track'!$G:$G,1,0))),vlookup($A690&amp;$B690,{'5) Release_Track'!$F:$F&amp;'5) Release_Track'!$G:$G,'5) Release_Track'!$H:$H},2,0),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D690" s="121" t="str">
        <f t="array" ref="D690">ifs(and(isblank($A690),isblank($B690)),"", not(iserror(vlookup($A690&amp;$B690,'5) Release_Track'!$F:$F&amp;'5) Release_Track'!$G:$G,1,0))),vlookup($A690&amp;$B690,{'5) Release_Track'!$F:$F&amp;'5) Release_Track'!$G:$G,'5) Release_Track'!$I:$I},2,0),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E690" s="150" t="b">
        <v>0</v>
      </c>
      <c r="F690" s="150" t="b">
        <v>0</v>
      </c>
      <c r="G690" s="150" t="b">
        <v>0</v>
      </c>
      <c r="H690" s="150" t="b">
        <v>0</v>
      </c>
      <c r="I690" s="150" t="b">
        <v>0</v>
      </c>
      <c r="J690" s="150" t="b">
        <v>0</v>
      </c>
      <c r="K690" s="150" t="b">
        <v>0</v>
      </c>
      <c r="L690" s="8" t="b">
        <v>0</v>
      </c>
    </row>
    <row r="691">
      <c r="B691" s="97"/>
      <c r="C691" s="121" t="str">
        <f t="array" ref="C691">ifs(and(isblank($A691),isblank($B691)),"", not(iserror(vlookup($A691&amp;$B691,'5) Release_Track'!$F:$F&amp;'5) Release_Track'!$G:$G,1,0))),vlookup($A691&amp;$B691,{'5) Release_Track'!$F:$F&amp;'5) Release_Track'!$G:$G,'5) Release_Track'!$H:$H},2,0),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D691" s="121" t="str">
        <f t="array" ref="D691">ifs(and(isblank($A691),isblank($B691)),"", not(iserror(vlookup($A691&amp;$B691,'5) Release_Track'!$F:$F&amp;'5) Release_Track'!$G:$G,1,0))),vlookup($A691&amp;$B691,{'5) Release_Track'!$F:$F&amp;'5) Release_Track'!$G:$G,'5) Release_Track'!$I:$I},2,0),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E691" s="150" t="b">
        <v>0</v>
      </c>
      <c r="F691" s="150" t="b">
        <v>0</v>
      </c>
      <c r="G691" s="150" t="b">
        <v>0</v>
      </c>
      <c r="H691" s="150" t="b">
        <v>0</v>
      </c>
      <c r="I691" s="150" t="b">
        <v>0</v>
      </c>
      <c r="J691" s="150" t="b">
        <v>0</v>
      </c>
      <c r="K691" s="150" t="b">
        <v>0</v>
      </c>
      <c r="L691" s="8" t="b">
        <v>0</v>
      </c>
    </row>
    <row r="692">
      <c r="B692" s="97"/>
      <c r="C692" s="121" t="str">
        <f t="array" ref="C692">ifs(and(isblank($A692),isblank($B692)),"", not(iserror(vlookup($A692&amp;$B692,'5) Release_Track'!$F:$F&amp;'5) Release_Track'!$G:$G,1,0))),vlookup($A692&amp;$B692,{'5) Release_Track'!$F:$F&amp;'5) Release_Track'!$G:$G,'5) Release_Track'!$H:$H},2,0),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D692" s="121" t="str">
        <f t="array" ref="D692">ifs(and(isblank($A692),isblank($B692)),"", not(iserror(vlookup($A692&amp;$B692,'5) Release_Track'!$F:$F&amp;'5) Release_Track'!$G:$G,1,0))),vlookup($A692&amp;$B692,{'5) Release_Track'!$F:$F&amp;'5) Release_Track'!$G:$G,'5) Release_Track'!$I:$I},2,0),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E692" s="150" t="b">
        <v>0</v>
      </c>
      <c r="F692" s="150" t="b">
        <v>0</v>
      </c>
      <c r="G692" s="150" t="b">
        <v>0</v>
      </c>
      <c r="H692" s="150" t="b">
        <v>0</v>
      </c>
      <c r="I692" s="150" t="b">
        <v>0</v>
      </c>
      <c r="J692" s="150" t="b">
        <v>0</v>
      </c>
      <c r="K692" s="150" t="b">
        <v>0</v>
      </c>
      <c r="L692" s="8" t="b">
        <v>0</v>
      </c>
    </row>
    <row r="693">
      <c r="B693" s="97"/>
      <c r="C693" s="121" t="str">
        <f t="array" ref="C693">ifs(and(isblank($A693),isblank($B693)),"", not(iserror(vlookup($A693&amp;$B693,'5) Release_Track'!$F:$F&amp;'5) Release_Track'!$G:$G,1,0))),vlookup($A693&amp;$B693,{'5) Release_Track'!$F:$F&amp;'5) Release_Track'!$G:$G,'5) Release_Track'!$H:$H},2,0),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D693" s="121" t="str">
        <f t="array" ref="D693">ifs(and(isblank($A693),isblank($B693)),"", not(iserror(vlookup($A693&amp;$B693,'5) Release_Track'!$F:$F&amp;'5) Release_Track'!$G:$G,1,0))),vlookup($A693&amp;$B693,{'5) Release_Track'!$F:$F&amp;'5) Release_Track'!$G:$G,'5) Release_Track'!$I:$I},2,0),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E693" s="150" t="b">
        <v>0</v>
      </c>
      <c r="F693" s="150" t="b">
        <v>0</v>
      </c>
      <c r="G693" s="150" t="b">
        <v>0</v>
      </c>
      <c r="H693" s="150" t="b">
        <v>0</v>
      </c>
      <c r="I693" s="150" t="b">
        <v>0</v>
      </c>
      <c r="J693" s="150" t="b">
        <v>0</v>
      </c>
      <c r="K693" s="150" t="b">
        <v>0</v>
      </c>
      <c r="L693" s="8" t="b">
        <v>0</v>
      </c>
    </row>
    <row r="694">
      <c r="B694" s="97"/>
      <c r="C694" s="121" t="str">
        <f t="array" ref="C694">ifs(and(isblank($A694),isblank($B694)),"", not(iserror(vlookup($A694&amp;$B694,'5) Release_Track'!$F:$F&amp;'5) Release_Track'!$G:$G,1,0))),vlookup($A694&amp;$B694,{'5) Release_Track'!$F:$F&amp;'5) Release_Track'!$G:$G,'5) Release_Track'!$H:$H},2,0),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D694" s="121" t="str">
        <f t="array" ref="D694">ifs(and(isblank($A694),isblank($B694)),"", not(iserror(vlookup($A694&amp;$B694,'5) Release_Track'!$F:$F&amp;'5) Release_Track'!$G:$G,1,0))),vlookup($A694&amp;$B694,{'5) Release_Track'!$F:$F&amp;'5) Release_Track'!$G:$G,'5) Release_Track'!$I:$I},2,0),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E694" s="150" t="b">
        <v>0</v>
      </c>
      <c r="F694" s="150" t="b">
        <v>0</v>
      </c>
      <c r="G694" s="150" t="b">
        <v>0</v>
      </c>
      <c r="H694" s="150" t="b">
        <v>0</v>
      </c>
      <c r="I694" s="150" t="b">
        <v>0</v>
      </c>
      <c r="J694" s="150" t="b">
        <v>0</v>
      </c>
      <c r="K694" s="150" t="b">
        <v>0</v>
      </c>
      <c r="L694" s="8" t="b">
        <v>0</v>
      </c>
    </row>
    <row r="695">
      <c r="B695" s="97"/>
      <c r="C695" s="121" t="str">
        <f t="array" ref="C695">ifs(and(isblank($A695),isblank($B695)),"", not(iserror(vlookup($A695&amp;$B695,'5) Release_Track'!$F:$F&amp;'5) Release_Track'!$G:$G,1,0))),vlookup($A695&amp;$B695,{'5) Release_Track'!$F:$F&amp;'5) Release_Track'!$G:$G,'5) Release_Track'!$H:$H},2,0),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D695" s="121" t="str">
        <f t="array" ref="D695">ifs(and(isblank($A695),isblank($B695)),"", not(iserror(vlookup($A695&amp;$B695,'5) Release_Track'!$F:$F&amp;'5) Release_Track'!$G:$G,1,0))),vlookup($A695&amp;$B695,{'5) Release_Track'!$F:$F&amp;'5) Release_Track'!$G:$G,'5) Release_Track'!$I:$I},2,0),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E695" s="150" t="b">
        <v>0</v>
      </c>
      <c r="F695" s="150" t="b">
        <v>0</v>
      </c>
      <c r="G695" s="150" t="b">
        <v>0</v>
      </c>
      <c r="H695" s="150" t="b">
        <v>0</v>
      </c>
      <c r="I695" s="150" t="b">
        <v>0</v>
      </c>
      <c r="J695" s="150" t="b">
        <v>0</v>
      </c>
      <c r="K695" s="150" t="b">
        <v>0</v>
      </c>
      <c r="L695" s="8" t="b">
        <v>0</v>
      </c>
    </row>
    <row r="696">
      <c r="B696" s="97"/>
      <c r="C696" s="121" t="str">
        <f t="array" ref="C696">ifs(and(isblank($A696),isblank($B696)),"", not(iserror(vlookup($A696&amp;$B696,'5) Release_Track'!$F:$F&amp;'5) Release_Track'!$G:$G,1,0))),vlookup($A696&amp;$B696,{'5) Release_Track'!$F:$F&amp;'5) Release_Track'!$G:$G,'5) Release_Track'!$H:$H},2,0),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D696" s="121" t="str">
        <f t="array" ref="D696">ifs(and(isblank($A696),isblank($B696)),"", not(iserror(vlookup($A696&amp;$B696,'5) Release_Track'!$F:$F&amp;'5) Release_Track'!$G:$G,1,0))),vlookup($A696&amp;$B696,{'5) Release_Track'!$F:$F&amp;'5) Release_Track'!$G:$G,'5) Release_Track'!$I:$I},2,0),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E696" s="150" t="b">
        <v>0</v>
      </c>
      <c r="F696" s="150" t="b">
        <v>0</v>
      </c>
      <c r="G696" s="150" t="b">
        <v>0</v>
      </c>
      <c r="H696" s="150" t="b">
        <v>0</v>
      </c>
      <c r="I696" s="150" t="b">
        <v>0</v>
      </c>
      <c r="J696" s="150" t="b">
        <v>0</v>
      </c>
      <c r="K696" s="150" t="b">
        <v>0</v>
      </c>
      <c r="L696" s="8" t="b">
        <v>0</v>
      </c>
    </row>
    <row r="697">
      <c r="B697" s="97"/>
      <c r="C697" s="121" t="str">
        <f t="array" ref="C697">ifs(and(isblank($A697),isblank($B697)),"", not(iserror(vlookup($A697&amp;$B697,'5) Release_Track'!$F:$F&amp;'5) Release_Track'!$G:$G,1,0))),vlookup($A697&amp;$B697,{'5) Release_Track'!$F:$F&amp;'5) Release_Track'!$G:$G,'5) Release_Track'!$H:$H},2,0),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D697" s="121" t="str">
        <f t="array" ref="D697">ifs(and(isblank($A697),isblank($B697)),"", not(iserror(vlookup($A697&amp;$B697,'5) Release_Track'!$F:$F&amp;'5) Release_Track'!$G:$G,1,0))),vlookup($A697&amp;$B697,{'5) Release_Track'!$F:$F&amp;'5) Release_Track'!$G:$G,'5) Release_Track'!$I:$I},2,0),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E697" s="150" t="b">
        <v>0</v>
      </c>
      <c r="F697" s="150" t="b">
        <v>0</v>
      </c>
      <c r="G697" s="150" t="b">
        <v>0</v>
      </c>
      <c r="H697" s="150" t="b">
        <v>0</v>
      </c>
      <c r="I697" s="150" t="b">
        <v>0</v>
      </c>
      <c r="J697" s="150" t="b">
        <v>0</v>
      </c>
      <c r="K697" s="150" t="b">
        <v>0</v>
      </c>
      <c r="L697" s="8" t="b">
        <v>0</v>
      </c>
    </row>
    <row r="698">
      <c r="B698" s="97"/>
      <c r="C698" s="121" t="str">
        <f t="array" ref="C698">ifs(and(isblank($A698),isblank($B698)),"", not(iserror(vlookup($A698&amp;$B698,'5) Release_Track'!$F:$F&amp;'5) Release_Track'!$G:$G,1,0))),vlookup($A698&amp;$B698,{'5) Release_Track'!$F:$F&amp;'5) Release_Track'!$G:$G,'5) Release_Track'!$H:$H},2,0),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D698" s="121" t="str">
        <f t="array" ref="D698">ifs(and(isblank($A698),isblank($B698)),"", not(iserror(vlookup($A698&amp;$B698,'5) Release_Track'!$F:$F&amp;'5) Release_Track'!$G:$G,1,0))),vlookup($A698&amp;$B698,{'5) Release_Track'!$F:$F&amp;'5) Release_Track'!$G:$G,'5) Release_Track'!$I:$I},2,0),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E698" s="150" t="b">
        <v>0</v>
      </c>
      <c r="F698" s="150" t="b">
        <v>0</v>
      </c>
      <c r="G698" s="150" t="b">
        <v>0</v>
      </c>
      <c r="H698" s="150" t="b">
        <v>0</v>
      </c>
      <c r="I698" s="150" t="b">
        <v>0</v>
      </c>
      <c r="J698" s="150" t="b">
        <v>0</v>
      </c>
      <c r="K698" s="150" t="b">
        <v>0</v>
      </c>
      <c r="L698" s="8" t="b">
        <v>0</v>
      </c>
    </row>
    <row r="699">
      <c r="B699" s="97"/>
      <c r="C699" s="121" t="str">
        <f t="array" ref="C699">ifs(and(isblank($A699),isblank($B699)),"", not(iserror(vlookup($A699&amp;$B699,'5) Release_Track'!$F:$F&amp;'5) Release_Track'!$G:$G,1,0))),vlookup($A699&amp;$B699,{'5) Release_Track'!$F:$F&amp;'5) Release_Track'!$G:$G,'5) Release_Track'!$H:$H},2,0),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D699" s="121" t="str">
        <f t="array" ref="D699">ifs(and(isblank($A699),isblank($B699)),"", not(iserror(vlookup($A699&amp;$B699,'5) Release_Track'!$F:$F&amp;'5) Release_Track'!$G:$G,1,0))),vlookup($A699&amp;$B699,{'5) Release_Track'!$F:$F&amp;'5) Release_Track'!$G:$G,'5) Release_Track'!$I:$I},2,0),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E699" s="150" t="b">
        <v>0</v>
      </c>
      <c r="F699" s="150" t="b">
        <v>0</v>
      </c>
      <c r="G699" s="150" t="b">
        <v>0</v>
      </c>
      <c r="H699" s="150" t="b">
        <v>0</v>
      </c>
      <c r="I699" s="150" t="b">
        <v>0</v>
      </c>
      <c r="J699" s="150" t="b">
        <v>0</v>
      </c>
      <c r="K699" s="150" t="b">
        <v>0</v>
      </c>
      <c r="L699" s="8" t="b">
        <v>0</v>
      </c>
    </row>
    <row r="700">
      <c r="B700" s="97"/>
      <c r="C700" s="121" t="str">
        <f t="array" ref="C700">ifs(and(isblank($A700),isblank($B700)),"", not(iserror(vlookup($A700&amp;$B700,'5) Release_Track'!$F:$F&amp;'5) Release_Track'!$G:$G,1,0))),vlookup($A700&amp;$B700,{'5) Release_Track'!$F:$F&amp;'5) Release_Track'!$G:$G,'5) Release_Track'!$H:$H},2,0),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D700" s="121" t="str">
        <f t="array" ref="D700">ifs(and(isblank($A700),isblank($B700)),"", not(iserror(vlookup($A700&amp;$B700,'5) Release_Track'!$F:$F&amp;'5) Release_Track'!$G:$G,1,0))),vlookup($A700&amp;$B700,{'5) Release_Track'!$F:$F&amp;'5) Release_Track'!$G:$G,'5) Release_Track'!$I:$I},2,0),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E700" s="150" t="b">
        <v>0</v>
      </c>
      <c r="F700" s="150" t="b">
        <v>0</v>
      </c>
      <c r="G700" s="150" t="b">
        <v>0</v>
      </c>
      <c r="H700" s="150" t="b">
        <v>0</v>
      </c>
      <c r="I700" s="150" t="b">
        <v>0</v>
      </c>
      <c r="J700" s="150" t="b">
        <v>0</v>
      </c>
      <c r="K700" s="150" t="b">
        <v>0</v>
      </c>
      <c r="L700" s="8" t="b">
        <v>0</v>
      </c>
    </row>
    <row r="701">
      <c r="B701" s="97"/>
      <c r="C701" s="121" t="str">
        <f t="array" ref="C701">ifs(and(isblank($A701),isblank($B701)),"", not(iserror(vlookup($A701&amp;$B701,'5) Release_Track'!$F:$F&amp;'5) Release_Track'!$G:$G,1,0))),vlookup($A701&amp;$B701,{'5) Release_Track'!$F:$F&amp;'5) Release_Track'!$G:$G,'5) Release_Track'!$H:$H},2,0),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D701" s="121" t="str">
        <f t="array" ref="D701">ifs(and(isblank($A701),isblank($B701)),"", not(iserror(vlookup($A701&amp;$B701,'5) Release_Track'!$F:$F&amp;'5) Release_Track'!$G:$G,1,0))),vlookup($A701&amp;$B701,{'5) Release_Track'!$F:$F&amp;'5) Release_Track'!$G:$G,'5) Release_Track'!$I:$I},2,0),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E701" s="150" t="b">
        <v>0</v>
      </c>
      <c r="F701" s="150" t="b">
        <v>0</v>
      </c>
      <c r="G701" s="150" t="b">
        <v>0</v>
      </c>
      <c r="H701" s="150" t="b">
        <v>0</v>
      </c>
      <c r="I701" s="150" t="b">
        <v>0</v>
      </c>
      <c r="J701" s="150" t="b">
        <v>0</v>
      </c>
      <c r="K701" s="150" t="b">
        <v>0</v>
      </c>
      <c r="L701" s="8" t="b">
        <v>0</v>
      </c>
    </row>
    <row r="702">
      <c r="B702" s="97"/>
      <c r="C702" s="121" t="str">
        <f t="array" ref="C702">ifs(and(isblank($A702),isblank($B702)),"", not(iserror(vlookup($A702&amp;$B702,'5) Release_Track'!$F:$F&amp;'5) Release_Track'!$G:$G,1,0))),vlookup($A702&amp;$B702,{'5) Release_Track'!$F:$F&amp;'5) Release_Track'!$G:$G,'5) Release_Track'!$H:$H},2,0),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D702" s="121" t="str">
        <f t="array" ref="D702">ifs(and(isblank($A702),isblank($B702)),"", not(iserror(vlookup($A702&amp;$B702,'5) Release_Track'!$F:$F&amp;'5) Release_Track'!$G:$G,1,0))),vlookup($A702&amp;$B702,{'5) Release_Track'!$F:$F&amp;'5) Release_Track'!$G:$G,'5) Release_Track'!$I:$I},2,0),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E702" s="150" t="b">
        <v>0</v>
      </c>
      <c r="F702" s="150" t="b">
        <v>0</v>
      </c>
      <c r="G702" s="150" t="b">
        <v>0</v>
      </c>
      <c r="H702" s="150" t="b">
        <v>0</v>
      </c>
      <c r="I702" s="150" t="b">
        <v>0</v>
      </c>
      <c r="J702" s="150" t="b">
        <v>0</v>
      </c>
      <c r="K702" s="150" t="b">
        <v>0</v>
      </c>
      <c r="L702" s="8" t="b">
        <v>0</v>
      </c>
    </row>
    <row r="703">
      <c r="B703" s="97"/>
      <c r="C703" s="121" t="str">
        <f t="array" ref="C703">ifs(and(isblank($A703),isblank($B703)),"", not(iserror(vlookup($A703&amp;$B703,'5) Release_Track'!$F:$F&amp;'5) Release_Track'!$G:$G,1,0))),vlookup($A703&amp;$B703,{'5) Release_Track'!$F:$F&amp;'5) Release_Track'!$G:$G,'5) Release_Track'!$H:$H},2,0),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D703" s="121" t="str">
        <f t="array" ref="D703">ifs(and(isblank($A703),isblank($B703)),"", not(iserror(vlookup($A703&amp;$B703,'5) Release_Track'!$F:$F&amp;'5) Release_Track'!$G:$G,1,0))),vlookup($A703&amp;$B703,{'5) Release_Track'!$F:$F&amp;'5) Release_Track'!$G:$G,'5) Release_Track'!$I:$I},2,0),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E703" s="150" t="b">
        <v>0</v>
      </c>
      <c r="F703" s="150" t="b">
        <v>0</v>
      </c>
      <c r="G703" s="150" t="b">
        <v>0</v>
      </c>
      <c r="H703" s="150" t="b">
        <v>0</v>
      </c>
      <c r="I703" s="150" t="b">
        <v>0</v>
      </c>
      <c r="J703" s="150" t="b">
        <v>0</v>
      </c>
      <c r="K703" s="150" t="b">
        <v>0</v>
      </c>
      <c r="L703" s="8" t="b">
        <v>0</v>
      </c>
    </row>
    <row r="704">
      <c r="B704" s="97"/>
      <c r="C704" s="121" t="str">
        <f t="array" ref="C704">ifs(and(isblank($A704),isblank($B704)),"", not(iserror(vlookup($A704&amp;$B704,'5) Release_Track'!$F:$F&amp;'5) Release_Track'!$G:$G,1,0))),vlookup($A704&amp;$B704,{'5) Release_Track'!$F:$F&amp;'5) Release_Track'!$G:$G,'5) Release_Track'!$H:$H},2,0),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D704" s="121" t="str">
        <f t="array" ref="D704">ifs(and(isblank($A704),isblank($B704)),"", not(iserror(vlookup($A704&amp;$B704,'5) Release_Track'!$F:$F&amp;'5) Release_Track'!$G:$G,1,0))),vlookup($A704&amp;$B704,{'5) Release_Track'!$F:$F&amp;'5) Release_Track'!$G:$G,'5) Release_Track'!$I:$I},2,0),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E704" s="150" t="b">
        <v>0</v>
      </c>
      <c r="F704" s="150" t="b">
        <v>0</v>
      </c>
      <c r="G704" s="150" t="b">
        <v>0</v>
      </c>
      <c r="H704" s="150" t="b">
        <v>0</v>
      </c>
      <c r="I704" s="150" t="b">
        <v>0</v>
      </c>
      <c r="J704" s="150" t="b">
        <v>0</v>
      </c>
      <c r="K704" s="150" t="b">
        <v>0</v>
      </c>
      <c r="L704" s="8" t="b">
        <v>0</v>
      </c>
    </row>
    <row r="705">
      <c r="B705" s="97"/>
      <c r="C705" s="121" t="str">
        <f t="array" ref="C705">ifs(and(isblank($A705),isblank($B705)),"", not(iserror(vlookup($A705&amp;$B705,'5) Release_Track'!$F:$F&amp;'5) Release_Track'!$G:$G,1,0))),vlookup($A705&amp;$B705,{'5) Release_Track'!$F:$F&amp;'5) Release_Track'!$G:$G,'5) Release_Track'!$H:$H},2,0),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D705" s="121" t="str">
        <f t="array" ref="D705">ifs(and(isblank($A705),isblank($B705)),"", not(iserror(vlookup($A705&amp;$B705,'5) Release_Track'!$F:$F&amp;'5) Release_Track'!$G:$G,1,0))),vlookup($A705&amp;$B705,{'5) Release_Track'!$F:$F&amp;'5) Release_Track'!$G:$G,'5) Release_Track'!$I:$I},2,0),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E705" s="150" t="b">
        <v>0</v>
      </c>
      <c r="F705" s="150" t="b">
        <v>0</v>
      </c>
      <c r="G705" s="150" t="b">
        <v>0</v>
      </c>
      <c r="H705" s="150" t="b">
        <v>0</v>
      </c>
      <c r="I705" s="150" t="b">
        <v>0</v>
      </c>
      <c r="J705" s="150" t="b">
        <v>0</v>
      </c>
      <c r="K705" s="150" t="b">
        <v>0</v>
      </c>
      <c r="L705" s="8" t="b">
        <v>0</v>
      </c>
    </row>
    <row r="706">
      <c r="B706" s="97"/>
      <c r="C706" s="121" t="str">
        <f t="array" ref="C706">ifs(and(isblank($A706),isblank($B706)),"", not(iserror(vlookup($A706&amp;$B706,'5) Release_Track'!$F:$F&amp;'5) Release_Track'!$G:$G,1,0))),vlookup($A706&amp;$B706,{'5) Release_Track'!$F:$F&amp;'5) Release_Track'!$G:$G,'5) Release_Track'!$H:$H},2,0),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D706" s="121" t="str">
        <f t="array" ref="D706">ifs(and(isblank($A706),isblank($B706)),"", not(iserror(vlookup($A706&amp;$B706,'5) Release_Track'!$F:$F&amp;'5) Release_Track'!$G:$G,1,0))),vlookup($A706&amp;$B706,{'5) Release_Track'!$F:$F&amp;'5) Release_Track'!$G:$G,'5) Release_Track'!$I:$I},2,0),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E706" s="150" t="b">
        <v>0</v>
      </c>
      <c r="F706" s="150" t="b">
        <v>0</v>
      </c>
      <c r="G706" s="150" t="b">
        <v>0</v>
      </c>
      <c r="H706" s="150" t="b">
        <v>0</v>
      </c>
      <c r="I706" s="150" t="b">
        <v>0</v>
      </c>
      <c r="J706" s="150" t="b">
        <v>0</v>
      </c>
      <c r="K706" s="150" t="b">
        <v>0</v>
      </c>
      <c r="L706" s="8" t="b">
        <v>0</v>
      </c>
    </row>
    <row r="707">
      <c r="B707" s="97"/>
      <c r="C707" s="121" t="str">
        <f t="array" ref="C707">ifs(and(isblank($A707),isblank($B707)),"", not(iserror(vlookup($A707&amp;$B707,'5) Release_Track'!$F:$F&amp;'5) Release_Track'!$G:$G,1,0))),vlookup($A707&amp;$B707,{'5) Release_Track'!$F:$F&amp;'5) Release_Track'!$G:$G,'5) Release_Track'!$H:$H},2,0),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D707" s="121" t="str">
        <f t="array" ref="D707">ifs(and(isblank($A707),isblank($B707)),"", not(iserror(vlookup($A707&amp;$B707,'5) Release_Track'!$F:$F&amp;'5) Release_Track'!$G:$G,1,0))),vlookup($A707&amp;$B707,{'5) Release_Track'!$F:$F&amp;'5) Release_Track'!$G:$G,'5) Release_Track'!$I:$I},2,0),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E707" s="150" t="b">
        <v>0</v>
      </c>
      <c r="F707" s="150" t="b">
        <v>0</v>
      </c>
      <c r="G707" s="150" t="b">
        <v>0</v>
      </c>
      <c r="H707" s="150" t="b">
        <v>0</v>
      </c>
      <c r="I707" s="150" t="b">
        <v>0</v>
      </c>
      <c r="J707" s="150" t="b">
        <v>0</v>
      </c>
      <c r="K707" s="150" t="b">
        <v>0</v>
      </c>
      <c r="L707" s="8" t="b">
        <v>0</v>
      </c>
    </row>
    <row r="708">
      <c r="B708" s="97"/>
      <c r="C708" s="121" t="str">
        <f t="array" ref="C708">ifs(and(isblank($A708),isblank($B708)),"", not(iserror(vlookup($A708&amp;$B708,'5) Release_Track'!$F:$F&amp;'5) Release_Track'!$G:$G,1,0))),vlookup($A708&amp;$B708,{'5) Release_Track'!$F:$F&amp;'5) Release_Track'!$G:$G,'5) Release_Track'!$H:$H},2,0),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D708" s="121" t="str">
        <f t="array" ref="D708">ifs(and(isblank($A708),isblank($B708)),"", not(iserror(vlookup($A708&amp;$B708,'5) Release_Track'!$F:$F&amp;'5) Release_Track'!$G:$G,1,0))),vlookup($A708&amp;$B708,{'5) Release_Track'!$F:$F&amp;'5) Release_Track'!$G:$G,'5) Release_Track'!$I:$I},2,0),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E708" s="150" t="b">
        <v>0</v>
      </c>
      <c r="F708" s="150" t="b">
        <v>0</v>
      </c>
      <c r="G708" s="150" t="b">
        <v>0</v>
      </c>
      <c r="H708" s="150" t="b">
        <v>0</v>
      </c>
      <c r="I708" s="150" t="b">
        <v>0</v>
      </c>
      <c r="J708" s="150" t="b">
        <v>0</v>
      </c>
      <c r="K708" s="150" t="b">
        <v>0</v>
      </c>
      <c r="L708" s="8" t="b">
        <v>0</v>
      </c>
    </row>
    <row r="709">
      <c r="B709" s="97"/>
      <c r="C709" s="121" t="str">
        <f t="array" ref="C709">ifs(and(isblank($A709),isblank($B709)),"", not(iserror(vlookup($A709&amp;$B709,'5) Release_Track'!$F:$F&amp;'5) Release_Track'!$G:$G,1,0))),vlookup($A709&amp;$B709,{'5) Release_Track'!$F:$F&amp;'5) Release_Track'!$G:$G,'5) Release_Track'!$H:$H},2,0),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D709" s="121" t="str">
        <f t="array" ref="D709">ifs(and(isblank($A709),isblank($B709)),"", not(iserror(vlookup($A709&amp;$B709,'5) Release_Track'!$F:$F&amp;'5) Release_Track'!$G:$G,1,0))),vlookup($A709&amp;$B709,{'5) Release_Track'!$F:$F&amp;'5) Release_Track'!$G:$G,'5) Release_Track'!$I:$I},2,0),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E709" s="150" t="b">
        <v>0</v>
      </c>
      <c r="F709" s="150" t="b">
        <v>0</v>
      </c>
      <c r="G709" s="150" t="b">
        <v>0</v>
      </c>
      <c r="H709" s="150" t="b">
        <v>0</v>
      </c>
      <c r="I709" s="150" t="b">
        <v>0</v>
      </c>
      <c r="J709" s="150" t="b">
        <v>0</v>
      </c>
      <c r="K709" s="150" t="b">
        <v>0</v>
      </c>
      <c r="L709" s="8" t="b">
        <v>0</v>
      </c>
    </row>
    <row r="710">
      <c r="B710" s="97"/>
      <c r="C710" s="121" t="str">
        <f t="array" ref="C710">ifs(and(isblank($A710),isblank($B710)),"", not(iserror(vlookup($A710&amp;$B710,'5) Release_Track'!$F:$F&amp;'5) Release_Track'!$G:$G,1,0))),vlookup($A710&amp;$B710,{'5) Release_Track'!$F:$F&amp;'5) Release_Track'!$G:$G,'5) Release_Track'!$H:$H},2,0),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D710" s="121" t="str">
        <f t="array" ref="D710">ifs(and(isblank($A710),isblank($B710)),"", not(iserror(vlookup($A710&amp;$B710,'5) Release_Track'!$F:$F&amp;'5) Release_Track'!$G:$G,1,0))),vlookup($A710&amp;$B710,{'5) Release_Track'!$F:$F&amp;'5) Release_Track'!$G:$G,'5) Release_Track'!$I:$I},2,0),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E710" s="150" t="b">
        <v>0</v>
      </c>
      <c r="F710" s="150" t="b">
        <v>0</v>
      </c>
      <c r="G710" s="150" t="b">
        <v>0</v>
      </c>
      <c r="H710" s="150" t="b">
        <v>0</v>
      </c>
      <c r="I710" s="150" t="b">
        <v>0</v>
      </c>
      <c r="J710" s="150" t="b">
        <v>0</v>
      </c>
      <c r="K710" s="150" t="b">
        <v>0</v>
      </c>
      <c r="L710" s="8" t="b">
        <v>0</v>
      </c>
    </row>
    <row r="711">
      <c r="B711" s="97"/>
      <c r="C711" s="121" t="str">
        <f t="array" ref="C711">ifs(and(isblank($A711),isblank($B711)),"", not(iserror(vlookup($A711&amp;$B711,'5) Release_Track'!$F:$F&amp;'5) Release_Track'!$G:$G,1,0))),vlookup($A711&amp;$B711,{'5) Release_Track'!$F:$F&amp;'5) Release_Track'!$G:$G,'5) Release_Track'!$H:$H},2,0),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D711" s="121" t="str">
        <f t="array" ref="D711">ifs(and(isblank($A711),isblank($B711)),"", not(iserror(vlookup($A711&amp;$B711,'5) Release_Track'!$F:$F&amp;'5) Release_Track'!$G:$G,1,0))),vlookup($A711&amp;$B711,{'5) Release_Track'!$F:$F&amp;'5) Release_Track'!$G:$G,'5) Release_Track'!$I:$I},2,0),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E711" s="150" t="b">
        <v>0</v>
      </c>
      <c r="F711" s="150" t="b">
        <v>0</v>
      </c>
      <c r="G711" s="150" t="b">
        <v>0</v>
      </c>
      <c r="H711" s="150" t="b">
        <v>0</v>
      </c>
      <c r="I711" s="150" t="b">
        <v>0</v>
      </c>
      <c r="J711" s="150" t="b">
        <v>0</v>
      </c>
      <c r="K711" s="150" t="b">
        <v>0</v>
      </c>
      <c r="L711" s="8" t="b">
        <v>0</v>
      </c>
    </row>
    <row r="712">
      <c r="B712" s="97"/>
      <c r="C712" s="121" t="str">
        <f t="array" ref="C712">ifs(and(isblank($A712),isblank($B712)),"", not(iserror(vlookup($A712&amp;$B712,'5) Release_Track'!$F:$F&amp;'5) Release_Track'!$G:$G,1,0))),vlookup($A712&amp;$B712,{'5) Release_Track'!$F:$F&amp;'5) Release_Track'!$G:$G,'5) Release_Track'!$H:$H},2,0),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D712" s="121" t="str">
        <f t="array" ref="D712">ifs(and(isblank($A712),isblank($B712)),"", not(iserror(vlookup($A712&amp;$B712,'5) Release_Track'!$F:$F&amp;'5) Release_Track'!$G:$G,1,0))),vlookup($A712&amp;$B712,{'5) Release_Track'!$F:$F&amp;'5) Release_Track'!$G:$G,'5) Release_Track'!$I:$I},2,0),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E712" s="150" t="b">
        <v>0</v>
      </c>
      <c r="F712" s="150" t="b">
        <v>0</v>
      </c>
      <c r="G712" s="150" t="b">
        <v>0</v>
      </c>
      <c r="H712" s="150" t="b">
        <v>0</v>
      </c>
      <c r="I712" s="150" t="b">
        <v>0</v>
      </c>
      <c r="J712" s="150" t="b">
        <v>0</v>
      </c>
      <c r="K712" s="150" t="b">
        <v>0</v>
      </c>
      <c r="L712" s="8" t="b">
        <v>0</v>
      </c>
    </row>
    <row r="713">
      <c r="B713" s="97"/>
      <c r="C713" s="121" t="str">
        <f t="array" ref="C713">ifs(and(isblank($A713),isblank($B713)),"", not(iserror(vlookup($A713&amp;$B713,'5) Release_Track'!$F:$F&amp;'5) Release_Track'!$G:$G,1,0))),vlookup($A713&amp;$B713,{'5) Release_Track'!$F:$F&amp;'5) Release_Track'!$G:$G,'5) Release_Track'!$H:$H},2,0),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D713" s="121" t="str">
        <f t="array" ref="D713">ifs(and(isblank($A713),isblank($B713)),"", not(iserror(vlookup($A713&amp;$B713,'5) Release_Track'!$F:$F&amp;'5) Release_Track'!$G:$G,1,0))),vlookup($A713&amp;$B713,{'5) Release_Track'!$F:$F&amp;'5) Release_Track'!$G:$G,'5) Release_Track'!$I:$I},2,0),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E713" s="150" t="b">
        <v>0</v>
      </c>
      <c r="F713" s="150" t="b">
        <v>0</v>
      </c>
      <c r="G713" s="150" t="b">
        <v>0</v>
      </c>
      <c r="H713" s="150" t="b">
        <v>0</v>
      </c>
      <c r="I713" s="150" t="b">
        <v>0</v>
      </c>
      <c r="J713" s="150" t="b">
        <v>0</v>
      </c>
      <c r="K713" s="150" t="b">
        <v>0</v>
      </c>
      <c r="L713" s="8" t="b">
        <v>0</v>
      </c>
    </row>
    <row r="714">
      <c r="B714" s="97"/>
      <c r="C714" s="121" t="str">
        <f t="array" ref="C714">ifs(and(isblank($A714),isblank($B714)),"", not(iserror(vlookup($A714&amp;$B714,'5) Release_Track'!$F:$F&amp;'5) Release_Track'!$G:$G,1,0))),vlookup($A714&amp;$B714,{'5) Release_Track'!$F:$F&amp;'5) Release_Track'!$G:$G,'5) Release_Track'!$H:$H},2,0),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D714" s="121" t="str">
        <f t="array" ref="D714">ifs(and(isblank($A714),isblank($B714)),"", not(iserror(vlookup($A714&amp;$B714,'5) Release_Track'!$F:$F&amp;'5) Release_Track'!$G:$G,1,0))),vlookup($A714&amp;$B714,{'5) Release_Track'!$F:$F&amp;'5) Release_Track'!$G:$G,'5) Release_Track'!$I:$I},2,0),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E714" s="150" t="b">
        <v>0</v>
      </c>
      <c r="F714" s="150" t="b">
        <v>0</v>
      </c>
      <c r="G714" s="150" t="b">
        <v>0</v>
      </c>
      <c r="H714" s="150" t="b">
        <v>0</v>
      </c>
      <c r="I714" s="150" t="b">
        <v>0</v>
      </c>
      <c r="J714" s="150" t="b">
        <v>0</v>
      </c>
      <c r="K714" s="150" t="b">
        <v>0</v>
      </c>
      <c r="L714" s="8" t="b">
        <v>0</v>
      </c>
    </row>
    <row r="715">
      <c r="B715" s="97"/>
      <c r="C715" s="121" t="str">
        <f t="array" ref="C715">ifs(and(isblank($A715),isblank($B715)),"", not(iserror(vlookup($A715&amp;$B715,'5) Release_Track'!$F:$F&amp;'5) Release_Track'!$G:$G,1,0))),vlookup($A715&amp;$B715,{'5) Release_Track'!$F:$F&amp;'5) Release_Track'!$G:$G,'5) Release_Track'!$H:$H},2,0),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D715" s="121" t="str">
        <f t="array" ref="D715">ifs(and(isblank($A715),isblank($B715)),"", not(iserror(vlookup($A715&amp;$B715,'5) Release_Track'!$F:$F&amp;'5) Release_Track'!$G:$G,1,0))),vlookup($A715&amp;$B715,{'5) Release_Track'!$F:$F&amp;'5) Release_Track'!$G:$G,'5) Release_Track'!$I:$I},2,0),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E715" s="150" t="b">
        <v>0</v>
      </c>
      <c r="F715" s="150" t="b">
        <v>0</v>
      </c>
      <c r="G715" s="150" t="b">
        <v>0</v>
      </c>
      <c r="H715" s="150" t="b">
        <v>0</v>
      </c>
      <c r="I715" s="150" t="b">
        <v>0</v>
      </c>
      <c r="J715" s="150" t="b">
        <v>0</v>
      </c>
      <c r="K715" s="150" t="b">
        <v>0</v>
      </c>
      <c r="L715" s="8" t="b">
        <v>0</v>
      </c>
    </row>
    <row r="716">
      <c r="B716" s="97"/>
      <c r="C716" s="121" t="str">
        <f t="array" ref="C716">ifs(and(isblank($A716),isblank($B716)),"", not(iserror(vlookup($A716&amp;$B716,'5) Release_Track'!$F:$F&amp;'5) Release_Track'!$G:$G,1,0))),vlookup($A716&amp;$B716,{'5) Release_Track'!$F:$F&amp;'5) Release_Track'!$G:$G,'5) Release_Track'!$H:$H},2,0),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D716" s="121" t="str">
        <f t="array" ref="D716">ifs(and(isblank($A716),isblank($B716)),"", not(iserror(vlookup($A716&amp;$B716,'5) Release_Track'!$F:$F&amp;'5) Release_Track'!$G:$G,1,0))),vlookup($A716&amp;$B716,{'5) Release_Track'!$F:$F&amp;'5) Release_Track'!$G:$G,'5) Release_Track'!$I:$I},2,0),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E716" s="150" t="b">
        <v>0</v>
      </c>
      <c r="F716" s="150" t="b">
        <v>0</v>
      </c>
      <c r="G716" s="150" t="b">
        <v>0</v>
      </c>
      <c r="H716" s="150" t="b">
        <v>0</v>
      </c>
      <c r="I716" s="150" t="b">
        <v>0</v>
      </c>
      <c r="J716" s="150" t="b">
        <v>0</v>
      </c>
      <c r="K716" s="150" t="b">
        <v>0</v>
      </c>
      <c r="L716" s="8" t="b">
        <v>0</v>
      </c>
    </row>
    <row r="717">
      <c r="B717" s="97"/>
      <c r="C717" s="121" t="str">
        <f t="array" ref="C717">ifs(and(isblank($A717),isblank($B717)),"", not(iserror(vlookup($A717&amp;$B717,'5) Release_Track'!$F:$F&amp;'5) Release_Track'!$G:$G,1,0))),vlookup($A717&amp;$B717,{'5) Release_Track'!$F:$F&amp;'5) Release_Track'!$G:$G,'5) Release_Track'!$H:$H},2,0),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D717" s="121" t="str">
        <f t="array" ref="D717">ifs(and(isblank($A717),isblank($B717)),"", not(iserror(vlookup($A717&amp;$B717,'5) Release_Track'!$F:$F&amp;'5) Release_Track'!$G:$G,1,0))),vlookup($A717&amp;$B717,{'5) Release_Track'!$F:$F&amp;'5) Release_Track'!$G:$G,'5) Release_Track'!$I:$I},2,0),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E717" s="150" t="b">
        <v>0</v>
      </c>
      <c r="F717" s="150" t="b">
        <v>0</v>
      </c>
      <c r="G717" s="150" t="b">
        <v>0</v>
      </c>
      <c r="H717" s="150" t="b">
        <v>0</v>
      </c>
      <c r="I717" s="150" t="b">
        <v>0</v>
      </c>
      <c r="J717" s="150" t="b">
        <v>0</v>
      </c>
      <c r="K717" s="150" t="b">
        <v>0</v>
      </c>
      <c r="L717" s="8" t="b">
        <v>0</v>
      </c>
    </row>
    <row r="718">
      <c r="B718" s="97"/>
      <c r="C718" s="121" t="str">
        <f t="array" ref="C718">ifs(and(isblank($A718),isblank($B718)),"", not(iserror(vlookup($A718&amp;$B718,'5) Release_Track'!$F:$F&amp;'5) Release_Track'!$G:$G,1,0))),vlookup($A718&amp;$B718,{'5) Release_Track'!$F:$F&amp;'5) Release_Track'!$G:$G,'5) Release_Track'!$H:$H},2,0),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D718" s="121" t="str">
        <f t="array" ref="D718">ifs(and(isblank($A718),isblank($B718)),"", not(iserror(vlookup($A718&amp;$B718,'5) Release_Track'!$F:$F&amp;'5) Release_Track'!$G:$G,1,0))),vlookup($A718&amp;$B718,{'5) Release_Track'!$F:$F&amp;'5) Release_Track'!$G:$G,'5) Release_Track'!$I:$I},2,0),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E718" s="150" t="b">
        <v>0</v>
      </c>
      <c r="F718" s="150" t="b">
        <v>0</v>
      </c>
      <c r="G718" s="150" t="b">
        <v>0</v>
      </c>
      <c r="H718" s="150" t="b">
        <v>0</v>
      </c>
      <c r="I718" s="150" t="b">
        <v>0</v>
      </c>
      <c r="J718" s="150" t="b">
        <v>0</v>
      </c>
      <c r="K718" s="150" t="b">
        <v>0</v>
      </c>
      <c r="L718" s="8" t="b">
        <v>0</v>
      </c>
    </row>
    <row r="719">
      <c r="B719" s="97"/>
      <c r="C719" s="121" t="str">
        <f t="array" ref="C719">ifs(and(isblank($A719),isblank($B719)),"", not(iserror(vlookup($A719&amp;$B719,'5) Release_Track'!$F:$F&amp;'5) Release_Track'!$G:$G,1,0))),vlookup($A719&amp;$B719,{'5) Release_Track'!$F:$F&amp;'5) Release_Track'!$G:$G,'5) Release_Track'!$H:$H},2,0),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D719" s="121" t="str">
        <f t="array" ref="D719">ifs(and(isblank($A719),isblank($B719)),"", not(iserror(vlookup($A719&amp;$B719,'5) Release_Track'!$F:$F&amp;'5) Release_Track'!$G:$G,1,0))),vlookup($A719&amp;$B719,{'5) Release_Track'!$F:$F&amp;'5) Release_Track'!$G:$G,'5) Release_Track'!$I:$I},2,0),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E719" s="150" t="b">
        <v>0</v>
      </c>
      <c r="F719" s="150" t="b">
        <v>0</v>
      </c>
      <c r="G719" s="150" t="b">
        <v>0</v>
      </c>
      <c r="H719" s="150" t="b">
        <v>0</v>
      </c>
      <c r="I719" s="150" t="b">
        <v>0</v>
      </c>
      <c r="J719" s="150" t="b">
        <v>0</v>
      </c>
      <c r="K719" s="150" t="b">
        <v>0</v>
      </c>
      <c r="L719" s="8" t="b">
        <v>0</v>
      </c>
    </row>
    <row r="720">
      <c r="B720" s="97"/>
      <c r="C720" s="121" t="str">
        <f t="array" ref="C720">ifs(and(isblank($A720),isblank($B720)),"", not(iserror(vlookup($A720&amp;$B720,'5) Release_Track'!$F:$F&amp;'5) Release_Track'!$G:$G,1,0))),vlookup($A720&amp;$B720,{'5) Release_Track'!$F:$F&amp;'5) Release_Track'!$G:$G,'5) Release_Track'!$H:$H},2,0),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D720" s="121" t="str">
        <f t="array" ref="D720">ifs(and(isblank($A720),isblank($B720)),"", not(iserror(vlookup($A720&amp;$B720,'5) Release_Track'!$F:$F&amp;'5) Release_Track'!$G:$G,1,0))),vlookup($A720&amp;$B720,{'5) Release_Track'!$F:$F&amp;'5) Release_Track'!$G:$G,'5) Release_Track'!$I:$I},2,0),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E720" s="150" t="b">
        <v>0</v>
      </c>
      <c r="F720" s="150" t="b">
        <v>0</v>
      </c>
      <c r="G720" s="150" t="b">
        <v>0</v>
      </c>
      <c r="H720" s="150" t="b">
        <v>0</v>
      </c>
      <c r="I720" s="150" t="b">
        <v>0</v>
      </c>
      <c r="J720" s="150" t="b">
        <v>0</v>
      </c>
      <c r="K720" s="150" t="b">
        <v>0</v>
      </c>
      <c r="L720" s="8" t="b">
        <v>0</v>
      </c>
    </row>
    <row r="721">
      <c r="B721" s="97"/>
      <c r="C721" s="121" t="str">
        <f t="array" ref="C721">ifs(and(isblank($A721),isblank($B721)),"", not(iserror(vlookup($A721&amp;$B721,'5) Release_Track'!$F:$F&amp;'5) Release_Track'!$G:$G,1,0))),vlookup($A721&amp;$B721,{'5) Release_Track'!$F:$F&amp;'5) Release_Track'!$G:$G,'5) Release_Track'!$H:$H},2,0),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D721" s="121" t="str">
        <f t="array" ref="D721">ifs(and(isblank($A721),isblank($B721)),"", not(iserror(vlookup($A721&amp;$B721,'5) Release_Track'!$F:$F&amp;'5) Release_Track'!$G:$G,1,0))),vlookup($A721&amp;$B721,{'5) Release_Track'!$F:$F&amp;'5) Release_Track'!$G:$G,'5) Release_Track'!$I:$I},2,0),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E721" s="150" t="b">
        <v>0</v>
      </c>
      <c r="F721" s="150" t="b">
        <v>0</v>
      </c>
      <c r="G721" s="150" t="b">
        <v>0</v>
      </c>
      <c r="H721" s="150" t="b">
        <v>0</v>
      </c>
      <c r="I721" s="150" t="b">
        <v>0</v>
      </c>
      <c r="J721" s="150" t="b">
        <v>0</v>
      </c>
      <c r="K721" s="150" t="b">
        <v>0</v>
      </c>
      <c r="L721" s="8" t="b">
        <v>0</v>
      </c>
    </row>
    <row r="722">
      <c r="B722" s="97"/>
      <c r="C722" s="121" t="str">
        <f t="array" ref="C722">ifs(and(isblank($A722),isblank($B722)),"", not(iserror(vlookup($A722&amp;$B722,'5) Release_Track'!$F:$F&amp;'5) Release_Track'!$G:$G,1,0))),vlookup($A722&amp;$B722,{'5) Release_Track'!$F:$F&amp;'5) Release_Track'!$G:$G,'5) Release_Track'!$H:$H},2,0),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D722" s="121" t="str">
        <f t="array" ref="D722">ifs(and(isblank($A722),isblank($B722)),"", not(iserror(vlookup($A722&amp;$B722,'5) Release_Track'!$F:$F&amp;'5) Release_Track'!$G:$G,1,0))),vlookup($A722&amp;$B722,{'5) Release_Track'!$F:$F&amp;'5) Release_Track'!$G:$G,'5) Release_Track'!$I:$I},2,0),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E722" s="150" t="b">
        <v>0</v>
      </c>
      <c r="F722" s="150" t="b">
        <v>0</v>
      </c>
      <c r="G722" s="150" t="b">
        <v>0</v>
      </c>
      <c r="H722" s="150" t="b">
        <v>0</v>
      </c>
      <c r="I722" s="150" t="b">
        <v>0</v>
      </c>
      <c r="J722" s="150" t="b">
        <v>0</v>
      </c>
      <c r="K722" s="150" t="b">
        <v>0</v>
      </c>
      <c r="L722" s="8" t="b">
        <v>0</v>
      </c>
    </row>
    <row r="723">
      <c r="B723" s="97"/>
      <c r="C723" s="121" t="str">
        <f t="array" ref="C723">ifs(and(isblank($A723),isblank($B723)),"", not(iserror(vlookup($A723&amp;$B723,'5) Release_Track'!$F:$F&amp;'5) Release_Track'!$G:$G,1,0))),vlookup($A723&amp;$B723,{'5) Release_Track'!$F:$F&amp;'5) Release_Track'!$G:$G,'5) Release_Track'!$H:$H},2,0),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D723" s="121" t="str">
        <f t="array" ref="D723">ifs(and(isblank($A723),isblank($B723)),"", not(iserror(vlookup($A723&amp;$B723,'5) Release_Track'!$F:$F&amp;'5) Release_Track'!$G:$G,1,0))),vlookup($A723&amp;$B723,{'5) Release_Track'!$F:$F&amp;'5) Release_Track'!$G:$G,'5) Release_Track'!$I:$I},2,0),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E723" s="150" t="b">
        <v>0</v>
      </c>
      <c r="F723" s="150" t="b">
        <v>0</v>
      </c>
      <c r="G723" s="150" t="b">
        <v>0</v>
      </c>
      <c r="H723" s="150" t="b">
        <v>0</v>
      </c>
      <c r="I723" s="150" t="b">
        <v>0</v>
      </c>
      <c r="J723" s="150" t="b">
        <v>0</v>
      </c>
      <c r="K723" s="150" t="b">
        <v>0</v>
      </c>
      <c r="L723" s="8" t="b">
        <v>0</v>
      </c>
    </row>
    <row r="724">
      <c r="B724" s="97"/>
      <c r="C724" s="121" t="str">
        <f t="array" ref="C724">ifs(and(isblank($A724),isblank($B724)),"", not(iserror(vlookup($A724&amp;$B724,'5) Release_Track'!$F:$F&amp;'5) Release_Track'!$G:$G,1,0))),vlookup($A724&amp;$B724,{'5) Release_Track'!$F:$F&amp;'5) Release_Track'!$G:$G,'5) Release_Track'!$H:$H},2,0),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D724" s="121" t="str">
        <f t="array" ref="D724">ifs(and(isblank($A724),isblank($B724)),"", not(iserror(vlookup($A724&amp;$B724,'5) Release_Track'!$F:$F&amp;'5) Release_Track'!$G:$G,1,0))),vlookup($A724&amp;$B724,{'5) Release_Track'!$F:$F&amp;'5) Release_Track'!$G:$G,'5) Release_Track'!$I:$I},2,0),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E724" s="150" t="b">
        <v>0</v>
      </c>
      <c r="F724" s="150" t="b">
        <v>0</v>
      </c>
      <c r="G724" s="150" t="b">
        <v>0</v>
      </c>
      <c r="H724" s="150" t="b">
        <v>0</v>
      </c>
      <c r="I724" s="150" t="b">
        <v>0</v>
      </c>
      <c r="J724" s="150" t="b">
        <v>0</v>
      </c>
      <c r="K724" s="150" t="b">
        <v>0</v>
      </c>
      <c r="L724" s="8" t="b">
        <v>0</v>
      </c>
    </row>
    <row r="725">
      <c r="B725" s="97"/>
      <c r="C725" s="121" t="str">
        <f t="array" ref="C725">ifs(and(isblank($A725),isblank($B725)),"", not(iserror(vlookup($A725&amp;$B725,'5) Release_Track'!$F:$F&amp;'5) Release_Track'!$G:$G,1,0))),vlookup($A725&amp;$B725,{'5) Release_Track'!$F:$F&amp;'5) Release_Track'!$G:$G,'5) Release_Track'!$H:$H},2,0),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D725" s="121" t="str">
        <f t="array" ref="D725">ifs(and(isblank($A725),isblank($B725)),"", not(iserror(vlookup($A725&amp;$B725,'5) Release_Track'!$F:$F&amp;'5) Release_Track'!$G:$G,1,0))),vlookup($A725&amp;$B725,{'5) Release_Track'!$F:$F&amp;'5) Release_Track'!$G:$G,'5) Release_Track'!$I:$I},2,0),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E725" s="150" t="b">
        <v>0</v>
      </c>
      <c r="F725" s="150" t="b">
        <v>0</v>
      </c>
      <c r="G725" s="150" t="b">
        <v>0</v>
      </c>
      <c r="H725" s="150" t="b">
        <v>0</v>
      </c>
      <c r="I725" s="150" t="b">
        <v>0</v>
      </c>
      <c r="J725" s="150" t="b">
        <v>0</v>
      </c>
      <c r="K725" s="150" t="b">
        <v>0</v>
      </c>
      <c r="L725" s="8" t="b">
        <v>0</v>
      </c>
    </row>
    <row r="726">
      <c r="B726" s="97"/>
      <c r="C726" s="121" t="str">
        <f t="array" ref="C726">ifs(and(isblank($A726),isblank($B726)),"", not(iserror(vlookup($A726&amp;$B726,'5) Release_Track'!$F:$F&amp;'5) Release_Track'!$G:$G,1,0))),vlookup($A726&amp;$B726,{'5) Release_Track'!$F:$F&amp;'5) Release_Track'!$G:$G,'5) Release_Track'!$H:$H},2,0),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D726" s="121" t="str">
        <f t="array" ref="D726">ifs(and(isblank($A726),isblank($B726)),"", not(iserror(vlookup($A726&amp;$B726,'5) Release_Track'!$F:$F&amp;'5) Release_Track'!$G:$G,1,0))),vlookup($A726&amp;$B726,{'5) Release_Track'!$F:$F&amp;'5) Release_Track'!$G:$G,'5) Release_Track'!$I:$I},2,0),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E726" s="150" t="b">
        <v>0</v>
      </c>
      <c r="F726" s="150" t="b">
        <v>0</v>
      </c>
      <c r="G726" s="150" t="b">
        <v>0</v>
      </c>
      <c r="H726" s="150" t="b">
        <v>0</v>
      </c>
      <c r="I726" s="150" t="b">
        <v>0</v>
      </c>
      <c r="J726" s="150" t="b">
        <v>0</v>
      </c>
      <c r="K726" s="150" t="b">
        <v>0</v>
      </c>
      <c r="L726" s="8" t="b">
        <v>0</v>
      </c>
    </row>
    <row r="727">
      <c r="B727" s="97"/>
      <c r="C727" s="121" t="str">
        <f t="array" ref="C727">ifs(and(isblank($A727),isblank($B727)),"", not(iserror(vlookup($A727&amp;$B727,'5) Release_Track'!$F:$F&amp;'5) Release_Track'!$G:$G,1,0))),vlookup($A727&amp;$B727,{'5) Release_Track'!$F:$F&amp;'5) Release_Track'!$G:$G,'5) Release_Track'!$H:$H},2,0),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D727" s="121" t="str">
        <f t="array" ref="D727">ifs(and(isblank($A727),isblank($B727)),"", not(iserror(vlookup($A727&amp;$B727,'5) Release_Track'!$F:$F&amp;'5) Release_Track'!$G:$G,1,0))),vlookup($A727&amp;$B727,{'5) Release_Track'!$F:$F&amp;'5) Release_Track'!$G:$G,'5) Release_Track'!$I:$I},2,0),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E727" s="150" t="b">
        <v>0</v>
      </c>
      <c r="F727" s="150" t="b">
        <v>0</v>
      </c>
      <c r="G727" s="150" t="b">
        <v>0</v>
      </c>
      <c r="H727" s="150" t="b">
        <v>0</v>
      </c>
      <c r="I727" s="150" t="b">
        <v>0</v>
      </c>
      <c r="J727" s="150" t="b">
        <v>0</v>
      </c>
      <c r="K727" s="150" t="b">
        <v>0</v>
      </c>
      <c r="L727" s="8" t="b">
        <v>0</v>
      </c>
    </row>
    <row r="728">
      <c r="B728" s="97"/>
      <c r="C728" s="121" t="str">
        <f t="array" ref="C728">ifs(and(isblank($A728),isblank($B728)),"", not(iserror(vlookup($A728&amp;$B728,'5) Release_Track'!$F:$F&amp;'5) Release_Track'!$G:$G,1,0))),vlookup($A728&amp;$B728,{'5) Release_Track'!$F:$F&amp;'5) Release_Track'!$G:$G,'5) Release_Track'!$H:$H},2,0),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D728" s="121" t="str">
        <f t="array" ref="D728">ifs(and(isblank($A728),isblank($B728)),"", not(iserror(vlookup($A728&amp;$B728,'5) Release_Track'!$F:$F&amp;'5) Release_Track'!$G:$G,1,0))),vlookup($A728&amp;$B728,{'5) Release_Track'!$F:$F&amp;'5) Release_Track'!$G:$G,'5) Release_Track'!$I:$I},2,0),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E728" s="150" t="b">
        <v>0</v>
      </c>
      <c r="F728" s="150" t="b">
        <v>0</v>
      </c>
      <c r="G728" s="150" t="b">
        <v>0</v>
      </c>
      <c r="H728" s="150" t="b">
        <v>0</v>
      </c>
      <c r="I728" s="150" t="b">
        <v>0</v>
      </c>
      <c r="J728" s="150" t="b">
        <v>0</v>
      </c>
      <c r="K728" s="150" t="b">
        <v>0</v>
      </c>
      <c r="L728" s="8" t="b">
        <v>0</v>
      </c>
    </row>
    <row r="729">
      <c r="B729" s="97"/>
      <c r="C729" s="121" t="str">
        <f t="array" ref="C729">ifs(and(isblank($A729),isblank($B729)),"", not(iserror(vlookup($A729&amp;$B729,'5) Release_Track'!$F:$F&amp;'5) Release_Track'!$G:$G,1,0))),vlookup($A729&amp;$B729,{'5) Release_Track'!$F:$F&amp;'5) Release_Track'!$G:$G,'5) Release_Track'!$H:$H},2,0),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D729" s="121" t="str">
        <f t="array" ref="D729">ifs(and(isblank($A729),isblank($B729)),"", not(iserror(vlookup($A729&amp;$B729,'5) Release_Track'!$F:$F&amp;'5) Release_Track'!$G:$G,1,0))),vlookup($A729&amp;$B729,{'5) Release_Track'!$F:$F&amp;'5) Release_Track'!$G:$G,'5) Release_Track'!$I:$I},2,0),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E729" s="150" t="b">
        <v>0</v>
      </c>
      <c r="F729" s="150" t="b">
        <v>0</v>
      </c>
      <c r="G729" s="150" t="b">
        <v>0</v>
      </c>
      <c r="H729" s="150" t="b">
        <v>0</v>
      </c>
      <c r="I729" s="150" t="b">
        <v>0</v>
      </c>
      <c r="J729" s="150" t="b">
        <v>0</v>
      </c>
      <c r="K729" s="150" t="b">
        <v>0</v>
      </c>
      <c r="L729" s="8" t="b">
        <v>0</v>
      </c>
    </row>
    <row r="730">
      <c r="B730" s="97"/>
      <c r="C730" s="121" t="str">
        <f t="array" ref="C730">ifs(and(isblank($A730),isblank($B730)),"", not(iserror(vlookup($A730&amp;$B730,'5) Release_Track'!$F:$F&amp;'5) Release_Track'!$G:$G,1,0))),vlookup($A730&amp;$B730,{'5) Release_Track'!$F:$F&amp;'5) Release_Track'!$G:$G,'5) Release_Track'!$H:$H},2,0),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D730" s="121" t="str">
        <f t="array" ref="D730">ifs(and(isblank($A730),isblank($B730)),"", not(iserror(vlookup($A730&amp;$B730,'5) Release_Track'!$F:$F&amp;'5) Release_Track'!$G:$G,1,0))),vlookup($A730&amp;$B730,{'5) Release_Track'!$F:$F&amp;'5) Release_Track'!$G:$G,'5) Release_Track'!$I:$I},2,0),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E730" s="150" t="b">
        <v>0</v>
      </c>
      <c r="F730" s="150" t="b">
        <v>0</v>
      </c>
      <c r="G730" s="150" t="b">
        <v>0</v>
      </c>
      <c r="H730" s="150" t="b">
        <v>0</v>
      </c>
      <c r="I730" s="150" t="b">
        <v>0</v>
      </c>
      <c r="J730" s="150" t="b">
        <v>0</v>
      </c>
      <c r="K730" s="150" t="b">
        <v>0</v>
      </c>
      <c r="L730" s="8" t="b">
        <v>0</v>
      </c>
    </row>
    <row r="731">
      <c r="B731" s="97"/>
      <c r="C731" s="121" t="str">
        <f t="array" ref="C731">ifs(and(isblank($A731),isblank($B731)),"", not(iserror(vlookup($A731&amp;$B731,'5) Release_Track'!$F:$F&amp;'5) Release_Track'!$G:$G,1,0))),vlookup($A731&amp;$B731,{'5) Release_Track'!$F:$F&amp;'5) Release_Track'!$G:$G,'5) Release_Track'!$H:$H},2,0),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D731" s="121" t="str">
        <f t="array" ref="D731">ifs(and(isblank($A731),isblank($B731)),"", not(iserror(vlookup($A731&amp;$B731,'5) Release_Track'!$F:$F&amp;'5) Release_Track'!$G:$G,1,0))),vlookup($A731&amp;$B731,{'5) Release_Track'!$F:$F&amp;'5) Release_Track'!$G:$G,'5) Release_Track'!$I:$I},2,0),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E731" s="150" t="b">
        <v>0</v>
      </c>
      <c r="F731" s="150" t="b">
        <v>0</v>
      </c>
      <c r="G731" s="150" t="b">
        <v>0</v>
      </c>
      <c r="H731" s="150" t="b">
        <v>0</v>
      </c>
      <c r="I731" s="150" t="b">
        <v>0</v>
      </c>
      <c r="J731" s="150" t="b">
        <v>0</v>
      </c>
      <c r="K731" s="150" t="b">
        <v>0</v>
      </c>
      <c r="L731" s="8" t="b">
        <v>0</v>
      </c>
    </row>
    <row r="732">
      <c r="B732" s="97"/>
      <c r="C732" s="121" t="str">
        <f t="array" ref="C732">ifs(and(isblank($A732),isblank($B732)),"", not(iserror(vlookup($A732&amp;$B732,'5) Release_Track'!$F:$F&amp;'5) Release_Track'!$G:$G,1,0))),vlookup($A732&amp;$B732,{'5) Release_Track'!$F:$F&amp;'5) Release_Track'!$G:$G,'5) Release_Track'!$H:$H},2,0),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D732" s="121" t="str">
        <f t="array" ref="D732">ifs(and(isblank($A732),isblank($B732)),"", not(iserror(vlookup($A732&amp;$B732,'5) Release_Track'!$F:$F&amp;'5) Release_Track'!$G:$G,1,0))),vlookup($A732&amp;$B732,{'5) Release_Track'!$F:$F&amp;'5) Release_Track'!$G:$G,'5) Release_Track'!$I:$I},2,0),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E732" s="150" t="b">
        <v>0</v>
      </c>
      <c r="F732" s="150" t="b">
        <v>0</v>
      </c>
      <c r="G732" s="150" t="b">
        <v>0</v>
      </c>
      <c r="H732" s="150" t="b">
        <v>0</v>
      </c>
      <c r="I732" s="150" t="b">
        <v>0</v>
      </c>
      <c r="J732" s="150" t="b">
        <v>0</v>
      </c>
      <c r="K732" s="150" t="b">
        <v>0</v>
      </c>
      <c r="L732" s="8" t="b">
        <v>0</v>
      </c>
    </row>
    <row r="733">
      <c r="B733" s="97"/>
      <c r="C733" s="121" t="str">
        <f t="array" ref="C733">ifs(and(isblank($A733),isblank($B733)),"", not(iserror(vlookup($A733&amp;$B733,'5) Release_Track'!$F:$F&amp;'5) Release_Track'!$G:$G,1,0))),vlookup($A733&amp;$B733,{'5) Release_Track'!$F:$F&amp;'5) Release_Track'!$G:$G,'5) Release_Track'!$H:$H},2,0),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D733" s="121" t="str">
        <f t="array" ref="D733">ifs(and(isblank($A733),isblank($B733)),"", not(iserror(vlookup($A733&amp;$B733,'5) Release_Track'!$F:$F&amp;'5) Release_Track'!$G:$G,1,0))),vlookup($A733&amp;$B733,{'5) Release_Track'!$F:$F&amp;'5) Release_Track'!$G:$G,'5) Release_Track'!$I:$I},2,0),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E733" s="150" t="b">
        <v>0</v>
      </c>
      <c r="F733" s="150" t="b">
        <v>0</v>
      </c>
      <c r="G733" s="150" t="b">
        <v>0</v>
      </c>
      <c r="H733" s="150" t="b">
        <v>0</v>
      </c>
      <c r="I733" s="150" t="b">
        <v>0</v>
      </c>
      <c r="J733" s="150" t="b">
        <v>0</v>
      </c>
      <c r="K733" s="150" t="b">
        <v>0</v>
      </c>
      <c r="L733" s="8" t="b">
        <v>0</v>
      </c>
    </row>
    <row r="734">
      <c r="B734" s="97"/>
      <c r="C734" s="121" t="str">
        <f t="array" ref="C734">ifs(and(isblank($A734),isblank($B734)),"", not(iserror(vlookup($A734&amp;$B734,'5) Release_Track'!$F:$F&amp;'5) Release_Track'!$G:$G,1,0))),vlookup($A734&amp;$B734,{'5) Release_Track'!$F:$F&amp;'5) Release_Track'!$G:$G,'5) Release_Track'!$H:$H},2,0),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D734" s="121" t="str">
        <f t="array" ref="D734">ifs(and(isblank($A734),isblank($B734)),"", not(iserror(vlookup($A734&amp;$B734,'5) Release_Track'!$F:$F&amp;'5) Release_Track'!$G:$G,1,0))),vlookup($A734&amp;$B734,{'5) Release_Track'!$F:$F&amp;'5) Release_Track'!$G:$G,'5) Release_Track'!$I:$I},2,0),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E734" s="150" t="b">
        <v>0</v>
      </c>
      <c r="F734" s="150" t="b">
        <v>0</v>
      </c>
      <c r="G734" s="150" t="b">
        <v>0</v>
      </c>
      <c r="H734" s="150" t="b">
        <v>0</v>
      </c>
      <c r="I734" s="150" t="b">
        <v>0</v>
      </c>
      <c r="J734" s="150" t="b">
        <v>0</v>
      </c>
      <c r="K734" s="150" t="b">
        <v>0</v>
      </c>
      <c r="L734" s="8" t="b">
        <v>0</v>
      </c>
    </row>
    <row r="735">
      <c r="B735" s="97"/>
      <c r="C735" s="121" t="str">
        <f t="array" ref="C735">ifs(and(isblank($A735),isblank($B735)),"", not(iserror(vlookup($A735&amp;$B735,'5) Release_Track'!$F:$F&amp;'5) Release_Track'!$G:$G,1,0))),vlookup($A735&amp;$B735,{'5) Release_Track'!$F:$F&amp;'5) Release_Track'!$G:$G,'5) Release_Track'!$H:$H},2,0),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D735" s="121" t="str">
        <f t="array" ref="D735">ifs(and(isblank($A735),isblank($B735)),"", not(iserror(vlookup($A735&amp;$B735,'5) Release_Track'!$F:$F&amp;'5) Release_Track'!$G:$G,1,0))),vlookup($A735&amp;$B735,{'5) Release_Track'!$F:$F&amp;'5) Release_Track'!$G:$G,'5) Release_Track'!$I:$I},2,0),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E735" s="150" t="b">
        <v>0</v>
      </c>
      <c r="F735" s="150" t="b">
        <v>0</v>
      </c>
      <c r="G735" s="150" t="b">
        <v>0</v>
      </c>
      <c r="H735" s="150" t="b">
        <v>0</v>
      </c>
      <c r="I735" s="150" t="b">
        <v>0</v>
      </c>
      <c r="J735" s="150" t="b">
        <v>0</v>
      </c>
      <c r="K735" s="150" t="b">
        <v>0</v>
      </c>
      <c r="L735" s="8" t="b">
        <v>0</v>
      </c>
    </row>
    <row r="736">
      <c r="B736" s="97"/>
      <c r="C736" s="121" t="str">
        <f t="array" ref="C736">ifs(and(isblank($A736),isblank($B736)),"", not(iserror(vlookup($A736&amp;$B736,'5) Release_Track'!$F:$F&amp;'5) Release_Track'!$G:$G,1,0))),vlookup($A736&amp;$B736,{'5) Release_Track'!$F:$F&amp;'5) Release_Track'!$G:$G,'5) Release_Track'!$H:$H},2,0),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D736" s="121" t="str">
        <f t="array" ref="D736">ifs(and(isblank($A736),isblank($B736)),"", not(iserror(vlookup($A736&amp;$B736,'5) Release_Track'!$F:$F&amp;'5) Release_Track'!$G:$G,1,0))),vlookup($A736&amp;$B736,{'5) Release_Track'!$F:$F&amp;'5) Release_Track'!$G:$G,'5) Release_Track'!$I:$I},2,0),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E736" s="150" t="b">
        <v>0</v>
      </c>
      <c r="F736" s="150" t="b">
        <v>0</v>
      </c>
      <c r="G736" s="150" t="b">
        <v>0</v>
      </c>
      <c r="H736" s="150" t="b">
        <v>0</v>
      </c>
      <c r="I736" s="150" t="b">
        <v>0</v>
      </c>
      <c r="J736" s="150" t="b">
        <v>0</v>
      </c>
      <c r="K736" s="150" t="b">
        <v>0</v>
      </c>
      <c r="L736" s="8" t="b">
        <v>0</v>
      </c>
    </row>
    <row r="737">
      <c r="B737" s="97"/>
      <c r="C737" s="121" t="str">
        <f t="array" ref="C737">ifs(and(isblank($A737),isblank($B737)),"", not(iserror(vlookup($A737&amp;$B737,'5) Release_Track'!$F:$F&amp;'5) Release_Track'!$G:$G,1,0))),vlookup($A737&amp;$B737,{'5) Release_Track'!$F:$F&amp;'5) Release_Track'!$G:$G,'5) Release_Track'!$H:$H},2,0),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D737" s="121" t="str">
        <f t="array" ref="D737">ifs(and(isblank($A737),isblank($B737)),"", not(iserror(vlookup($A737&amp;$B737,'5) Release_Track'!$F:$F&amp;'5) Release_Track'!$G:$G,1,0))),vlookup($A737&amp;$B737,{'5) Release_Track'!$F:$F&amp;'5) Release_Track'!$G:$G,'5) Release_Track'!$I:$I},2,0),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E737" s="150" t="b">
        <v>0</v>
      </c>
      <c r="F737" s="150" t="b">
        <v>0</v>
      </c>
      <c r="G737" s="150" t="b">
        <v>0</v>
      </c>
      <c r="H737" s="150" t="b">
        <v>0</v>
      </c>
      <c r="I737" s="150" t="b">
        <v>0</v>
      </c>
      <c r="J737" s="150" t="b">
        <v>0</v>
      </c>
      <c r="K737" s="150" t="b">
        <v>0</v>
      </c>
      <c r="L737" s="8" t="b">
        <v>0</v>
      </c>
    </row>
    <row r="738">
      <c r="B738" s="97"/>
      <c r="C738" s="121" t="str">
        <f t="array" ref="C738">ifs(and(isblank($A738),isblank($B738)),"", not(iserror(vlookup($A738&amp;$B738,'5) Release_Track'!$F:$F&amp;'5) Release_Track'!$G:$G,1,0))),vlookup($A738&amp;$B738,{'5) Release_Track'!$F:$F&amp;'5) Release_Track'!$G:$G,'5) Release_Track'!$H:$H},2,0),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D738" s="121" t="str">
        <f t="array" ref="D738">ifs(and(isblank($A738),isblank($B738)),"", not(iserror(vlookup($A738&amp;$B738,'5) Release_Track'!$F:$F&amp;'5) Release_Track'!$G:$G,1,0))),vlookup($A738&amp;$B738,{'5) Release_Track'!$F:$F&amp;'5) Release_Track'!$G:$G,'5) Release_Track'!$I:$I},2,0),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E738" s="150" t="b">
        <v>0</v>
      </c>
      <c r="F738" s="150" t="b">
        <v>0</v>
      </c>
      <c r="G738" s="150" t="b">
        <v>0</v>
      </c>
      <c r="H738" s="150" t="b">
        <v>0</v>
      </c>
      <c r="I738" s="150" t="b">
        <v>0</v>
      </c>
      <c r="J738" s="150" t="b">
        <v>0</v>
      </c>
      <c r="K738" s="150" t="b">
        <v>0</v>
      </c>
      <c r="L738" s="8" t="b">
        <v>0</v>
      </c>
    </row>
    <row r="739">
      <c r="B739" s="97"/>
      <c r="C739" s="121" t="str">
        <f t="array" ref="C739">ifs(and(isblank($A739),isblank($B739)),"", not(iserror(vlookup($A739&amp;$B739,'5) Release_Track'!$F:$F&amp;'5) Release_Track'!$G:$G,1,0))),vlookup($A739&amp;$B739,{'5) Release_Track'!$F:$F&amp;'5) Release_Track'!$G:$G,'5) Release_Track'!$H:$H},2,0),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D739" s="121" t="str">
        <f t="array" ref="D739">ifs(and(isblank($A739),isblank($B739)),"", not(iserror(vlookup($A739&amp;$B739,'5) Release_Track'!$F:$F&amp;'5) Release_Track'!$G:$G,1,0))),vlookup($A739&amp;$B739,{'5) Release_Track'!$F:$F&amp;'5) Release_Track'!$G:$G,'5) Release_Track'!$I:$I},2,0),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E739" s="150" t="b">
        <v>0</v>
      </c>
      <c r="F739" s="150" t="b">
        <v>0</v>
      </c>
      <c r="G739" s="150" t="b">
        <v>0</v>
      </c>
      <c r="H739" s="150" t="b">
        <v>0</v>
      </c>
      <c r="I739" s="150" t="b">
        <v>0</v>
      </c>
      <c r="J739" s="150" t="b">
        <v>0</v>
      </c>
      <c r="K739" s="150" t="b">
        <v>0</v>
      </c>
      <c r="L739" s="8" t="b">
        <v>0</v>
      </c>
    </row>
    <row r="740">
      <c r="B740" s="97"/>
      <c r="C740" s="121" t="str">
        <f t="array" ref="C740">ifs(and(isblank($A740),isblank($B740)),"", not(iserror(vlookup($A740&amp;$B740,'5) Release_Track'!$F:$F&amp;'5) Release_Track'!$G:$G,1,0))),vlookup($A740&amp;$B740,{'5) Release_Track'!$F:$F&amp;'5) Release_Track'!$G:$G,'5) Release_Track'!$H:$H},2,0),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D740" s="121" t="str">
        <f t="array" ref="D740">ifs(and(isblank($A740),isblank($B740)),"", not(iserror(vlookup($A740&amp;$B740,'5) Release_Track'!$F:$F&amp;'5) Release_Track'!$G:$G,1,0))),vlookup($A740&amp;$B740,{'5) Release_Track'!$F:$F&amp;'5) Release_Track'!$G:$G,'5) Release_Track'!$I:$I},2,0),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E740" s="150" t="b">
        <v>0</v>
      </c>
      <c r="F740" s="150" t="b">
        <v>0</v>
      </c>
      <c r="G740" s="150" t="b">
        <v>0</v>
      </c>
      <c r="H740" s="150" t="b">
        <v>0</v>
      </c>
      <c r="I740" s="150" t="b">
        <v>0</v>
      </c>
      <c r="J740" s="150" t="b">
        <v>0</v>
      </c>
      <c r="K740" s="150" t="b">
        <v>0</v>
      </c>
      <c r="L740" s="8" t="b">
        <v>0</v>
      </c>
    </row>
    <row r="741">
      <c r="B741" s="97"/>
      <c r="C741" s="121" t="str">
        <f t="array" ref="C741">ifs(and(isblank($A741),isblank($B741)),"", not(iserror(vlookup($A741&amp;$B741,'5) Release_Track'!$F:$F&amp;'5) Release_Track'!$G:$G,1,0))),vlookup($A741&amp;$B741,{'5) Release_Track'!$F:$F&amp;'5) Release_Track'!$G:$G,'5) Release_Track'!$H:$H},2,0),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D741" s="121" t="str">
        <f t="array" ref="D741">ifs(and(isblank($A741),isblank($B741)),"", not(iserror(vlookup($A741&amp;$B741,'5) Release_Track'!$F:$F&amp;'5) Release_Track'!$G:$G,1,0))),vlookup($A741&amp;$B741,{'5) Release_Track'!$F:$F&amp;'5) Release_Track'!$G:$G,'5) Release_Track'!$I:$I},2,0),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E741" s="150" t="b">
        <v>0</v>
      </c>
      <c r="F741" s="150" t="b">
        <v>0</v>
      </c>
      <c r="G741" s="150" t="b">
        <v>0</v>
      </c>
      <c r="H741" s="150" t="b">
        <v>0</v>
      </c>
      <c r="I741" s="150" t="b">
        <v>0</v>
      </c>
      <c r="J741" s="150" t="b">
        <v>0</v>
      </c>
      <c r="K741" s="150" t="b">
        <v>0</v>
      </c>
      <c r="L741" s="8" t="b">
        <v>0</v>
      </c>
    </row>
    <row r="742">
      <c r="B742" s="97"/>
      <c r="C742" s="121" t="str">
        <f t="array" ref="C742">ifs(and(isblank($A742),isblank($B742)),"", not(iserror(vlookup($A742&amp;$B742,'5) Release_Track'!$F:$F&amp;'5) Release_Track'!$G:$G,1,0))),vlookup($A742&amp;$B742,{'5) Release_Track'!$F:$F&amp;'5) Release_Track'!$G:$G,'5) Release_Track'!$H:$H},2,0),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D742" s="121" t="str">
        <f t="array" ref="D742">ifs(and(isblank($A742),isblank($B742)),"", not(iserror(vlookup($A742&amp;$B742,'5) Release_Track'!$F:$F&amp;'5) Release_Track'!$G:$G,1,0))),vlookup($A742&amp;$B742,{'5) Release_Track'!$F:$F&amp;'5) Release_Track'!$G:$G,'5) Release_Track'!$I:$I},2,0),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E742" s="150" t="b">
        <v>0</v>
      </c>
      <c r="F742" s="150" t="b">
        <v>0</v>
      </c>
      <c r="G742" s="150" t="b">
        <v>0</v>
      </c>
      <c r="H742" s="150" t="b">
        <v>0</v>
      </c>
      <c r="I742" s="150" t="b">
        <v>0</v>
      </c>
      <c r="J742" s="150" t="b">
        <v>0</v>
      </c>
      <c r="K742" s="150" t="b">
        <v>0</v>
      </c>
      <c r="L742" s="8" t="b">
        <v>0</v>
      </c>
    </row>
    <row r="743">
      <c r="B743" s="97"/>
      <c r="C743" s="121" t="str">
        <f t="array" ref="C743">ifs(and(isblank($A743),isblank($B743)),"", not(iserror(vlookup($A743&amp;$B743,'5) Release_Track'!$F:$F&amp;'5) Release_Track'!$G:$G,1,0))),vlookup($A743&amp;$B743,{'5) Release_Track'!$F:$F&amp;'5) Release_Track'!$G:$G,'5) Release_Track'!$H:$H},2,0),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D743" s="121" t="str">
        <f t="array" ref="D743">ifs(and(isblank($A743),isblank($B743)),"", not(iserror(vlookup($A743&amp;$B743,'5) Release_Track'!$F:$F&amp;'5) Release_Track'!$G:$G,1,0))),vlookup($A743&amp;$B743,{'5) Release_Track'!$F:$F&amp;'5) Release_Track'!$G:$G,'5) Release_Track'!$I:$I},2,0),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E743" s="150" t="b">
        <v>0</v>
      </c>
      <c r="F743" s="150" t="b">
        <v>0</v>
      </c>
      <c r="G743" s="150" t="b">
        <v>0</v>
      </c>
      <c r="H743" s="150" t="b">
        <v>0</v>
      </c>
      <c r="I743" s="150" t="b">
        <v>0</v>
      </c>
      <c r="J743" s="150" t="b">
        <v>0</v>
      </c>
      <c r="K743" s="150" t="b">
        <v>0</v>
      </c>
      <c r="L743" s="8" t="b">
        <v>0</v>
      </c>
    </row>
    <row r="744">
      <c r="B744" s="97"/>
      <c r="C744" s="121" t="str">
        <f t="array" ref="C744">ifs(and(isblank($A744),isblank($B744)),"", not(iserror(vlookup($A744&amp;$B744,'5) Release_Track'!$F:$F&amp;'5) Release_Track'!$G:$G,1,0))),vlookup($A744&amp;$B744,{'5) Release_Track'!$F:$F&amp;'5) Release_Track'!$G:$G,'5) Release_Track'!$H:$H},2,0),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D744" s="121" t="str">
        <f t="array" ref="D744">ifs(and(isblank($A744),isblank($B744)),"", not(iserror(vlookup($A744&amp;$B744,'5) Release_Track'!$F:$F&amp;'5) Release_Track'!$G:$G,1,0))),vlookup($A744&amp;$B744,{'5) Release_Track'!$F:$F&amp;'5) Release_Track'!$G:$G,'5) Release_Track'!$I:$I},2,0),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E744" s="150" t="b">
        <v>0</v>
      </c>
      <c r="F744" s="150" t="b">
        <v>0</v>
      </c>
      <c r="G744" s="150" t="b">
        <v>0</v>
      </c>
      <c r="H744" s="150" t="b">
        <v>0</v>
      </c>
      <c r="I744" s="150" t="b">
        <v>0</v>
      </c>
      <c r="J744" s="150" t="b">
        <v>0</v>
      </c>
      <c r="K744" s="150" t="b">
        <v>0</v>
      </c>
      <c r="L744" s="8" t="b">
        <v>0</v>
      </c>
    </row>
    <row r="745">
      <c r="B745" s="97"/>
      <c r="C745" s="121" t="str">
        <f t="array" ref="C745">ifs(and(isblank($A745),isblank($B745)),"", not(iserror(vlookup($A745&amp;$B745,'5) Release_Track'!$F:$F&amp;'5) Release_Track'!$G:$G,1,0))),vlookup($A745&amp;$B745,{'5) Release_Track'!$F:$F&amp;'5) Release_Track'!$G:$G,'5) Release_Track'!$H:$H},2,0),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D745" s="121" t="str">
        <f t="array" ref="D745">ifs(and(isblank($A745),isblank($B745)),"", not(iserror(vlookup($A745&amp;$B745,'5) Release_Track'!$F:$F&amp;'5) Release_Track'!$G:$G,1,0))),vlookup($A745&amp;$B745,{'5) Release_Track'!$F:$F&amp;'5) Release_Track'!$G:$G,'5) Release_Track'!$I:$I},2,0),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E745" s="150" t="b">
        <v>0</v>
      </c>
      <c r="F745" s="150" t="b">
        <v>0</v>
      </c>
      <c r="G745" s="150" t="b">
        <v>0</v>
      </c>
      <c r="H745" s="150" t="b">
        <v>0</v>
      </c>
      <c r="I745" s="150" t="b">
        <v>0</v>
      </c>
      <c r="J745" s="150" t="b">
        <v>0</v>
      </c>
      <c r="K745" s="150" t="b">
        <v>0</v>
      </c>
      <c r="L745" s="8" t="b">
        <v>0</v>
      </c>
    </row>
    <row r="746">
      <c r="B746" s="97"/>
      <c r="C746" s="121" t="str">
        <f t="array" ref="C746">ifs(and(isblank($A746),isblank($B746)),"", not(iserror(vlookup($A746&amp;$B746,'5) Release_Track'!$F:$F&amp;'5) Release_Track'!$G:$G,1,0))),vlookup($A746&amp;$B746,{'5) Release_Track'!$F:$F&amp;'5) Release_Track'!$G:$G,'5) Release_Track'!$H:$H},2,0),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D746" s="121" t="str">
        <f t="array" ref="D746">ifs(and(isblank($A746),isblank($B746)),"", not(iserror(vlookup($A746&amp;$B746,'5) Release_Track'!$F:$F&amp;'5) Release_Track'!$G:$G,1,0))),vlookup($A746&amp;$B746,{'5) Release_Track'!$F:$F&amp;'5) Release_Track'!$G:$G,'5) Release_Track'!$I:$I},2,0),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E746" s="150" t="b">
        <v>0</v>
      </c>
      <c r="F746" s="150" t="b">
        <v>0</v>
      </c>
      <c r="G746" s="150" t="b">
        <v>0</v>
      </c>
      <c r="H746" s="150" t="b">
        <v>0</v>
      </c>
      <c r="I746" s="150" t="b">
        <v>0</v>
      </c>
      <c r="J746" s="150" t="b">
        <v>0</v>
      </c>
      <c r="K746" s="150" t="b">
        <v>0</v>
      </c>
      <c r="L746" s="8" t="b">
        <v>0</v>
      </c>
    </row>
    <row r="747">
      <c r="B747" s="97"/>
      <c r="C747" s="121" t="str">
        <f t="array" ref="C747">ifs(and(isblank($A747),isblank($B747)),"", not(iserror(vlookup($A747&amp;$B747,'5) Release_Track'!$F:$F&amp;'5) Release_Track'!$G:$G,1,0))),vlookup($A747&amp;$B747,{'5) Release_Track'!$F:$F&amp;'5) Release_Track'!$G:$G,'5) Release_Track'!$H:$H},2,0),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D747" s="121" t="str">
        <f t="array" ref="D747">ifs(and(isblank($A747),isblank($B747)),"", not(iserror(vlookup($A747&amp;$B747,'5) Release_Track'!$F:$F&amp;'5) Release_Track'!$G:$G,1,0))),vlookup($A747&amp;$B747,{'5) Release_Track'!$F:$F&amp;'5) Release_Track'!$G:$G,'5) Release_Track'!$I:$I},2,0),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E747" s="150" t="b">
        <v>0</v>
      </c>
      <c r="F747" s="150" t="b">
        <v>0</v>
      </c>
      <c r="G747" s="150" t="b">
        <v>0</v>
      </c>
      <c r="H747" s="150" t="b">
        <v>0</v>
      </c>
      <c r="I747" s="150" t="b">
        <v>0</v>
      </c>
      <c r="J747" s="150" t="b">
        <v>0</v>
      </c>
      <c r="K747" s="150" t="b">
        <v>0</v>
      </c>
      <c r="L747" s="8" t="b">
        <v>0</v>
      </c>
    </row>
    <row r="748">
      <c r="B748" s="97"/>
      <c r="C748" s="121" t="str">
        <f t="array" ref="C748">ifs(and(isblank($A748),isblank($B748)),"", not(iserror(vlookup($A748&amp;$B748,'5) Release_Track'!$F:$F&amp;'5) Release_Track'!$G:$G,1,0))),vlookup($A748&amp;$B748,{'5) Release_Track'!$F:$F&amp;'5) Release_Track'!$G:$G,'5) Release_Track'!$H:$H},2,0),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D748" s="121" t="str">
        <f t="array" ref="D748">ifs(and(isblank($A748),isblank($B748)),"", not(iserror(vlookup($A748&amp;$B748,'5) Release_Track'!$F:$F&amp;'5) Release_Track'!$G:$G,1,0))),vlookup($A748&amp;$B748,{'5) Release_Track'!$F:$F&amp;'5) Release_Track'!$G:$G,'5) Release_Track'!$I:$I},2,0),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E748" s="150" t="b">
        <v>0</v>
      </c>
      <c r="F748" s="150" t="b">
        <v>0</v>
      </c>
      <c r="G748" s="150" t="b">
        <v>0</v>
      </c>
      <c r="H748" s="150" t="b">
        <v>0</v>
      </c>
      <c r="I748" s="150" t="b">
        <v>0</v>
      </c>
      <c r="J748" s="150" t="b">
        <v>0</v>
      </c>
      <c r="K748" s="150" t="b">
        <v>0</v>
      </c>
      <c r="L748" s="8" t="b">
        <v>0</v>
      </c>
    </row>
    <row r="749">
      <c r="B749" s="97"/>
      <c r="C749" s="121" t="str">
        <f t="array" ref="C749">ifs(and(isblank($A749),isblank($B749)),"", not(iserror(vlookup($A749&amp;$B749,'5) Release_Track'!$F:$F&amp;'5) Release_Track'!$G:$G,1,0))),vlookup($A749&amp;$B749,{'5) Release_Track'!$F:$F&amp;'5) Release_Track'!$G:$G,'5) Release_Track'!$H:$H},2,0),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D749" s="121" t="str">
        <f t="array" ref="D749">ifs(and(isblank($A749),isblank($B749)),"", not(iserror(vlookup($A749&amp;$B749,'5) Release_Track'!$F:$F&amp;'5) Release_Track'!$G:$G,1,0))),vlookup($A749&amp;$B749,{'5) Release_Track'!$F:$F&amp;'5) Release_Track'!$G:$G,'5) Release_Track'!$I:$I},2,0),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E749" s="150" t="b">
        <v>0</v>
      </c>
      <c r="F749" s="150" t="b">
        <v>0</v>
      </c>
      <c r="G749" s="150" t="b">
        <v>0</v>
      </c>
      <c r="H749" s="150" t="b">
        <v>0</v>
      </c>
      <c r="I749" s="150" t="b">
        <v>0</v>
      </c>
      <c r="J749" s="150" t="b">
        <v>0</v>
      </c>
      <c r="K749" s="150" t="b">
        <v>0</v>
      </c>
      <c r="L749" s="8" t="b">
        <v>0</v>
      </c>
    </row>
    <row r="750">
      <c r="B750" s="97"/>
      <c r="C750" s="121" t="str">
        <f t="array" ref="C750">ifs(and(isblank($A750),isblank($B750)),"", not(iserror(vlookup($A750&amp;$B750,'5) Release_Track'!$F:$F&amp;'5) Release_Track'!$G:$G,1,0))),vlookup($A750&amp;$B750,{'5) Release_Track'!$F:$F&amp;'5) Release_Track'!$G:$G,'5) Release_Track'!$H:$H},2,0),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D750" s="121" t="str">
        <f t="array" ref="D750">ifs(and(isblank($A750),isblank($B750)),"", not(iserror(vlookup($A750&amp;$B750,'5) Release_Track'!$F:$F&amp;'5) Release_Track'!$G:$G,1,0))),vlookup($A750&amp;$B750,{'5) Release_Track'!$F:$F&amp;'5) Release_Track'!$G:$G,'5) Release_Track'!$I:$I},2,0),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E750" s="150" t="b">
        <v>0</v>
      </c>
      <c r="F750" s="150" t="b">
        <v>0</v>
      </c>
      <c r="G750" s="150" t="b">
        <v>0</v>
      </c>
      <c r="H750" s="150" t="b">
        <v>0</v>
      </c>
      <c r="I750" s="150" t="b">
        <v>0</v>
      </c>
      <c r="J750" s="150" t="b">
        <v>0</v>
      </c>
      <c r="K750" s="150" t="b">
        <v>0</v>
      </c>
      <c r="L750" s="8" t="b">
        <v>0</v>
      </c>
    </row>
    <row r="751">
      <c r="B751" s="97"/>
      <c r="C751" s="121" t="str">
        <f t="array" ref="C751">ifs(and(isblank($A751),isblank($B751)),"", not(iserror(vlookup($A751&amp;$B751,'5) Release_Track'!$F:$F&amp;'5) Release_Track'!$G:$G,1,0))),vlookup($A751&amp;$B751,{'5) Release_Track'!$F:$F&amp;'5) Release_Track'!$G:$G,'5) Release_Track'!$H:$H},2,0),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D751" s="121" t="str">
        <f t="array" ref="D751">ifs(and(isblank($A751),isblank($B751)),"", not(iserror(vlookup($A751&amp;$B751,'5) Release_Track'!$F:$F&amp;'5) Release_Track'!$G:$G,1,0))),vlookup($A751&amp;$B751,{'5) Release_Track'!$F:$F&amp;'5) Release_Track'!$G:$G,'5) Release_Track'!$I:$I},2,0),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E751" s="150" t="b">
        <v>0</v>
      </c>
      <c r="F751" s="150" t="b">
        <v>0</v>
      </c>
      <c r="G751" s="150" t="b">
        <v>0</v>
      </c>
      <c r="H751" s="150" t="b">
        <v>0</v>
      </c>
      <c r="I751" s="150" t="b">
        <v>0</v>
      </c>
      <c r="J751" s="150" t="b">
        <v>0</v>
      </c>
      <c r="K751" s="150" t="b">
        <v>0</v>
      </c>
      <c r="L751" s="8" t="b">
        <v>0</v>
      </c>
    </row>
    <row r="752">
      <c r="B752" s="97"/>
      <c r="C752" s="121" t="str">
        <f t="array" ref="C752">ifs(and(isblank($A752),isblank($B752)),"", not(iserror(vlookup($A752&amp;$B752,'5) Release_Track'!$F:$F&amp;'5) Release_Track'!$G:$G,1,0))),vlookup($A752&amp;$B752,{'5) Release_Track'!$F:$F&amp;'5) Release_Track'!$G:$G,'5) Release_Track'!$H:$H},2,0),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D752" s="121" t="str">
        <f t="array" ref="D752">ifs(and(isblank($A752),isblank($B752)),"", not(iserror(vlookup($A752&amp;$B752,'5) Release_Track'!$F:$F&amp;'5) Release_Track'!$G:$G,1,0))),vlookup($A752&amp;$B752,{'5) Release_Track'!$F:$F&amp;'5) Release_Track'!$G:$G,'5) Release_Track'!$I:$I},2,0),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E752" s="150" t="b">
        <v>0</v>
      </c>
      <c r="F752" s="150" t="b">
        <v>0</v>
      </c>
      <c r="G752" s="150" t="b">
        <v>0</v>
      </c>
      <c r="H752" s="150" t="b">
        <v>0</v>
      </c>
      <c r="I752" s="150" t="b">
        <v>0</v>
      </c>
      <c r="J752" s="150" t="b">
        <v>0</v>
      </c>
      <c r="K752" s="150" t="b">
        <v>0</v>
      </c>
      <c r="L752" s="8" t="b">
        <v>0</v>
      </c>
    </row>
    <row r="753">
      <c r="B753" s="97"/>
      <c r="C753" s="121" t="str">
        <f t="array" ref="C753">ifs(and(isblank($A753),isblank($B753)),"", not(iserror(vlookup($A753&amp;$B753,'5) Release_Track'!$F:$F&amp;'5) Release_Track'!$G:$G,1,0))),vlookup($A753&amp;$B753,{'5) Release_Track'!$F:$F&amp;'5) Release_Track'!$G:$G,'5) Release_Track'!$H:$H},2,0),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D753" s="121" t="str">
        <f t="array" ref="D753">ifs(and(isblank($A753),isblank($B753)),"", not(iserror(vlookup($A753&amp;$B753,'5) Release_Track'!$F:$F&amp;'5) Release_Track'!$G:$G,1,0))),vlookup($A753&amp;$B753,{'5) Release_Track'!$F:$F&amp;'5) Release_Track'!$G:$G,'5) Release_Track'!$I:$I},2,0),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E753" s="150" t="b">
        <v>0</v>
      </c>
      <c r="F753" s="150" t="b">
        <v>0</v>
      </c>
      <c r="G753" s="150" t="b">
        <v>0</v>
      </c>
      <c r="H753" s="150" t="b">
        <v>0</v>
      </c>
      <c r="I753" s="150" t="b">
        <v>0</v>
      </c>
      <c r="J753" s="150" t="b">
        <v>0</v>
      </c>
      <c r="K753" s="150" t="b">
        <v>0</v>
      </c>
      <c r="L753" s="8" t="b">
        <v>0</v>
      </c>
    </row>
    <row r="754">
      <c r="B754" s="97"/>
      <c r="C754" s="121" t="str">
        <f t="array" ref="C754">ifs(and(isblank($A754),isblank($B754)),"", not(iserror(vlookup($A754&amp;$B754,'5) Release_Track'!$F:$F&amp;'5) Release_Track'!$G:$G,1,0))),vlookup($A754&amp;$B754,{'5) Release_Track'!$F:$F&amp;'5) Release_Track'!$G:$G,'5) Release_Track'!$H:$H},2,0),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D754" s="121" t="str">
        <f t="array" ref="D754">ifs(and(isblank($A754),isblank($B754)),"", not(iserror(vlookup($A754&amp;$B754,'5) Release_Track'!$F:$F&amp;'5) Release_Track'!$G:$G,1,0))),vlookup($A754&amp;$B754,{'5) Release_Track'!$F:$F&amp;'5) Release_Track'!$G:$G,'5) Release_Track'!$I:$I},2,0),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E754" s="150" t="b">
        <v>0</v>
      </c>
      <c r="F754" s="150" t="b">
        <v>0</v>
      </c>
      <c r="G754" s="150" t="b">
        <v>0</v>
      </c>
      <c r="H754" s="150" t="b">
        <v>0</v>
      </c>
      <c r="I754" s="150" t="b">
        <v>0</v>
      </c>
      <c r="J754" s="150" t="b">
        <v>0</v>
      </c>
      <c r="K754" s="150" t="b">
        <v>0</v>
      </c>
      <c r="L754" s="8" t="b">
        <v>0</v>
      </c>
    </row>
    <row r="755">
      <c r="B755" s="97"/>
      <c r="C755" s="121" t="str">
        <f t="array" ref="C755">ifs(and(isblank($A755),isblank($B755)),"", not(iserror(vlookup($A755&amp;$B755,'5) Release_Track'!$F:$F&amp;'5) Release_Track'!$G:$G,1,0))),vlookup($A755&amp;$B755,{'5) Release_Track'!$F:$F&amp;'5) Release_Track'!$G:$G,'5) Release_Track'!$H:$H},2,0),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D755" s="121" t="str">
        <f t="array" ref="D755">ifs(and(isblank($A755),isblank($B755)),"", not(iserror(vlookup($A755&amp;$B755,'5) Release_Track'!$F:$F&amp;'5) Release_Track'!$G:$G,1,0))),vlookup($A755&amp;$B755,{'5) Release_Track'!$F:$F&amp;'5) Release_Track'!$G:$G,'5) Release_Track'!$I:$I},2,0),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E755" s="150" t="b">
        <v>0</v>
      </c>
      <c r="F755" s="150" t="b">
        <v>0</v>
      </c>
      <c r="G755" s="150" t="b">
        <v>0</v>
      </c>
      <c r="H755" s="150" t="b">
        <v>0</v>
      </c>
      <c r="I755" s="150" t="b">
        <v>0</v>
      </c>
      <c r="J755" s="150" t="b">
        <v>0</v>
      </c>
      <c r="K755" s="150" t="b">
        <v>0</v>
      </c>
      <c r="L755" s="8" t="b">
        <v>0</v>
      </c>
    </row>
    <row r="756">
      <c r="B756" s="97"/>
      <c r="C756" s="121" t="str">
        <f t="array" ref="C756">ifs(and(isblank($A756),isblank($B756)),"", not(iserror(vlookup($A756&amp;$B756,'5) Release_Track'!$F:$F&amp;'5) Release_Track'!$G:$G,1,0))),vlookup($A756&amp;$B756,{'5) Release_Track'!$F:$F&amp;'5) Release_Track'!$G:$G,'5) Release_Track'!$H:$H},2,0),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D756" s="121" t="str">
        <f t="array" ref="D756">ifs(and(isblank($A756),isblank($B756)),"", not(iserror(vlookup($A756&amp;$B756,'5) Release_Track'!$F:$F&amp;'5) Release_Track'!$G:$G,1,0))),vlookup($A756&amp;$B756,{'5) Release_Track'!$F:$F&amp;'5) Release_Track'!$G:$G,'5) Release_Track'!$I:$I},2,0),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E756" s="150" t="b">
        <v>0</v>
      </c>
      <c r="F756" s="150" t="b">
        <v>0</v>
      </c>
      <c r="G756" s="150" t="b">
        <v>0</v>
      </c>
      <c r="H756" s="150" t="b">
        <v>0</v>
      </c>
      <c r="I756" s="150" t="b">
        <v>0</v>
      </c>
      <c r="J756" s="150" t="b">
        <v>0</v>
      </c>
      <c r="K756" s="150" t="b">
        <v>0</v>
      </c>
      <c r="L756" s="8" t="b">
        <v>0</v>
      </c>
    </row>
    <row r="757">
      <c r="B757" s="97"/>
      <c r="C757" s="121" t="str">
        <f t="array" ref="C757">ifs(and(isblank($A757),isblank($B757)),"", not(iserror(vlookup($A757&amp;$B757,'5) Release_Track'!$F:$F&amp;'5) Release_Track'!$G:$G,1,0))),vlookup($A757&amp;$B757,{'5) Release_Track'!$F:$F&amp;'5) Release_Track'!$G:$G,'5) Release_Track'!$H:$H},2,0),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D757" s="121" t="str">
        <f t="array" ref="D757">ifs(and(isblank($A757),isblank($B757)),"", not(iserror(vlookup($A757&amp;$B757,'5) Release_Track'!$F:$F&amp;'5) Release_Track'!$G:$G,1,0))),vlookup($A757&amp;$B757,{'5) Release_Track'!$F:$F&amp;'5) Release_Track'!$G:$G,'5) Release_Track'!$I:$I},2,0),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E757" s="150" t="b">
        <v>0</v>
      </c>
      <c r="F757" s="150" t="b">
        <v>0</v>
      </c>
      <c r="G757" s="150" t="b">
        <v>0</v>
      </c>
      <c r="H757" s="150" t="b">
        <v>0</v>
      </c>
      <c r="I757" s="150" t="b">
        <v>0</v>
      </c>
      <c r="J757" s="150" t="b">
        <v>0</v>
      </c>
      <c r="K757" s="150" t="b">
        <v>0</v>
      </c>
      <c r="L757" s="8" t="b">
        <v>0</v>
      </c>
    </row>
    <row r="758">
      <c r="B758" s="97"/>
      <c r="C758" s="121" t="str">
        <f t="array" ref="C758">ifs(and(isblank($A758),isblank($B758)),"", not(iserror(vlookup($A758&amp;$B758,'5) Release_Track'!$F:$F&amp;'5) Release_Track'!$G:$G,1,0))),vlookup($A758&amp;$B758,{'5) Release_Track'!$F:$F&amp;'5) Release_Track'!$G:$G,'5) Release_Track'!$H:$H},2,0),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D758" s="121" t="str">
        <f t="array" ref="D758">ifs(and(isblank($A758),isblank($B758)),"", not(iserror(vlookup($A758&amp;$B758,'5) Release_Track'!$F:$F&amp;'5) Release_Track'!$G:$G,1,0))),vlookup($A758&amp;$B758,{'5) Release_Track'!$F:$F&amp;'5) Release_Track'!$G:$G,'5) Release_Track'!$I:$I},2,0),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E758" s="150" t="b">
        <v>0</v>
      </c>
      <c r="F758" s="150" t="b">
        <v>0</v>
      </c>
      <c r="G758" s="150" t="b">
        <v>0</v>
      </c>
      <c r="H758" s="150" t="b">
        <v>0</v>
      </c>
      <c r="I758" s="150" t="b">
        <v>0</v>
      </c>
      <c r="J758" s="150" t="b">
        <v>0</v>
      </c>
      <c r="K758" s="150" t="b">
        <v>0</v>
      </c>
      <c r="L758" s="8" t="b">
        <v>0</v>
      </c>
    </row>
    <row r="759">
      <c r="B759" s="97"/>
      <c r="C759" s="121" t="str">
        <f t="array" ref="C759">ifs(and(isblank($A759),isblank($B759)),"", not(iserror(vlookup($A759&amp;$B759,'5) Release_Track'!$F:$F&amp;'5) Release_Track'!$G:$G,1,0))),vlookup($A759&amp;$B759,{'5) Release_Track'!$F:$F&amp;'5) Release_Track'!$G:$G,'5) Release_Track'!$H:$H},2,0),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D759" s="121" t="str">
        <f t="array" ref="D759">ifs(and(isblank($A759),isblank($B759)),"", not(iserror(vlookup($A759&amp;$B759,'5) Release_Track'!$F:$F&amp;'5) Release_Track'!$G:$G,1,0))),vlookup($A759&amp;$B759,{'5) Release_Track'!$F:$F&amp;'5) Release_Track'!$G:$G,'5) Release_Track'!$I:$I},2,0),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E759" s="150" t="b">
        <v>0</v>
      </c>
      <c r="F759" s="150" t="b">
        <v>0</v>
      </c>
      <c r="G759" s="150" t="b">
        <v>0</v>
      </c>
      <c r="H759" s="150" t="b">
        <v>0</v>
      </c>
      <c r="I759" s="150" t="b">
        <v>0</v>
      </c>
      <c r="J759" s="150" t="b">
        <v>0</v>
      </c>
      <c r="K759" s="150" t="b">
        <v>0</v>
      </c>
      <c r="L759" s="8" t="b">
        <v>0</v>
      </c>
    </row>
    <row r="760">
      <c r="B760" s="97"/>
      <c r="C760" s="121" t="str">
        <f t="array" ref="C760">ifs(and(isblank($A760),isblank($B760)),"", not(iserror(vlookup($A760&amp;$B760,'5) Release_Track'!$F:$F&amp;'5) Release_Track'!$G:$G,1,0))),vlookup($A760&amp;$B760,{'5) Release_Track'!$F:$F&amp;'5) Release_Track'!$G:$G,'5) Release_Track'!$H:$H},2,0),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D760" s="121" t="str">
        <f t="array" ref="D760">ifs(and(isblank($A760),isblank($B760)),"", not(iserror(vlookup($A760&amp;$B760,'5) Release_Track'!$F:$F&amp;'5) Release_Track'!$G:$G,1,0))),vlookup($A760&amp;$B760,{'5) Release_Track'!$F:$F&amp;'5) Release_Track'!$G:$G,'5) Release_Track'!$I:$I},2,0),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E760" s="150" t="b">
        <v>0</v>
      </c>
      <c r="F760" s="150" t="b">
        <v>0</v>
      </c>
      <c r="G760" s="150" t="b">
        <v>0</v>
      </c>
      <c r="H760" s="150" t="b">
        <v>0</v>
      </c>
      <c r="I760" s="150" t="b">
        <v>0</v>
      </c>
      <c r="J760" s="150" t="b">
        <v>0</v>
      </c>
      <c r="K760" s="150" t="b">
        <v>0</v>
      </c>
      <c r="L760" s="8" t="b">
        <v>0</v>
      </c>
    </row>
    <row r="761">
      <c r="B761" s="97"/>
      <c r="C761" s="121" t="str">
        <f t="array" ref="C761">ifs(and(isblank($A761),isblank($B761)),"", not(iserror(vlookup($A761&amp;$B761,'5) Release_Track'!$F:$F&amp;'5) Release_Track'!$G:$G,1,0))),vlookup($A761&amp;$B761,{'5) Release_Track'!$F:$F&amp;'5) Release_Track'!$G:$G,'5) Release_Track'!$H:$H},2,0),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D761" s="121" t="str">
        <f t="array" ref="D761">ifs(and(isblank($A761),isblank($B761)),"", not(iserror(vlookup($A761&amp;$B761,'5) Release_Track'!$F:$F&amp;'5) Release_Track'!$G:$G,1,0))),vlookup($A761&amp;$B761,{'5) Release_Track'!$F:$F&amp;'5) Release_Track'!$G:$G,'5) Release_Track'!$I:$I},2,0),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E761" s="150" t="b">
        <v>0</v>
      </c>
      <c r="F761" s="150" t="b">
        <v>0</v>
      </c>
      <c r="G761" s="150" t="b">
        <v>0</v>
      </c>
      <c r="H761" s="150" t="b">
        <v>0</v>
      </c>
      <c r="I761" s="150" t="b">
        <v>0</v>
      </c>
      <c r="J761" s="150" t="b">
        <v>0</v>
      </c>
      <c r="K761" s="150" t="b">
        <v>0</v>
      </c>
      <c r="L761" s="8" t="b">
        <v>0</v>
      </c>
    </row>
    <row r="762">
      <c r="B762" s="97"/>
      <c r="C762" s="121" t="str">
        <f t="array" ref="C762">ifs(and(isblank($A762),isblank($B762)),"", not(iserror(vlookup($A762&amp;$B762,'5) Release_Track'!$F:$F&amp;'5) Release_Track'!$G:$G,1,0))),vlookup($A762&amp;$B762,{'5) Release_Track'!$F:$F&amp;'5) Release_Track'!$G:$G,'5) Release_Track'!$H:$H},2,0),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D762" s="121" t="str">
        <f t="array" ref="D762">ifs(and(isblank($A762),isblank($B762)),"", not(iserror(vlookup($A762&amp;$B762,'5) Release_Track'!$F:$F&amp;'5) Release_Track'!$G:$G,1,0))),vlookup($A762&amp;$B762,{'5) Release_Track'!$F:$F&amp;'5) Release_Track'!$G:$G,'5) Release_Track'!$I:$I},2,0),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E762" s="150" t="b">
        <v>0</v>
      </c>
      <c r="F762" s="150" t="b">
        <v>0</v>
      </c>
      <c r="G762" s="150" t="b">
        <v>0</v>
      </c>
      <c r="H762" s="150" t="b">
        <v>0</v>
      </c>
      <c r="I762" s="150" t="b">
        <v>0</v>
      </c>
      <c r="J762" s="150" t="b">
        <v>0</v>
      </c>
      <c r="K762" s="150" t="b">
        <v>0</v>
      </c>
      <c r="L762" s="8" t="b">
        <v>0</v>
      </c>
    </row>
    <row r="763">
      <c r="B763" s="97"/>
      <c r="C763" s="121" t="str">
        <f t="array" ref="C763">ifs(and(isblank($A763),isblank($B763)),"", not(iserror(vlookup($A763&amp;$B763,'5) Release_Track'!$F:$F&amp;'5) Release_Track'!$G:$G,1,0))),vlookup($A763&amp;$B763,{'5) Release_Track'!$F:$F&amp;'5) Release_Track'!$G:$G,'5) Release_Track'!$H:$H},2,0),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D763" s="121" t="str">
        <f t="array" ref="D763">ifs(and(isblank($A763),isblank($B763)),"", not(iserror(vlookup($A763&amp;$B763,'5) Release_Track'!$F:$F&amp;'5) Release_Track'!$G:$G,1,0))),vlookup($A763&amp;$B763,{'5) Release_Track'!$F:$F&amp;'5) Release_Track'!$G:$G,'5) Release_Track'!$I:$I},2,0),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E763" s="150" t="b">
        <v>0</v>
      </c>
      <c r="F763" s="150" t="b">
        <v>0</v>
      </c>
      <c r="G763" s="150" t="b">
        <v>0</v>
      </c>
      <c r="H763" s="150" t="b">
        <v>0</v>
      </c>
      <c r="I763" s="150" t="b">
        <v>0</v>
      </c>
      <c r="J763" s="150" t="b">
        <v>0</v>
      </c>
      <c r="K763" s="150" t="b">
        <v>0</v>
      </c>
      <c r="L763" s="8" t="b">
        <v>0</v>
      </c>
    </row>
    <row r="764">
      <c r="B764" s="97"/>
      <c r="C764" s="121" t="str">
        <f t="array" ref="C764">ifs(and(isblank($A764),isblank($B764)),"", not(iserror(vlookup($A764&amp;$B764,'5) Release_Track'!$F:$F&amp;'5) Release_Track'!$G:$G,1,0))),vlookup($A764&amp;$B764,{'5) Release_Track'!$F:$F&amp;'5) Release_Track'!$G:$G,'5) Release_Track'!$H:$H},2,0),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D764" s="121" t="str">
        <f t="array" ref="D764">ifs(and(isblank($A764),isblank($B764)),"", not(iserror(vlookup($A764&amp;$B764,'5) Release_Track'!$F:$F&amp;'5) Release_Track'!$G:$G,1,0))),vlookup($A764&amp;$B764,{'5) Release_Track'!$F:$F&amp;'5) Release_Track'!$G:$G,'5) Release_Track'!$I:$I},2,0),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E764" s="150" t="b">
        <v>0</v>
      </c>
      <c r="F764" s="150" t="b">
        <v>0</v>
      </c>
      <c r="G764" s="150" t="b">
        <v>0</v>
      </c>
      <c r="H764" s="150" t="b">
        <v>0</v>
      </c>
      <c r="I764" s="150" t="b">
        <v>0</v>
      </c>
      <c r="J764" s="150" t="b">
        <v>0</v>
      </c>
      <c r="K764" s="150" t="b">
        <v>0</v>
      </c>
      <c r="L764" s="8" t="b">
        <v>0</v>
      </c>
    </row>
    <row r="765">
      <c r="B765" s="97"/>
      <c r="C765" s="121" t="str">
        <f t="array" ref="C765">ifs(and(isblank($A765),isblank($B765)),"", not(iserror(vlookup($A765&amp;$B765,'5) Release_Track'!$F:$F&amp;'5) Release_Track'!$G:$G,1,0))),vlookup($A765&amp;$B765,{'5) Release_Track'!$F:$F&amp;'5) Release_Track'!$G:$G,'5) Release_Track'!$H:$H},2,0),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D765" s="121" t="str">
        <f t="array" ref="D765">ifs(and(isblank($A765),isblank($B765)),"", not(iserror(vlookup($A765&amp;$B765,'5) Release_Track'!$F:$F&amp;'5) Release_Track'!$G:$G,1,0))),vlookup($A765&amp;$B765,{'5) Release_Track'!$F:$F&amp;'5) Release_Track'!$G:$G,'5) Release_Track'!$I:$I},2,0),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E765" s="150" t="b">
        <v>0</v>
      </c>
      <c r="F765" s="150" t="b">
        <v>0</v>
      </c>
      <c r="G765" s="150" t="b">
        <v>0</v>
      </c>
      <c r="H765" s="150" t="b">
        <v>0</v>
      </c>
      <c r="I765" s="150" t="b">
        <v>0</v>
      </c>
      <c r="J765" s="150" t="b">
        <v>0</v>
      </c>
      <c r="K765" s="150" t="b">
        <v>0</v>
      </c>
      <c r="L765" s="8" t="b">
        <v>0</v>
      </c>
    </row>
    <row r="766">
      <c r="B766" s="97"/>
      <c r="C766" s="121" t="str">
        <f t="array" ref="C766">ifs(and(isblank($A766),isblank($B766)),"", not(iserror(vlookup($A766&amp;$B766,'5) Release_Track'!$F:$F&amp;'5) Release_Track'!$G:$G,1,0))),vlookup($A766&amp;$B766,{'5) Release_Track'!$F:$F&amp;'5) Release_Track'!$G:$G,'5) Release_Track'!$H:$H},2,0),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D766" s="121" t="str">
        <f t="array" ref="D766">ifs(and(isblank($A766),isblank($B766)),"", not(iserror(vlookup($A766&amp;$B766,'5) Release_Track'!$F:$F&amp;'5) Release_Track'!$G:$G,1,0))),vlookup($A766&amp;$B766,{'5) Release_Track'!$F:$F&amp;'5) Release_Track'!$G:$G,'5) Release_Track'!$I:$I},2,0),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E766" s="150" t="b">
        <v>0</v>
      </c>
      <c r="F766" s="150" t="b">
        <v>0</v>
      </c>
      <c r="G766" s="150" t="b">
        <v>0</v>
      </c>
      <c r="H766" s="150" t="b">
        <v>0</v>
      </c>
      <c r="I766" s="150" t="b">
        <v>0</v>
      </c>
      <c r="J766" s="150" t="b">
        <v>0</v>
      </c>
      <c r="K766" s="150" t="b">
        <v>0</v>
      </c>
      <c r="L766" s="8" t="b">
        <v>0</v>
      </c>
    </row>
    <row r="767">
      <c r="B767" s="97"/>
      <c r="C767" s="121" t="str">
        <f t="array" ref="C767">ifs(and(isblank($A767),isblank($B767)),"", not(iserror(vlookup($A767&amp;$B767,'5) Release_Track'!$F:$F&amp;'5) Release_Track'!$G:$G,1,0))),vlookup($A767&amp;$B767,{'5) Release_Track'!$F:$F&amp;'5) Release_Track'!$G:$G,'5) Release_Track'!$H:$H},2,0),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D767" s="121" t="str">
        <f t="array" ref="D767">ifs(and(isblank($A767),isblank($B767)),"", not(iserror(vlookup($A767&amp;$B767,'5) Release_Track'!$F:$F&amp;'5) Release_Track'!$G:$G,1,0))),vlookup($A767&amp;$B767,{'5) Release_Track'!$F:$F&amp;'5) Release_Track'!$G:$G,'5) Release_Track'!$I:$I},2,0),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E767" s="150" t="b">
        <v>0</v>
      </c>
      <c r="F767" s="150" t="b">
        <v>0</v>
      </c>
      <c r="G767" s="150" t="b">
        <v>0</v>
      </c>
      <c r="H767" s="150" t="b">
        <v>0</v>
      </c>
      <c r="I767" s="150" t="b">
        <v>0</v>
      </c>
      <c r="J767" s="150" t="b">
        <v>0</v>
      </c>
      <c r="K767" s="150" t="b">
        <v>0</v>
      </c>
      <c r="L767" s="8" t="b">
        <v>0</v>
      </c>
    </row>
    <row r="768">
      <c r="B768" s="97"/>
      <c r="C768" s="121" t="str">
        <f t="array" ref="C768">ifs(and(isblank($A768),isblank($B768)),"", not(iserror(vlookup($A768&amp;$B768,'5) Release_Track'!$F:$F&amp;'5) Release_Track'!$G:$G,1,0))),vlookup($A768&amp;$B768,{'5) Release_Track'!$F:$F&amp;'5) Release_Track'!$G:$G,'5) Release_Track'!$H:$H},2,0),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D768" s="121" t="str">
        <f t="array" ref="D768">ifs(and(isblank($A768),isblank($B768)),"", not(iserror(vlookup($A768&amp;$B768,'5) Release_Track'!$F:$F&amp;'5) Release_Track'!$G:$G,1,0))),vlookup($A768&amp;$B768,{'5) Release_Track'!$F:$F&amp;'5) Release_Track'!$G:$G,'5) Release_Track'!$I:$I},2,0),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E768" s="150" t="b">
        <v>0</v>
      </c>
      <c r="F768" s="150" t="b">
        <v>0</v>
      </c>
      <c r="G768" s="150" t="b">
        <v>0</v>
      </c>
      <c r="H768" s="150" t="b">
        <v>0</v>
      </c>
      <c r="I768" s="150" t="b">
        <v>0</v>
      </c>
      <c r="J768" s="150" t="b">
        <v>0</v>
      </c>
      <c r="K768" s="150" t="b">
        <v>0</v>
      </c>
      <c r="L768" s="8" t="b">
        <v>0</v>
      </c>
    </row>
    <row r="769">
      <c r="B769" s="97"/>
      <c r="C769" s="121" t="str">
        <f t="array" ref="C769">ifs(and(isblank($A769),isblank($B769)),"", not(iserror(vlookup($A769&amp;$B769,'5) Release_Track'!$F:$F&amp;'5) Release_Track'!$G:$G,1,0))),vlookup($A769&amp;$B769,{'5) Release_Track'!$F:$F&amp;'5) Release_Track'!$G:$G,'5) Release_Track'!$H:$H},2,0),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D769" s="121" t="str">
        <f t="array" ref="D769">ifs(and(isblank($A769),isblank($B769)),"", not(iserror(vlookup($A769&amp;$B769,'5) Release_Track'!$F:$F&amp;'5) Release_Track'!$G:$G,1,0))),vlookup($A769&amp;$B769,{'5) Release_Track'!$F:$F&amp;'5) Release_Track'!$G:$G,'5) Release_Track'!$I:$I},2,0),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E769" s="150" t="b">
        <v>0</v>
      </c>
      <c r="F769" s="150" t="b">
        <v>0</v>
      </c>
      <c r="G769" s="150" t="b">
        <v>0</v>
      </c>
      <c r="H769" s="150" t="b">
        <v>0</v>
      </c>
      <c r="I769" s="150" t="b">
        <v>0</v>
      </c>
      <c r="J769" s="150" t="b">
        <v>0</v>
      </c>
      <c r="K769" s="150" t="b">
        <v>0</v>
      </c>
      <c r="L769" s="8" t="b">
        <v>0</v>
      </c>
    </row>
    <row r="770">
      <c r="B770" s="97"/>
      <c r="C770" s="121" t="str">
        <f t="array" ref="C770">ifs(and(isblank($A770),isblank($B770)),"", not(iserror(vlookup($A770&amp;$B770,'5) Release_Track'!$F:$F&amp;'5) Release_Track'!$G:$G,1,0))),vlookup($A770&amp;$B770,{'5) Release_Track'!$F:$F&amp;'5) Release_Track'!$G:$G,'5) Release_Track'!$H:$H},2,0),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D770" s="121" t="str">
        <f t="array" ref="D770">ifs(and(isblank($A770),isblank($B770)),"", not(iserror(vlookup($A770&amp;$B770,'5) Release_Track'!$F:$F&amp;'5) Release_Track'!$G:$G,1,0))),vlookup($A770&amp;$B770,{'5) Release_Track'!$F:$F&amp;'5) Release_Track'!$G:$G,'5) Release_Track'!$I:$I},2,0),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E770" s="150" t="b">
        <v>0</v>
      </c>
      <c r="F770" s="150" t="b">
        <v>0</v>
      </c>
      <c r="G770" s="150" t="b">
        <v>0</v>
      </c>
      <c r="H770" s="150" t="b">
        <v>0</v>
      </c>
      <c r="I770" s="150" t="b">
        <v>0</v>
      </c>
      <c r="J770" s="150" t="b">
        <v>0</v>
      </c>
      <c r="K770" s="150" t="b">
        <v>0</v>
      </c>
      <c r="L770" s="8" t="b">
        <v>0</v>
      </c>
    </row>
    <row r="771">
      <c r="B771" s="97"/>
      <c r="C771" s="121" t="str">
        <f t="array" ref="C771">ifs(and(isblank($A771),isblank($B771)),"", not(iserror(vlookup($A771&amp;$B771,'5) Release_Track'!$F:$F&amp;'5) Release_Track'!$G:$G,1,0))),vlookup($A771&amp;$B771,{'5) Release_Track'!$F:$F&amp;'5) Release_Track'!$G:$G,'5) Release_Track'!$H:$H},2,0),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D771" s="121" t="str">
        <f t="array" ref="D771">ifs(and(isblank($A771),isblank($B771)),"", not(iserror(vlookup($A771&amp;$B771,'5) Release_Track'!$F:$F&amp;'5) Release_Track'!$G:$G,1,0))),vlookup($A771&amp;$B771,{'5) Release_Track'!$F:$F&amp;'5) Release_Track'!$G:$G,'5) Release_Track'!$I:$I},2,0),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E771" s="150" t="b">
        <v>0</v>
      </c>
      <c r="F771" s="150" t="b">
        <v>0</v>
      </c>
      <c r="G771" s="150" t="b">
        <v>0</v>
      </c>
      <c r="H771" s="150" t="b">
        <v>0</v>
      </c>
      <c r="I771" s="150" t="b">
        <v>0</v>
      </c>
      <c r="J771" s="150" t="b">
        <v>0</v>
      </c>
      <c r="K771" s="150" t="b">
        <v>0</v>
      </c>
      <c r="L771" s="8" t="b">
        <v>0</v>
      </c>
    </row>
    <row r="772">
      <c r="B772" s="97"/>
      <c r="C772" s="121" t="str">
        <f t="array" ref="C772">ifs(and(isblank($A772),isblank($B772)),"", not(iserror(vlookup($A772&amp;$B772,'5) Release_Track'!$F:$F&amp;'5) Release_Track'!$G:$G,1,0))),vlookup($A772&amp;$B772,{'5) Release_Track'!$F:$F&amp;'5) Release_Track'!$G:$G,'5) Release_Track'!$H:$H},2,0),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D772" s="121" t="str">
        <f t="array" ref="D772">ifs(and(isblank($A772),isblank($B772)),"", not(iserror(vlookup($A772&amp;$B772,'5) Release_Track'!$F:$F&amp;'5) Release_Track'!$G:$G,1,0))),vlookup($A772&amp;$B772,{'5) Release_Track'!$F:$F&amp;'5) Release_Track'!$G:$G,'5) Release_Track'!$I:$I},2,0),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E772" s="150" t="b">
        <v>0</v>
      </c>
      <c r="F772" s="150" t="b">
        <v>0</v>
      </c>
      <c r="G772" s="150" t="b">
        <v>0</v>
      </c>
      <c r="H772" s="150" t="b">
        <v>0</v>
      </c>
      <c r="I772" s="150" t="b">
        <v>0</v>
      </c>
      <c r="J772" s="150" t="b">
        <v>0</v>
      </c>
      <c r="K772" s="150" t="b">
        <v>0</v>
      </c>
      <c r="L772" s="8" t="b">
        <v>0</v>
      </c>
    </row>
    <row r="773">
      <c r="B773" s="97"/>
      <c r="C773" s="121" t="str">
        <f t="array" ref="C773">ifs(and(isblank($A773),isblank($B773)),"", not(iserror(vlookup($A773&amp;$B773,'5) Release_Track'!$F:$F&amp;'5) Release_Track'!$G:$G,1,0))),vlookup($A773&amp;$B773,{'5) Release_Track'!$F:$F&amp;'5) Release_Track'!$G:$G,'5) Release_Track'!$H:$H},2,0),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D773" s="121" t="str">
        <f t="array" ref="D773">ifs(and(isblank($A773),isblank($B773)),"", not(iserror(vlookup($A773&amp;$B773,'5) Release_Track'!$F:$F&amp;'5) Release_Track'!$G:$G,1,0))),vlookup($A773&amp;$B773,{'5) Release_Track'!$F:$F&amp;'5) Release_Track'!$G:$G,'5) Release_Track'!$I:$I},2,0),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E773" s="150" t="b">
        <v>0</v>
      </c>
      <c r="F773" s="150" t="b">
        <v>0</v>
      </c>
      <c r="G773" s="150" t="b">
        <v>0</v>
      </c>
      <c r="H773" s="150" t="b">
        <v>0</v>
      </c>
      <c r="I773" s="150" t="b">
        <v>0</v>
      </c>
      <c r="J773" s="150" t="b">
        <v>0</v>
      </c>
      <c r="K773" s="150" t="b">
        <v>0</v>
      </c>
      <c r="L773" s="8" t="b">
        <v>0</v>
      </c>
    </row>
    <row r="774">
      <c r="B774" s="97"/>
      <c r="C774" s="121" t="str">
        <f t="array" ref="C774">ifs(and(isblank($A774),isblank($B774)),"", not(iserror(vlookup($A774&amp;$B774,'5) Release_Track'!$F:$F&amp;'5) Release_Track'!$G:$G,1,0))),vlookup($A774&amp;$B774,{'5) Release_Track'!$F:$F&amp;'5) Release_Track'!$G:$G,'5) Release_Track'!$H:$H},2,0),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D774" s="121" t="str">
        <f t="array" ref="D774">ifs(and(isblank($A774),isblank($B774)),"", not(iserror(vlookup($A774&amp;$B774,'5) Release_Track'!$F:$F&amp;'5) Release_Track'!$G:$G,1,0))),vlookup($A774&amp;$B774,{'5) Release_Track'!$F:$F&amp;'5) Release_Track'!$G:$G,'5) Release_Track'!$I:$I},2,0),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E774" s="150" t="b">
        <v>0</v>
      </c>
      <c r="F774" s="150" t="b">
        <v>0</v>
      </c>
      <c r="G774" s="150" t="b">
        <v>0</v>
      </c>
      <c r="H774" s="150" t="b">
        <v>0</v>
      </c>
      <c r="I774" s="150" t="b">
        <v>0</v>
      </c>
      <c r="J774" s="150" t="b">
        <v>0</v>
      </c>
      <c r="K774" s="150" t="b">
        <v>0</v>
      </c>
      <c r="L774" s="8" t="b">
        <v>0</v>
      </c>
    </row>
    <row r="775">
      <c r="B775" s="97"/>
      <c r="C775" s="121" t="str">
        <f t="array" ref="C775">ifs(and(isblank($A775),isblank($B775)),"", not(iserror(vlookup($A775&amp;$B775,'5) Release_Track'!$F:$F&amp;'5) Release_Track'!$G:$G,1,0))),vlookup($A775&amp;$B775,{'5) Release_Track'!$F:$F&amp;'5) Release_Track'!$G:$G,'5) Release_Track'!$H:$H},2,0),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D775" s="121" t="str">
        <f t="array" ref="D775">ifs(and(isblank($A775),isblank($B775)),"", not(iserror(vlookup($A775&amp;$B775,'5) Release_Track'!$F:$F&amp;'5) Release_Track'!$G:$G,1,0))),vlookup($A775&amp;$B775,{'5) Release_Track'!$F:$F&amp;'5) Release_Track'!$G:$G,'5) Release_Track'!$I:$I},2,0),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E775" s="150" t="b">
        <v>0</v>
      </c>
      <c r="F775" s="150" t="b">
        <v>0</v>
      </c>
      <c r="G775" s="150" t="b">
        <v>0</v>
      </c>
      <c r="H775" s="150" t="b">
        <v>0</v>
      </c>
      <c r="I775" s="150" t="b">
        <v>0</v>
      </c>
      <c r="J775" s="150" t="b">
        <v>0</v>
      </c>
      <c r="K775" s="150" t="b">
        <v>0</v>
      </c>
      <c r="L775" s="8" t="b">
        <v>0</v>
      </c>
    </row>
    <row r="776">
      <c r="B776" s="97"/>
      <c r="C776" s="121" t="str">
        <f t="array" ref="C776">ifs(and(isblank($A776),isblank($B776)),"", not(iserror(vlookup($A776&amp;$B776,'5) Release_Track'!$F:$F&amp;'5) Release_Track'!$G:$G,1,0))),vlookup($A776&amp;$B776,{'5) Release_Track'!$F:$F&amp;'5) Release_Track'!$G:$G,'5) Release_Track'!$H:$H},2,0),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D776" s="121" t="str">
        <f t="array" ref="D776">ifs(and(isblank($A776),isblank($B776)),"", not(iserror(vlookup($A776&amp;$B776,'5) Release_Track'!$F:$F&amp;'5) Release_Track'!$G:$G,1,0))),vlookup($A776&amp;$B776,{'5) Release_Track'!$F:$F&amp;'5) Release_Track'!$G:$G,'5) Release_Track'!$I:$I},2,0),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E776" s="150" t="b">
        <v>0</v>
      </c>
      <c r="F776" s="150" t="b">
        <v>0</v>
      </c>
      <c r="G776" s="150" t="b">
        <v>0</v>
      </c>
      <c r="H776" s="150" t="b">
        <v>0</v>
      </c>
      <c r="I776" s="150" t="b">
        <v>0</v>
      </c>
      <c r="J776" s="150" t="b">
        <v>0</v>
      </c>
      <c r="K776" s="150" t="b">
        <v>0</v>
      </c>
      <c r="L776" s="8" t="b">
        <v>0</v>
      </c>
    </row>
    <row r="777">
      <c r="B777" s="97"/>
      <c r="C777" s="121" t="str">
        <f t="array" ref="C777">ifs(and(isblank($A777),isblank($B777)),"", not(iserror(vlookup($A777&amp;$B777,'5) Release_Track'!$F:$F&amp;'5) Release_Track'!$G:$G,1,0))),vlookup($A777&amp;$B777,{'5) Release_Track'!$F:$F&amp;'5) Release_Track'!$G:$G,'5) Release_Track'!$H:$H},2,0),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D777" s="121" t="str">
        <f t="array" ref="D777">ifs(and(isblank($A777),isblank($B777)),"", not(iserror(vlookup($A777&amp;$B777,'5) Release_Track'!$F:$F&amp;'5) Release_Track'!$G:$G,1,0))),vlookup($A777&amp;$B777,{'5) Release_Track'!$F:$F&amp;'5) Release_Track'!$G:$G,'5) Release_Track'!$I:$I},2,0),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E777" s="150" t="b">
        <v>0</v>
      </c>
      <c r="F777" s="150" t="b">
        <v>0</v>
      </c>
      <c r="G777" s="150" t="b">
        <v>0</v>
      </c>
      <c r="H777" s="150" t="b">
        <v>0</v>
      </c>
      <c r="I777" s="150" t="b">
        <v>0</v>
      </c>
      <c r="J777" s="150" t="b">
        <v>0</v>
      </c>
      <c r="K777" s="150" t="b">
        <v>0</v>
      </c>
      <c r="L777" s="8" t="b">
        <v>0</v>
      </c>
    </row>
    <row r="778">
      <c r="B778" s="97"/>
      <c r="C778" s="121" t="str">
        <f t="array" ref="C778">ifs(and(isblank($A778),isblank($B778)),"", not(iserror(vlookup($A778&amp;$B778,'5) Release_Track'!$F:$F&amp;'5) Release_Track'!$G:$G,1,0))),vlookup($A778&amp;$B778,{'5) Release_Track'!$F:$F&amp;'5) Release_Track'!$G:$G,'5) Release_Track'!$H:$H},2,0),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D778" s="121" t="str">
        <f t="array" ref="D778">ifs(and(isblank($A778),isblank($B778)),"", not(iserror(vlookup($A778&amp;$B778,'5) Release_Track'!$F:$F&amp;'5) Release_Track'!$G:$G,1,0))),vlookup($A778&amp;$B778,{'5) Release_Track'!$F:$F&amp;'5) Release_Track'!$G:$G,'5) Release_Track'!$I:$I},2,0),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E778" s="150" t="b">
        <v>0</v>
      </c>
      <c r="F778" s="150" t="b">
        <v>0</v>
      </c>
      <c r="G778" s="150" t="b">
        <v>0</v>
      </c>
      <c r="H778" s="150" t="b">
        <v>0</v>
      </c>
      <c r="I778" s="150" t="b">
        <v>0</v>
      </c>
      <c r="J778" s="150" t="b">
        <v>0</v>
      </c>
      <c r="K778" s="150" t="b">
        <v>0</v>
      </c>
      <c r="L778" s="8" t="b">
        <v>0</v>
      </c>
    </row>
    <row r="779">
      <c r="B779" s="97"/>
      <c r="C779" s="121" t="str">
        <f t="array" ref="C779">ifs(and(isblank($A779),isblank($B779)),"", not(iserror(vlookup($A779&amp;$B779,'5) Release_Track'!$F:$F&amp;'5) Release_Track'!$G:$G,1,0))),vlookup($A779&amp;$B779,{'5) Release_Track'!$F:$F&amp;'5) Release_Track'!$G:$G,'5) Release_Track'!$H:$H},2,0),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D779" s="121" t="str">
        <f t="array" ref="D779">ifs(and(isblank($A779),isblank($B779)),"", not(iserror(vlookup($A779&amp;$B779,'5) Release_Track'!$F:$F&amp;'5) Release_Track'!$G:$G,1,0))),vlookup($A779&amp;$B779,{'5) Release_Track'!$F:$F&amp;'5) Release_Track'!$G:$G,'5) Release_Track'!$I:$I},2,0),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E779" s="150" t="b">
        <v>0</v>
      </c>
      <c r="F779" s="150" t="b">
        <v>0</v>
      </c>
      <c r="G779" s="150" t="b">
        <v>0</v>
      </c>
      <c r="H779" s="150" t="b">
        <v>0</v>
      </c>
      <c r="I779" s="150" t="b">
        <v>0</v>
      </c>
      <c r="J779" s="150" t="b">
        <v>0</v>
      </c>
      <c r="K779" s="150" t="b">
        <v>0</v>
      </c>
      <c r="L779" s="8" t="b">
        <v>0</v>
      </c>
    </row>
    <row r="780">
      <c r="B780" s="97"/>
      <c r="C780" s="121" t="str">
        <f t="array" ref="C780">ifs(and(isblank($A780),isblank($B780)),"", not(iserror(vlookup($A780&amp;$B780,'5) Release_Track'!$F:$F&amp;'5) Release_Track'!$G:$G,1,0))),vlookup($A780&amp;$B780,{'5) Release_Track'!$F:$F&amp;'5) Release_Track'!$G:$G,'5) Release_Track'!$H:$H},2,0),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D780" s="121" t="str">
        <f t="array" ref="D780">ifs(and(isblank($A780),isblank($B780)),"", not(iserror(vlookup($A780&amp;$B780,'5) Release_Track'!$F:$F&amp;'5) Release_Track'!$G:$G,1,0))),vlookup($A780&amp;$B780,{'5) Release_Track'!$F:$F&amp;'5) Release_Track'!$G:$G,'5) Release_Track'!$I:$I},2,0),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E780" s="150" t="b">
        <v>0</v>
      </c>
      <c r="F780" s="150" t="b">
        <v>0</v>
      </c>
      <c r="G780" s="150" t="b">
        <v>0</v>
      </c>
      <c r="H780" s="150" t="b">
        <v>0</v>
      </c>
      <c r="I780" s="150" t="b">
        <v>0</v>
      </c>
      <c r="J780" s="150" t="b">
        <v>0</v>
      </c>
      <c r="K780" s="150" t="b">
        <v>0</v>
      </c>
      <c r="L780" s="8" t="b">
        <v>0</v>
      </c>
    </row>
    <row r="781">
      <c r="B781" s="97"/>
      <c r="C781" s="121" t="str">
        <f t="array" ref="C781">ifs(and(isblank($A781),isblank($B781)),"", not(iserror(vlookup($A781&amp;$B781,'5) Release_Track'!$F:$F&amp;'5) Release_Track'!$G:$G,1,0))),vlookup($A781&amp;$B781,{'5) Release_Track'!$F:$F&amp;'5) Release_Track'!$G:$G,'5) Release_Track'!$H:$H},2,0),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D781" s="121" t="str">
        <f t="array" ref="D781">ifs(and(isblank($A781),isblank($B781)),"", not(iserror(vlookup($A781&amp;$B781,'5) Release_Track'!$F:$F&amp;'5) Release_Track'!$G:$G,1,0))),vlookup($A781&amp;$B781,{'5) Release_Track'!$F:$F&amp;'5) Release_Track'!$G:$G,'5) Release_Track'!$I:$I},2,0),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E781" s="150" t="b">
        <v>0</v>
      </c>
      <c r="F781" s="150" t="b">
        <v>0</v>
      </c>
      <c r="G781" s="150" t="b">
        <v>0</v>
      </c>
      <c r="H781" s="150" t="b">
        <v>0</v>
      </c>
      <c r="I781" s="150" t="b">
        <v>0</v>
      </c>
      <c r="J781" s="150" t="b">
        <v>0</v>
      </c>
      <c r="K781" s="150" t="b">
        <v>0</v>
      </c>
      <c r="L781" s="8" t="b">
        <v>0</v>
      </c>
    </row>
    <row r="782">
      <c r="B782" s="97"/>
      <c r="C782" s="121" t="str">
        <f t="array" ref="C782">ifs(and(isblank($A782),isblank($B782)),"", not(iserror(vlookup($A782&amp;$B782,'5) Release_Track'!$F:$F&amp;'5) Release_Track'!$G:$G,1,0))),vlookup($A782&amp;$B782,{'5) Release_Track'!$F:$F&amp;'5) Release_Track'!$G:$G,'5) Release_Track'!$H:$H},2,0),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D782" s="121" t="str">
        <f t="array" ref="D782">ifs(and(isblank($A782),isblank($B782)),"", not(iserror(vlookup($A782&amp;$B782,'5) Release_Track'!$F:$F&amp;'5) Release_Track'!$G:$G,1,0))),vlookup($A782&amp;$B782,{'5) Release_Track'!$F:$F&amp;'5) Release_Track'!$G:$G,'5) Release_Track'!$I:$I},2,0),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E782" s="150" t="b">
        <v>0</v>
      </c>
      <c r="F782" s="150" t="b">
        <v>0</v>
      </c>
      <c r="G782" s="150" t="b">
        <v>0</v>
      </c>
      <c r="H782" s="150" t="b">
        <v>0</v>
      </c>
      <c r="I782" s="150" t="b">
        <v>0</v>
      </c>
      <c r="J782" s="150" t="b">
        <v>0</v>
      </c>
      <c r="K782" s="150" t="b">
        <v>0</v>
      </c>
      <c r="L782" s="8" t="b">
        <v>0</v>
      </c>
    </row>
    <row r="783">
      <c r="B783" s="97"/>
      <c r="C783" s="121" t="str">
        <f t="array" ref="C783">ifs(and(isblank($A783),isblank($B783)),"", not(iserror(vlookup($A783&amp;$B783,'5) Release_Track'!$F:$F&amp;'5) Release_Track'!$G:$G,1,0))),vlookup($A783&amp;$B783,{'5) Release_Track'!$F:$F&amp;'5) Release_Track'!$G:$G,'5) Release_Track'!$H:$H},2,0),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D783" s="121" t="str">
        <f t="array" ref="D783">ifs(and(isblank($A783),isblank($B783)),"", not(iserror(vlookup($A783&amp;$B783,'5) Release_Track'!$F:$F&amp;'5) Release_Track'!$G:$G,1,0))),vlookup($A783&amp;$B783,{'5) Release_Track'!$F:$F&amp;'5) Release_Track'!$G:$G,'5) Release_Track'!$I:$I},2,0),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E783" s="150" t="b">
        <v>0</v>
      </c>
      <c r="F783" s="150" t="b">
        <v>0</v>
      </c>
      <c r="G783" s="150" t="b">
        <v>0</v>
      </c>
      <c r="H783" s="150" t="b">
        <v>0</v>
      </c>
      <c r="I783" s="150" t="b">
        <v>0</v>
      </c>
      <c r="J783" s="150" t="b">
        <v>0</v>
      </c>
      <c r="K783" s="150" t="b">
        <v>0</v>
      </c>
      <c r="L783" s="8" t="b">
        <v>0</v>
      </c>
    </row>
    <row r="784">
      <c r="B784" s="97"/>
      <c r="C784" s="121" t="str">
        <f t="array" ref="C784">ifs(and(isblank($A784),isblank($B784)),"", not(iserror(vlookup($A784&amp;$B784,'5) Release_Track'!$F:$F&amp;'5) Release_Track'!$G:$G,1,0))),vlookup($A784&amp;$B784,{'5) Release_Track'!$F:$F&amp;'5) Release_Track'!$G:$G,'5) Release_Track'!$H:$H},2,0),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D784" s="121" t="str">
        <f t="array" ref="D784">ifs(and(isblank($A784),isblank($B784)),"", not(iserror(vlookup($A784&amp;$B784,'5) Release_Track'!$F:$F&amp;'5) Release_Track'!$G:$G,1,0))),vlookup($A784&amp;$B784,{'5) Release_Track'!$F:$F&amp;'5) Release_Track'!$G:$G,'5) Release_Track'!$I:$I},2,0),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E784" s="150" t="b">
        <v>0</v>
      </c>
      <c r="F784" s="150" t="b">
        <v>0</v>
      </c>
      <c r="G784" s="150" t="b">
        <v>0</v>
      </c>
      <c r="H784" s="150" t="b">
        <v>0</v>
      </c>
      <c r="I784" s="150" t="b">
        <v>0</v>
      </c>
      <c r="J784" s="150" t="b">
        <v>0</v>
      </c>
      <c r="K784" s="150" t="b">
        <v>0</v>
      </c>
      <c r="L784" s="8" t="b">
        <v>0</v>
      </c>
    </row>
    <row r="785">
      <c r="B785" s="97"/>
      <c r="C785" s="121" t="str">
        <f t="array" ref="C785">ifs(and(isblank($A785),isblank($B785)),"", not(iserror(vlookup($A785&amp;$B785,'5) Release_Track'!$F:$F&amp;'5) Release_Track'!$G:$G,1,0))),vlookup($A785&amp;$B785,{'5) Release_Track'!$F:$F&amp;'5) Release_Track'!$G:$G,'5) Release_Track'!$H:$H},2,0),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D785" s="121" t="str">
        <f t="array" ref="D785">ifs(and(isblank($A785),isblank($B785)),"", not(iserror(vlookup($A785&amp;$B785,'5) Release_Track'!$F:$F&amp;'5) Release_Track'!$G:$G,1,0))),vlookup($A785&amp;$B785,{'5) Release_Track'!$F:$F&amp;'5) Release_Track'!$G:$G,'5) Release_Track'!$I:$I},2,0),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E785" s="150" t="b">
        <v>0</v>
      </c>
      <c r="F785" s="150" t="b">
        <v>0</v>
      </c>
      <c r="G785" s="150" t="b">
        <v>0</v>
      </c>
      <c r="H785" s="150" t="b">
        <v>0</v>
      </c>
      <c r="I785" s="150" t="b">
        <v>0</v>
      </c>
      <c r="J785" s="150" t="b">
        <v>0</v>
      </c>
      <c r="K785" s="150" t="b">
        <v>0</v>
      </c>
      <c r="L785" s="8" t="b">
        <v>0</v>
      </c>
    </row>
    <row r="786">
      <c r="B786" s="97"/>
      <c r="C786" s="121" t="str">
        <f t="array" ref="C786">ifs(and(isblank($A786),isblank($B786)),"", not(iserror(vlookup($A786&amp;$B786,'5) Release_Track'!$F:$F&amp;'5) Release_Track'!$G:$G,1,0))),vlookup($A786&amp;$B786,{'5) Release_Track'!$F:$F&amp;'5) Release_Track'!$G:$G,'5) Release_Track'!$H:$H},2,0),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D786" s="121" t="str">
        <f t="array" ref="D786">ifs(and(isblank($A786),isblank($B786)),"", not(iserror(vlookup($A786&amp;$B786,'5) Release_Track'!$F:$F&amp;'5) Release_Track'!$G:$G,1,0))),vlookup($A786&amp;$B786,{'5) Release_Track'!$F:$F&amp;'5) Release_Track'!$G:$G,'5) Release_Track'!$I:$I},2,0),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E786" s="150" t="b">
        <v>0</v>
      </c>
      <c r="F786" s="150" t="b">
        <v>0</v>
      </c>
      <c r="G786" s="150" t="b">
        <v>0</v>
      </c>
      <c r="H786" s="150" t="b">
        <v>0</v>
      </c>
      <c r="I786" s="150" t="b">
        <v>0</v>
      </c>
      <c r="J786" s="150" t="b">
        <v>0</v>
      </c>
      <c r="K786" s="150" t="b">
        <v>0</v>
      </c>
      <c r="L786" s="8" t="b">
        <v>0</v>
      </c>
    </row>
    <row r="787">
      <c r="B787" s="97"/>
      <c r="C787" s="121" t="str">
        <f t="array" ref="C787">ifs(and(isblank($A787),isblank($B787)),"", not(iserror(vlookup($A787&amp;$B787,'5) Release_Track'!$F:$F&amp;'5) Release_Track'!$G:$G,1,0))),vlookup($A787&amp;$B787,{'5) Release_Track'!$F:$F&amp;'5) Release_Track'!$G:$G,'5) Release_Track'!$H:$H},2,0),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D787" s="121" t="str">
        <f t="array" ref="D787">ifs(and(isblank($A787),isblank($B787)),"", not(iserror(vlookup($A787&amp;$B787,'5) Release_Track'!$F:$F&amp;'5) Release_Track'!$G:$G,1,0))),vlookup($A787&amp;$B787,{'5) Release_Track'!$F:$F&amp;'5) Release_Track'!$G:$G,'5) Release_Track'!$I:$I},2,0),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E787" s="150" t="b">
        <v>0</v>
      </c>
      <c r="F787" s="150" t="b">
        <v>0</v>
      </c>
      <c r="G787" s="150" t="b">
        <v>0</v>
      </c>
      <c r="H787" s="150" t="b">
        <v>0</v>
      </c>
      <c r="I787" s="150" t="b">
        <v>0</v>
      </c>
      <c r="J787" s="150" t="b">
        <v>0</v>
      </c>
      <c r="K787" s="150" t="b">
        <v>0</v>
      </c>
      <c r="L787" s="8" t="b">
        <v>0</v>
      </c>
    </row>
    <row r="788">
      <c r="B788" s="97"/>
      <c r="C788" s="121" t="str">
        <f t="array" ref="C788">ifs(and(isblank($A788),isblank($B788)),"", not(iserror(vlookup($A788&amp;$B788,'5) Release_Track'!$F:$F&amp;'5) Release_Track'!$G:$G,1,0))),vlookup($A788&amp;$B788,{'5) Release_Track'!$F:$F&amp;'5) Release_Track'!$G:$G,'5) Release_Track'!$H:$H},2,0),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D788" s="121" t="str">
        <f t="array" ref="D788">ifs(and(isblank($A788),isblank($B788)),"", not(iserror(vlookup($A788&amp;$B788,'5) Release_Track'!$F:$F&amp;'5) Release_Track'!$G:$G,1,0))),vlookup($A788&amp;$B788,{'5) Release_Track'!$F:$F&amp;'5) Release_Track'!$G:$G,'5) Release_Track'!$I:$I},2,0),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E788" s="150" t="b">
        <v>0</v>
      </c>
      <c r="F788" s="150" t="b">
        <v>0</v>
      </c>
      <c r="G788" s="150" t="b">
        <v>0</v>
      </c>
      <c r="H788" s="150" t="b">
        <v>0</v>
      </c>
      <c r="I788" s="150" t="b">
        <v>0</v>
      </c>
      <c r="J788" s="150" t="b">
        <v>0</v>
      </c>
      <c r="K788" s="150" t="b">
        <v>0</v>
      </c>
      <c r="L788" s="8" t="b">
        <v>0</v>
      </c>
    </row>
    <row r="789">
      <c r="B789" s="97"/>
      <c r="C789" s="121" t="str">
        <f t="array" ref="C789">ifs(and(isblank($A789),isblank($B789)),"", not(iserror(vlookup($A789&amp;$B789,'5) Release_Track'!$F:$F&amp;'5) Release_Track'!$G:$G,1,0))),vlookup($A789&amp;$B789,{'5) Release_Track'!$F:$F&amp;'5) Release_Track'!$G:$G,'5) Release_Track'!$H:$H},2,0),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D789" s="121" t="str">
        <f t="array" ref="D789">ifs(and(isblank($A789),isblank($B789)),"", not(iserror(vlookup($A789&amp;$B789,'5) Release_Track'!$F:$F&amp;'5) Release_Track'!$G:$G,1,0))),vlookup($A789&amp;$B789,{'5) Release_Track'!$F:$F&amp;'5) Release_Track'!$G:$G,'5) Release_Track'!$I:$I},2,0),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E789" s="150" t="b">
        <v>0</v>
      </c>
      <c r="F789" s="150" t="b">
        <v>0</v>
      </c>
      <c r="G789" s="150" t="b">
        <v>0</v>
      </c>
      <c r="H789" s="150" t="b">
        <v>0</v>
      </c>
      <c r="I789" s="150" t="b">
        <v>0</v>
      </c>
      <c r="J789" s="150" t="b">
        <v>0</v>
      </c>
      <c r="K789" s="150" t="b">
        <v>0</v>
      </c>
      <c r="L789" s="8" t="b">
        <v>0</v>
      </c>
    </row>
    <row r="790">
      <c r="B790" s="97"/>
      <c r="C790" s="121" t="str">
        <f t="array" ref="C790">ifs(and(isblank($A790),isblank($B790)),"", not(iserror(vlookup($A790&amp;$B790,'5) Release_Track'!$F:$F&amp;'5) Release_Track'!$G:$G,1,0))),vlookup($A790&amp;$B790,{'5) Release_Track'!$F:$F&amp;'5) Release_Track'!$G:$G,'5) Release_Track'!$H:$H},2,0),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D790" s="121" t="str">
        <f t="array" ref="D790">ifs(and(isblank($A790),isblank($B790)),"", not(iserror(vlookup($A790&amp;$B790,'5) Release_Track'!$F:$F&amp;'5) Release_Track'!$G:$G,1,0))),vlookup($A790&amp;$B790,{'5) Release_Track'!$F:$F&amp;'5) Release_Track'!$G:$G,'5) Release_Track'!$I:$I},2,0),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E790" s="150" t="b">
        <v>0</v>
      </c>
      <c r="F790" s="150" t="b">
        <v>0</v>
      </c>
      <c r="G790" s="150" t="b">
        <v>0</v>
      </c>
      <c r="H790" s="150" t="b">
        <v>0</v>
      </c>
      <c r="I790" s="150" t="b">
        <v>0</v>
      </c>
      <c r="J790" s="150" t="b">
        <v>0</v>
      </c>
      <c r="K790" s="150" t="b">
        <v>0</v>
      </c>
      <c r="L790" s="8" t="b">
        <v>0</v>
      </c>
    </row>
    <row r="791">
      <c r="B791" s="97"/>
      <c r="C791" s="121" t="str">
        <f t="array" ref="C791">ifs(and(isblank($A791),isblank($B791)),"", not(iserror(vlookup($A791&amp;$B791,'5) Release_Track'!$F:$F&amp;'5) Release_Track'!$G:$G,1,0))),vlookup($A791&amp;$B791,{'5) Release_Track'!$F:$F&amp;'5) Release_Track'!$G:$G,'5) Release_Track'!$H:$H},2,0),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D791" s="121" t="str">
        <f t="array" ref="D791">ifs(and(isblank($A791),isblank($B791)),"", not(iserror(vlookup($A791&amp;$B791,'5) Release_Track'!$F:$F&amp;'5) Release_Track'!$G:$G,1,0))),vlookup($A791&amp;$B791,{'5) Release_Track'!$F:$F&amp;'5) Release_Track'!$G:$G,'5) Release_Track'!$I:$I},2,0),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E791" s="150" t="b">
        <v>0</v>
      </c>
      <c r="F791" s="150" t="b">
        <v>0</v>
      </c>
      <c r="G791" s="150" t="b">
        <v>0</v>
      </c>
      <c r="H791" s="150" t="b">
        <v>0</v>
      </c>
      <c r="I791" s="150" t="b">
        <v>0</v>
      </c>
      <c r="J791" s="150" t="b">
        <v>0</v>
      </c>
      <c r="K791" s="150" t="b">
        <v>0</v>
      </c>
      <c r="L791" s="8" t="b">
        <v>0</v>
      </c>
    </row>
    <row r="792">
      <c r="B792" s="97"/>
      <c r="C792" s="121" t="str">
        <f t="array" ref="C792">ifs(and(isblank($A792),isblank($B792)),"", not(iserror(vlookup($A792&amp;$B792,'5) Release_Track'!$F:$F&amp;'5) Release_Track'!$G:$G,1,0))),vlookup($A792&amp;$B792,{'5) Release_Track'!$F:$F&amp;'5) Release_Track'!$G:$G,'5) Release_Track'!$H:$H},2,0),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D792" s="121" t="str">
        <f t="array" ref="D792">ifs(and(isblank($A792),isblank($B792)),"", not(iserror(vlookup($A792&amp;$B792,'5) Release_Track'!$F:$F&amp;'5) Release_Track'!$G:$G,1,0))),vlookup($A792&amp;$B792,{'5) Release_Track'!$F:$F&amp;'5) Release_Track'!$G:$G,'5) Release_Track'!$I:$I},2,0),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E792" s="150" t="b">
        <v>0</v>
      </c>
      <c r="F792" s="150" t="b">
        <v>0</v>
      </c>
      <c r="G792" s="150" t="b">
        <v>0</v>
      </c>
      <c r="H792" s="150" t="b">
        <v>0</v>
      </c>
      <c r="I792" s="150" t="b">
        <v>0</v>
      </c>
      <c r="J792" s="150" t="b">
        <v>0</v>
      </c>
      <c r="K792" s="150" t="b">
        <v>0</v>
      </c>
      <c r="L792" s="8" t="b">
        <v>0</v>
      </c>
    </row>
    <row r="793">
      <c r="B793" s="97"/>
      <c r="C793" s="121" t="str">
        <f t="array" ref="C793">ifs(and(isblank($A793),isblank($B793)),"", not(iserror(vlookup($A793&amp;$B793,'5) Release_Track'!$F:$F&amp;'5) Release_Track'!$G:$G,1,0))),vlookup($A793&amp;$B793,{'5) Release_Track'!$F:$F&amp;'5) Release_Track'!$G:$G,'5) Release_Track'!$H:$H},2,0),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D793" s="121" t="str">
        <f t="array" ref="D793">ifs(and(isblank($A793),isblank($B793)),"", not(iserror(vlookup($A793&amp;$B793,'5) Release_Track'!$F:$F&amp;'5) Release_Track'!$G:$G,1,0))),vlookup($A793&amp;$B793,{'5) Release_Track'!$F:$F&amp;'5) Release_Track'!$G:$G,'5) Release_Track'!$I:$I},2,0),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E793" s="150" t="b">
        <v>0</v>
      </c>
      <c r="F793" s="150" t="b">
        <v>0</v>
      </c>
      <c r="G793" s="150" t="b">
        <v>0</v>
      </c>
      <c r="H793" s="150" t="b">
        <v>0</v>
      </c>
      <c r="I793" s="150" t="b">
        <v>0</v>
      </c>
      <c r="J793" s="150" t="b">
        <v>0</v>
      </c>
      <c r="K793" s="150" t="b">
        <v>0</v>
      </c>
      <c r="L793" s="8" t="b">
        <v>0</v>
      </c>
    </row>
    <row r="794">
      <c r="B794" s="97"/>
      <c r="C794" s="121" t="str">
        <f t="array" ref="C794">ifs(and(isblank($A794),isblank($B794)),"", not(iserror(vlookup($A794&amp;$B794,'5) Release_Track'!$F:$F&amp;'5) Release_Track'!$G:$G,1,0))),vlookup($A794&amp;$B794,{'5) Release_Track'!$F:$F&amp;'5) Release_Track'!$G:$G,'5) Release_Track'!$H:$H},2,0),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D794" s="121" t="str">
        <f t="array" ref="D794">ifs(and(isblank($A794),isblank($B794)),"", not(iserror(vlookup($A794&amp;$B794,'5) Release_Track'!$F:$F&amp;'5) Release_Track'!$G:$G,1,0))),vlookup($A794&amp;$B794,{'5) Release_Track'!$F:$F&amp;'5) Release_Track'!$G:$G,'5) Release_Track'!$I:$I},2,0),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E794" s="150" t="b">
        <v>0</v>
      </c>
      <c r="F794" s="150" t="b">
        <v>0</v>
      </c>
      <c r="G794" s="150" t="b">
        <v>0</v>
      </c>
      <c r="H794" s="150" t="b">
        <v>0</v>
      </c>
      <c r="I794" s="150" t="b">
        <v>0</v>
      </c>
      <c r="J794" s="150" t="b">
        <v>0</v>
      </c>
      <c r="K794" s="150" t="b">
        <v>0</v>
      </c>
      <c r="L794" s="8" t="b">
        <v>0</v>
      </c>
    </row>
    <row r="795">
      <c r="B795" s="97"/>
      <c r="C795" s="121" t="str">
        <f t="array" ref="C795">ifs(and(isblank($A795),isblank($B795)),"", not(iserror(vlookup($A795&amp;$B795,'5) Release_Track'!$F:$F&amp;'5) Release_Track'!$G:$G,1,0))),vlookup($A795&amp;$B795,{'5) Release_Track'!$F:$F&amp;'5) Release_Track'!$G:$G,'5) Release_Track'!$H:$H},2,0),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D795" s="121" t="str">
        <f t="array" ref="D795">ifs(and(isblank($A795),isblank($B795)),"", not(iserror(vlookup($A795&amp;$B795,'5) Release_Track'!$F:$F&amp;'5) Release_Track'!$G:$G,1,0))),vlookup($A795&amp;$B795,{'5) Release_Track'!$F:$F&amp;'5) Release_Track'!$G:$G,'5) Release_Track'!$I:$I},2,0),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E795" s="150" t="b">
        <v>0</v>
      </c>
      <c r="F795" s="150" t="b">
        <v>0</v>
      </c>
      <c r="G795" s="150" t="b">
        <v>0</v>
      </c>
      <c r="H795" s="150" t="b">
        <v>0</v>
      </c>
      <c r="I795" s="150" t="b">
        <v>0</v>
      </c>
      <c r="J795" s="150" t="b">
        <v>0</v>
      </c>
      <c r="K795" s="150" t="b">
        <v>0</v>
      </c>
      <c r="L795" s="8" t="b">
        <v>0</v>
      </c>
    </row>
    <row r="796">
      <c r="B796" s="97"/>
      <c r="C796" s="121" t="str">
        <f t="array" ref="C796">ifs(and(isblank($A796),isblank($B796)),"", not(iserror(vlookup($A796&amp;$B796,'5) Release_Track'!$F:$F&amp;'5) Release_Track'!$G:$G,1,0))),vlookup($A796&amp;$B796,{'5) Release_Track'!$F:$F&amp;'5) Release_Track'!$G:$G,'5) Release_Track'!$H:$H},2,0),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D796" s="121" t="str">
        <f t="array" ref="D796">ifs(and(isblank($A796),isblank($B796)),"", not(iserror(vlookup($A796&amp;$B796,'5) Release_Track'!$F:$F&amp;'5) Release_Track'!$G:$G,1,0))),vlookup($A796&amp;$B796,{'5) Release_Track'!$F:$F&amp;'5) Release_Track'!$G:$G,'5) Release_Track'!$I:$I},2,0),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E796" s="150" t="b">
        <v>0</v>
      </c>
      <c r="F796" s="150" t="b">
        <v>0</v>
      </c>
      <c r="G796" s="150" t="b">
        <v>0</v>
      </c>
      <c r="H796" s="150" t="b">
        <v>0</v>
      </c>
      <c r="I796" s="150" t="b">
        <v>0</v>
      </c>
      <c r="J796" s="150" t="b">
        <v>0</v>
      </c>
      <c r="K796" s="150" t="b">
        <v>0</v>
      </c>
      <c r="L796" s="8" t="b">
        <v>0</v>
      </c>
    </row>
    <row r="797">
      <c r="B797" s="97"/>
      <c r="C797" s="121" t="str">
        <f t="array" ref="C797">ifs(and(isblank($A797),isblank($B797)),"", not(iserror(vlookup($A797&amp;$B797,'5) Release_Track'!$F:$F&amp;'5) Release_Track'!$G:$G,1,0))),vlookup($A797&amp;$B797,{'5) Release_Track'!$F:$F&amp;'5) Release_Track'!$G:$G,'5) Release_Track'!$H:$H},2,0),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D797" s="121" t="str">
        <f t="array" ref="D797">ifs(and(isblank($A797),isblank($B797)),"", not(iserror(vlookup($A797&amp;$B797,'5) Release_Track'!$F:$F&amp;'5) Release_Track'!$G:$G,1,0))),vlookup($A797&amp;$B797,{'5) Release_Track'!$F:$F&amp;'5) Release_Track'!$G:$G,'5) Release_Track'!$I:$I},2,0),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E797" s="150" t="b">
        <v>0</v>
      </c>
      <c r="F797" s="150" t="b">
        <v>0</v>
      </c>
      <c r="G797" s="150" t="b">
        <v>0</v>
      </c>
      <c r="H797" s="150" t="b">
        <v>0</v>
      </c>
      <c r="I797" s="150" t="b">
        <v>0</v>
      </c>
      <c r="J797" s="150" t="b">
        <v>0</v>
      </c>
      <c r="K797" s="150" t="b">
        <v>0</v>
      </c>
      <c r="L797" s="8" t="b">
        <v>0</v>
      </c>
    </row>
    <row r="798">
      <c r="B798" s="97"/>
      <c r="C798" s="121" t="str">
        <f t="array" ref="C798">ifs(and(isblank($A798),isblank($B798)),"", not(iserror(vlookup($A798&amp;$B798,'5) Release_Track'!$F:$F&amp;'5) Release_Track'!$G:$G,1,0))),vlookup($A798&amp;$B798,{'5) Release_Track'!$F:$F&amp;'5) Release_Track'!$G:$G,'5) Release_Track'!$H:$H},2,0),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D798" s="121" t="str">
        <f t="array" ref="D798">ifs(and(isblank($A798),isblank($B798)),"", not(iserror(vlookup($A798&amp;$B798,'5) Release_Track'!$F:$F&amp;'5) Release_Track'!$G:$G,1,0))),vlookup($A798&amp;$B798,{'5) Release_Track'!$F:$F&amp;'5) Release_Track'!$G:$G,'5) Release_Track'!$I:$I},2,0),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E798" s="150" t="b">
        <v>0</v>
      </c>
      <c r="F798" s="150" t="b">
        <v>0</v>
      </c>
      <c r="G798" s="150" t="b">
        <v>0</v>
      </c>
      <c r="H798" s="150" t="b">
        <v>0</v>
      </c>
      <c r="I798" s="150" t="b">
        <v>0</v>
      </c>
      <c r="J798" s="150" t="b">
        <v>0</v>
      </c>
      <c r="K798" s="150" t="b">
        <v>0</v>
      </c>
      <c r="L798" s="8" t="b">
        <v>0</v>
      </c>
    </row>
    <row r="799">
      <c r="B799" s="97"/>
      <c r="C799" s="121" t="str">
        <f t="array" ref="C799">ifs(and(isblank($A799),isblank($B799)),"", not(iserror(vlookup($A799&amp;$B799,'5) Release_Track'!$F:$F&amp;'5) Release_Track'!$G:$G,1,0))),vlookup($A799&amp;$B799,{'5) Release_Track'!$F:$F&amp;'5) Release_Track'!$G:$G,'5) Release_Track'!$H:$H},2,0),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D799" s="121" t="str">
        <f t="array" ref="D799">ifs(and(isblank($A799),isblank($B799)),"", not(iserror(vlookup($A799&amp;$B799,'5) Release_Track'!$F:$F&amp;'5) Release_Track'!$G:$G,1,0))),vlookup($A799&amp;$B799,{'5) Release_Track'!$F:$F&amp;'5) Release_Track'!$G:$G,'5) Release_Track'!$I:$I},2,0),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E799" s="150" t="b">
        <v>0</v>
      </c>
      <c r="F799" s="150" t="b">
        <v>0</v>
      </c>
      <c r="G799" s="150" t="b">
        <v>0</v>
      </c>
      <c r="H799" s="150" t="b">
        <v>0</v>
      </c>
      <c r="I799" s="150" t="b">
        <v>0</v>
      </c>
      <c r="J799" s="150" t="b">
        <v>0</v>
      </c>
      <c r="K799" s="150" t="b">
        <v>0</v>
      </c>
      <c r="L799" s="8" t="b">
        <v>0</v>
      </c>
    </row>
    <row r="800">
      <c r="B800" s="97"/>
      <c r="C800" s="121" t="str">
        <f t="array" ref="C800">ifs(and(isblank($A800),isblank($B800)),"", not(iserror(vlookup($A800&amp;$B800,'5) Release_Track'!$F:$F&amp;'5) Release_Track'!$G:$G,1,0))),vlookup($A800&amp;$B800,{'5) Release_Track'!$F:$F&amp;'5) Release_Track'!$G:$G,'5) Release_Track'!$H:$H},2,0),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D800" s="121" t="str">
        <f t="array" ref="D800">ifs(and(isblank($A800),isblank($B800)),"", not(iserror(vlookup($A800&amp;$B800,'5) Release_Track'!$F:$F&amp;'5) Release_Track'!$G:$G,1,0))),vlookup($A800&amp;$B800,{'5) Release_Track'!$F:$F&amp;'5) Release_Track'!$G:$G,'5) Release_Track'!$I:$I},2,0),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E800" s="150" t="b">
        <v>0</v>
      </c>
      <c r="F800" s="150" t="b">
        <v>0</v>
      </c>
      <c r="G800" s="150" t="b">
        <v>0</v>
      </c>
      <c r="H800" s="150" t="b">
        <v>0</v>
      </c>
      <c r="I800" s="150" t="b">
        <v>0</v>
      </c>
      <c r="J800" s="150" t="b">
        <v>0</v>
      </c>
      <c r="K800" s="150" t="b">
        <v>0</v>
      </c>
      <c r="L800" s="8" t="b">
        <v>0</v>
      </c>
    </row>
    <row r="801">
      <c r="B801" s="97"/>
      <c r="C801" s="121" t="str">
        <f t="array" ref="C801">ifs(and(isblank($A801),isblank($B801)),"", not(iserror(vlookup($A801&amp;$B801,'5) Release_Track'!$F:$F&amp;'5) Release_Track'!$G:$G,1,0))),vlookup($A801&amp;$B801,{'5) Release_Track'!$F:$F&amp;'5) Release_Track'!$G:$G,'5) Release_Track'!$H:$H},2,0),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D801" s="121" t="str">
        <f t="array" ref="D801">ifs(and(isblank($A801),isblank($B801)),"", not(iserror(vlookup($A801&amp;$B801,'5) Release_Track'!$F:$F&amp;'5) Release_Track'!$G:$G,1,0))),vlookup($A801&amp;$B801,{'5) Release_Track'!$F:$F&amp;'5) Release_Track'!$G:$G,'5) Release_Track'!$I:$I},2,0),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E801" s="150" t="b">
        <v>0</v>
      </c>
      <c r="F801" s="150" t="b">
        <v>0</v>
      </c>
      <c r="G801" s="150" t="b">
        <v>0</v>
      </c>
      <c r="H801" s="150" t="b">
        <v>0</v>
      </c>
      <c r="I801" s="150" t="b">
        <v>0</v>
      </c>
      <c r="J801" s="150" t="b">
        <v>0</v>
      </c>
      <c r="K801" s="150" t="b">
        <v>0</v>
      </c>
      <c r="L801" s="8" t="b">
        <v>0</v>
      </c>
    </row>
    <row r="802">
      <c r="B802" s="97"/>
      <c r="C802" s="121" t="str">
        <f t="array" ref="C802">ifs(and(isblank($A802),isblank($B802)),"", not(iserror(vlookup($A802&amp;$B802,'5) Release_Track'!$F:$F&amp;'5) Release_Track'!$G:$G,1,0))),vlookup($A802&amp;$B802,{'5) Release_Track'!$F:$F&amp;'5) Release_Track'!$G:$G,'5) Release_Track'!$H:$H},2,0),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D802" s="121" t="str">
        <f t="array" ref="D802">ifs(and(isblank($A802),isblank($B802)),"", not(iserror(vlookup($A802&amp;$B802,'5) Release_Track'!$F:$F&amp;'5) Release_Track'!$G:$G,1,0))),vlookup($A802&amp;$B802,{'5) Release_Track'!$F:$F&amp;'5) Release_Track'!$G:$G,'5) Release_Track'!$I:$I},2,0),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E802" s="150" t="b">
        <v>0</v>
      </c>
      <c r="F802" s="150" t="b">
        <v>0</v>
      </c>
      <c r="G802" s="150" t="b">
        <v>0</v>
      </c>
      <c r="H802" s="150" t="b">
        <v>0</v>
      </c>
      <c r="I802" s="150" t="b">
        <v>0</v>
      </c>
      <c r="J802" s="150" t="b">
        <v>0</v>
      </c>
      <c r="K802" s="150" t="b">
        <v>0</v>
      </c>
      <c r="L802" s="8" t="b">
        <v>0</v>
      </c>
    </row>
    <row r="803">
      <c r="B803" s="97"/>
      <c r="C803" s="121" t="str">
        <f t="array" ref="C803">ifs(and(isblank($A803),isblank($B803)),"", not(iserror(vlookup($A803&amp;$B803,'5) Release_Track'!$F:$F&amp;'5) Release_Track'!$G:$G,1,0))),vlookup($A803&amp;$B803,{'5) Release_Track'!$F:$F&amp;'5) Release_Track'!$G:$G,'5) Release_Track'!$H:$H},2,0),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D803" s="121" t="str">
        <f t="array" ref="D803">ifs(and(isblank($A803),isblank($B803)),"", not(iserror(vlookup($A803&amp;$B803,'5) Release_Track'!$F:$F&amp;'5) Release_Track'!$G:$G,1,0))),vlookup($A803&amp;$B803,{'5) Release_Track'!$F:$F&amp;'5) Release_Track'!$G:$G,'5) Release_Track'!$I:$I},2,0),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E803" s="150" t="b">
        <v>0</v>
      </c>
      <c r="F803" s="150" t="b">
        <v>0</v>
      </c>
      <c r="G803" s="150" t="b">
        <v>0</v>
      </c>
      <c r="H803" s="150" t="b">
        <v>0</v>
      </c>
      <c r="I803" s="150" t="b">
        <v>0</v>
      </c>
      <c r="J803" s="150" t="b">
        <v>0</v>
      </c>
      <c r="K803" s="150" t="b">
        <v>0</v>
      </c>
      <c r="L803" s="8" t="b">
        <v>0</v>
      </c>
    </row>
    <row r="804">
      <c r="B804" s="97"/>
      <c r="C804" s="121" t="str">
        <f t="array" ref="C804">ifs(and(isblank($A804),isblank($B804)),"", not(iserror(vlookup($A804&amp;$B804,'5) Release_Track'!$F:$F&amp;'5) Release_Track'!$G:$G,1,0))),vlookup($A804&amp;$B804,{'5) Release_Track'!$F:$F&amp;'5) Release_Track'!$G:$G,'5) Release_Track'!$H:$H},2,0),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D804" s="121" t="str">
        <f t="array" ref="D804">ifs(and(isblank($A804),isblank($B804)),"", not(iserror(vlookup($A804&amp;$B804,'5) Release_Track'!$F:$F&amp;'5) Release_Track'!$G:$G,1,0))),vlookup($A804&amp;$B804,{'5) Release_Track'!$F:$F&amp;'5) Release_Track'!$G:$G,'5) Release_Track'!$I:$I},2,0),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E804" s="150" t="b">
        <v>0</v>
      </c>
      <c r="F804" s="150" t="b">
        <v>0</v>
      </c>
      <c r="G804" s="150" t="b">
        <v>0</v>
      </c>
      <c r="H804" s="150" t="b">
        <v>0</v>
      </c>
      <c r="I804" s="150" t="b">
        <v>0</v>
      </c>
      <c r="J804" s="150" t="b">
        <v>0</v>
      </c>
      <c r="K804" s="150" t="b">
        <v>0</v>
      </c>
      <c r="L804" s="8" t="b">
        <v>0</v>
      </c>
    </row>
    <row r="805">
      <c r="B805" s="97"/>
      <c r="C805" s="121" t="str">
        <f t="array" ref="C805">ifs(and(isblank($A805),isblank($B805)),"", not(iserror(vlookup($A805&amp;$B805,'5) Release_Track'!$F:$F&amp;'5) Release_Track'!$G:$G,1,0))),vlookup($A805&amp;$B805,{'5) Release_Track'!$F:$F&amp;'5) Release_Track'!$G:$G,'5) Release_Track'!$H:$H},2,0),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D805" s="121" t="str">
        <f t="array" ref="D805">ifs(and(isblank($A805),isblank($B805)),"", not(iserror(vlookup($A805&amp;$B805,'5) Release_Track'!$F:$F&amp;'5) Release_Track'!$G:$G,1,0))),vlookup($A805&amp;$B805,{'5) Release_Track'!$F:$F&amp;'5) Release_Track'!$G:$G,'5) Release_Track'!$I:$I},2,0),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E805" s="150" t="b">
        <v>0</v>
      </c>
      <c r="F805" s="150" t="b">
        <v>0</v>
      </c>
      <c r="G805" s="150" t="b">
        <v>0</v>
      </c>
      <c r="H805" s="150" t="b">
        <v>0</v>
      </c>
      <c r="I805" s="150" t="b">
        <v>0</v>
      </c>
      <c r="J805" s="150" t="b">
        <v>0</v>
      </c>
      <c r="K805" s="150" t="b">
        <v>0</v>
      </c>
      <c r="L805" s="8" t="b">
        <v>0</v>
      </c>
    </row>
    <row r="806">
      <c r="B806" s="97"/>
      <c r="C806" s="121" t="str">
        <f t="array" ref="C806">ifs(and(isblank($A806),isblank($B806)),"", not(iserror(vlookup($A806&amp;$B806,'5) Release_Track'!$F:$F&amp;'5) Release_Track'!$G:$G,1,0))),vlookup($A806&amp;$B806,{'5) Release_Track'!$F:$F&amp;'5) Release_Track'!$G:$G,'5) Release_Track'!$H:$H},2,0),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D806" s="121" t="str">
        <f t="array" ref="D806">ifs(and(isblank($A806),isblank($B806)),"", not(iserror(vlookup($A806&amp;$B806,'5) Release_Track'!$F:$F&amp;'5) Release_Track'!$G:$G,1,0))),vlookup($A806&amp;$B806,{'5) Release_Track'!$F:$F&amp;'5) Release_Track'!$G:$G,'5) Release_Track'!$I:$I},2,0),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E806" s="150" t="b">
        <v>0</v>
      </c>
      <c r="F806" s="150" t="b">
        <v>0</v>
      </c>
      <c r="G806" s="150" t="b">
        <v>0</v>
      </c>
      <c r="H806" s="150" t="b">
        <v>0</v>
      </c>
      <c r="I806" s="150" t="b">
        <v>0</v>
      </c>
      <c r="J806" s="150" t="b">
        <v>0</v>
      </c>
      <c r="K806" s="150" t="b">
        <v>0</v>
      </c>
      <c r="L806" s="8" t="b">
        <v>0</v>
      </c>
    </row>
    <row r="807">
      <c r="B807" s="97"/>
      <c r="C807" s="121" t="str">
        <f t="array" ref="C807">ifs(and(isblank($A807),isblank($B807)),"", not(iserror(vlookup($A807&amp;$B807,'5) Release_Track'!$F:$F&amp;'5) Release_Track'!$G:$G,1,0))),vlookup($A807&amp;$B807,{'5) Release_Track'!$F:$F&amp;'5) Release_Track'!$G:$G,'5) Release_Track'!$H:$H},2,0),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D807" s="121" t="str">
        <f t="array" ref="D807">ifs(and(isblank($A807),isblank($B807)),"", not(iserror(vlookup($A807&amp;$B807,'5) Release_Track'!$F:$F&amp;'5) Release_Track'!$G:$G,1,0))),vlookup($A807&amp;$B807,{'5) Release_Track'!$F:$F&amp;'5) Release_Track'!$G:$G,'5) Release_Track'!$I:$I},2,0),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E807" s="150" t="b">
        <v>0</v>
      </c>
      <c r="F807" s="150" t="b">
        <v>0</v>
      </c>
      <c r="G807" s="150" t="b">
        <v>0</v>
      </c>
      <c r="H807" s="150" t="b">
        <v>0</v>
      </c>
      <c r="I807" s="150" t="b">
        <v>0</v>
      </c>
      <c r="J807" s="150" t="b">
        <v>0</v>
      </c>
      <c r="K807" s="150" t="b">
        <v>0</v>
      </c>
      <c r="L807" s="8" t="b">
        <v>0</v>
      </c>
    </row>
    <row r="808">
      <c r="B808" s="97"/>
      <c r="C808" s="121" t="str">
        <f t="array" ref="C808">ifs(and(isblank($A808),isblank($B808)),"", not(iserror(vlookup($A808&amp;$B808,'5) Release_Track'!$F:$F&amp;'5) Release_Track'!$G:$G,1,0))),vlookup($A808&amp;$B808,{'5) Release_Track'!$F:$F&amp;'5) Release_Track'!$G:$G,'5) Release_Track'!$H:$H},2,0),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D808" s="121" t="str">
        <f t="array" ref="D808">ifs(and(isblank($A808),isblank($B808)),"", not(iserror(vlookup($A808&amp;$B808,'5) Release_Track'!$F:$F&amp;'5) Release_Track'!$G:$G,1,0))),vlookup($A808&amp;$B808,{'5) Release_Track'!$F:$F&amp;'5) Release_Track'!$G:$G,'5) Release_Track'!$I:$I},2,0),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E808" s="150" t="b">
        <v>0</v>
      </c>
      <c r="F808" s="150" t="b">
        <v>0</v>
      </c>
      <c r="G808" s="150" t="b">
        <v>0</v>
      </c>
      <c r="H808" s="150" t="b">
        <v>0</v>
      </c>
      <c r="I808" s="150" t="b">
        <v>0</v>
      </c>
      <c r="J808" s="150" t="b">
        <v>0</v>
      </c>
      <c r="K808" s="150" t="b">
        <v>0</v>
      </c>
      <c r="L808" s="8" t="b">
        <v>0</v>
      </c>
    </row>
    <row r="809">
      <c r="B809" s="97"/>
      <c r="C809" s="121" t="str">
        <f t="array" ref="C809">ifs(and(isblank($A809),isblank($B809)),"", not(iserror(vlookup($A809&amp;$B809,'5) Release_Track'!$F:$F&amp;'5) Release_Track'!$G:$G,1,0))),vlookup($A809&amp;$B809,{'5) Release_Track'!$F:$F&amp;'5) Release_Track'!$G:$G,'5) Release_Track'!$H:$H},2,0),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D809" s="121" t="str">
        <f t="array" ref="D809">ifs(and(isblank($A809),isblank($B809)),"", not(iserror(vlookup($A809&amp;$B809,'5) Release_Track'!$F:$F&amp;'5) Release_Track'!$G:$G,1,0))),vlookup($A809&amp;$B809,{'5) Release_Track'!$F:$F&amp;'5) Release_Track'!$G:$G,'5) Release_Track'!$I:$I},2,0),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E809" s="150" t="b">
        <v>0</v>
      </c>
      <c r="F809" s="150" t="b">
        <v>0</v>
      </c>
      <c r="G809" s="150" t="b">
        <v>0</v>
      </c>
      <c r="H809" s="150" t="b">
        <v>0</v>
      </c>
      <c r="I809" s="150" t="b">
        <v>0</v>
      </c>
      <c r="J809" s="150" t="b">
        <v>0</v>
      </c>
      <c r="K809" s="150" t="b">
        <v>0</v>
      </c>
      <c r="L809" s="8" t="b">
        <v>0</v>
      </c>
    </row>
    <row r="810">
      <c r="B810" s="97"/>
      <c r="C810" s="121" t="str">
        <f t="array" ref="C810">ifs(and(isblank($A810),isblank($B810)),"", not(iserror(vlookup($A810&amp;$B810,'5) Release_Track'!$F:$F&amp;'5) Release_Track'!$G:$G,1,0))),vlookup($A810&amp;$B810,{'5) Release_Track'!$F:$F&amp;'5) Release_Track'!$G:$G,'5) Release_Track'!$H:$H},2,0),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D810" s="121" t="str">
        <f t="array" ref="D810">ifs(and(isblank($A810),isblank($B810)),"", not(iserror(vlookup($A810&amp;$B810,'5) Release_Track'!$F:$F&amp;'5) Release_Track'!$G:$G,1,0))),vlookup($A810&amp;$B810,{'5) Release_Track'!$F:$F&amp;'5) Release_Track'!$G:$G,'5) Release_Track'!$I:$I},2,0),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E810" s="150" t="b">
        <v>0</v>
      </c>
      <c r="F810" s="150" t="b">
        <v>0</v>
      </c>
      <c r="G810" s="150" t="b">
        <v>0</v>
      </c>
      <c r="H810" s="150" t="b">
        <v>0</v>
      </c>
      <c r="I810" s="150" t="b">
        <v>0</v>
      </c>
      <c r="J810" s="150" t="b">
        <v>0</v>
      </c>
      <c r="K810" s="150" t="b">
        <v>0</v>
      </c>
      <c r="L810" s="8" t="b">
        <v>0</v>
      </c>
    </row>
    <row r="811">
      <c r="B811" s="97"/>
      <c r="C811" s="121" t="str">
        <f t="array" ref="C811">ifs(and(isblank($A811),isblank($B811)),"", not(iserror(vlookup($A811&amp;$B811,'5) Release_Track'!$F:$F&amp;'5) Release_Track'!$G:$G,1,0))),vlookup($A811&amp;$B811,{'5) Release_Track'!$F:$F&amp;'5) Release_Track'!$G:$G,'5) Release_Track'!$H:$H},2,0),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D811" s="121" t="str">
        <f t="array" ref="D811">ifs(and(isblank($A811),isblank($B811)),"", not(iserror(vlookup($A811&amp;$B811,'5) Release_Track'!$F:$F&amp;'5) Release_Track'!$G:$G,1,0))),vlookup($A811&amp;$B811,{'5) Release_Track'!$F:$F&amp;'5) Release_Track'!$G:$G,'5) Release_Track'!$I:$I},2,0),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E811" s="150" t="b">
        <v>0</v>
      </c>
      <c r="F811" s="150" t="b">
        <v>0</v>
      </c>
      <c r="G811" s="150" t="b">
        <v>0</v>
      </c>
      <c r="H811" s="150" t="b">
        <v>0</v>
      </c>
      <c r="I811" s="150" t="b">
        <v>0</v>
      </c>
      <c r="J811" s="150" t="b">
        <v>0</v>
      </c>
      <c r="K811" s="150" t="b">
        <v>0</v>
      </c>
      <c r="L811" s="8" t="b">
        <v>0</v>
      </c>
    </row>
    <row r="812">
      <c r="B812" s="97"/>
      <c r="C812" s="121" t="str">
        <f t="array" ref="C812">ifs(and(isblank($A812),isblank($B812)),"", not(iserror(vlookup($A812&amp;$B812,'5) Release_Track'!$F:$F&amp;'5) Release_Track'!$G:$G,1,0))),vlookup($A812&amp;$B812,{'5) Release_Track'!$F:$F&amp;'5) Release_Track'!$G:$G,'5) Release_Track'!$H:$H},2,0),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D812" s="121" t="str">
        <f t="array" ref="D812">ifs(and(isblank($A812),isblank($B812)),"", not(iserror(vlookup($A812&amp;$B812,'5) Release_Track'!$F:$F&amp;'5) Release_Track'!$G:$G,1,0))),vlookup($A812&amp;$B812,{'5) Release_Track'!$F:$F&amp;'5) Release_Track'!$G:$G,'5) Release_Track'!$I:$I},2,0),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E812" s="150" t="b">
        <v>0</v>
      </c>
      <c r="F812" s="150" t="b">
        <v>0</v>
      </c>
      <c r="G812" s="150" t="b">
        <v>0</v>
      </c>
      <c r="H812" s="150" t="b">
        <v>0</v>
      </c>
      <c r="I812" s="150" t="b">
        <v>0</v>
      </c>
      <c r="J812" s="150" t="b">
        <v>0</v>
      </c>
      <c r="K812" s="150" t="b">
        <v>0</v>
      </c>
      <c r="L812" s="8" t="b">
        <v>0</v>
      </c>
    </row>
    <row r="813">
      <c r="B813" s="97"/>
      <c r="C813" s="121" t="str">
        <f t="array" ref="C813">ifs(and(isblank($A813),isblank($B813)),"", not(iserror(vlookup($A813&amp;$B813,'5) Release_Track'!$F:$F&amp;'5) Release_Track'!$G:$G,1,0))),vlookup($A813&amp;$B813,{'5) Release_Track'!$F:$F&amp;'5) Release_Track'!$G:$G,'5) Release_Track'!$H:$H},2,0),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D813" s="121" t="str">
        <f t="array" ref="D813">ifs(and(isblank($A813),isblank($B813)),"", not(iserror(vlookup($A813&amp;$B813,'5) Release_Track'!$F:$F&amp;'5) Release_Track'!$G:$G,1,0))),vlookup($A813&amp;$B813,{'5) Release_Track'!$F:$F&amp;'5) Release_Track'!$G:$G,'5) Release_Track'!$I:$I},2,0),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E813" s="150" t="b">
        <v>0</v>
      </c>
      <c r="F813" s="150" t="b">
        <v>0</v>
      </c>
      <c r="G813" s="150" t="b">
        <v>0</v>
      </c>
      <c r="H813" s="150" t="b">
        <v>0</v>
      </c>
      <c r="I813" s="150" t="b">
        <v>0</v>
      </c>
      <c r="J813" s="150" t="b">
        <v>0</v>
      </c>
      <c r="K813" s="150" t="b">
        <v>0</v>
      </c>
      <c r="L813" s="8" t="b">
        <v>0</v>
      </c>
    </row>
    <row r="814">
      <c r="B814" s="97"/>
      <c r="C814" s="121" t="str">
        <f t="array" ref="C814">ifs(and(isblank($A814),isblank($B814)),"", not(iserror(vlookup($A814&amp;$B814,'5) Release_Track'!$F:$F&amp;'5) Release_Track'!$G:$G,1,0))),vlookup($A814&amp;$B814,{'5) Release_Track'!$F:$F&amp;'5) Release_Track'!$G:$G,'5) Release_Track'!$H:$H},2,0),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D814" s="121" t="str">
        <f t="array" ref="D814">ifs(and(isblank($A814),isblank($B814)),"", not(iserror(vlookup($A814&amp;$B814,'5) Release_Track'!$F:$F&amp;'5) Release_Track'!$G:$G,1,0))),vlookup($A814&amp;$B814,{'5) Release_Track'!$F:$F&amp;'5) Release_Track'!$G:$G,'5) Release_Track'!$I:$I},2,0),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E814" s="150" t="b">
        <v>0</v>
      </c>
      <c r="F814" s="150" t="b">
        <v>0</v>
      </c>
      <c r="G814" s="150" t="b">
        <v>0</v>
      </c>
      <c r="H814" s="150" t="b">
        <v>0</v>
      </c>
      <c r="I814" s="150" t="b">
        <v>0</v>
      </c>
      <c r="J814" s="150" t="b">
        <v>0</v>
      </c>
      <c r="K814" s="150" t="b">
        <v>0</v>
      </c>
      <c r="L814" s="8" t="b">
        <v>0</v>
      </c>
    </row>
    <row r="815">
      <c r="B815" s="97"/>
      <c r="C815" s="121" t="str">
        <f t="array" ref="C815">ifs(and(isblank($A815),isblank($B815)),"", not(iserror(vlookup($A815&amp;$B815,'5) Release_Track'!$F:$F&amp;'5) Release_Track'!$G:$G,1,0))),vlookup($A815&amp;$B815,{'5) Release_Track'!$F:$F&amp;'5) Release_Track'!$G:$G,'5) Release_Track'!$H:$H},2,0),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D815" s="121" t="str">
        <f t="array" ref="D815">ifs(and(isblank($A815),isblank($B815)),"", not(iserror(vlookup($A815&amp;$B815,'5) Release_Track'!$F:$F&amp;'5) Release_Track'!$G:$G,1,0))),vlookup($A815&amp;$B815,{'5) Release_Track'!$F:$F&amp;'5) Release_Track'!$G:$G,'5) Release_Track'!$I:$I},2,0),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E815" s="150" t="b">
        <v>0</v>
      </c>
      <c r="F815" s="150" t="b">
        <v>0</v>
      </c>
      <c r="G815" s="150" t="b">
        <v>0</v>
      </c>
      <c r="H815" s="150" t="b">
        <v>0</v>
      </c>
      <c r="I815" s="150" t="b">
        <v>0</v>
      </c>
      <c r="J815" s="150" t="b">
        <v>0</v>
      </c>
      <c r="K815" s="150" t="b">
        <v>0</v>
      </c>
      <c r="L815" s="8" t="b">
        <v>0</v>
      </c>
    </row>
    <row r="816">
      <c r="B816" s="97"/>
      <c r="C816" s="121" t="str">
        <f t="array" ref="C816">ifs(and(isblank($A816),isblank($B816)),"", not(iserror(vlookup($A816&amp;$B816,'5) Release_Track'!$F:$F&amp;'5) Release_Track'!$G:$G,1,0))),vlookup($A816&amp;$B816,{'5) Release_Track'!$F:$F&amp;'5) Release_Track'!$G:$G,'5) Release_Track'!$H:$H},2,0),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D816" s="121" t="str">
        <f t="array" ref="D816">ifs(and(isblank($A816),isblank($B816)),"", not(iserror(vlookup($A816&amp;$B816,'5) Release_Track'!$F:$F&amp;'5) Release_Track'!$G:$G,1,0))),vlookup($A816&amp;$B816,{'5) Release_Track'!$F:$F&amp;'5) Release_Track'!$G:$G,'5) Release_Track'!$I:$I},2,0),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E816" s="150" t="b">
        <v>0</v>
      </c>
      <c r="F816" s="150" t="b">
        <v>0</v>
      </c>
      <c r="G816" s="150" t="b">
        <v>0</v>
      </c>
      <c r="H816" s="150" t="b">
        <v>0</v>
      </c>
      <c r="I816" s="150" t="b">
        <v>0</v>
      </c>
      <c r="J816" s="150" t="b">
        <v>0</v>
      </c>
      <c r="K816" s="150" t="b">
        <v>0</v>
      </c>
      <c r="L816" s="8" t="b">
        <v>0</v>
      </c>
    </row>
    <row r="817">
      <c r="B817" s="97"/>
      <c r="C817" s="121" t="str">
        <f t="array" ref="C817">ifs(and(isblank($A817),isblank($B817)),"", not(iserror(vlookup($A817&amp;$B817,'5) Release_Track'!$F:$F&amp;'5) Release_Track'!$G:$G,1,0))),vlookup($A817&amp;$B817,{'5) Release_Track'!$F:$F&amp;'5) Release_Track'!$G:$G,'5) Release_Track'!$H:$H},2,0),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D817" s="121" t="str">
        <f t="array" ref="D817">ifs(and(isblank($A817),isblank($B817)),"", not(iserror(vlookup($A817&amp;$B817,'5) Release_Track'!$F:$F&amp;'5) Release_Track'!$G:$G,1,0))),vlookup($A817&amp;$B817,{'5) Release_Track'!$F:$F&amp;'5) Release_Track'!$G:$G,'5) Release_Track'!$I:$I},2,0),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E817" s="150" t="b">
        <v>0</v>
      </c>
      <c r="F817" s="150" t="b">
        <v>0</v>
      </c>
      <c r="G817" s="150" t="b">
        <v>0</v>
      </c>
      <c r="H817" s="150" t="b">
        <v>0</v>
      </c>
      <c r="I817" s="150" t="b">
        <v>0</v>
      </c>
      <c r="J817" s="150" t="b">
        <v>0</v>
      </c>
      <c r="K817" s="150" t="b">
        <v>0</v>
      </c>
      <c r="L817" s="8" t="b">
        <v>0</v>
      </c>
    </row>
    <row r="818">
      <c r="B818" s="97"/>
      <c r="C818" s="121" t="str">
        <f t="array" ref="C818">ifs(and(isblank($A818),isblank($B818)),"", not(iserror(vlookup($A818&amp;$B818,'5) Release_Track'!$F:$F&amp;'5) Release_Track'!$G:$G,1,0))),vlookup($A818&amp;$B818,{'5) Release_Track'!$F:$F&amp;'5) Release_Track'!$G:$G,'5) Release_Track'!$H:$H},2,0),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D818" s="121" t="str">
        <f t="array" ref="D818">ifs(and(isblank($A818),isblank($B818)),"", not(iserror(vlookup($A818&amp;$B818,'5) Release_Track'!$F:$F&amp;'5) Release_Track'!$G:$G,1,0))),vlookup($A818&amp;$B818,{'5) Release_Track'!$F:$F&amp;'5) Release_Track'!$G:$G,'5) Release_Track'!$I:$I},2,0),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E818" s="150" t="b">
        <v>0</v>
      </c>
      <c r="F818" s="150" t="b">
        <v>0</v>
      </c>
      <c r="G818" s="150" t="b">
        <v>0</v>
      </c>
      <c r="H818" s="150" t="b">
        <v>0</v>
      </c>
      <c r="I818" s="150" t="b">
        <v>0</v>
      </c>
      <c r="J818" s="150" t="b">
        <v>0</v>
      </c>
      <c r="K818" s="150" t="b">
        <v>0</v>
      </c>
      <c r="L818" s="8" t="b">
        <v>0</v>
      </c>
    </row>
    <row r="819">
      <c r="B819" s="97"/>
      <c r="C819" s="121" t="str">
        <f t="array" ref="C819">ifs(and(isblank($A819),isblank($B819)),"", not(iserror(vlookup($A819&amp;$B819,'5) Release_Track'!$F:$F&amp;'5) Release_Track'!$G:$G,1,0))),vlookup($A819&amp;$B819,{'5) Release_Track'!$F:$F&amp;'5) Release_Track'!$G:$G,'5) Release_Track'!$H:$H},2,0),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D819" s="121" t="str">
        <f t="array" ref="D819">ifs(and(isblank($A819),isblank($B819)),"", not(iserror(vlookup($A819&amp;$B819,'5) Release_Track'!$F:$F&amp;'5) Release_Track'!$G:$G,1,0))),vlookup($A819&amp;$B819,{'5) Release_Track'!$F:$F&amp;'5) Release_Track'!$G:$G,'5) Release_Track'!$I:$I},2,0),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E819" s="150" t="b">
        <v>0</v>
      </c>
      <c r="F819" s="150" t="b">
        <v>0</v>
      </c>
      <c r="G819" s="150" t="b">
        <v>0</v>
      </c>
      <c r="H819" s="150" t="b">
        <v>0</v>
      </c>
      <c r="I819" s="150" t="b">
        <v>0</v>
      </c>
      <c r="J819" s="150" t="b">
        <v>0</v>
      </c>
      <c r="K819" s="150" t="b">
        <v>0</v>
      </c>
      <c r="L819" s="8" t="b">
        <v>0</v>
      </c>
    </row>
    <row r="820">
      <c r="B820" s="97"/>
      <c r="C820" s="121" t="str">
        <f t="array" ref="C820">ifs(and(isblank($A820),isblank($B820)),"", not(iserror(vlookup($A820&amp;$B820,'5) Release_Track'!$F:$F&amp;'5) Release_Track'!$G:$G,1,0))),vlookup($A820&amp;$B820,{'5) Release_Track'!$F:$F&amp;'5) Release_Track'!$G:$G,'5) Release_Track'!$H:$H},2,0),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D820" s="121" t="str">
        <f t="array" ref="D820">ifs(and(isblank($A820),isblank($B820)),"", not(iserror(vlookup($A820&amp;$B820,'5) Release_Track'!$F:$F&amp;'5) Release_Track'!$G:$G,1,0))),vlookup($A820&amp;$B820,{'5) Release_Track'!$F:$F&amp;'5) Release_Track'!$G:$G,'5) Release_Track'!$I:$I},2,0),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E820" s="150" t="b">
        <v>0</v>
      </c>
      <c r="F820" s="150" t="b">
        <v>0</v>
      </c>
      <c r="G820" s="150" t="b">
        <v>0</v>
      </c>
      <c r="H820" s="150" t="b">
        <v>0</v>
      </c>
      <c r="I820" s="150" t="b">
        <v>0</v>
      </c>
      <c r="J820" s="150" t="b">
        <v>0</v>
      </c>
      <c r="K820" s="150" t="b">
        <v>0</v>
      </c>
      <c r="L820" s="8" t="b">
        <v>0</v>
      </c>
    </row>
    <row r="821">
      <c r="B821" s="97"/>
      <c r="C821" s="121" t="str">
        <f t="array" ref="C821">ifs(and(isblank($A821),isblank($B821)),"", not(iserror(vlookup($A821&amp;$B821,'5) Release_Track'!$F:$F&amp;'5) Release_Track'!$G:$G,1,0))),vlookup($A821&amp;$B821,{'5) Release_Track'!$F:$F&amp;'5) Release_Track'!$G:$G,'5) Release_Track'!$H:$H},2,0),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D821" s="121" t="str">
        <f t="array" ref="D821">ifs(and(isblank($A821),isblank($B821)),"", not(iserror(vlookup($A821&amp;$B821,'5) Release_Track'!$F:$F&amp;'5) Release_Track'!$G:$G,1,0))),vlookup($A821&amp;$B821,{'5) Release_Track'!$F:$F&amp;'5) Release_Track'!$G:$G,'5) Release_Track'!$I:$I},2,0),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E821" s="150" t="b">
        <v>0</v>
      </c>
      <c r="F821" s="150" t="b">
        <v>0</v>
      </c>
      <c r="G821" s="150" t="b">
        <v>0</v>
      </c>
      <c r="H821" s="150" t="b">
        <v>0</v>
      </c>
      <c r="I821" s="150" t="b">
        <v>0</v>
      </c>
      <c r="J821" s="150" t="b">
        <v>0</v>
      </c>
      <c r="K821" s="150" t="b">
        <v>0</v>
      </c>
      <c r="L821" s="8" t="b">
        <v>0</v>
      </c>
    </row>
    <row r="822">
      <c r="B822" s="97"/>
      <c r="C822" s="121" t="str">
        <f t="array" ref="C822">ifs(and(isblank($A822),isblank($B822)),"", not(iserror(vlookup($A822&amp;$B822,'5) Release_Track'!$F:$F&amp;'5) Release_Track'!$G:$G,1,0))),vlookup($A822&amp;$B822,{'5) Release_Track'!$F:$F&amp;'5) Release_Track'!$G:$G,'5) Release_Track'!$H:$H},2,0),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D822" s="121" t="str">
        <f t="array" ref="D822">ifs(and(isblank($A822),isblank($B822)),"", not(iserror(vlookup($A822&amp;$B822,'5) Release_Track'!$F:$F&amp;'5) Release_Track'!$G:$G,1,0))),vlookup($A822&amp;$B822,{'5) Release_Track'!$F:$F&amp;'5) Release_Track'!$G:$G,'5) Release_Track'!$I:$I},2,0),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E822" s="150" t="b">
        <v>0</v>
      </c>
      <c r="F822" s="150" t="b">
        <v>0</v>
      </c>
      <c r="G822" s="150" t="b">
        <v>0</v>
      </c>
      <c r="H822" s="150" t="b">
        <v>0</v>
      </c>
      <c r="I822" s="150" t="b">
        <v>0</v>
      </c>
      <c r="J822" s="150" t="b">
        <v>0</v>
      </c>
      <c r="K822" s="150" t="b">
        <v>0</v>
      </c>
      <c r="L822" s="8" t="b">
        <v>0</v>
      </c>
    </row>
    <row r="823">
      <c r="B823" s="97"/>
      <c r="C823" s="121" t="str">
        <f t="array" ref="C823">ifs(and(isblank($A823),isblank($B823)),"", not(iserror(vlookup($A823&amp;$B823,'5) Release_Track'!$F:$F&amp;'5) Release_Track'!$G:$G,1,0))),vlookup($A823&amp;$B823,{'5) Release_Track'!$F:$F&amp;'5) Release_Track'!$G:$G,'5) Release_Track'!$H:$H},2,0),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D823" s="121" t="str">
        <f t="array" ref="D823">ifs(and(isblank($A823),isblank($B823)),"", not(iserror(vlookup($A823&amp;$B823,'5) Release_Track'!$F:$F&amp;'5) Release_Track'!$G:$G,1,0))),vlookup($A823&amp;$B823,{'5) Release_Track'!$F:$F&amp;'5) Release_Track'!$G:$G,'5) Release_Track'!$I:$I},2,0),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E823" s="150" t="b">
        <v>0</v>
      </c>
      <c r="F823" s="150" t="b">
        <v>0</v>
      </c>
      <c r="G823" s="150" t="b">
        <v>0</v>
      </c>
      <c r="H823" s="150" t="b">
        <v>0</v>
      </c>
      <c r="I823" s="150" t="b">
        <v>0</v>
      </c>
      <c r="J823" s="150" t="b">
        <v>0</v>
      </c>
      <c r="K823" s="150" t="b">
        <v>0</v>
      </c>
      <c r="L823" s="8" t="b">
        <v>0</v>
      </c>
    </row>
    <row r="824">
      <c r="B824" s="97"/>
      <c r="C824" s="121" t="str">
        <f t="array" ref="C824">ifs(and(isblank($A824),isblank($B824)),"", not(iserror(vlookup($A824&amp;$B824,'5) Release_Track'!$F:$F&amp;'5) Release_Track'!$G:$G,1,0))),vlookup($A824&amp;$B824,{'5) Release_Track'!$F:$F&amp;'5) Release_Track'!$G:$G,'5) Release_Track'!$H:$H},2,0),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D824" s="121" t="str">
        <f t="array" ref="D824">ifs(and(isblank($A824),isblank($B824)),"", not(iserror(vlookup($A824&amp;$B824,'5) Release_Track'!$F:$F&amp;'5) Release_Track'!$G:$G,1,0))),vlookup($A824&amp;$B824,{'5) Release_Track'!$F:$F&amp;'5) Release_Track'!$G:$G,'5) Release_Track'!$I:$I},2,0),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E824" s="150" t="b">
        <v>0</v>
      </c>
      <c r="F824" s="150" t="b">
        <v>0</v>
      </c>
      <c r="G824" s="150" t="b">
        <v>0</v>
      </c>
      <c r="H824" s="150" t="b">
        <v>0</v>
      </c>
      <c r="I824" s="150" t="b">
        <v>0</v>
      </c>
      <c r="J824" s="150" t="b">
        <v>0</v>
      </c>
      <c r="K824" s="150" t="b">
        <v>0</v>
      </c>
      <c r="L824" s="8" t="b">
        <v>0</v>
      </c>
    </row>
    <row r="825">
      <c r="B825" s="97"/>
      <c r="C825" s="121" t="str">
        <f t="array" ref="C825">ifs(and(isblank($A825),isblank($B825)),"", not(iserror(vlookup($A825&amp;$B825,'5) Release_Track'!$F:$F&amp;'5) Release_Track'!$G:$G,1,0))),vlookup($A825&amp;$B825,{'5) Release_Track'!$F:$F&amp;'5) Release_Track'!$G:$G,'5) Release_Track'!$H:$H},2,0),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D825" s="121" t="str">
        <f t="array" ref="D825">ifs(and(isblank($A825),isblank($B825)),"", not(iserror(vlookup($A825&amp;$B825,'5) Release_Track'!$F:$F&amp;'5) Release_Track'!$G:$G,1,0))),vlookup($A825&amp;$B825,{'5) Release_Track'!$F:$F&amp;'5) Release_Track'!$G:$G,'5) Release_Track'!$I:$I},2,0),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E825" s="150" t="b">
        <v>0</v>
      </c>
      <c r="F825" s="150" t="b">
        <v>0</v>
      </c>
      <c r="G825" s="150" t="b">
        <v>0</v>
      </c>
      <c r="H825" s="150" t="b">
        <v>0</v>
      </c>
      <c r="I825" s="150" t="b">
        <v>0</v>
      </c>
      <c r="J825" s="150" t="b">
        <v>0</v>
      </c>
      <c r="K825" s="150" t="b">
        <v>0</v>
      </c>
      <c r="L825" s="8" t="b">
        <v>0</v>
      </c>
    </row>
    <row r="826">
      <c r="B826" s="97"/>
      <c r="C826" s="121" t="str">
        <f t="array" ref="C826">ifs(and(isblank($A826),isblank($B826)),"", not(iserror(vlookup($A826&amp;$B826,'5) Release_Track'!$F:$F&amp;'5) Release_Track'!$G:$G,1,0))),vlookup($A826&amp;$B826,{'5) Release_Track'!$F:$F&amp;'5) Release_Track'!$G:$G,'5) Release_Track'!$H:$H},2,0),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D826" s="121" t="str">
        <f t="array" ref="D826">ifs(and(isblank($A826),isblank($B826)),"", not(iserror(vlookup($A826&amp;$B826,'5) Release_Track'!$F:$F&amp;'5) Release_Track'!$G:$G,1,0))),vlookup($A826&amp;$B826,{'5) Release_Track'!$F:$F&amp;'5) Release_Track'!$G:$G,'5) Release_Track'!$I:$I},2,0),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E826" s="150" t="b">
        <v>0</v>
      </c>
      <c r="F826" s="150" t="b">
        <v>0</v>
      </c>
      <c r="G826" s="150" t="b">
        <v>0</v>
      </c>
      <c r="H826" s="150" t="b">
        <v>0</v>
      </c>
      <c r="I826" s="150" t="b">
        <v>0</v>
      </c>
      <c r="J826" s="150" t="b">
        <v>0</v>
      </c>
      <c r="K826" s="150" t="b">
        <v>0</v>
      </c>
      <c r="L826" s="8" t="b">
        <v>0</v>
      </c>
    </row>
    <row r="827">
      <c r="B827" s="97"/>
      <c r="C827" s="121" t="str">
        <f t="array" ref="C827">ifs(and(isblank($A827),isblank($B827)),"", not(iserror(vlookup($A827&amp;$B827,'5) Release_Track'!$F:$F&amp;'5) Release_Track'!$G:$G,1,0))),vlookup($A827&amp;$B827,{'5) Release_Track'!$F:$F&amp;'5) Release_Track'!$G:$G,'5) Release_Track'!$H:$H},2,0),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D827" s="121" t="str">
        <f t="array" ref="D827">ifs(and(isblank($A827),isblank($B827)),"", not(iserror(vlookup($A827&amp;$B827,'5) Release_Track'!$F:$F&amp;'5) Release_Track'!$G:$G,1,0))),vlookup($A827&amp;$B827,{'5) Release_Track'!$F:$F&amp;'5) Release_Track'!$G:$G,'5) Release_Track'!$I:$I},2,0),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E827" s="150" t="b">
        <v>0</v>
      </c>
      <c r="F827" s="150" t="b">
        <v>0</v>
      </c>
      <c r="G827" s="150" t="b">
        <v>0</v>
      </c>
      <c r="H827" s="150" t="b">
        <v>0</v>
      </c>
      <c r="I827" s="150" t="b">
        <v>0</v>
      </c>
      <c r="J827" s="150" t="b">
        <v>0</v>
      </c>
      <c r="K827" s="150" t="b">
        <v>0</v>
      </c>
      <c r="L827" s="8" t="b">
        <v>0</v>
      </c>
    </row>
    <row r="828">
      <c r="B828" s="97"/>
      <c r="C828" s="121" t="str">
        <f t="array" ref="C828">ifs(and(isblank($A828),isblank($B828)),"", not(iserror(vlookup($A828&amp;$B828,'5) Release_Track'!$F:$F&amp;'5) Release_Track'!$G:$G,1,0))),vlookup($A828&amp;$B828,{'5) Release_Track'!$F:$F&amp;'5) Release_Track'!$G:$G,'5) Release_Track'!$H:$H},2,0),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D828" s="121" t="str">
        <f t="array" ref="D828">ifs(and(isblank($A828),isblank($B828)),"", not(iserror(vlookup($A828&amp;$B828,'5) Release_Track'!$F:$F&amp;'5) Release_Track'!$G:$G,1,0))),vlookup($A828&amp;$B828,{'5) Release_Track'!$F:$F&amp;'5) Release_Track'!$G:$G,'5) Release_Track'!$I:$I},2,0),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E828" s="150" t="b">
        <v>0</v>
      </c>
      <c r="F828" s="150" t="b">
        <v>0</v>
      </c>
      <c r="G828" s="150" t="b">
        <v>0</v>
      </c>
      <c r="H828" s="150" t="b">
        <v>0</v>
      </c>
      <c r="I828" s="150" t="b">
        <v>0</v>
      </c>
      <c r="J828" s="150" t="b">
        <v>0</v>
      </c>
      <c r="K828" s="150" t="b">
        <v>0</v>
      </c>
      <c r="L828" s="8" t="b">
        <v>0</v>
      </c>
    </row>
    <row r="829">
      <c r="B829" s="97"/>
      <c r="C829" s="121" t="str">
        <f t="array" ref="C829">ifs(and(isblank($A829),isblank($B829)),"", not(iserror(vlookup($A829&amp;$B829,'5) Release_Track'!$F:$F&amp;'5) Release_Track'!$G:$G,1,0))),vlookup($A829&amp;$B829,{'5) Release_Track'!$F:$F&amp;'5) Release_Track'!$G:$G,'5) Release_Track'!$H:$H},2,0),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D829" s="121" t="str">
        <f t="array" ref="D829">ifs(and(isblank($A829),isblank($B829)),"", not(iserror(vlookup($A829&amp;$B829,'5) Release_Track'!$F:$F&amp;'5) Release_Track'!$G:$G,1,0))),vlookup($A829&amp;$B829,{'5) Release_Track'!$F:$F&amp;'5) Release_Track'!$G:$G,'5) Release_Track'!$I:$I},2,0),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E829" s="150" t="b">
        <v>0</v>
      </c>
      <c r="F829" s="150" t="b">
        <v>0</v>
      </c>
      <c r="G829" s="150" t="b">
        <v>0</v>
      </c>
      <c r="H829" s="150" t="b">
        <v>0</v>
      </c>
      <c r="I829" s="150" t="b">
        <v>0</v>
      </c>
      <c r="J829" s="150" t="b">
        <v>0</v>
      </c>
      <c r="K829" s="150" t="b">
        <v>0</v>
      </c>
      <c r="L829" s="8" t="b">
        <v>0</v>
      </c>
    </row>
    <row r="830">
      <c r="B830" s="97"/>
      <c r="C830" s="121" t="str">
        <f t="array" ref="C830">ifs(and(isblank($A830),isblank($B830)),"", not(iserror(vlookup($A830&amp;$B830,'5) Release_Track'!$F:$F&amp;'5) Release_Track'!$G:$G,1,0))),vlookup($A830&amp;$B830,{'5) Release_Track'!$F:$F&amp;'5) Release_Track'!$G:$G,'5) Release_Track'!$H:$H},2,0),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D830" s="121" t="str">
        <f t="array" ref="D830">ifs(and(isblank($A830),isblank($B830)),"", not(iserror(vlookup($A830&amp;$B830,'5) Release_Track'!$F:$F&amp;'5) Release_Track'!$G:$G,1,0))),vlookup($A830&amp;$B830,{'5) Release_Track'!$F:$F&amp;'5) Release_Track'!$G:$G,'5) Release_Track'!$I:$I},2,0),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E830" s="150" t="b">
        <v>0</v>
      </c>
      <c r="F830" s="150" t="b">
        <v>0</v>
      </c>
      <c r="G830" s="150" t="b">
        <v>0</v>
      </c>
      <c r="H830" s="150" t="b">
        <v>0</v>
      </c>
      <c r="I830" s="150" t="b">
        <v>0</v>
      </c>
      <c r="J830" s="150" t="b">
        <v>0</v>
      </c>
      <c r="K830" s="150" t="b">
        <v>0</v>
      </c>
      <c r="L830" s="8" t="b">
        <v>0</v>
      </c>
    </row>
    <row r="831">
      <c r="B831" s="97"/>
      <c r="C831" s="121" t="str">
        <f t="array" ref="C831">ifs(and(isblank($A831),isblank($B831)),"", not(iserror(vlookup($A831&amp;$B831,'5) Release_Track'!$F:$F&amp;'5) Release_Track'!$G:$G,1,0))),vlookup($A831&amp;$B831,{'5) Release_Track'!$F:$F&amp;'5) Release_Track'!$G:$G,'5) Release_Track'!$H:$H},2,0),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D831" s="121" t="str">
        <f t="array" ref="D831">ifs(and(isblank($A831),isblank($B831)),"", not(iserror(vlookup($A831&amp;$B831,'5) Release_Track'!$F:$F&amp;'5) Release_Track'!$G:$G,1,0))),vlookup($A831&amp;$B831,{'5) Release_Track'!$F:$F&amp;'5) Release_Track'!$G:$G,'5) Release_Track'!$I:$I},2,0),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E831" s="150" t="b">
        <v>0</v>
      </c>
      <c r="F831" s="150" t="b">
        <v>0</v>
      </c>
      <c r="G831" s="150" t="b">
        <v>0</v>
      </c>
      <c r="H831" s="150" t="b">
        <v>0</v>
      </c>
      <c r="I831" s="150" t="b">
        <v>0</v>
      </c>
      <c r="J831" s="150" t="b">
        <v>0</v>
      </c>
      <c r="K831" s="150" t="b">
        <v>0</v>
      </c>
      <c r="L831" s="8" t="b">
        <v>0</v>
      </c>
    </row>
    <row r="832">
      <c r="B832" s="97"/>
      <c r="C832" s="121" t="str">
        <f t="array" ref="C832">ifs(and(isblank($A832),isblank($B832)),"", not(iserror(vlookup($A832&amp;$B832,'5) Release_Track'!$F:$F&amp;'5) Release_Track'!$G:$G,1,0))),vlookup($A832&amp;$B832,{'5) Release_Track'!$F:$F&amp;'5) Release_Track'!$G:$G,'5) Release_Track'!$H:$H},2,0),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D832" s="121" t="str">
        <f t="array" ref="D832">ifs(and(isblank($A832),isblank($B832)),"", not(iserror(vlookup($A832&amp;$B832,'5) Release_Track'!$F:$F&amp;'5) Release_Track'!$G:$G,1,0))),vlookup($A832&amp;$B832,{'5) Release_Track'!$F:$F&amp;'5) Release_Track'!$G:$G,'5) Release_Track'!$I:$I},2,0),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E832" s="150" t="b">
        <v>0</v>
      </c>
      <c r="F832" s="150" t="b">
        <v>0</v>
      </c>
      <c r="G832" s="150" t="b">
        <v>0</v>
      </c>
      <c r="H832" s="150" t="b">
        <v>0</v>
      </c>
      <c r="I832" s="150" t="b">
        <v>0</v>
      </c>
      <c r="J832" s="150" t="b">
        <v>0</v>
      </c>
      <c r="K832" s="150" t="b">
        <v>0</v>
      </c>
      <c r="L832" s="8" t="b">
        <v>0</v>
      </c>
    </row>
    <row r="833">
      <c r="B833" s="97"/>
      <c r="C833" s="121" t="str">
        <f t="array" ref="C833">ifs(and(isblank($A833),isblank($B833)),"", not(iserror(vlookup($A833&amp;$B833,'5) Release_Track'!$F:$F&amp;'5) Release_Track'!$G:$G,1,0))),vlookup($A833&amp;$B833,{'5) Release_Track'!$F:$F&amp;'5) Release_Track'!$G:$G,'5) Release_Track'!$H:$H},2,0),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D833" s="121" t="str">
        <f t="array" ref="D833">ifs(and(isblank($A833),isblank($B833)),"", not(iserror(vlookup($A833&amp;$B833,'5) Release_Track'!$F:$F&amp;'5) Release_Track'!$G:$G,1,0))),vlookup($A833&amp;$B833,{'5) Release_Track'!$F:$F&amp;'5) Release_Track'!$G:$G,'5) Release_Track'!$I:$I},2,0),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E833" s="150" t="b">
        <v>0</v>
      </c>
      <c r="F833" s="150" t="b">
        <v>0</v>
      </c>
      <c r="G833" s="150" t="b">
        <v>0</v>
      </c>
      <c r="H833" s="150" t="b">
        <v>0</v>
      </c>
      <c r="I833" s="150" t="b">
        <v>0</v>
      </c>
      <c r="J833" s="150" t="b">
        <v>0</v>
      </c>
      <c r="K833" s="150" t="b">
        <v>0</v>
      </c>
      <c r="L833" s="8" t="b">
        <v>0</v>
      </c>
    </row>
    <row r="834">
      <c r="B834" s="97"/>
      <c r="C834" s="121" t="str">
        <f t="array" ref="C834">ifs(and(isblank($A834),isblank($B834)),"", not(iserror(vlookup($A834&amp;$B834,'5) Release_Track'!$F:$F&amp;'5) Release_Track'!$G:$G,1,0))),vlookup($A834&amp;$B834,{'5) Release_Track'!$F:$F&amp;'5) Release_Track'!$G:$G,'5) Release_Track'!$H:$H},2,0),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D834" s="121" t="str">
        <f t="array" ref="D834">ifs(and(isblank($A834),isblank($B834)),"", not(iserror(vlookup($A834&amp;$B834,'5) Release_Track'!$F:$F&amp;'5) Release_Track'!$G:$G,1,0))),vlookup($A834&amp;$B834,{'5) Release_Track'!$F:$F&amp;'5) Release_Track'!$G:$G,'5) Release_Track'!$I:$I},2,0),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E834" s="150" t="b">
        <v>0</v>
      </c>
      <c r="F834" s="150" t="b">
        <v>0</v>
      </c>
      <c r="G834" s="150" t="b">
        <v>0</v>
      </c>
      <c r="H834" s="150" t="b">
        <v>0</v>
      </c>
      <c r="I834" s="150" t="b">
        <v>0</v>
      </c>
      <c r="J834" s="150" t="b">
        <v>0</v>
      </c>
      <c r="K834" s="150" t="b">
        <v>0</v>
      </c>
      <c r="L834" s="8" t="b">
        <v>0</v>
      </c>
    </row>
    <row r="835">
      <c r="B835" s="97"/>
      <c r="C835" s="121" t="str">
        <f t="array" ref="C835">ifs(and(isblank($A835),isblank($B835)),"", not(iserror(vlookup($A835&amp;$B835,'5) Release_Track'!$F:$F&amp;'5) Release_Track'!$G:$G,1,0))),vlookup($A835&amp;$B835,{'5) Release_Track'!$F:$F&amp;'5) Release_Track'!$G:$G,'5) Release_Track'!$H:$H},2,0),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D835" s="121" t="str">
        <f t="array" ref="D835">ifs(and(isblank($A835),isblank($B835)),"", not(iserror(vlookup($A835&amp;$B835,'5) Release_Track'!$F:$F&amp;'5) Release_Track'!$G:$G,1,0))),vlookup($A835&amp;$B835,{'5) Release_Track'!$F:$F&amp;'5) Release_Track'!$G:$G,'5) Release_Track'!$I:$I},2,0),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E835" s="150" t="b">
        <v>0</v>
      </c>
      <c r="F835" s="150" t="b">
        <v>0</v>
      </c>
      <c r="G835" s="150" t="b">
        <v>0</v>
      </c>
      <c r="H835" s="150" t="b">
        <v>0</v>
      </c>
      <c r="I835" s="150" t="b">
        <v>0</v>
      </c>
      <c r="J835" s="150" t="b">
        <v>0</v>
      </c>
      <c r="K835" s="150" t="b">
        <v>0</v>
      </c>
      <c r="L835" s="8" t="b">
        <v>0</v>
      </c>
    </row>
    <row r="836">
      <c r="B836" s="97"/>
      <c r="C836" s="121" t="str">
        <f t="array" ref="C836">ifs(and(isblank($A836),isblank($B836)),"", not(iserror(vlookup($A836&amp;$B836,'5) Release_Track'!$F:$F&amp;'5) Release_Track'!$G:$G,1,0))),vlookup($A836&amp;$B836,{'5) Release_Track'!$F:$F&amp;'5) Release_Track'!$G:$G,'5) Release_Track'!$H:$H},2,0),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D836" s="121" t="str">
        <f t="array" ref="D836">ifs(and(isblank($A836),isblank($B836)),"", not(iserror(vlookup($A836&amp;$B836,'5) Release_Track'!$F:$F&amp;'5) Release_Track'!$G:$G,1,0))),vlookup($A836&amp;$B836,{'5) Release_Track'!$F:$F&amp;'5) Release_Track'!$G:$G,'5) Release_Track'!$I:$I},2,0),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E836" s="150" t="b">
        <v>0</v>
      </c>
      <c r="F836" s="150" t="b">
        <v>0</v>
      </c>
      <c r="G836" s="150" t="b">
        <v>0</v>
      </c>
      <c r="H836" s="150" t="b">
        <v>0</v>
      </c>
      <c r="I836" s="150" t="b">
        <v>0</v>
      </c>
      <c r="J836" s="150" t="b">
        <v>0</v>
      </c>
      <c r="K836" s="150" t="b">
        <v>0</v>
      </c>
      <c r="L836" s="8" t="b">
        <v>0</v>
      </c>
    </row>
    <row r="837">
      <c r="B837" s="97"/>
      <c r="C837" s="121" t="str">
        <f t="array" ref="C837">ifs(and(isblank($A837),isblank($B837)),"", not(iserror(vlookup($A837&amp;$B837,'5) Release_Track'!$F:$F&amp;'5) Release_Track'!$G:$G,1,0))),vlookup($A837&amp;$B837,{'5) Release_Track'!$F:$F&amp;'5) Release_Track'!$G:$G,'5) Release_Track'!$H:$H},2,0),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D837" s="121" t="str">
        <f t="array" ref="D837">ifs(and(isblank($A837),isblank($B837)),"", not(iserror(vlookup($A837&amp;$B837,'5) Release_Track'!$F:$F&amp;'5) Release_Track'!$G:$G,1,0))),vlookup($A837&amp;$B837,{'5) Release_Track'!$F:$F&amp;'5) Release_Track'!$G:$G,'5) Release_Track'!$I:$I},2,0),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E837" s="150" t="b">
        <v>0</v>
      </c>
      <c r="F837" s="150" t="b">
        <v>0</v>
      </c>
      <c r="G837" s="150" t="b">
        <v>0</v>
      </c>
      <c r="H837" s="150" t="b">
        <v>0</v>
      </c>
      <c r="I837" s="150" t="b">
        <v>0</v>
      </c>
      <c r="J837" s="150" t="b">
        <v>0</v>
      </c>
      <c r="K837" s="150" t="b">
        <v>0</v>
      </c>
      <c r="L837" s="8" t="b">
        <v>0</v>
      </c>
    </row>
    <row r="838">
      <c r="B838" s="97"/>
      <c r="C838" s="121" t="str">
        <f t="array" ref="C838">ifs(and(isblank($A838),isblank($B838)),"", not(iserror(vlookup($A838&amp;$B838,'5) Release_Track'!$F:$F&amp;'5) Release_Track'!$G:$G,1,0))),vlookup($A838&amp;$B838,{'5) Release_Track'!$F:$F&amp;'5) Release_Track'!$G:$G,'5) Release_Track'!$H:$H},2,0),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D838" s="121" t="str">
        <f t="array" ref="D838">ifs(and(isblank($A838),isblank($B838)),"", not(iserror(vlookup($A838&amp;$B838,'5) Release_Track'!$F:$F&amp;'5) Release_Track'!$G:$G,1,0))),vlookup($A838&amp;$B838,{'5) Release_Track'!$F:$F&amp;'5) Release_Track'!$G:$G,'5) Release_Track'!$I:$I},2,0),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E838" s="150" t="b">
        <v>0</v>
      </c>
      <c r="F838" s="150" t="b">
        <v>0</v>
      </c>
      <c r="G838" s="150" t="b">
        <v>0</v>
      </c>
      <c r="H838" s="150" t="b">
        <v>0</v>
      </c>
      <c r="I838" s="150" t="b">
        <v>0</v>
      </c>
      <c r="J838" s="150" t="b">
        <v>0</v>
      </c>
      <c r="K838" s="150" t="b">
        <v>0</v>
      </c>
      <c r="L838" s="8" t="b">
        <v>0</v>
      </c>
    </row>
    <row r="839">
      <c r="B839" s="97"/>
      <c r="C839" s="121" t="str">
        <f t="array" ref="C839">ifs(and(isblank($A839),isblank($B839)),"", not(iserror(vlookup($A839&amp;$B839,'5) Release_Track'!$F:$F&amp;'5) Release_Track'!$G:$G,1,0))),vlookup($A839&amp;$B839,{'5) Release_Track'!$F:$F&amp;'5) Release_Track'!$G:$G,'5) Release_Track'!$H:$H},2,0),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D839" s="121" t="str">
        <f t="array" ref="D839">ifs(and(isblank($A839),isblank($B839)),"", not(iserror(vlookup($A839&amp;$B839,'5) Release_Track'!$F:$F&amp;'5) Release_Track'!$G:$G,1,0))),vlookup($A839&amp;$B839,{'5) Release_Track'!$F:$F&amp;'5) Release_Track'!$G:$G,'5) Release_Track'!$I:$I},2,0),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E839" s="150" t="b">
        <v>0</v>
      </c>
      <c r="F839" s="150" t="b">
        <v>0</v>
      </c>
      <c r="G839" s="150" t="b">
        <v>0</v>
      </c>
      <c r="H839" s="150" t="b">
        <v>0</v>
      </c>
      <c r="I839" s="150" t="b">
        <v>0</v>
      </c>
      <c r="J839" s="150" t="b">
        <v>0</v>
      </c>
      <c r="K839" s="150" t="b">
        <v>0</v>
      </c>
      <c r="L839" s="8" t="b">
        <v>0</v>
      </c>
    </row>
    <row r="840">
      <c r="B840" s="97"/>
      <c r="C840" s="121" t="str">
        <f t="array" ref="C840">ifs(and(isblank($A840),isblank($B840)),"", not(iserror(vlookup($A840&amp;$B840,'5) Release_Track'!$F:$F&amp;'5) Release_Track'!$G:$G,1,0))),vlookup($A840&amp;$B840,{'5) Release_Track'!$F:$F&amp;'5) Release_Track'!$G:$G,'5) Release_Track'!$H:$H},2,0),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D840" s="121" t="str">
        <f t="array" ref="D840">ifs(and(isblank($A840),isblank($B840)),"", not(iserror(vlookup($A840&amp;$B840,'5) Release_Track'!$F:$F&amp;'5) Release_Track'!$G:$G,1,0))),vlookup($A840&amp;$B840,{'5) Release_Track'!$F:$F&amp;'5) Release_Track'!$G:$G,'5) Release_Track'!$I:$I},2,0),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E840" s="150" t="b">
        <v>0</v>
      </c>
      <c r="F840" s="150" t="b">
        <v>0</v>
      </c>
      <c r="G840" s="150" t="b">
        <v>0</v>
      </c>
      <c r="H840" s="150" t="b">
        <v>0</v>
      </c>
      <c r="I840" s="150" t="b">
        <v>0</v>
      </c>
      <c r="J840" s="150" t="b">
        <v>0</v>
      </c>
      <c r="K840" s="150" t="b">
        <v>0</v>
      </c>
      <c r="L840" s="8" t="b">
        <v>0</v>
      </c>
    </row>
    <row r="841">
      <c r="B841" s="97"/>
      <c r="C841" s="121" t="str">
        <f t="array" ref="C841">ifs(and(isblank($A841),isblank($B841)),"", not(iserror(vlookup($A841&amp;$B841,'5) Release_Track'!$F:$F&amp;'5) Release_Track'!$G:$G,1,0))),vlookup($A841&amp;$B841,{'5) Release_Track'!$F:$F&amp;'5) Release_Track'!$G:$G,'5) Release_Track'!$H:$H},2,0),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D841" s="121" t="str">
        <f t="array" ref="D841">ifs(and(isblank($A841),isblank($B841)),"", not(iserror(vlookup($A841&amp;$B841,'5) Release_Track'!$F:$F&amp;'5) Release_Track'!$G:$G,1,0))),vlookup($A841&amp;$B841,{'5) Release_Track'!$F:$F&amp;'5) Release_Track'!$G:$G,'5) Release_Track'!$I:$I},2,0),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E841" s="150" t="b">
        <v>0</v>
      </c>
      <c r="F841" s="150" t="b">
        <v>0</v>
      </c>
      <c r="G841" s="150" t="b">
        <v>0</v>
      </c>
      <c r="H841" s="150" t="b">
        <v>0</v>
      </c>
      <c r="I841" s="150" t="b">
        <v>0</v>
      </c>
      <c r="J841" s="150" t="b">
        <v>0</v>
      </c>
      <c r="K841" s="150" t="b">
        <v>0</v>
      </c>
      <c r="L841" s="8" t="b">
        <v>0</v>
      </c>
    </row>
    <row r="842">
      <c r="B842" s="97"/>
      <c r="C842" s="121" t="str">
        <f t="array" ref="C842">ifs(and(isblank($A842),isblank($B842)),"", not(iserror(vlookup($A842&amp;$B842,'5) Release_Track'!$F:$F&amp;'5) Release_Track'!$G:$G,1,0))),vlookup($A842&amp;$B842,{'5) Release_Track'!$F:$F&amp;'5) Release_Track'!$G:$G,'5) Release_Track'!$H:$H},2,0),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D842" s="121" t="str">
        <f t="array" ref="D842">ifs(and(isblank($A842),isblank($B842)),"", not(iserror(vlookup($A842&amp;$B842,'5) Release_Track'!$F:$F&amp;'5) Release_Track'!$G:$G,1,0))),vlookup($A842&amp;$B842,{'5) Release_Track'!$F:$F&amp;'5) Release_Track'!$G:$G,'5) Release_Track'!$I:$I},2,0),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E842" s="150" t="b">
        <v>0</v>
      </c>
      <c r="F842" s="150" t="b">
        <v>0</v>
      </c>
      <c r="G842" s="150" t="b">
        <v>0</v>
      </c>
      <c r="H842" s="150" t="b">
        <v>0</v>
      </c>
      <c r="I842" s="150" t="b">
        <v>0</v>
      </c>
      <c r="J842" s="150" t="b">
        <v>0</v>
      </c>
      <c r="K842" s="150" t="b">
        <v>0</v>
      </c>
      <c r="L842" s="8" t="b">
        <v>0</v>
      </c>
    </row>
    <row r="843">
      <c r="B843" s="97"/>
      <c r="C843" s="121" t="str">
        <f t="array" ref="C843">ifs(and(isblank($A843),isblank($B843)),"", not(iserror(vlookup($A843&amp;$B843,'5) Release_Track'!$F:$F&amp;'5) Release_Track'!$G:$G,1,0))),vlookup($A843&amp;$B843,{'5) Release_Track'!$F:$F&amp;'5) Release_Track'!$G:$G,'5) Release_Track'!$H:$H},2,0),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D843" s="121" t="str">
        <f t="array" ref="D843">ifs(and(isblank($A843),isblank($B843)),"", not(iserror(vlookup($A843&amp;$B843,'5) Release_Track'!$F:$F&amp;'5) Release_Track'!$G:$G,1,0))),vlookup($A843&amp;$B843,{'5) Release_Track'!$F:$F&amp;'5) Release_Track'!$G:$G,'5) Release_Track'!$I:$I},2,0),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E843" s="150" t="b">
        <v>0</v>
      </c>
      <c r="F843" s="150" t="b">
        <v>0</v>
      </c>
      <c r="G843" s="150" t="b">
        <v>0</v>
      </c>
      <c r="H843" s="150" t="b">
        <v>0</v>
      </c>
      <c r="I843" s="150" t="b">
        <v>0</v>
      </c>
      <c r="J843" s="150" t="b">
        <v>0</v>
      </c>
      <c r="K843" s="150" t="b">
        <v>0</v>
      </c>
      <c r="L843" s="8" t="b">
        <v>0</v>
      </c>
    </row>
    <row r="844">
      <c r="B844" s="97"/>
      <c r="C844" s="121" t="str">
        <f t="array" ref="C844">ifs(and(isblank($A844),isblank($B844)),"", not(iserror(vlookup($A844&amp;$B844,'5) Release_Track'!$F:$F&amp;'5) Release_Track'!$G:$G,1,0))),vlookup($A844&amp;$B844,{'5) Release_Track'!$F:$F&amp;'5) Release_Track'!$G:$G,'5) Release_Track'!$H:$H},2,0),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D844" s="121" t="str">
        <f t="array" ref="D844">ifs(and(isblank($A844),isblank($B844)),"", not(iserror(vlookup($A844&amp;$B844,'5) Release_Track'!$F:$F&amp;'5) Release_Track'!$G:$G,1,0))),vlookup($A844&amp;$B844,{'5) Release_Track'!$F:$F&amp;'5) Release_Track'!$G:$G,'5) Release_Track'!$I:$I},2,0),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E844" s="150" t="b">
        <v>0</v>
      </c>
      <c r="F844" s="150" t="b">
        <v>0</v>
      </c>
      <c r="G844" s="150" t="b">
        <v>0</v>
      </c>
      <c r="H844" s="150" t="b">
        <v>0</v>
      </c>
      <c r="I844" s="150" t="b">
        <v>0</v>
      </c>
      <c r="J844" s="150" t="b">
        <v>0</v>
      </c>
      <c r="K844" s="150" t="b">
        <v>0</v>
      </c>
      <c r="L844" s="8" t="b">
        <v>0</v>
      </c>
    </row>
    <row r="845">
      <c r="B845" s="97"/>
      <c r="C845" s="121" t="str">
        <f t="array" ref="C845">ifs(and(isblank($A845),isblank($B845)),"", not(iserror(vlookup($A845&amp;$B845,'5) Release_Track'!$F:$F&amp;'5) Release_Track'!$G:$G,1,0))),vlookup($A845&amp;$B845,{'5) Release_Track'!$F:$F&amp;'5) Release_Track'!$G:$G,'5) Release_Track'!$H:$H},2,0),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D845" s="121" t="str">
        <f t="array" ref="D845">ifs(and(isblank($A845),isblank($B845)),"", not(iserror(vlookup($A845&amp;$B845,'5) Release_Track'!$F:$F&amp;'5) Release_Track'!$G:$G,1,0))),vlookup($A845&amp;$B845,{'5) Release_Track'!$F:$F&amp;'5) Release_Track'!$G:$G,'5) Release_Track'!$I:$I},2,0),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E845" s="150" t="b">
        <v>0</v>
      </c>
      <c r="F845" s="150" t="b">
        <v>0</v>
      </c>
      <c r="G845" s="150" t="b">
        <v>0</v>
      </c>
      <c r="H845" s="150" t="b">
        <v>0</v>
      </c>
      <c r="I845" s="150" t="b">
        <v>0</v>
      </c>
      <c r="J845" s="150" t="b">
        <v>0</v>
      </c>
      <c r="K845" s="150" t="b">
        <v>0</v>
      </c>
      <c r="L845" s="8" t="b">
        <v>0</v>
      </c>
    </row>
    <row r="846">
      <c r="B846" s="97"/>
      <c r="C846" s="121" t="str">
        <f t="array" ref="C846">ifs(and(isblank($A846),isblank($B846)),"", not(iserror(vlookup($A846&amp;$B846,'5) Release_Track'!$F:$F&amp;'5) Release_Track'!$G:$G,1,0))),vlookup($A846&amp;$B846,{'5) Release_Track'!$F:$F&amp;'5) Release_Track'!$G:$G,'5) Release_Track'!$H:$H},2,0),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D846" s="121" t="str">
        <f t="array" ref="D846">ifs(and(isblank($A846),isblank($B846)),"", not(iserror(vlookup($A846&amp;$B846,'5) Release_Track'!$F:$F&amp;'5) Release_Track'!$G:$G,1,0))),vlookup($A846&amp;$B846,{'5) Release_Track'!$F:$F&amp;'5) Release_Track'!$G:$G,'5) Release_Track'!$I:$I},2,0),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E846" s="150" t="b">
        <v>0</v>
      </c>
      <c r="F846" s="150" t="b">
        <v>0</v>
      </c>
      <c r="G846" s="150" t="b">
        <v>0</v>
      </c>
      <c r="H846" s="150" t="b">
        <v>0</v>
      </c>
      <c r="I846" s="150" t="b">
        <v>0</v>
      </c>
      <c r="J846" s="150" t="b">
        <v>0</v>
      </c>
      <c r="K846" s="150" t="b">
        <v>0</v>
      </c>
      <c r="L846" s="8" t="b">
        <v>0</v>
      </c>
    </row>
    <row r="847">
      <c r="B847" s="97"/>
      <c r="C847" s="121" t="str">
        <f t="array" ref="C847">ifs(and(isblank($A847),isblank($B847)),"", not(iserror(vlookup($A847&amp;$B847,'5) Release_Track'!$F:$F&amp;'5) Release_Track'!$G:$G,1,0))),vlookup($A847&amp;$B847,{'5) Release_Track'!$F:$F&amp;'5) Release_Track'!$G:$G,'5) Release_Track'!$H:$H},2,0),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D847" s="121" t="str">
        <f t="array" ref="D847">ifs(and(isblank($A847),isblank($B847)),"", not(iserror(vlookup($A847&amp;$B847,'5) Release_Track'!$F:$F&amp;'5) Release_Track'!$G:$G,1,0))),vlookup($A847&amp;$B847,{'5) Release_Track'!$F:$F&amp;'5) Release_Track'!$G:$G,'5) Release_Track'!$I:$I},2,0),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E847" s="150" t="b">
        <v>0</v>
      </c>
      <c r="F847" s="150" t="b">
        <v>0</v>
      </c>
      <c r="G847" s="150" t="b">
        <v>0</v>
      </c>
      <c r="H847" s="150" t="b">
        <v>0</v>
      </c>
      <c r="I847" s="150" t="b">
        <v>0</v>
      </c>
      <c r="J847" s="150" t="b">
        <v>0</v>
      </c>
      <c r="K847" s="150" t="b">
        <v>0</v>
      </c>
      <c r="L847" s="8" t="b">
        <v>0</v>
      </c>
    </row>
    <row r="848">
      <c r="B848" s="97"/>
      <c r="C848" s="121" t="str">
        <f t="array" ref="C848">ifs(and(isblank($A848),isblank($B848)),"", not(iserror(vlookup($A848&amp;$B848,'5) Release_Track'!$F:$F&amp;'5) Release_Track'!$G:$G,1,0))),vlookup($A848&amp;$B848,{'5) Release_Track'!$F:$F&amp;'5) Release_Track'!$G:$G,'5) Release_Track'!$H:$H},2,0),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D848" s="121" t="str">
        <f t="array" ref="D848">ifs(and(isblank($A848),isblank($B848)),"", not(iserror(vlookup($A848&amp;$B848,'5) Release_Track'!$F:$F&amp;'5) Release_Track'!$G:$G,1,0))),vlookup($A848&amp;$B848,{'5) Release_Track'!$F:$F&amp;'5) Release_Track'!$G:$G,'5) Release_Track'!$I:$I},2,0),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E848" s="150" t="b">
        <v>0</v>
      </c>
      <c r="F848" s="150" t="b">
        <v>0</v>
      </c>
      <c r="G848" s="150" t="b">
        <v>0</v>
      </c>
      <c r="H848" s="150" t="b">
        <v>0</v>
      </c>
      <c r="I848" s="150" t="b">
        <v>0</v>
      </c>
      <c r="J848" s="150" t="b">
        <v>0</v>
      </c>
      <c r="K848" s="150" t="b">
        <v>0</v>
      </c>
      <c r="L848" s="8" t="b">
        <v>0</v>
      </c>
    </row>
    <row r="849">
      <c r="B849" s="97"/>
      <c r="C849" s="121" t="str">
        <f t="array" ref="C849">ifs(and(isblank($A849),isblank($B849)),"", not(iserror(vlookup($A849&amp;$B849,'5) Release_Track'!$F:$F&amp;'5) Release_Track'!$G:$G,1,0))),vlookup($A849&amp;$B849,{'5) Release_Track'!$F:$F&amp;'5) Release_Track'!$G:$G,'5) Release_Track'!$H:$H},2,0),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D849" s="121" t="str">
        <f t="array" ref="D849">ifs(and(isblank($A849),isblank($B849)),"", not(iserror(vlookup($A849&amp;$B849,'5) Release_Track'!$F:$F&amp;'5) Release_Track'!$G:$G,1,0))),vlookup($A849&amp;$B849,{'5) Release_Track'!$F:$F&amp;'5) Release_Track'!$G:$G,'5) Release_Track'!$I:$I},2,0),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E849" s="150" t="b">
        <v>0</v>
      </c>
      <c r="F849" s="150" t="b">
        <v>0</v>
      </c>
      <c r="G849" s="150" t="b">
        <v>0</v>
      </c>
      <c r="H849" s="150" t="b">
        <v>0</v>
      </c>
      <c r="I849" s="150" t="b">
        <v>0</v>
      </c>
      <c r="J849" s="150" t="b">
        <v>0</v>
      </c>
      <c r="K849" s="150" t="b">
        <v>0</v>
      </c>
      <c r="L849" s="8" t="b">
        <v>0</v>
      </c>
    </row>
    <row r="850">
      <c r="B850" s="97"/>
      <c r="C850" s="121" t="str">
        <f t="array" ref="C850">ifs(and(isblank($A850),isblank($B850)),"", not(iserror(vlookup($A850&amp;$B850,'5) Release_Track'!$F:$F&amp;'5) Release_Track'!$G:$G,1,0))),vlookup($A850&amp;$B850,{'5) Release_Track'!$F:$F&amp;'5) Release_Track'!$G:$G,'5) Release_Track'!$H:$H},2,0),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D850" s="121" t="str">
        <f t="array" ref="D850">ifs(and(isblank($A850),isblank($B850)),"", not(iserror(vlookup($A850&amp;$B850,'5) Release_Track'!$F:$F&amp;'5) Release_Track'!$G:$G,1,0))),vlookup($A850&amp;$B850,{'5) Release_Track'!$F:$F&amp;'5) Release_Track'!$G:$G,'5) Release_Track'!$I:$I},2,0),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E850" s="150" t="b">
        <v>0</v>
      </c>
      <c r="F850" s="150" t="b">
        <v>0</v>
      </c>
      <c r="G850" s="150" t="b">
        <v>0</v>
      </c>
      <c r="H850" s="150" t="b">
        <v>0</v>
      </c>
      <c r="I850" s="150" t="b">
        <v>0</v>
      </c>
      <c r="J850" s="150" t="b">
        <v>0</v>
      </c>
      <c r="K850" s="150" t="b">
        <v>0</v>
      </c>
      <c r="L850" s="8" t="b">
        <v>0</v>
      </c>
    </row>
    <row r="851">
      <c r="B851" s="97"/>
      <c r="C851" s="121" t="str">
        <f t="array" ref="C851">ifs(and(isblank($A851),isblank($B851)),"", not(iserror(vlookup($A851&amp;$B851,'5) Release_Track'!$F:$F&amp;'5) Release_Track'!$G:$G,1,0))),vlookup($A851&amp;$B851,{'5) Release_Track'!$F:$F&amp;'5) Release_Track'!$G:$G,'5) Release_Track'!$H:$H},2,0),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D851" s="121" t="str">
        <f t="array" ref="D851">ifs(and(isblank($A851),isblank($B851)),"", not(iserror(vlookup($A851&amp;$B851,'5) Release_Track'!$F:$F&amp;'5) Release_Track'!$G:$G,1,0))),vlookup($A851&amp;$B851,{'5) Release_Track'!$F:$F&amp;'5) Release_Track'!$G:$G,'5) Release_Track'!$I:$I},2,0),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E851" s="150" t="b">
        <v>0</v>
      </c>
      <c r="F851" s="150" t="b">
        <v>0</v>
      </c>
      <c r="G851" s="150" t="b">
        <v>0</v>
      </c>
      <c r="H851" s="150" t="b">
        <v>0</v>
      </c>
      <c r="I851" s="150" t="b">
        <v>0</v>
      </c>
      <c r="J851" s="150" t="b">
        <v>0</v>
      </c>
      <c r="K851" s="150" t="b">
        <v>0</v>
      </c>
      <c r="L851" s="8" t="b">
        <v>0</v>
      </c>
    </row>
    <row r="852">
      <c r="B852" s="97"/>
      <c r="C852" s="121" t="str">
        <f t="array" ref="C852">ifs(and(isblank($A852),isblank($B852)),"", not(iserror(vlookup($A852&amp;$B852,'5) Release_Track'!$F:$F&amp;'5) Release_Track'!$G:$G,1,0))),vlookup($A852&amp;$B852,{'5) Release_Track'!$F:$F&amp;'5) Release_Track'!$G:$G,'5) Release_Track'!$H:$H},2,0),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D852" s="121" t="str">
        <f t="array" ref="D852">ifs(and(isblank($A852),isblank($B852)),"", not(iserror(vlookup($A852&amp;$B852,'5) Release_Track'!$F:$F&amp;'5) Release_Track'!$G:$G,1,0))),vlookup($A852&amp;$B852,{'5) Release_Track'!$F:$F&amp;'5) Release_Track'!$G:$G,'5) Release_Track'!$I:$I},2,0),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E852" s="150" t="b">
        <v>0</v>
      </c>
      <c r="F852" s="150" t="b">
        <v>0</v>
      </c>
      <c r="G852" s="150" t="b">
        <v>0</v>
      </c>
      <c r="H852" s="150" t="b">
        <v>0</v>
      </c>
      <c r="I852" s="150" t="b">
        <v>0</v>
      </c>
      <c r="J852" s="150" t="b">
        <v>0</v>
      </c>
      <c r="K852" s="150" t="b">
        <v>0</v>
      </c>
      <c r="L852" s="8" t="b">
        <v>0</v>
      </c>
    </row>
    <row r="853">
      <c r="B853" s="97"/>
      <c r="C853" s="121" t="str">
        <f t="array" ref="C853">ifs(and(isblank($A853),isblank($B853)),"", not(iserror(vlookup($A853&amp;$B853,'5) Release_Track'!$F:$F&amp;'5) Release_Track'!$G:$G,1,0))),vlookup($A853&amp;$B853,{'5) Release_Track'!$F:$F&amp;'5) Release_Track'!$G:$G,'5) Release_Track'!$H:$H},2,0),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D853" s="121" t="str">
        <f t="array" ref="D853">ifs(and(isblank($A853),isblank($B853)),"", not(iserror(vlookup($A853&amp;$B853,'5) Release_Track'!$F:$F&amp;'5) Release_Track'!$G:$G,1,0))),vlookup($A853&amp;$B853,{'5) Release_Track'!$F:$F&amp;'5) Release_Track'!$G:$G,'5) Release_Track'!$I:$I},2,0),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E853" s="150" t="b">
        <v>0</v>
      </c>
      <c r="F853" s="150" t="b">
        <v>0</v>
      </c>
      <c r="G853" s="150" t="b">
        <v>0</v>
      </c>
      <c r="H853" s="150" t="b">
        <v>0</v>
      </c>
      <c r="I853" s="150" t="b">
        <v>0</v>
      </c>
      <c r="J853" s="150" t="b">
        <v>0</v>
      </c>
      <c r="K853" s="150" t="b">
        <v>0</v>
      </c>
      <c r="L853" s="8" t="b">
        <v>0</v>
      </c>
    </row>
    <row r="854">
      <c r="B854" s="97"/>
      <c r="C854" s="121" t="str">
        <f t="array" ref="C854">ifs(and(isblank($A854),isblank($B854)),"", not(iserror(vlookup($A854&amp;$B854,'5) Release_Track'!$F:$F&amp;'5) Release_Track'!$G:$G,1,0))),vlookup($A854&amp;$B854,{'5) Release_Track'!$F:$F&amp;'5) Release_Track'!$G:$G,'5) Release_Track'!$H:$H},2,0),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D854" s="121" t="str">
        <f t="array" ref="D854">ifs(and(isblank($A854),isblank($B854)),"", not(iserror(vlookup($A854&amp;$B854,'5) Release_Track'!$F:$F&amp;'5) Release_Track'!$G:$G,1,0))),vlookup($A854&amp;$B854,{'5) Release_Track'!$F:$F&amp;'5) Release_Track'!$G:$G,'5) Release_Track'!$I:$I},2,0),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E854" s="150" t="b">
        <v>0</v>
      </c>
      <c r="F854" s="150" t="b">
        <v>0</v>
      </c>
      <c r="G854" s="150" t="b">
        <v>0</v>
      </c>
      <c r="H854" s="150" t="b">
        <v>0</v>
      </c>
      <c r="I854" s="150" t="b">
        <v>0</v>
      </c>
      <c r="J854" s="150" t="b">
        <v>0</v>
      </c>
      <c r="K854" s="150" t="b">
        <v>0</v>
      </c>
      <c r="L854" s="8" t="b">
        <v>0</v>
      </c>
    </row>
    <row r="855">
      <c r="B855" s="97"/>
      <c r="C855" s="121" t="str">
        <f t="array" ref="C855">ifs(and(isblank($A855),isblank($B855)),"", not(iserror(vlookup($A855&amp;$B855,'5) Release_Track'!$F:$F&amp;'5) Release_Track'!$G:$G,1,0))),vlookup($A855&amp;$B855,{'5) Release_Track'!$F:$F&amp;'5) Release_Track'!$G:$G,'5) Release_Track'!$H:$H},2,0),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D855" s="121" t="str">
        <f t="array" ref="D855">ifs(and(isblank($A855),isblank($B855)),"", not(iserror(vlookup($A855&amp;$B855,'5) Release_Track'!$F:$F&amp;'5) Release_Track'!$G:$G,1,0))),vlookup($A855&amp;$B855,{'5) Release_Track'!$F:$F&amp;'5) Release_Track'!$G:$G,'5) Release_Track'!$I:$I},2,0),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E855" s="150" t="b">
        <v>0</v>
      </c>
      <c r="F855" s="150" t="b">
        <v>0</v>
      </c>
      <c r="G855" s="150" t="b">
        <v>0</v>
      </c>
      <c r="H855" s="150" t="b">
        <v>0</v>
      </c>
      <c r="I855" s="150" t="b">
        <v>0</v>
      </c>
      <c r="J855" s="150" t="b">
        <v>0</v>
      </c>
      <c r="K855" s="150" t="b">
        <v>0</v>
      </c>
      <c r="L855" s="8" t="b">
        <v>0</v>
      </c>
    </row>
    <row r="856">
      <c r="B856" s="97"/>
      <c r="C856" s="121" t="str">
        <f t="array" ref="C856">ifs(and(isblank($A856),isblank($B856)),"", not(iserror(vlookup($A856&amp;$B856,'5) Release_Track'!$F:$F&amp;'5) Release_Track'!$G:$G,1,0))),vlookup($A856&amp;$B856,{'5) Release_Track'!$F:$F&amp;'5) Release_Track'!$G:$G,'5) Release_Track'!$H:$H},2,0),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D856" s="121" t="str">
        <f t="array" ref="D856">ifs(and(isblank($A856),isblank($B856)),"", not(iserror(vlookup($A856&amp;$B856,'5) Release_Track'!$F:$F&amp;'5) Release_Track'!$G:$G,1,0))),vlookup($A856&amp;$B856,{'5) Release_Track'!$F:$F&amp;'5) Release_Track'!$G:$G,'5) Release_Track'!$I:$I},2,0),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E856" s="150" t="b">
        <v>0</v>
      </c>
      <c r="F856" s="150" t="b">
        <v>0</v>
      </c>
      <c r="G856" s="150" t="b">
        <v>0</v>
      </c>
      <c r="H856" s="150" t="b">
        <v>0</v>
      </c>
      <c r="I856" s="150" t="b">
        <v>0</v>
      </c>
      <c r="J856" s="150" t="b">
        <v>0</v>
      </c>
      <c r="K856" s="150" t="b">
        <v>0</v>
      </c>
      <c r="L856" s="8" t="b">
        <v>0</v>
      </c>
    </row>
    <row r="857">
      <c r="B857" s="97"/>
      <c r="C857" s="121" t="str">
        <f t="array" ref="C857">ifs(and(isblank($A857),isblank($B857)),"", not(iserror(vlookup($A857&amp;$B857,'5) Release_Track'!$F:$F&amp;'5) Release_Track'!$G:$G,1,0))),vlookup($A857&amp;$B857,{'5) Release_Track'!$F:$F&amp;'5) Release_Track'!$G:$G,'5) Release_Track'!$H:$H},2,0),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D857" s="121" t="str">
        <f t="array" ref="D857">ifs(and(isblank($A857),isblank($B857)),"", not(iserror(vlookup($A857&amp;$B857,'5) Release_Track'!$F:$F&amp;'5) Release_Track'!$G:$G,1,0))),vlookup($A857&amp;$B857,{'5) Release_Track'!$F:$F&amp;'5) Release_Track'!$G:$G,'5) Release_Track'!$I:$I},2,0),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E857" s="150" t="b">
        <v>0</v>
      </c>
      <c r="F857" s="150" t="b">
        <v>0</v>
      </c>
      <c r="G857" s="150" t="b">
        <v>0</v>
      </c>
      <c r="H857" s="150" t="b">
        <v>0</v>
      </c>
      <c r="I857" s="150" t="b">
        <v>0</v>
      </c>
      <c r="J857" s="150" t="b">
        <v>0</v>
      </c>
      <c r="K857" s="150" t="b">
        <v>0</v>
      </c>
      <c r="L857" s="8" t="b">
        <v>0</v>
      </c>
    </row>
    <row r="858">
      <c r="B858" s="97"/>
      <c r="C858" s="121" t="str">
        <f t="array" ref="C858">ifs(and(isblank($A858),isblank($B858)),"", not(iserror(vlookup($A858&amp;$B858,'5) Release_Track'!$F:$F&amp;'5) Release_Track'!$G:$G,1,0))),vlookup($A858&amp;$B858,{'5) Release_Track'!$F:$F&amp;'5) Release_Track'!$G:$G,'5) Release_Track'!$H:$H},2,0),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D858" s="121" t="str">
        <f t="array" ref="D858">ifs(and(isblank($A858),isblank($B858)),"", not(iserror(vlookup($A858&amp;$B858,'5) Release_Track'!$F:$F&amp;'5) Release_Track'!$G:$G,1,0))),vlookup($A858&amp;$B858,{'5) Release_Track'!$F:$F&amp;'5) Release_Track'!$G:$G,'5) Release_Track'!$I:$I},2,0),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E858" s="150" t="b">
        <v>0</v>
      </c>
      <c r="F858" s="150" t="b">
        <v>0</v>
      </c>
      <c r="G858" s="150" t="b">
        <v>0</v>
      </c>
      <c r="H858" s="150" t="b">
        <v>0</v>
      </c>
      <c r="I858" s="150" t="b">
        <v>0</v>
      </c>
      <c r="J858" s="150" t="b">
        <v>0</v>
      </c>
      <c r="K858" s="150" t="b">
        <v>0</v>
      </c>
      <c r="L858" s="8" t="b">
        <v>0</v>
      </c>
    </row>
    <row r="859">
      <c r="B859" s="97"/>
      <c r="C859" s="121" t="str">
        <f t="array" ref="C859">ifs(and(isblank($A859),isblank($B859)),"", not(iserror(vlookup($A859&amp;$B859,'5) Release_Track'!$F:$F&amp;'5) Release_Track'!$G:$G,1,0))),vlookup($A859&amp;$B859,{'5) Release_Track'!$F:$F&amp;'5) Release_Track'!$G:$G,'5) Release_Track'!$H:$H},2,0),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D859" s="121" t="str">
        <f t="array" ref="D859">ifs(and(isblank($A859),isblank($B859)),"", not(iserror(vlookup($A859&amp;$B859,'5) Release_Track'!$F:$F&amp;'5) Release_Track'!$G:$G,1,0))),vlookup($A859&amp;$B859,{'5) Release_Track'!$F:$F&amp;'5) Release_Track'!$G:$G,'5) Release_Track'!$I:$I},2,0),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E859" s="150" t="b">
        <v>0</v>
      </c>
      <c r="F859" s="150" t="b">
        <v>0</v>
      </c>
      <c r="G859" s="150" t="b">
        <v>0</v>
      </c>
      <c r="H859" s="150" t="b">
        <v>0</v>
      </c>
      <c r="I859" s="150" t="b">
        <v>0</v>
      </c>
      <c r="J859" s="150" t="b">
        <v>0</v>
      </c>
      <c r="K859" s="150" t="b">
        <v>0</v>
      </c>
      <c r="L859" s="8" t="b">
        <v>0</v>
      </c>
    </row>
    <row r="860">
      <c r="B860" s="97"/>
      <c r="C860" s="121" t="str">
        <f t="array" ref="C860">ifs(and(isblank($A860),isblank($B860)),"", not(iserror(vlookup($A860&amp;$B860,'5) Release_Track'!$F:$F&amp;'5) Release_Track'!$G:$G,1,0))),vlookup($A860&amp;$B860,{'5) Release_Track'!$F:$F&amp;'5) Release_Track'!$G:$G,'5) Release_Track'!$H:$H},2,0),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D860" s="121" t="str">
        <f t="array" ref="D860">ifs(and(isblank($A860),isblank($B860)),"", not(iserror(vlookup($A860&amp;$B860,'5) Release_Track'!$F:$F&amp;'5) Release_Track'!$G:$G,1,0))),vlookup($A860&amp;$B860,{'5) Release_Track'!$F:$F&amp;'5) Release_Track'!$G:$G,'5) Release_Track'!$I:$I},2,0),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E860" s="150" t="b">
        <v>0</v>
      </c>
      <c r="F860" s="150" t="b">
        <v>0</v>
      </c>
      <c r="G860" s="150" t="b">
        <v>0</v>
      </c>
      <c r="H860" s="150" t="b">
        <v>0</v>
      </c>
      <c r="I860" s="150" t="b">
        <v>0</v>
      </c>
      <c r="J860" s="150" t="b">
        <v>0</v>
      </c>
      <c r="K860" s="150" t="b">
        <v>0</v>
      </c>
      <c r="L860" s="8" t="b">
        <v>0</v>
      </c>
    </row>
    <row r="861">
      <c r="B861" s="97"/>
      <c r="C861" s="121" t="str">
        <f t="array" ref="C861">ifs(and(isblank($A861),isblank($B861)),"", not(iserror(vlookup($A861&amp;$B861,'5) Release_Track'!$F:$F&amp;'5) Release_Track'!$G:$G,1,0))),vlookup($A861&amp;$B861,{'5) Release_Track'!$F:$F&amp;'5) Release_Track'!$G:$G,'5) Release_Track'!$H:$H},2,0),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D861" s="121" t="str">
        <f t="array" ref="D861">ifs(and(isblank($A861),isblank($B861)),"", not(iserror(vlookup($A861&amp;$B861,'5) Release_Track'!$F:$F&amp;'5) Release_Track'!$G:$G,1,0))),vlookup($A861&amp;$B861,{'5) Release_Track'!$F:$F&amp;'5) Release_Track'!$G:$G,'5) Release_Track'!$I:$I},2,0),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E861" s="150" t="b">
        <v>0</v>
      </c>
      <c r="F861" s="150" t="b">
        <v>0</v>
      </c>
      <c r="G861" s="150" t="b">
        <v>0</v>
      </c>
      <c r="H861" s="150" t="b">
        <v>0</v>
      </c>
      <c r="I861" s="150" t="b">
        <v>0</v>
      </c>
      <c r="J861" s="150" t="b">
        <v>0</v>
      </c>
      <c r="K861" s="150" t="b">
        <v>0</v>
      </c>
      <c r="L861" s="8" t="b">
        <v>0</v>
      </c>
    </row>
    <row r="862">
      <c r="B862" s="97"/>
      <c r="C862" s="121" t="str">
        <f t="array" ref="C862">ifs(and(isblank($A862),isblank($B862)),"", not(iserror(vlookup($A862&amp;$B862,'5) Release_Track'!$F:$F&amp;'5) Release_Track'!$G:$G,1,0))),vlookup($A862&amp;$B862,{'5) Release_Track'!$F:$F&amp;'5) Release_Track'!$G:$G,'5) Release_Track'!$H:$H},2,0),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D862" s="121" t="str">
        <f t="array" ref="D862">ifs(and(isblank($A862),isblank($B862)),"", not(iserror(vlookup($A862&amp;$B862,'5) Release_Track'!$F:$F&amp;'5) Release_Track'!$G:$G,1,0))),vlookup($A862&amp;$B862,{'5) Release_Track'!$F:$F&amp;'5) Release_Track'!$G:$G,'5) Release_Track'!$I:$I},2,0),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E862" s="150" t="b">
        <v>0</v>
      </c>
      <c r="F862" s="150" t="b">
        <v>0</v>
      </c>
      <c r="G862" s="150" t="b">
        <v>0</v>
      </c>
      <c r="H862" s="150" t="b">
        <v>0</v>
      </c>
      <c r="I862" s="150" t="b">
        <v>0</v>
      </c>
      <c r="J862" s="150" t="b">
        <v>0</v>
      </c>
      <c r="K862" s="150" t="b">
        <v>0</v>
      </c>
      <c r="L862" s="8" t="b">
        <v>0</v>
      </c>
    </row>
    <row r="863">
      <c r="B863" s="97"/>
      <c r="C863" s="121" t="str">
        <f t="array" ref="C863">ifs(and(isblank($A863),isblank($B863)),"", not(iserror(vlookup($A863&amp;$B863,'5) Release_Track'!$F:$F&amp;'5) Release_Track'!$G:$G,1,0))),vlookup($A863&amp;$B863,{'5) Release_Track'!$F:$F&amp;'5) Release_Track'!$G:$G,'5) Release_Track'!$H:$H},2,0),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D863" s="121" t="str">
        <f t="array" ref="D863">ifs(and(isblank($A863),isblank($B863)),"", not(iserror(vlookup($A863&amp;$B863,'5) Release_Track'!$F:$F&amp;'5) Release_Track'!$G:$G,1,0))),vlookup($A863&amp;$B863,{'5) Release_Track'!$F:$F&amp;'5) Release_Track'!$G:$G,'5) Release_Track'!$I:$I},2,0),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E863" s="150" t="b">
        <v>0</v>
      </c>
      <c r="F863" s="150" t="b">
        <v>0</v>
      </c>
      <c r="G863" s="150" t="b">
        <v>0</v>
      </c>
      <c r="H863" s="150" t="b">
        <v>0</v>
      </c>
      <c r="I863" s="150" t="b">
        <v>0</v>
      </c>
      <c r="J863" s="150" t="b">
        <v>0</v>
      </c>
      <c r="K863" s="150" t="b">
        <v>0</v>
      </c>
      <c r="L863" s="8" t="b">
        <v>0</v>
      </c>
    </row>
    <row r="864">
      <c r="B864" s="97"/>
      <c r="C864" s="121" t="str">
        <f t="array" ref="C864">ifs(and(isblank($A864),isblank($B864)),"", not(iserror(vlookup($A864&amp;$B864,'5) Release_Track'!$F:$F&amp;'5) Release_Track'!$G:$G,1,0))),vlookup($A864&amp;$B864,{'5) Release_Track'!$F:$F&amp;'5) Release_Track'!$G:$G,'5) Release_Track'!$H:$H},2,0),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D864" s="121" t="str">
        <f t="array" ref="D864">ifs(and(isblank($A864),isblank($B864)),"", not(iserror(vlookup($A864&amp;$B864,'5) Release_Track'!$F:$F&amp;'5) Release_Track'!$G:$G,1,0))),vlookup($A864&amp;$B864,{'5) Release_Track'!$F:$F&amp;'5) Release_Track'!$G:$G,'5) Release_Track'!$I:$I},2,0),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E864" s="150" t="b">
        <v>0</v>
      </c>
      <c r="F864" s="150" t="b">
        <v>0</v>
      </c>
      <c r="G864" s="150" t="b">
        <v>0</v>
      </c>
      <c r="H864" s="150" t="b">
        <v>0</v>
      </c>
      <c r="I864" s="150" t="b">
        <v>0</v>
      </c>
      <c r="J864" s="150" t="b">
        <v>0</v>
      </c>
      <c r="K864" s="150" t="b">
        <v>0</v>
      </c>
      <c r="L864" s="8" t="b">
        <v>0</v>
      </c>
    </row>
    <row r="865">
      <c r="B865" s="97"/>
      <c r="C865" s="121" t="str">
        <f t="array" ref="C865">ifs(and(isblank($A865),isblank($B865)),"", not(iserror(vlookup($A865&amp;$B865,'5) Release_Track'!$F:$F&amp;'5) Release_Track'!$G:$G,1,0))),vlookup($A865&amp;$B865,{'5) Release_Track'!$F:$F&amp;'5) Release_Track'!$G:$G,'5) Release_Track'!$H:$H},2,0),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D865" s="121" t="str">
        <f t="array" ref="D865">ifs(and(isblank($A865),isblank($B865)),"", not(iserror(vlookup($A865&amp;$B865,'5) Release_Track'!$F:$F&amp;'5) Release_Track'!$G:$G,1,0))),vlookup($A865&amp;$B865,{'5) Release_Track'!$F:$F&amp;'5) Release_Track'!$G:$G,'5) Release_Track'!$I:$I},2,0),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E865" s="150" t="b">
        <v>0</v>
      </c>
      <c r="F865" s="150" t="b">
        <v>0</v>
      </c>
      <c r="G865" s="150" t="b">
        <v>0</v>
      </c>
      <c r="H865" s="150" t="b">
        <v>0</v>
      </c>
      <c r="I865" s="150" t="b">
        <v>0</v>
      </c>
      <c r="J865" s="150" t="b">
        <v>0</v>
      </c>
      <c r="K865" s="150" t="b">
        <v>0</v>
      </c>
      <c r="L865" s="8" t="b">
        <v>0</v>
      </c>
    </row>
    <row r="866">
      <c r="B866" s="97"/>
      <c r="C866" s="121" t="str">
        <f t="array" ref="C866">ifs(and(isblank($A866),isblank($B866)),"", not(iserror(vlookup($A866&amp;$B866,'5) Release_Track'!$F:$F&amp;'5) Release_Track'!$G:$G,1,0))),vlookup($A866&amp;$B866,{'5) Release_Track'!$F:$F&amp;'5) Release_Track'!$G:$G,'5) Release_Track'!$H:$H},2,0),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D866" s="121" t="str">
        <f t="array" ref="D866">ifs(and(isblank($A866),isblank($B866)),"", not(iserror(vlookup($A866&amp;$B866,'5) Release_Track'!$F:$F&amp;'5) Release_Track'!$G:$G,1,0))),vlookup($A866&amp;$B866,{'5) Release_Track'!$F:$F&amp;'5) Release_Track'!$G:$G,'5) Release_Track'!$I:$I},2,0),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E866" s="150" t="b">
        <v>0</v>
      </c>
      <c r="F866" s="150" t="b">
        <v>0</v>
      </c>
      <c r="G866" s="150" t="b">
        <v>0</v>
      </c>
      <c r="H866" s="150" t="b">
        <v>0</v>
      </c>
      <c r="I866" s="150" t="b">
        <v>0</v>
      </c>
      <c r="J866" s="150" t="b">
        <v>0</v>
      </c>
      <c r="K866" s="150" t="b">
        <v>0</v>
      </c>
      <c r="L866" s="8" t="b">
        <v>0</v>
      </c>
    </row>
    <row r="867">
      <c r="B867" s="97"/>
      <c r="C867" s="121" t="str">
        <f t="array" ref="C867">ifs(and(isblank($A867),isblank($B867)),"", not(iserror(vlookup($A867&amp;$B867,'5) Release_Track'!$F:$F&amp;'5) Release_Track'!$G:$G,1,0))),vlookup($A867&amp;$B867,{'5) Release_Track'!$F:$F&amp;'5) Release_Track'!$G:$G,'5) Release_Track'!$H:$H},2,0),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D867" s="121" t="str">
        <f t="array" ref="D867">ifs(and(isblank($A867),isblank($B867)),"", not(iserror(vlookup($A867&amp;$B867,'5) Release_Track'!$F:$F&amp;'5) Release_Track'!$G:$G,1,0))),vlookup($A867&amp;$B867,{'5) Release_Track'!$F:$F&amp;'5) Release_Track'!$G:$G,'5) Release_Track'!$I:$I},2,0),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E867" s="150" t="b">
        <v>0</v>
      </c>
      <c r="F867" s="150" t="b">
        <v>0</v>
      </c>
      <c r="G867" s="150" t="b">
        <v>0</v>
      </c>
      <c r="H867" s="150" t="b">
        <v>0</v>
      </c>
      <c r="I867" s="150" t="b">
        <v>0</v>
      </c>
      <c r="J867" s="150" t="b">
        <v>0</v>
      </c>
      <c r="K867" s="150" t="b">
        <v>0</v>
      </c>
      <c r="L867" s="8" t="b">
        <v>0</v>
      </c>
    </row>
    <row r="868">
      <c r="B868" s="97"/>
      <c r="C868" s="121" t="str">
        <f t="array" ref="C868">ifs(and(isblank($A868),isblank($B868)),"", not(iserror(vlookup($A868&amp;$B868,'5) Release_Track'!$F:$F&amp;'5) Release_Track'!$G:$G,1,0))),vlookup($A868&amp;$B868,{'5) Release_Track'!$F:$F&amp;'5) Release_Track'!$G:$G,'5) Release_Track'!$H:$H},2,0),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D868" s="121" t="str">
        <f t="array" ref="D868">ifs(and(isblank($A868),isblank($B868)),"", not(iserror(vlookup($A868&amp;$B868,'5) Release_Track'!$F:$F&amp;'5) Release_Track'!$G:$G,1,0))),vlookup($A868&amp;$B868,{'5) Release_Track'!$F:$F&amp;'5) Release_Track'!$G:$G,'5) Release_Track'!$I:$I},2,0),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E868" s="150" t="b">
        <v>0</v>
      </c>
      <c r="F868" s="150" t="b">
        <v>0</v>
      </c>
      <c r="G868" s="150" t="b">
        <v>0</v>
      </c>
      <c r="H868" s="150" t="b">
        <v>0</v>
      </c>
      <c r="I868" s="150" t="b">
        <v>0</v>
      </c>
      <c r="J868" s="150" t="b">
        <v>0</v>
      </c>
      <c r="K868" s="150" t="b">
        <v>0</v>
      </c>
      <c r="L868" s="8" t="b">
        <v>0</v>
      </c>
    </row>
    <row r="869">
      <c r="B869" s="97"/>
      <c r="C869" s="121" t="str">
        <f t="array" ref="C869">ifs(and(isblank($A869),isblank($B869)),"", not(iserror(vlookup($A869&amp;$B869,'5) Release_Track'!$F:$F&amp;'5) Release_Track'!$G:$G,1,0))),vlookup($A869&amp;$B869,{'5) Release_Track'!$F:$F&amp;'5) Release_Track'!$G:$G,'5) Release_Track'!$H:$H},2,0),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D869" s="121" t="str">
        <f t="array" ref="D869">ifs(and(isblank($A869),isblank($B869)),"", not(iserror(vlookup($A869&amp;$B869,'5) Release_Track'!$F:$F&amp;'5) Release_Track'!$G:$G,1,0))),vlookup($A869&amp;$B869,{'5) Release_Track'!$F:$F&amp;'5) Release_Track'!$G:$G,'5) Release_Track'!$I:$I},2,0),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E869" s="150" t="b">
        <v>0</v>
      </c>
      <c r="F869" s="150" t="b">
        <v>0</v>
      </c>
      <c r="G869" s="150" t="b">
        <v>0</v>
      </c>
      <c r="H869" s="150" t="b">
        <v>0</v>
      </c>
      <c r="I869" s="150" t="b">
        <v>0</v>
      </c>
      <c r="J869" s="150" t="b">
        <v>0</v>
      </c>
      <c r="K869" s="150" t="b">
        <v>0</v>
      </c>
      <c r="L869" s="8" t="b">
        <v>0</v>
      </c>
    </row>
    <row r="870">
      <c r="B870" s="97"/>
      <c r="C870" s="121" t="str">
        <f t="array" ref="C870">ifs(and(isblank($A870),isblank($B870)),"", not(iserror(vlookup($A870&amp;$B870,'5) Release_Track'!$F:$F&amp;'5) Release_Track'!$G:$G,1,0))),vlookup($A870&amp;$B870,{'5) Release_Track'!$F:$F&amp;'5) Release_Track'!$G:$G,'5) Release_Track'!$H:$H},2,0),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D870" s="121" t="str">
        <f t="array" ref="D870">ifs(and(isblank($A870),isblank($B870)),"", not(iserror(vlookup($A870&amp;$B870,'5) Release_Track'!$F:$F&amp;'5) Release_Track'!$G:$G,1,0))),vlookup($A870&amp;$B870,{'5) Release_Track'!$F:$F&amp;'5) Release_Track'!$G:$G,'5) Release_Track'!$I:$I},2,0),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E870" s="150" t="b">
        <v>0</v>
      </c>
      <c r="F870" s="150" t="b">
        <v>0</v>
      </c>
      <c r="G870" s="150" t="b">
        <v>0</v>
      </c>
      <c r="H870" s="150" t="b">
        <v>0</v>
      </c>
      <c r="I870" s="150" t="b">
        <v>0</v>
      </c>
      <c r="J870" s="150" t="b">
        <v>0</v>
      </c>
      <c r="K870" s="150" t="b">
        <v>0</v>
      </c>
      <c r="L870" s="8" t="b">
        <v>0</v>
      </c>
    </row>
    <row r="871">
      <c r="B871" s="97"/>
      <c r="C871" s="121" t="str">
        <f t="array" ref="C871">ifs(and(isblank($A871),isblank($B871)),"", not(iserror(vlookup($A871&amp;$B871,'5) Release_Track'!$F:$F&amp;'5) Release_Track'!$G:$G,1,0))),vlookup($A871&amp;$B871,{'5) Release_Track'!$F:$F&amp;'5) Release_Track'!$G:$G,'5) Release_Track'!$H:$H},2,0),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D871" s="121" t="str">
        <f t="array" ref="D871">ifs(and(isblank($A871),isblank($B871)),"", not(iserror(vlookup($A871&amp;$B871,'5) Release_Track'!$F:$F&amp;'5) Release_Track'!$G:$G,1,0))),vlookup($A871&amp;$B871,{'5) Release_Track'!$F:$F&amp;'5) Release_Track'!$G:$G,'5) Release_Track'!$I:$I},2,0),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E871" s="150" t="b">
        <v>0</v>
      </c>
      <c r="F871" s="150" t="b">
        <v>0</v>
      </c>
      <c r="G871" s="150" t="b">
        <v>0</v>
      </c>
      <c r="H871" s="150" t="b">
        <v>0</v>
      </c>
      <c r="I871" s="150" t="b">
        <v>0</v>
      </c>
      <c r="J871" s="150" t="b">
        <v>0</v>
      </c>
      <c r="K871" s="150" t="b">
        <v>0</v>
      </c>
      <c r="L871" s="8" t="b">
        <v>0</v>
      </c>
    </row>
    <row r="872">
      <c r="B872" s="97"/>
      <c r="C872" s="121" t="str">
        <f t="array" ref="C872">ifs(and(isblank($A872),isblank($B872)),"", not(iserror(vlookup($A872&amp;$B872,'5) Release_Track'!$F:$F&amp;'5) Release_Track'!$G:$G,1,0))),vlookup($A872&amp;$B872,{'5) Release_Track'!$F:$F&amp;'5) Release_Track'!$G:$G,'5) Release_Track'!$H:$H},2,0),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D872" s="121" t="str">
        <f t="array" ref="D872">ifs(and(isblank($A872),isblank($B872)),"", not(iserror(vlookup($A872&amp;$B872,'5) Release_Track'!$F:$F&amp;'5) Release_Track'!$G:$G,1,0))),vlookup($A872&amp;$B872,{'5) Release_Track'!$F:$F&amp;'5) Release_Track'!$G:$G,'5) Release_Track'!$I:$I},2,0),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E872" s="150" t="b">
        <v>0</v>
      </c>
      <c r="F872" s="150" t="b">
        <v>0</v>
      </c>
      <c r="G872" s="150" t="b">
        <v>0</v>
      </c>
      <c r="H872" s="150" t="b">
        <v>0</v>
      </c>
      <c r="I872" s="150" t="b">
        <v>0</v>
      </c>
      <c r="J872" s="150" t="b">
        <v>0</v>
      </c>
      <c r="K872" s="150" t="b">
        <v>0</v>
      </c>
      <c r="L872" s="8" t="b">
        <v>0</v>
      </c>
    </row>
    <row r="873">
      <c r="B873" s="97"/>
      <c r="C873" s="121" t="str">
        <f t="array" ref="C873">ifs(and(isblank($A873),isblank($B873)),"", not(iserror(vlookup($A873&amp;$B873,'5) Release_Track'!$F:$F&amp;'5) Release_Track'!$G:$G,1,0))),vlookup($A873&amp;$B873,{'5) Release_Track'!$F:$F&amp;'5) Release_Track'!$G:$G,'5) Release_Track'!$H:$H},2,0),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D873" s="121" t="str">
        <f t="array" ref="D873">ifs(and(isblank($A873),isblank($B873)),"", not(iserror(vlookup($A873&amp;$B873,'5) Release_Track'!$F:$F&amp;'5) Release_Track'!$G:$G,1,0))),vlookup($A873&amp;$B873,{'5) Release_Track'!$F:$F&amp;'5) Release_Track'!$G:$G,'5) Release_Track'!$I:$I},2,0),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E873" s="150" t="b">
        <v>0</v>
      </c>
      <c r="F873" s="150" t="b">
        <v>0</v>
      </c>
      <c r="G873" s="150" t="b">
        <v>0</v>
      </c>
      <c r="H873" s="150" t="b">
        <v>0</v>
      </c>
      <c r="I873" s="150" t="b">
        <v>0</v>
      </c>
      <c r="J873" s="150" t="b">
        <v>0</v>
      </c>
      <c r="K873" s="150" t="b">
        <v>0</v>
      </c>
      <c r="L873" s="8" t="b">
        <v>0</v>
      </c>
    </row>
    <row r="874">
      <c r="B874" s="97"/>
      <c r="C874" s="121" t="str">
        <f t="array" ref="C874">ifs(and(isblank($A874),isblank($B874)),"", not(iserror(vlookup($A874&amp;$B874,'5) Release_Track'!$F:$F&amp;'5) Release_Track'!$G:$G,1,0))),vlookup($A874&amp;$B874,{'5) Release_Track'!$F:$F&amp;'5) Release_Track'!$G:$G,'5) Release_Track'!$H:$H},2,0),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D874" s="121" t="str">
        <f t="array" ref="D874">ifs(and(isblank($A874),isblank($B874)),"", not(iserror(vlookup($A874&amp;$B874,'5) Release_Track'!$F:$F&amp;'5) Release_Track'!$G:$G,1,0))),vlookup($A874&amp;$B874,{'5) Release_Track'!$F:$F&amp;'5) Release_Track'!$G:$G,'5) Release_Track'!$I:$I},2,0),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E874" s="150" t="b">
        <v>0</v>
      </c>
      <c r="F874" s="150" t="b">
        <v>0</v>
      </c>
      <c r="G874" s="150" t="b">
        <v>0</v>
      </c>
      <c r="H874" s="150" t="b">
        <v>0</v>
      </c>
      <c r="I874" s="150" t="b">
        <v>0</v>
      </c>
      <c r="J874" s="150" t="b">
        <v>0</v>
      </c>
      <c r="K874" s="150" t="b">
        <v>0</v>
      </c>
      <c r="L874" s="8" t="b">
        <v>0</v>
      </c>
    </row>
    <row r="875">
      <c r="B875" s="97"/>
      <c r="C875" s="121" t="str">
        <f t="array" ref="C875">ifs(and(isblank($A875),isblank($B875)),"", not(iserror(vlookup($A875&amp;$B875,'5) Release_Track'!$F:$F&amp;'5) Release_Track'!$G:$G,1,0))),vlookup($A875&amp;$B875,{'5) Release_Track'!$F:$F&amp;'5) Release_Track'!$G:$G,'5) Release_Track'!$H:$H},2,0),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D875" s="121" t="str">
        <f t="array" ref="D875">ifs(and(isblank($A875),isblank($B875)),"", not(iserror(vlookup($A875&amp;$B875,'5) Release_Track'!$F:$F&amp;'5) Release_Track'!$G:$G,1,0))),vlookup($A875&amp;$B875,{'5) Release_Track'!$F:$F&amp;'5) Release_Track'!$G:$G,'5) Release_Track'!$I:$I},2,0),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E875" s="150" t="b">
        <v>0</v>
      </c>
      <c r="F875" s="150" t="b">
        <v>0</v>
      </c>
      <c r="G875" s="150" t="b">
        <v>0</v>
      </c>
      <c r="H875" s="150" t="b">
        <v>0</v>
      </c>
      <c r="I875" s="150" t="b">
        <v>0</v>
      </c>
      <c r="J875" s="150" t="b">
        <v>0</v>
      </c>
      <c r="K875" s="150" t="b">
        <v>0</v>
      </c>
      <c r="L875" s="8" t="b">
        <v>0</v>
      </c>
    </row>
    <row r="876">
      <c r="B876" s="97"/>
      <c r="C876" s="121" t="str">
        <f t="array" ref="C876">ifs(and(isblank($A876),isblank($B876)),"", not(iserror(vlookup($A876&amp;$B876,'5) Release_Track'!$F:$F&amp;'5) Release_Track'!$G:$G,1,0))),vlookup($A876&amp;$B876,{'5) Release_Track'!$F:$F&amp;'5) Release_Track'!$G:$G,'5) Release_Track'!$H:$H},2,0),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D876" s="121" t="str">
        <f t="array" ref="D876">ifs(and(isblank($A876),isblank($B876)),"", not(iserror(vlookup($A876&amp;$B876,'5) Release_Track'!$F:$F&amp;'5) Release_Track'!$G:$G,1,0))),vlookup($A876&amp;$B876,{'5) Release_Track'!$F:$F&amp;'5) Release_Track'!$G:$G,'5) Release_Track'!$I:$I},2,0),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E876" s="150" t="b">
        <v>0</v>
      </c>
      <c r="F876" s="150" t="b">
        <v>0</v>
      </c>
      <c r="G876" s="150" t="b">
        <v>0</v>
      </c>
      <c r="H876" s="150" t="b">
        <v>0</v>
      </c>
      <c r="I876" s="150" t="b">
        <v>0</v>
      </c>
      <c r="J876" s="150" t="b">
        <v>0</v>
      </c>
      <c r="K876" s="150" t="b">
        <v>0</v>
      </c>
      <c r="L876" s="8" t="b">
        <v>0</v>
      </c>
    </row>
    <row r="877">
      <c r="B877" s="97"/>
      <c r="C877" s="121" t="str">
        <f t="array" ref="C877">ifs(and(isblank($A877),isblank($B877)),"", not(iserror(vlookup($A877&amp;$B877,'5) Release_Track'!$F:$F&amp;'5) Release_Track'!$G:$G,1,0))),vlookup($A877&amp;$B877,{'5) Release_Track'!$F:$F&amp;'5) Release_Track'!$G:$G,'5) Release_Track'!$H:$H},2,0),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D877" s="121" t="str">
        <f t="array" ref="D877">ifs(and(isblank($A877),isblank($B877)),"", not(iserror(vlookup($A877&amp;$B877,'5) Release_Track'!$F:$F&amp;'5) Release_Track'!$G:$G,1,0))),vlookup($A877&amp;$B877,{'5) Release_Track'!$F:$F&amp;'5) Release_Track'!$G:$G,'5) Release_Track'!$I:$I},2,0),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E877" s="150" t="b">
        <v>0</v>
      </c>
      <c r="F877" s="150" t="b">
        <v>0</v>
      </c>
      <c r="G877" s="150" t="b">
        <v>0</v>
      </c>
      <c r="H877" s="150" t="b">
        <v>0</v>
      </c>
      <c r="I877" s="150" t="b">
        <v>0</v>
      </c>
      <c r="J877" s="150" t="b">
        <v>0</v>
      </c>
      <c r="K877" s="150" t="b">
        <v>0</v>
      </c>
      <c r="L877" s="8" t="b">
        <v>0</v>
      </c>
    </row>
    <row r="878">
      <c r="B878" s="97"/>
      <c r="C878" s="121" t="str">
        <f t="array" ref="C878">ifs(and(isblank($A878),isblank($B878)),"", not(iserror(vlookup($A878&amp;$B878,'5) Release_Track'!$F:$F&amp;'5) Release_Track'!$G:$G,1,0))),vlookup($A878&amp;$B878,{'5) Release_Track'!$F:$F&amp;'5) Release_Track'!$G:$G,'5) Release_Track'!$H:$H},2,0),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D878" s="121" t="str">
        <f t="array" ref="D878">ifs(and(isblank($A878),isblank($B878)),"", not(iserror(vlookup($A878&amp;$B878,'5) Release_Track'!$F:$F&amp;'5) Release_Track'!$G:$G,1,0))),vlookup($A878&amp;$B878,{'5) Release_Track'!$F:$F&amp;'5) Release_Track'!$G:$G,'5) Release_Track'!$I:$I},2,0),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E878" s="150" t="b">
        <v>0</v>
      </c>
      <c r="F878" s="150" t="b">
        <v>0</v>
      </c>
      <c r="G878" s="150" t="b">
        <v>0</v>
      </c>
      <c r="H878" s="150" t="b">
        <v>0</v>
      </c>
      <c r="I878" s="150" t="b">
        <v>0</v>
      </c>
      <c r="J878" s="150" t="b">
        <v>0</v>
      </c>
      <c r="K878" s="150" t="b">
        <v>0</v>
      </c>
      <c r="L878" s="8" t="b">
        <v>0</v>
      </c>
    </row>
    <row r="879">
      <c r="B879" s="97"/>
      <c r="C879" s="121" t="str">
        <f t="array" ref="C879">ifs(and(isblank($A879),isblank($B879)),"", not(iserror(vlookup($A879&amp;$B879,'5) Release_Track'!$F:$F&amp;'5) Release_Track'!$G:$G,1,0))),vlookup($A879&amp;$B879,{'5) Release_Track'!$F:$F&amp;'5) Release_Track'!$G:$G,'5) Release_Track'!$H:$H},2,0),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D879" s="121" t="str">
        <f t="array" ref="D879">ifs(and(isblank($A879),isblank($B879)),"", not(iserror(vlookup($A879&amp;$B879,'5) Release_Track'!$F:$F&amp;'5) Release_Track'!$G:$G,1,0))),vlookup($A879&amp;$B879,{'5) Release_Track'!$F:$F&amp;'5) Release_Track'!$G:$G,'5) Release_Track'!$I:$I},2,0),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E879" s="150" t="b">
        <v>0</v>
      </c>
      <c r="F879" s="150" t="b">
        <v>0</v>
      </c>
      <c r="G879" s="150" t="b">
        <v>0</v>
      </c>
      <c r="H879" s="150" t="b">
        <v>0</v>
      </c>
      <c r="I879" s="150" t="b">
        <v>0</v>
      </c>
      <c r="J879" s="150" t="b">
        <v>0</v>
      </c>
      <c r="K879" s="150" t="b">
        <v>0</v>
      </c>
      <c r="L879" s="8" t="b">
        <v>0</v>
      </c>
    </row>
    <row r="880">
      <c r="B880" s="97"/>
      <c r="C880" s="121" t="str">
        <f t="array" ref="C880">ifs(and(isblank($A880),isblank($B880)),"", not(iserror(vlookup($A880&amp;$B880,'5) Release_Track'!$F:$F&amp;'5) Release_Track'!$G:$G,1,0))),vlookup($A880&amp;$B880,{'5) Release_Track'!$F:$F&amp;'5) Release_Track'!$G:$G,'5) Release_Track'!$H:$H},2,0),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D880" s="121" t="str">
        <f t="array" ref="D880">ifs(and(isblank($A880),isblank($B880)),"", not(iserror(vlookup($A880&amp;$B880,'5) Release_Track'!$F:$F&amp;'5) Release_Track'!$G:$G,1,0))),vlookup($A880&amp;$B880,{'5) Release_Track'!$F:$F&amp;'5) Release_Track'!$G:$G,'5) Release_Track'!$I:$I},2,0),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E880" s="150" t="b">
        <v>0</v>
      </c>
      <c r="F880" s="150" t="b">
        <v>0</v>
      </c>
      <c r="G880" s="150" t="b">
        <v>0</v>
      </c>
      <c r="H880" s="150" t="b">
        <v>0</v>
      </c>
      <c r="I880" s="150" t="b">
        <v>0</v>
      </c>
      <c r="J880" s="150" t="b">
        <v>0</v>
      </c>
      <c r="K880" s="150" t="b">
        <v>0</v>
      </c>
      <c r="L880" s="8" t="b">
        <v>0</v>
      </c>
    </row>
    <row r="881">
      <c r="B881" s="97"/>
      <c r="C881" s="121" t="str">
        <f t="array" ref="C881">ifs(and(isblank($A881),isblank($B881)),"", not(iserror(vlookup($A881&amp;$B881,'5) Release_Track'!$F:$F&amp;'5) Release_Track'!$G:$G,1,0))),vlookup($A881&amp;$B881,{'5) Release_Track'!$F:$F&amp;'5) Release_Track'!$G:$G,'5) Release_Track'!$H:$H},2,0),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D881" s="121" t="str">
        <f t="array" ref="D881">ifs(and(isblank($A881),isblank($B881)),"", not(iserror(vlookup($A881&amp;$B881,'5) Release_Track'!$F:$F&amp;'5) Release_Track'!$G:$G,1,0))),vlookup($A881&amp;$B881,{'5) Release_Track'!$F:$F&amp;'5) Release_Track'!$G:$G,'5) Release_Track'!$I:$I},2,0),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E881" s="150" t="b">
        <v>0</v>
      </c>
      <c r="F881" s="150" t="b">
        <v>0</v>
      </c>
      <c r="G881" s="150" t="b">
        <v>0</v>
      </c>
      <c r="H881" s="150" t="b">
        <v>0</v>
      </c>
      <c r="I881" s="150" t="b">
        <v>0</v>
      </c>
      <c r="J881" s="150" t="b">
        <v>0</v>
      </c>
      <c r="K881" s="150" t="b">
        <v>0</v>
      </c>
      <c r="L881" s="8" t="b">
        <v>0</v>
      </c>
    </row>
    <row r="882">
      <c r="B882" s="97"/>
      <c r="C882" s="121" t="str">
        <f t="array" ref="C882">ifs(and(isblank($A882),isblank($B882)),"", not(iserror(vlookup($A882&amp;$B882,'5) Release_Track'!$F:$F&amp;'5) Release_Track'!$G:$G,1,0))),vlookup($A882&amp;$B882,{'5) Release_Track'!$F:$F&amp;'5) Release_Track'!$G:$G,'5) Release_Track'!$H:$H},2,0),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D882" s="121" t="str">
        <f t="array" ref="D882">ifs(and(isblank($A882),isblank($B882)),"", not(iserror(vlookup($A882&amp;$B882,'5) Release_Track'!$F:$F&amp;'5) Release_Track'!$G:$G,1,0))),vlookup($A882&amp;$B882,{'5) Release_Track'!$F:$F&amp;'5) Release_Track'!$G:$G,'5) Release_Track'!$I:$I},2,0),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E882" s="150" t="b">
        <v>0</v>
      </c>
      <c r="F882" s="150" t="b">
        <v>0</v>
      </c>
      <c r="G882" s="150" t="b">
        <v>0</v>
      </c>
      <c r="H882" s="150" t="b">
        <v>0</v>
      </c>
      <c r="I882" s="150" t="b">
        <v>0</v>
      </c>
      <c r="J882" s="150" t="b">
        <v>0</v>
      </c>
      <c r="K882" s="150" t="b">
        <v>0</v>
      </c>
      <c r="L882" s="8" t="b">
        <v>0</v>
      </c>
    </row>
    <row r="883">
      <c r="B883" s="97"/>
      <c r="C883" s="121" t="str">
        <f t="array" ref="C883">ifs(and(isblank($A883),isblank($B883)),"", not(iserror(vlookup($A883&amp;$B883,'5) Release_Track'!$F:$F&amp;'5) Release_Track'!$G:$G,1,0))),vlookup($A883&amp;$B883,{'5) Release_Track'!$F:$F&amp;'5) Release_Track'!$G:$G,'5) Release_Track'!$H:$H},2,0),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D883" s="121" t="str">
        <f t="array" ref="D883">ifs(and(isblank($A883),isblank($B883)),"", not(iserror(vlookup($A883&amp;$B883,'5) Release_Track'!$F:$F&amp;'5) Release_Track'!$G:$G,1,0))),vlookup($A883&amp;$B883,{'5) Release_Track'!$F:$F&amp;'5) Release_Track'!$G:$G,'5) Release_Track'!$I:$I},2,0),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E883" s="150" t="b">
        <v>0</v>
      </c>
      <c r="F883" s="150" t="b">
        <v>0</v>
      </c>
      <c r="G883" s="150" t="b">
        <v>0</v>
      </c>
      <c r="H883" s="150" t="b">
        <v>0</v>
      </c>
      <c r="I883" s="150" t="b">
        <v>0</v>
      </c>
      <c r="J883" s="150" t="b">
        <v>0</v>
      </c>
      <c r="K883" s="150" t="b">
        <v>0</v>
      </c>
      <c r="L883" s="8" t="b">
        <v>0</v>
      </c>
    </row>
    <row r="884">
      <c r="B884" s="97"/>
      <c r="C884" s="121" t="str">
        <f t="array" ref="C884">ifs(and(isblank($A884),isblank($B884)),"", not(iserror(vlookup($A884&amp;$B884,'5) Release_Track'!$F:$F&amp;'5) Release_Track'!$G:$G,1,0))),vlookup($A884&amp;$B884,{'5) Release_Track'!$F:$F&amp;'5) Release_Track'!$G:$G,'5) Release_Track'!$H:$H},2,0),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D884" s="121" t="str">
        <f t="array" ref="D884">ifs(and(isblank($A884),isblank($B884)),"", not(iserror(vlookup($A884&amp;$B884,'5) Release_Track'!$F:$F&amp;'5) Release_Track'!$G:$G,1,0))),vlookup($A884&amp;$B884,{'5) Release_Track'!$F:$F&amp;'5) Release_Track'!$G:$G,'5) Release_Track'!$I:$I},2,0),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E884" s="150" t="b">
        <v>0</v>
      </c>
      <c r="F884" s="150" t="b">
        <v>0</v>
      </c>
      <c r="G884" s="150" t="b">
        <v>0</v>
      </c>
      <c r="H884" s="150" t="b">
        <v>0</v>
      </c>
      <c r="I884" s="150" t="b">
        <v>0</v>
      </c>
      <c r="J884" s="150" t="b">
        <v>0</v>
      </c>
      <c r="K884" s="150" t="b">
        <v>0</v>
      </c>
      <c r="L884" s="8" t="b">
        <v>0</v>
      </c>
    </row>
    <row r="885">
      <c r="B885" s="97"/>
      <c r="C885" s="121" t="str">
        <f t="array" ref="C885">ifs(and(isblank($A885),isblank($B885)),"", not(iserror(vlookup($A885&amp;$B885,'5) Release_Track'!$F:$F&amp;'5) Release_Track'!$G:$G,1,0))),vlookup($A885&amp;$B885,{'5) Release_Track'!$F:$F&amp;'5) Release_Track'!$G:$G,'5) Release_Track'!$H:$H},2,0),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D885" s="121" t="str">
        <f t="array" ref="D885">ifs(and(isblank($A885),isblank($B885)),"", not(iserror(vlookup($A885&amp;$B885,'5) Release_Track'!$F:$F&amp;'5) Release_Track'!$G:$G,1,0))),vlookup($A885&amp;$B885,{'5) Release_Track'!$F:$F&amp;'5) Release_Track'!$G:$G,'5) Release_Track'!$I:$I},2,0),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E885" s="150" t="b">
        <v>0</v>
      </c>
      <c r="F885" s="150" t="b">
        <v>0</v>
      </c>
      <c r="G885" s="150" t="b">
        <v>0</v>
      </c>
      <c r="H885" s="150" t="b">
        <v>0</v>
      </c>
      <c r="I885" s="150" t="b">
        <v>0</v>
      </c>
      <c r="J885" s="150" t="b">
        <v>0</v>
      </c>
      <c r="K885" s="150" t="b">
        <v>0</v>
      </c>
      <c r="L885" s="8" t="b">
        <v>0</v>
      </c>
    </row>
    <row r="886">
      <c r="B886" s="97"/>
      <c r="C886" s="121" t="str">
        <f t="array" ref="C886">ifs(and(isblank($A886),isblank($B886)),"", not(iserror(vlookup($A886&amp;$B886,'5) Release_Track'!$F:$F&amp;'5) Release_Track'!$G:$G,1,0))),vlookup($A886&amp;$B886,{'5) Release_Track'!$F:$F&amp;'5) Release_Track'!$G:$G,'5) Release_Track'!$H:$H},2,0),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D886" s="121" t="str">
        <f t="array" ref="D886">ifs(and(isblank($A886),isblank($B886)),"", not(iserror(vlookup($A886&amp;$B886,'5) Release_Track'!$F:$F&amp;'5) Release_Track'!$G:$G,1,0))),vlookup($A886&amp;$B886,{'5) Release_Track'!$F:$F&amp;'5) Release_Track'!$G:$G,'5) Release_Track'!$I:$I},2,0),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E886" s="150" t="b">
        <v>0</v>
      </c>
      <c r="F886" s="150" t="b">
        <v>0</v>
      </c>
      <c r="G886" s="150" t="b">
        <v>0</v>
      </c>
      <c r="H886" s="150" t="b">
        <v>0</v>
      </c>
      <c r="I886" s="150" t="b">
        <v>0</v>
      </c>
      <c r="J886" s="150" t="b">
        <v>0</v>
      </c>
      <c r="K886" s="150" t="b">
        <v>0</v>
      </c>
      <c r="L886" s="8" t="b">
        <v>0</v>
      </c>
    </row>
    <row r="887">
      <c r="B887" s="97"/>
      <c r="C887" s="121" t="str">
        <f t="array" ref="C887">ifs(and(isblank($A887),isblank($B887)),"", not(iserror(vlookup($A887&amp;$B887,'5) Release_Track'!$F:$F&amp;'5) Release_Track'!$G:$G,1,0))),vlookup($A887&amp;$B887,{'5) Release_Track'!$F:$F&amp;'5) Release_Track'!$G:$G,'5) Release_Track'!$H:$H},2,0),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D887" s="121" t="str">
        <f t="array" ref="D887">ifs(and(isblank($A887),isblank($B887)),"", not(iserror(vlookup($A887&amp;$B887,'5) Release_Track'!$F:$F&amp;'5) Release_Track'!$G:$G,1,0))),vlookup($A887&amp;$B887,{'5) Release_Track'!$F:$F&amp;'5) Release_Track'!$G:$G,'5) Release_Track'!$I:$I},2,0),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E887" s="150" t="b">
        <v>0</v>
      </c>
      <c r="F887" s="150" t="b">
        <v>0</v>
      </c>
      <c r="G887" s="150" t="b">
        <v>0</v>
      </c>
      <c r="H887" s="150" t="b">
        <v>0</v>
      </c>
      <c r="I887" s="150" t="b">
        <v>0</v>
      </c>
      <c r="J887" s="150" t="b">
        <v>0</v>
      </c>
      <c r="K887" s="150" t="b">
        <v>0</v>
      </c>
      <c r="L887" s="8" t="b">
        <v>0</v>
      </c>
    </row>
    <row r="888">
      <c r="B888" s="97"/>
      <c r="C888" s="121" t="str">
        <f t="array" ref="C888">ifs(and(isblank($A888),isblank($B888)),"", not(iserror(vlookup($A888&amp;$B888,'5) Release_Track'!$F:$F&amp;'5) Release_Track'!$G:$G,1,0))),vlookup($A888&amp;$B888,{'5) Release_Track'!$F:$F&amp;'5) Release_Track'!$G:$G,'5) Release_Track'!$H:$H},2,0),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D888" s="121" t="str">
        <f t="array" ref="D888">ifs(and(isblank($A888),isblank($B888)),"", not(iserror(vlookup($A888&amp;$B888,'5) Release_Track'!$F:$F&amp;'5) Release_Track'!$G:$G,1,0))),vlookup($A888&amp;$B888,{'5) Release_Track'!$F:$F&amp;'5) Release_Track'!$G:$G,'5) Release_Track'!$I:$I},2,0),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E888" s="150" t="b">
        <v>0</v>
      </c>
      <c r="F888" s="150" t="b">
        <v>0</v>
      </c>
      <c r="G888" s="150" t="b">
        <v>0</v>
      </c>
      <c r="H888" s="150" t="b">
        <v>0</v>
      </c>
      <c r="I888" s="150" t="b">
        <v>0</v>
      </c>
      <c r="J888" s="150" t="b">
        <v>0</v>
      </c>
      <c r="K888" s="150" t="b">
        <v>0</v>
      </c>
      <c r="L888" s="8" t="b">
        <v>0</v>
      </c>
    </row>
    <row r="889">
      <c r="B889" s="97"/>
      <c r="C889" s="121" t="str">
        <f t="array" ref="C889">ifs(and(isblank($A889),isblank($B889)),"", not(iserror(vlookup($A889&amp;$B889,'5) Release_Track'!$F:$F&amp;'5) Release_Track'!$G:$G,1,0))),vlookup($A889&amp;$B889,{'5) Release_Track'!$F:$F&amp;'5) Release_Track'!$G:$G,'5) Release_Track'!$H:$H},2,0),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D889" s="121" t="str">
        <f t="array" ref="D889">ifs(and(isblank($A889),isblank($B889)),"", not(iserror(vlookup($A889&amp;$B889,'5) Release_Track'!$F:$F&amp;'5) Release_Track'!$G:$G,1,0))),vlookup($A889&amp;$B889,{'5) Release_Track'!$F:$F&amp;'5) Release_Track'!$G:$G,'5) Release_Track'!$I:$I},2,0),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E889" s="150" t="b">
        <v>0</v>
      </c>
      <c r="F889" s="150" t="b">
        <v>0</v>
      </c>
      <c r="G889" s="150" t="b">
        <v>0</v>
      </c>
      <c r="H889" s="150" t="b">
        <v>0</v>
      </c>
      <c r="I889" s="150" t="b">
        <v>0</v>
      </c>
      <c r="J889" s="150" t="b">
        <v>0</v>
      </c>
      <c r="K889" s="150" t="b">
        <v>0</v>
      </c>
      <c r="L889" s="8" t="b">
        <v>0</v>
      </c>
    </row>
    <row r="890">
      <c r="B890" s="97"/>
      <c r="C890" s="121" t="str">
        <f t="array" ref="C890">ifs(and(isblank($A890),isblank($B890)),"", not(iserror(vlookup($A890&amp;$B890,'5) Release_Track'!$F:$F&amp;'5) Release_Track'!$G:$G,1,0))),vlookup($A890&amp;$B890,{'5) Release_Track'!$F:$F&amp;'5) Release_Track'!$G:$G,'5) Release_Track'!$H:$H},2,0),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D890" s="121" t="str">
        <f t="array" ref="D890">ifs(and(isblank($A890),isblank($B890)),"", not(iserror(vlookup($A890&amp;$B890,'5) Release_Track'!$F:$F&amp;'5) Release_Track'!$G:$G,1,0))),vlookup($A890&amp;$B890,{'5) Release_Track'!$F:$F&amp;'5) Release_Track'!$G:$G,'5) Release_Track'!$I:$I},2,0),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E890" s="150" t="b">
        <v>0</v>
      </c>
      <c r="F890" s="150" t="b">
        <v>0</v>
      </c>
      <c r="G890" s="150" t="b">
        <v>0</v>
      </c>
      <c r="H890" s="150" t="b">
        <v>0</v>
      </c>
      <c r="I890" s="150" t="b">
        <v>0</v>
      </c>
      <c r="J890" s="150" t="b">
        <v>0</v>
      </c>
      <c r="K890" s="150" t="b">
        <v>0</v>
      </c>
      <c r="L890" s="8" t="b">
        <v>0</v>
      </c>
    </row>
    <row r="891">
      <c r="B891" s="97"/>
      <c r="C891" s="121" t="str">
        <f t="array" ref="C891">ifs(and(isblank($A891),isblank($B891)),"", not(iserror(vlookup($A891&amp;$B891,'5) Release_Track'!$F:$F&amp;'5) Release_Track'!$G:$G,1,0))),vlookup($A891&amp;$B891,{'5) Release_Track'!$F:$F&amp;'5) Release_Track'!$G:$G,'5) Release_Track'!$H:$H},2,0),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D891" s="121" t="str">
        <f t="array" ref="D891">ifs(and(isblank($A891),isblank($B891)),"", not(iserror(vlookup($A891&amp;$B891,'5) Release_Track'!$F:$F&amp;'5) Release_Track'!$G:$G,1,0))),vlookup($A891&amp;$B891,{'5) Release_Track'!$F:$F&amp;'5) Release_Track'!$G:$G,'5) Release_Track'!$I:$I},2,0),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E891" s="150" t="b">
        <v>0</v>
      </c>
      <c r="F891" s="150" t="b">
        <v>0</v>
      </c>
      <c r="G891" s="150" t="b">
        <v>0</v>
      </c>
      <c r="H891" s="150" t="b">
        <v>0</v>
      </c>
      <c r="I891" s="150" t="b">
        <v>0</v>
      </c>
      <c r="J891" s="150" t="b">
        <v>0</v>
      </c>
      <c r="K891" s="150" t="b">
        <v>0</v>
      </c>
      <c r="L891" s="8" t="b">
        <v>0</v>
      </c>
    </row>
    <row r="892">
      <c r="B892" s="97"/>
      <c r="C892" s="121" t="str">
        <f t="array" ref="C892">ifs(and(isblank($A892),isblank($B892)),"", not(iserror(vlookup($A892&amp;$B892,'5) Release_Track'!$F:$F&amp;'5) Release_Track'!$G:$G,1,0))),vlookup($A892&amp;$B892,{'5) Release_Track'!$F:$F&amp;'5) Release_Track'!$G:$G,'5) Release_Track'!$H:$H},2,0),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D892" s="121" t="str">
        <f t="array" ref="D892">ifs(and(isblank($A892),isblank($B892)),"", not(iserror(vlookup($A892&amp;$B892,'5) Release_Track'!$F:$F&amp;'5) Release_Track'!$G:$G,1,0))),vlookup($A892&amp;$B892,{'5) Release_Track'!$F:$F&amp;'5) Release_Track'!$G:$G,'5) Release_Track'!$I:$I},2,0),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E892" s="150" t="b">
        <v>0</v>
      </c>
      <c r="F892" s="150" t="b">
        <v>0</v>
      </c>
      <c r="G892" s="150" t="b">
        <v>0</v>
      </c>
      <c r="H892" s="150" t="b">
        <v>0</v>
      </c>
      <c r="I892" s="150" t="b">
        <v>0</v>
      </c>
      <c r="J892" s="150" t="b">
        <v>0</v>
      </c>
      <c r="K892" s="150" t="b">
        <v>0</v>
      </c>
      <c r="L892" s="8" t="b">
        <v>0</v>
      </c>
    </row>
    <row r="893">
      <c r="B893" s="97"/>
      <c r="C893" s="121" t="str">
        <f t="array" ref="C893">ifs(and(isblank($A893),isblank($B893)),"", not(iserror(vlookup($A893&amp;$B893,'5) Release_Track'!$F:$F&amp;'5) Release_Track'!$G:$G,1,0))),vlookup($A893&amp;$B893,{'5) Release_Track'!$F:$F&amp;'5) Release_Track'!$G:$G,'5) Release_Track'!$H:$H},2,0),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D893" s="121" t="str">
        <f t="array" ref="D893">ifs(and(isblank($A893),isblank($B893)),"", not(iserror(vlookup($A893&amp;$B893,'5) Release_Track'!$F:$F&amp;'5) Release_Track'!$G:$G,1,0))),vlookup($A893&amp;$B893,{'5) Release_Track'!$F:$F&amp;'5) Release_Track'!$G:$G,'5) Release_Track'!$I:$I},2,0),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E893" s="150" t="b">
        <v>0</v>
      </c>
      <c r="F893" s="150" t="b">
        <v>0</v>
      </c>
      <c r="G893" s="150" t="b">
        <v>0</v>
      </c>
      <c r="H893" s="150" t="b">
        <v>0</v>
      </c>
      <c r="I893" s="150" t="b">
        <v>0</v>
      </c>
      <c r="J893" s="150" t="b">
        <v>0</v>
      </c>
      <c r="K893" s="150" t="b">
        <v>0</v>
      </c>
      <c r="L893" s="8" t="b">
        <v>0</v>
      </c>
    </row>
    <row r="894">
      <c r="B894" s="97"/>
      <c r="C894" s="121" t="str">
        <f t="array" ref="C894">ifs(and(isblank($A894),isblank($B894)),"", not(iserror(vlookup($A894&amp;$B894,'5) Release_Track'!$F:$F&amp;'5) Release_Track'!$G:$G,1,0))),vlookup($A894&amp;$B894,{'5) Release_Track'!$F:$F&amp;'5) Release_Track'!$G:$G,'5) Release_Track'!$H:$H},2,0),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D894" s="121" t="str">
        <f t="array" ref="D894">ifs(and(isblank($A894),isblank($B894)),"", not(iserror(vlookup($A894&amp;$B894,'5) Release_Track'!$F:$F&amp;'5) Release_Track'!$G:$G,1,0))),vlookup($A894&amp;$B894,{'5) Release_Track'!$F:$F&amp;'5) Release_Track'!$G:$G,'5) Release_Track'!$I:$I},2,0),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E894" s="150" t="b">
        <v>0</v>
      </c>
      <c r="F894" s="150" t="b">
        <v>0</v>
      </c>
      <c r="G894" s="150" t="b">
        <v>0</v>
      </c>
      <c r="H894" s="150" t="b">
        <v>0</v>
      </c>
      <c r="I894" s="150" t="b">
        <v>0</v>
      </c>
      <c r="J894" s="150" t="b">
        <v>0</v>
      </c>
      <c r="K894" s="150" t="b">
        <v>0</v>
      </c>
      <c r="L894" s="8" t="b">
        <v>0</v>
      </c>
    </row>
    <row r="895">
      <c r="B895" s="97"/>
      <c r="C895" s="121" t="str">
        <f t="array" ref="C895">ifs(and(isblank($A895),isblank($B895)),"", not(iserror(vlookup($A895&amp;$B895,'5) Release_Track'!$F:$F&amp;'5) Release_Track'!$G:$G,1,0))),vlookup($A895&amp;$B895,{'5) Release_Track'!$F:$F&amp;'5) Release_Track'!$G:$G,'5) Release_Track'!$H:$H},2,0),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D895" s="121" t="str">
        <f t="array" ref="D895">ifs(and(isblank($A895),isblank($B895)),"", not(iserror(vlookup($A895&amp;$B895,'5) Release_Track'!$F:$F&amp;'5) Release_Track'!$G:$G,1,0))),vlookup($A895&amp;$B895,{'5) Release_Track'!$F:$F&amp;'5) Release_Track'!$G:$G,'5) Release_Track'!$I:$I},2,0),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E895" s="150" t="b">
        <v>0</v>
      </c>
      <c r="F895" s="150" t="b">
        <v>0</v>
      </c>
      <c r="G895" s="150" t="b">
        <v>0</v>
      </c>
      <c r="H895" s="150" t="b">
        <v>0</v>
      </c>
      <c r="I895" s="150" t="b">
        <v>0</v>
      </c>
      <c r="J895" s="150" t="b">
        <v>0</v>
      </c>
      <c r="K895" s="150" t="b">
        <v>0</v>
      </c>
      <c r="L895" s="8" t="b">
        <v>0</v>
      </c>
    </row>
    <row r="896">
      <c r="B896" s="97"/>
      <c r="C896" s="121" t="str">
        <f t="array" ref="C896">ifs(and(isblank($A896),isblank($B896)),"", not(iserror(vlookup($A896&amp;$B896,'5) Release_Track'!$F:$F&amp;'5) Release_Track'!$G:$G,1,0))),vlookup($A896&amp;$B896,{'5) Release_Track'!$F:$F&amp;'5) Release_Track'!$G:$G,'5) Release_Track'!$H:$H},2,0),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D896" s="121" t="str">
        <f t="array" ref="D896">ifs(and(isblank($A896),isblank($B896)),"", not(iserror(vlookup($A896&amp;$B896,'5) Release_Track'!$F:$F&amp;'5) Release_Track'!$G:$G,1,0))),vlookup($A896&amp;$B896,{'5) Release_Track'!$F:$F&amp;'5) Release_Track'!$G:$G,'5) Release_Track'!$I:$I},2,0),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E896" s="150" t="b">
        <v>0</v>
      </c>
      <c r="F896" s="150" t="b">
        <v>0</v>
      </c>
      <c r="G896" s="150" t="b">
        <v>0</v>
      </c>
      <c r="H896" s="150" t="b">
        <v>0</v>
      </c>
      <c r="I896" s="150" t="b">
        <v>0</v>
      </c>
      <c r="J896" s="150" t="b">
        <v>0</v>
      </c>
      <c r="K896" s="150" t="b">
        <v>0</v>
      </c>
      <c r="L896" s="8" t="b">
        <v>0</v>
      </c>
    </row>
    <row r="897">
      <c r="B897" s="97"/>
      <c r="C897" s="121" t="str">
        <f t="array" ref="C897">ifs(and(isblank($A897),isblank($B897)),"", not(iserror(vlookup($A897&amp;$B897,'5) Release_Track'!$F:$F&amp;'5) Release_Track'!$G:$G,1,0))),vlookup($A897&amp;$B897,{'5) Release_Track'!$F:$F&amp;'5) Release_Track'!$G:$G,'5) Release_Track'!$H:$H},2,0),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D897" s="121" t="str">
        <f t="array" ref="D897">ifs(and(isblank($A897),isblank($B897)),"", not(iserror(vlookup($A897&amp;$B897,'5) Release_Track'!$F:$F&amp;'5) Release_Track'!$G:$G,1,0))),vlookup($A897&amp;$B897,{'5) Release_Track'!$F:$F&amp;'5) Release_Track'!$G:$G,'5) Release_Track'!$I:$I},2,0),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E897" s="150" t="b">
        <v>0</v>
      </c>
      <c r="F897" s="150" t="b">
        <v>0</v>
      </c>
      <c r="G897" s="150" t="b">
        <v>0</v>
      </c>
      <c r="H897" s="150" t="b">
        <v>0</v>
      </c>
      <c r="I897" s="150" t="b">
        <v>0</v>
      </c>
      <c r="J897" s="150" t="b">
        <v>0</v>
      </c>
      <c r="K897" s="150" t="b">
        <v>0</v>
      </c>
      <c r="L897" s="8" t="b">
        <v>0</v>
      </c>
    </row>
    <row r="898">
      <c r="B898" s="97"/>
      <c r="C898" s="121" t="str">
        <f t="array" ref="C898">ifs(and(isblank($A898),isblank($B898)),"", not(iserror(vlookup($A898&amp;$B898,'5) Release_Track'!$F:$F&amp;'5) Release_Track'!$G:$G,1,0))),vlookup($A898&amp;$B898,{'5) Release_Track'!$F:$F&amp;'5) Release_Track'!$G:$G,'5) Release_Track'!$H:$H},2,0),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D898" s="121" t="str">
        <f t="array" ref="D898">ifs(and(isblank($A898),isblank($B898)),"", not(iserror(vlookup($A898&amp;$B898,'5) Release_Track'!$F:$F&amp;'5) Release_Track'!$G:$G,1,0))),vlookup($A898&amp;$B898,{'5) Release_Track'!$F:$F&amp;'5) Release_Track'!$G:$G,'5) Release_Track'!$I:$I},2,0),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E898" s="150" t="b">
        <v>0</v>
      </c>
      <c r="F898" s="150" t="b">
        <v>0</v>
      </c>
      <c r="G898" s="150" t="b">
        <v>0</v>
      </c>
      <c r="H898" s="150" t="b">
        <v>0</v>
      </c>
      <c r="I898" s="150" t="b">
        <v>0</v>
      </c>
      <c r="J898" s="150" t="b">
        <v>0</v>
      </c>
      <c r="K898" s="150" t="b">
        <v>0</v>
      </c>
      <c r="L898" s="8" t="b">
        <v>0</v>
      </c>
    </row>
    <row r="899">
      <c r="B899" s="97"/>
      <c r="C899" s="121" t="str">
        <f t="array" ref="C899">ifs(and(isblank($A899),isblank($B899)),"", not(iserror(vlookup($A899&amp;$B899,'5) Release_Track'!$F:$F&amp;'5) Release_Track'!$G:$G,1,0))),vlookup($A899&amp;$B899,{'5) Release_Track'!$F:$F&amp;'5) Release_Track'!$G:$G,'5) Release_Track'!$H:$H},2,0),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D899" s="121" t="str">
        <f t="array" ref="D899">ifs(and(isblank($A899),isblank($B899)),"", not(iserror(vlookup($A899&amp;$B899,'5) Release_Track'!$F:$F&amp;'5) Release_Track'!$G:$G,1,0))),vlookup($A899&amp;$B899,{'5) Release_Track'!$F:$F&amp;'5) Release_Track'!$G:$G,'5) Release_Track'!$I:$I},2,0),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E899" s="150" t="b">
        <v>0</v>
      </c>
      <c r="F899" s="150" t="b">
        <v>0</v>
      </c>
      <c r="G899" s="150" t="b">
        <v>0</v>
      </c>
      <c r="H899" s="150" t="b">
        <v>0</v>
      </c>
      <c r="I899" s="150" t="b">
        <v>0</v>
      </c>
      <c r="J899" s="150" t="b">
        <v>0</v>
      </c>
      <c r="K899" s="150" t="b">
        <v>0</v>
      </c>
      <c r="L899" s="8" t="b">
        <v>0</v>
      </c>
    </row>
    <row r="900">
      <c r="B900" s="97"/>
      <c r="C900" s="121" t="str">
        <f t="array" ref="C900">ifs(and(isblank($A900),isblank($B900)),"", not(iserror(vlookup($A900&amp;$B900,'5) Release_Track'!$F:$F&amp;'5) Release_Track'!$G:$G,1,0))),vlookup($A900&amp;$B900,{'5) Release_Track'!$F:$F&amp;'5) Release_Track'!$G:$G,'5) Release_Track'!$H:$H},2,0),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D900" s="121" t="str">
        <f t="array" ref="D900">ifs(and(isblank($A900),isblank($B900)),"", not(iserror(vlookup($A900&amp;$B900,'5) Release_Track'!$F:$F&amp;'5) Release_Track'!$G:$G,1,0))),vlookup($A900&amp;$B900,{'5) Release_Track'!$F:$F&amp;'5) Release_Track'!$G:$G,'5) Release_Track'!$I:$I},2,0),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E900" s="150" t="b">
        <v>0</v>
      </c>
      <c r="F900" s="150" t="b">
        <v>0</v>
      </c>
      <c r="G900" s="150" t="b">
        <v>0</v>
      </c>
      <c r="H900" s="150" t="b">
        <v>0</v>
      </c>
      <c r="I900" s="150" t="b">
        <v>0</v>
      </c>
      <c r="J900" s="150" t="b">
        <v>0</v>
      </c>
      <c r="K900" s="150" t="b">
        <v>0</v>
      </c>
      <c r="L900" s="8" t="b">
        <v>0</v>
      </c>
    </row>
    <row r="901">
      <c r="B901" s="97"/>
      <c r="C901" s="121" t="str">
        <f t="array" ref="C901">ifs(and(isblank($A901),isblank($B901)),"", not(iserror(vlookup($A901&amp;$B901,'5) Release_Track'!$F:$F&amp;'5) Release_Track'!$G:$G,1,0))),vlookup($A901&amp;$B901,{'5) Release_Track'!$F:$F&amp;'5) Release_Track'!$G:$G,'5) Release_Track'!$H:$H},2,0),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D901" s="121" t="str">
        <f t="array" ref="D901">ifs(and(isblank($A901),isblank($B901)),"", not(iserror(vlookup($A901&amp;$B901,'5) Release_Track'!$F:$F&amp;'5) Release_Track'!$G:$G,1,0))),vlookup($A901&amp;$B901,{'5) Release_Track'!$F:$F&amp;'5) Release_Track'!$G:$G,'5) Release_Track'!$I:$I},2,0),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E901" s="150" t="b">
        <v>0</v>
      </c>
      <c r="F901" s="150" t="b">
        <v>0</v>
      </c>
      <c r="G901" s="150" t="b">
        <v>0</v>
      </c>
      <c r="H901" s="150" t="b">
        <v>0</v>
      </c>
      <c r="I901" s="150" t="b">
        <v>0</v>
      </c>
      <c r="J901" s="150" t="b">
        <v>0</v>
      </c>
      <c r="K901" s="150" t="b">
        <v>0</v>
      </c>
      <c r="L901" s="8" t="b">
        <v>0</v>
      </c>
    </row>
    <row r="902">
      <c r="B902" s="97"/>
      <c r="C902" s="121" t="str">
        <f t="array" ref="C902">ifs(and(isblank($A902),isblank($B902)),"", not(iserror(vlookup($A902&amp;$B902,'5) Release_Track'!$F:$F&amp;'5) Release_Track'!$G:$G,1,0))),vlookup($A902&amp;$B902,{'5) Release_Track'!$F:$F&amp;'5) Release_Track'!$G:$G,'5) Release_Track'!$H:$H},2,0),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D902" s="121" t="str">
        <f t="array" ref="D902">ifs(and(isblank($A902),isblank($B902)),"", not(iserror(vlookup($A902&amp;$B902,'5) Release_Track'!$F:$F&amp;'5) Release_Track'!$G:$G,1,0))),vlookup($A902&amp;$B902,{'5) Release_Track'!$F:$F&amp;'5) Release_Track'!$G:$G,'5) Release_Track'!$I:$I},2,0),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E902" s="150" t="b">
        <v>0</v>
      </c>
      <c r="F902" s="150" t="b">
        <v>0</v>
      </c>
      <c r="G902" s="150" t="b">
        <v>0</v>
      </c>
      <c r="H902" s="150" t="b">
        <v>0</v>
      </c>
      <c r="I902" s="150" t="b">
        <v>0</v>
      </c>
      <c r="J902" s="150" t="b">
        <v>0</v>
      </c>
      <c r="K902" s="150" t="b">
        <v>0</v>
      </c>
      <c r="L902" s="8" t="b">
        <v>0</v>
      </c>
    </row>
    <row r="903">
      <c r="B903" s="97"/>
      <c r="C903" s="121" t="str">
        <f t="array" ref="C903">ifs(and(isblank($A903),isblank($B903)),"", not(iserror(vlookup($A903&amp;$B903,'5) Release_Track'!$F:$F&amp;'5) Release_Track'!$G:$G,1,0))),vlookup($A903&amp;$B903,{'5) Release_Track'!$F:$F&amp;'5) Release_Track'!$G:$G,'5) Release_Track'!$H:$H},2,0),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D903" s="121" t="str">
        <f t="array" ref="D903">ifs(and(isblank($A903),isblank($B903)),"", not(iserror(vlookup($A903&amp;$B903,'5) Release_Track'!$F:$F&amp;'5) Release_Track'!$G:$G,1,0))),vlookup($A903&amp;$B903,{'5) Release_Track'!$F:$F&amp;'5) Release_Track'!$G:$G,'5) Release_Track'!$I:$I},2,0),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E903" s="150" t="b">
        <v>0</v>
      </c>
      <c r="F903" s="150" t="b">
        <v>0</v>
      </c>
      <c r="G903" s="150" t="b">
        <v>0</v>
      </c>
      <c r="H903" s="150" t="b">
        <v>0</v>
      </c>
      <c r="I903" s="150" t="b">
        <v>0</v>
      </c>
      <c r="J903" s="150" t="b">
        <v>0</v>
      </c>
      <c r="K903" s="150" t="b">
        <v>0</v>
      </c>
      <c r="L903" s="8" t="b">
        <v>0</v>
      </c>
    </row>
    <row r="904">
      <c r="B904" s="97"/>
      <c r="C904" s="121" t="str">
        <f t="array" ref="C904">ifs(and(isblank($A904),isblank($B904)),"", not(iserror(vlookup($A904&amp;$B904,'5) Release_Track'!$F:$F&amp;'5) Release_Track'!$G:$G,1,0))),vlookup($A904&amp;$B904,{'5) Release_Track'!$F:$F&amp;'5) Release_Track'!$G:$G,'5) Release_Track'!$H:$H},2,0),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D904" s="121" t="str">
        <f t="array" ref="D904">ifs(and(isblank($A904),isblank($B904)),"", not(iserror(vlookup($A904&amp;$B904,'5) Release_Track'!$F:$F&amp;'5) Release_Track'!$G:$G,1,0))),vlookup($A904&amp;$B904,{'5) Release_Track'!$F:$F&amp;'5) Release_Track'!$G:$G,'5) Release_Track'!$I:$I},2,0),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E904" s="150" t="b">
        <v>0</v>
      </c>
      <c r="F904" s="150" t="b">
        <v>0</v>
      </c>
      <c r="G904" s="150" t="b">
        <v>0</v>
      </c>
      <c r="H904" s="150" t="b">
        <v>0</v>
      </c>
      <c r="I904" s="150" t="b">
        <v>0</v>
      </c>
      <c r="J904" s="150" t="b">
        <v>0</v>
      </c>
      <c r="K904" s="150" t="b">
        <v>0</v>
      </c>
      <c r="L904" s="8" t="b">
        <v>0</v>
      </c>
    </row>
    <row r="905">
      <c r="B905" s="97"/>
      <c r="C905" s="121" t="str">
        <f t="array" ref="C905">ifs(and(isblank($A905),isblank($B905)),"", not(iserror(vlookup($A905&amp;$B905,'5) Release_Track'!$F:$F&amp;'5) Release_Track'!$G:$G,1,0))),vlookup($A905&amp;$B905,{'5) Release_Track'!$F:$F&amp;'5) Release_Track'!$G:$G,'5) Release_Track'!$H:$H},2,0),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D905" s="121" t="str">
        <f t="array" ref="D905">ifs(and(isblank($A905),isblank($B905)),"", not(iserror(vlookup($A905&amp;$B905,'5) Release_Track'!$F:$F&amp;'5) Release_Track'!$G:$G,1,0))),vlookup($A905&amp;$B905,{'5) Release_Track'!$F:$F&amp;'5) Release_Track'!$G:$G,'5) Release_Track'!$I:$I},2,0),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E905" s="150" t="b">
        <v>0</v>
      </c>
      <c r="F905" s="150" t="b">
        <v>0</v>
      </c>
      <c r="G905" s="150" t="b">
        <v>0</v>
      </c>
      <c r="H905" s="150" t="b">
        <v>0</v>
      </c>
      <c r="I905" s="150" t="b">
        <v>0</v>
      </c>
      <c r="J905" s="150" t="b">
        <v>0</v>
      </c>
      <c r="K905" s="150" t="b">
        <v>0</v>
      </c>
      <c r="L905" s="8" t="b">
        <v>0</v>
      </c>
    </row>
    <row r="906">
      <c r="B906" s="97"/>
      <c r="C906" s="121" t="str">
        <f t="array" ref="C906">ifs(and(isblank($A906),isblank($B906)),"", not(iserror(vlookup($A906&amp;$B906,'5) Release_Track'!$F:$F&amp;'5) Release_Track'!$G:$G,1,0))),vlookup($A906&amp;$B906,{'5) Release_Track'!$F:$F&amp;'5) Release_Track'!$G:$G,'5) Release_Track'!$H:$H},2,0),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D906" s="121" t="str">
        <f t="array" ref="D906">ifs(and(isblank($A906),isblank($B906)),"", not(iserror(vlookup($A906&amp;$B906,'5) Release_Track'!$F:$F&amp;'5) Release_Track'!$G:$G,1,0))),vlookup($A906&amp;$B906,{'5) Release_Track'!$F:$F&amp;'5) Release_Track'!$G:$G,'5) Release_Track'!$I:$I},2,0),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E906" s="150" t="b">
        <v>0</v>
      </c>
      <c r="F906" s="150" t="b">
        <v>0</v>
      </c>
      <c r="G906" s="150" t="b">
        <v>0</v>
      </c>
      <c r="H906" s="150" t="b">
        <v>0</v>
      </c>
      <c r="I906" s="150" t="b">
        <v>0</v>
      </c>
      <c r="J906" s="150" t="b">
        <v>0</v>
      </c>
      <c r="K906" s="150" t="b">
        <v>0</v>
      </c>
      <c r="L906" s="8" t="b">
        <v>0</v>
      </c>
    </row>
    <row r="907">
      <c r="B907" s="97"/>
      <c r="C907" s="121" t="str">
        <f t="array" ref="C907">ifs(and(isblank($A907),isblank($B907)),"", not(iserror(vlookup($A907&amp;$B907,'5) Release_Track'!$F:$F&amp;'5) Release_Track'!$G:$G,1,0))),vlookup($A907&amp;$B907,{'5) Release_Track'!$F:$F&amp;'5) Release_Track'!$G:$G,'5) Release_Track'!$H:$H},2,0),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D907" s="121" t="str">
        <f t="array" ref="D907">ifs(and(isblank($A907),isblank($B907)),"", not(iserror(vlookup($A907&amp;$B907,'5) Release_Track'!$F:$F&amp;'5) Release_Track'!$G:$G,1,0))),vlookup($A907&amp;$B907,{'5) Release_Track'!$F:$F&amp;'5) Release_Track'!$G:$G,'5) Release_Track'!$I:$I},2,0),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E907" s="150" t="b">
        <v>0</v>
      </c>
      <c r="F907" s="150" t="b">
        <v>0</v>
      </c>
      <c r="G907" s="150" t="b">
        <v>0</v>
      </c>
      <c r="H907" s="150" t="b">
        <v>0</v>
      </c>
      <c r="I907" s="150" t="b">
        <v>0</v>
      </c>
      <c r="J907" s="150" t="b">
        <v>0</v>
      </c>
      <c r="K907" s="150" t="b">
        <v>0</v>
      </c>
      <c r="L907" s="8" t="b">
        <v>0</v>
      </c>
    </row>
    <row r="908">
      <c r="B908" s="97"/>
      <c r="C908" s="121" t="str">
        <f t="array" ref="C908">ifs(and(isblank($A908),isblank($B908)),"", not(iserror(vlookup($A908&amp;$B908,'5) Release_Track'!$F:$F&amp;'5) Release_Track'!$G:$G,1,0))),vlookup($A908&amp;$B908,{'5) Release_Track'!$F:$F&amp;'5) Release_Track'!$G:$G,'5) Release_Track'!$H:$H},2,0),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D908" s="121" t="str">
        <f t="array" ref="D908">ifs(and(isblank($A908),isblank($B908)),"", not(iserror(vlookup($A908&amp;$B908,'5) Release_Track'!$F:$F&amp;'5) Release_Track'!$G:$G,1,0))),vlookup($A908&amp;$B908,{'5) Release_Track'!$F:$F&amp;'5) Release_Track'!$G:$G,'5) Release_Track'!$I:$I},2,0),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E908" s="150" t="b">
        <v>0</v>
      </c>
      <c r="F908" s="150" t="b">
        <v>0</v>
      </c>
      <c r="G908" s="150" t="b">
        <v>0</v>
      </c>
      <c r="H908" s="150" t="b">
        <v>0</v>
      </c>
      <c r="I908" s="150" t="b">
        <v>0</v>
      </c>
      <c r="J908" s="150" t="b">
        <v>0</v>
      </c>
      <c r="K908" s="150" t="b">
        <v>0</v>
      </c>
      <c r="L908" s="8" t="b">
        <v>0</v>
      </c>
    </row>
    <row r="909">
      <c r="B909" s="97"/>
      <c r="C909" s="121" t="str">
        <f t="array" ref="C909">ifs(and(isblank($A909),isblank($B909)),"", not(iserror(vlookup($A909&amp;$B909,'5) Release_Track'!$F:$F&amp;'5) Release_Track'!$G:$G,1,0))),vlookup($A909&amp;$B909,{'5) Release_Track'!$F:$F&amp;'5) Release_Track'!$G:$G,'5) Release_Track'!$H:$H},2,0),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D909" s="121" t="str">
        <f t="array" ref="D909">ifs(and(isblank($A909),isblank($B909)),"", not(iserror(vlookup($A909&amp;$B909,'5) Release_Track'!$F:$F&amp;'5) Release_Track'!$G:$G,1,0))),vlookup($A909&amp;$B909,{'5) Release_Track'!$F:$F&amp;'5) Release_Track'!$G:$G,'5) Release_Track'!$I:$I},2,0),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E909" s="150" t="b">
        <v>0</v>
      </c>
      <c r="F909" s="150" t="b">
        <v>0</v>
      </c>
      <c r="G909" s="150" t="b">
        <v>0</v>
      </c>
      <c r="H909" s="150" t="b">
        <v>0</v>
      </c>
      <c r="I909" s="150" t="b">
        <v>0</v>
      </c>
      <c r="J909" s="150" t="b">
        <v>0</v>
      </c>
      <c r="K909" s="150" t="b">
        <v>0</v>
      </c>
      <c r="L909" s="8" t="b">
        <v>0</v>
      </c>
    </row>
    <row r="910">
      <c r="B910" s="97"/>
      <c r="C910" s="121" t="str">
        <f t="array" ref="C910">ifs(and(isblank($A910),isblank($B910)),"", not(iserror(vlookup($A910&amp;$B910,'5) Release_Track'!$F:$F&amp;'5) Release_Track'!$G:$G,1,0))),vlookup($A910&amp;$B910,{'5) Release_Track'!$F:$F&amp;'5) Release_Track'!$G:$G,'5) Release_Track'!$H:$H},2,0),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D910" s="121" t="str">
        <f t="array" ref="D910">ifs(and(isblank($A910),isblank($B910)),"", not(iserror(vlookup($A910&amp;$B910,'5) Release_Track'!$F:$F&amp;'5) Release_Track'!$G:$G,1,0))),vlookup($A910&amp;$B910,{'5) Release_Track'!$F:$F&amp;'5) Release_Track'!$G:$G,'5) Release_Track'!$I:$I},2,0),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E910" s="150" t="b">
        <v>0</v>
      </c>
      <c r="F910" s="150" t="b">
        <v>0</v>
      </c>
      <c r="G910" s="150" t="b">
        <v>0</v>
      </c>
      <c r="H910" s="150" t="b">
        <v>0</v>
      </c>
      <c r="I910" s="150" t="b">
        <v>0</v>
      </c>
      <c r="J910" s="150" t="b">
        <v>0</v>
      </c>
      <c r="K910" s="150" t="b">
        <v>0</v>
      </c>
      <c r="L910" s="8" t="b">
        <v>0</v>
      </c>
    </row>
    <row r="911">
      <c r="B911" s="97"/>
      <c r="C911" s="121" t="str">
        <f t="array" ref="C911">ifs(and(isblank($A911),isblank($B911)),"", not(iserror(vlookup($A911&amp;$B911,'5) Release_Track'!$F:$F&amp;'5) Release_Track'!$G:$G,1,0))),vlookup($A911&amp;$B911,{'5) Release_Track'!$F:$F&amp;'5) Release_Track'!$G:$G,'5) Release_Track'!$H:$H},2,0),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D911" s="121" t="str">
        <f t="array" ref="D911">ifs(and(isblank($A911),isblank($B911)),"", not(iserror(vlookup($A911&amp;$B911,'5) Release_Track'!$F:$F&amp;'5) Release_Track'!$G:$G,1,0))),vlookup($A911&amp;$B911,{'5) Release_Track'!$F:$F&amp;'5) Release_Track'!$G:$G,'5) Release_Track'!$I:$I},2,0),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E911" s="150" t="b">
        <v>0</v>
      </c>
      <c r="F911" s="150" t="b">
        <v>0</v>
      </c>
      <c r="G911" s="150" t="b">
        <v>0</v>
      </c>
      <c r="H911" s="150" t="b">
        <v>0</v>
      </c>
      <c r="I911" s="150" t="b">
        <v>0</v>
      </c>
      <c r="J911" s="150" t="b">
        <v>0</v>
      </c>
      <c r="K911" s="150" t="b">
        <v>0</v>
      </c>
      <c r="L911" s="8" t="b">
        <v>0</v>
      </c>
    </row>
    <row r="912">
      <c r="B912" s="97"/>
      <c r="C912" s="121" t="str">
        <f t="array" ref="C912">ifs(and(isblank($A912),isblank($B912)),"", not(iserror(vlookup($A912&amp;$B912,'5) Release_Track'!$F:$F&amp;'5) Release_Track'!$G:$G,1,0))),vlookup($A912&amp;$B912,{'5) Release_Track'!$F:$F&amp;'5) Release_Track'!$G:$G,'5) Release_Track'!$H:$H},2,0),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D912" s="121" t="str">
        <f t="array" ref="D912">ifs(and(isblank($A912),isblank($B912)),"", not(iserror(vlookup($A912&amp;$B912,'5) Release_Track'!$F:$F&amp;'5) Release_Track'!$G:$G,1,0))),vlookup($A912&amp;$B912,{'5) Release_Track'!$F:$F&amp;'5) Release_Track'!$G:$G,'5) Release_Track'!$I:$I},2,0),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E912" s="150" t="b">
        <v>0</v>
      </c>
      <c r="F912" s="150" t="b">
        <v>0</v>
      </c>
      <c r="G912" s="150" t="b">
        <v>0</v>
      </c>
      <c r="H912" s="150" t="b">
        <v>0</v>
      </c>
      <c r="I912" s="150" t="b">
        <v>0</v>
      </c>
      <c r="J912" s="150" t="b">
        <v>0</v>
      </c>
      <c r="K912" s="150" t="b">
        <v>0</v>
      </c>
      <c r="L912" s="8" t="b">
        <v>0</v>
      </c>
    </row>
    <row r="913">
      <c r="B913" s="97"/>
      <c r="C913" s="121" t="str">
        <f t="array" ref="C913">ifs(and(isblank($A913),isblank($B913)),"", not(iserror(vlookup($A913&amp;$B913,'5) Release_Track'!$F:$F&amp;'5) Release_Track'!$G:$G,1,0))),vlookup($A913&amp;$B913,{'5) Release_Track'!$F:$F&amp;'5) Release_Track'!$G:$G,'5) Release_Track'!$H:$H},2,0),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D913" s="121" t="str">
        <f t="array" ref="D913">ifs(and(isblank($A913),isblank($B913)),"", not(iserror(vlookup($A913&amp;$B913,'5) Release_Track'!$F:$F&amp;'5) Release_Track'!$G:$G,1,0))),vlookup($A913&amp;$B913,{'5) Release_Track'!$F:$F&amp;'5) Release_Track'!$G:$G,'5) Release_Track'!$I:$I},2,0),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E913" s="150" t="b">
        <v>0</v>
      </c>
      <c r="F913" s="150" t="b">
        <v>0</v>
      </c>
      <c r="G913" s="150" t="b">
        <v>0</v>
      </c>
      <c r="H913" s="150" t="b">
        <v>0</v>
      </c>
      <c r="I913" s="150" t="b">
        <v>0</v>
      </c>
      <c r="J913" s="150" t="b">
        <v>0</v>
      </c>
      <c r="K913" s="150" t="b">
        <v>0</v>
      </c>
      <c r="L913" s="8" t="b">
        <v>0</v>
      </c>
    </row>
    <row r="914">
      <c r="B914" s="97"/>
      <c r="C914" s="121" t="str">
        <f t="array" ref="C914">ifs(and(isblank($A914),isblank($B914)),"", not(iserror(vlookup($A914&amp;$B914,'5) Release_Track'!$F:$F&amp;'5) Release_Track'!$G:$G,1,0))),vlookup($A914&amp;$B914,{'5) Release_Track'!$F:$F&amp;'5) Release_Track'!$G:$G,'5) Release_Track'!$H:$H},2,0),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D914" s="121" t="str">
        <f t="array" ref="D914">ifs(and(isblank($A914),isblank($B914)),"", not(iserror(vlookup($A914&amp;$B914,'5) Release_Track'!$F:$F&amp;'5) Release_Track'!$G:$G,1,0))),vlookup($A914&amp;$B914,{'5) Release_Track'!$F:$F&amp;'5) Release_Track'!$G:$G,'5) Release_Track'!$I:$I},2,0),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E914" s="150" t="b">
        <v>0</v>
      </c>
      <c r="F914" s="150" t="b">
        <v>0</v>
      </c>
      <c r="G914" s="150" t="b">
        <v>0</v>
      </c>
      <c r="H914" s="150" t="b">
        <v>0</v>
      </c>
      <c r="I914" s="150" t="b">
        <v>0</v>
      </c>
      <c r="J914" s="150" t="b">
        <v>0</v>
      </c>
      <c r="K914" s="150" t="b">
        <v>0</v>
      </c>
      <c r="L914" s="8" t="b">
        <v>0</v>
      </c>
    </row>
    <row r="915">
      <c r="B915" s="97"/>
      <c r="C915" s="121" t="str">
        <f t="array" ref="C915">ifs(and(isblank($A915),isblank($B915)),"", not(iserror(vlookup($A915&amp;$B915,'5) Release_Track'!$F:$F&amp;'5) Release_Track'!$G:$G,1,0))),vlookup($A915&amp;$B915,{'5) Release_Track'!$F:$F&amp;'5) Release_Track'!$G:$G,'5) Release_Track'!$H:$H},2,0),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D915" s="121" t="str">
        <f t="array" ref="D915">ifs(and(isblank($A915),isblank($B915)),"", not(iserror(vlookup($A915&amp;$B915,'5) Release_Track'!$F:$F&amp;'5) Release_Track'!$G:$G,1,0))),vlookup($A915&amp;$B915,{'5) Release_Track'!$F:$F&amp;'5) Release_Track'!$G:$G,'5) Release_Track'!$I:$I},2,0),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E915" s="150" t="b">
        <v>0</v>
      </c>
      <c r="F915" s="150" t="b">
        <v>0</v>
      </c>
      <c r="G915" s="150" t="b">
        <v>0</v>
      </c>
      <c r="H915" s="150" t="b">
        <v>0</v>
      </c>
      <c r="I915" s="150" t="b">
        <v>0</v>
      </c>
      <c r="J915" s="150" t="b">
        <v>0</v>
      </c>
      <c r="K915" s="150" t="b">
        <v>0</v>
      </c>
      <c r="L915" s="8" t="b">
        <v>0</v>
      </c>
    </row>
    <row r="916">
      <c r="B916" s="97"/>
      <c r="C916" s="121" t="str">
        <f t="array" ref="C916">ifs(and(isblank($A916),isblank($B916)),"", not(iserror(vlookup($A916&amp;$B916,'5) Release_Track'!$F:$F&amp;'5) Release_Track'!$G:$G,1,0))),vlookup($A916&amp;$B916,{'5) Release_Track'!$F:$F&amp;'5) Release_Track'!$G:$G,'5) Release_Track'!$H:$H},2,0),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D916" s="121" t="str">
        <f t="array" ref="D916">ifs(and(isblank($A916),isblank($B916)),"", not(iserror(vlookup($A916&amp;$B916,'5) Release_Track'!$F:$F&amp;'5) Release_Track'!$G:$G,1,0))),vlookup($A916&amp;$B916,{'5) Release_Track'!$F:$F&amp;'5) Release_Track'!$G:$G,'5) Release_Track'!$I:$I},2,0),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E916" s="150" t="b">
        <v>0</v>
      </c>
      <c r="F916" s="150" t="b">
        <v>0</v>
      </c>
      <c r="G916" s="150" t="b">
        <v>0</v>
      </c>
      <c r="H916" s="150" t="b">
        <v>0</v>
      </c>
      <c r="I916" s="150" t="b">
        <v>0</v>
      </c>
      <c r="J916" s="150" t="b">
        <v>0</v>
      </c>
      <c r="K916" s="150" t="b">
        <v>0</v>
      </c>
      <c r="L916" s="8" t="b">
        <v>0</v>
      </c>
    </row>
    <row r="917">
      <c r="B917" s="97"/>
      <c r="C917" s="121" t="str">
        <f t="array" ref="C917">ifs(and(isblank($A917),isblank($B917)),"", not(iserror(vlookup($A917&amp;$B917,'5) Release_Track'!$F:$F&amp;'5) Release_Track'!$G:$G,1,0))),vlookup($A917&amp;$B917,{'5) Release_Track'!$F:$F&amp;'5) Release_Track'!$G:$G,'5) Release_Track'!$H:$H},2,0),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D917" s="121" t="str">
        <f t="array" ref="D917">ifs(and(isblank($A917),isblank($B917)),"", not(iserror(vlookup($A917&amp;$B917,'5) Release_Track'!$F:$F&amp;'5) Release_Track'!$G:$G,1,0))),vlookup($A917&amp;$B917,{'5) Release_Track'!$F:$F&amp;'5) Release_Track'!$G:$G,'5) Release_Track'!$I:$I},2,0),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E917" s="150" t="b">
        <v>0</v>
      </c>
      <c r="F917" s="150" t="b">
        <v>0</v>
      </c>
      <c r="G917" s="150" t="b">
        <v>0</v>
      </c>
      <c r="H917" s="150" t="b">
        <v>0</v>
      </c>
      <c r="I917" s="150" t="b">
        <v>0</v>
      </c>
      <c r="J917" s="150" t="b">
        <v>0</v>
      </c>
      <c r="K917" s="150" t="b">
        <v>0</v>
      </c>
      <c r="L917" s="8" t="b">
        <v>0</v>
      </c>
    </row>
    <row r="918">
      <c r="B918" s="97"/>
      <c r="C918" s="121" t="str">
        <f t="array" ref="C918">ifs(and(isblank($A918),isblank($B918)),"", not(iserror(vlookup($A918&amp;$B918,'5) Release_Track'!$F:$F&amp;'5) Release_Track'!$G:$G,1,0))),vlookup($A918&amp;$B918,{'5) Release_Track'!$F:$F&amp;'5) Release_Track'!$G:$G,'5) Release_Track'!$H:$H},2,0),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D918" s="121" t="str">
        <f t="array" ref="D918">ifs(and(isblank($A918),isblank($B918)),"", not(iserror(vlookup($A918&amp;$B918,'5) Release_Track'!$F:$F&amp;'5) Release_Track'!$G:$G,1,0))),vlookup($A918&amp;$B918,{'5) Release_Track'!$F:$F&amp;'5) Release_Track'!$G:$G,'5) Release_Track'!$I:$I},2,0),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E918" s="150" t="b">
        <v>0</v>
      </c>
      <c r="F918" s="150" t="b">
        <v>0</v>
      </c>
      <c r="G918" s="150" t="b">
        <v>0</v>
      </c>
      <c r="H918" s="150" t="b">
        <v>0</v>
      </c>
      <c r="I918" s="150" t="b">
        <v>0</v>
      </c>
      <c r="J918" s="150" t="b">
        <v>0</v>
      </c>
      <c r="K918" s="150" t="b">
        <v>0</v>
      </c>
      <c r="L918" s="8" t="b">
        <v>0</v>
      </c>
    </row>
    <row r="919">
      <c r="B919" s="97"/>
      <c r="C919" s="121" t="str">
        <f t="array" ref="C919">ifs(and(isblank($A919),isblank($B919)),"", not(iserror(vlookup($A919&amp;$B919,'5) Release_Track'!$F:$F&amp;'5) Release_Track'!$G:$G,1,0))),vlookup($A919&amp;$B919,{'5) Release_Track'!$F:$F&amp;'5) Release_Track'!$G:$G,'5) Release_Track'!$H:$H},2,0),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D919" s="121" t="str">
        <f t="array" ref="D919">ifs(and(isblank($A919),isblank($B919)),"", not(iserror(vlookup($A919&amp;$B919,'5) Release_Track'!$F:$F&amp;'5) Release_Track'!$G:$G,1,0))),vlookup($A919&amp;$B919,{'5) Release_Track'!$F:$F&amp;'5) Release_Track'!$G:$G,'5) Release_Track'!$I:$I},2,0),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E919" s="150" t="b">
        <v>0</v>
      </c>
      <c r="F919" s="150" t="b">
        <v>0</v>
      </c>
      <c r="G919" s="150" t="b">
        <v>0</v>
      </c>
      <c r="H919" s="150" t="b">
        <v>0</v>
      </c>
      <c r="I919" s="150" t="b">
        <v>0</v>
      </c>
      <c r="J919" s="150" t="b">
        <v>0</v>
      </c>
      <c r="K919" s="150" t="b">
        <v>0</v>
      </c>
      <c r="L919" s="8" t="b">
        <v>0</v>
      </c>
    </row>
    <row r="920">
      <c r="B920" s="97"/>
      <c r="C920" s="121" t="str">
        <f t="array" ref="C920">ifs(and(isblank($A920),isblank($B920)),"", not(iserror(vlookup($A920&amp;$B920,'5) Release_Track'!$F:$F&amp;'5) Release_Track'!$G:$G,1,0))),vlookup($A920&amp;$B920,{'5) Release_Track'!$F:$F&amp;'5) Release_Track'!$G:$G,'5) Release_Track'!$H:$H},2,0),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D920" s="121" t="str">
        <f t="array" ref="D920">ifs(and(isblank($A920),isblank($B920)),"", not(iserror(vlookup($A920&amp;$B920,'5) Release_Track'!$F:$F&amp;'5) Release_Track'!$G:$G,1,0))),vlookup($A920&amp;$B920,{'5) Release_Track'!$F:$F&amp;'5) Release_Track'!$G:$G,'5) Release_Track'!$I:$I},2,0),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E920" s="150" t="b">
        <v>0</v>
      </c>
      <c r="F920" s="150" t="b">
        <v>0</v>
      </c>
      <c r="G920" s="150" t="b">
        <v>0</v>
      </c>
      <c r="H920" s="150" t="b">
        <v>0</v>
      </c>
      <c r="I920" s="150" t="b">
        <v>0</v>
      </c>
      <c r="J920" s="150" t="b">
        <v>0</v>
      </c>
      <c r="K920" s="150" t="b">
        <v>0</v>
      </c>
      <c r="L920" s="8" t="b">
        <v>0</v>
      </c>
    </row>
    <row r="921">
      <c r="B921" s="97"/>
      <c r="C921" s="121" t="str">
        <f t="array" ref="C921">ifs(and(isblank($A921),isblank($B921)),"", not(iserror(vlookup($A921&amp;$B921,'5) Release_Track'!$F:$F&amp;'5) Release_Track'!$G:$G,1,0))),vlookup($A921&amp;$B921,{'5) Release_Track'!$F:$F&amp;'5) Release_Track'!$G:$G,'5) Release_Track'!$H:$H},2,0),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D921" s="121" t="str">
        <f t="array" ref="D921">ifs(and(isblank($A921),isblank($B921)),"", not(iserror(vlookup($A921&amp;$B921,'5) Release_Track'!$F:$F&amp;'5) Release_Track'!$G:$G,1,0))),vlookup($A921&amp;$B921,{'5) Release_Track'!$F:$F&amp;'5) Release_Track'!$G:$G,'5) Release_Track'!$I:$I},2,0),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E921" s="150" t="b">
        <v>0</v>
      </c>
      <c r="F921" s="150" t="b">
        <v>0</v>
      </c>
      <c r="G921" s="150" t="b">
        <v>0</v>
      </c>
      <c r="H921" s="150" t="b">
        <v>0</v>
      </c>
      <c r="I921" s="150" t="b">
        <v>0</v>
      </c>
      <c r="J921" s="150" t="b">
        <v>0</v>
      </c>
      <c r="K921" s="150" t="b">
        <v>0</v>
      </c>
      <c r="L921" s="8" t="b">
        <v>0</v>
      </c>
    </row>
    <row r="922">
      <c r="B922" s="97"/>
      <c r="C922" s="121" t="str">
        <f t="array" ref="C922">ifs(and(isblank($A922),isblank($B922)),"", not(iserror(vlookup($A922&amp;$B922,'5) Release_Track'!$F:$F&amp;'5) Release_Track'!$G:$G,1,0))),vlookup($A922&amp;$B922,{'5) Release_Track'!$F:$F&amp;'5) Release_Track'!$G:$G,'5) Release_Track'!$H:$H},2,0),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D922" s="121" t="str">
        <f t="array" ref="D922">ifs(and(isblank($A922),isblank($B922)),"", not(iserror(vlookup($A922&amp;$B922,'5) Release_Track'!$F:$F&amp;'5) Release_Track'!$G:$G,1,0))),vlookup($A922&amp;$B922,{'5) Release_Track'!$F:$F&amp;'5) Release_Track'!$G:$G,'5) Release_Track'!$I:$I},2,0),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E922" s="150" t="b">
        <v>0</v>
      </c>
      <c r="F922" s="150" t="b">
        <v>0</v>
      </c>
      <c r="G922" s="150" t="b">
        <v>0</v>
      </c>
      <c r="H922" s="150" t="b">
        <v>0</v>
      </c>
      <c r="I922" s="150" t="b">
        <v>0</v>
      </c>
      <c r="J922" s="150" t="b">
        <v>0</v>
      </c>
      <c r="K922" s="150" t="b">
        <v>0</v>
      </c>
      <c r="L922" s="8" t="b">
        <v>0</v>
      </c>
    </row>
    <row r="923">
      <c r="B923" s="97"/>
      <c r="C923" s="121" t="str">
        <f t="array" ref="C923">ifs(and(isblank($A923),isblank($B923)),"", not(iserror(vlookup($A923&amp;$B923,'5) Release_Track'!$F:$F&amp;'5) Release_Track'!$G:$G,1,0))),vlookup($A923&amp;$B923,{'5) Release_Track'!$F:$F&amp;'5) Release_Track'!$G:$G,'5) Release_Track'!$H:$H},2,0),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D923" s="121" t="str">
        <f t="array" ref="D923">ifs(and(isblank($A923),isblank($B923)),"", not(iserror(vlookup($A923&amp;$B923,'5) Release_Track'!$F:$F&amp;'5) Release_Track'!$G:$G,1,0))),vlookup($A923&amp;$B923,{'5) Release_Track'!$F:$F&amp;'5) Release_Track'!$G:$G,'5) Release_Track'!$I:$I},2,0),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E923" s="150" t="b">
        <v>0</v>
      </c>
      <c r="F923" s="150" t="b">
        <v>0</v>
      </c>
      <c r="G923" s="150" t="b">
        <v>0</v>
      </c>
      <c r="H923" s="150" t="b">
        <v>0</v>
      </c>
      <c r="I923" s="150" t="b">
        <v>0</v>
      </c>
      <c r="J923" s="150" t="b">
        <v>0</v>
      </c>
      <c r="K923" s="150" t="b">
        <v>0</v>
      </c>
      <c r="L923" s="8" t="b">
        <v>0</v>
      </c>
    </row>
    <row r="924">
      <c r="B924" s="97"/>
      <c r="C924" s="121" t="str">
        <f t="array" ref="C924">ifs(and(isblank($A924),isblank($B924)),"", not(iserror(vlookup($A924&amp;$B924,'5) Release_Track'!$F:$F&amp;'5) Release_Track'!$G:$G,1,0))),vlookup($A924&amp;$B924,{'5) Release_Track'!$F:$F&amp;'5) Release_Track'!$G:$G,'5) Release_Track'!$H:$H},2,0),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D924" s="121" t="str">
        <f t="array" ref="D924">ifs(and(isblank($A924),isblank($B924)),"", not(iserror(vlookup($A924&amp;$B924,'5) Release_Track'!$F:$F&amp;'5) Release_Track'!$G:$G,1,0))),vlookup($A924&amp;$B924,{'5) Release_Track'!$F:$F&amp;'5) Release_Track'!$G:$G,'5) Release_Track'!$I:$I},2,0),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E924" s="150" t="b">
        <v>0</v>
      </c>
      <c r="F924" s="150" t="b">
        <v>0</v>
      </c>
      <c r="G924" s="150" t="b">
        <v>0</v>
      </c>
      <c r="H924" s="150" t="b">
        <v>0</v>
      </c>
      <c r="I924" s="150" t="b">
        <v>0</v>
      </c>
      <c r="J924" s="150" t="b">
        <v>0</v>
      </c>
      <c r="K924" s="150" t="b">
        <v>0</v>
      </c>
      <c r="L924" s="8" t="b">
        <v>0</v>
      </c>
    </row>
    <row r="925">
      <c r="B925" s="97"/>
      <c r="C925" s="121" t="str">
        <f t="array" ref="C925">ifs(and(isblank($A925),isblank($B925)),"", not(iserror(vlookup($A925&amp;$B925,'5) Release_Track'!$F:$F&amp;'5) Release_Track'!$G:$G,1,0))),vlookup($A925&amp;$B925,{'5) Release_Track'!$F:$F&amp;'5) Release_Track'!$G:$G,'5) Release_Track'!$H:$H},2,0),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D925" s="121" t="str">
        <f t="array" ref="D925">ifs(and(isblank($A925),isblank($B925)),"", not(iserror(vlookup($A925&amp;$B925,'5) Release_Track'!$F:$F&amp;'5) Release_Track'!$G:$G,1,0))),vlookup($A925&amp;$B925,{'5) Release_Track'!$F:$F&amp;'5) Release_Track'!$G:$G,'5) Release_Track'!$I:$I},2,0),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E925" s="150" t="b">
        <v>0</v>
      </c>
      <c r="F925" s="150" t="b">
        <v>0</v>
      </c>
      <c r="G925" s="150" t="b">
        <v>0</v>
      </c>
      <c r="H925" s="150" t="b">
        <v>0</v>
      </c>
      <c r="I925" s="150" t="b">
        <v>0</v>
      </c>
      <c r="J925" s="150" t="b">
        <v>0</v>
      </c>
      <c r="K925" s="150" t="b">
        <v>0</v>
      </c>
      <c r="L925" s="8" t="b">
        <v>0</v>
      </c>
    </row>
    <row r="926">
      <c r="B926" s="97"/>
      <c r="C926" s="121" t="str">
        <f t="array" ref="C926">ifs(and(isblank($A926),isblank($B926)),"", not(iserror(vlookup($A926&amp;$B926,'5) Release_Track'!$F:$F&amp;'5) Release_Track'!$G:$G,1,0))),vlookup($A926&amp;$B926,{'5) Release_Track'!$F:$F&amp;'5) Release_Track'!$G:$G,'5) Release_Track'!$H:$H},2,0),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D926" s="121" t="str">
        <f t="array" ref="D926">ifs(and(isblank($A926),isblank($B926)),"", not(iserror(vlookup($A926&amp;$B926,'5) Release_Track'!$F:$F&amp;'5) Release_Track'!$G:$G,1,0))),vlookup($A926&amp;$B926,{'5) Release_Track'!$F:$F&amp;'5) Release_Track'!$G:$G,'5) Release_Track'!$I:$I},2,0),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E926" s="150" t="b">
        <v>0</v>
      </c>
      <c r="F926" s="150" t="b">
        <v>0</v>
      </c>
      <c r="G926" s="150" t="b">
        <v>0</v>
      </c>
      <c r="H926" s="150" t="b">
        <v>0</v>
      </c>
      <c r="I926" s="150" t="b">
        <v>0</v>
      </c>
      <c r="J926" s="150" t="b">
        <v>0</v>
      </c>
      <c r="K926" s="150" t="b">
        <v>0</v>
      </c>
      <c r="L926" s="8" t="b">
        <v>0</v>
      </c>
    </row>
    <row r="927">
      <c r="B927" s="97"/>
      <c r="C927" s="121" t="str">
        <f t="array" ref="C927">ifs(and(isblank($A927),isblank($B927)),"", not(iserror(vlookup($A927&amp;$B927,'5) Release_Track'!$F:$F&amp;'5) Release_Track'!$G:$G,1,0))),vlookup($A927&amp;$B927,{'5) Release_Track'!$F:$F&amp;'5) Release_Track'!$G:$G,'5) Release_Track'!$H:$H},2,0),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D927" s="121" t="str">
        <f t="array" ref="D927">ifs(and(isblank($A927),isblank($B927)),"", not(iserror(vlookup($A927&amp;$B927,'5) Release_Track'!$F:$F&amp;'5) Release_Track'!$G:$G,1,0))),vlookup($A927&amp;$B927,{'5) Release_Track'!$F:$F&amp;'5) Release_Track'!$G:$G,'5) Release_Track'!$I:$I},2,0),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E927" s="150" t="b">
        <v>0</v>
      </c>
      <c r="F927" s="150" t="b">
        <v>0</v>
      </c>
      <c r="G927" s="150" t="b">
        <v>0</v>
      </c>
      <c r="H927" s="150" t="b">
        <v>0</v>
      </c>
      <c r="I927" s="150" t="b">
        <v>0</v>
      </c>
      <c r="J927" s="150" t="b">
        <v>0</v>
      </c>
      <c r="K927" s="150" t="b">
        <v>0</v>
      </c>
      <c r="L927" s="8" t="b">
        <v>0</v>
      </c>
    </row>
    <row r="928">
      <c r="B928" s="97"/>
      <c r="C928" s="121" t="str">
        <f t="array" ref="C928">ifs(and(isblank($A928),isblank($B928)),"", not(iserror(vlookup($A928&amp;$B928,'5) Release_Track'!$F:$F&amp;'5) Release_Track'!$G:$G,1,0))),vlookup($A928&amp;$B928,{'5) Release_Track'!$F:$F&amp;'5) Release_Track'!$G:$G,'5) Release_Track'!$H:$H},2,0),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D928" s="121" t="str">
        <f t="array" ref="D928">ifs(and(isblank($A928),isblank($B928)),"", not(iserror(vlookup($A928&amp;$B928,'5) Release_Track'!$F:$F&amp;'5) Release_Track'!$G:$G,1,0))),vlookup($A928&amp;$B928,{'5) Release_Track'!$F:$F&amp;'5) Release_Track'!$G:$G,'5) Release_Track'!$I:$I},2,0),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E928" s="150" t="b">
        <v>0</v>
      </c>
      <c r="F928" s="150" t="b">
        <v>0</v>
      </c>
      <c r="G928" s="150" t="b">
        <v>0</v>
      </c>
      <c r="H928" s="150" t="b">
        <v>0</v>
      </c>
      <c r="I928" s="150" t="b">
        <v>0</v>
      </c>
      <c r="J928" s="150" t="b">
        <v>0</v>
      </c>
      <c r="K928" s="150" t="b">
        <v>0</v>
      </c>
      <c r="L928" s="8" t="b">
        <v>0</v>
      </c>
    </row>
    <row r="929">
      <c r="B929" s="97"/>
      <c r="C929" s="121" t="str">
        <f t="array" ref="C929">ifs(and(isblank($A929),isblank($B929)),"", not(iserror(vlookup($A929&amp;$B929,'5) Release_Track'!$F:$F&amp;'5) Release_Track'!$G:$G,1,0))),vlookup($A929&amp;$B929,{'5) Release_Track'!$F:$F&amp;'5) Release_Track'!$G:$G,'5) Release_Track'!$H:$H},2,0),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D929" s="121" t="str">
        <f t="array" ref="D929">ifs(and(isblank($A929),isblank($B929)),"", not(iserror(vlookup($A929&amp;$B929,'5) Release_Track'!$F:$F&amp;'5) Release_Track'!$G:$G,1,0))),vlookup($A929&amp;$B929,{'5) Release_Track'!$F:$F&amp;'5) Release_Track'!$G:$G,'5) Release_Track'!$I:$I},2,0),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E929" s="150" t="b">
        <v>0</v>
      </c>
      <c r="F929" s="150" t="b">
        <v>0</v>
      </c>
      <c r="G929" s="150" t="b">
        <v>0</v>
      </c>
      <c r="H929" s="150" t="b">
        <v>0</v>
      </c>
      <c r="I929" s="150" t="b">
        <v>0</v>
      </c>
      <c r="J929" s="150" t="b">
        <v>0</v>
      </c>
      <c r="K929" s="150" t="b">
        <v>0</v>
      </c>
      <c r="L929" s="8" t="b">
        <v>0</v>
      </c>
    </row>
    <row r="930">
      <c r="B930" s="97"/>
      <c r="C930" s="121" t="str">
        <f t="array" ref="C930">ifs(and(isblank($A930),isblank($B930)),"", not(iserror(vlookup($A930&amp;$B930,'5) Release_Track'!$F:$F&amp;'5) Release_Track'!$G:$G,1,0))),vlookup($A930&amp;$B930,{'5) Release_Track'!$F:$F&amp;'5) Release_Track'!$G:$G,'5) Release_Track'!$H:$H},2,0),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D930" s="121" t="str">
        <f t="array" ref="D930">ifs(and(isblank($A930),isblank($B930)),"", not(iserror(vlookup($A930&amp;$B930,'5) Release_Track'!$F:$F&amp;'5) Release_Track'!$G:$G,1,0))),vlookup($A930&amp;$B930,{'5) Release_Track'!$F:$F&amp;'5) Release_Track'!$G:$G,'5) Release_Track'!$I:$I},2,0),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E930" s="150" t="b">
        <v>0</v>
      </c>
      <c r="F930" s="150" t="b">
        <v>0</v>
      </c>
      <c r="G930" s="150" t="b">
        <v>0</v>
      </c>
      <c r="H930" s="150" t="b">
        <v>0</v>
      </c>
      <c r="I930" s="150" t="b">
        <v>0</v>
      </c>
      <c r="J930" s="150" t="b">
        <v>0</v>
      </c>
      <c r="K930" s="150" t="b">
        <v>0</v>
      </c>
      <c r="L930" s="8" t="b">
        <v>0</v>
      </c>
    </row>
    <row r="931">
      <c r="B931" s="97"/>
      <c r="C931" s="121" t="str">
        <f t="array" ref="C931">ifs(and(isblank($A931),isblank($B931)),"", not(iserror(vlookup($A931&amp;$B931,'5) Release_Track'!$F:$F&amp;'5) Release_Track'!$G:$G,1,0))),vlookup($A931&amp;$B931,{'5) Release_Track'!$F:$F&amp;'5) Release_Track'!$G:$G,'5) Release_Track'!$H:$H},2,0),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D931" s="121" t="str">
        <f t="array" ref="D931">ifs(and(isblank($A931),isblank($B931)),"", not(iserror(vlookup($A931&amp;$B931,'5) Release_Track'!$F:$F&amp;'5) Release_Track'!$G:$G,1,0))),vlookup($A931&amp;$B931,{'5) Release_Track'!$F:$F&amp;'5) Release_Track'!$G:$G,'5) Release_Track'!$I:$I},2,0),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E931" s="150" t="b">
        <v>0</v>
      </c>
      <c r="F931" s="150" t="b">
        <v>0</v>
      </c>
      <c r="G931" s="150" t="b">
        <v>0</v>
      </c>
      <c r="H931" s="150" t="b">
        <v>0</v>
      </c>
      <c r="I931" s="150" t="b">
        <v>0</v>
      </c>
      <c r="J931" s="150" t="b">
        <v>0</v>
      </c>
      <c r="K931" s="150" t="b">
        <v>0</v>
      </c>
      <c r="L931" s="8" t="b">
        <v>0</v>
      </c>
    </row>
    <row r="932">
      <c r="B932" s="97"/>
      <c r="C932" s="121" t="str">
        <f t="array" ref="C932">ifs(and(isblank($A932),isblank($B932)),"", not(iserror(vlookup($A932&amp;$B932,'5) Release_Track'!$F:$F&amp;'5) Release_Track'!$G:$G,1,0))),vlookup($A932&amp;$B932,{'5) Release_Track'!$F:$F&amp;'5) Release_Track'!$G:$G,'5) Release_Track'!$H:$H},2,0),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D932" s="121" t="str">
        <f t="array" ref="D932">ifs(and(isblank($A932),isblank($B932)),"", not(iserror(vlookup($A932&amp;$B932,'5) Release_Track'!$F:$F&amp;'5) Release_Track'!$G:$G,1,0))),vlookup($A932&amp;$B932,{'5) Release_Track'!$F:$F&amp;'5) Release_Track'!$G:$G,'5) Release_Track'!$I:$I},2,0),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E932" s="150" t="b">
        <v>0</v>
      </c>
      <c r="F932" s="150" t="b">
        <v>0</v>
      </c>
      <c r="G932" s="150" t="b">
        <v>0</v>
      </c>
      <c r="H932" s="150" t="b">
        <v>0</v>
      </c>
      <c r="I932" s="150" t="b">
        <v>0</v>
      </c>
      <c r="J932" s="150" t="b">
        <v>0</v>
      </c>
      <c r="K932" s="150" t="b">
        <v>0</v>
      </c>
      <c r="L932" s="8" t="b">
        <v>0</v>
      </c>
    </row>
    <row r="933">
      <c r="B933" s="97"/>
      <c r="C933" s="121" t="str">
        <f t="array" ref="C933">ifs(and(isblank($A933),isblank($B933)),"", not(iserror(vlookup($A933&amp;$B933,'5) Release_Track'!$F:$F&amp;'5) Release_Track'!$G:$G,1,0))),vlookup($A933&amp;$B933,{'5) Release_Track'!$F:$F&amp;'5) Release_Track'!$G:$G,'5) Release_Track'!$H:$H},2,0),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D933" s="121" t="str">
        <f t="array" ref="D933">ifs(and(isblank($A933),isblank($B933)),"", not(iserror(vlookup($A933&amp;$B933,'5) Release_Track'!$F:$F&amp;'5) Release_Track'!$G:$G,1,0))),vlookup($A933&amp;$B933,{'5) Release_Track'!$F:$F&amp;'5) Release_Track'!$G:$G,'5) Release_Track'!$I:$I},2,0),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E933" s="150" t="b">
        <v>0</v>
      </c>
      <c r="F933" s="150" t="b">
        <v>0</v>
      </c>
      <c r="G933" s="150" t="b">
        <v>0</v>
      </c>
      <c r="H933" s="150" t="b">
        <v>0</v>
      </c>
      <c r="I933" s="150" t="b">
        <v>0</v>
      </c>
      <c r="J933" s="150" t="b">
        <v>0</v>
      </c>
      <c r="K933" s="150" t="b">
        <v>0</v>
      </c>
      <c r="L933" s="8" t="b">
        <v>0</v>
      </c>
    </row>
    <row r="934">
      <c r="B934" s="97"/>
      <c r="C934" s="121" t="str">
        <f t="array" ref="C934">ifs(and(isblank($A934),isblank($B934)),"", not(iserror(vlookup($A934&amp;$B934,'5) Release_Track'!$F:$F&amp;'5) Release_Track'!$G:$G,1,0))),vlookup($A934&amp;$B934,{'5) Release_Track'!$F:$F&amp;'5) Release_Track'!$G:$G,'5) Release_Track'!$H:$H},2,0),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D934" s="121" t="str">
        <f t="array" ref="D934">ifs(and(isblank($A934),isblank($B934)),"", not(iserror(vlookup($A934&amp;$B934,'5) Release_Track'!$F:$F&amp;'5) Release_Track'!$G:$G,1,0))),vlookup($A934&amp;$B934,{'5) Release_Track'!$F:$F&amp;'5) Release_Track'!$G:$G,'5) Release_Track'!$I:$I},2,0),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E934" s="150" t="b">
        <v>0</v>
      </c>
      <c r="F934" s="150" t="b">
        <v>0</v>
      </c>
      <c r="G934" s="150" t="b">
        <v>0</v>
      </c>
      <c r="H934" s="150" t="b">
        <v>0</v>
      </c>
      <c r="I934" s="150" t="b">
        <v>0</v>
      </c>
      <c r="J934" s="150" t="b">
        <v>0</v>
      </c>
      <c r="K934" s="150" t="b">
        <v>0</v>
      </c>
      <c r="L934" s="8" t="b">
        <v>0</v>
      </c>
    </row>
    <row r="935">
      <c r="B935" s="97"/>
      <c r="C935" s="121" t="str">
        <f t="array" ref="C935">ifs(and(isblank($A935),isblank($B935)),"", not(iserror(vlookup($A935&amp;$B935,'5) Release_Track'!$F:$F&amp;'5) Release_Track'!$G:$G,1,0))),vlookup($A935&amp;$B935,{'5) Release_Track'!$F:$F&amp;'5) Release_Track'!$G:$G,'5) Release_Track'!$H:$H},2,0),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D935" s="121" t="str">
        <f t="array" ref="D935">ifs(and(isblank($A935),isblank($B935)),"", not(iserror(vlookup($A935&amp;$B935,'5) Release_Track'!$F:$F&amp;'5) Release_Track'!$G:$G,1,0))),vlookup($A935&amp;$B935,{'5) Release_Track'!$F:$F&amp;'5) Release_Track'!$G:$G,'5) Release_Track'!$I:$I},2,0),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E935" s="150" t="b">
        <v>0</v>
      </c>
      <c r="F935" s="150" t="b">
        <v>0</v>
      </c>
      <c r="G935" s="150" t="b">
        <v>0</v>
      </c>
      <c r="H935" s="150" t="b">
        <v>0</v>
      </c>
      <c r="I935" s="150" t="b">
        <v>0</v>
      </c>
      <c r="J935" s="150" t="b">
        <v>0</v>
      </c>
      <c r="K935" s="150" t="b">
        <v>0</v>
      </c>
      <c r="L935" s="8" t="b">
        <v>0</v>
      </c>
    </row>
    <row r="936">
      <c r="B936" s="97"/>
      <c r="C936" s="121" t="str">
        <f t="array" ref="C936">ifs(and(isblank($A936),isblank($B936)),"", not(iserror(vlookup($A936&amp;$B936,'5) Release_Track'!$F:$F&amp;'5) Release_Track'!$G:$G,1,0))),vlookup($A936&amp;$B936,{'5) Release_Track'!$F:$F&amp;'5) Release_Track'!$G:$G,'5) Release_Track'!$H:$H},2,0),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D936" s="121" t="str">
        <f t="array" ref="D936">ifs(and(isblank($A936),isblank($B936)),"", not(iserror(vlookup($A936&amp;$B936,'5) Release_Track'!$F:$F&amp;'5) Release_Track'!$G:$G,1,0))),vlookup($A936&amp;$B936,{'5) Release_Track'!$F:$F&amp;'5) Release_Track'!$G:$G,'5) Release_Track'!$I:$I},2,0),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E936" s="150" t="b">
        <v>0</v>
      </c>
      <c r="F936" s="150" t="b">
        <v>0</v>
      </c>
      <c r="G936" s="150" t="b">
        <v>0</v>
      </c>
      <c r="H936" s="150" t="b">
        <v>0</v>
      </c>
      <c r="I936" s="150" t="b">
        <v>0</v>
      </c>
      <c r="J936" s="150" t="b">
        <v>0</v>
      </c>
      <c r="K936" s="150" t="b">
        <v>0</v>
      </c>
      <c r="L936" s="8" t="b">
        <v>0</v>
      </c>
    </row>
    <row r="937">
      <c r="B937" s="97"/>
      <c r="C937" s="121" t="str">
        <f t="array" ref="C937">ifs(and(isblank($A937),isblank($B937)),"", not(iserror(vlookup($A937&amp;$B937,'5) Release_Track'!$F:$F&amp;'5) Release_Track'!$G:$G,1,0))),vlookup($A937&amp;$B937,{'5) Release_Track'!$F:$F&amp;'5) Release_Track'!$G:$G,'5) Release_Track'!$H:$H},2,0),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D937" s="121" t="str">
        <f t="array" ref="D937">ifs(and(isblank($A937),isblank($B937)),"", not(iserror(vlookup($A937&amp;$B937,'5) Release_Track'!$F:$F&amp;'5) Release_Track'!$G:$G,1,0))),vlookup($A937&amp;$B937,{'5) Release_Track'!$F:$F&amp;'5) Release_Track'!$G:$G,'5) Release_Track'!$I:$I},2,0),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E937" s="150" t="b">
        <v>0</v>
      </c>
      <c r="F937" s="150" t="b">
        <v>0</v>
      </c>
      <c r="G937" s="150" t="b">
        <v>0</v>
      </c>
      <c r="H937" s="150" t="b">
        <v>0</v>
      </c>
      <c r="I937" s="150" t="b">
        <v>0</v>
      </c>
      <c r="J937" s="150" t="b">
        <v>0</v>
      </c>
      <c r="K937" s="150" t="b">
        <v>0</v>
      </c>
      <c r="L937" s="8" t="b">
        <v>0</v>
      </c>
    </row>
    <row r="938">
      <c r="B938" s="97"/>
      <c r="C938" s="121" t="str">
        <f t="array" ref="C938">ifs(and(isblank($A938),isblank($B938)),"", not(iserror(vlookup($A938&amp;$B938,'5) Release_Track'!$F:$F&amp;'5) Release_Track'!$G:$G,1,0))),vlookup($A938&amp;$B938,{'5) Release_Track'!$F:$F&amp;'5) Release_Track'!$G:$G,'5) Release_Track'!$H:$H},2,0),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D938" s="121" t="str">
        <f t="array" ref="D938">ifs(and(isblank($A938),isblank($B938)),"", not(iserror(vlookup($A938&amp;$B938,'5) Release_Track'!$F:$F&amp;'5) Release_Track'!$G:$G,1,0))),vlookup($A938&amp;$B938,{'5) Release_Track'!$F:$F&amp;'5) Release_Track'!$G:$G,'5) Release_Track'!$I:$I},2,0),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E938" s="150" t="b">
        <v>0</v>
      </c>
      <c r="F938" s="150" t="b">
        <v>0</v>
      </c>
      <c r="G938" s="150" t="b">
        <v>0</v>
      </c>
      <c r="H938" s="150" t="b">
        <v>0</v>
      </c>
      <c r="I938" s="150" t="b">
        <v>0</v>
      </c>
      <c r="J938" s="150" t="b">
        <v>0</v>
      </c>
      <c r="K938" s="150" t="b">
        <v>0</v>
      </c>
      <c r="L938" s="8" t="b">
        <v>0</v>
      </c>
    </row>
    <row r="939">
      <c r="B939" s="97"/>
      <c r="C939" s="121" t="str">
        <f t="array" ref="C939">ifs(and(isblank($A939),isblank($B939)),"", not(iserror(vlookup($A939&amp;$B939,'5) Release_Track'!$F:$F&amp;'5) Release_Track'!$G:$G,1,0))),vlookup($A939&amp;$B939,{'5) Release_Track'!$F:$F&amp;'5) Release_Track'!$G:$G,'5) Release_Track'!$H:$H},2,0),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D939" s="121" t="str">
        <f t="array" ref="D939">ifs(and(isblank($A939),isblank($B939)),"", not(iserror(vlookup($A939&amp;$B939,'5) Release_Track'!$F:$F&amp;'5) Release_Track'!$G:$G,1,0))),vlookup($A939&amp;$B939,{'5) Release_Track'!$F:$F&amp;'5) Release_Track'!$G:$G,'5) Release_Track'!$I:$I},2,0),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E939" s="150" t="b">
        <v>0</v>
      </c>
      <c r="F939" s="150" t="b">
        <v>0</v>
      </c>
      <c r="G939" s="150" t="b">
        <v>0</v>
      </c>
      <c r="H939" s="150" t="b">
        <v>0</v>
      </c>
      <c r="I939" s="150" t="b">
        <v>0</v>
      </c>
      <c r="J939" s="150" t="b">
        <v>0</v>
      </c>
      <c r="K939" s="150" t="b">
        <v>0</v>
      </c>
      <c r="L939" s="8" t="b">
        <v>0</v>
      </c>
    </row>
    <row r="940">
      <c r="B940" s="97"/>
      <c r="C940" s="121" t="str">
        <f t="array" ref="C940">ifs(and(isblank($A940),isblank($B940)),"", not(iserror(vlookup($A940&amp;$B940,'5) Release_Track'!$F:$F&amp;'5) Release_Track'!$G:$G,1,0))),vlookup($A940&amp;$B940,{'5) Release_Track'!$F:$F&amp;'5) Release_Track'!$G:$G,'5) Release_Track'!$H:$H},2,0),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D940" s="121" t="str">
        <f t="array" ref="D940">ifs(and(isblank($A940),isblank($B940)),"", not(iserror(vlookup($A940&amp;$B940,'5) Release_Track'!$F:$F&amp;'5) Release_Track'!$G:$G,1,0))),vlookup($A940&amp;$B940,{'5) Release_Track'!$F:$F&amp;'5) Release_Track'!$G:$G,'5) Release_Track'!$I:$I},2,0),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E940" s="150" t="b">
        <v>0</v>
      </c>
      <c r="F940" s="150" t="b">
        <v>0</v>
      </c>
      <c r="G940" s="150" t="b">
        <v>0</v>
      </c>
      <c r="H940" s="150" t="b">
        <v>0</v>
      </c>
      <c r="I940" s="150" t="b">
        <v>0</v>
      </c>
      <c r="J940" s="150" t="b">
        <v>0</v>
      </c>
      <c r="K940" s="150" t="b">
        <v>0</v>
      </c>
      <c r="L940" s="8" t="b">
        <v>0</v>
      </c>
    </row>
    <row r="941">
      <c r="B941" s="97"/>
      <c r="C941" s="121" t="str">
        <f t="array" ref="C941">ifs(and(isblank($A941),isblank($B941)),"", not(iserror(vlookup($A941&amp;$B941,'5) Release_Track'!$F:$F&amp;'5) Release_Track'!$G:$G,1,0))),vlookup($A941&amp;$B941,{'5) Release_Track'!$F:$F&amp;'5) Release_Track'!$G:$G,'5) Release_Track'!$H:$H},2,0),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D941" s="121" t="str">
        <f t="array" ref="D941">ifs(and(isblank($A941),isblank($B941)),"", not(iserror(vlookup($A941&amp;$B941,'5) Release_Track'!$F:$F&amp;'5) Release_Track'!$G:$G,1,0))),vlookup($A941&amp;$B941,{'5) Release_Track'!$F:$F&amp;'5) Release_Track'!$G:$G,'5) Release_Track'!$I:$I},2,0),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E941" s="150" t="b">
        <v>0</v>
      </c>
      <c r="F941" s="150" t="b">
        <v>0</v>
      </c>
      <c r="G941" s="150" t="b">
        <v>0</v>
      </c>
      <c r="H941" s="150" t="b">
        <v>0</v>
      </c>
      <c r="I941" s="150" t="b">
        <v>0</v>
      </c>
      <c r="J941" s="150" t="b">
        <v>0</v>
      </c>
      <c r="K941" s="150" t="b">
        <v>0</v>
      </c>
      <c r="L941" s="8" t="b">
        <v>0</v>
      </c>
    </row>
    <row r="942">
      <c r="B942" s="97"/>
      <c r="C942" s="121" t="str">
        <f t="array" ref="C942">ifs(and(isblank($A942),isblank($B942)),"", not(iserror(vlookup($A942&amp;$B942,'5) Release_Track'!$F:$F&amp;'5) Release_Track'!$G:$G,1,0))),vlookup($A942&amp;$B942,{'5) Release_Track'!$F:$F&amp;'5) Release_Track'!$G:$G,'5) Release_Track'!$H:$H},2,0),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D942" s="121" t="str">
        <f t="array" ref="D942">ifs(and(isblank($A942),isblank($B942)),"", not(iserror(vlookup($A942&amp;$B942,'5) Release_Track'!$F:$F&amp;'5) Release_Track'!$G:$G,1,0))),vlookup($A942&amp;$B942,{'5) Release_Track'!$F:$F&amp;'5) Release_Track'!$G:$G,'5) Release_Track'!$I:$I},2,0),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E942" s="150" t="b">
        <v>0</v>
      </c>
      <c r="F942" s="150" t="b">
        <v>0</v>
      </c>
      <c r="G942" s="150" t="b">
        <v>0</v>
      </c>
      <c r="H942" s="150" t="b">
        <v>0</v>
      </c>
      <c r="I942" s="150" t="b">
        <v>0</v>
      </c>
      <c r="J942" s="150" t="b">
        <v>0</v>
      </c>
      <c r="K942" s="150" t="b">
        <v>0</v>
      </c>
      <c r="L942" s="8" t="b">
        <v>0</v>
      </c>
    </row>
    <row r="943">
      <c r="B943" s="97"/>
      <c r="C943" s="121" t="str">
        <f t="array" ref="C943">ifs(and(isblank($A943),isblank($B943)),"", not(iserror(vlookup($A943&amp;$B943,'5) Release_Track'!$F:$F&amp;'5) Release_Track'!$G:$G,1,0))),vlookup($A943&amp;$B943,{'5) Release_Track'!$F:$F&amp;'5) Release_Track'!$G:$G,'5) Release_Track'!$H:$H},2,0),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D943" s="121" t="str">
        <f t="array" ref="D943">ifs(and(isblank($A943),isblank($B943)),"", not(iserror(vlookup($A943&amp;$B943,'5) Release_Track'!$F:$F&amp;'5) Release_Track'!$G:$G,1,0))),vlookup($A943&amp;$B943,{'5) Release_Track'!$F:$F&amp;'5) Release_Track'!$G:$G,'5) Release_Track'!$I:$I},2,0),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E943" s="150" t="b">
        <v>0</v>
      </c>
      <c r="F943" s="150" t="b">
        <v>0</v>
      </c>
      <c r="G943" s="150" t="b">
        <v>0</v>
      </c>
      <c r="H943" s="150" t="b">
        <v>0</v>
      </c>
      <c r="I943" s="150" t="b">
        <v>0</v>
      </c>
      <c r="J943" s="150" t="b">
        <v>0</v>
      </c>
      <c r="K943" s="150" t="b">
        <v>0</v>
      </c>
      <c r="L943" s="8" t="b">
        <v>0</v>
      </c>
    </row>
    <row r="944">
      <c r="B944" s="97"/>
      <c r="C944" s="121" t="str">
        <f t="array" ref="C944">ifs(and(isblank($A944),isblank($B944)),"", not(iserror(vlookup($A944&amp;$B944,'5) Release_Track'!$F:$F&amp;'5) Release_Track'!$G:$G,1,0))),vlookup($A944&amp;$B944,{'5) Release_Track'!$F:$F&amp;'5) Release_Track'!$G:$G,'5) Release_Track'!$H:$H},2,0),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D944" s="121" t="str">
        <f t="array" ref="D944">ifs(and(isblank($A944),isblank($B944)),"", not(iserror(vlookup($A944&amp;$B944,'5) Release_Track'!$F:$F&amp;'5) Release_Track'!$G:$G,1,0))),vlookup($A944&amp;$B944,{'5) Release_Track'!$F:$F&amp;'5) Release_Track'!$G:$G,'5) Release_Track'!$I:$I},2,0),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E944" s="150" t="b">
        <v>0</v>
      </c>
      <c r="F944" s="150" t="b">
        <v>0</v>
      </c>
      <c r="G944" s="150" t="b">
        <v>0</v>
      </c>
      <c r="H944" s="150" t="b">
        <v>0</v>
      </c>
      <c r="I944" s="150" t="b">
        <v>0</v>
      </c>
      <c r="J944" s="150" t="b">
        <v>0</v>
      </c>
      <c r="K944" s="150" t="b">
        <v>0</v>
      </c>
      <c r="L944" s="8" t="b">
        <v>0</v>
      </c>
    </row>
    <row r="945">
      <c r="B945" s="97"/>
      <c r="C945" s="121" t="str">
        <f t="array" ref="C945">ifs(and(isblank($A945),isblank($B945)),"", not(iserror(vlookup($A945&amp;$B945,'5) Release_Track'!$F:$F&amp;'5) Release_Track'!$G:$G,1,0))),vlookup($A945&amp;$B945,{'5) Release_Track'!$F:$F&amp;'5) Release_Track'!$G:$G,'5) Release_Track'!$H:$H},2,0),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D945" s="121" t="str">
        <f t="array" ref="D945">ifs(and(isblank($A945),isblank($B945)),"", not(iserror(vlookup($A945&amp;$B945,'5) Release_Track'!$F:$F&amp;'5) Release_Track'!$G:$G,1,0))),vlookup($A945&amp;$B945,{'5) Release_Track'!$F:$F&amp;'5) Release_Track'!$G:$G,'5) Release_Track'!$I:$I},2,0),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E945" s="150" t="b">
        <v>0</v>
      </c>
      <c r="F945" s="150" t="b">
        <v>0</v>
      </c>
      <c r="G945" s="150" t="b">
        <v>0</v>
      </c>
      <c r="H945" s="150" t="b">
        <v>0</v>
      </c>
      <c r="I945" s="150" t="b">
        <v>0</v>
      </c>
      <c r="J945" s="150" t="b">
        <v>0</v>
      </c>
      <c r="K945" s="150" t="b">
        <v>0</v>
      </c>
      <c r="L945" s="8" t="b">
        <v>0</v>
      </c>
    </row>
    <row r="946">
      <c r="B946" s="97"/>
      <c r="C946" s="121" t="str">
        <f t="array" ref="C946">ifs(and(isblank($A946),isblank($B946)),"", not(iserror(vlookup($A946&amp;$B946,'5) Release_Track'!$F:$F&amp;'5) Release_Track'!$G:$G,1,0))),vlookup($A946&amp;$B946,{'5) Release_Track'!$F:$F&amp;'5) Release_Track'!$G:$G,'5) Release_Track'!$H:$H},2,0),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D946" s="121" t="str">
        <f t="array" ref="D946">ifs(and(isblank($A946),isblank($B946)),"", not(iserror(vlookup($A946&amp;$B946,'5) Release_Track'!$F:$F&amp;'5) Release_Track'!$G:$G,1,0))),vlookup($A946&amp;$B946,{'5) Release_Track'!$F:$F&amp;'5) Release_Track'!$G:$G,'5) Release_Track'!$I:$I},2,0),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E946" s="150" t="b">
        <v>0</v>
      </c>
      <c r="F946" s="150" t="b">
        <v>0</v>
      </c>
      <c r="G946" s="150" t="b">
        <v>0</v>
      </c>
      <c r="H946" s="150" t="b">
        <v>0</v>
      </c>
      <c r="I946" s="150" t="b">
        <v>0</v>
      </c>
      <c r="J946" s="150" t="b">
        <v>0</v>
      </c>
      <c r="K946" s="150" t="b">
        <v>0</v>
      </c>
      <c r="L946" s="8" t="b">
        <v>0</v>
      </c>
    </row>
    <row r="947">
      <c r="B947" s="97"/>
      <c r="C947" s="121" t="str">
        <f t="array" ref="C947">ifs(and(isblank($A947),isblank($B947)),"", not(iserror(vlookup($A947&amp;$B947,'5) Release_Track'!$F:$F&amp;'5) Release_Track'!$G:$G,1,0))),vlookup($A947&amp;$B947,{'5) Release_Track'!$F:$F&amp;'5) Release_Track'!$G:$G,'5) Release_Track'!$H:$H},2,0),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D947" s="121" t="str">
        <f t="array" ref="D947">ifs(and(isblank($A947),isblank($B947)),"", not(iserror(vlookup($A947&amp;$B947,'5) Release_Track'!$F:$F&amp;'5) Release_Track'!$G:$G,1,0))),vlookup($A947&amp;$B947,{'5) Release_Track'!$F:$F&amp;'5) Release_Track'!$G:$G,'5) Release_Track'!$I:$I},2,0),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E947" s="150" t="b">
        <v>0</v>
      </c>
      <c r="F947" s="150" t="b">
        <v>0</v>
      </c>
      <c r="G947" s="150" t="b">
        <v>0</v>
      </c>
      <c r="H947" s="150" t="b">
        <v>0</v>
      </c>
      <c r="I947" s="150" t="b">
        <v>0</v>
      </c>
      <c r="J947" s="150" t="b">
        <v>0</v>
      </c>
      <c r="K947" s="150" t="b">
        <v>0</v>
      </c>
      <c r="L947" s="8" t="b">
        <v>0</v>
      </c>
    </row>
    <row r="948">
      <c r="B948" s="97"/>
      <c r="C948" s="121" t="str">
        <f t="array" ref="C948">ifs(and(isblank($A948),isblank($B948)),"", not(iserror(vlookup($A948&amp;$B948,'5) Release_Track'!$F:$F&amp;'5) Release_Track'!$G:$G,1,0))),vlookup($A948&amp;$B948,{'5) Release_Track'!$F:$F&amp;'5) Release_Track'!$G:$G,'5) Release_Track'!$H:$H},2,0),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D948" s="121" t="str">
        <f t="array" ref="D948">ifs(and(isblank($A948),isblank($B948)),"", not(iserror(vlookup($A948&amp;$B948,'5) Release_Track'!$F:$F&amp;'5) Release_Track'!$G:$G,1,0))),vlookup($A948&amp;$B948,{'5) Release_Track'!$F:$F&amp;'5) Release_Track'!$G:$G,'5) Release_Track'!$I:$I},2,0),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E948" s="150" t="b">
        <v>0</v>
      </c>
      <c r="F948" s="150" t="b">
        <v>0</v>
      </c>
      <c r="G948" s="150" t="b">
        <v>0</v>
      </c>
      <c r="H948" s="150" t="b">
        <v>0</v>
      </c>
      <c r="I948" s="150" t="b">
        <v>0</v>
      </c>
      <c r="J948" s="150" t="b">
        <v>0</v>
      </c>
      <c r="K948" s="150" t="b">
        <v>0</v>
      </c>
      <c r="L948" s="8" t="b">
        <v>0</v>
      </c>
    </row>
    <row r="949">
      <c r="B949" s="97"/>
      <c r="C949" s="121" t="str">
        <f t="array" ref="C949">ifs(and(isblank($A949),isblank($B949)),"", not(iserror(vlookup($A949&amp;$B949,'5) Release_Track'!$F:$F&amp;'5) Release_Track'!$G:$G,1,0))),vlookup($A949&amp;$B949,{'5) Release_Track'!$F:$F&amp;'5) Release_Track'!$G:$G,'5) Release_Track'!$H:$H},2,0),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D949" s="121" t="str">
        <f t="array" ref="D949">ifs(and(isblank($A949),isblank($B949)),"", not(iserror(vlookup($A949&amp;$B949,'5) Release_Track'!$F:$F&amp;'5) Release_Track'!$G:$G,1,0))),vlookup($A949&amp;$B949,{'5) Release_Track'!$F:$F&amp;'5) Release_Track'!$G:$G,'5) Release_Track'!$I:$I},2,0),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E949" s="150" t="b">
        <v>0</v>
      </c>
      <c r="F949" s="150" t="b">
        <v>0</v>
      </c>
      <c r="G949" s="150" t="b">
        <v>0</v>
      </c>
      <c r="H949" s="150" t="b">
        <v>0</v>
      </c>
      <c r="I949" s="150" t="b">
        <v>0</v>
      </c>
      <c r="J949" s="150" t="b">
        <v>0</v>
      </c>
      <c r="K949" s="150" t="b">
        <v>0</v>
      </c>
      <c r="L949" s="8" t="b">
        <v>0</v>
      </c>
    </row>
    <row r="950">
      <c r="B950" s="97"/>
      <c r="C950" s="121" t="str">
        <f t="array" ref="C950">ifs(and(isblank($A950),isblank($B950)),"", not(iserror(vlookup($A950&amp;$B950,'5) Release_Track'!$F:$F&amp;'5) Release_Track'!$G:$G,1,0))),vlookup($A950&amp;$B950,{'5) Release_Track'!$F:$F&amp;'5) Release_Track'!$G:$G,'5) Release_Track'!$H:$H},2,0),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D950" s="121" t="str">
        <f t="array" ref="D950">ifs(and(isblank($A950),isblank($B950)),"", not(iserror(vlookup($A950&amp;$B950,'5) Release_Track'!$F:$F&amp;'5) Release_Track'!$G:$G,1,0))),vlookup($A950&amp;$B950,{'5) Release_Track'!$F:$F&amp;'5) Release_Track'!$G:$G,'5) Release_Track'!$I:$I},2,0),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E950" s="150" t="b">
        <v>0</v>
      </c>
      <c r="F950" s="150" t="b">
        <v>0</v>
      </c>
      <c r="G950" s="150" t="b">
        <v>0</v>
      </c>
      <c r="H950" s="150" t="b">
        <v>0</v>
      </c>
      <c r="I950" s="150" t="b">
        <v>0</v>
      </c>
      <c r="J950" s="150" t="b">
        <v>0</v>
      </c>
      <c r="K950" s="150" t="b">
        <v>0</v>
      </c>
      <c r="L950" s="8" t="b">
        <v>0</v>
      </c>
    </row>
    <row r="951">
      <c r="B951" s="97"/>
      <c r="C951" s="121" t="str">
        <f t="array" ref="C951">ifs(and(isblank($A951),isblank($B951)),"", not(iserror(vlookup($A951&amp;$B951,'5) Release_Track'!$F:$F&amp;'5) Release_Track'!$G:$G,1,0))),vlookup($A951&amp;$B951,{'5) Release_Track'!$F:$F&amp;'5) Release_Track'!$G:$G,'5) Release_Track'!$H:$H},2,0),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D951" s="121" t="str">
        <f t="array" ref="D951">ifs(and(isblank($A951),isblank($B951)),"", not(iserror(vlookup($A951&amp;$B951,'5) Release_Track'!$F:$F&amp;'5) Release_Track'!$G:$G,1,0))),vlookup($A951&amp;$B951,{'5) Release_Track'!$F:$F&amp;'5) Release_Track'!$G:$G,'5) Release_Track'!$I:$I},2,0),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E951" s="150" t="b">
        <v>0</v>
      </c>
      <c r="F951" s="150" t="b">
        <v>0</v>
      </c>
      <c r="G951" s="150" t="b">
        <v>0</v>
      </c>
      <c r="H951" s="150" t="b">
        <v>0</v>
      </c>
      <c r="I951" s="150" t="b">
        <v>0</v>
      </c>
      <c r="J951" s="150" t="b">
        <v>0</v>
      </c>
      <c r="K951" s="150" t="b">
        <v>0</v>
      </c>
      <c r="L951" s="8" t="b">
        <v>0</v>
      </c>
    </row>
    <row r="952">
      <c r="B952" s="97"/>
      <c r="C952" s="121" t="str">
        <f t="array" ref="C952">ifs(and(isblank($A952),isblank($B952)),"", not(iserror(vlookup($A952&amp;$B952,'5) Release_Track'!$F:$F&amp;'5) Release_Track'!$G:$G,1,0))),vlookup($A952&amp;$B952,{'5) Release_Track'!$F:$F&amp;'5) Release_Track'!$G:$G,'5) Release_Track'!$H:$H},2,0),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D952" s="121" t="str">
        <f t="array" ref="D952">ifs(and(isblank($A952),isblank($B952)),"", not(iserror(vlookup($A952&amp;$B952,'5) Release_Track'!$F:$F&amp;'5) Release_Track'!$G:$G,1,0))),vlookup($A952&amp;$B952,{'5) Release_Track'!$F:$F&amp;'5) Release_Track'!$G:$G,'5) Release_Track'!$I:$I},2,0),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E952" s="150" t="b">
        <v>0</v>
      </c>
      <c r="F952" s="150" t="b">
        <v>0</v>
      </c>
      <c r="G952" s="150" t="b">
        <v>0</v>
      </c>
      <c r="H952" s="150" t="b">
        <v>0</v>
      </c>
      <c r="I952" s="150" t="b">
        <v>0</v>
      </c>
      <c r="J952" s="150" t="b">
        <v>0</v>
      </c>
      <c r="K952" s="150" t="b">
        <v>0</v>
      </c>
      <c r="L952" s="8" t="b">
        <v>0</v>
      </c>
    </row>
    <row r="953">
      <c r="B953" s="97"/>
      <c r="C953" s="121" t="str">
        <f t="array" ref="C953">ifs(and(isblank($A953),isblank($B953)),"", not(iserror(vlookup($A953&amp;$B953,'5) Release_Track'!$F:$F&amp;'5) Release_Track'!$G:$G,1,0))),vlookup($A953&amp;$B953,{'5) Release_Track'!$F:$F&amp;'5) Release_Track'!$G:$G,'5) Release_Track'!$H:$H},2,0),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D953" s="121" t="str">
        <f t="array" ref="D953">ifs(and(isblank($A953),isblank($B953)),"", not(iserror(vlookup($A953&amp;$B953,'5) Release_Track'!$F:$F&amp;'5) Release_Track'!$G:$G,1,0))),vlookup($A953&amp;$B953,{'5) Release_Track'!$F:$F&amp;'5) Release_Track'!$G:$G,'5) Release_Track'!$I:$I},2,0),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E953" s="150" t="b">
        <v>0</v>
      </c>
      <c r="F953" s="150" t="b">
        <v>0</v>
      </c>
      <c r="G953" s="150" t="b">
        <v>0</v>
      </c>
      <c r="H953" s="150" t="b">
        <v>0</v>
      </c>
      <c r="I953" s="150" t="b">
        <v>0</v>
      </c>
      <c r="J953" s="150" t="b">
        <v>0</v>
      </c>
      <c r="K953" s="150" t="b">
        <v>0</v>
      </c>
      <c r="L953" s="8" t="b">
        <v>0</v>
      </c>
    </row>
    <row r="954">
      <c r="B954" s="97"/>
      <c r="C954" s="121" t="str">
        <f t="array" ref="C954">ifs(and(isblank($A954),isblank($B954)),"", not(iserror(vlookup($A954&amp;$B954,'5) Release_Track'!$F:$F&amp;'5) Release_Track'!$G:$G,1,0))),vlookup($A954&amp;$B954,{'5) Release_Track'!$F:$F&amp;'5) Release_Track'!$G:$G,'5) Release_Track'!$H:$H},2,0),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D954" s="121" t="str">
        <f t="array" ref="D954">ifs(and(isblank($A954),isblank($B954)),"", not(iserror(vlookup($A954&amp;$B954,'5) Release_Track'!$F:$F&amp;'5) Release_Track'!$G:$G,1,0))),vlookup($A954&amp;$B954,{'5) Release_Track'!$F:$F&amp;'5) Release_Track'!$G:$G,'5) Release_Track'!$I:$I},2,0),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E954" s="150" t="b">
        <v>0</v>
      </c>
      <c r="F954" s="150" t="b">
        <v>0</v>
      </c>
      <c r="G954" s="150" t="b">
        <v>0</v>
      </c>
      <c r="H954" s="150" t="b">
        <v>0</v>
      </c>
      <c r="I954" s="150" t="b">
        <v>0</v>
      </c>
      <c r="J954" s="150" t="b">
        <v>0</v>
      </c>
      <c r="K954" s="150" t="b">
        <v>0</v>
      </c>
      <c r="L954" s="8" t="b">
        <v>0</v>
      </c>
    </row>
    <row r="955">
      <c r="B955" s="97"/>
      <c r="C955" s="121" t="str">
        <f t="array" ref="C955">ifs(and(isblank($A955),isblank($B955)),"", not(iserror(vlookup($A955&amp;$B955,'5) Release_Track'!$F:$F&amp;'5) Release_Track'!$G:$G,1,0))),vlookup($A955&amp;$B955,{'5) Release_Track'!$F:$F&amp;'5) Release_Track'!$G:$G,'5) Release_Track'!$H:$H},2,0),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D955" s="121" t="str">
        <f t="array" ref="D955">ifs(and(isblank($A955),isblank($B955)),"", not(iserror(vlookup($A955&amp;$B955,'5) Release_Track'!$F:$F&amp;'5) Release_Track'!$G:$G,1,0))),vlookup($A955&amp;$B955,{'5) Release_Track'!$F:$F&amp;'5) Release_Track'!$G:$G,'5) Release_Track'!$I:$I},2,0),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E955" s="150" t="b">
        <v>0</v>
      </c>
      <c r="F955" s="150" t="b">
        <v>0</v>
      </c>
      <c r="G955" s="150" t="b">
        <v>0</v>
      </c>
      <c r="H955" s="150" t="b">
        <v>0</v>
      </c>
      <c r="I955" s="150" t="b">
        <v>0</v>
      </c>
      <c r="J955" s="150" t="b">
        <v>0</v>
      </c>
      <c r="K955" s="150" t="b">
        <v>0</v>
      </c>
      <c r="L955" s="8" t="b">
        <v>0</v>
      </c>
    </row>
    <row r="956">
      <c r="B956" s="97"/>
      <c r="C956" s="121" t="str">
        <f t="array" ref="C956">ifs(and(isblank($A956),isblank($B956)),"", not(iserror(vlookup($A956&amp;$B956,'5) Release_Track'!$F:$F&amp;'5) Release_Track'!$G:$G,1,0))),vlookup($A956&amp;$B956,{'5) Release_Track'!$F:$F&amp;'5) Release_Track'!$G:$G,'5) Release_Track'!$H:$H},2,0),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D956" s="121" t="str">
        <f t="array" ref="D956">ifs(and(isblank($A956),isblank($B956)),"", not(iserror(vlookup($A956&amp;$B956,'5) Release_Track'!$F:$F&amp;'5) Release_Track'!$G:$G,1,0))),vlookup($A956&amp;$B956,{'5) Release_Track'!$F:$F&amp;'5) Release_Track'!$G:$G,'5) Release_Track'!$I:$I},2,0),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E956" s="150" t="b">
        <v>0</v>
      </c>
      <c r="F956" s="150" t="b">
        <v>0</v>
      </c>
      <c r="G956" s="150" t="b">
        <v>0</v>
      </c>
      <c r="H956" s="150" t="b">
        <v>0</v>
      </c>
      <c r="I956" s="150" t="b">
        <v>0</v>
      </c>
      <c r="J956" s="150" t="b">
        <v>0</v>
      </c>
      <c r="K956" s="150" t="b">
        <v>0</v>
      </c>
      <c r="L956" s="8" t="b">
        <v>0</v>
      </c>
    </row>
    <row r="957">
      <c r="B957" s="97"/>
      <c r="C957" s="121" t="str">
        <f t="array" ref="C957">ifs(and(isblank($A957),isblank($B957)),"", not(iserror(vlookup($A957&amp;$B957,'5) Release_Track'!$F:$F&amp;'5) Release_Track'!$G:$G,1,0))),vlookup($A957&amp;$B957,{'5) Release_Track'!$F:$F&amp;'5) Release_Track'!$G:$G,'5) Release_Track'!$H:$H},2,0),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D957" s="121" t="str">
        <f t="array" ref="D957">ifs(and(isblank($A957),isblank($B957)),"", not(iserror(vlookup($A957&amp;$B957,'5) Release_Track'!$F:$F&amp;'5) Release_Track'!$G:$G,1,0))),vlookup($A957&amp;$B957,{'5) Release_Track'!$F:$F&amp;'5) Release_Track'!$G:$G,'5) Release_Track'!$I:$I},2,0),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E957" s="150" t="b">
        <v>0</v>
      </c>
      <c r="F957" s="150" t="b">
        <v>0</v>
      </c>
      <c r="G957" s="150" t="b">
        <v>0</v>
      </c>
      <c r="H957" s="150" t="b">
        <v>0</v>
      </c>
      <c r="I957" s="150" t="b">
        <v>0</v>
      </c>
      <c r="J957" s="150" t="b">
        <v>0</v>
      </c>
      <c r="K957" s="150" t="b">
        <v>0</v>
      </c>
      <c r="L957" s="8" t="b">
        <v>0</v>
      </c>
    </row>
    <row r="958">
      <c r="B958" s="97"/>
      <c r="C958" s="121" t="str">
        <f t="array" ref="C958">ifs(and(isblank($A958),isblank($B958)),"", not(iserror(vlookup($A958&amp;$B958,'5) Release_Track'!$F:$F&amp;'5) Release_Track'!$G:$G,1,0))),vlookup($A958&amp;$B958,{'5) Release_Track'!$F:$F&amp;'5) Release_Track'!$G:$G,'5) Release_Track'!$H:$H},2,0),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D958" s="121" t="str">
        <f t="array" ref="D958">ifs(and(isblank($A958),isblank($B958)),"", not(iserror(vlookup($A958&amp;$B958,'5) Release_Track'!$F:$F&amp;'5) Release_Track'!$G:$G,1,0))),vlookup($A958&amp;$B958,{'5) Release_Track'!$F:$F&amp;'5) Release_Track'!$G:$G,'5) Release_Track'!$I:$I},2,0),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E958" s="150" t="b">
        <v>0</v>
      </c>
      <c r="F958" s="150" t="b">
        <v>0</v>
      </c>
      <c r="G958" s="150" t="b">
        <v>0</v>
      </c>
      <c r="H958" s="150" t="b">
        <v>0</v>
      </c>
      <c r="I958" s="150" t="b">
        <v>0</v>
      </c>
      <c r="J958" s="150" t="b">
        <v>0</v>
      </c>
      <c r="K958" s="150" t="b">
        <v>0</v>
      </c>
      <c r="L958" s="8" t="b">
        <v>0</v>
      </c>
    </row>
    <row r="959">
      <c r="B959" s="97"/>
      <c r="C959" s="121" t="str">
        <f t="array" ref="C959">ifs(and(isblank($A959),isblank($B959)),"", not(iserror(vlookup($A959&amp;$B959,'5) Release_Track'!$F:$F&amp;'5) Release_Track'!$G:$G,1,0))),vlookup($A959&amp;$B959,{'5) Release_Track'!$F:$F&amp;'5) Release_Track'!$G:$G,'5) Release_Track'!$H:$H},2,0),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D959" s="121" t="str">
        <f t="array" ref="D959">ifs(and(isblank($A959),isblank($B959)),"", not(iserror(vlookup($A959&amp;$B959,'5) Release_Track'!$F:$F&amp;'5) Release_Track'!$G:$G,1,0))),vlookup($A959&amp;$B959,{'5) Release_Track'!$F:$F&amp;'5) Release_Track'!$G:$G,'5) Release_Track'!$I:$I},2,0),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E959" s="150" t="b">
        <v>0</v>
      </c>
      <c r="F959" s="150" t="b">
        <v>0</v>
      </c>
      <c r="G959" s="150" t="b">
        <v>0</v>
      </c>
      <c r="H959" s="150" t="b">
        <v>0</v>
      </c>
      <c r="I959" s="150" t="b">
        <v>0</v>
      </c>
      <c r="J959" s="150" t="b">
        <v>0</v>
      </c>
      <c r="K959" s="150" t="b">
        <v>0</v>
      </c>
      <c r="L959" s="8" t="b">
        <v>0</v>
      </c>
    </row>
    <row r="960">
      <c r="B960" s="97"/>
      <c r="C960" s="121" t="str">
        <f t="array" ref="C960">ifs(and(isblank($A960),isblank($B960)),"", not(iserror(vlookup($A960&amp;$B960,'5) Release_Track'!$F:$F&amp;'5) Release_Track'!$G:$G,1,0))),vlookup($A960&amp;$B960,{'5) Release_Track'!$F:$F&amp;'5) Release_Track'!$G:$G,'5) Release_Track'!$H:$H},2,0),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D960" s="121" t="str">
        <f t="array" ref="D960">ifs(and(isblank($A960),isblank($B960)),"", not(iserror(vlookup($A960&amp;$B960,'5) Release_Track'!$F:$F&amp;'5) Release_Track'!$G:$G,1,0))),vlookup($A960&amp;$B960,{'5) Release_Track'!$F:$F&amp;'5) Release_Track'!$G:$G,'5) Release_Track'!$I:$I},2,0),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E960" s="150" t="b">
        <v>0</v>
      </c>
      <c r="F960" s="150" t="b">
        <v>0</v>
      </c>
      <c r="G960" s="150" t="b">
        <v>0</v>
      </c>
      <c r="H960" s="150" t="b">
        <v>0</v>
      </c>
      <c r="I960" s="150" t="b">
        <v>0</v>
      </c>
      <c r="J960" s="150" t="b">
        <v>0</v>
      </c>
      <c r="K960" s="150" t="b">
        <v>0</v>
      </c>
      <c r="L960" s="8" t="b">
        <v>0</v>
      </c>
    </row>
    <row r="961">
      <c r="B961" s="97"/>
      <c r="C961" s="121" t="str">
        <f t="array" ref="C961">ifs(and(isblank($A961),isblank($B961)),"", not(iserror(vlookup($A961&amp;$B961,'5) Release_Track'!$F:$F&amp;'5) Release_Track'!$G:$G,1,0))),vlookup($A961&amp;$B961,{'5) Release_Track'!$F:$F&amp;'5) Release_Track'!$G:$G,'5) Release_Track'!$H:$H},2,0),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D961" s="121" t="str">
        <f t="array" ref="D961">ifs(and(isblank($A961),isblank($B961)),"", not(iserror(vlookup($A961&amp;$B961,'5) Release_Track'!$F:$F&amp;'5) Release_Track'!$G:$G,1,0))),vlookup($A961&amp;$B961,{'5) Release_Track'!$F:$F&amp;'5) Release_Track'!$G:$G,'5) Release_Track'!$I:$I},2,0),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E961" s="150" t="b">
        <v>0</v>
      </c>
      <c r="F961" s="150" t="b">
        <v>0</v>
      </c>
      <c r="G961" s="150" t="b">
        <v>0</v>
      </c>
      <c r="H961" s="150" t="b">
        <v>0</v>
      </c>
      <c r="I961" s="150" t="b">
        <v>0</v>
      </c>
      <c r="J961" s="150" t="b">
        <v>0</v>
      </c>
      <c r="K961" s="150" t="b">
        <v>0</v>
      </c>
      <c r="L961" s="8" t="b">
        <v>0</v>
      </c>
    </row>
    <row r="962">
      <c r="B962" s="97"/>
      <c r="C962" s="121" t="str">
        <f t="array" ref="C962">ifs(and(isblank($A962),isblank($B962)),"", not(iserror(vlookup($A962&amp;$B962,'5) Release_Track'!$F:$F&amp;'5) Release_Track'!$G:$G,1,0))),vlookup($A962&amp;$B962,{'5) Release_Track'!$F:$F&amp;'5) Release_Track'!$G:$G,'5) Release_Track'!$H:$H},2,0),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D962" s="121" t="str">
        <f t="array" ref="D962">ifs(and(isblank($A962),isblank($B962)),"", not(iserror(vlookup($A962&amp;$B962,'5) Release_Track'!$F:$F&amp;'5) Release_Track'!$G:$G,1,0))),vlookup($A962&amp;$B962,{'5) Release_Track'!$F:$F&amp;'5) Release_Track'!$G:$G,'5) Release_Track'!$I:$I},2,0),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E962" s="150" t="b">
        <v>0</v>
      </c>
      <c r="F962" s="150" t="b">
        <v>0</v>
      </c>
      <c r="G962" s="150" t="b">
        <v>0</v>
      </c>
      <c r="H962" s="150" t="b">
        <v>0</v>
      </c>
      <c r="I962" s="150" t="b">
        <v>0</v>
      </c>
      <c r="J962" s="150" t="b">
        <v>0</v>
      </c>
      <c r="K962" s="150" t="b">
        <v>0</v>
      </c>
      <c r="L962" s="8" t="b">
        <v>0</v>
      </c>
    </row>
    <row r="963">
      <c r="B963" s="97"/>
      <c r="C963" s="121" t="str">
        <f t="array" ref="C963">ifs(and(isblank($A963),isblank($B963)),"", not(iserror(vlookup($A963&amp;$B963,'5) Release_Track'!$F:$F&amp;'5) Release_Track'!$G:$G,1,0))),vlookup($A963&amp;$B963,{'5) Release_Track'!$F:$F&amp;'5) Release_Track'!$G:$G,'5) Release_Track'!$H:$H},2,0),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D963" s="121" t="str">
        <f t="array" ref="D963">ifs(and(isblank($A963),isblank($B963)),"", not(iserror(vlookup($A963&amp;$B963,'5) Release_Track'!$F:$F&amp;'5) Release_Track'!$G:$G,1,0))),vlookup($A963&amp;$B963,{'5) Release_Track'!$F:$F&amp;'5) Release_Track'!$G:$G,'5) Release_Track'!$I:$I},2,0),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E963" s="150" t="b">
        <v>0</v>
      </c>
      <c r="F963" s="150" t="b">
        <v>0</v>
      </c>
      <c r="G963" s="150" t="b">
        <v>0</v>
      </c>
      <c r="H963" s="150" t="b">
        <v>0</v>
      </c>
      <c r="I963" s="150" t="b">
        <v>0</v>
      </c>
      <c r="J963" s="150" t="b">
        <v>0</v>
      </c>
      <c r="K963" s="150" t="b">
        <v>0</v>
      </c>
      <c r="L963" s="8" t="b">
        <v>0</v>
      </c>
    </row>
    <row r="964">
      <c r="B964" s="97"/>
      <c r="C964" s="121" t="str">
        <f t="array" ref="C964">ifs(and(isblank($A964),isblank($B964)),"", not(iserror(vlookup($A964&amp;$B964,'5) Release_Track'!$F:$F&amp;'5) Release_Track'!$G:$G,1,0))),vlookup($A964&amp;$B964,{'5) Release_Track'!$F:$F&amp;'5) Release_Track'!$G:$G,'5) Release_Track'!$H:$H},2,0),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D964" s="121" t="str">
        <f t="array" ref="D964">ifs(and(isblank($A964),isblank($B964)),"", not(iserror(vlookup($A964&amp;$B964,'5) Release_Track'!$F:$F&amp;'5) Release_Track'!$G:$G,1,0))),vlookup($A964&amp;$B964,{'5) Release_Track'!$F:$F&amp;'5) Release_Track'!$G:$G,'5) Release_Track'!$I:$I},2,0),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E964" s="150" t="b">
        <v>0</v>
      </c>
      <c r="F964" s="150" t="b">
        <v>0</v>
      </c>
      <c r="G964" s="150" t="b">
        <v>0</v>
      </c>
      <c r="H964" s="150" t="b">
        <v>0</v>
      </c>
      <c r="I964" s="150" t="b">
        <v>0</v>
      </c>
      <c r="J964" s="150" t="b">
        <v>0</v>
      </c>
      <c r="K964" s="150" t="b">
        <v>0</v>
      </c>
      <c r="L964" s="8" t="b">
        <v>0</v>
      </c>
    </row>
    <row r="965">
      <c r="B965" s="97"/>
      <c r="C965" s="121" t="str">
        <f t="array" ref="C965">ifs(and(isblank($A965),isblank($B965)),"", not(iserror(vlookup($A965&amp;$B965,'5) Release_Track'!$F:$F&amp;'5) Release_Track'!$G:$G,1,0))),vlookup($A965&amp;$B965,{'5) Release_Track'!$F:$F&amp;'5) Release_Track'!$G:$G,'5) Release_Track'!$H:$H},2,0),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D965" s="121" t="str">
        <f t="array" ref="D965">ifs(and(isblank($A965),isblank($B965)),"", not(iserror(vlookup($A965&amp;$B965,'5) Release_Track'!$F:$F&amp;'5) Release_Track'!$G:$G,1,0))),vlookup($A965&amp;$B965,{'5) Release_Track'!$F:$F&amp;'5) Release_Track'!$G:$G,'5) Release_Track'!$I:$I},2,0),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E965" s="150" t="b">
        <v>0</v>
      </c>
      <c r="F965" s="150" t="b">
        <v>0</v>
      </c>
      <c r="G965" s="150" t="b">
        <v>0</v>
      </c>
      <c r="H965" s="150" t="b">
        <v>0</v>
      </c>
      <c r="I965" s="150" t="b">
        <v>0</v>
      </c>
      <c r="J965" s="150" t="b">
        <v>0</v>
      </c>
      <c r="K965" s="150" t="b">
        <v>0</v>
      </c>
      <c r="L965" s="8" t="b">
        <v>0</v>
      </c>
    </row>
    <row r="966">
      <c r="B966" s="97"/>
      <c r="C966" s="121" t="str">
        <f t="array" ref="C966">ifs(and(isblank($A966),isblank($B966)),"", not(iserror(vlookup($A966&amp;$B966,'5) Release_Track'!$F:$F&amp;'5) Release_Track'!$G:$G,1,0))),vlookup($A966&amp;$B966,{'5) Release_Track'!$F:$F&amp;'5) Release_Track'!$G:$G,'5) Release_Track'!$H:$H},2,0),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D966" s="121" t="str">
        <f t="array" ref="D966">ifs(and(isblank($A966),isblank($B966)),"", not(iserror(vlookup($A966&amp;$B966,'5) Release_Track'!$F:$F&amp;'5) Release_Track'!$G:$G,1,0))),vlookup($A966&amp;$B966,{'5) Release_Track'!$F:$F&amp;'5) Release_Track'!$G:$G,'5) Release_Track'!$I:$I},2,0),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E966" s="150" t="b">
        <v>0</v>
      </c>
      <c r="F966" s="150" t="b">
        <v>0</v>
      </c>
      <c r="G966" s="150" t="b">
        <v>0</v>
      </c>
      <c r="H966" s="150" t="b">
        <v>0</v>
      </c>
      <c r="I966" s="150" t="b">
        <v>0</v>
      </c>
      <c r="J966" s="150" t="b">
        <v>0</v>
      </c>
      <c r="K966" s="150" t="b">
        <v>0</v>
      </c>
      <c r="L966" s="8" t="b">
        <v>0</v>
      </c>
    </row>
    <row r="967">
      <c r="B967" s="97"/>
      <c r="C967" s="121" t="str">
        <f t="array" ref="C967">ifs(and(isblank($A967),isblank($B967)),"", not(iserror(vlookup($A967&amp;$B967,'5) Release_Track'!$F:$F&amp;'5) Release_Track'!$G:$G,1,0))),vlookup($A967&amp;$B967,{'5) Release_Track'!$F:$F&amp;'5) Release_Track'!$G:$G,'5) Release_Track'!$H:$H},2,0),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D967" s="121" t="str">
        <f t="array" ref="D967">ifs(and(isblank($A967),isblank($B967)),"", not(iserror(vlookup($A967&amp;$B967,'5) Release_Track'!$F:$F&amp;'5) Release_Track'!$G:$G,1,0))),vlookup($A967&amp;$B967,{'5) Release_Track'!$F:$F&amp;'5) Release_Track'!$G:$G,'5) Release_Track'!$I:$I},2,0),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E967" s="150" t="b">
        <v>0</v>
      </c>
      <c r="F967" s="150" t="b">
        <v>0</v>
      </c>
      <c r="G967" s="150" t="b">
        <v>0</v>
      </c>
      <c r="H967" s="150" t="b">
        <v>0</v>
      </c>
      <c r="I967" s="150" t="b">
        <v>0</v>
      </c>
      <c r="J967" s="150" t="b">
        <v>0</v>
      </c>
      <c r="K967" s="150" t="b">
        <v>0</v>
      </c>
      <c r="L967" s="8" t="b">
        <v>0</v>
      </c>
    </row>
    <row r="968">
      <c r="B968" s="97"/>
      <c r="C968" s="121" t="str">
        <f t="array" ref="C968">ifs(and(isblank($A968),isblank($B968)),"", not(iserror(vlookup($A968&amp;$B968,'5) Release_Track'!$F:$F&amp;'5) Release_Track'!$G:$G,1,0))),vlookup($A968&amp;$B968,{'5) Release_Track'!$F:$F&amp;'5) Release_Track'!$G:$G,'5) Release_Track'!$H:$H},2,0),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D968" s="121" t="str">
        <f t="array" ref="D968">ifs(and(isblank($A968),isblank($B968)),"", not(iserror(vlookup($A968&amp;$B968,'5) Release_Track'!$F:$F&amp;'5) Release_Track'!$G:$G,1,0))),vlookup($A968&amp;$B968,{'5) Release_Track'!$F:$F&amp;'5) Release_Track'!$G:$G,'5) Release_Track'!$I:$I},2,0),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E968" s="150" t="b">
        <v>0</v>
      </c>
      <c r="F968" s="150" t="b">
        <v>0</v>
      </c>
      <c r="G968" s="150" t="b">
        <v>0</v>
      </c>
      <c r="H968" s="150" t="b">
        <v>0</v>
      </c>
      <c r="I968" s="150" t="b">
        <v>0</v>
      </c>
      <c r="J968" s="150" t="b">
        <v>0</v>
      </c>
      <c r="K968" s="150" t="b">
        <v>0</v>
      </c>
      <c r="L968" s="8" t="b">
        <v>0</v>
      </c>
    </row>
    <row r="969">
      <c r="B969" s="97"/>
      <c r="C969" s="121" t="str">
        <f t="array" ref="C969">ifs(and(isblank($A969),isblank($B969)),"", not(iserror(vlookup($A969&amp;$B969,'5) Release_Track'!$F:$F&amp;'5) Release_Track'!$G:$G,1,0))),vlookup($A969&amp;$B969,{'5) Release_Track'!$F:$F&amp;'5) Release_Track'!$G:$G,'5) Release_Track'!$H:$H},2,0),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D969" s="121" t="str">
        <f t="array" ref="D969">ifs(and(isblank($A969),isblank($B969)),"", not(iserror(vlookup($A969&amp;$B969,'5) Release_Track'!$F:$F&amp;'5) Release_Track'!$G:$G,1,0))),vlookup($A969&amp;$B969,{'5) Release_Track'!$F:$F&amp;'5) Release_Track'!$G:$G,'5) Release_Track'!$I:$I},2,0),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E969" s="150" t="b">
        <v>0</v>
      </c>
      <c r="F969" s="150" t="b">
        <v>0</v>
      </c>
      <c r="G969" s="150" t="b">
        <v>0</v>
      </c>
      <c r="H969" s="150" t="b">
        <v>0</v>
      </c>
      <c r="I969" s="150" t="b">
        <v>0</v>
      </c>
      <c r="J969" s="150" t="b">
        <v>0</v>
      </c>
      <c r="K969" s="150" t="b">
        <v>0</v>
      </c>
      <c r="L969" s="8" t="b">
        <v>0</v>
      </c>
    </row>
    <row r="970">
      <c r="B970" s="97"/>
      <c r="C970" s="121" t="str">
        <f t="array" ref="C970">ifs(and(isblank($A970),isblank($B970)),"", not(iserror(vlookup($A970&amp;$B970,'5) Release_Track'!$F:$F&amp;'5) Release_Track'!$G:$G,1,0))),vlookup($A970&amp;$B970,{'5) Release_Track'!$F:$F&amp;'5) Release_Track'!$G:$G,'5) Release_Track'!$H:$H},2,0),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D970" s="121" t="str">
        <f t="array" ref="D970">ifs(and(isblank($A970),isblank($B970)),"", not(iserror(vlookup($A970&amp;$B970,'5) Release_Track'!$F:$F&amp;'5) Release_Track'!$G:$G,1,0))),vlookup($A970&amp;$B970,{'5) Release_Track'!$F:$F&amp;'5) Release_Track'!$G:$G,'5) Release_Track'!$I:$I},2,0),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E970" s="150" t="b">
        <v>0</v>
      </c>
      <c r="F970" s="150" t="b">
        <v>0</v>
      </c>
      <c r="G970" s="150" t="b">
        <v>0</v>
      </c>
      <c r="H970" s="150" t="b">
        <v>0</v>
      </c>
      <c r="I970" s="150" t="b">
        <v>0</v>
      </c>
      <c r="J970" s="150" t="b">
        <v>0</v>
      </c>
      <c r="K970" s="150" t="b">
        <v>0</v>
      </c>
      <c r="L970" s="8" t="b">
        <v>0</v>
      </c>
    </row>
    <row r="971">
      <c r="B971" s="97"/>
      <c r="C971" s="121" t="str">
        <f t="array" ref="C971">ifs(and(isblank($A971),isblank($B971)),"", not(iserror(vlookup($A971&amp;$B971,'5) Release_Track'!$F:$F&amp;'5) Release_Track'!$G:$G,1,0))),vlookup($A971&amp;$B971,{'5) Release_Track'!$F:$F&amp;'5) Release_Track'!$G:$G,'5) Release_Track'!$H:$H},2,0),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D971" s="121" t="str">
        <f t="array" ref="D971">ifs(and(isblank($A971),isblank($B971)),"", not(iserror(vlookup($A971&amp;$B971,'5) Release_Track'!$F:$F&amp;'5) Release_Track'!$G:$G,1,0))),vlookup($A971&amp;$B971,{'5) Release_Track'!$F:$F&amp;'5) Release_Track'!$G:$G,'5) Release_Track'!$I:$I},2,0),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E971" s="150" t="b">
        <v>0</v>
      </c>
      <c r="F971" s="150" t="b">
        <v>0</v>
      </c>
      <c r="G971" s="150" t="b">
        <v>0</v>
      </c>
      <c r="H971" s="150" t="b">
        <v>0</v>
      </c>
      <c r="I971" s="150" t="b">
        <v>0</v>
      </c>
      <c r="J971" s="150" t="b">
        <v>0</v>
      </c>
      <c r="K971" s="150" t="b">
        <v>0</v>
      </c>
      <c r="L971" s="8" t="b">
        <v>0</v>
      </c>
    </row>
    <row r="972">
      <c r="B972" s="97"/>
      <c r="C972" s="121" t="str">
        <f t="array" ref="C972">ifs(and(isblank($A972),isblank($B972)),"", not(iserror(vlookup($A972&amp;$B972,'5) Release_Track'!$F:$F&amp;'5) Release_Track'!$G:$G,1,0))),vlookup($A972&amp;$B972,{'5) Release_Track'!$F:$F&amp;'5) Release_Track'!$G:$G,'5) Release_Track'!$H:$H},2,0),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D972" s="121" t="str">
        <f t="array" ref="D972">ifs(and(isblank($A972),isblank($B972)),"", not(iserror(vlookup($A972&amp;$B972,'5) Release_Track'!$F:$F&amp;'5) Release_Track'!$G:$G,1,0))),vlookup($A972&amp;$B972,{'5) Release_Track'!$F:$F&amp;'5) Release_Track'!$G:$G,'5) Release_Track'!$I:$I},2,0),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E972" s="150" t="b">
        <v>0</v>
      </c>
      <c r="F972" s="150" t="b">
        <v>0</v>
      </c>
      <c r="G972" s="150" t="b">
        <v>0</v>
      </c>
      <c r="H972" s="150" t="b">
        <v>0</v>
      </c>
      <c r="I972" s="150" t="b">
        <v>0</v>
      </c>
      <c r="J972" s="150" t="b">
        <v>0</v>
      </c>
      <c r="K972" s="150" t="b">
        <v>0</v>
      </c>
      <c r="L972" s="8" t="b">
        <v>0</v>
      </c>
    </row>
    <row r="973">
      <c r="B973" s="97"/>
      <c r="C973" s="121" t="str">
        <f t="array" ref="C973">ifs(and(isblank($A973),isblank($B973)),"", not(iserror(vlookup($A973&amp;$B973,'5) Release_Track'!$F:$F&amp;'5) Release_Track'!$G:$G,1,0))),vlookup($A973&amp;$B973,{'5) Release_Track'!$F:$F&amp;'5) Release_Track'!$G:$G,'5) Release_Track'!$H:$H},2,0),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D973" s="121" t="str">
        <f t="array" ref="D973">ifs(and(isblank($A973),isblank($B973)),"", not(iserror(vlookup($A973&amp;$B973,'5) Release_Track'!$F:$F&amp;'5) Release_Track'!$G:$G,1,0))),vlookup($A973&amp;$B973,{'5) Release_Track'!$F:$F&amp;'5) Release_Track'!$G:$G,'5) Release_Track'!$I:$I},2,0),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E973" s="150" t="b">
        <v>0</v>
      </c>
      <c r="F973" s="150" t="b">
        <v>0</v>
      </c>
      <c r="G973" s="150" t="b">
        <v>0</v>
      </c>
      <c r="H973" s="150" t="b">
        <v>0</v>
      </c>
      <c r="I973" s="150" t="b">
        <v>0</v>
      </c>
      <c r="J973" s="150" t="b">
        <v>0</v>
      </c>
      <c r="K973" s="150" t="b">
        <v>0</v>
      </c>
      <c r="L973" s="8" t="b">
        <v>0</v>
      </c>
    </row>
    <row r="974">
      <c r="B974" s="97"/>
      <c r="C974" s="121" t="str">
        <f t="array" ref="C974">ifs(and(isblank($A974),isblank($B974)),"", not(iserror(vlookup($A974&amp;$B974,'5) Release_Track'!$F:$F&amp;'5) Release_Track'!$G:$G,1,0))),vlookup($A974&amp;$B974,{'5) Release_Track'!$F:$F&amp;'5) Release_Track'!$G:$G,'5) Release_Track'!$H:$H},2,0),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D974" s="121" t="str">
        <f t="array" ref="D974">ifs(and(isblank($A974),isblank($B974)),"", not(iserror(vlookup($A974&amp;$B974,'5) Release_Track'!$F:$F&amp;'5) Release_Track'!$G:$G,1,0))),vlookup($A974&amp;$B974,{'5) Release_Track'!$F:$F&amp;'5) Release_Track'!$G:$G,'5) Release_Track'!$I:$I},2,0),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E974" s="150" t="b">
        <v>0</v>
      </c>
      <c r="F974" s="150" t="b">
        <v>0</v>
      </c>
      <c r="G974" s="150" t="b">
        <v>0</v>
      </c>
      <c r="H974" s="150" t="b">
        <v>0</v>
      </c>
      <c r="I974" s="150" t="b">
        <v>0</v>
      </c>
      <c r="J974" s="150" t="b">
        <v>0</v>
      </c>
      <c r="K974" s="150" t="b">
        <v>0</v>
      </c>
      <c r="L974" s="8" t="b">
        <v>0</v>
      </c>
    </row>
    <row r="975">
      <c r="B975" s="97"/>
      <c r="C975" s="121" t="str">
        <f t="array" ref="C975">ifs(and(isblank($A975),isblank($B975)),"", not(iserror(vlookup($A975&amp;$B975,'5) Release_Track'!$F:$F&amp;'5) Release_Track'!$G:$G,1,0))),vlookup($A975&amp;$B975,{'5) Release_Track'!$F:$F&amp;'5) Release_Track'!$G:$G,'5) Release_Track'!$H:$H},2,0),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D975" s="121" t="str">
        <f t="array" ref="D975">ifs(and(isblank($A975),isblank($B975)),"", not(iserror(vlookup($A975&amp;$B975,'5) Release_Track'!$F:$F&amp;'5) Release_Track'!$G:$G,1,0))),vlookup($A975&amp;$B975,{'5) Release_Track'!$F:$F&amp;'5) Release_Track'!$G:$G,'5) Release_Track'!$I:$I},2,0),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E975" s="150" t="b">
        <v>0</v>
      </c>
      <c r="F975" s="150" t="b">
        <v>0</v>
      </c>
      <c r="G975" s="150" t="b">
        <v>0</v>
      </c>
      <c r="H975" s="150" t="b">
        <v>0</v>
      </c>
      <c r="I975" s="150" t="b">
        <v>0</v>
      </c>
      <c r="J975" s="150" t="b">
        <v>0</v>
      </c>
      <c r="K975" s="150" t="b">
        <v>0</v>
      </c>
      <c r="L975" s="8" t="b">
        <v>0</v>
      </c>
    </row>
    <row r="976">
      <c r="B976" s="97"/>
      <c r="C976" s="121" t="str">
        <f t="array" ref="C976">ifs(and(isblank($A976),isblank($B976)),"", not(iserror(vlookup($A976&amp;$B976,'5) Release_Track'!$F:$F&amp;'5) Release_Track'!$G:$G,1,0))),vlookup($A976&amp;$B976,{'5) Release_Track'!$F:$F&amp;'5) Release_Track'!$G:$G,'5) Release_Track'!$H:$H},2,0),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D976" s="121" t="str">
        <f t="array" ref="D976">ifs(and(isblank($A976),isblank($B976)),"", not(iserror(vlookup($A976&amp;$B976,'5) Release_Track'!$F:$F&amp;'5) Release_Track'!$G:$G,1,0))),vlookup($A976&amp;$B976,{'5) Release_Track'!$F:$F&amp;'5) Release_Track'!$G:$G,'5) Release_Track'!$I:$I},2,0),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E976" s="150" t="b">
        <v>0</v>
      </c>
      <c r="F976" s="150" t="b">
        <v>0</v>
      </c>
      <c r="G976" s="150" t="b">
        <v>0</v>
      </c>
      <c r="H976" s="150" t="b">
        <v>0</v>
      </c>
      <c r="I976" s="150" t="b">
        <v>0</v>
      </c>
      <c r="J976" s="150" t="b">
        <v>0</v>
      </c>
      <c r="K976" s="150" t="b">
        <v>0</v>
      </c>
      <c r="L976" s="8" t="b">
        <v>0</v>
      </c>
    </row>
    <row r="977">
      <c r="B977" s="97"/>
      <c r="C977" s="121" t="str">
        <f t="array" ref="C977">ifs(and(isblank($A977),isblank($B977)),"", not(iserror(vlookup($A977&amp;$B977,'5) Release_Track'!$F:$F&amp;'5) Release_Track'!$G:$G,1,0))),vlookup($A977&amp;$B977,{'5) Release_Track'!$F:$F&amp;'5) Release_Track'!$G:$G,'5) Release_Track'!$H:$H},2,0),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D977" s="121" t="str">
        <f t="array" ref="D977">ifs(and(isblank($A977),isblank($B977)),"", not(iserror(vlookup($A977&amp;$B977,'5) Release_Track'!$F:$F&amp;'5) Release_Track'!$G:$G,1,0))),vlookup($A977&amp;$B977,{'5) Release_Track'!$F:$F&amp;'5) Release_Track'!$G:$G,'5) Release_Track'!$I:$I},2,0),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E977" s="150" t="b">
        <v>0</v>
      </c>
      <c r="F977" s="150" t="b">
        <v>0</v>
      </c>
      <c r="G977" s="150" t="b">
        <v>0</v>
      </c>
      <c r="H977" s="150" t="b">
        <v>0</v>
      </c>
      <c r="I977" s="150" t="b">
        <v>0</v>
      </c>
      <c r="J977" s="150" t="b">
        <v>0</v>
      </c>
      <c r="K977" s="150" t="b">
        <v>0</v>
      </c>
      <c r="L977" s="8" t="b">
        <v>0</v>
      </c>
    </row>
    <row r="978">
      <c r="B978" s="97"/>
      <c r="C978" s="121" t="str">
        <f t="array" ref="C978">ifs(and(isblank($A978),isblank($B978)),"", not(iserror(vlookup($A978&amp;$B978,'5) Release_Track'!$F:$F&amp;'5) Release_Track'!$G:$G,1,0))),vlookup($A978&amp;$B978,{'5) Release_Track'!$F:$F&amp;'5) Release_Track'!$G:$G,'5) Release_Track'!$H:$H},2,0),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D978" s="121" t="str">
        <f t="array" ref="D978">ifs(and(isblank($A978),isblank($B978)),"", not(iserror(vlookup($A978&amp;$B978,'5) Release_Track'!$F:$F&amp;'5) Release_Track'!$G:$G,1,0))),vlookup($A978&amp;$B978,{'5) Release_Track'!$F:$F&amp;'5) Release_Track'!$G:$G,'5) Release_Track'!$I:$I},2,0),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E978" s="150" t="b">
        <v>0</v>
      </c>
      <c r="F978" s="150" t="b">
        <v>0</v>
      </c>
      <c r="G978" s="150" t="b">
        <v>0</v>
      </c>
      <c r="H978" s="150" t="b">
        <v>0</v>
      </c>
      <c r="I978" s="150" t="b">
        <v>0</v>
      </c>
      <c r="J978" s="150" t="b">
        <v>0</v>
      </c>
      <c r="K978" s="150" t="b">
        <v>0</v>
      </c>
      <c r="L978" s="8" t="b">
        <v>0</v>
      </c>
    </row>
    <row r="979">
      <c r="B979" s="97"/>
      <c r="C979" s="121" t="str">
        <f t="array" ref="C979">ifs(and(isblank($A979),isblank($B979)),"", not(iserror(vlookup($A979&amp;$B979,'5) Release_Track'!$F:$F&amp;'5) Release_Track'!$G:$G,1,0))),vlookup($A979&amp;$B979,{'5) Release_Track'!$F:$F&amp;'5) Release_Track'!$G:$G,'5) Release_Track'!$H:$H},2,0),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D979" s="121" t="str">
        <f t="array" ref="D979">ifs(and(isblank($A979),isblank($B979)),"", not(iserror(vlookup($A979&amp;$B979,'5) Release_Track'!$F:$F&amp;'5) Release_Track'!$G:$G,1,0))),vlookup($A979&amp;$B979,{'5) Release_Track'!$F:$F&amp;'5) Release_Track'!$G:$G,'5) Release_Track'!$I:$I},2,0),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E979" s="150" t="b">
        <v>0</v>
      </c>
      <c r="F979" s="150" t="b">
        <v>0</v>
      </c>
      <c r="G979" s="150" t="b">
        <v>0</v>
      </c>
      <c r="H979" s="150" t="b">
        <v>0</v>
      </c>
      <c r="I979" s="150" t="b">
        <v>0</v>
      </c>
      <c r="J979" s="150" t="b">
        <v>0</v>
      </c>
      <c r="K979" s="150" t="b">
        <v>0</v>
      </c>
      <c r="L979" s="8" t="b">
        <v>0</v>
      </c>
    </row>
    <row r="980">
      <c r="B980" s="97"/>
      <c r="C980" s="121" t="str">
        <f t="array" ref="C980">ifs(and(isblank($A980),isblank($B980)),"", not(iserror(vlookup($A980&amp;$B980,'5) Release_Track'!$F:$F&amp;'5) Release_Track'!$G:$G,1,0))),vlookup($A980&amp;$B980,{'5) Release_Track'!$F:$F&amp;'5) Release_Track'!$G:$G,'5) Release_Track'!$H:$H},2,0),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D980" s="121" t="str">
        <f t="array" ref="D980">ifs(and(isblank($A980),isblank($B980)),"", not(iserror(vlookup($A980&amp;$B980,'5) Release_Track'!$F:$F&amp;'5) Release_Track'!$G:$G,1,0))),vlookup($A980&amp;$B980,{'5) Release_Track'!$F:$F&amp;'5) Release_Track'!$G:$G,'5) Release_Track'!$I:$I},2,0),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E980" s="150" t="b">
        <v>0</v>
      </c>
      <c r="F980" s="150" t="b">
        <v>0</v>
      </c>
      <c r="G980" s="150" t="b">
        <v>0</v>
      </c>
      <c r="H980" s="150" t="b">
        <v>0</v>
      </c>
      <c r="I980" s="150" t="b">
        <v>0</v>
      </c>
      <c r="J980" s="150" t="b">
        <v>0</v>
      </c>
      <c r="K980" s="150" t="b">
        <v>0</v>
      </c>
      <c r="L980" s="8" t="b">
        <v>0</v>
      </c>
    </row>
    <row r="981">
      <c r="B981" s="97"/>
      <c r="C981" s="121" t="str">
        <f t="array" ref="C981">ifs(and(isblank($A981),isblank($B981)),"", not(iserror(vlookup($A981&amp;$B981,'5) Release_Track'!$F:$F&amp;'5) Release_Track'!$G:$G,1,0))),vlookup($A981&amp;$B981,{'5) Release_Track'!$F:$F&amp;'5) Release_Track'!$G:$G,'5) Release_Track'!$H:$H},2,0),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D981" s="121" t="str">
        <f t="array" ref="D981">ifs(and(isblank($A981),isblank($B981)),"", not(iserror(vlookup($A981&amp;$B981,'5) Release_Track'!$F:$F&amp;'5) Release_Track'!$G:$G,1,0))),vlookup($A981&amp;$B981,{'5) Release_Track'!$F:$F&amp;'5) Release_Track'!$G:$G,'5) Release_Track'!$I:$I},2,0),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E981" s="150" t="b">
        <v>0</v>
      </c>
      <c r="F981" s="150" t="b">
        <v>0</v>
      </c>
      <c r="G981" s="150" t="b">
        <v>0</v>
      </c>
      <c r="H981" s="150" t="b">
        <v>0</v>
      </c>
      <c r="I981" s="150" t="b">
        <v>0</v>
      </c>
      <c r="J981" s="150" t="b">
        <v>0</v>
      </c>
      <c r="K981" s="150" t="b">
        <v>0</v>
      </c>
      <c r="L981" s="8" t="b">
        <v>0</v>
      </c>
    </row>
    <row r="982">
      <c r="B982" s="97"/>
      <c r="C982" s="121" t="str">
        <f t="array" ref="C982">ifs(and(isblank($A982),isblank($B982)),"", not(iserror(vlookup($A982&amp;$B982,'5) Release_Track'!$F:$F&amp;'5) Release_Track'!$G:$G,1,0))),vlookup($A982&amp;$B982,{'5) Release_Track'!$F:$F&amp;'5) Release_Track'!$G:$G,'5) Release_Track'!$H:$H},2,0),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D982" s="121" t="str">
        <f t="array" ref="D982">ifs(and(isblank($A982),isblank($B982)),"", not(iserror(vlookup($A982&amp;$B982,'5) Release_Track'!$F:$F&amp;'5) Release_Track'!$G:$G,1,0))),vlookup($A982&amp;$B982,{'5) Release_Track'!$F:$F&amp;'5) Release_Track'!$G:$G,'5) Release_Track'!$I:$I},2,0),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E982" s="150" t="b">
        <v>0</v>
      </c>
      <c r="F982" s="150" t="b">
        <v>0</v>
      </c>
      <c r="G982" s="150" t="b">
        <v>0</v>
      </c>
      <c r="H982" s="150" t="b">
        <v>0</v>
      </c>
      <c r="I982" s="150" t="b">
        <v>0</v>
      </c>
      <c r="J982" s="150" t="b">
        <v>0</v>
      </c>
      <c r="K982" s="150" t="b">
        <v>0</v>
      </c>
      <c r="L982" s="8" t="b">
        <v>0</v>
      </c>
    </row>
    <row r="983">
      <c r="B983" s="97"/>
      <c r="C983" s="121" t="str">
        <f t="array" ref="C983">ifs(and(isblank($A983),isblank($B983)),"", not(iserror(vlookup($A983&amp;$B983,'5) Release_Track'!$F:$F&amp;'5) Release_Track'!$G:$G,1,0))),vlookup($A983&amp;$B983,{'5) Release_Track'!$F:$F&amp;'5) Release_Track'!$G:$G,'5) Release_Track'!$H:$H},2,0),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D983" s="121" t="str">
        <f t="array" ref="D983">ifs(and(isblank($A983),isblank($B983)),"", not(iserror(vlookup($A983&amp;$B983,'5) Release_Track'!$F:$F&amp;'5) Release_Track'!$G:$G,1,0))),vlookup($A983&amp;$B983,{'5) Release_Track'!$F:$F&amp;'5) Release_Track'!$G:$G,'5) Release_Track'!$I:$I},2,0),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E983" s="150" t="b">
        <v>0</v>
      </c>
      <c r="F983" s="150" t="b">
        <v>0</v>
      </c>
      <c r="G983" s="150" t="b">
        <v>0</v>
      </c>
      <c r="H983" s="150" t="b">
        <v>0</v>
      </c>
      <c r="I983" s="150" t="b">
        <v>0</v>
      </c>
      <c r="J983" s="150" t="b">
        <v>0</v>
      </c>
      <c r="K983" s="150" t="b">
        <v>0</v>
      </c>
      <c r="L983" s="8" t="b">
        <v>0</v>
      </c>
    </row>
    <row r="984">
      <c r="B984" s="97"/>
      <c r="C984" s="121" t="str">
        <f t="array" ref="C984">ifs(and(isblank($A984),isblank($B984)),"", not(iserror(vlookup($A984&amp;$B984,'5) Release_Track'!$F:$F&amp;'5) Release_Track'!$G:$G,1,0))),vlookup($A984&amp;$B984,{'5) Release_Track'!$F:$F&amp;'5) Release_Track'!$G:$G,'5) Release_Track'!$H:$H},2,0),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D984" s="121" t="str">
        <f t="array" ref="D984">ifs(and(isblank($A984),isblank($B984)),"", not(iserror(vlookup($A984&amp;$B984,'5) Release_Track'!$F:$F&amp;'5) Release_Track'!$G:$G,1,0))),vlookup($A984&amp;$B984,{'5) Release_Track'!$F:$F&amp;'5) Release_Track'!$G:$G,'5) Release_Track'!$I:$I},2,0),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E984" s="150" t="b">
        <v>0</v>
      </c>
      <c r="F984" s="150" t="b">
        <v>0</v>
      </c>
      <c r="G984" s="150" t="b">
        <v>0</v>
      </c>
      <c r="H984" s="150" t="b">
        <v>0</v>
      </c>
      <c r="I984" s="150" t="b">
        <v>0</v>
      </c>
      <c r="J984" s="150" t="b">
        <v>0</v>
      </c>
      <c r="K984" s="150" t="b">
        <v>0</v>
      </c>
      <c r="L984" s="8" t="b">
        <v>0</v>
      </c>
    </row>
    <row r="985">
      <c r="B985" s="97"/>
      <c r="C985" s="121" t="str">
        <f t="array" ref="C985">ifs(and(isblank($A985),isblank($B985)),"", not(iserror(vlookup($A985&amp;$B985,'5) Release_Track'!$F:$F&amp;'5) Release_Track'!$G:$G,1,0))),vlookup($A985&amp;$B985,{'5) Release_Track'!$F:$F&amp;'5) Release_Track'!$G:$G,'5) Release_Track'!$H:$H},2,0),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D985" s="121" t="str">
        <f t="array" ref="D985">ifs(and(isblank($A985),isblank($B985)),"", not(iserror(vlookup($A985&amp;$B985,'5) Release_Track'!$F:$F&amp;'5) Release_Track'!$G:$G,1,0))),vlookup($A985&amp;$B985,{'5) Release_Track'!$F:$F&amp;'5) Release_Track'!$G:$G,'5) Release_Track'!$I:$I},2,0),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E985" s="150" t="b">
        <v>0</v>
      </c>
      <c r="F985" s="150" t="b">
        <v>0</v>
      </c>
      <c r="G985" s="150" t="b">
        <v>0</v>
      </c>
      <c r="H985" s="150" t="b">
        <v>0</v>
      </c>
      <c r="I985" s="150" t="b">
        <v>0</v>
      </c>
      <c r="J985" s="150" t="b">
        <v>0</v>
      </c>
      <c r="K985" s="150" t="b">
        <v>0</v>
      </c>
      <c r="L985" s="8" t="b">
        <v>0</v>
      </c>
    </row>
    <row r="986">
      <c r="B986" s="97"/>
      <c r="C986" s="121" t="str">
        <f t="array" ref="C986">ifs(and(isblank($A986),isblank($B986)),"", not(iserror(vlookup($A986&amp;$B986,'5) Release_Track'!$F:$F&amp;'5) Release_Track'!$G:$G,1,0))),vlookup($A986&amp;$B986,{'5) Release_Track'!$F:$F&amp;'5) Release_Track'!$G:$G,'5) Release_Track'!$H:$H},2,0),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D986" s="121" t="str">
        <f t="array" ref="D986">ifs(and(isblank($A986),isblank($B986)),"", not(iserror(vlookup($A986&amp;$B986,'5) Release_Track'!$F:$F&amp;'5) Release_Track'!$G:$G,1,0))),vlookup($A986&amp;$B986,{'5) Release_Track'!$F:$F&amp;'5) Release_Track'!$G:$G,'5) Release_Track'!$I:$I},2,0),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E986" s="150" t="b">
        <v>0</v>
      </c>
      <c r="F986" s="150" t="b">
        <v>0</v>
      </c>
      <c r="G986" s="150" t="b">
        <v>0</v>
      </c>
      <c r="H986" s="150" t="b">
        <v>0</v>
      </c>
      <c r="I986" s="150" t="b">
        <v>0</v>
      </c>
      <c r="J986" s="150" t="b">
        <v>0</v>
      </c>
      <c r="K986" s="150" t="b">
        <v>0</v>
      </c>
      <c r="L986" s="8" t="b">
        <v>0</v>
      </c>
    </row>
    <row r="987">
      <c r="B987" s="97"/>
      <c r="C987" s="121" t="str">
        <f t="array" ref="C987">ifs(and(isblank($A987),isblank($B987)),"", not(iserror(vlookup($A987&amp;$B987,'5) Release_Track'!$F:$F&amp;'5) Release_Track'!$G:$G,1,0))),vlookup($A987&amp;$B987,{'5) Release_Track'!$F:$F&amp;'5) Release_Track'!$G:$G,'5) Release_Track'!$H:$H},2,0),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D987" s="121" t="str">
        <f t="array" ref="D987">ifs(and(isblank($A987),isblank($B987)),"", not(iserror(vlookup($A987&amp;$B987,'5) Release_Track'!$F:$F&amp;'5) Release_Track'!$G:$G,1,0))),vlookup($A987&amp;$B987,{'5) Release_Track'!$F:$F&amp;'5) Release_Track'!$G:$G,'5) Release_Track'!$I:$I},2,0),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E987" s="150" t="b">
        <v>0</v>
      </c>
      <c r="F987" s="150" t="b">
        <v>0</v>
      </c>
      <c r="G987" s="150" t="b">
        <v>0</v>
      </c>
      <c r="H987" s="150" t="b">
        <v>0</v>
      </c>
      <c r="I987" s="150" t="b">
        <v>0</v>
      </c>
      <c r="J987" s="150" t="b">
        <v>0</v>
      </c>
      <c r="K987" s="150" t="b">
        <v>0</v>
      </c>
      <c r="L987" s="8" t="b">
        <v>0</v>
      </c>
    </row>
    <row r="988">
      <c r="B988" s="97"/>
      <c r="C988" s="121" t="str">
        <f t="array" ref="C988">ifs(and(isblank($A988),isblank($B988)),"", not(iserror(vlookup($A988&amp;$B988,'5) Release_Track'!$F:$F&amp;'5) Release_Track'!$G:$G,1,0))),vlookup($A988&amp;$B988,{'5) Release_Track'!$F:$F&amp;'5) Release_Track'!$G:$G,'5) Release_Track'!$H:$H},2,0),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D988" s="121" t="str">
        <f t="array" ref="D988">ifs(and(isblank($A988),isblank($B988)),"", not(iserror(vlookup($A988&amp;$B988,'5) Release_Track'!$F:$F&amp;'5) Release_Track'!$G:$G,1,0))),vlookup($A988&amp;$B988,{'5) Release_Track'!$F:$F&amp;'5) Release_Track'!$G:$G,'5) Release_Track'!$I:$I},2,0),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E988" s="150" t="b">
        <v>0</v>
      </c>
      <c r="F988" s="150" t="b">
        <v>0</v>
      </c>
      <c r="G988" s="150" t="b">
        <v>0</v>
      </c>
      <c r="H988" s="150" t="b">
        <v>0</v>
      </c>
      <c r="I988" s="150" t="b">
        <v>0</v>
      </c>
      <c r="J988" s="150" t="b">
        <v>0</v>
      </c>
      <c r="K988" s="150" t="b">
        <v>0</v>
      </c>
      <c r="L988" s="8" t="b">
        <v>0</v>
      </c>
    </row>
    <row r="989">
      <c r="B989" s="97"/>
      <c r="C989" s="121" t="str">
        <f t="array" ref="C989">ifs(and(isblank($A989),isblank($B989)),"", not(iserror(vlookup($A989&amp;$B989,'5) Release_Track'!$F:$F&amp;'5) Release_Track'!$G:$G,1,0))),vlookup($A989&amp;$B989,{'5) Release_Track'!$F:$F&amp;'5) Release_Track'!$G:$G,'5) Release_Track'!$H:$H},2,0),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D989" s="121" t="str">
        <f t="array" ref="D989">ifs(and(isblank($A989),isblank($B989)),"", not(iserror(vlookup($A989&amp;$B989,'5) Release_Track'!$F:$F&amp;'5) Release_Track'!$G:$G,1,0))),vlookup($A989&amp;$B989,{'5) Release_Track'!$F:$F&amp;'5) Release_Track'!$G:$G,'5) Release_Track'!$I:$I},2,0),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E989" s="150" t="b">
        <v>0</v>
      </c>
      <c r="F989" s="150" t="b">
        <v>0</v>
      </c>
      <c r="G989" s="150" t="b">
        <v>0</v>
      </c>
      <c r="H989" s="150" t="b">
        <v>0</v>
      </c>
      <c r="I989" s="150" t="b">
        <v>0</v>
      </c>
      <c r="J989" s="150" t="b">
        <v>0</v>
      </c>
      <c r="K989" s="150" t="b">
        <v>0</v>
      </c>
      <c r="L989" s="8" t="b">
        <v>0</v>
      </c>
    </row>
    <row r="990">
      <c r="B990" s="97"/>
      <c r="C990" s="121" t="str">
        <f t="array" ref="C990">ifs(and(isblank($A990),isblank($B990)),"", not(iserror(vlookup($A990&amp;$B990,'5) Release_Track'!$F:$F&amp;'5) Release_Track'!$G:$G,1,0))),vlookup($A990&amp;$B990,{'5) Release_Track'!$F:$F&amp;'5) Release_Track'!$G:$G,'5) Release_Track'!$H:$H},2,0),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D990" s="121" t="str">
        <f t="array" ref="D990">ifs(and(isblank($A990),isblank($B990)),"", not(iserror(vlookup($A990&amp;$B990,'5) Release_Track'!$F:$F&amp;'5) Release_Track'!$G:$G,1,0))),vlookup($A990&amp;$B990,{'5) Release_Track'!$F:$F&amp;'5) Release_Track'!$G:$G,'5) Release_Track'!$I:$I},2,0),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E990" s="150" t="b">
        <v>0</v>
      </c>
      <c r="F990" s="150" t="b">
        <v>0</v>
      </c>
      <c r="G990" s="150" t="b">
        <v>0</v>
      </c>
      <c r="H990" s="150" t="b">
        <v>0</v>
      </c>
      <c r="I990" s="150" t="b">
        <v>0</v>
      </c>
      <c r="J990" s="150" t="b">
        <v>0</v>
      </c>
      <c r="K990" s="150" t="b">
        <v>0</v>
      </c>
      <c r="L990" s="8" t="b">
        <v>0</v>
      </c>
    </row>
    <row r="991">
      <c r="B991" s="97"/>
      <c r="C991" s="121" t="str">
        <f t="array" ref="C991">ifs(and(isblank($A991),isblank($B991)),"", not(iserror(vlookup($A991&amp;$B991,'5) Release_Track'!$F:$F&amp;'5) Release_Track'!$G:$G,1,0))),vlookup($A991&amp;$B991,{'5) Release_Track'!$F:$F&amp;'5) Release_Track'!$G:$G,'5) Release_Track'!$H:$H},2,0),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D991" s="121" t="str">
        <f t="array" ref="D991">ifs(and(isblank($A991),isblank($B991)),"", not(iserror(vlookup($A991&amp;$B991,'5) Release_Track'!$F:$F&amp;'5) Release_Track'!$G:$G,1,0))),vlookup($A991&amp;$B991,{'5) Release_Track'!$F:$F&amp;'5) Release_Track'!$G:$G,'5) Release_Track'!$I:$I},2,0),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E991" s="150" t="b">
        <v>0</v>
      </c>
      <c r="F991" s="150" t="b">
        <v>0</v>
      </c>
      <c r="G991" s="150" t="b">
        <v>0</v>
      </c>
      <c r="H991" s="150" t="b">
        <v>0</v>
      </c>
      <c r="I991" s="150" t="b">
        <v>0</v>
      </c>
      <c r="J991" s="150" t="b">
        <v>0</v>
      </c>
      <c r="K991" s="150" t="b">
        <v>0</v>
      </c>
      <c r="L991" s="8" t="b">
        <v>0</v>
      </c>
    </row>
    <row r="992">
      <c r="B992" s="97"/>
      <c r="C992" s="121" t="str">
        <f t="array" ref="C992">ifs(and(isblank($A992),isblank($B992)),"", not(iserror(vlookup($A992&amp;$B992,'5) Release_Track'!$F:$F&amp;'5) Release_Track'!$G:$G,1,0))),vlookup($A992&amp;$B992,{'5) Release_Track'!$F:$F&amp;'5) Release_Track'!$G:$G,'5) Release_Track'!$H:$H},2,0),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D992" s="121" t="str">
        <f t="array" ref="D992">ifs(and(isblank($A992),isblank($B992)),"", not(iserror(vlookup($A992&amp;$B992,'5) Release_Track'!$F:$F&amp;'5) Release_Track'!$G:$G,1,0))),vlookup($A992&amp;$B992,{'5) Release_Track'!$F:$F&amp;'5) Release_Track'!$G:$G,'5) Release_Track'!$I:$I},2,0),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E992" s="150" t="b">
        <v>0</v>
      </c>
      <c r="F992" s="150" t="b">
        <v>0</v>
      </c>
      <c r="G992" s="150" t="b">
        <v>0</v>
      </c>
      <c r="H992" s="150" t="b">
        <v>0</v>
      </c>
      <c r="I992" s="150" t="b">
        <v>0</v>
      </c>
      <c r="J992" s="150" t="b">
        <v>0</v>
      </c>
      <c r="K992" s="150" t="b">
        <v>0</v>
      </c>
      <c r="L992" s="8" t="b">
        <v>0</v>
      </c>
    </row>
    <row r="993">
      <c r="B993" s="97"/>
      <c r="C993" s="121" t="str">
        <f t="array" ref="C993">ifs(and(isblank($A993),isblank($B993)),"", not(iserror(vlookup($A993&amp;$B993,'5) Release_Track'!$F:$F&amp;'5) Release_Track'!$G:$G,1,0))),vlookup($A993&amp;$B993,{'5) Release_Track'!$F:$F&amp;'5) Release_Track'!$G:$G,'5) Release_Track'!$H:$H},2,0),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D993" s="121" t="str">
        <f t="array" ref="D993">ifs(and(isblank($A993),isblank($B993)),"", not(iserror(vlookup($A993&amp;$B993,'5) Release_Track'!$F:$F&amp;'5) Release_Track'!$G:$G,1,0))),vlookup($A993&amp;$B993,{'5) Release_Track'!$F:$F&amp;'5) Release_Track'!$G:$G,'5) Release_Track'!$I:$I},2,0),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E993" s="150" t="b">
        <v>0</v>
      </c>
      <c r="F993" s="150" t="b">
        <v>0</v>
      </c>
      <c r="G993" s="150" t="b">
        <v>0</v>
      </c>
      <c r="H993" s="150" t="b">
        <v>0</v>
      </c>
      <c r="I993" s="150" t="b">
        <v>0</v>
      </c>
      <c r="J993" s="150" t="b">
        <v>0</v>
      </c>
      <c r="K993" s="150" t="b">
        <v>0</v>
      </c>
      <c r="L993" s="8" t="b">
        <v>0</v>
      </c>
    </row>
    <row r="994">
      <c r="B994" s="97"/>
      <c r="C994" s="121" t="str">
        <f t="array" ref="C994">ifs(and(isblank($A994),isblank($B994)),"", not(iserror(vlookup($A994&amp;$B994,'5) Release_Track'!$F:$F&amp;'5) Release_Track'!$G:$G,1,0))),vlookup($A994&amp;$B994,{'5) Release_Track'!$F:$F&amp;'5) Release_Track'!$G:$G,'5) Release_Track'!$H:$H},2,0),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D994" s="121" t="str">
        <f t="array" ref="D994">ifs(and(isblank($A994),isblank($B994)),"", not(iserror(vlookup($A994&amp;$B994,'5) Release_Track'!$F:$F&amp;'5) Release_Track'!$G:$G,1,0))),vlookup($A994&amp;$B994,{'5) Release_Track'!$F:$F&amp;'5) Release_Track'!$G:$G,'5) Release_Track'!$I:$I},2,0),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E994" s="150" t="b">
        <v>0</v>
      </c>
      <c r="F994" s="150" t="b">
        <v>0</v>
      </c>
      <c r="G994" s="150" t="b">
        <v>0</v>
      </c>
      <c r="H994" s="150" t="b">
        <v>0</v>
      </c>
      <c r="I994" s="150" t="b">
        <v>0</v>
      </c>
      <c r="J994" s="150" t="b">
        <v>0</v>
      </c>
      <c r="K994" s="150" t="b">
        <v>0</v>
      </c>
      <c r="L994" s="8" t="b">
        <v>0</v>
      </c>
    </row>
    <row r="995">
      <c r="B995" s="97"/>
      <c r="C995" s="121" t="str">
        <f t="array" ref="C995">ifs(and(isblank($A995),isblank($B995)),"", not(iserror(vlookup($A995&amp;$B995,'5) Release_Track'!$F:$F&amp;'5) Release_Track'!$G:$G,1,0))),vlookup($A995&amp;$B995,{'5) Release_Track'!$F:$F&amp;'5) Release_Track'!$G:$G,'5) Release_Track'!$H:$H},2,0),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D995" s="121" t="str">
        <f t="array" ref="D995">ifs(and(isblank($A995),isblank($B995)),"", not(iserror(vlookup($A995&amp;$B995,'5) Release_Track'!$F:$F&amp;'5) Release_Track'!$G:$G,1,0))),vlookup($A995&amp;$B995,{'5) Release_Track'!$F:$F&amp;'5) Release_Track'!$G:$G,'5) Release_Track'!$I:$I},2,0),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E995" s="150" t="b">
        <v>0</v>
      </c>
      <c r="F995" s="150" t="b">
        <v>0</v>
      </c>
      <c r="G995" s="150" t="b">
        <v>0</v>
      </c>
      <c r="H995" s="150" t="b">
        <v>0</v>
      </c>
      <c r="I995" s="150" t="b">
        <v>0</v>
      </c>
      <c r="J995" s="150" t="b">
        <v>0</v>
      </c>
      <c r="K995" s="150" t="b">
        <v>0</v>
      </c>
      <c r="L995" s="8" t="b">
        <v>0</v>
      </c>
    </row>
    <row r="996">
      <c r="B996" s="97"/>
      <c r="C996" s="121" t="str">
        <f t="array" ref="C996">ifs(and(isblank($A996),isblank($B996)),"", not(iserror(vlookup($A996&amp;$B996,'5) Release_Track'!$F:$F&amp;'5) Release_Track'!$G:$G,1,0))),vlookup($A996&amp;$B996,{'5) Release_Track'!$F:$F&amp;'5) Release_Track'!$G:$G,'5) Release_Track'!$H:$H},2,0),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D996" s="121" t="str">
        <f t="array" ref="D996">ifs(and(isblank($A996),isblank($B996)),"", not(iserror(vlookup($A996&amp;$B996,'5) Release_Track'!$F:$F&amp;'5) Release_Track'!$G:$G,1,0))),vlookup($A996&amp;$B996,{'5) Release_Track'!$F:$F&amp;'5) Release_Track'!$G:$G,'5) Release_Track'!$I:$I},2,0),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E996" s="150" t="b">
        <v>0</v>
      </c>
      <c r="F996" s="150" t="b">
        <v>0</v>
      </c>
      <c r="G996" s="150" t="b">
        <v>0</v>
      </c>
      <c r="H996" s="150" t="b">
        <v>0</v>
      </c>
      <c r="I996" s="150" t="b">
        <v>0</v>
      </c>
      <c r="J996" s="150" t="b">
        <v>0</v>
      </c>
      <c r="K996" s="150" t="b">
        <v>0</v>
      </c>
      <c r="L996" s="8" t="b">
        <v>0</v>
      </c>
    </row>
    <row r="997">
      <c r="B997" s="97"/>
      <c r="C997" s="121" t="str">
        <f t="array" ref="C997">ifs(and(isblank($A997),isblank($B997)),"", not(iserror(vlookup($A997&amp;$B997,'5) Release_Track'!$F:$F&amp;'5) Release_Track'!$G:$G,1,0))),vlookup($A997&amp;$B997,{'5) Release_Track'!$F:$F&amp;'5) Release_Track'!$G:$G,'5) Release_Track'!$H:$H},2,0),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D997" s="121" t="str">
        <f t="array" ref="D997">ifs(and(isblank($A997),isblank($B997)),"", not(iserror(vlookup($A997&amp;$B997,'5) Release_Track'!$F:$F&amp;'5) Release_Track'!$G:$G,1,0))),vlookup($A997&amp;$B997,{'5) Release_Track'!$F:$F&amp;'5) Release_Track'!$G:$G,'5) Release_Track'!$I:$I},2,0),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E997" s="150" t="b">
        <v>0</v>
      </c>
      <c r="F997" s="150" t="b">
        <v>0</v>
      </c>
      <c r="G997" s="150" t="b">
        <v>0</v>
      </c>
      <c r="H997" s="150" t="b">
        <v>0</v>
      </c>
      <c r="I997" s="150" t="b">
        <v>0</v>
      </c>
      <c r="J997" s="150" t="b">
        <v>0</v>
      </c>
      <c r="K997" s="150" t="b">
        <v>0</v>
      </c>
      <c r="L997" s="8" t="b">
        <v>0</v>
      </c>
    </row>
    <row r="998">
      <c r="B998" s="97"/>
      <c r="C998" s="121" t="str">
        <f t="array" ref="C998">ifs(and(isblank($A998),isblank($B998)),"", not(iserror(vlookup($A998&amp;$B998,'5) Release_Track'!$F:$F&amp;'5) Release_Track'!$G:$G,1,0))),vlookup($A998&amp;$B998,{'5) Release_Track'!$F:$F&amp;'5) Release_Track'!$G:$G,'5) Release_Track'!$H:$H},2,0),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D998" s="121" t="str">
        <f t="array" ref="D998">ifs(and(isblank($A998),isblank($B998)),"", not(iserror(vlookup($A998&amp;$B998,'5) Release_Track'!$F:$F&amp;'5) Release_Track'!$G:$G,1,0))),vlookup($A998&amp;$B998,{'5) Release_Track'!$F:$F&amp;'5) Release_Track'!$G:$G,'5) Release_Track'!$I:$I},2,0),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E998" s="150" t="b">
        <v>0</v>
      </c>
      <c r="F998" s="150" t="b">
        <v>0</v>
      </c>
      <c r="G998" s="150" t="b">
        <v>0</v>
      </c>
      <c r="H998" s="150" t="b">
        <v>0</v>
      </c>
      <c r="I998" s="150" t="b">
        <v>0</v>
      </c>
      <c r="J998" s="150" t="b">
        <v>0</v>
      </c>
      <c r="K998" s="150" t="b">
        <v>0</v>
      </c>
      <c r="L998" s="8" t="b">
        <v>0</v>
      </c>
    </row>
    <row r="999">
      <c r="B999" s="97"/>
      <c r="C999" s="121" t="str">
        <f t="array" ref="C999">ifs(and(isblank($A999),isblank($B999)),"", not(iserror(vlookup($A999&amp;$B999,'5) Release_Track'!$F:$F&amp;'5) Release_Track'!$G:$G,1,0))),vlookup($A999&amp;$B999,{'5) Release_Track'!$F:$F&amp;'5) Release_Track'!$G:$G,'5) Release_Track'!$H:$H},2,0),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D999" s="121" t="str">
        <f t="array" ref="D999">ifs(and(isblank($A999),isblank($B999)),"", not(iserror(vlookup($A999&amp;$B999,'5) Release_Track'!$F:$F&amp;'5) Release_Track'!$G:$G,1,0))),vlookup($A999&amp;$B999,{'5) Release_Track'!$F:$F&amp;'5) Release_Track'!$G:$G,'5) Release_Track'!$I:$I},2,0),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E999" s="150" t="b">
        <v>0</v>
      </c>
      <c r="F999" s="150" t="b">
        <v>0</v>
      </c>
      <c r="G999" s="150" t="b">
        <v>0</v>
      </c>
      <c r="H999" s="150" t="b">
        <v>0</v>
      </c>
      <c r="I999" s="150" t="b">
        <v>0</v>
      </c>
      <c r="J999" s="150" t="b">
        <v>0</v>
      </c>
      <c r="K999" s="150" t="b">
        <v>0</v>
      </c>
      <c r="L999" s="8" t="b">
        <v>0</v>
      </c>
    </row>
    <row r="1000">
      <c r="B1000" s="97"/>
      <c r="C1000" s="121" t="str">
        <f t="array" ref="C1000">ifs(and(isblank($A1000),isblank($B1000)),"", not(iserror(vlookup($A1000&amp;$B1000,'5) Release_Track'!$F:$F&amp;'5) Release_Track'!$G:$G,1,0))),vlookup($A1000&amp;$B1000,{'5) Release_Track'!$F:$F&amp;'5) Release_Track'!$G:$G,'5) Release_Track'!$H:$H},2,0),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D1000" s="121" t="str">
        <f t="array" ref="D1000">ifs(and(isblank($A1000),isblank($B1000)),"", not(iserror(vlookup($A1000&amp;$B1000,'5) Release_Track'!$F:$F&amp;'5) Release_Track'!$G:$G,1,0))),vlookup($A1000&amp;$B1000,{'5) Release_Track'!$F:$F&amp;'5) Release_Track'!$G:$G,'5) Release_Track'!$I:$I},2,0),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E1000" s="150" t="b">
        <v>0</v>
      </c>
      <c r="F1000" s="150" t="b">
        <v>0</v>
      </c>
      <c r="G1000" s="150" t="b">
        <v>0</v>
      </c>
      <c r="H1000" s="150" t="b">
        <v>0</v>
      </c>
      <c r="I1000" s="150" t="b">
        <v>0</v>
      </c>
      <c r="J1000" s="150" t="b">
        <v>0</v>
      </c>
      <c r="K1000" s="150" t="b">
        <v>0</v>
      </c>
      <c r="L1000" s="8" t="b">
        <v>0</v>
      </c>
    </row>
    <row r="1001">
      <c r="B1001" s="97"/>
      <c r="C1001" s="121" t="str">
        <f t="array" ref="C1001">ifs(and(isblank($A1001),isblank($B1001)),"", not(iserror(vlookup($A1001&amp;$B1001,'5) Release_Track'!$F:$F&amp;'5) Release_Track'!$G:$G,1,0))),vlookup($A1001&amp;$B1001,{'5) Release_Track'!$F:$F&amp;'5) Release_Track'!$G:$G,'5) Release_Track'!$H:$H},2,0),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D1001" s="121" t="str">
        <f t="array" ref="D1001">ifs(and(isblank($A1001),isblank($B1001)),"", not(iserror(vlookup($A1001&amp;$B1001,'5) Release_Track'!$F:$F&amp;'5) Release_Track'!$G:$G,1,0))),vlookup($A1001&amp;$B1001,{'5) Release_Track'!$F:$F&amp;'5) Release_Track'!$G:$G,'5) Release_Track'!$I:$I},2,0),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E1001" s="150" t="b">
        <v>0</v>
      </c>
      <c r="F1001" s="150" t="b">
        <v>0</v>
      </c>
      <c r="G1001" s="150" t="b">
        <v>0</v>
      </c>
      <c r="H1001" s="150" t="b">
        <v>0</v>
      </c>
      <c r="I1001" s="150" t="b">
        <v>0</v>
      </c>
      <c r="J1001" s="150" t="b">
        <v>0</v>
      </c>
      <c r="K1001" s="150" t="b">
        <v>0</v>
      </c>
      <c r="L1001" s="8" t="b">
        <v>0</v>
      </c>
    </row>
    <row r="1002">
      <c r="B1002" s="97"/>
      <c r="C1002" s="121" t="str">
        <f t="array" ref="C1002">ifs(and(isblank($A1002),isblank($B1002)),"", not(iserror(vlookup($A1002&amp;$B1002,'5) Release_Track'!$F:$F&amp;'5) Release_Track'!$G:$G,1,0))),vlookup($A1002&amp;$B1002,{'5) Release_Track'!$F:$F&amp;'5) Release_Track'!$G:$G,'5) Release_Track'!$H:$H},2,0),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D1002" s="121" t="str">
        <f t="array" ref="D1002">ifs(and(isblank($A1002),isblank($B1002)),"", not(iserror(vlookup($A1002&amp;$B1002,'5) Release_Track'!$F:$F&amp;'5) Release_Track'!$G:$G,1,0))),vlookup($A1002&amp;$B1002,{'5) Release_Track'!$F:$F&amp;'5) Release_Track'!$G:$G,'5) Release_Track'!$I:$I},2,0),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E1002" s="150" t="b">
        <v>0</v>
      </c>
      <c r="F1002" s="150" t="b">
        <v>0</v>
      </c>
      <c r="G1002" s="150" t="b">
        <v>0</v>
      </c>
      <c r="H1002" s="150" t="b">
        <v>0</v>
      </c>
      <c r="I1002" s="150" t="b">
        <v>0</v>
      </c>
      <c r="J1002" s="150" t="b">
        <v>0</v>
      </c>
      <c r="K1002" s="150" t="b">
        <v>0</v>
      </c>
      <c r="L1002" s="8" t="b">
        <v>0</v>
      </c>
    </row>
    <row r="1003">
      <c r="B1003" s="97"/>
      <c r="C1003" s="121" t="str">
        <f t="array" ref="C1003">ifs(and(isblank($A1003),isblank($B1003)),"", not(iserror(vlookup($A1003&amp;$B1003,'5) Release_Track'!$F:$F&amp;'5) Release_Track'!$G:$G,1,0))),vlookup($A1003&amp;$B1003,{'5) Release_Track'!$F:$F&amp;'5) Release_Track'!$G:$G,'5) Release_Track'!$H:$H},2,0),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D1003" s="121" t="str">
        <f t="array" ref="D1003">ifs(and(isblank($A1003),isblank($B1003)),"", not(iserror(vlookup($A1003&amp;$B1003,'5) Release_Track'!$F:$F&amp;'5) Release_Track'!$G:$G,1,0))),vlookup($A1003&amp;$B1003,{'5) Release_Track'!$F:$F&amp;'5) Release_Track'!$G:$G,'5) Release_Track'!$I:$I},2,0),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E1003" s="150" t="b">
        <v>0</v>
      </c>
      <c r="F1003" s="150" t="b">
        <v>0</v>
      </c>
      <c r="G1003" s="150" t="b">
        <v>0</v>
      </c>
      <c r="H1003" s="150" t="b">
        <v>0</v>
      </c>
      <c r="I1003" s="150" t="b">
        <v>0</v>
      </c>
      <c r="J1003" s="150" t="b">
        <v>0</v>
      </c>
      <c r="K1003" s="150" t="b">
        <v>0</v>
      </c>
      <c r="L1003" s="8" t="b">
        <v>0</v>
      </c>
    </row>
    <row r="1004">
      <c r="B1004" s="97"/>
      <c r="C1004" s="121" t="str">
        <f t="array" ref="C1004">ifs(and(isblank($A1004),isblank($B1004)),"", not(iserror(vlookup($A1004&amp;$B1004,'5) Release_Track'!$F:$F&amp;'5) Release_Track'!$G:$G,1,0))),vlookup($A1004&amp;$B1004,{'5) Release_Track'!$F:$F&amp;'5) Release_Track'!$G:$G,'5) Release_Track'!$H:$H},2,0), or(and(not(isblank($B1004)),$B1004=$B1003,$A1004&lt;&gt;$A1003),and(not(isblank($A1004)),$A1004=$A1003,$B1004&lt;&gt;$B1003)),"ID LISTS UNALIGNED",and($A1004&lt;&gt;"",countif('5) Release_Track'!$F:$F,$A1004)=0),"NO ISRC MATCH in Release_Track",and($B1004&lt;&gt;"",countif('5) Release_Track'!$G:$G,$B1004)=0),"NO CATALOG ID MATCH in Release_Track",iserror(vlookup($A1004&amp;$B1004,'5) Release_Track'!$F:$F&amp;'5) Release_Track'!$G:$G,1,0)),"NO ISRC-CATALOG ID pair MATCH in Release_Track" )</f>
        <v/>
      </c>
      <c r="D1004" s="121" t="str">
        <f t="array" ref="D1004">ifs(and(isblank($A1004),isblank($B1004)),"", not(iserror(vlookup($A1004&amp;$B1004,'5) Release_Track'!$F:$F&amp;'5) Release_Track'!$G:$G,1,0))),vlookup($A1004&amp;$B1004,{'5) Release_Track'!$F:$F&amp;'5) Release_Track'!$G:$G,'5) Release_Track'!$I:$I},2,0), or(and(not(isblank($B1004)),$B1004=$B1003,$A1004&lt;&gt;$A1003),and(not(isblank($A1004)),$A1004=$A1003,$B1004&lt;&gt;$B1003)),"ID LISTS UNALIGNED",and($A1004&lt;&gt;"",countif('5) Release_Track'!$F:$F,$A1004)=0),"NO ISRC MATCH in Release_Track",and($B1004&lt;&gt;"",countif('5) Release_Track'!$G:$G,$B1004)=0),"NO CATALOG ID MATCH in Release_Track",iserror(vlookup($A1004&amp;$B1004,'5) Release_Track'!$F:$F&amp;'5) Release_Track'!$G:$G,1,0)),"NO ISRC-CATALOG ID pair MATCH in Release_Track" )</f>
        <v/>
      </c>
      <c r="E1004" s="150" t="b">
        <v>0</v>
      </c>
      <c r="F1004" s="150" t="b">
        <v>0</v>
      </c>
      <c r="G1004" s="150" t="b">
        <v>0</v>
      </c>
      <c r="H1004" s="150" t="b">
        <v>0</v>
      </c>
      <c r="I1004" s="150" t="b">
        <v>0</v>
      </c>
      <c r="J1004" s="150" t="b">
        <v>0</v>
      </c>
      <c r="K1004" s="150" t="b">
        <v>0</v>
      </c>
      <c r="L1004" s="8" t="b">
        <v>0</v>
      </c>
    </row>
    <row r="1005">
      <c r="B1005" s="97"/>
      <c r="C1005" s="121" t="str">
        <f t="array" ref="C1005">ifs(and(isblank($A1005),isblank($B1005)),"", not(iserror(vlookup($A1005&amp;$B1005,'5) Release_Track'!$F:$F&amp;'5) Release_Track'!$G:$G,1,0))),vlookup($A1005&amp;$B1005,{'5) Release_Track'!$F:$F&amp;'5) Release_Track'!$G:$G,'5) Release_Track'!$H:$H},2,0), or(and(not(isblank($B1005)),$B1005=$B1004,$A1005&lt;&gt;$A1004),and(not(isblank($A1005)),$A1005=$A1004,$B1005&lt;&gt;$B1004)),"ID LISTS UNALIGNED",and($A1005&lt;&gt;"",countif('5) Release_Track'!$F:$F,$A1005)=0),"NO ISRC MATCH in Release_Track",and($B1005&lt;&gt;"",countif('5) Release_Track'!$G:$G,$B1005)=0),"NO CATALOG ID MATCH in Release_Track",iserror(vlookup($A1005&amp;$B1005,'5) Release_Track'!$F:$F&amp;'5) Release_Track'!$G:$G,1,0)),"NO ISRC-CATALOG ID pair MATCH in Release_Track" )</f>
        <v/>
      </c>
      <c r="D1005" s="121" t="str">
        <f t="array" ref="D1005">ifs(and(isblank($A1005),isblank($B1005)),"", not(iserror(vlookup($A1005&amp;$B1005,'5) Release_Track'!$F:$F&amp;'5) Release_Track'!$G:$G,1,0))),vlookup($A1005&amp;$B1005,{'5) Release_Track'!$F:$F&amp;'5) Release_Track'!$G:$G,'5) Release_Track'!$I:$I},2,0), or(and(not(isblank($B1005)),$B1005=$B1004,$A1005&lt;&gt;$A1004),and(not(isblank($A1005)),$A1005=$A1004,$B1005&lt;&gt;$B1004)),"ID LISTS UNALIGNED",and($A1005&lt;&gt;"",countif('5) Release_Track'!$F:$F,$A1005)=0),"NO ISRC MATCH in Release_Track",and($B1005&lt;&gt;"",countif('5) Release_Track'!$G:$G,$B1005)=0),"NO CATALOG ID MATCH in Release_Track",iserror(vlookup($A1005&amp;$B1005,'5) Release_Track'!$F:$F&amp;'5) Release_Track'!$G:$G,1,0)),"NO ISRC-CATALOG ID pair MATCH in Release_Track" )</f>
        <v/>
      </c>
      <c r="E1005" s="150" t="b">
        <v>0</v>
      </c>
      <c r="F1005" s="150" t="b">
        <v>0</v>
      </c>
      <c r="G1005" s="150" t="b">
        <v>0</v>
      </c>
      <c r="H1005" s="150" t="b">
        <v>0</v>
      </c>
      <c r="I1005" s="150" t="b">
        <v>0</v>
      </c>
      <c r="J1005" s="150" t="b">
        <v>0</v>
      </c>
      <c r="K1005" s="150" t="b">
        <v>0</v>
      </c>
      <c r="L1005" s="8" t="b">
        <v>0</v>
      </c>
    </row>
  </sheetData>
  <mergeCells count="1">
    <mergeCell ref="C4:D4"/>
  </mergeCells>
  <conditionalFormatting sqref="A1:B1">
    <cfRule type="cellIs" dxfId="3" priority="1" operator="notEqual">
      <formula>0</formula>
    </cfRule>
  </conditionalFormatting>
  <conditionalFormatting sqref="A5:A1005">
    <cfRule type="expression" dxfId="5" priority="2">
      <formula>and(A5&lt;&gt;"",B5&lt;&gt;"",countif(A:A,A5)&lt;&gt;countif(B:B,B5))</formula>
    </cfRule>
  </conditionalFormatting>
  <conditionalFormatting sqref="B5:B1005">
    <cfRule type="expression" dxfId="5" priority="3">
      <formula>and(A5&lt;&gt;"",B5&lt;&gt;"",countif(A:A,A5)&lt;&gt;countif(B:B,B5))</formula>
    </cfRule>
  </conditionalFormatting>
  <conditionalFormatting sqref="E5:K1005">
    <cfRule type="expression" dxfId="9" priority="4">
      <formula>$L5=true</formula>
    </cfRule>
  </conditionalFormatting>
  <conditionalFormatting sqref="L5:L1005">
    <cfRule type="expression" dxfId="9" priority="5">
      <formula>OR($E5:$K5)</formula>
    </cfRule>
  </conditionalFormatting>
  <dataValidations>
    <dataValidation type="custom" allowBlank="1" showDropDown="1" showInputMessage="1" showErrorMessage="1" prompt="Enter a value that satisfies the formula: =and(regexmatch(B5,&quot;^[a-zA-Z0-9]*$&quot;), len(B5)&gt;=3, len(B5)&lt;=20)" sqref="B5:B1005">
      <formula1>and(regexmatch(B5,"^[a-zA-Z0-9]*$"), len(B5)&gt;=3, len(B5)&lt;=20)</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711EA"/>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hidden="1" min="1" max="1" width="20.38"/>
    <col customWidth="1" hidden="1" min="2" max="2" width="30.38"/>
    <col customWidth="1" hidden="1" min="3" max="3" width="29.38"/>
    <col customWidth="1" hidden="1" min="4" max="6" width="12.13"/>
    <col customWidth="1" min="7" max="10" width="12.13"/>
    <col customWidth="1" min="11" max="11" width="21.75"/>
    <col customWidth="1" min="12" max="12" width="10.63"/>
    <col customWidth="1" min="13" max="13" width="11.25"/>
    <col customWidth="1" min="14" max="14" width="11.38"/>
    <col customWidth="1" min="15" max="15" width="27.0"/>
    <col customWidth="1" min="16" max="18" width="20.0"/>
    <col customWidth="1" min="19" max="20" width="12.13"/>
  </cols>
  <sheetData>
    <row r="1">
      <c r="A1" s="189"/>
      <c r="B1" s="190"/>
      <c r="D1" s="191"/>
      <c r="E1" s="191"/>
      <c r="G1" s="192" t="s">
        <v>196</v>
      </c>
      <c r="H1" s="193">
        <f>IFERROR(__xludf.DUMMYFUNCTION("COUNTUNIQUE((H3:H430))"),424.0)</f>
        <v>424</v>
      </c>
      <c r="I1" s="193">
        <f>IFERROR(__xludf.DUMMYFUNCTION("COUNTUNIQUE((I3:I430))"),428.0)</f>
        <v>428</v>
      </c>
      <c r="J1" s="194">
        <f>IFERROR(__xludf.DUMMYFUNCTION("COUNTUNIQUE((J3:J430))"),403.0)</f>
        <v>403</v>
      </c>
      <c r="K1" s="194">
        <f>IFERROR(__xludf.DUMMYFUNCTION("COUNTUNIQUE((K3:K430))"),192.0)</f>
        <v>192</v>
      </c>
      <c r="L1" s="195"/>
      <c r="M1" s="194">
        <f>IFERROR(__xludf.DUMMYFUNCTION("COUNTUNIQUE((M3:M430))"),4.0)</f>
        <v>4</v>
      </c>
      <c r="N1" s="194"/>
      <c r="O1" s="194">
        <f>IFERROR(__xludf.DUMMYFUNCTION("COUNTUNIQUE((O3:O430))"),3.0)</f>
        <v>3</v>
      </c>
      <c r="P1" s="194"/>
      <c r="Q1" s="194">
        <f>IFERROR(__xludf.DUMMYFUNCTION("COUNTUNIQUE((Q3:Q430))"),10.0)</f>
        <v>10</v>
      </c>
      <c r="R1" s="194">
        <f>IFERROR(__xludf.DUMMYFUNCTION("COUNTUNIQUE((R3:R430))"),7.0)</f>
        <v>7</v>
      </c>
      <c r="S1" s="194">
        <f>IFERROR(__xludf.DUMMYFUNCTION("COUNTUNIQUE((S3:S430))"),3.0)</f>
        <v>3</v>
      </c>
      <c r="T1" s="194">
        <f>IFERROR(__xludf.DUMMYFUNCTION("COUNTUNIQUE((T3:T430))"),255.0)</f>
        <v>255</v>
      </c>
    </row>
    <row r="2">
      <c r="B2" s="190"/>
      <c r="D2" s="191"/>
      <c r="E2" s="191"/>
      <c r="G2" s="196" t="s">
        <v>68</v>
      </c>
      <c r="H2" s="197" t="s">
        <v>197</v>
      </c>
      <c r="I2" s="198" t="s">
        <v>198</v>
      </c>
      <c r="J2" s="199" t="s">
        <v>102</v>
      </c>
      <c r="K2" s="200" t="s">
        <v>199</v>
      </c>
      <c r="L2" s="201" t="s">
        <v>200</v>
      </c>
      <c r="M2" s="201" t="s">
        <v>201</v>
      </c>
      <c r="N2" s="201" t="s">
        <v>202</v>
      </c>
      <c r="O2" s="196" t="s">
        <v>203</v>
      </c>
      <c r="P2" s="199" t="s">
        <v>204</v>
      </c>
      <c r="Q2" s="199" t="s">
        <v>205</v>
      </c>
      <c r="R2" s="199" t="s">
        <v>206</v>
      </c>
      <c r="S2" s="202" t="s">
        <v>207</v>
      </c>
      <c r="T2" s="202" t="s">
        <v>208</v>
      </c>
    </row>
    <row r="3">
      <c r="A3" s="203" t="s">
        <v>209</v>
      </c>
      <c r="B3" s="204"/>
      <c r="C3" s="204"/>
      <c r="D3" s="204"/>
      <c r="E3" s="204"/>
      <c r="G3" s="205" t="s">
        <v>210</v>
      </c>
      <c r="H3" s="206" t="s">
        <v>211</v>
      </c>
      <c r="I3" s="207">
        <v>70.0</v>
      </c>
      <c r="J3" s="208" t="s">
        <v>108</v>
      </c>
      <c r="K3" s="209" t="s">
        <v>212</v>
      </c>
      <c r="L3" s="210">
        <v>66.0</v>
      </c>
      <c r="M3" s="47" t="s">
        <v>213</v>
      </c>
      <c r="N3" s="90">
        <v>2.0</v>
      </c>
      <c r="O3" s="47" t="s">
        <v>184</v>
      </c>
      <c r="P3" s="90">
        <v>1.0</v>
      </c>
      <c r="Q3" s="47" t="s">
        <v>214</v>
      </c>
      <c r="R3" s="211" t="s">
        <v>215</v>
      </c>
      <c r="S3" s="34" t="s">
        <v>216</v>
      </c>
      <c r="T3" s="34" t="s">
        <v>217</v>
      </c>
    </row>
    <row r="4">
      <c r="A4" s="212" t="s">
        <v>218</v>
      </c>
      <c r="B4" s="213"/>
      <c r="C4" s="213"/>
      <c r="D4" s="213"/>
      <c r="E4" s="213"/>
      <c r="G4" s="214" t="s">
        <v>219</v>
      </c>
      <c r="H4" s="206" t="s">
        <v>220</v>
      </c>
      <c r="I4" s="207">
        <v>255.0</v>
      </c>
      <c r="J4" s="215" t="s">
        <v>221</v>
      </c>
      <c r="K4" s="209" t="s">
        <v>222</v>
      </c>
      <c r="L4" s="210">
        <v>67.0</v>
      </c>
      <c r="M4" s="47" t="s">
        <v>139</v>
      </c>
      <c r="N4" s="90">
        <v>1.0</v>
      </c>
      <c r="O4" s="47" t="s">
        <v>185</v>
      </c>
      <c r="P4" s="216">
        <v>2.0</v>
      </c>
      <c r="Q4" s="211" t="s">
        <v>223</v>
      </c>
      <c r="R4" s="211" t="s">
        <v>224</v>
      </c>
      <c r="S4" s="217" t="s">
        <v>141</v>
      </c>
      <c r="T4" s="217" t="s">
        <v>225</v>
      </c>
    </row>
    <row r="5">
      <c r="A5" s="218" t="s">
        <v>226</v>
      </c>
      <c r="C5" s="219" t="s">
        <v>227</v>
      </c>
      <c r="E5" s="213"/>
      <c r="G5" s="214" t="s">
        <v>91</v>
      </c>
      <c r="H5" s="206" t="s">
        <v>228</v>
      </c>
      <c r="I5" s="207">
        <v>229.0</v>
      </c>
      <c r="J5" s="208" t="s">
        <v>229</v>
      </c>
      <c r="K5" s="209" t="s">
        <v>230</v>
      </c>
      <c r="L5" s="210">
        <v>4.0</v>
      </c>
      <c r="M5" s="47" t="s">
        <v>231</v>
      </c>
      <c r="N5" s="90">
        <v>3.0</v>
      </c>
      <c r="O5" s="47" t="s">
        <v>232</v>
      </c>
      <c r="P5" s="216">
        <v>3.0</v>
      </c>
      <c r="Q5" s="211" t="s">
        <v>233</v>
      </c>
      <c r="R5" s="211" t="s">
        <v>234</v>
      </c>
      <c r="S5" s="217" t="s">
        <v>235</v>
      </c>
      <c r="T5" s="217" t="s">
        <v>236</v>
      </c>
    </row>
    <row r="6">
      <c r="A6" s="220" t="s">
        <v>237</v>
      </c>
      <c r="B6" s="220" t="s">
        <v>238</v>
      </c>
      <c r="C6" s="220" t="s">
        <v>237</v>
      </c>
      <c r="D6" s="220" t="s">
        <v>238</v>
      </c>
      <c r="E6" s="213"/>
      <c r="G6" s="211" t="s">
        <v>239</v>
      </c>
      <c r="H6" s="206" t="s">
        <v>240</v>
      </c>
      <c r="I6" s="207">
        <v>292.0</v>
      </c>
      <c r="J6" s="211" t="s">
        <v>241</v>
      </c>
      <c r="K6" s="221" t="s">
        <v>242</v>
      </c>
      <c r="L6" s="222">
        <v>68.0</v>
      </c>
      <c r="M6" s="34" t="s">
        <v>243</v>
      </c>
      <c r="N6" s="223">
        <v>0.0</v>
      </c>
      <c r="O6" s="34"/>
      <c r="P6" s="47"/>
      <c r="Q6" s="224" t="s">
        <v>183</v>
      </c>
      <c r="R6" s="211" t="s">
        <v>244</v>
      </c>
      <c r="S6" s="34"/>
      <c r="T6" s="217" t="s">
        <v>245</v>
      </c>
    </row>
    <row r="7">
      <c r="A7" s="225" t="s">
        <v>240</v>
      </c>
      <c r="B7" s="225" t="s">
        <v>246</v>
      </c>
      <c r="C7" s="225" t="s">
        <v>228</v>
      </c>
      <c r="D7" s="225" t="s">
        <v>49</v>
      </c>
      <c r="E7" s="213"/>
      <c r="G7" s="211" t="s">
        <v>247</v>
      </c>
      <c r="H7" s="206" t="s">
        <v>248</v>
      </c>
      <c r="I7" s="207">
        <v>554.0</v>
      </c>
      <c r="J7" s="211" t="s">
        <v>249</v>
      </c>
      <c r="K7" s="221" t="s">
        <v>250</v>
      </c>
      <c r="L7" s="222">
        <v>69.0</v>
      </c>
      <c r="M7" s="34"/>
      <c r="N7" s="34"/>
      <c r="O7" s="34"/>
      <c r="P7" s="47"/>
      <c r="Q7" s="224" t="s">
        <v>251</v>
      </c>
      <c r="R7" s="211" t="s">
        <v>252</v>
      </c>
      <c r="S7" s="34"/>
      <c r="T7" s="217" t="s">
        <v>253</v>
      </c>
    </row>
    <row r="8">
      <c r="A8" s="225" t="s">
        <v>254</v>
      </c>
      <c r="B8" s="225" t="s">
        <v>255</v>
      </c>
      <c r="C8" s="225" t="s">
        <v>256</v>
      </c>
      <c r="D8" s="225" t="s">
        <v>257</v>
      </c>
      <c r="E8" s="213"/>
      <c r="F8" s="213"/>
      <c r="G8" s="34"/>
      <c r="H8" s="206" t="s">
        <v>95</v>
      </c>
      <c r="I8" s="207">
        <v>555.0</v>
      </c>
      <c r="J8" s="47" t="s">
        <v>258</v>
      </c>
      <c r="K8" s="209" t="s">
        <v>259</v>
      </c>
      <c r="L8" s="210">
        <v>61.0</v>
      </c>
      <c r="M8" s="34"/>
      <c r="N8" s="34"/>
      <c r="O8" s="34"/>
      <c r="P8" s="47"/>
      <c r="Q8" s="211" t="s">
        <v>260</v>
      </c>
      <c r="R8" s="211" t="s">
        <v>261</v>
      </c>
      <c r="S8" s="34"/>
      <c r="T8" s="217" t="s">
        <v>262</v>
      </c>
    </row>
    <row r="9">
      <c r="A9" s="225" t="s">
        <v>263</v>
      </c>
      <c r="B9" s="225" t="s">
        <v>264</v>
      </c>
      <c r="C9" s="225" t="s">
        <v>265</v>
      </c>
      <c r="D9" s="225" t="s">
        <v>266</v>
      </c>
      <c r="E9" s="213"/>
      <c r="F9" s="213"/>
      <c r="G9" s="34"/>
      <c r="H9" s="206" t="s">
        <v>230</v>
      </c>
      <c r="I9" s="207">
        <v>293.0</v>
      </c>
      <c r="J9" s="226" t="s">
        <v>267</v>
      </c>
      <c r="K9" s="209" t="s">
        <v>268</v>
      </c>
      <c r="L9" s="210">
        <v>5.0</v>
      </c>
      <c r="M9" s="34"/>
      <c r="N9" s="34"/>
      <c r="O9" s="34"/>
      <c r="P9" s="47"/>
      <c r="Q9" s="211" t="s">
        <v>269</v>
      </c>
      <c r="R9" s="211" t="s">
        <v>270</v>
      </c>
      <c r="S9" s="34"/>
      <c r="T9" s="217" t="s">
        <v>271</v>
      </c>
    </row>
    <row r="10">
      <c r="A10" s="225" t="s">
        <v>268</v>
      </c>
      <c r="B10" s="225" t="s">
        <v>272</v>
      </c>
      <c r="C10" s="225" t="s">
        <v>273</v>
      </c>
      <c r="D10" s="225" t="s">
        <v>274</v>
      </c>
      <c r="E10" s="213"/>
      <c r="F10" s="213"/>
      <c r="G10" s="34"/>
      <c r="H10" s="206" t="s">
        <v>275</v>
      </c>
      <c r="I10" s="207">
        <v>350.0</v>
      </c>
      <c r="J10" s="211" t="s">
        <v>109</v>
      </c>
      <c r="K10" s="209" t="s">
        <v>276</v>
      </c>
      <c r="L10" s="210">
        <v>70.0</v>
      </c>
      <c r="M10" s="34"/>
      <c r="N10" s="34"/>
      <c r="O10" s="34"/>
      <c r="P10" s="47"/>
      <c r="Q10" s="47" t="s">
        <v>277</v>
      </c>
      <c r="R10" s="47"/>
      <c r="S10" s="34"/>
      <c r="T10" s="217" t="s">
        <v>278</v>
      </c>
    </row>
    <row r="11">
      <c r="A11" s="225" t="s">
        <v>279</v>
      </c>
      <c r="B11" s="225" t="s">
        <v>280</v>
      </c>
      <c r="C11" s="225" t="s">
        <v>281</v>
      </c>
      <c r="D11" s="225" t="s">
        <v>282</v>
      </c>
      <c r="E11" s="213"/>
      <c r="F11" s="213"/>
      <c r="G11" s="34"/>
      <c r="H11" s="206" t="s">
        <v>283</v>
      </c>
      <c r="I11" s="207">
        <v>409.0</v>
      </c>
      <c r="J11" s="211" t="s">
        <v>284</v>
      </c>
      <c r="K11" s="209" t="s">
        <v>285</v>
      </c>
      <c r="L11" s="210">
        <v>71.0</v>
      </c>
      <c r="M11" s="34"/>
      <c r="N11" s="34"/>
      <c r="O11" s="34"/>
      <c r="P11" s="47"/>
      <c r="Q11" s="47" t="s">
        <v>286</v>
      </c>
      <c r="R11" s="47"/>
      <c r="S11" s="34"/>
      <c r="T11" s="217" t="s">
        <v>287</v>
      </c>
    </row>
    <row r="12">
      <c r="A12" s="225" t="s">
        <v>288</v>
      </c>
      <c r="B12" s="225" t="s">
        <v>289</v>
      </c>
      <c r="C12" s="225" t="s">
        <v>290</v>
      </c>
      <c r="D12" s="225" t="s">
        <v>49</v>
      </c>
      <c r="E12" s="213"/>
      <c r="F12" s="213"/>
      <c r="G12" s="34"/>
      <c r="H12" s="206" t="s">
        <v>291</v>
      </c>
      <c r="I12" s="207">
        <v>294.0</v>
      </c>
      <c r="J12" s="211" t="s">
        <v>292</v>
      </c>
      <c r="K12" s="209" t="s">
        <v>293</v>
      </c>
      <c r="L12" s="210">
        <v>72.0</v>
      </c>
      <c r="M12" s="34"/>
      <c r="N12" s="34"/>
      <c r="O12" s="34"/>
      <c r="P12" s="47"/>
      <c r="Q12" s="34" t="s">
        <v>294</v>
      </c>
      <c r="R12" s="47"/>
      <c r="S12" s="34"/>
      <c r="T12" s="217" t="s">
        <v>295</v>
      </c>
    </row>
    <row r="13">
      <c r="A13" s="225" t="s">
        <v>296</v>
      </c>
      <c r="B13" s="225" t="s">
        <v>297</v>
      </c>
      <c r="C13" s="225" t="s">
        <v>298</v>
      </c>
      <c r="D13" s="225" t="s">
        <v>49</v>
      </c>
      <c r="E13" s="213"/>
      <c r="F13" s="213"/>
      <c r="G13" s="34"/>
      <c r="H13" s="206" t="s">
        <v>299</v>
      </c>
      <c r="I13" s="207">
        <v>295.0</v>
      </c>
      <c r="J13" s="211" t="s">
        <v>300</v>
      </c>
      <c r="K13" s="209" t="s">
        <v>301</v>
      </c>
      <c r="L13" s="210">
        <v>73.0</v>
      </c>
      <c r="M13" s="34"/>
      <c r="N13" s="34"/>
      <c r="O13" s="34"/>
      <c r="P13" s="34"/>
      <c r="Q13" s="47"/>
      <c r="R13" s="213"/>
      <c r="S13" s="213"/>
      <c r="T13" s="217" t="s">
        <v>302</v>
      </c>
    </row>
    <row r="14">
      <c r="A14" s="225" t="s">
        <v>303</v>
      </c>
      <c r="B14" s="225" t="s">
        <v>304</v>
      </c>
      <c r="C14" s="225" t="s">
        <v>305</v>
      </c>
      <c r="D14" s="225" t="s">
        <v>49</v>
      </c>
      <c r="E14" s="213"/>
      <c r="F14" s="213"/>
      <c r="G14" s="34"/>
      <c r="H14" s="206" t="s">
        <v>306</v>
      </c>
      <c r="I14" s="207">
        <v>556.0</v>
      </c>
      <c r="J14" s="211" t="s">
        <v>307</v>
      </c>
      <c r="K14" s="209" t="s">
        <v>308</v>
      </c>
      <c r="L14" s="210">
        <v>74.0</v>
      </c>
      <c r="M14" s="34"/>
      <c r="N14" s="34"/>
      <c r="O14" s="34"/>
      <c r="P14" s="34"/>
      <c r="Q14" s="47"/>
      <c r="R14" s="213"/>
      <c r="S14" s="213"/>
      <c r="T14" s="217" t="s">
        <v>309</v>
      </c>
    </row>
    <row r="15">
      <c r="A15" s="225" t="s">
        <v>310</v>
      </c>
      <c r="B15" s="225" t="s">
        <v>311</v>
      </c>
      <c r="C15" s="225" t="s">
        <v>312</v>
      </c>
      <c r="D15" s="225" t="s">
        <v>313</v>
      </c>
      <c r="E15" s="213"/>
      <c r="F15" s="213"/>
      <c r="G15" s="34"/>
      <c r="H15" s="206" t="s">
        <v>314</v>
      </c>
      <c r="I15" s="207">
        <v>557.0</v>
      </c>
      <c r="J15" s="211" t="s">
        <v>315</v>
      </c>
      <c r="K15" s="209" t="s">
        <v>316</v>
      </c>
      <c r="L15" s="210">
        <v>75.0</v>
      </c>
      <c r="M15" s="34"/>
      <c r="N15" s="34"/>
      <c r="O15" s="34"/>
      <c r="P15" s="34"/>
      <c r="Q15" s="34"/>
      <c r="R15" s="213"/>
      <c r="S15" s="213"/>
      <c r="T15" s="217" t="s">
        <v>317</v>
      </c>
    </row>
    <row r="16">
      <c r="A16" s="225" t="s">
        <v>318</v>
      </c>
      <c r="B16" s="225" t="s">
        <v>319</v>
      </c>
      <c r="C16" s="225" t="s">
        <v>320</v>
      </c>
      <c r="D16" s="225" t="s">
        <v>49</v>
      </c>
      <c r="E16" s="213"/>
      <c r="F16" s="213"/>
      <c r="G16" s="34"/>
      <c r="H16" s="206" t="s">
        <v>321</v>
      </c>
      <c r="I16" s="207">
        <v>410.0</v>
      </c>
      <c r="J16" s="211" t="s">
        <v>322</v>
      </c>
      <c r="K16" s="209" t="s">
        <v>323</v>
      </c>
      <c r="L16" s="210">
        <v>76.0</v>
      </c>
      <c r="M16" s="34"/>
      <c r="N16" s="34"/>
      <c r="O16" s="34"/>
      <c r="P16" s="34"/>
      <c r="Q16" s="34"/>
      <c r="R16" s="213"/>
      <c r="S16" s="213"/>
      <c r="T16" s="217" t="s">
        <v>324</v>
      </c>
    </row>
    <row r="17">
      <c r="A17" s="225" t="s">
        <v>325</v>
      </c>
      <c r="B17" s="225" t="s">
        <v>326</v>
      </c>
      <c r="C17" s="225" t="s">
        <v>327</v>
      </c>
      <c r="D17" s="225" t="s">
        <v>49</v>
      </c>
      <c r="E17" s="213"/>
      <c r="F17" s="213"/>
      <c r="G17" s="34"/>
      <c r="H17" s="206" t="s">
        <v>328</v>
      </c>
      <c r="I17" s="207">
        <v>558.0</v>
      </c>
      <c r="J17" s="211" t="s">
        <v>329</v>
      </c>
      <c r="K17" s="209" t="s">
        <v>330</v>
      </c>
      <c r="L17" s="210">
        <v>77.0</v>
      </c>
      <c r="M17" s="34"/>
      <c r="N17" s="34"/>
      <c r="O17" s="34"/>
      <c r="P17" s="34"/>
      <c r="Q17" s="34"/>
      <c r="R17" s="213"/>
      <c r="S17" s="213"/>
      <c r="T17" s="217" t="s">
        <v>331</v>
      </c>
    </row>
    <row r="18">
      <c r="A18" s="225" t="s">
        <v>208</v>
      </c>
      <c r="B18" s="225" t="s">
        <v>332</v>
      </c>
      <c r="C18" s="225" t="s">
        <v>333</v>
      </c>
      <c r="D18" s="225" t="s">
        <v>49</v>
      </c>
      <c r="E18" s="213"/>
      <c r="F18" s="213"/>
      <c r="G18" s="34"/>
      <c r="H18" s="206" t="s">
        <v>254</v>
      </c>
      <c r="I18" s="207">
        <v>25.0</v>
      </c>
      <c r="J18" s="211" t="s">
        <v>334</v>
      </c>
      <c r="K18" s="209" t="s">
        <v>335</v>
      </c>
      <c r="L18" s="210">
        <v>78.0</v>
      </c>
      <c r="M18" s="34"/>
      <c r="N18" s="34"/>
      <c r="O18" s="34"/>
      <c r="P18" s="34"/>
      <c r="Q18" s="34"/>
      <c r="R18" s="213"/>
      <c r="S18" s="213"/>
      <c r="T18" s="217" t="s">
        <v>336</v>
      </c>
    </row>
    <row r="19">
      <c r="A19" s="225" t="s">
        <v>337</v>
      </c>
      <c r="B19" s="225" t="s">
        <v>338</v>
      </c>
      <c r="C19" s="225" t="s">
        <v>339</v>
      </c>
      <c r="D19" s="225" t="s">
        <v>49</v>
      </c>
      <c r="E19" s="213"/>
      <c r="F19" s="213"/>
      <c r="G19" s="34"/>
      <c r="H19" s="206" t="s">
        <v>340</v>
      </c>
      <c r="I19" s="207">
        <v>216.0</v>
      </c>
      <c r="J19" s="211" t="s">
        <v>341</v>
      </c>
      <c r="K19" s="209" t="s">
        <v>342</v>
      </c>
      <c r="L19" s="210">
        <v>79.0</v>
      </c>
      <c r="M19" s="34"/>
      <c r="N19" s="34"/>
      <c r="O19" s="34"/>
      <c r="P19" s="34"/>
      <c r="Q19" s="34"/>
      <c r="R19" s="213"/>
      <c r="S19" s="213"/>
      <c r="T19" s="217" t="s">
        <v>343</v>
      </c>
    </row>
    <row r="20">
      <c r="A20" s="225" t="s">
        <v>344</v>
      </c>
      <c r="B20" s="225" t="s">
        <v>345</v>
      </c>
      <c r="C20" s="225" t="s">
        <v>346</v>
      </c>
      <c r="D20" s="225" t="s">
        <v>49</v>
      </c>
      <c r="E20" s="213"/>
      <c r="F20" s="213"/>
      <c r="G20" s="34"/>
      <c r="H20" s="206" t="s">
        <v>347</v>
      </c>
      <c r="I20" s="207">
        <v>132.0</v>
      </c>
      <c r="J20" s="211" t="s">
        <v>348</v>
      </c>
      <c r="K20" s="209" t="s">
        <v>349</v>
      </c>
      <c r="L20" s="210">
        <v>80.0</v>
      </c>
      <c r="M20" s="34"/>
      <c r="N20" s="34"/>
      <c r="O20" s="34"/>
      <c r="P20" s="34"/>
      <c r="Q20" s="34"/>
      <c r="R20" s="213"/>
      <c r="S20" s="213"/>
      <c r="T20" s="217" t="s">
        <v>350</v>
      </c>
    </row>
    <row r="21">
      <c r="A21" s="225" t="s">
        <v>351</v>
      </c>
      <c r="B21" s="225" t="s">
        <v>49</v>
      </c>
      <c r="C21" s="225" t="s">
        <v>352</v>
      </c>
      <c r="D21" s="225" t="s">
        <v>49</v>
      </c>
      <c r="E21" s="213"/>
      <c r="F21" s="213"/>
      <c r="G21" s="34"/>
      <c r="H21" s="206" t="s">
        <v>353</v>
      </c>
      <c r="I21" s="207">
        <v>275.0</v>
      </c>
      <c r="J21" s="211" t="s">
        <v>354</v>
      </c>
      <c r="K21" s="209" t="s">
        <v>355</v>
      </c>
      <c r="L21" s="210">
        <v>53.0</v>
      </c>
      <c r="M21" s="34"/>
      <c r="N21" s="34"/>
      <c r="O21" s="34"/>
      <c r="P21" s="34"/>
      <c r="Q21" s="34"/>
      <c r="R21" s="213"/>
      <c r="S21" s="213"/>
      <c r="T21" s="217" t="s">
        <v>356</v>
      </c>
    </row>
    <row r="22">
      <c r="A22" s="225" t="s">
        <v>357</v>
      </c>
      <c r="B22" s="225" t="s">
        <v>49</v>
      </c>
      <c r="C22" s="225" t="s">
        <v>358</v>
      </c>
      <c r="D22" s="225" t="s">
        <v>49</v>
      </c>
      <c r="E22" s="213"/>
      <c r="F22" s="213"/>
      <c r="G22" s="34"/>
      <c r="H22" s="206" t="s">
        <v>359</v>
      </c>
      <c r="I22" s="207">
        <v>159.0</v>
      </c>
      <c r="J22" s="211" t="s">
        <v>110</v>
      </c>
      <c r="K22" s="209" t="s">
        <v>360</v>
      </c>
      <c r="L22" s="210">
        <v>195.0</v>
      </c>
      <c r="M22" s="34"/>
      <c r="N22" s="34"/>
      <c r="O22" s="34"/>
      <c r="P22" s="34"/>
      <c r="Q22" s="34"/>
      <c r="R22" s="213"/>
      <c r="S22" s="213"/>
      <c r="T22" s="217" t="s">
        <v>361</v>
      </c>
    </row>
    <row r="23">
      <c r="A23" s="225" t="s">
        <v>362</v>
      </c>
      <c r="B23" s="225" t="s">
        <v>363</v>
      </c>
      <c r="C23" s="225" t="s">
        <v>364</v>
      </c>
      <c r="D23" s="225" t="s">
        <v>365</v>
      </c>
      <c r="E23" s="213"/>
      <c r="F23" s="213"/>
      <c r="G23" s="34"/>
      <c r="H23" s="206" t="s">
        <v>366</v>
      </c>
      <c r="I23" s="207">
        <v>551.0</v>
      </c>
      <c r="J23" s="211" t="s">
        <v>367</v>
      </c>
      <c r="K23" s="209" t="s">
        <v>360</v>
      </c>
      <c r="L23" s="210">
        <v>199.0</v>
      </c>
      <c r="M23" s="34"/>
      <c r="N23" s="34"/>
      <c r="O23" s="34"/>
      <c r="P23" s="34"/>
      <c r="Q23" s="34"/>
      <c r="R23" s="213"/>
      <c r="S23" s="213"/>
      <c r="T23" s="217" t="s">
        <v>368</v>
      </c>
    </row>
    <row r="24">
      <c r="A24" s="225" t="s">
        <v>369</v>
      </c>
      <c r="B24" s="225" t="s">
        <v>370</v>
      </c>
      <c r="C24" s="225" t="s">
        <v>371</v>
      </c>
      <c r="D24" s="225" t="s">
        <v>372</v>
      </c>
      <c r="E24" s="213"/>
      <c r="F24" s="213"/>
      <c r="G24" s="34"/>
      <c r="H24" s="206" t="s">
        <v>373</v>
      </c>
      <c r="I24" s="207">
        <v>154.0</v>
      </c>
      <c r="J24" s="211" t="s">
        <v>374</v>
      </c>
      <c r="K24" s="209" t="s">
        <v>375</v>
      </c>
      <c r="L24" s="210">
        <v>81.0</v>
      </c>
      <c r="M24" s="34"/>
      <c r="N24" s="34"/>
      <c r="O24" s="34"/>
      <c r="P24" s="34"/>
      <c r="Q24" s="34"/>
      <c r="R24" s="213"/>
      <c r="S24" s="213"/>
      <c r="T24" s="217" t="s">
        <v>376</v>
      </c>
    </row>
    <row r="25">
      <c r="A25" s="225" t="s">
        <v>377</v>
      </c>
      <c r="B25" s="225" t="s">
        <v>378</v>
      </c>
      <c r="C25" s="225" t="s">
        <v>379</v>
      </c>
      <c r="D25" s="225" t="s">
        <v>380</v>
      </c>
      <c r="E25" s="213"/>
      <c r="F25" s="213"/>
      <c r="G25" s="34"/>
      <c r="H25" s="206" t="s">
        <v>381</v>
      </c>
      <c r="I25" s="207">
        <v>256.0</v>
      </c>
      <c r="J25" s="211" t="s">
        <v>382</v>
      </c>
      <c r="K25" s="209" t="s">
        <v>383</v>
      </c>
      <c r="L25" s="210">
        <v>82.0</v>
      </c>
      <c r="M25" s="34"/>
      <c r="N25" s="34"/>
      <c r="O25" s="34"/>
      <c r="P25" s="34"/>
      <c r="Q25" s="34"/>
      <c r="R25" s="213"/>
      <c r="S25" s="213"/>
      <c r="T25" s="217" t="s">
        <v>384</v>
      </c>
    </row>
    <row r="26">
      <c r="A26" s="225" t="s">
        <v>94</v>
      </c>
      <c r="B26" s="225" t="s">
        <v>385</v>
      </c>
      <c r="C26" s="225" t="s">
        <v>220</v>
      </c>
      <c r="D26" s="225" t="s">
        <v>386</v>
      </c>
      <c r="E26" s="213"/>
      <c r="F26" s="213"/>
      <c r="G26" s="34"/>
      <c r="H26" s="206" t="s">
        <v>387</v>
      </c>
      <c r="I26" s="207">
        <v>133.0</v>
      </c>
      <c r="J26" s="211" t="s">
        <v>388</v>
      </c>
      <c r="K26" s="209" t="s">
        <v>389</v>
      </c>
      <c r="L26" s="210">
        <v>83.0</v>
      </c>
      <c r="M26" s="34"/>
      <c r="N26" s="34"/>
      <c r="O26" s="34"/>
      <c r="P26" s="34"/>
      <c r="Q26" s="34"/>
      <c r="R26" s="213"/>
      <c r="S26" s="213"/>
      <c r="T26" s="217" t="s">
        <v>390</v>
      </c>
    </row>
    <row r="27">
      <c r="A27" s="225" t="s">
        <v>391</v>
      </c>
      <c r="B27" s="225" t="s">
        <v>392</v>
      </c>
      <c r="C27" s="225" t="s">
        <v>381</v>
      </c>
      <c r="D27" s="225" t="s">
        <v>393</v>
      </c>
      <c r="E27" s="213"/>
      <c r="F27" s="213"/>
      <c r="G27" s="34"/>
      <c r="H27" s="206" t="s">
        <v>263</v>
      </c>
      <c r="I27" s="207">
        <v>26.0</v>
      </c>
      <c r="J27" s="211" t="s">
        <v>394</v>
      </c>
      <c r="K27" s="209" t="s">
        <v>395</v>
      </c>
      <c r="L27" s="210">
        <v>84.0</v>
      </c>
      <c r="M27" s="34"/>
      <c r="N27" s="34"/>
      <c r="O27" s="34"/>
      <c r="P27" s="34"/>
      <c r="Q27" s="34"/>
      <c r="R27" s="213"/>
      <c r="S27" s="213"/>
      <c r="T27" s="217" t="s">
        <v>396</v>
      </c>
    </row>
    <row r="28">
      <c r="A28" s="225" t="s">
        <v>397</v>
      </c>
      <c r="B28" s="225" t="s">
        <v>398</v>
      </c>
      <c r="C28" s="225" t="s">
        <v>399</v>
      </c>
      <c r="D28" s="225" t="s">
        <v>400</v>
      </c>
      <c r="E28" s="213"/>
      <c r="F28" s="213"/>
      <c r="G28" s="34"/>
      <c r="H28" s="206" t="s">
        <v>401</v>
      </c>
      <c r="I28" s="207">
        <v>296.0</v>
      </c>
      <c r="J28" s="211" t="s">
        <v>402</v>
      </c>
      <c r="K28" s="209" t="s">
        <v>403</v>
      </c>
      <c r="L28" s="210">
        <v>6.0</v>
      </c>
      <c r="M28" s="34"/>
      <c r="N28" s="34"/>
      <c r="O28" s="34"/>
      <c r="P28" s="34"/>
      <c r="Q28" s="34"/>
      <c r="R28" s="213"/>
      <c r="S28" s="213"/>
      <c r="T28" s="217" t="s">
        <v>404</v>
      </c>
    </row>
    <row r="29">
      <c r="A29" s="225" t="s">
        <v>405</v>
      </c>
      <c r="B29" s="225" t="s">
        <v>49</v>
      </c>
      <c r="C29" s="225" t="s">
        <v>406</v>
      </c>
      <c r="D29" s="225" t="s">
        <v>407</v>
      </c>
      <c r="E29" s="213"/>
      <c r="F29" s="213"/>
      <c r="G29" s="34"/>
      <c r="H29" s="206" t="s">
        <v>268</v>
      </c>
      <c r="I29" s="207">
        <v>21.0</v>
      </c>
      <c r="J29" s="211" t="s">
        <v>408</v>
      </c>
      <c r="K29" s="209" t="s">
        <v>409</v>
      </c>
      <c r="L29" s="210">
        <v>85.0</v>
      </c>
      <c r="M29" s="34"/>
      <c r="N29" s="34"/>
      <c r="O29" s="34"/>
      <c r="P29" s="34"/>
      <c r="Q29" s="34"/>
      <c r="R29" s="213"/>
      <c r="S29" s="213"/>
      <c r="T29" s="217" t="s">
        <v>410</v>
      </c>
    </row>
    <row r="30">
      <c r="A30" s="225" t="s">
        <v>411</v>
      </c>
      <c r="B30" s="225" t="s">
        <v>49</v>
      </c>
      <c r="C30" s="225" t="s">
        <v>412</v>
      </c>
      <c r="D30" s="225" t="s">
        <v>49</v>
      </c>
      <c r="E30" s="213"/>
      <c r="F30" s="213"/>
      <c r="G30" s="34"/>
      <c r="H30" s="206" t="s">
        <v>413</v>
      </c>
      <c r="I30" s="207">
        <v>66.0</v>
      </c>
      <c r="J30" s="211" t="s">
        <v>414</v>
      </c>
      <c r="K30" s="209" t="s">
        <v>415</v>
      </c>
      <c r="L30" s="210">
        <v>52.0</v>
      </c>
      <c r="M30" s="34"/>
      <c r="N30" s="34"/>
      <c r="O30" s="34"/>
      <c r="P30" s="34"/>
      <c r="Q30" s="34"/>
      <c r="R30" s="213"/>
      <c r="S30" s="213"/>
      <c r="T30" s="217" t="s">
        <v>416</v>
      </c>
    </row>
    <row r="31">
      <c r="A31" s="225" t="s">
        <v>417</v>
      </c>
      <c r="B31" s="225" t="s">
        <v>49</v>
      </c>
      <c r="C31" s="225" t="s">
        <v>418</v>
      </c>
      <c r="D31" s="225" t="s">
        <v>419</v>
      </c>
      <c r="E31" s="213"/>
      <c r="F31" s="213"/>
      <c r="G31" s="34"/>
      <c r="H31" s="206" t="s">
        <v>399</v>
      </c>
      <c r="I31" s="207">
        <v>257.0</v>
      </c>
      <c r="J31" s="211" t="s">
        <v>420</v>
      </c>
      <c r="K31" s="209" t="s">
        <v>421</v>
      </c>
      <c r="L31" s="210">
        <v>8.0</v>
      </c>
      <c r="M31" s="34"/>
      <c r="N31" s="34"/>
      <c r="O31" s="34"/>
      <c r="P31" s="34"/>
      <c r="Q31" s="34"/>
      <c r="R31" s="213"/>
      <c r="S31" s="213"/>
      <c r="T31" s="217" t="s">
        <v>422</v>
      </c>
    </row>
    <row r="32">
      <c r="A32" s="225" t="s">
        <v>423</v>
      </c>
      <c r="B32" s="225" t="s">
        <v>424</v>
      </c>
      <c r="C32" s="225" t="s">
        <v>425</v>
      </c>
      <c r="D32" s="225" t="s">
        <v>426</v>
      </c>
      <c r="E32" s="213"/>
      <c r="F32" s="213"/>
      <c r="G32" s="34"/>
      <c r="H32" s="206" t="s">
        <v>427</v>
      </c>
      <c r="I32" s="207">
        <v>429.0</v>
      </c>
      <c r="J32" s="211" t="s">
        <v>428</v>
      </c>
      <c r="K32" s="209" t="s">
        <v>429</v>
      </c>
      <c r="L32" s="210">
        <v>118.0</v>
      </c>
      <c r="M32" s="34"/>
      <c r="N32" s="34"/>
      <c r="O32" s="34"/>
      <c r="P32" s="34"/>
      <c r="Q32" s="34"/>
      <c r="R32" s="213"/>
      <c r="S32" s="213"/>
      <c r="T32" s="217" t="s">
        <v>430</v>
      </c>
    </row>
    <row r="33">
      <c r="A33" s="225" t="s">
        <v>431</v>
      </c>
      <c r="B33" s="225" t="s">
        <v>49</v>
      </c>
      <c r="C33" s="225" t="s">
        <v>432</v>
      </c>
      <c r="D33" s="225" t="s">
        <v>433</v>
      </c>
      <c r="E33" s="213"/>
      <c r="F33" s="213"/>
      <c r="G33" s="34"/>
      <c r="H33" s="206" t="s">
        <v>434</v>
      </c>
      <c r="I33" s="207">
        <v>297.0</v>
      </c>
      <c r="J33" s="211" t="s">
        <v>435</v>
      </c>
      <c r="K33" s="209" t="s">
        <v>436</v>
      </c>
      <c r="L33" s="210">
        <v>86.0</v>
      </c>
      <c r="M33" s="34"/>
      <c r="N33" s="34"/>
      <c r="O33" s="34"/>
      <c r="P33" s="34"/>
      <c r="Q33" s="34"/>
      <c r="R33" s="213"/>
      <c r="S33" s="213"/>
      <c r="T33" s="217" t="s">
        <v>437</v>
      </c>
    </row>
    <row r="34">
      <c r="A34" s="225" t="s">
        <v>438</v>
      </c>
      <c r="B34" s="225" t="s">
        <v>439</v>
      </c>
      <c r="C34" s="225" t="s">
        <v>440</v>
      </c>
      <c r="D34" s="225" t="s">
        <v>49</v>
      </c>
      <c r="E34" s="213"/>
      <c r="F34" s="213"/>
      <c r="G34" s="34"/>
      <c r="H34" s="206" t="s">
        <v>293</v>
      </c>
      <c r="I34" s="207">
        <v>336.0</v>
      </c>
      <c r="J34" s="211" t="s">
        <v>441</v>
      </c>
      <c r="K34" s="209" t="s">
        <v>442</v>
      </c>
      <c r="L34" s="210">
        <v>87.0</v>
      </c>
      <c r="M34" s="34"/>
      <c r="N34" s="34"/>
      <c r="O34" s="34"/>
      <c r="P34" s="34"/>
      <c r="Q34" s="34"/>
      <c r="R34" s="213"/>
      <c r="S34" s="213"/>
      <c r="T34" s="217" t="s">
        <v>443</v>
      </c>
    </row>
    <row r="35">
      <c r="A35" s="225" t="s">
        <v>444</v>
      </c>
      <c r="B35" s="225" t="s">
        <v>445</v>
      </c>
      <c r="C35" s="225" t="s">
        <v>446</v>
      </c>
      <c r="D35" s="225" t="s">
        <v>447</v>
      </c>
      <c r="E35" s="213"/>
      <c r="F35" s="213"/>
      <c r="G35" s="34"/>
      <c r="H35" s="206" t="s">
        <v>331</v>
      </c>
      <c r="I35" s="207">
        <v>298.0</v>
      </c>
      <c r="J35" s="211" t="s">
        <v>448</v>
      </c>
      <c r="K35" s="209" t="s">
        <v>449</v>
      </c>
      <c r="L35" s="210">
        <v>88.0</v>
      </c>
      <c r="M35" s="34"/>
      <c r="N35" s="34"/>
      <c r="O35" s="34"/>
      <c r="P35" s="34"/>
      <c r="Q35" s="34"/>
      <c r="R35" s="213"/>
      <c r="S35" s="213"/>
      <c r="T35" s="217" t="s">
        <v>165</v>
      </c>
    </row>
    <row r="36">
      <c r="A36" s="225" t="s">
        <v>450</v>
      </c>
      <c r="B36" s="225" t="s">
        <v>49</v>
      </c>
      <c r="C36" s="225" t="s">
        <v>451</v>
      </c>
      <c r="D36" s="225" t="s">
        <v>452</v>
      </c>
      <c r="E36" s="213"/>
      <c r="F36" s="213"/>
      <c r="G36" s="34"/>
      <c r="H36" s="206" t="s">
        <v>453</v>
      </c>
      <c r="I36" s="207">
        <v>114.0</v>
      </c>
      <c r="J36" s="47" t="s">
        <v>454</v>
      </c>
      <c r="K36" s="209" t="s">
        <v>455</v>
      </c>
      <c r="L36" s="210">
        <v>49.0</v>
      </c>
      <c r="M36" s="34"/>
      <c r="N36" s="34"/>
      <c r="O36" s="34"/>
      <c r="P36" s="34"/>
      <c r="Q36" s="34"/>
      <c r="R36" s="213"/>
      <c r="S36" s="213"/>
      <c r="T36" s="217" t="s">
        <v>456</v>
      </c>
    </row>
    <row r="37">
      <c r="A37" s="225" t="s">
        <v>457</v>
      </c>
      <c r="B37" s="225" t="s">
        <v>458</v>
      </c>
      <c r="C37" s="225" t="s">
        <v>459</v>
      </c>
      <c r="D37" s="225" t="s">
        <v>460</v>
      </c>
      <c r="E37" s="213"/>
      <c r="F37" s="213"/>
      <c r="G37" s="34"/>
      <c r="H37" s="206" t="s">
        <v>461</v>
      </c>
      <c r="I37" s="207">
        <v>194.0</v>
      </c>
      <c r="J37" s="226" t="s">
        <v>462</v>
      </c>
      <c r="K37" s="209" t="s">
        <v>463</v>
      </c>
      <c r="L37" s="210">
        <v>50.0</v>
      </c>
      <c r="M37" s="34"/>
      <c r="N37" s="34"/>
      <c r="O37" s="34"/>
      <c r="P37" s="34"/>
      <c r="Q37" s="34"/>
      <c r="R37" s="213"/>
      <c r="S37" s="213"/>
      <c r="T37" s="217" t="s">
        <v>464</v>
      </c>
    </row>
    <row r="38">
      <c r="A38" s="225" t="s">
        <v>465</v>
      </c>
      <c r="B38" s="225" t="s">
        <v>49</v>
      </c>
      <c r="C38" s="225" t="s">
        <v>466</v>
      </c>
      <c r="D38" s="225" t="s">
        <v>467</v>
      </c>
      <c r="E38" s="213"/>
      <c r="F38" s="213"/>
      <c r="G38" s="34"/>
      <c r="H38" s="206" t="s">
        <v>468</v>
      </c>
      <c r="I38" s="207">
        <v>77.0</v>
      </c>
      <c r="J38" s="211" t="s">
        <v>469</v>
      </c>
      <c r="K38" s="209" t="s">
        <v>470</v>
      </c>
      <c r="L38" s="210">
        <v>151.0</v>
      </c>
      <c r="M38" s="34"/>
      <c r="N38" s="34"/>
      <c r="O38" s="34"/>
      <c r="P38" s="34"/>
      <c r="Q38" s="34"/>
      <c r="R38" s="213"/>
      <c r="S38" s="213"/>
      <c r="T38" s="217" t="s">
        <v>471</v>
      </c>
    </row>
    <row r="39">
      <c r="A39" s="225" t="s">
        <v>472</v>
      </c>
      <c r="B39" s="225" t="s">
        <v>49</v>
      </c>
      <c r="C39" s="225" t="s">
        <v>473</v>
      </c>
      <c r="D39" s="225" t="s">
        <v>474</v>
      </c>
      <c r="E39" s="213"/>
      <c r="F39" s="213"/>
      <c r="G39" s="34"/>
      <c r="H39" s="206" t="s">
        <v>475</v>
      </c>
      <c r="I39" s="207">
        <v>593.0</v>
      </c>
      <c r="J39" s="211" t="s">
        <v>476</v>
      </c>
      <c r="K39" s="209" t="s">
        <v>477</v>
      </c>
      <c r="L39" s="210">
        <v>89.0</v>
      </c>
      <c r="M39" s="34"/>
      <c r="N39" s="34"/>
      <c r="O39" s="34"/>
      <c r="P39" s="34"/>
      <c r="Q39" s="34"/>
      <c r="R39" s="213"/>
      <c r="S39" s="213"/>
      <c r="T39" s="217" t="s">
        <v>478</v>
      </c>
    </row>
    <row r="40">
      <c r="A40" s="225" t="s">
        <v>479</v>
      </c>
      <c r="B40" s="225" t="s">
        <v>480</v>
      </c>
      <c r="C40" s="225" t="s">
        <v>481</v>
      </c>
      <c r="D40" s="225" t="s">
        <v>49</v>
      </c>
      <c r="E40" s="213"/>
      <c r="F40" s="213"/>
      <c r="G40" s="34"/>
      <c r="H40" s="206" t="s">
        <v>482</v>
      </c>
      <c r="I40" s="207">
        <v>78.0</v>
      </c>
      <c r="J40" s="211" t="s">
        <v>483</v>
      </c>
      <c r="K40" s="209" t="s">
        <v>484</v>
      </c>
      <c r="L40" s="210">
        <v>90.0</v>
      </c>
      <c r="M40" s="34"/>
      <c r="N40" s="34"/>
      <c r="O40" s="34"/>
      <c r="P40" s="34"/>
      <c r="Q40" s="34"/>
      <c r="R40" s="213"/>
      <c r="S40" s="213"/>
      <c r="T40" s="217" t="s">
        <v>485</v>
      </c>
    </row>
    <row r="41">
      <c r="A41" s="225" t="s">
        <v>486</v>
      </c>
      <c r="B41" s="225" t="s">
        <v>487</v>
      </c>
      <c r="C41" s="225" t="s">
        <v>488</v>
      </c>
      <c r="D41" s="225" t="s">
        <v>49</v>
      </c>
      <c r="E41" s="213"/>
      <c r="F41" s="213"/>
      <c r="G41" s="34"/>
      <c r="H41" s="206" t="s">
        <v>489</v>
      </c>
      <c r="I41" s="207">
        <v>217.0</v>
      </c>
      <c r="J41" s="211" t="s">
        <v>490</v>
      </c>
      <c r="K41" s="209" t="s">
        <v>491</v>
      </c>
      <c r="L41" s="210">
        <v>91.0</v>
      </c>
      <c r="M41" s="34"/>
      <c r="N41" s="34"/>
      <c r="O41" s="34"/>
      <c r="P41" s="34"/>
      <c r="Q41" s="34"/>
      <c r="R41" s="213"/>
      <c r="S41" s="213"/>
      <c r="T41" s="217" t="s">
        <v>492</v>
      </c>
    </row>
    <row r="42">
      <c r="A42" s="225" t="s">
        <v>493</v>
      </c>
      <c r="B42" s="225" t="s">
        <v>494</v>
      </c>
      <c r="C42" s="225" t="s">
        <v>495</v>
      </c>
      <c r="D42" s="225" t="s">
        <v>49</v>
      </c>
      <c r="E42" s="213"/>
      <c r="F42" s="213"/>
      <c r="G42" s="34"/>
      <c r="H42" s="206" t="s">
        <v>496</v>
      </c>
      <c r="I42" s="207">
        <v>115.0</v>
      </c>
      <c r="J42" s="211" t="s">
        <v>497</v>
      </c>
      <c r="K42" s="209" t="s">
        <v>498</v>
      </c>
      <c r="L42" s="210">
        <v>92.0</v>
      </c>
      <c r="M42" s="34"/>
      <c r="N42" s="34"/>
      <c r="O42" s="34"/>
      <c r="P42" s="34"/>
      <c r="Q42" s="34"/>
      <c r="R42" s="213"/>
      <c r="S42" s="213"/>
      <c r="T42" s="217" t="s">
        <v>499</v>
      </c>
    </row>
    <row r="43">
      <c r="A43" s="225" t="s">
        <v>500</v>
      </c>
      <c r="B43" s="225" t="s">
        <v>501</v>
      </c>
      <c r="C43" s="225" t="s">
        <v>502</v>
      </c>
      <c r="D43" s="225" t="s">
        <v>49</v>
      </c>
      <c r="E43" s="213"/>
      <c r="F43" s="213"/>
      <c r="G43" s="34"/>
      <c r="H43" s="206" t="s">
        <v>503</v>
      </c>
      <c r="I43" s="207">
        <v>533.0</v>
      </c>
      <c r="J43" s="211" t="s">
        <v>504</v>
      </c>
      <c r="K43" s="209" t="s">
        <v>505</v>
      </c>
      <c r="L43" s="210">
        <v>9.0</v>
      </c>
      <c r="M43" s="34"/>
      <c r="N43" s="34"/>
      <c r="O43" s="34"/>
      <c r="P43" s="34"/>
      <c r="Q43" s="34"/>
      <c r="R43" s="213"/>
      <c r="S43" s="213"/>
      <c r="T43" s="217" t="s">
        <v>506</v>
      </c>
    </row>
    <row r="44">
      <c r="A44" s="225" t="s">
        <v>507</v>
      </c>
      <c r="B44" s="225" t="s">
        <v>508</v>
      </c>
      <c r="C44" s="225" t="s">
        <v>509</v>
      </c>
      <c r="D44" s="225" t="s">
        <v>49</v>
      </c>
      <c r="E44" s="213"/>
      <c r="F44" s="213"/>
      <c r="G44" s="34"/>
      <c r="H44" s="206" t="s">
        <v>510</v>
      </c>
      <c r="I44" s="207">
        <v>195.0</v>
      </c>
      <c r="J44" s="211" t="s">
        <v>511</v>
      </c>
      <c r="K44" s="209" t="s">
        <v>512</v>
      </c>
      <c r="L44" s="210">
        <v>10.0</v>
      </c>
      <c r="M44" s="34"/>
      <c r="N44" s="34"/>
      <c r="O44" s="34"/>
      <c r="P44" s="34"/>
      <c r="Q44" s="34"/>
      <c r="R44" s="213"/>
      <c r="S44" s="213"/>
      <c r="T44" s="217" t="s">
        <v>513</v>
      </c>
    </row>
    <row r="45">
      <c r="A45" s="225" t="s">
        <v>495</v>
      </c>
      <c r="B45" s="225" t="s">
        <v>514</v>
      </c>
      <c r="C45" s="225" t="s">
        <v>515</v>
      </c>
      <c r="D45" s="225" t="s">
        <v>49</v>
      </c>
      <c r="E45" s="213"/>
      <c r="F45" s="213"/>
      <c r="G45" s="34"/>
      <c r="H45" s="206" t="s">
        <v>516</v>
      </c>
      <c r="I45" s="207">
        <v>411.0</v>
      </c>
      <c r="J45" s="211" t="s">
        <v>517</v>
      </c>
      <c r="K45" s="209" t="s">
        <v>518</v>
      </c>
      <c r="L45" s="210">
        <v>11.0</v>
      </c>
      <c r="M45" s="34"/>
      <c r="N45" s="34"/>
      <c r="O45" s="34"/>
      <c r="P45" s="34"/>
      <c r="Q45" s="34"/>
      <c r="R45" s="213"/>
      <c r="S45" s="213"/>
      <c r="T45" s="217" t="s">
        <v>519</v>
      </c>
    </row>
    <row r="46">
      <c r="A46" s="225" t="s">
        <v>520</v>
      </c>
      <c r="B46" s="225" t="s">
        <v>521</v>
      </c>
      <c r="C46" s="225" t="s">
        <v>373</v>
      </c>
      <c r="D46" s="225" t="s">
        <v>522</v>
      </c>
      <c r="E46" s="213"/>
      <c r="F46" s="213"/>
      <c r="G46" s="34"/>
      <c r="H46" s="206" t="s">
        <v>355</v>
      </c>
      <c r="I46" s="207">
        <v>337.0</v>
      </c>
      <c r="J46" s="211" t="s">
        <v>523</v>
      </c>
      <c r="K46" s="209" t="s">
        <v>524</v>
      </c>
      <c r="L46" s="210">
        <v>93.0</v>
      </c>
      <c r="M46" s="34"/>
      <c r="N46" s="34"/>
      <c r="O46" s="34"/>
      <c r="P46" s="34"/>
      <c r="Q46" s="34"/>
      <c r="R46" s="213"/>
      <c r="S46" s="213"/>
      <c r="T46" s="217" t="s">
        <v>525</v>
      </c>
    </row>
    <row r="47">
      <c r="A47" s="225" t="s">
        <v>526</v>
      </c>
      <c r="B47" s="225" t="s">
        <v>527</v>
      </c>
      <c r="C47" s="225" t="s">
        <v>503</v>
      </c>
      <c r="D47" s="225" t="s">
        <v>49</v>
      </c>
      <c r="E47" s="213"/>
      <c r="F47" s="213"/>
      <c r="G47" s="34"/>
      <c r="H47" s="206" t="s">
        <v>360</v>
      </c>
      <c r="I47" s="207">
        <v>339.0</v>
      </c>
      <c r="J47" s="211" t="s">
        <v>528</v>
      </c>
      <c r="K47" s="209" t="s">
        <v>529</v>
      </c>
      <c r="L47" s="210">
        <v>12.0</v>
      </c>
      <c r="M47" s="34"/>
      <c r="N47" s="34"/>
      <c r="O47" s="34"/>
      <c r="P47" s="34"/>
      <c r="Q47" s="34"/>
      <c r="R47" s="213"/>
      <c r="S47" s="213"/>
      <c r="T47" s="217" t="s">
        <v>530</v>
      </c>
    </row>
    <row r="48">
      <c r="A48" s="225" t="s">
        <v>531</v>
      </c>
      <c r="B48" s="225" t="s">
        <v>532</v>
      </c>
      <c r="C48" s="225" t="s">
        <v>533</v>
      </c>
      <c r="D48" s="225" t="s">
        <v>534</v>
      </c>
      <c r="E48" s="213"/>
      <c r="F48" s="213"/>
      <c r="G48" s="34"/>
      <c r="H48" s="206" t="s">
        <v>535</v>
      </c>
      <c r="I48" s="207">
        <v>196.0</v>
      </c>
      <c r="J48" s="211" t="s">
        <v>536</v>
      </c>
      <c r="K48" s="209" t="s">
        <v>537</v>
      </c>
      <c r="L48" s="210">
        <v>94.0</v>
      </c>
      <c r="M48" s="34"/>
      <c r="N48" s="34"/>
      <c r="O48" s="34"/>
      <c r="P48" s="34"/>
      <c r="Q48" s="34"/>
      <c r="R48" s="213"/>
      <c r="S48" s="213"/>
      <c r="T48" s="217" t="s">
        <v>538</v>
      </c>
    </row>
    <row r="49">
      <c r="A49" s="225" t="s">
        <v>539</v>
      </c>
      <c r="B49" s="225" t="s">
        <v>540</v>
      </c>
      <c r="C49" s="225" t="s">
        <v>541</v>
      </c>
      <c r="D49" s="225" t="s">
        <v>49</v>
      </c>
      <c r="E49" s="213"/>
      <c r="F49" s="213"/>
      <c r="G49" s="34"/>
      <c r="H49" s="206" t="s">
        <v>542</v>
      </c>
      <c r="I49" s="207">
        <v>134.0</v>
      </c>
      <c r="J49" s="211" t="s">
        <v>543</v>
      </c>
      <c r="K49" s="209" t="s">
        <v>544</v>
      </c>
      <c r="L49" s="210">
        <v>1.0</v>
      </c>
      <c r="M49" s="34"/>
      <c r="N49" s="34"/>
      <c r="O49" s="34"/>
      <c r="P49" s="34"/>
      <c r="Q49" s="34"/>
      <c r="R49" s="213"/>
      <c r="S49" s="213"/>
      <c r="T49" s="217" t="s">
        <v>545</v>
      </c>
    </row>
    <row r="50">
      <c r="A50" s="225" t="s">
        <v>546</v>
      </c>
      <c r="B50" s="225" t="s">
        <v>547</v>
      </c>
      <c r="C50" s="225" t="s">
        <v>548</v>
      </c>
      <c r="D50" s="225" t="s">
        <v>49</v>
      </c>
      <c r="E50" s="213"/>
      <c r="F50" s="213"/>
      <c r="G50" s="34"/>
      <c r="H50" s="206" t="s">
        <v>279</v>
      </c>
      <c r="I50" s="207">
        <v>28.0</v>
      </c>
      <c r="J50" s="211" t="s">
        <v>549</v>
      </c>
      <c r="K50" s="209" t="s">
        <v>550</v>
      </c>
      <c r="L50" s="210">
        <v>95.0</v>
      </c>
      <c r="M50" s="34"/>
      <c r="N50" s="34"/>
      <c r="O50" s="34"/>
      <c r="P50" s="34"/>
      <c r="Q50" s="34"/>
      <c r="R50" s="213"/>
      <c r="S50" s="213"/>
      <c r="T50" s="217" t="s">
        <v>551</v>
      </c>
    </row>
    <row r="51">
      <c r="A51" s="213"/>
      <c r="B51" s="213"/>
      <c r="C51" s="225" t="s">
        <v>552</v>
      </c>
      <c r="D51" s="225" t="s">
        <v>553</v>
      </c>
      <c r="E51" s="213"/>
      <c r="F51" s="213"/>
      <c r="G51" s="34"/>
      <c r="H51" s="206" t="s">
        <v>406</v>
      </c>
      <c r="I51" s="207">
        <v>258.0</v>
      </c>
      <c r="J51" s="211" t="s">
        <v>554</v>
      </c>
      <c r="K51" s="209" t="s">
        <v>555</v>
      </c>
      <c r="L51" s="210">
        <v>13.0</v>
      </c>
      <c r="M51" s="34"/>
      <c r="N51" s="34"/>
      <c r="O51" s="34"/>
      <c r="P51" s="34"/>
      <c r="Q51" s="34"/>
      <c r="R51" s="213"/>
      <c r="S51" s="213"/>
      <c r="T51" s="217" t="s">
        <v>556</v>
      </c>
    </row>
    <row r="52">
      <c r="A52" s="213"/>
      <c r="B52" s="213"/>
      <c r="C52" s="225" t="s">
        <v>557</v>
      </c>
      <c r="D52" s="225" t="s">
        <v>49</v>
      </c>
      <c r="E52" s="213"/>
      <c r="F52" s="213"/>
      <c r="G52" s="34"/>
      <c r="H52" s="206" t="s">
        <v>558</v>
      </c>
      <c r="I52" s="207">
        <v>443.0</v>
      </c>
      <c r="J52" s="47" t="s">
        <v>559</v>
      </c>
      <c r="K52" s="209" t="s">
        <v>560</v>
      </c>
      <c r="L52" s="210">
        <v>96.0</v>
      </c>
      <c r="M52" s="34"/>
      <c r="N52" s="34"/>
      <c r="O52" s="34"/>
      <c r="P52" s="34"/>
      <c r="Q52" s="34"/>
      <c r="R52" s="213"/>
      <c r="S52" s="213"/>
      <c r="T52" s="217" t="s">
        <v>561</v>
      </c>
    </row>
    <row r="53">
      <c r="A53" s="213"/>
      <c r="B53" s="213"/>
      <c r="C53" s="225" t="s">
        <v>562</v>
      </c>
      <c r="D53" s="225" t="s">
        <v>563</v>
      </c>
      <c r="E53" s="213"/>
      <c r="F53" s="213"/>
      <c r="G53" s="34"/>
      <c r="H53" s="206" t="s">
        <v>564</v>
      </c>
      <c r="I53" s="207">
        <v>184.0</v>
      </c>
      <c r="J53" s="211" t="s">
        <v>565</v>
      </c>
      <c r="K53" s="209" t="s">
        <v>566</v>
      </c>
      <c r="L53" s="210">
        <v>97.0</v>
      </c>
      <c r="M53" s="34"/>
      <c r="N53" s="34"/>
      <c r="O53" s="34"/>
      <c r="P53" s="34"/>
      <c r="Q53" s="34"/>
      <c r="R53" s="213"/>
      <c r="S53" s="213"/>
      <c r="T53" s="217" t="s">
        <v>567</v>
      </c>
    </row>
    <row r="54">
      <c r="A54" s="213"/>
      <c r="B54" s="213"/>
      <c r="C54" s="225" t="s">
        <v>568</v>
      </c>
      <c r="D54" s="225" t="s">
        <v>49</v>
      </c>
      <c r="E54" s="213"/>
      <c r="F54" s="213"/>
      <c r="G54" s="34"/>
      <c r="H54" s="206" t="s">
        <v>569</v>
      </c>
      <c r="I54" s="207">
        <v>412.0</v>
      </c>
      <c r="J54" s="211" t="s">
        <v>570</v>
      </c>
      <c r="K54" s="209" t="s">
        <v>571</v>
      </c>
      <c r="L54" s="210">
        <v>98.0</v>
      </c>
      <c r="M54" s="34"/>
      <c r="N54" s="34"/>
      <c r="O54" s="34"/>
      <c r="P54" s="34"/>
      <c r="Q54" s="34"/>
      <c r="R54" s="213"/>
      <c r="S54" s="213"/>
      <c r="T54" s="217" t="s">
        <v>572</v>
      </c>
    </row>
    <row r="55">
      <c r="A55" s="213"/>
      <c r="B55" s="213"/>
      <c r="C55" s="225" t="s">
        <v>573</v>
      </c>
      <c r="D55" s="225" t="s">
        <v>49</v>
      </c>
      <c r="E55" s="213"/>
      <c r="F55" s="213"/>
      <c r="G55" s="34"/>
      <c r="H55" s="206" t="s">
        <v>574</v>
      </c>
      <c r="I55" s="207">
        <v>79.0</v>
      </c>
      <c r="J55" s="211" t="s">
        <v>575</v>
      </c>
      <c r="K55" s="209" t="s">
        <v>576</v>
      </c>
      <c r="L55" s="210">
        <v>14.0</v>
      </c>
      <c r="M55" s="34"/>
      <c r="N55" s="34"/>
      <c r="O55" s="34"/>
      <c r="P55" s="34"/>
      <c r="Q55" s="34"/>
      <c r="R55" s="213"/>
      <c r="S55" s="213"/>
      <c r="T55" s="217" t="s">
        <v>577</v>
      </c>
    </row>
    <row r="56">
      <c r="A56" s="213"/>
      <c r="B56" s="213"/>
      <c r="C56" s="225" t="s">
        <v>578</v>
      </c>
      <c r="D56" s="225" t="s">
        <v>49</v>
      </c>
      <c r="E56" s="213"/>
      <c r="F56" s="213"/>
      <c r="G56" s="34"/>
      <c r="H56" s="206" t="s">
        <v>579</v>
      </c>
      <c r="I56" s="207">
        <v>430.0</v>
      </c>
      <c r="J56" s="211" t="s">
        <v>580</v>
      </c>
      <c r="K56" s="209" t="s">
        <v>581</v>
      </c>
      <c r="L56" s="210">
        <v>3.0</v>
      </c>
      <c r="M56" s="34"/>
      <c r="N56" s="34"/>
      <c r="O56" s="34"/>
      <c r="P56" s="34"/>
      <c r="Q56" s="34"/>
      <c r="R56" s="213"/>
      <c r="S56" s="213"/>
      <c r="T56" s="217" t="s">
        <v>582</v>
      </c>
    </row>
    <row r="57">
      <c r="A57" s="213"/>
      <c r="B57" s="213"/>
      <c r="C57" s="225" t="s">
        <v>583</v>
      </c>
      <c r="D57" s="225" t="s">
        <v>584</v>
      </c>
      <c r="E57" s="213"/>
      <c r="F57" s="213"/>
      <c r="G57" s="34"/>
      <c r="H57" s="206" t="s">
        <v>288</v>
      </c>
      <c r="I57" s="207">
        <v>29.0</v>
      </c>
      <c r="J57" s="211" t="s">
        <v>585</v>
      </c>
      <c r="K57" s="209" t="s">
        <v>586</v>
      </c>
      <c r="L57" s="210">
        <v>99.0</v>
      </c>
      <c r="M57" s="34"/>
      <c r="N57" s="34"/>
      <c r="O57" s="34"/>
      <c r="P57" s="34"/>
      <c r="Q57" s="34"/>
      <c r="R57" s="213"/>
      <c r="S57" s="213"/>
      <c r="T57" s="217" t="s">
        <v>587</v>
      </c>
    </row>
    <row r="58">
      <c r="A58" s="213"/>
      <c r="B58" s="213"/>
      <c r="C58" s="225" t="s">
        <v>353</v>
      </c>
      <c r="D58" s="225" t="s">
        <v>49</v>
      </c>
      <c r="E58" s="213"/>
      <c r="F58" s="213"/>
      <c r="G58" s="34"/>
      <c r="H58" s="206" t="s">
        <v>588</v>
      </c>
      <c r="I58" s="207">
        <v>144.0</v>
      </c>
      <c r="J58" s="211" t="s">
        <v>589</v>
      </c>
      <c r="K58" s="209" t="s">
        <v>590</v>
      </c>
      <c r="L58" s="210">
        <v>166.0</v>
      </c>
      <c r="M58" s="34"/>
      <c r="N58" s="34"/>
      <c r="O58" s="34"/>
      <c r="P58" s="34"/>
      <c r="Q58" s="34"/>
      <c r="R58" s="213"/>
      <c r="S58" s="213"/>
      <c r="T58" s="217" t="s">
        <v>591</v>
      </c>
    </row>
    <row r="59">
      <c r="A59" s="213"/>
      <c r="B59" s="213"/>
      <c r="C59" s="225" t="s">
        <v>592</v>
      </c>
      <c r="D59" s="225" t="s">
        <v>593</v>
      </c>
      <c r="E59" s="213"/>
      <c r="F59" s="213"/>
      <c r="G59" s="34"/>
      <c r="H59" s="206" t="s">
        <v>412</v>
      </c>
      <c r="I59" s="207">
        <v>259.0</v>
      </c>
      <c r="J59" s="211" t="s">
        <v>594</v>
      </c>
      <c r="K59" s="209" t="s">
        <v>595</v>
      </c>
      <c r="L59" s="210">
        <v>100.0</v>
      </c>
      <c r="M59" s="34"/>
      <c r="N59" s="34"/>
      <c r="O59" s="34"/>
      <c r="P59" s="34"/>
      <c r="Q59" s="34"/>
      <c r="R59" s="213"/>
      <c r="S59" s="213"/>
      <c r="T59" s="217" t="s">
        <v>596</v>
      </c>
    </row>
    <row r="60">
      <c r="A60" s="213"/>
      <c r="B60" s="213"/>
      <c r="C60" s="225" t="s">
        <v>597</v>
      </c>
      <c r="D60" s="225" t="s">
        <v>598</v>
      </c>
      <c r="E60" s="213"/>
      <c r="F60" s="213"/>
      <c r="G60" s="34"/>
      <c r="H60" s="206" t="s">
        <v>256</v>
      </c>
      <c r="I60" s="207">
        <v>230.0</v>
      </c>
      <c r="J60" s="211" t="s">
        <v>599</v>
      </c>
      <c r="K60" s="45" t="s">
        <v>600</v>
      </c>
      <c r="L60" s="83">
        <v>127.0</v>
      </c>
      <c r="M60" s="34"/>
      <c r="N60" s="34"/>
      <c r="O60" s="34"/>
      <c r="P60" s="34"/>
      <c r="Q60" s="34"/>
      <c r="R60" s="213"/>
      <c r="S60" s="213"/>
      <c r="T60" s="217" t="s">
        <v>601</v>
      </c>
    </row>
    <row r="61">
      <c r="A61" s="213"/>
      <c r="B61" s="213"/>
      <c r="C61" s="225" t="s">
        <v>602</v>
      </c>
      <c r="D61" s="225" t="s">
        <v>603</v>
      </c>
      <c r="E61" s="213"/>
      <c r="F61" s="213"/>
      <c r="G61" s="34"/>
      <c r="H61" s="206" t="s">
        <v>604</v>
      </c>
      <c r="I61" s="207">
        <v>103.0</v>
      </c>
      <c r="J61" s="211" t="s">
        <v>605</v>
      </c>
      <c r="K61" s="209" t="s">
        <v>606</v>
      </c>
      <c r="L61" s="83">
        <v>101.0</v>
      </c>
      <c r="M61" s="34"/>
      <c r="N61" s="34"/>
      <c r="O61" s="34"/>
      <c r="P61" s="34"/>
      <c r="Q61" s="34"/>
      <c r="R61" s="213"/>
      <c r="S61" s="213"/>
      <c r="T61" s="217" t="s">
        <v>607</v>
      </c>
    </row>
    <row r="62">
      <c r="A62" s="213"/>
      <c r="B62" s="213"/>
      <c r="C62" s="225" t="s">
        <v>608</v>
      </c>
      <c r="D62" s="225" t="s">
        <v>49</v>
      </c>
      <c r="E62" s="213"/>
      <c r="F62" s="213"/>
      <c r="G62" s="34"/>
      <c r="H62" s="206" t="s">
        <v>609</v>
      </c>
      <c r="I62" s="207">
        <v>299.0</v>
      </c>
      <c r="J62" s="211" t="s">
        <v>610</v>
      </c>
      <c r="K62" s="209" t="s">
        <v>611</v>
      </c>
      <c r="L62" s="83">
        <v>15.0</v>
      </c>
      <c r="M62" s="34"/>
      <c r="N62" s="34"/>
      <c r="O62" s="34"/>
      <c r="P62" s="34"/>
      <c r="Q62" s="34"/>
      <c r="R62" s="213"/>
      <c r="S62" s="213"/>
      <c r="T62" s="217" t="s">
        <v>612</v>
      </c>
    </row>
    <row r="63">
      <c r="A63" s="213"/>
      <c r="B63" s="213"/>
      <c r="C63" s="225" t="s">
        <v>613</v>
      </c>
      <c r="D63" s="225" t="s">
        <v>614</v>
      </c>
      <c r="E63" s="213"/>
      <c r="F63" s="213"/>
      <c r="G63" s="34"/>
      <c r="H63" s="206" t="s">
        <v>615</v>
      </c>
      <c r="I63" s="207">
        <v>300.0</v>
      </c>
      <c r="J63" s="211" t="s">
        <v>616</v>
      </c>
      <c r="K63" s="209" t="s">
        <v>617</v>
      </c>
      <c r="L63" s="83">
        <v>16.0</v>
      </c>
      <c r="M63" s="34"/>
      <c r="N63" s="34"/>
      <c r="O63" s="34"/>
      <c r="P63" s="34"/>
      <c r="Q63" s="34"/>
      <c r="R63" s="213"/>
      <c r="S63" s="213"/>
      <c r="T63" s="217" t="s">
        <v>618</v>
      </c>
    </row>
    <row r="64">
      <c r="A64" s="213"/>
      <c r="B64" s="213"/>
      <c r="C64" s="225" t="s">
        <v>230</v>
      </c>
      <c r="D64" s="225" t="s">
        <v>49</v>
      </c>
      <c r="E64" s="213"/>
      <c r="F64" s="213"/>
      <c r="G64" s="34"/>
      <c r="H64" s="206" t="s">
        <v>619</v>
      </c>
      <c r="I64" s="207">
        <v>431.0</v>
      </c>
      <c r="J64" s="211" t="s">
        <v>620</v>
      </c>
      <c r="K64" s="209" t="s">
        <v>621</v>
      </c>
      <c r="L64" s="83">
        <v>102.0</v>
      </c>
      <c r="M64" s="34"/>
      <c r="N64" s="34"/>
      <c r="O64" s="34"/>
      <c r="P64" s="34"/>
      <c r="Q64" s="34"/>
      <c r="R64" s="213"/>
      <c r="S64" s="213"/>
      <c r="T64" s="217" t="s">
        <v>622</v>
      </c>
    </row>
    <row r="65">
      <c r="A65" s="213"/>
      <c r="B65" s="213"/>
      <c r="C65" s="225" t="s">
        <v>291</v>
      </c>
      <c r="D65" s="225" t="s">
        <v>623</v>
      </c>
      <c r="E65" s="213"/>
      <c r="F65" s="213"/>
      <c r="G65" s="34"/>
      <c r="H65" s="206" t="s">
        <v>624</v>
      </c>
      <c r="I65" s="207">
        <v>91.0</v>
      </c>
      <c r="J65" s="211" t="s">
        <v>625</v>
      </c>
      <c r="K65" s="209" t="s">
        <v>626</v>
      </c>
      <c r="L65" s="83">
        <v>103.0</v>
      </c>
      <c r="M65" s="34"/>
      <c r="N65" s="34"/>
      <c r="O65" s="34"/>
      <c r="P65" s="34"/>
      <c r="Q65" s="34"/>
      <c r="R65" s="213"/>
      <c r="S65" s="213"/>
      <c r="T65" s="217" t="s">
        <v>627</v>
      </c>
    </row>
    <row r="66">
      <c r="A66" s="213"/>
      <c r="B66" s="213"/>
      <c r="C66" s="225" t="s">
        <v>299</v>
      </c>
      <c r="D66" s="225" t="s">
        <v>628</v>
      </c>
      <c r="E66" s="213"/>
      <c r="F66" s="213"/>
      <c r="G66" s="34"/>
      <c r="H66" s="206" t="s">
        <v>629</v>
      </c>
      <c r="I66" s="207">
        <v>301.0</v>
      </c>
      <c r="J66" s="211" t="s">
        <v>630</v>
      </c>
      <c r="K66" s="209" t="s">
        <v>631</v>
      </c>
      <c r="L66" s="83">
        <v>54.0</v>
      </c>
      <c r="M66" s="34"/>
      <c r="N66" s="34"/>
      <c r="O66" s="34"/>
      <c r="P66" s="34"/>
      <c r="Q66" s="34"/>
      <c r="R66" s="213"/>
      <c r="S66" s="213"/>
      <c r="T66" s="217" t="s">
        <v>632</v>
      </c>
    </row>
    <row r="67">
      <c r="A67" s="213"/>
      <c r="B67" s="213"/>
      <c r="C67" s="225" t="s">
        <v>401</v>
      </c>
      <c r="D67" s="225" t="s">
        <v>49</v>
      </c>
      <c r="E67" s="213"/>
      <c r="F67" s="213"/>
      <c r="G67" s="34"/>
      <c r="H67" s="206" t="s">
        <v>633</v>
      </c>
      <c r="I67" s="207">
        <v>334.0</v>
      </c>
      <c r="J67" s="211" t="s">
        <v>634</v>
      </c>
      <c r="K67" s="209" t="s">
        <v>635</v>
      </c>
      <c r="L67" s="83">
        <v>196.0</v>
      </c>
      <c r="M67" s="34"/>
      <c r="N67" s="34"/>
      <c r="O67" s="34"/>
      <c r="P67" s="34"/>
      <c r="Q67" s="34"/>
      <c r="R67" s="213"/>
      <c r="S67" s="213"/>
      <c r="T67" s="217" t="s">
        <v>636</v>
      </c>
    </row>
    <row r="68">
      <c r="A68" s="213"/>
      <c r="B68" s="213"/>
      <c r="C68" s="225" t="s">
        <v>434</v>
      </c>
      <c r="D68" s="225" t="s">
        <v>637</v>
      </c>
      <c r="E68" s="213"/>
      <c r="F68" s="213"/>
      <c r="G68" s="34"/>
      <c r="H68" s="206" t="s">
        <v>638</v>
      </c>
      <c r="I68" s="207">
        <v>432.0</v>
      </c>
      <c r="J68" s="211" t="s">
        <v>639</v>
      </c>
      <c r="K68" s="209" t="s">
        <v>635</v>
      </c>
      <c r="L68" s="83">
        <v>200.0</v>
      </c>
      <c r="M68" s="34"/>
      <c r="N68" s="34"/>
      <c r="O68" s="34"/>
      <c r="P68" s="34"/>
      <c r="Q68" s="34"/>
      <c r="R68" s="213"/>
      <c r="S68" s="213"/>
      <c r="T68" s="217" t="s">
        <v>640</v>
      </c>
    </row>
    <row r="69">
      <c r="A69" s="213"/>
      <c r="B69" s="213"/>
      <c r="C69" s="225" t="s">
        <v>331</v>
      </c>
      <c r="D69" s="225" t="s">
        <v>641</v>
      </c>
      <c r="E69" s="213"/>
      <c r="F69" s="213"/>
      <c r="G69" s="34"/>
      <c r="H69" s="206" t="s">
        <v>642</v>
      </c>
      <c r="I69" s="207">
        <v>302.0</v>
      </c>
      <c r="J69" s="211" t="s">
        <v>643</v>
      </c>
      <c r="K69" s="209" t="s">
        <v>644</v>
      </c>
      <c r="L69" s="83">
        <v>104.0</v>
      </c>
      <c r="M69" s="34"/>
      <c r="N69" s="34"/>
      <c r="O69" s="34"/>
      <c r="P69" s="34"/>
      <c r="Q69" s="34"/>
      <c r="R69" s="213"/>
      <c r="S69" s="213"/>
      <c r="T69" s="217" t="s">
        <v>645</v>
      </c>
    </row>
    <row r="70">
      <c r="A70" s="213"/>
      <c r="B70" s="213"/>
      <c r="C70" s="225" t="s">
        <v>609</v>
      </c>
      <c r="D70" s="225" t="s">
        <v>49</v>
      </c>
      <c r="E70" s="213"/>
      <c r="F70" s="213"/>
      <c r="G70" s="34"/>
      <c r="H70" s="206" t="s">
        <v>646</v>
      </c>
      <c r="I70" s="207">
        <v>303.0</v>
      </c>
      <c r="J70" s="211" t="s">
        <v>647</v>
      </c>
      <c r="K70" s="209" t="s">
        <v>648</v>
      </c>
      <c r="L70" s="83">
        <v>2.0</v>
      </c>
      <c r="M70" s="34"/>
      <c r="N70" s="34"/>
      <c r="O70" s="34"/>
      <c r="P70" s="34"/>
      <c r="Q70" s="34"/>
      <c r="R70" s="213"/>
      <c r="S70" s="213"/>
      <c r="T70" s="217" t="s">
        <v>649</v>
      </c>
    </row>
    <row r="71">
      <c r="A71" s="213"/>
      <c r="B71" s="213"/>
      <c r="C71" s="225" t="s">
        <v>615</v>
      </c>
      <c r="D71" s="225" t="s">
        <v>49</v>
      </c>
      <c r="E71" s="213"/>
      <c r="F71" s="213"/>
      <c r="G71" s="34"/>
      <c r="H71" s="206" t="s">
        <v>650</v>
      </c>
      <c r="I71" s="207">
        <v>444.0</v>
      </c>
      <c r="J71" s="211" t="s">
        <v>651</v>
      </c>
      <c r="K71" s="209" t="s">
        <v>652</v>
      </c>
      <c r="L71" s="83">
        <v>105.0</v>
      </c>
      <c r="M71" s="34"/>
      <c r="N71" s="34"/>
      <c r="O71" s="34"/>
      <c r="P71" s="34"/>
      <c r="Q71" s="34"/>
      <c r="R71" s="213"/>
      <c r="S71" s="213"/>
      <c r="T71" s="217" t="s">
        <v>653</v>
      </c>
    </row>
    <row r="72">
      <c r="A72" s="213"/>
      <c r="B72" s="213"/>
      <c r="C72" s="225" t="s">
        <v>629</v>
      </c>
      <c r="D72" s="225" t="s">
        <v>654</v>
      </c>
      <c r="E72" s="213"/>
      <c r="F72" s="213"/>
      <c r="G72" s="34"/>
      <c r="H72" s="206" t="s">
        <v>655</v>
      </c>
      <c r="I72" s="207">
        <v>116.0</v>
      </c>
      <c r="J72" s="211" t="s">
        <v>656</v>
      </c>
      <c r="K72" s="209" t="s">
        <v>657</v>
      </c>
      <c r="L72" s="83">
        <v>17.0</v>
      </c>
      <c r="M72" s="34"/>
      <c r="N72" s="34"/>
      <c r="O72" s="34"/>
      <c r="P72" s="34"/>
      <c r="Q72" s="34"/>
      <c r="R72" s="213"/>
      <c r="S72" s="213"/>
      <c r="T72" s="217" t="s">
        <v>658</v>
      </c>
    </row>
    <row r="73">
      <c r="A73" s="213"/>
      <c r="B73" s="213"/>
      <c r="C73" s="225" t="s">
        <v>642</v>
      </c>
      <c r="D73" s="225" t="s">
        <v>49</v>
      </c>
      <c r="E73" s="213"/>
      <c r="F73" s="213"/>
      <c r="G73" s="34"/>
      <c r="H73" s="206" t="s">
        <v>659</v>
      </c>
      <c r="I73" s="207">
        <v>117.0</v>
      </c>
      <c r="J73" s="211" t="s">
        <v>660</v>
      </c>
      <c r="K73" s="209" t="s">
        <v>661</v>
      </c>
      <c r="L73" s="83">
        <v>106.0</v>
      </c>
      <c r="M73" s="34"/>
      <c r="N73" s="34"/>
      <c r="O73" s="34"/>
      <c r="P73" s="34"/>
      <c r="Q73" s="34"/>
      <c r="R73" s="213"/>
      <c r="S73" s="213"/>
      <c r="T73" s="217" t="s">
        <v>662</v>
      </c>
    </row>
    <row r="74">
      <c r="A74" s="213"/>
      <c r="B74" s="213"/>
      <c r="C74" s="225" t="s">
        <v>646</v>
      </c>
      <c r="D74" s="225" t="s">
        <v>49</v>
      </c>
      <c r="E74" s="213"/>
      <c r="F74" s="213"/>
      <c r="G74" s="34"/>
      <c r="H74" s="206" t="s">
        <v>663</v>
      </c>
      <c r="I74" s="207">
        <v>170.0</v>
      </c>
      <c r="J74" s="211" t="s">
        <v>664</v>
      </c>
      <c r="K74" s="209" t="s">
        <v>665</v>
      </c>
      <c r="L74" s="83">
        <v>18.0</v>
      </c>
      <c r="M74" s="34"/>
      <c r="N74" s="34"/>
      <c r="O74" s="34"/>
      <c r="P74" s="34"/>
      <c r="Q74" s="34"/>
      <c r="R74" s="213"/>
      <c r="S74" s="213"/>
      <c r="T74" s="217" t="s">
        <v>666</v>
      </c>
    </row>
    <row r="75">
      <c r="A75" s="213"/>
      <c r="B75" s="213"/>
      <c r="C75" s="225" t="s">
        <v>667</v>
      </c>
      <c r="D75" s="225" t="s">
        <v>49</v>
      </c>
      <c r="E75" s="213"/>
      <c r="F75" s="213"/>
      <c r="G75" s="34"/>
      <c r="H75" s="206" t="s">
        <v>668</v>
      </c>
      <c r="I75" s="207">
        <v>71.0</v>
      </c>
      <c r="J75" s="211" t="s">
        <v>669</v>
      </c>
      <c r="K75" s="209" t="s">
        <v>670</v>
      </c>
      <c r="L75" s="83">
        <v>19.0</v>
      </c>
      <c r="M75" s="34"/>
      <c r="N75" s="34"/>
      <c r="O75" s="34"/>
      <c r="P75" s="34"/>
      <c r="Q75" s="34"/>
      <c r="R75" s="213"/>
      <c r="S75" s="213"/>
      <c r="T75" s="217" t="s">
        <v>671</v>
      </c>
    </row>
    <row r="76">
      <c r="A76" s="213"/>
      <c r="B76" s="213"/>
      <c r="C76" s="225" t="s">
        <v>672</v>
      </c>
      <c r="D76" s="225" t="s">
        <v>49</v>
      </c>
      <c r="E76" s="213"/>
      <c r="F76" s="213"/>
      <c r="G76" s="34"/>
      <c r="H76" s="206" t="s">
        <v>296</v>
      </c>
      <c r="I76" s="207">
        <v>23.0</v>
      </c>
      <c r="J76" s="211" t="s">
        <v>673</v>
      </c>
      <c r="K76" s="209" t="s">
        <v>674</v>
      </c>
      <c r="L76" s="83">
        <v>111.0</v>
      </c>
      <c r="M76" s="34"/>
      <c r="N76" s="34"/>
      <c r="O76" s="34"/>
      <c r="P76" s="34"/>
      <c r="Q76" s="34"/>
      <c r="R76" s="213"/>
      <c r="S76" s="213"/>
      <c r="T76" s="217" t="s">
        <v>675</v>
      </c>
    </row>
    <row r="77">
      <c r="A77" s="213"/>
      <c r="B77" s="213"/>
      <c r="C77" s="225" t="s">
        <v>676</v>
      </c>
      <c r="D77" s="225" t="s">
        <v>49</v>
      </c>
      <c r="E77" s="213"/>
      <c r="F77" s="213"/>
      <c r="G77" s="34"/>
      <c r="H77" s="206" t="s">
        <v>303</v>
      </c>
      <c r="I77" s="207">
        <v>30.0</v>
      </c>
      <c r="J77" s="211" t="s">
        <v>677</v>
      </c>
      <c r="K77" s="209" t="s">
        <v>678</v>
      </c>
      <c r="L77" s="83">
        <v>109.0</v>
      </c>
      <c r="M77" s="34"/>
      <c r="N77" s="34"/>
      <c r="O77" s="34"/>
      <c r="P77" s="34"/>
      <c r="Q77" s="34"/>
      <c r="R77" s="213"/>
      <c r="S77" s="213"/>
      <c r="T77" s="217" t="s">
        <v>679</v>
      </c>
    </row>
    <row r="78">
      <c r="A78" s="213"/>
      <c r="B78" s="213"/>
      <c r="C78" s="225" t="s">
        <v>680</v>
      </c>
      <c r="D78" s="225" t="s">
        <v>49</v>
      </c>
      <c r="E78" s="213"/>
      <c r="F78" s="213"/>
      <c r="G78" s="34"/>
      <c r="H78" s="206" t="s">
        <v>681</v>
      </c>
      <c r="I78" s="207">
        <v>92.0</v>
      </c>
      <c r="J78" s="211" t="s">
        <v>682</v>
      </c>
      <c r="K78" s="209" t="s">
        <v>683</v>
      </c>
      <c r="L78" s="83">
        <v>20.0</v>
      </c>
      <c r="M78" s="34"/>
      <c r="N78" s="34"/>
      <c r="O78" s="34"/>
      <c r="P78" s="34"/>
      <c r="Q78" s="34"/>
      <c r="R78" s="213"/>
      <c r="S78" s="213"/>
      <c r="T78" s="217" t="s">
        <v>684</v>
      </c>
    </row>
    <row r="79">
      <c r="A79" s="213"/>
      <c r="B79" s="213"/>
      <c r="C79" s="225" t="s">
        <v>679</v>
      </c>
      <c r="D79" s="225" t="s">
        <v>685</v>
      </c>
      <c r="E79" s="213"/>
      <c r="F79" s="213"/>
      <c r="G79" s="34"/>
      <c r="H79" s="206" t="s">
        <v>686</v>
      </c>
      <c r="I79" s="207">
        <v>93.0</v>
      </c>
      <c r="J79" s="211" t="s">
        <v>687</v>
      </c>
      <c r="K79" s="209" t="s">
        <v>417</v>
      </c>
      <c r="L79" s="83">
        <v>48.0</v>
      </c>
      <c r="M79" s="34"/>
      <c r="N79" s="34"/>
      <c r="O79" s="34"/>
      <c r="P79" s="34"/>
      <c r="Q79" s="34"/>
      <c r="R79" s="213"/>
      <c r="S79" s="213"/>
      <c r="T79" s="217" t="s">
        <v>688</v>
      </c>
    </row>
    <row r="80">
      <c r="A80" s="213"/>
      <c r="B80" s="213"/>
      <c r="C80" s="225" t="s">
        <v>689</v>
      </c>
      <c r="D80" s="225" t="s">
        <v>690</v>
      </c>
      <c r="E80" s="213"/>
      <c r="F80" s="213"/>
      <c r="G80" s="34"/>
      <c r="H80" s="206" t="s">
        <v>691</v>
      </c>
      <c r="I80" s="207">
        <v>94.0</v>
      </c>
      <c r="J80" s="211" t="s">
        <v>692</v>
      </c>
      <c r="K80" s="209" t="s">
        <v>693</v>
      </c>
      <c r="L80" s="83">
        <v>107.0</v>
      </c>
      <c r="M80" s="34"/>
      <c r="N80" s="34"/>
      <c r="O80" s="34"/>
      <c r="P80" s="34"/>
      <c r="Q80" s="34"/>
      <c r="R80" s="213"/>
      <c r="S80" s="213"/>
      <c r="T80" s="217" t="s">
        <v>694</v>
      </c>
    </row>
    <row r="81">
      <c r="A81" s="213"/>
      <c r="B81" s="213"/>
      <c r="C81" s="225" t="s">
        <v>695</v>
      </c>
      <c r="D81" s="225" t="s">
        <v>49</v>
      </c>
      <c r="E81" s="213"/>
      <c r="F81" s="213"/>
      <c r="G81" s="34"/>
      <c r="H81" s="206" t="s">
        <v>696</v>
      </c>
      <c r="I81" s="207">
        <v>95.0</v>
      </c>
      <c r="J81" s="211" t="s">
        <v>697</v>
      </c>
      <c r="K81" s="209" t="s">
        <v>698</v>
      </c>
      <c r="L81" s="83">
        <v>108.0</v>
      </c>
      <c r="M81" s="34"/>
      <c r="N81" s="34"/>
      <c r="O81" s="34"/>
      <c r="P81" s="34"/>
      <c r="Q81" s="34"/>
      <c r="R81" s="213"/>
      <c r="S81" s="213"/>
      <c r="T81" s="217" t="s">
        <v>699</v>
      </c>
    </row>
    <row r="82">
      <c r="A82" s="213"/>
      <c r="B82" s="213"/>
      <c r="C82" s="225" t="s">
        <v>700</v>
      </c>
      <c r="D82" s="225" t="s">
        <v>701</v>
      </c>
      <c r="E82" s="213"/>
      <c r="F82" s="213"/>
      <c r="G82" s="34"/>
      <c r="H82" s="206" t="s">
        <v>702</v>
      </c>
      <c r="I82" s="207">
        <v>96.0</v>
      </c>
      <c r="J82" s="211" t="s">
        <v>703</v>
      </c>
      <c r="K82" s="209" t="s">
        <v>704</v>
      </c>
      <c r="L82" s="83">
        <v>112.0</v>
      </c>
      <c r="M82" s="34"/>
      <c r="N82" s="34"/>
      <c r="O82" s="34"/>
      <c r="P82" s="34"/>
      <c r="Q82" s="34"/>
      <c r="R82" s="213"/>
      <c r="S82" s="213"/>
      <c r="T82" s="217" t="s">
        <v>705</v>
      </c>
    </row>
    <row r="83">
      <c r="A83" s="213"/>
      <c r="B83" s="213"/>
      <c r="C83" s="225" t="s">
        <v>705</v>
      </c>
      <c r="D83" s="225" t="s">
        <v>49</v>
      </c>
      <c r="E83" s="213"/>
      <c r="F83" s="213"/>
      <c r="G83" s="34"/>
      <c r="H83" s="206" t="s">
        <v>706</v>
      </c>
      <c r="I83" s="207">
        <v>97.0</v>
      </c>
      <c r="J83" s="211" t="s">
        <v>503</v>
      </c>
      <c r="K83" s="209" t="s">
        <v>707</v>
      </c>
      <c r="L83" s="83">
        <v>110.0</v>
      </c>
      <c r="M83" s="34"/>
      <c r="N83" s="34"/>
      <c r="O83" s="34"/>
      <c r="P83" s="34"/>
      <c r="Q83" s="34"/>
      <c r="R83" s="213"/>
      <c r="S83" s="213"/>
      <c r="T83" s="217" t="s">
        <v>708</v>
      </c>
    </row>
    <row r="84">
      <c r="A84" s="213"/>
      <c r="B84" s="213"/>
      <c r="C84" s="225" t="s">
        <v>709</v>
      </c>
      <c r="D84" s="225" t="s">
        <v>49</v>
      </c>
      <c r="E84" s="213"/>
      <c r="F84" s="213"/>
      <c r="G84" s="34"/>
      <c r="H84" s="206" t="s">
        <v>710</v>
      </c>
      <c r="I84" s="207">
        <v>98.0</v>
      </c>
      <c r="J84" s="211" t="s">
        <v>711</v>
      </c>
      <c r="K84" s="209" t="s">
        <v>712</v>
      </c>
      <c r="L84" s="83">
        <v>55.0</v>
      </c>
      <c r="M84" s="34"/>
      <c r="N84" s="34"/>
      <c r="O84" s="34"/>
      <c r="P84" s="34"/>
      <c r="Q84" s="34"/>
      <c r="R84" s="213"/>
      <c r="S84" s="213"/>
      <c r="T84" s="217" t="s">
        <v>713</v>
      </c>
    </row>
    <row r="85">
      <c r="A85" s="213"/>
      <c r="B85" s="213"/>
      <c r="C85" s="225" t="s">
        <v>714</v>
      </c>
      <c r="D85" s="225" t="s">
        <v>715</v>
      </c>
      <c r="E85" s="213"/>
      <c r="F85" s="213"/>
      <c r="G85" s="34"/>
      <c r="H85" s="206" t="s">
        <v>716</v>
      </c>
      <c r="I85" s="207">
        <v>99.0</v>
      </c>
      <c r="J85" s="211" t="s">
        <v>717</v>
      </c>
      <c r="K85" s="209" t="s">
        <v>718</v>
      </c>
      <c r="L85" s="83">
        <v>21.0</v>
      </c>
      <c r="M85" s="34"/>
      <c r="N85" s="34"/>
      <c r="O85" s="34"/>
      <c r="P85" s="34"/>
      <c r="Q85" s="34"/>
      <c r="R85" s="213"/>
      <c r="S85" s="213"/>
      <c r="T85" s="217" t="s">
        <v>719</v>
      </c>
    </row>
    <row r="86">
      <c r="A86" s="213"/>
      <c r="B86" s="213"/>
      <c r="C86" s="225" t="s">
        <v>720</v>
      </c>
      <c r="D86" s="225" t="s">
        <v>49</v>
      </c>
      <c r="E86" s="213"/>
      <c r="F86" s="213"/>
      <c r="G86" s="34"/>
      <c r="H86" s="206" t="s">
        <v>721</v>
      </c>
      <c r="I86" s="207">
        <v>100.0</v>
      </c>
      <c r="J86" s="211" t="s">
        <v>722</v>
      </c>
      <c r="K86" s="209" t="s">
        <v>723</v>
      </c>
      <c r="L86" s="83">
        <v>22.0</v>
      </c>
      <c r="M86" s="34"/>
      <c r="N86" s="34"/>
      <c r="O86" s="34"/>
      <c r="P86" s="34"/>
      <c r="Q86" s="34"/>
      <c r="R86" s="213"/>
      <c r="S86" s="213"/>
      <c r="T86" s="217" t="s">
        <v>724</v>
      </c>
    </row>
    <row r="87">
      <c r="A87" s="213"/>
      <c r="B87" s="213"/>
      <c r="C87" s="225" t="s">
        <v>725</v>
      </c>
      <c r="D87" s="225" t="s">
        <v>726</v>
      </c>
      <c r="E87" s="213"/>
      <c r="F87" s="213"/>
      <c r="G87" s="34"/>
      <c r="H87" s="206" t="s">
        <v>727</v>
      </c>
      <c r="I87" s="207">
        <v>118.0</v>
      </c>
      <c r="J87" s="211" t="s">
        <v>728</v>
      </c>
      <c r="K87" s="209" t="s">
        <v>729</v>
      </c>
      <c r="L87" s="83">
        <v>113.0</v>
      </c>
      <c r="M87" s="34"/>
      <c r="N87" s="34"/>
      <c r="O87" s="34"/>
      <c r="P87" s="34"/>
      <c r="Q87" s="34"/>
      <c r="R87" s="213"/>
      <c r="S87" s="213"/>
      <c r="T87" s="217" t="s">
        <v>730</v>
      </c>
    </row>
    <row r="88">
      <c r="A88" s="213"/>
      <c r="B88" s="213"/>
      <c r="C88" s="225" t="s">
        <v>731</v>
      </c>
      <c r="D88" s="225" t="s">
        <v>49</v>
      </c>
      <c r="E88" s="213"/>
      <c r="F88" s="213"/>
      <c r="G88" s="34"/>
      <c r="H88" s="206" t="s">
        <v>732</v>
      </c>
      <c r="I88" s="207">
        <v>80.0</v>
      </c>
      <c r="J88" s="211" t="s">
        <v>733</v>
      </c>
      <c r="K88" s="209" t="s">
        <v>734</v>
      </c>
      <c r="L88" s="83">
        <v>114.0</v>
      </c>
      <c r="M88" s="34"/>
      <c r="N88" s="34"/>
      <c r="O88" s="34"/>
      <c r="P88" s="34"/>
      <c r="Q88" s="34"/>
      <c r="R88" s="213"/>
      <c r="S88" s="213"/>
      <c r="T88" s="217" t="s">
        <v>735</v>
      </c>
    </row>
    <row r="89">
      <c r="A89" s="213"/>
      <c r="B89" s="213"/>
      <c r="C89" s="225" t="s">
        <v>736</v>
      </c>
      <c r="D89" s="225" t="s">
        <v>49</v>
      </c>
      <c r="E89" s="213"/>
      <c r="F89" s="213"/>
      <c r="G89" s="34"/>
      <c r="H89" s="206" t="s">
        <v>310</v>
      </c>
      <c r="I89" s="207">
        <v>31.0</v>
      </c>
      <c r="J89" s="211" t="s">
        <v>737</v>
      </c>
      <c r="K89" s="209" t="s">
        <v>738</v>
      </c>
      <c r="L89" s="83">
        <v>115.0</v>
      </c>
      <c r="M89" s="34"/>
      <c r="N89" s="34"/>
      <c r="O89" s="34"/>
      <c r="P89" s="34"/>
      <c r="Q89" s="34"/>
      <c r="R89" s="213"/>
      <c r="S89" s="213"/>
      <c r="T89" s="217" t="s">
        <v>739</v>
      </c>
    </row>
    <row r="90">
      <c r="A90" s="213"/>
      <c r="B90" s="213"/>
      <c r="C90" s="225" t="s">
        <v>740</v>
      </c>
      <c r="D90" s="225" t="s">
        <v>741</v>
      </c>
      <c r="E90" s="213"/>
      <c r="F90" s="213"/>
      <c r="G90" s="34"/>
      <c r="H90" s="206" t="s">
        <v>742</v>
      </c>
      <c r="I90" s="207">
        <v>104.0</v>
      </c>
      <c r="J90" s="211" t="s">
        <v>743</v>
      </c>
      <c r="K90" s="209" t="s">
        <v>744</v>
      </c>
      <c r="L90" s="83">
        <v>116.0</v>
      </c>
      <c r="M90" s="34"/>
      <c r="N90" s="34"/>
      <c r="O90" s="34"/>
      <c r="P90" s="34"/>
      <c r="Q90" s="34"/>
      <c r="R90" s="213"/>
      <c r="S90" s="213"/>
      <c r="T90" s="217" t="s">
        <v>745</v>
      </c>
    </row>
    <row r="91">
      <c r="A91" s="213"/>
      <c r="B91" s="213"/>
      <c r="C91" s="225" t="s">
        <v>746</v>
      </c>
      <c r="D91" s="225" t="s">
        <v>747</v>
      </c>
      <c r="E91" s="213"/>
      <c r="F91" s="213"/>
      <c r="G91" s="34"/>
      <c r="H91" s="206" t="s">
        <v>748</v>
      </c>
      <c r="I91" s="207">
        <v>105.0</v>
      </c>
      <c r="J91" s="211" t="s">
        <v>749</v>
      </c>
      <c r="K91" s="209" t="s">
        <v>750</v>
      </c>
      <c r="L91" s="83">
        <v>117.0</v>
      </c>
      <c r="M91" s="34"/>
      <c r="N91" s="34"/>
      <c r="O91" s="34"/>
      <c r="P91" s="34"/>
      <c r="Q91" s="34"/>
      <c r="R91" s="213"/>
      <c r="S91" s="213"/>
      <c r="T91" s="217" t="s">
        <v>751</v>
      </c>
    </row>
    <row r="92">
      <c r="A92" s="213"/>
      <c r="B92" s="213"/>
      <c r="C92" s="225" t="s">
        <v>752</v>
      </c>
      <c r="D92" s="225" t="s">
        <v>753</v>
      </c>
      <c r="E92" s="213"/>
      <c r="F92" s="213"/>
      <c r="G92" s="34"/>
      <c r="H92" s="206" t="s">
        <v>754</v>
      </c>
      <c r="I92" s="207">
        <v>106.0</v>
      </c>
      <c r="J92" s="211" t="s">
        <v>755</v>
      </c>
      <c r="K92" s="209" t="s">
        <v>756</v>
      </c>
      <c r="L92" s="83">
        <v>23.0</v>
      </c>
      <c r="M92" s="34"/>
      <c r="N92" s="34"/>
      <c r="O92" s="34"/>
      <c r="P92" s="34"/>
      <c r="Q92" s="34"/>
      <c r="R92" s="213"/>
      <c r="S92" s="213"/>
      <c r="T92" s="217" t="s">
        <v>757</v>
      </c>
    </row>
    <row r="93">
      <c r="A93" s="213"/>
      <c r="B93" s="213"/>
      <c r="C93" s="225" t="s">
        <v>758</v>
      </c>
      <c r="D93" s="225" t="s">
        <v>49</v>
      </c>
      <c r="E93" s="213"/>
      <c r="F93" s="213"/>
      <c r="G93" s="34"/>
      <c r="H93" s="206" t="s">
        <v>759</v>
      </c>
      <c r="I93" s="207">
        <v>107.0</v>
      </c>
      <c r="J93" s="211" t="s">
        <v>760</v>
      </c>
      <c r="K93" s="209" t="s">
        <v>761</v>
      </c>
      <c r="L93" s="83">
        <v>119.0</v>
      </c>
      <c r="M93" s="34"/>
      <c r="N93" s="34"/>
      <c r="O93" s="34"/>
      <c r="P93" s="34"/>
      <c r="Q93" s="34"/>
      <c r="R93" s="213"/>
      <c r="S93" s="213"/>
      <c r="T93" s="217" t="s">
        <v>762</v>
      </c>
    </row>
    <row r="94">
      <c r="A94" s="213"/>
      <c r="B94" s="213"/>
      <c r="C94" s="225" t="s">
        <v>763</v>
      </c>
      <c r="D94" s="225" t="s">
        <v>764</v>
      </c>
      <c r="E94" s="213"/>
      <c r="F94" s="213"/>
      <c r="G94" s="34"/>
      <c r="H94" s="206" t="s">
        <v>765</v>
      </c>
      <c r="I94" s="207">
        <v>171.0</v>
      </c>
      <c r="J94" s="211" t="s">
        <v>766</v>
      </c>
      <c r="K94" s="209" t="s">
        <v>767</v>
      </c>
      <c r="L94" s="83">
        <v>120.0</v>
      </c>
      <c r="M94" s="34"/>
      <c r="N94" s="34"/>
      <c r="O94" s="34"/>
      <c r="P94" s="34"/>
      <c r="Q94" s="34"/>
      <c r="R94" s="213"/>
      <c r="S94" s="213"/>
      <c r="T94" s="217" t="s">
        <v>768</v>
      </c>
    </row>
    <row r="95">
      <c r="A95" s="213"/>
      <c r="B95" s="213"/>
      <c r="C95" s="225" t="s">
        <v>769</v>
      </c>
      <c r="D95" s="225" t="s">
        <v>770</v>
      </c>
      <c r="E95" s="213"/>
      <c r="F95" s="213"/>
      <c r="G95" s="34"/>
      <c r="H95" s="206" t="s">
        <v>771</v>
      </c>
      <c r="I95" s="207">
        <v>172.0</v>
      </c>
      <c r="J95" s="211" t="s">
        <v>772</v>
      </c>
      <c r="K95" s="209" t="s">
        <v>773</v>
      </c>
      <c r="L95" s="83">
        <v>121.0</v>
      </c>
      <c r="M95" s="34"/>
      <c r="N95" s="34"/>
      <c r="O95" s="34"/>
      <c r="P95" s="34"/>
      <c r="Q95" s="34"/>
      <c r="R95" s="213"/>
      <c r="S95" s="213"/>
      <c r="T95" s="217" t="s">
        <v>774</v>
      </c>
    </row>
    <row r="96">
      <c r="A96" s="213"/>
      <c r="B96" s="213"/>
      <c r="C96" s="225" t="s">
        <v>775</v>
      </c>
      <c r="D96" s="225" t="s">
        <v>49</v>
      </c>
      <c r="E96" s="213"/>
      <c r="F96" s="213"/>
      <c r="G96" s="34"/>
      <c r="H96" s="206" t="s">
        <v>776</v>
      </c>
      <c r="I96" s="207">
        <v>173.0</v>
      </c>
      <c r="J96" s="211" t="s">
        <v>777</v>
      </c>
      <c r="K96" s="209" t="s">
        <v>778</v>
      </c>
      <c r="L96" s="83">
        <v>122.0</v>
      </c>
      <c r="M96" s="34"/>
      <c r="N96" s="34"/>
      <c r="O96" s="34"/>
      <c r="P96" s="34"/>
      <c r="Q96" s="34"/>
      <c r="R96" s="213"/>
      <c r="S96" s="213"/>
      <c r="T96" s="217" t="s">
        <v>779</v>
      </c>
    </row>
    <row r="97">
      <c r="A97" s="213"/>
      <c r="B97" s="213"/>
      <c r="C97" s="225" t="s">
        <v>780</v>
      </c>
      <c r="D97" s="225" t="s">
        <v>49</v>
      </c>
      <c r="E97" s="213"/>
      <c r="F97" s="213"/>
      <c r="G97" s="34"/>
      <c r="H97" s="206" t="s">
        <v>781</v>
      </c>
      <c r="I97" s="207">
        <v>174.0</v>
      </c>
      <c r="J97" s="211" t="s">
        <v>782</v>
      </c>
      <c r="K97" s="209" t="s">
        <v>783</v>
      </c>
      <c r="L97" s="83">
        <v>123.0</v>
      </c>
      <c r="M97" s="34"/>
      <c r="N97" s="34"/>
      <c r="O97" s="34"/>
      <c r="P97" s="34"/>
      <c r="Q97" s="34"/>
      <c r="R97" s="213"/>
      <c r="S97" s="213"/>
      <c r="T97" s="217" t="s">
        <v>784</v>
      </c>
    </row>
    <row r="98">
      <c r="A98" s="213"/>
      <c r="B98" s="213"/>
      <c r="C98" s="225" t="s">
        <v>785</v>
      </c>
      <c r="D98" s="225" t="s">
        <v>49</v>
      </c>
      <c r="E98" s="213"/>
      <c r="F98" s="213"/>
      <c r="G98" s="34"/>
      <c r="H98" s="206" t="s">
        <v>786</v>
      </c>
      <c r="I98" s="207">
        <v>578.0</v>
      </c>
      <c r="J98" s="211" t="s">
        <v>787</v>
      </c>
      <c r="K98" s="209" t="s">
        <v>788</v>
      </c>
      <c r="L98" s="83">
        <v>197.0</v>
      </c>
      <c r="M98" s="34"/>
      <c r="N98" s="34"/>
      <c r="O98" s="34"/>
      <c r="P98" s="34"/>
      <c r="Q98" s="34"/>
      <c r="R98" s="213"/>
      <c r="S98" s="213"/>
      <c r="T98" s="217" t="s">
        <v>789</v>
      </c>
    </row>
    <row r="99">
      <c r="A99" s="213"/>
      <c r="B99" s="213"/>
      <c r="C99" s="225" t="s">
        <v>790</v>
      </c>
      <c r="D99" s="225" t="s">
        <v>791</v>
      </c>
      <c r="E99" s="213"/>
      <c r="F99" s="213"/>
      <c r="G99" s="34"/>
      <c r="H99" s="206" t="s">
        <v>792</v>
      </c>
      <c r="I99" s="207">
        <v>175.0</v>
      </c>
      <c r="J99" s="211" t="s">
        <v>793</v>
      </c>
      <c r="K99" s="209" t="s">
        <v>788</v>
      </c>
      <c r="L99" s="83">
        <v>201.0</v>
      </c>
      <c r="M99" s="34"/>
      <c r="N99" s="34"/>
      <c r="O99" s="34"/>
      <c r="P99" s="34"/>
      <c r="Q99" s="34"/>
      <c r="R99" s="213"/>
      <c r="S99" s="213"/>
      <c r="T99" s="217" t="s">
        <v>794</v>
      </c>
    </row>
    <row r="100">
      <c r="A100" s="213"/>
      <c r="B100" s="213"/>
      <c r="C100" s="225" t="s">
        <v>795</v>
      </c>
      <c r="D100" s="225" t="s">
        <v>796</v>
      </c>
      <c r="E100" s="213"/>
      <c r="F100" s="213"/>
      <c r="G100" s="34"/>
      <c r="H100" s="206" t="s">
        <v>797</v>
      </c>
      <c r="I100" s="207">
        <v>176.0</v>
      </c>
      <c r="J100" s="211" t="s">
        <v>798</v>
      </c>
      <c r="K100" s="209" t="s">
        <v>438</v>
      </c>
      <c r="L100" s="83">
        <v>24.0</v>
      </c>
      <c r="M100" s="34"/>
      <c r="N100" s="34"/>
      <c r="O100" s="34"/>
      <c r="P100" s="34"/>
      <c r="Q100" s="34"/>
      <c r="R100" s="213"/>
      <c r="S100" s="213"/>
      <c r="T100" s="217" t="s">
        <v>799</v>
      </c>
    </row>
    <row r="101">
      <c r="A101" s="213"/>
      <c r="B101" s="213"/>
      <c r="C101" s="225" t="s">
        <v>800</v>
      </c>
      <c r="D101" s="225" t="s">
        <v>49</v>
      </c>
      <c r="E101" s="213"/>
      <c r="F101" s="213"/>
      <c r="G101" s="34"/>
      <c r="H101" s="206" t="s">
        <v>801</v>
      </c>
      <c r="I101" s="207">
        <v>177.0</v>
      </c>
      <c r="J101" s="211" t="s">
        <v>802</v>
      </c>
      <c r="K101" s="209" t="s">
        <v>803</v>
      </c>
      <c r="L101" s="83">
        <v>125.0</v>
      </c>
      <c r="M101" s="34"/>
      <c r="N101" s="34"/>
      <c r="O101" s="34"/>
      <c r="P101" s="34"/>
      <c r="Q101" s="34"/>
      <c r="R101" s="213"/>
      <c r="S101" s="213"/>
      <c r="T101" s="217" t="s">
        <v>804</v>
      </c>
    </row>
    <row r="102">
      <c r="A102" s="213"/>
      <c r="B102" s="213"/>
      <c r="C102" s="225" t="s">
        <v>805</v>
      </c>
      <c r="D102" s="225" t="s">
        <v>49</v>
      </c>
      <c r="E102" s="213"/>
      <c r="F102" s="213"/>
      <c r="G102" s="34"/>
      <c r="H102" s="206" t="s">
        <v>806</v>
      </c>
      <c r="I102" s="207">
        <v>178.0</v>
      </c>
      <c r="J102" s="211" t="s">
        <v>807</v>
      </c>
      <c r="K102" s="209" t="s">
        <v>808</v>
      </c>
      <c r="L102" s="83">
        <v>124.0</v>
      </c>
      <c r="M102" s="34"/>
      <c r="N102" s="34"/>
      <c r="O102" s="34"/>
      <c r="P102" s="34"/>
      <c r="Q102" s="34"/>
      <c r="R102" s="213"/>
      <c r="S102" s="213"/>
      <c r="T102" s="217" t="s">
        <v>809</v>
      </c>
    </row>
    <row r="103">
      <c r="A103" s="213"/>
      <c r="B103" s="213"/>
      <c r="C103" s="225" t="s">
        <v>810</v>
      </c>
      <c r="D103" s="225" t="s">
        <v>811</v>
      </c>
      <c r="E103" s="213"/>
      <c r="F103" s="213"/>
      <c r="G103" s="34"/>
      <c r="H103" s="206" t="s">
        <v>812</v>
      </c>
      <c r="I103" s="207">
        <v>179.0</v>
      </c>
      <c r="J103" s="211" t="s">
        <v>813</v>
      </c>
      <c r="K103" s="209" t="s">
        <v>814</v>
      </c>
      <c r="L103" s="83">
        <v>25.0</v>
      </c>
      <c r="M103" s="34"/>
      <c r="N103" s="34"/>
      <c r="O103" s="34"/>
      <c r="P103" s="34"/>
      <c r="Q103" s="34"/>
      <c r="R103" s="213"/>
      <c r="S103" s="213"/>
      <c r="T103" s="217" t="s">
        <v>815</v>
      </c>
    </row>
    <row r="104">
      <c r="A104" s="213"/>
      <c r="B104" s="213"/>
      <c r="C104" s="225" t="s">
        <v>588</v>
      </c>
      <c r="D104" s="225" t="s">
        <v>816</v>
      </c>
      <c r="E104" s="213"/>
      <c r="F104" s="213"/>
      <c r="G104" s="34"/>
      <c r="H104" s="206" t="s">
        <v>817</v>
      </c>
      <c r="I104" s="207">
        <v>180.0</v>
      </c>
      <c r="J104" s="211" t="s">
        <v>818</v>
      </c>
      <c r="K104" s="209" t="s">
        <v>444</v>
      </c>
      <c r="L104" s="83">
        <v>56.0</v>
      </c>
      <c r="M104" s="34"/>
      <c r="N104" s="34"/>
      <c r="O104" s="34"/>
      <c r="P104" s="34"/>
      <c r="Q104" s="34"/>
      <c r="R104" s="213"/>
      <c r="S104" s="213"/>
      <c r="T104" s="217" t="s">
        <v>819</v>
      </c>
    </row>
    <row r="105">
      <c r="A105" s="213"/>
      <c r="B105" s="213"/>
      <c r="C105" s="225" t="s">
        <v>820</v>
      </c>
      <c r="D105" s="225" t="s">
        <v>821</v>
      </c>
      <c r="E105" s="213"/>
      <c r="F105" s="213"/>
      <c r="G105" s="34"/>
      <c r="H105" s="206" t="s">
        <v>822</v>
      </c>
      <c r="I105" s="207">
        <v>72.0</v>
      </c>
      <c r="J105" s="211" t="s">
        <v>823</v>
      </c>
      <c r="K105" s="209" t="s">
        <v>824</v>
      </c>
      <c r="L105" s="83">
        <v>26.0</v>
      </c>
      <c r="M105" s="34"/>
      <c r="N105" s="34"/>
      <c r="O105" s="34"/>
      <c r="P105" s="34"/>
      <c r="Q105" s="34"/>
      <c r="R105" s="213"/>
      <c r="S105" s="213"/>
      <c r="T105" s="217" t="s">
        <v>825</v>
      </c>
    </row>
    <row r="106">
      <c r="A106" s="213"/>
      <c r="B106" s="213"/>
      <c r="C106" s="225" t="s">
        <v>826</v>
      </c>
      <c r="D106" s="225" t="s">
        <v>827</v>
      </c>
      <c r="E106" s="213"/>
      <c r="F106" s="213"/>
      <c r="G106" s="34"/>
      <c r="H106" s="206" t="s">
        <v>828</v>
      </c>
      <c r="I106" s="207">
        <v>108.0</v>
      </c>
      <c r="J106" s="211" t="s">
        <v>829</v>
      </c>
      <c r="K106" s="209" t="s">
        <v>830</v>
      </c>
      <c r="L106" s="83">
        <v>128.0</v>
      </c>
      <c r="M106" s="34"/>
      <c r="N106" s="34"/>
      <c r="O106" s="34"/>
      <c r="P106" s="34"/>
      <c r="Q106" s="34"/>
      <c r="R106" s="213"/>
      <c r="S106" s="213"/>
      <c r="T106" s="217" t="s">
        <v>831</v>
      </c>
    </row>
    <row r="107">
      <c r="A107" s="213"/>
      <c r="B107" s="213"/>
      <c r="C107" s="225" t="s">
        <v>832</v>
      </c>
      <c r="D107" s="225" t="s">
        <v>833</v>
      </c>
      <c r="E107" s="213"/>
      <c r="F107" s="213"/>
      <c r="G107" s="34"/>
      <c r="H107" s="206" t="s">
        <v>562</v>
      </c>
      <c r="I107" s="207">
        <v>251.0</v>
      </c>
      <c r="J107" s="211" t="s">
        <v>834</v>
      </c>
      <c r="K107" s="209" t="s">
        <v>835</v>
      </c>
      <c r="L107" s="83">
        <v>129.0</v>
      </c>
      <c r="M107" s="34"/>
      <c r="N107" s="34"/>
      <c r="O107" s="34"/>
      <c r="P107" s="34"/>
      <c r="Q107" s="34"/>
      <c r="R107" s="213"/>
      <c r="S107" s="213"/>
      <c r="T107" s="217" t="s">
        <v>836</v>
      </c>
    </row>
    <row r="108">
      <c r="A108" s="213"/>
      <c r="B108" s="213"/>
      <c r="C108" s="225" t="s">
        <v>837</v>
      </c>
      <c r="D108" s="225" t="s">
        <v>838</v>
      </c>
      <c r="E108" s="213"/>
      <c r="F108" s="213"/>
      <c r="G108" s="34"/>
      <c r="H108" s="206" t="s">
        <v>318</v>
      </c>
      <c r="I108" s="207">
        <v>32.0</v>
      </c>
      <c r="J108" s="211" t="s">
        <v>839</v>
      </c>
      <c r="K108" s="209" t="s">
        <v>840</v>
      </c>
      <c r="L108" s="83">
        <v>27.0</v>
      </c>
      <c r="M108" s="34"/>
      <c r="N108" s="34"/>
      <c r="O108" s="34"/>
      <c r="P108" s="34"/>
      <c r="Q108" s="34"/>
      <c r="R108" s="213"/>
      <c r="S108" s="213"/>
      <c r="T108" s="217" t="s">
        <v>841</v>
      </c>
    </row>
    <row r="109">
      <c r="A109" s="213"/>
      <c r="B109" s="213"/>
      <c r="C109" s="225" t="s">
        <v>842</v>
      </c>
      <c r="D109" s="225" t="s">
        <v>843</v>
      </c>
      <c r="E109" s="213"/>
      <c r="F109" s="213"/>
      <c r="G109" s="34"/>
      <c r="H109" s="206" t="s">
        <v>844</v>
      </c>
      <c r="I109" s="207">
        <v>119.0</v>
      </c>
      <c r="J109" s="211" t="s">
        <v>845</v>
      </c>
      <c r="K109" s="209" t="s">
        <v>846</v>
      </c>
      <c r="L109" s="83">
        <v>130.0</v>
      </c>
      <c r="M109" s="34"/>
      <c r="N109" s="34"/>
      <c r="O109" s="34"/>
      <c r="P109" s="34"/>
      <c r="Q109" s="34"/>
      <c r="R109" s="213"/>
      <c r="S109" s="213"/>
      <c r="T109" s="217" t="s">
        <v>847</v>
      </c>
    </row>
    <row r="110">
      <c r="A110" s="213"/>
      <c r="B110" s="213"/>
      <c r="C110" s="225" t="s">
        <v>848</v>
      </c>
      <c r="D110" s="225" t="s">
        <v>49</v>
      </c>
      <c r="E110" s="213"/>
      <c r="F110" s="213"/>
      <c r="G110" s="34"/>
      <c r="H110" s="206" t="s">
        <v>849</v>
      </c>
      <c r="I110" s="207">
        <v>121.0</v>
      </c>
      <c r="J110" s="211" t="s">
        <v>850</v>
      </c>
      <c r="K110" s="209" t="s">
        <v>851</v>
      </c>
      <c r="L110" s="83">
        <v>126.0</v>
      </c>
      <c r="M110" s="34"/>
      <c r="N110" s="34"/>
      <c r="O110" s="34"/>
      <c r="P110" s="34"/>
      <c r="Q110" s="34"/>
      <c r="R110" s="213"/>
      <c r="S110" s="213"/>
      <c r="T110" s="217" t="s">
        <v>852</v>
      </c>
    </row>
    <row r="111">
      <c r="A111" s="213"/>
      <c r="B111" s="213"/>
      <c r="C111" s="225" t="s">
        <v>340</v>
      </c>
      <c r="D111" s="225" t="s">
        <v>853</v>
      </c>
      <c r="E111" s="213"/>
      <c r="F111" s="213"/>
      <c r="G111" s="34"/>
      <c r="H111" s="206" t="s">
        <v>854</v>
      </c>
      <c r="I111" s="207">
        <v>60.0</v>
      </c>
      <c r="J111" s="211" t="s">
        <v>855</v>
      </c>
      <c r="K111" s="209" t="s">
        <v>856</v>
      </c>
      <c r="L111" s="83">
        <v>132.0</v>
      </c>
      <c r="M111" s="34"/>
      <c r="N111" s="34"/>
      <c r="O111" s="34"/>
      <c r="P111" s="34"/>
      <c r="Q111" s="34"/>
      <c r="R111" s="213"/>
      <c r="S111" s="213"/>
      <c r="T111" s="217" t="s">
        <v>857</v>
      </c>
    </row>
    <row r="112">
      <c r="A112" s="213"/>
      <c r="B112" s="213"/>
      <c r="C112" s="225" t="s">
        <v>489</v>
      </c>
      <c r="D112" s="225" t="s">
        <v>49</v>
      </c>
      <c r="E112" s="213"/>
      <c r="F112" s="213"/>
      <c r="G112" s="34"/>
      <c r="H112" s="206" t="s">
        <v>325</v>
      </c>
      <c r="I112" s="207">
        <v>33.0</v>
      </c>
      <c r="J112" s="211" t="s">
        <v>858</v>
      </c>
      <c r="K112" s="209" t="s">
        <v>859</v>
      </c>
      <c r="L112" s="83">
        <v>133.0</v>
      </c>
      <c r="M112" s="34"/>
      <c r="N112" s="34"/>
      <c r="O112" s="34"/>
      <c r="P112" s="34"/>
      <c r="Q112" s="34"/>
      <c r="R112" s="213"/>
      <c r="S112" s="213"/>
      <c r="T112" s="217" t="s">
        <v>860</v>
      </c>
    </row>
    <row r="113">
      <c r="A113" s="213"/>
      <c r="B113" s="213"/>
      <c r="C113" s="225" t="s">
        <v>861</v>
      </c>
      <c r="D113" s="225" t="s">
        <v>49</v>
      </c>
      <c r="E113" s="213"/>
      <c r="F113" s="213"/>
      <c r="G113" s="34"/>
      <c r="H113" s="206" t="s">
        <v>862</v>
      </c>
      <c r="I113" s="207">
        <v>135.0</v>
      </c>
      <c r="J113" s="211" t="s">
        <v>863</v>
      </c>
      <c r="K113" s="209" t="s">
        <v>864</v>
      </c>
      <c r="L113" s="83">
        <v>28.0</v>
      </c>
      <c r="M113" s="34"/>
      <c r="N113" s="34"/>
      <c r="O113" s="34"/>
      <c r="P113" s="34"/>
      <c r="Q113" s="34"/>
      <c r="R113" s="213"/>
      <c r="S113" s="213"/>
      <c r="T113" s="217" t="s">
        <v>865</v>
      </c>
    </row>
    <row r="114">
      <c r="A114" s="213"/>
      <c r="B114" s="213"/>
      <c r="C114" s="225" t="s">
        <v>866</v>
      </c>
      <c r="D114" s="225" t="s">
        <v>49</v>
      </c>
      <c r="E114" s="213"/>
      <c r="F114" s="213"/>
      <c r="G114" s="34"/>
      <c r="H114" s="206" t="s">
        <v>867</v>
      </c>
      <c r="I114" s="207">
        <v>73.0</v>
      </c>
      <c r="J114" s="211" t="s">
        <v>868</v>
      </c>
      <c r="K114" s="209" t="s">
        <v>869</v>
      </c>
      <c r="L114" s="83">
        <v>134.0</v>
      </c>
      <c r="M114" s="34"/>
      <c r="N114" s="34"/>
      <c r="O114" s="34"/>
      <c r="P114" s="34"/>
      <c r="Q114" s="34"/>
      <c r="R114" s="213"/>
      <c r="S114" s="213"/>
      <c r="T114" s="217" t="s">
        <v>870</v>
      </c>
    </row>
    <row r="115">
      <c r="A115" s="213"/>
      <c r="B115" s="213"/>
      <c r="C115" s="225" t="s">
        <v>871</v>
      </c>
      <c r="D115" s="225" t="s">
        <v>872</v>
      </c>
      <c r="E115" s="213"/>
      <c r="F115" s="213"/>
      <c r="G115" s="34"/>
      <c r="H115" s="206" t="s">
        <v>667</v>
      </c>
      <c r="I115" s="207">
        <v>304.0</v>
      </c>
      <c r="J115" s="211" t="s">
        <v>638</v>
      </c>
      <c r="K115" s="209" t="s">
        <v>873</v>
      </c>
      <c r="L115" s="83">
        <v>135.0</v>
      </c>
      <c r="M115" s="34"/>
      <c r="N115" s="34"/>
      <c r="O115" s="34"/>
      <c r="P115" s="34"/>
      <c r="Q115" s="34"/>
      <c r="R115" s="213"/>
      <c r="S115" s="213"/>
      <c r="T115" s="217" t="s">
        <v>874</v>
      </c>
    </row>
    <row r="116">
      <c r="A116" s="213"/>
      <c r="B116" s="213"/>
      <c r="C116" s="225" t="s">
        <v>875</v>
      </c>
      <c r="D116" s="225" t="s">
        <v>876</v>
      </c>
      <c r="E116" s="213"/>
      <c r="F116" s="213"/>
      <c r="G116" s="34"/>
      <c r="H116" s="206" t="s">
        <v>877</v>
      </c>
      <c r="I116" s="207">
        <v>136.0</v>
      </c>
      <c r="J116" s="211" t="s">
        <v>878</v>
      </c>
      <c r="K116" s="209" t="s">
        <v>879</v>
      </c>
      <c r="L116" s="83">
        <v>131.0</v>
      </c>
      <c r="M116" s="34"/>
      <c r="N116" s="34"/>
      <c r="O116" s="34"/>
      <c r="P116" s="34"/>
      <c r="Q116" s="34"/>
      <c r="R116" s="213"/>
      <c r="S116" s="213"/>
      <c r="T116" s="217" t="s">
        <v>880</v>
      </c>
    </row>
    <row r="117">
      <c r="A117" s="213"/>
      <c r="B117" s="213"/>
      <c r="C117" s="225" t="s">
        <v>881</v>
      </c>
      <c r="D117" s="225" t="s">
        <v>882</v>
      </c>
      <c r="E117" s="213"/>
      <c r="F117" s="213"/>
      <c r="G117" s="34"/>
      <c r="H117" s="206" t="s">
        <v>883</v>
      </c>
      <c r="I117" s="207">
        <v>433.0</v>
      </c>
      <c r="J117" s="211" t="s">
        <v>884</v>
      </c>
      <c r="K117" s="209" t="s">
        <v>885</v>
      </c>
      <c r="L117" s="83">
        <v>136.0</v>
      </c>
      <c r="M117" s="34"/>
      <c r="N117" s="34"/>
      <c r="O117" s="34"/>
      <c r="P117" s="34"/>
      <c r="Q117" s="34"/>
      <c r="R117" s="213"/>
      <c r="S117" s="213"/>
      <c r="T117" s="217" t="s">
        <v>886</v>
      </c>
    </row>
    <row r="118">
      <c r="A118" s="213"/>
      <c r="B118" s="213"/>
      <c r="C118" s="225" t="s">
        <v>887</v>
      </c>
      <c r="D118" s="225" t="s">
        <v>888</v>
      </c>
      <c r="E118" s="213"/>
      <c r="F118" s="213"/>
      <c r="G118" s="34"/>
      <c r="H118" s="206" t="s">
        <v>592</v>
      </c>
      <c r="I118" s="207">
        <v>276.0</v>
      </c>
      <c r="J118" s="211" t="s">
        <v>889</v>
      </c>
      <c r="K118" s="209" t="s">
        <v>890</v>
      </c>
      <c r="L118" s="83">
        <v>137.0</v>
      </c>
      <c r="M118" s="34"/>
      <c r="N118" s="34"/>
      <c r="O118" s="34"/>
      <c r="P118" s="34"/>
      <c r="Q118" s="34"/>
      <c r="R118" s="213"/>
      <c r="S118" s="213"/>
      <c r="T118" s="217" t="s">
        <v>740</v>
      </c>
    </row>
    <row r="119">
      <c r="A119" s="213"/>
      <c r="B119" s="213"/>
      <c r="C119" s="225" t="s">
        <v>891</v>
      </c>
      <c r="D119" s="225" t="s">
        <v>892</v>
      </c>
      <c r="E119" s="213"/>
      <c r="F119" s="213"/>
      <c r="G119" s="34"/>
      <c r="H119" s="206" t="s">
        <v>893</v>
      </c>
      <c r="I119" s="207">
        <v>109.0</v>
      </c>
      <c r="J119" s="211" t="s">
        <v>894</v>
      </c>
      <c r="K119" s="209" t="s">
        <v>895</v>
      </c>
      <c r="L119" s="83">
        <v>138.0</v>
      </c>
      <c r="M119" s="34"/>
      <c r="N119" s="34"/>
      <c r="O119" s="34"/>
      <c r="P119" s="34"/>
      <c r="Q119" s="34"/>
      <c r="R119" s="213"/>
      <c r="S119" s="213"/>
      <c r="T119" s="217" t="s">
        <v>896</v>
      </c>
    </row>
    <row r="120">
      <c r="A120" s="213"/>
      <c r="B120" s="213"/>
      <c r="C120" s="225" t="s">
        <v>897</v>
      </c>
      <c r="D120" s="225" t="s">
        <v>49</v>
      </c>
      <c r="E120" s="213"/>
      <c r="F120" s="213"/>
      <c r="G120" s="34"/>
      <c r="H120" s="206" t="s">
        <v>898</v>
      </c>
      <c r="I120" s="207">
        <v>197.0</v>
      </c>
      <c r="J120" s="211" t="s">
        <v>899</v>
      </c>
      <c r="K120" s="209" t="s">
        <v>900</v>
      </c>
      <c r="L120" s="83">
        <v>139.0</v>
      </c>
      <c r="M120" s="34"/>
      <c r="N120" s="34"/>
      <c r="O120" s="34"/>
      <c r="P120" s="34"/>
      <c r="Q120" s="34"/>
      <c r="R120" s="213"/>
      <c r="S120" s="213"/>
      <c r="T120" s="217" t="s">
        <v>901</v>
      </c>
    </row>
    <row r="121">
      <c r="A121" s="213"/>
      <c r="B121" s="213"/>
      <c r="C121" s="225" t="s">
        <v>902</v>
      </c>
      <c r="D121" s="225" t="s">
        <v>903</v>
      </c>
      <c r="E121" s="213"/>
      <c r="F121" s="213"/>
      <c r="G121" s="34"/>
      <c r="H121" s="206" t="s">
        <v>861</v>
      </c>
      <c r="I121" s="207">
        <v>218.0</v>
      </c>
      <c r="J121" s="211" t="s">
        <v>904</v>
      </c>
      <c r="K121" s="209" t="s">
        <v>905</v>
      </c>
      <c r="L121" s="83">
        <v>140.0</v>
      </c>
      <c r="M121" s="34"/>
      <c r="N121" s="34"/>
      <c r="O121" s="34"/>
      <c r="P121" s="34"/>
      <c r="Q121" s="34"/>
      <c r="R121" s="213"/>
      <c r="S121" s="213"/>
      <c r="T121" s="217" t="s">
        <v>906</v>
      </c>
    </row>
    <row r="122">
      <c r="A122" s="213"/>
      <c r="B122" s="213"/>
      <c r="C122" s="225" t="s">
        <v>907</v>
      </c>
      <c r="D122" s="225" t="s">
        <v>908</v>
      </c>
      <c r="E122" s="213"/>
      <c r="F122" s="213"/>
      <c r="G122" s="34"/>
      <c r="H122" s="206" t="s">
        <v>909</v>
      </c>
      <c r="I122" s="207">
        <v>244.0</v>
      </c>
      <c r="J122" s="211" t="s">
        <v>910</v>
      </c>
      <c r="K122" s="209" t="s">
        <v>911</v>
      </c>
      <c r="L122" s="83">
        <v>141.0</v>
      </c>
      <c r="M122" s="34"/>
      <c r="N122" s="34"/>
      <c r="O122" s="34"/>
      <c r="P122" s="34"/>
      <c r="Q122" s="34"/>
      <c r="R122" s="213"/>
      <c r="S122" s="213"/>
      <c r="T122" s="217" t="s">
        <v>912</v>
      </c>
    </row>
    <row r="123">
      <c r="A123" s="213"/>
      <c r="B123" s="213"/>
      <c r="C123" s="225" t="s">
        <v>913</v>
      </c>
      <c r="D123" s="225" t="s">
        <v>49</v>
      </c>
      <c r="E123" s="213"/>
      <c r="F123" s="213"/>
      <c r="G123" s="34"/>
      <c r="H123" s="206" t="s">
        <v>597</v>
      </c>
      <c r="I123" s="207">
        <v>277.0</v>
      </c>
      <c r="J123" s="211" t="s">
        <v>914</v>
      </c>
      <c r="K123" s="209" t="s">
        <v>915</v>
      </c>
      <c r="L123" s="83">
        <v>144.0</v>
      </c>
      <c r="M123" s="34"/>
      <c r="N123" s="34"/>
      <c r="O123" s="34"/>
      <c r="P123" s="34"/>
      <c r="Q123" s="34"/>
      <c r="R123" s="213"/>
      <c r="S123" s="213"/>
      <c r="T123" s="217" t="s">
        <v>916</v>
      </c>
    </row>
    <row r="124">
      <c r="A124" s="213"/>
      <c r="B124" s="213"/>
      <c r="C124" s="225" t="s">
        <v>917</v>
      </c>
      <c r="D124" s="225" t="s">
        <v>918</v>
      </c>
      <c r="E124" s="213"/>
      <c r="F124" s="213"/>
      <c r="G124" s="34"/>
      <c r="H124" s="206" t="s">
        <v>919</v>
      </c>
      <c r="I124" s="207">
        <v>198.0</v>
      </c>
      <c r="J124" s="211" t="s">
        <v>920</v>
      </c>
      <c r="K124" s="209" t="s">
        <v>921</v>
      </c>
      <c r="L124" s="83">
        <v>143.0</v>
      </c>
      <c r="M124" s="34"/>
      <c r="N124" s="34"/>
      <c r="O124" s="34"/>
      <c r="P124" s="34"/>
      <c r="Q124" s="34"/>
      <c r="R124" s="213"/>
      <c r="S124" s="213"/>
      <c r="T124" s="217" t="s">
        <v>922</v>
      </c>
    </row>
    <row r="125">
      <c r="A125" s="213"/>
      <c r="B125" s="213"/>
      <c r="C125" s="225" t="s">
        <v>923</v>
      </c>
      <c r="D125" s="225" t="s">
        <v>49</v>
      </c>
      <c r="E125" s="213"/>
      <c r="F125" s="213"/>
      <c r="G125" s="34"/>
      <c r="H125" s="206" t="s">
        <v>208</v>
      </c>
      <c r="I125" s="207">
        <v>34.0</v>
      </c>
      <c r="J125" s="211" t="s">
        <v>924</v>
      </c>
      <c r="K125" s="209" t="s">
        <v>925</v>
      </c>
      <c r="L125" s="83">
        <v>142.0</v>
      </c>
      <c r="M125" s="34"/>
      <c r="N125" s="34"/>
      <c r="O125" s="34"/>
      <c r="P125" s="34"/>
      <c r="Q125" s="34"/>
      <c r="R125" s="213"/>
      <c r="S125" s="213"/>
      <c r="T125" s="217" t="s">
        <v>926</v>
      </c>
    </row>
    <row r="126">
      <c r="A126" s="213"/>
      <c r="B126" s="213"/>
      <c r="C126" s="225" t="s">
        <v>663</v>
      </c>
      <c r="D126" s="225" t="s">
        <v>927</v>
      </c>
      <c r="E126" s="213"/>
      <c r="F126" s="213"/>
      <c r="G126" s="34"/>
      <c r="H126" s="206" t="s">
        <v>928</v>
      </c>
      <c r="I126" s="207">
        <v>74.0</v>
      </c>
      <c r="J126" s="211" t="s">
        <v>929</v>
      </c>
      <c r="K126" s="209" t="s">
        <v>930</v>
      </c>
      <c r="L126" s="83">
        <v>162.0</v>
      </c>
      <c r="M126" s="34"/>
      <c r="N126" s="34"/>
      <c r="O126" s="34"/>
      <c r="P126" s="34"/>
      <c r="Q126" s="34"/>
      <c r="R126" s="213"/>
      <c r="S126" s="213"/>
      <c r="T126" s="217" t="s">
        <v>931</v>
      </c>
    </row>
    <row r="127">
      <c r="A127" s="213"/>
      <c r="B127" s="213"/>
      <c r="C127" s="225" t="s">
        <v>765</v>
      </c>
      <c r="D127" s="225" t="s">
        <v>49</v>
      </c>
      <c r="E127" s="213"/>
      <c r="F127" s="213"/>
      <c r="G127" s="34"/>
      <c r="H127" s="206" t="s">
        <v>932</v>
      </c>
      <c r="I127" s="207">
        <v>137.0</v>
      </c>
      <c r="J127" s="211" t="s">
        <v>933</v>
      </c>
      <c r="K127" s="209" t="s">
        <v>934</v>
      </c>
      <c r="L127" s="83">
        <v>29.0</v>
      </c>
      <c r="M127" s="34"/>
      <c r="N127" s="34"/>
      <c r="O127" s="34"/>
      <c r="P127" s="34"/>
      <c r="Q127" s="34"/>
      <c r="R127" s="213"/>
      <c r="S127" s="213"/>
      <c r="T127" s="217" t="s">
        <v>935</v>
      </c>
    </row>
    <row r="128">
      <c r="A128" s="213"/>
      <c r="B128" s="213"/>
      <c r="C128" s="225" t="s">
        <v>771</v>
      </c>
      <c r="D128" s="225" t="s">
        <v>49</v>
      </c>
      <c r="E128" s="213"/>
      <c r="F128" s="213"/>
      <c r="G128" s="34"/>
      <c r="H128" s="206" t="s">
        <v>936</v>
      </c>
      <c r="I128" s="207">
        <v>413.0</v>
      </c>
      <c r="J128" s="211" t="s">
        <v>937</v>
      </c>
      <c r="K128" s="209" t="s">
        <v>938</v>
      </c>
      <c r="L128" s="83">
        <v>145.0</v>
      </c>
      <c r="M128" s="34"/>
      <c r="N128" s="34"/>
      <c r="O128" s="34"/>
      <c r="P128" s="34"/>
      <c r="Q128" s="34"/>
      <c r="R128" s="213"/>
      <c r="S128" s="213"/>
      <c r="T128" s="217" t="s">
        <v>939</v>
      </c>
    </row>
    <row r="129">
      <c r="A129" s="213"/>
      <c r="B129" s="213"/>
      <c r="C129" s="225" t="s">
        <v>776</v>
      </c>
      <c r="D129" s="225" t="s">
        <v>49</v>
      </c>
      <c r="E129" s="213"/>
      <c r="F129" s="213"/>
      <c r="G129" s="34"/>
      <c r="H129" s="206" t="s">
        <v>940</v>
      </c>
      <c r="I129" s="207">
        <v>199.0</v>
      </c>
      <c r="J129" s="211" t="s">
        <v>941</v>
      </c>
      <c r="K129" s="209" t="s">
        <v>942</v>
      </c>
      <c r="L129" s="83">
        <v>146.0</v>
      </c>
      <c r="M129" s="34"/>
      <c r="N129" s="34"/>
      <c r="O129" s="34"/>
      <c r="P129" s="34"/>
      <c r="Q129" s="34"/>
      <c r="R129" s="213"/>
      <c r="S129" s="213"/>
      <c r="T129" s="217" t="s">
        <v>943</v>
      </c>
    </row>
    <row r="130">
      <c r="A130" s="213"/>
      <c r="B130" s="213"/>
      <c r="C130" s="225" t="s">
        <v>781</v>
      </c>
      <c r="D130" s="225" t="s">
        <v>49</v>
      </c>
      <c r="E130" s="213"/>
      <c r="F130" s="213"/>
      <c r="G130" s="34"/>
      <c r="H130" s="206" t="s">
        <v>337</v>
      </c>
      <c r="I130" s="207">
        <v>333.0</v>
      </c>
      <c r="J130" s="211" t="s">
        <v>944</v>
      </c>
      <c r="K130" s="209" t="s">
        <v>945</v>
      </c>
      <c r="L130" s="83">
        <v>149.0</v>
      </c>
      <c r="M130" s="34"/>
      <c r="N130" s="34"/>
      <c r="O130" s="34"/>
      <c r="P130" s="34"/>
      <c r="Q130" s="34"/>
      <c r="R130" s="213"/>
      <c r="S130" s="213"/>
      <c r="T130" s="217" t="s">
        <v>946</v>
      </c>
    </row>
    <row r="131">
      <c r="A131" s="213"/>
      <c r="B131" s="213"/>
      <c r="C131" s="225" t="s">
        <v>792</v>
      </c>
      <c r="D131" s="225" t="s">
        <v>49</v>
      </c>
      <c r="E131" s="213"/>
      <c r="F131" s="213"/>
      <c r="G131" s="34"/>
      <c r="H131" s="206" t="s">
        <v>947</v>
      </c>
      <c r="I131" s="207">
        <v>592.0</v>
      </c>
      <c r="J131" s="211" t="s">
        <v>948</v>
      </c>
      <c r="K131" s="209" t="s">
        <v>949</v>
      </c>
      <c r="L131" s="83">
        <v>150.0</v>
      </c>
      <c r="M131" s="34"/>
      <c r="N131" s="34"/>
      <c r="O131" s="34"/>
      <c r="P131" s="34"/>
      <c r="Q131" s="34"/>
      <c r="R131" s="213"/>
      <c r="S131" s="213"/>
      <c r="T131" s="217" t="s">
        <v>950</v>
      </c>
    </row>
    <row r="132">
      <c r="A132" s="213"/>
      <c r="B132" s="213"/>
      <c r="C132" s="225" t="s">
        <v>797</v>
      </c>
      <c r="D132" s="225" t="s">
        <v>49</v>
      </c>
      <c r="E132" s="213"/>
      <c r="F132" s="213"/>
      <c r="G132" s="34"/>
      <c r="H132" s="206" t="s">
        <v>951</v>
      </c>
      <c r="I132" s="207">
        <v>565.0</v>
      </c>
      <c r="J132" s="211" t="s">
        <v>952</v>
      </c>
      <c r="K132" s="209" t="s">
        <v>953</v>
      </c>
      <c r="L132" s="83">
        <v>153.0</v>
      </c>
      <c r="M132" s="34"/>
      <c r="N132" s="34"/>
      <c r="O132" s="34"/>
      <c r="P132" s="34"/>
      <c r="Q132" s="34"/>
      <c r="R132" s="213"/>
      <c r="S132" s="213"/>
      <c r="T132" s="217" t="s">
        <v>954</v>
      </c>
    </row>
    <row r="133">
      <c r="A133" s="213"/>
      <c r="B133" s="213"/>
      <c r="C133" s="225" t="s">
        <v>801</v>
      </c>
      <c r="D133" s="225" t="s">
        <v>49</v>
      </c>
      <c r="E133" s="213"/>
      <c r="F133" s="213"/>
      <c r="G133" s="34"/>
      <c r="H133" s="206" t="s">
        <v>344</v>
      </c>
      <c r="I133" s="207">
        <v>16.0</v>
      </c>
      <c r="J133" s="211" t="s">
        <v>955</v>
      </c>
      <c r="K133" s="209" t="s">
        <v>956</v>
      </c>
      <c r="L133" s="83">
        <v>62.0</v>
      </c>
      <c r="M133" s="34"/>
      <c r="N133" s="34"/>
      <c r="O133" s="34"/>
      <c r="P133" s="34"/>
      <c r="Q133" s="34"/>
      <c r="R133" s="213"/>
      <c r="S133" s="213"/>
      <c r="T133" s="217" t="s">
        <v>957</v>
      </c>
    </row>
    <row r="134">
      <c r="A134" s="213"/>
      <c r="B134" s="213"/>
      <c r="C134" s="225" t="s">
        <v>806</v>
      </c>
      <c r="D134" s="225" t="s">
        <v>49</v>
      </c>
      <c r="E134" s="213"/>
      <c r="F134" s="213"/>
      <c r="G134" s="34"/>
      <c r="H134" s="206" t="s">
        <v>672</v>
      </c>
      <c r="I134" s="207">
        <v>305.0</v>
      </c>
      <c r="J134" s="211" t="s">
        <v>958</v>
      </c>
      <c r="K134" s="209" t="s">
        <v>956</v>
      </c>
      <c r="L134" s="83">
        <v>152.0</v>
      </c>
      <c r="M134" s="34"/>
      <c r="N134" s="34"/>
      <c r="O134" s="34"/>
      <c r="P134" s="34"/>
      <c r="Q134" s="34"/>
      <c r="R134" s="213"/>
      <c r="S134" s="213"/>
      <c r="T134" s="217" t="s">
        <v>959</v>
      </c>
    </row>
    <row r="135">
      <c r="A135" s="213"/>
      <c r="B135" s="213"/>
      <c r="C135" s="225" t="s">
        <v>812</v>
      </c>
      <c r="D135" s="225" t="s">
        <v>49</v>
      </c>
      <c r="E135" s="213"/>
      <c r="F135" s="213"/>
      <c r="G135" s="34"/>
      <c r="H135" s="206" t="s">
        <v>418</v>
      </c>
      <c r="I135" s="207">
        <v>260.0</v>
      </c>
      <c r="J135" s="211" t="s">
        <v>960</v>
      </c>
      <c r="K135" s="209" t="s">
        <v>961</v>
      </c>
      <c r="L135" s="83">
        <v>154.0</v>
      </c>
      <c r="M135" s="34"/>
      <c r="N135" s="34"/>
      <c r="O135" s="34"/>
      <c r="P135" s="34"/>
      <c r="Q135" s="34"/>
      <c r="R135" s="213"/>
      <c r="S135" s="213"/>
      <c r="T135" s="217" t="s">
        <v>962</v>
      </c>
    </row>
    <row r="136">
      <c r="A136" s="213"/>
      <c r="B136" s="213"/>
      <c r="C136" s="225" t="s">
        <v>817</v>
      </c>
      <c r="D136" s="225" t="s">
        <v>49</v>
      </c>
      <c r="E136" s="213"/>
      <c r="F136" s="213"/>
      <c r="G136" s="34"/>
      <c r="H136" s="206" t="s">
        <v>963</v>
      </c>
      <c r="I136" s="207">
        <v>75.0</v>
      </c>
      <c r="J136" s="211" t="s">
        <v>964</v>
      </c>
      <c r="K136" s="209" t="s">
        <v>965</v>
      </c>
      <c r="L136" s="83">
        <v>155.0</v>
      </c>
      <c r="M136" s="34"/>
      <c r="N136" s="34"/>
      <c r="O136" s="34"/>
      <c r="P136" s="34"/>
      <c r="Q136" s="34"/>
      <c r="R136" s="213"/>
      <c r="S136" s="213"/>
      <c r="T136" s="217" t="s">
        <v>966</v>
      </c>
    </row>
    <row r="137">
      <c r="A137" s="213"/>
      <c r="B137" s="213"/>
      <c r="C137" s="225" t="s">
        <v>967</v>
      </c>
      <c r="D137" s="225" t="s">
        <v>49</v>
      </c>
      <c r="E137" s="213"/>
      <c r="F137" s="213"/>
      <c r="G137" s="34"/>
      <c r="H137" s="206" t="s">
        <v>968</v>
      </c>
      <c r="I137" s="207">
        <v>185.0</v>
      </c>
      <c r="J137" s="211" t="s">
        <v>969</v>
      </c>
      <c r="K137" s="209" t="s">
        <v>970</v>
      </c>
      <c r="L137" s="83">
        <v>156.0</v>
      </c>
      <c r="M137" s="34"/>
      <c r="N137" s="34"/>
      <c r="O137" s="34"/>
      <c r="P137" s="34"/>
      <c r="Q137" s="34"/>
      <c r="R137" s="213"/>
      <c r="S137" s="213"/>
      <c r="T137" s="217" t="s">
        <v>971</v>
      </c>
    </row>
    <row r="138">
      <c r="A138" s="213"/>
      <c r="B138" s="213"/>
      <c r="C138" s="225" t="s">
        <v>972</v>
      </c>
      <c r="D138" s="225" t="s">
        <v>49</v>
      </c>
      <c r="E138" s="213"/>
      <c r="F138" s="213"/>
      <c r="G138" s="34"/>
      <c r="H138" s="206" t="s">
        <v>676</v>
      </c>
      <c r="I138" s="207">
        <v>306.0</v>
      </c>
      <c r="J138" s="211" t="s">
        <v>973</v>
      </c>
      <c r="K138" s="209" t="s">
        <v>974</v>
      </c>
      <c r="L138" s="83">
        <v>57.0</v>
      </c>
      <c r="M138" s="34"/>
      <c r="N138" s="34"/>
      <c r="O138" s="34"/>
      <c r="P138" s="34"/>
      <c r="Q138" s="34"/>
      <c r="R138" s="213"/>
      <c r="S138" s="213"/>
      <c r="T138" s="217" t="s">
        <v>975</v>
      </c>
    </row>
    <row r="139">
      <c r="A139" s="213"/>
      <c r="B139" s="213"/>
      <c r="C139" s="225" t="s">
        <v>976</v>
      </c>
      <c r="D139" s="225" t="s">
        <v>49</v>
      </c>
      <c r="E139" s="213"/>
      <c r="F139" s="213"/>
      <c r="G139" s="34"/>
      <c r="H139" s="206" t="s">
        <v>977</v>
      </c>
      <c r="I139" s="207">
        <v>160.0</v>
      </c>
      <c r="J139" s="211" t="s">
        <v>978</v>
      </c>
      <c r="K139" s="209" t="s">
        <v>979</v>
      </c>
      <c r="L139" s="83">
        <v>30.0</v>
      </c>
      <c r="M139" s="34"/>
      <c r="N139" s="34"/>
      <c r="O139" s="34"/>
      <c r="P139" s="34"/>
      <c r="Q139" s="34"/>
      <c r="R139" s="213"/>
      <c r="S139" s="213"/>
      <c r="T139" s="217" t="s">
        <v>980</v>
      </c>
    </row>
    <row r="140">
      <c r="A140" s="213"/>
      <c r="B140" s="213"/>
      <c r="C140" s="225" t="s">
        <v>413</v>
      </c>
      <c r="D140" s="225" t="s">
        <v>49</v>
      </c>
      <c r="E140" s="213"/>
      <c r="F140" s="213"/>
      <c r="G140" s="34"/>
      <c r="H140" s="206" t="s">
        <v>981</v>
      </c>
      <c r="I140" s="207">
        <v>245.0</v>
      </c>
      <c r="J140" s="211" t="s">
        <v>982</v>
      </c>
      <c r="K140" s="209" t="s">
        <v>89</v>
      </c>
      <c r="L140" s="83">
        <v>31.0</v>
      </c>
      <c r="M140" s="34"/>
      <c r="N140" s="34"/>
      <c r="O140" s="34"/>
      <c r="P140" s="34"/>
      <c r="Q140" s="34"/>
      <c r="R140" s="213"/>
      <c r="S140" s="213"/>
      <c r="T140" s="217" t="s">
        <v>983</v>
      </c>
    </row>
    <row r="141">
      <c r="A141" s="213"/>
      <c r="B141" s="213"/>
      <c r="C141" s="225" t="s">
        <v>984</v>
      </c>
      <c r="D141" s="225" t="s">
        <v>49</v>
      </c>
      <c r="E141" s="213"/>
      <c r="F141" s="213"/>
      <c r="G141" s="34"/>
      <c r="H141" s="206" t="s">
        <v>351</v>
      </c>
      <c r="I141" s="207">
        <v>54.0</v>
      </c>
      <c r="J141" s="211" t="s">
        <v>985</v>
      </c>
      <c r="K141" s="209" t="s">
        <v>986</v>
      </c>
      <c r="L141" s="83">
        <v>58.0</v>
      </c>
      <c r="M141" s="34"/>
      <c r="N141" s="34"/>
      <c r="O141" s="34"/>
      <c r="P141" s="34"/>
      <c r="Q141" s="34"/>
      <c r="R141" s="213"/>
      <c r="S141" s="213"/>
      <c r="T141" s="217" t="s">
        <v>987</v>
      </c>
    </row>
    <row r="142">
      <c r="A142" s="213"/>
      <c r="B142" s="213"/>
      <c r="C142" s="225" t="s">
        <v>988</v>
      </c>
      <c r="D142" s="225" t="s">
        <v>49</v>
      </c>
      <c r="E142" s="213"/>
      <c r="F142" s="213"/>
      <c r="G142" s="34"/>
      <c r="H142" s="206" t="s">
        <v>989</v>
      </c>
      <c r="I142" s="207">
        <v>200.0</v>
      </c>
      <c r="J142" s="211" t="s">
        <v>990</v>
      </c>
      <c r="K142" s="209" t="s">
        <v>991</v>
      </c>
      <c r="L142" s="83">
        <v>157.0</v>
      </c>
      <c r="M142" s="34"/>
      <c r="N142" s="34"/>
      <c r="O142" s="34"/>
      <c r="P142" s="34"/>
      <c r="Q142" s="34"/>
      <c r="R142" s="213"/>
      <c r="S142" s="213"/>
      <c r="T142" s="217" t="s">
        <v>992</v>
      </c>
    </row>
    <row r="143">
      <c r="A143" s="213"/>
      <c r="B143" s="213"/>
      <c r="C143" s="225" t="s">
        <v>993</v>
      </c>
      <c r="D143" s="225" t="s">
        <v>49</v>
      </c>
      <c r="E143" s="213"/>
      <c r="F143" s="213"/>
      <c r="G143" s="34"/>
      <c r="H143" s="206" t="s">
        <v>994</v>
      </c>
      <c r="I143" s="207">
        <v>246.0</v>
      </c>
      <c r="J143" s="211" t="s">
        <v>995</v>
      </c>
      <c r="K143" s="209" t="s">
        <v>996</v>
      </c>
      <c r="L143" s="83">
        <v>198.0</v>
      </c>
      <c r="M143" s="34"/>
      <c r="N143" s="34"/>
      <c r="O143" s="34"/>
      <c r="P143" s="34"/>
      <c r="Q143" s="34"/>
      <c r="R143" s="213"/>
      <c r="S143" s="213"/>
      <c r="T143" s="217" t="s">
        <v>997</v>
      </c>
    </row>
    <row r="144">
      <c r="A144" s="213"/>
      <c r="B144" s="213"/>
      <c r="C144" s="225" t="s">
        <v>461</v>
      </c>
      <c r="D144" s="225" t="s">
        <v>998</v>
      </c>
      <c r="E144" s="213"/>
      <c r="F144" s="213"/>
      <c r="G144" s="34"/>
      <c r="H144" s="206" t="s">
        <v>533</v>
      </c>
      <c r="I144" s="207">
        <v>155.0</v>
      </c>
      <c r="J144" s="211" t="s">
        <v>999</v>
      </c>
      <c r="K144" s="209" t="s">
        <v>996</v>
      </c>
      <c r="L144" s="83">
        <v>202.0</v>
      </c>
      <c r="M144" s="34"/>
      <c r="N144" s="34"/>
      <c r="O144" s="34"/>
      <c r="P144" s="34"/>
      <c r="Q144" s="34"/>
      <c r="R144" s="213"/>
      <c r="S144" s="213"/>
      <c r="T144" s="217" t="s">
        <v>1000</v>
      </c>
    </row>
    <row r="145">
      <c r="A145" s="213"/>
      <c r="B145" s="213"/>
      <c r="C145" s="225" t="s">
        <v>510</v>
      </c>
      <c r="D145" s="225" t="s">
        <v>49</v>
      </c>
      <c r="E145" s="213"/>
      <c r="F145" s="213"/>
      <c r="G145" s="34"/>
      <c r="H145" s="206" t="s">
        <v>568</v>
      </c>
      <c r="I145" s="207">
        <v>252.0</v>
      </c>
      <c r="J145" s="211" t="s">
        <v>1001</v>
      </c>
      <c r="K145" s="209" t="s">
        <v>1002</v>
      </c>
      <c r="L145" s="83">
        <v>32.0</v>
      </c>
      <c r="M145" s="34"/>
      <c r="N145" s="34"/>
      <c r="O145" s="34"/>
      <c r="P145" s="34"/>
      <c r="Q145" s="34"/>
      <c r="R145" s="213"/>
      <c r="S145" s="213"/>
      <c r="T145" s="217" t="s">
        <v>1003</v>
      </c>
    </row>
    <row r="146">
      <c r="A146" s="213"/>
      <c r="B146" s="213"/>
      <c r="C146" s="225" t="s">
        <v>510</v>
      </c>
      <c r="D146" s="225" t="s">
        <v>49</v>
      </c>
      <c r="E146" s="213"/>
      <c r="F146" s="213"/>
      <c r="G146" s="34"/>
      <c r="H146" s="206" t="s">
        <v>541</v>
      </c>
      <c r="I146" s="207">
        <v>534.0</v>
      </c>
      <c r="J146" s="211" t="s">
        <v>1004</v>
      </c>
      <c r="K146" s="209" t="s">
        <v>1005</v>
      </c>
      <c r="L146" s="83">
        <v>158.0</v>
      </c>
      <c r="M146" s="34"/>
      <c r="N146" s="34"/>
      <c r="O146" s="34"/>
      <c r="P146" s="34"/>
      <c r="Q146" s="34"/>
      <c r="R146" s="213"/>
      <c r="S146" s="213"/>
      <c r="T146" s="217" t="s">
        <v>1006</v>
      </c>
    </row>
    <row r="147">
      <c r="A147" s="213"/>
      <c r="B147" s="213"/>
      <c r="C147" s="225" t="s">
        <v>535</v>
      </c>
      <c r="D147" s="225" t="s">
        <v>49</v>
      </c>
      <c r="E147" s="213"/>
      <c r="F147" s="213"/>
      <c r="G147" s="34"/>
      <c r="H147" s="206" t="s">
        <v>1007</v>
      </c>
      <c r="I147" s="207">
        <v>426.0</v>
      </c>
      <c r="J147" s="211" t="s">
        <v>1008</v>
      </c>
      <c r="K147" s="209" t="s">
        <v>1009</v>
      </c>
      <c r="L147" s="83">
        <v>159.0</v>
      </c>
      <c r="M147" s="34"/>
      <c r="N147" s="34"/>
      <c r="O147" s="34"/>
      <c r="P147" s="34"/>
      <c r="Q147" s="34"/>
      <c r="R147" s="213"/>
      <c r="S147" s="213"/>
      <c r="T147" s="217" t="s">
        <v>1010</v>
      </c>
    </row>
    <row r="148">
      <c r="A148" s="213"/>
      <c r="B148" s="213"/>
      <c r="C148" s="225" t="s">
        <v>898</v>
      </c>
      <c r="D148" s="225" t="s">
        <v>49</v>
      </c>
      <c r="E148" s="213"/>
      <c r="F148" s="213"/>
      <c r="G148" s="34"/>
      <c r="H148" s="206" t="s">
        <v>1011</v>
      </c>
      <c r="I148" s="207">
        <v>120.0</v>
      </c>
      <c r="J148" s="211" t="s">
        <v>1012</v>
      </c>
      <c r="K148" s="209" t="s">
        <v>763</v>
      </c>
      <c r="L148" s="83">
        <v>34.0</v>
      </c>
      <c r="M148" s="34"/>
      <c r="N148" s="34"/>
      <c r="O148" s="34"/>
      <c r="P148" s="34"/>
      <c r="Q148" s="34"/>
      <c r="R148" s="213"/>
      <c r="S148" s="213"/>
      <c r="T148" s="217" t="s">
        <v>1013</v>
      </c>
    </row>
    <row r="149">
      <c r="A149" s="213"/>
      <c r="B149" s="213"/>
      <c r="C149" s="225" t="s">
        <v>919</v>
      </c>
      <c r="D149" s="225" t="s">
        <v>1014</v>
      </c>
      <c r="E149" s="213"/>
      <c r="F149" s="213"/>
      <c r="G149" s="34"/>
      <c r="H149" s="206" t="s">
        <v>1015</v>
      </c>
      <c r="I149" s="207">
        <v>161.0</v>
      </c>
      <c r="J149" s="211" t="s">
        <v>1016</v>
      </c>
      <c r="K149" s="209" t="s">
        <v>1017</v>
      </c>
      <c r="L149" s="83">
        <v>163.0</v>
      </c>
      <c r="M149" s="34"/>
      <c r="N149" s="34"/>
      <c r="O149" s="34"/>
      <c r="P149" s="34"/>
      <c r="Q149" s="34"/>
      <c r="R149" s="213"/>
      <c r="S149" s="213"/>
      <c r="T149" s="217" t="s">
        <v>1018</v>
      </c>
    </row>
    <row r="150">
      <c r="A150" s="213"/>
      <c r="B150" s="213"/>
      <c r="C150" s="225" t="s">
        <v>940</v>
      </c>
      <c r="D150" s="225" t="s">
        <v>1019</v>
      </c>
      <c r="E150" s="213"/>
      <c r="F150" s="213"/>
      <c r="G150" s="34"/>
      <c r="H150" s="206" t="s">
        <v>967</v>
      </c>
      <c r="I150" s="207">
        <v>181.0</v>
      </c>
      <c r="J150" s="211" t="s">
        <v>1020</v>
      </c>
      <c r="K150" s="209" t="s">
        <v>1021</v>
      </c>
      <c r="L150" s="83">
        <v>164.0</v>
      </c>
      <c r="M150" s="34"/>
      <c r="N150" s="34"/>
      <c r="O150" s="34"/>
      <c r="P150" s="34"/>
      <c r="Q150" s="34"/>
      <c r="R150" s="213"/>
      <c r="S150" s="213"/>
      <c r="T150" s="217" t="s">
        <v>1022</v>
      </c>
    </row>
    <row r="151">
      <c r="A151" s="213"/>
      <c r="B151" s="213"/>
      <c r="C151" s="225" t="s">
        <v>989</v>
      </c>
      <c r="D151" s="225" t="s">
        <v>49</v>
      </c>
      <c r="E151" s="213"/>
      <c r="F151" s="213"/>
      <c r="G151" s="34"/>
      <c r="H151" s="206" t="s">
        <v>357</v>
      </c>
      <c r="I151" s="207">
        <v>55.0</v>
      </c>
      <c r="J151" s="211" t="s">
        <v>1023</v>
      </c>
      <c r="K151" s="209" t="s">
        <v>1024</v>
      </c>
      <c r="L151" s="83">
        <v>59.0</v>
      </c>
      <c r="M151" s="34"/>
      <c r="N151" s="34"/>
      <c r="O151" s="34"/>
      <c r="P151" s="34"/>
      <c r="Q151" s="34"/>
      <c r="R151" s="213"/>
      <c r="S151" s="213"/>
      <c r="T151" s="217" t="s">
        <v>1025</v>
      </c>
    </row>
    <row r="152">
      <c r="A152" s="213"/>
      <c r="B152" s="213"/>
      <c r="C152" s="225" t="s">
        <v>1026</v>
      </c>
      <c r="D152" s="225" t="s">
        <v>1027</v>
      </c>
      <c r="E152" s="213"/>
      <c r="F152" s="213"/>
      <c r="G152" s="34"/>
      <c r="H152" s="206" t="s">
        <v>1028</v>
      </c>
      <c r="I152" s="207">
        <v>573.0</v>
      </c>
      <c r="J152" s="211" t="s">
        <v>1029</v>
      </c>
      <c r="K152" s="209" t="s">
        <v>1030</v>
      </c>
      <c r="L152" s="83">
        <v>160.0</v>
      </c>
      <c r="M152" s="34"/>
      <c r="N152" s="34"/>
      <c r="O152" s="34"/>
      <c r="P152" s="34"/>
      <c r="Q152" s="34"/>
      <c r="R152" s="213"/>
      <c r="S152" s="213"/>
      <c r="T152" s="217" t="s">
        <v>1031</v>
      </c>
    </row>
    <row r="153">
      <c r="A153" s="213"/>
      <c r="B153" s="213"/>
      <c r="C153" s="225" t="s">
        <v>1032</v>
      </c>
      <c r="D153" s="225" t="s">
        <v>49</v>
      </c>
      <c r="E153" s="213"/>
      <c r="F153" s="213"/>
      <c r="G153" s="34"/>
      <c r="H153" s="206" t="s">
        <v>1033</v>
      </c>
      <c r="I153" s="207">
        <v>580.0</v>
      </c>
      <c r="J153" s="211" t="s">
        <v>1034</v>
      </c>
      <c r="K153" s="209" t="s">
        <v>1035</v>
      </c>
      <c r="L153" s="83">
        <v>165.0</v>
      </c>
      <c r="M153" s="34"/>
      <c r="N153" s="34"/>
      <c r="O153" s="34"/>
      <c r="P153" s="34"/>
      <c r="Q153" s="34"/>
      <c r="R153" s="213"/>
      <c r="S153" s="213"/>
      <c r="T153" s="217" t="s">
        <v>1036</v>
      </c>
    </row>
    <row r="154">
      <c r="A154" s="213"/>
      <c r="B154" s="213"/>
      <c r="C154" s="225" t="s">
        <v>866</v>
      </c>
      <c r="D154" s="225" t="s">
        <v>49</v>
      </c>
      <c r="E154" s="213"/>
      <c r="F154" s="213"/>
      <c r="G154" s="34"/>
      <c r="H154" s="206" t="s">
        <v>1037</v>
      </c>
      <c r="I154" s="207">
        <v>589.0</v>
      </c>
      <c r="J154" s="211" t="s">
        <v>1038</v>
      </c>
      <c r="K154" s="209" t="s">
        <v>1039</v>
      </c>
      <c r="L154" s="83">
        <v>167.0</v>
      </c>
      <c r="M154" s="34"/>
      <c r="N154" s="34"/>
      <c r="O154" s="34"/>
      <c r="P154" s="34"/>
      <c r="Q154" s="34"/>
      <c r="R154" s="213"/>
      <c r="S154" s="213"/>
      <c r="T154" s="217" t="s">
        <v>1040</v>
      </c>
    </row>
    <row r="155">
      <c r="A155" s="213"/>
      <c r="B155" s="213"/>
      <c r="C155" s="225" t="s">
        <v>1041</v>
      </c>
      <c r="D155" s="225" t="s">
        <v>1042</v>
      </c>
      <c r="E155" s="213"/>
      <c r="F155" s="213"/>
      <c r="G155" s="34"/>
      <c r="H155" s="206" t="s">
        <v>1043</v>
      </c>
      <c r="I155" s="207">
        <v>76.0</v>
      </c>
      <c r="J155" s="211" t="s">
        <v>1044</v>
      </c>
      <c r="K155" s="209" t="s">
        <v>1045</v>
      </c>
      <c r="L155" s="83">
        <v>147.0</v>
      </c>
      <c r="M155" s="34"/>
      <c r="N155" s="34"/>
      <c r="O155" s="34"/>
      <c r="P155" s="34"/>
      <c r="Q155" s="34"/>
      <c r="R155" s="213"/>
      <c r="S155" s="213"/>
      <c r="T155" s="217" t="s">
        <v>1046</v>
      </c>
    </row>
    <row r="156">
      <c r="A156" s="213"/>
      <c r="B156" s="213"/>
      <c r="C156" s="225" t="s">
        <v>1047</v>
      </c>
      <c r="D156" s="225" t="s">
        <v>49</v>
      </c>
      <c r="E156" s="213"/>
      <c r="F156" s="213"/>
      <c r="G156" s="34"/>
      <c r="H156" s="206" t="s">
        <v>1048</v>
      </c>
      <c r="I156" s="207">
        <v>568.0</v>
      </c>
      <c r="J156" s="211" t="s">
        <v>1049</v>
      </c>
      <c r="K156" s="209" t="s">
        <v>1050</v>
      </c>
      <c r="L156" s="83">
        <v>161.0</v>
      </c>
      <c r="M156" s="34"/>
      <c r="N156" s="34"/>
      <c r="O156" s="34"/>
      <c r="P156" s="34"/>
      <c r="Q156" s="34"/>
      <c r="R156" s="213"/>
      <c r="S156" s="213"/>
      <c r="T156" s="217" t="s">
        <v>1051</v>
      </c>
    </row>
    <row r="157">
      <c r="A157" s="213"/>
      <c r="B157" s="213"/>
      <c r="C157" s="225" t="s">
        <v>1052</v>
      </c>
      <c r="D157" s="225" t="s">
        <v>49</v>
      </c>
      <c r="E157" s="213"/>
      <c r="F157" s="213"/>
      <c r="G157" s="34"/>
      <c r="H157" s="206" t="s">
        <v>362</v>
      </c>
      <c r="I157" s="207">
        <v>12.0</v>
      </c>
      <c r="J157" s="211" t="s">
        <v>1053</v>
      </c>
      <c r="K157" s="209" t="s">
        <v>1054</v>
      </c>
      <c r="L157" s="83">
        <v>168.0</v>
      </c>
      <c r="M157" s="34"/>
      <c r="N157" s="34"/>
      <c r="O157" s="34"/>
      <c r="P157" s="34"/>
      <c r="Q157" s="34"/>
      <c r="R157" s="213"/>
      <c r="S157" s="213"/>
      <c r="T157" s="217" t="s">
        <v>1055</v>
      </c>
    </row>
    <row r="158">
      <c r="A158" s="213"/>
      <c r="B158" s="213"/>
      <c r="C158" s="225" t="s">
        <v>1056</v>
      </c>
      <c r="D158" s="225" t="s">
        <v>1057</v>
      </c>
      <c r="E158" s="213"/>
      <c r="F158" s="213"/>
      <c r="G158" s="34"/>
      <c r="H158" s="206" t="s">
        <v>362</v>
      </c>
      <c r="I158" s="207">
        <v>434.0</v>
      </c>
      <c r="J158" s="211" t="s">
        <v>1058</v>
      </c>
      <c r="K158" s="209" t="s">
        <v>1059</v>
      </c>
      <c r="L158" s="83">
        <v>35.0</v>
      </c>
      <c r="M158" s="34"/>
      <c r="N158" s="34"/>
      <c r="O158" s="34"/>
      <c r="P158" s="34"/>
      <c r="Q158" s="34"/>
      <c r="R158" s="213"/>
      <c r="S158" s="213"/>
      <c r="T158" s="217" t="s">
        <v>1060</v>
      </c>
    </row>
    <row r="159">
      <c r="A159" s="213"/>
      <c r="B159" s="213"/>
      <c r="C159" s="225" t="s">
        <v>1061</v>
      </c>
      <c r="D159" s="225" t="s">
        <v>49</v>
      </c>
      <c r="E159" s="213"/>
      <c r="F159" s="213"/>
      <c r="G159" s="34"/>
      <c r="H159" s="206" t="s">
        <v>548</v>
      </c>
      <c r="I159" s="207">
        <v>156.0</v>
      </c>
      <c r="J159" s="211" t="s">
        <v>344</v>
      </c>
      <c r="K159" s="209" t="s">
        <v>1062</v>
      </c>
      <c r="L159" s="83">
        <v>36.0</v>
      </c>
      <c r="M159" s="34"/>
      <c r="N159" s="34"/>
      <c r="O159" s="34"/>
      <c r="P159" s="34"/>
      <c r="Q159" s="34"/>
      <c r="R159" s="213"/>
      <c r="S159" s="213"/>
      <c r="T159" s="217" t="s">
        <v>1063</v>
      </c>
    </row>
    <row r="160">
      <c r="A160" s="213"/>
      <c r="B160" s="213"/>
      <c r="C160" s="225" t="s">
        <v>1064</v>
      </c>
      <c r="D160" s="225" t="s">
        <v>49</v>
      </c>
      <c r="E160" s="213"/>
      <c r="F160" s="213"/>
      <c r="G160" s="34"/>
      <c r="H160" s="206" t="s">
        <v>680</v>
      </c>
      <c r="I160" s="207">
        <v>307.0</v>
      </c>
      <c r="J160" s="211" t="s">
        <v>1065</v>
      </c>
      <c r="K160" s="209" t="s">
        <v>1066</v>
      </c>
      <c r="L160" s="83">
        <v>169.0</v>
      </c>
      <c r="M160" s="34"/>
      <c r="N160" s="34"/>
      <c r="O160" s="34"/>
      <c r="P160" s="34"/>
      <c r="Q160" s="34"/>
      <c r="R160" s="213"/>
      <c r="S160" s="213"/>
      <c r="T160" s="217" t="s">
        <v>1067</v>
      </c>
    </row>
    <row r="161">
      <c r="A161" s="213"/>
      <c r="B161" s="213"/>
      <c r="C161" s="225" t="s">
        <v>1068</v>
      </c>
      <c r="D161" s="225" t="s">
        <v>49</v>
      </c>
      <c r="E161" s="213"/>
      <c r="F161" s="213"/>
      <c r="G161" s="34"/>
      <c r="H161" s="206" t="s">
        <v>679</v>
      </c>
      <c r="I161" s="207">
        <v>308.0</v>
      </c>
      <c r="J161" s="211" t="s">
        <v>1069</v>
      </c>
      <c r="K161" s="209" t="s">
        <v>1070</v>
      </c>
      <c r="L161" s="83">
        <v>148.0</v>
      </c>
      <c r="M161" s="34"/>
      <c r="N161" s="34"/>
      <c r="O161" s="34"/>
      <c r="P161" s="34"/>
      <c r="Q161" s="34"/>
      <c r="R161" s="213"/>
      <c r="S161" s="213"/>
      <c r="T161" s="217" t="s">
        <v>905</v>
      </c>
    </row>
    <row r="162">
      <c r="A162" s="213"/>
      <c r="B162" s="213"/>
      <c r="C162" s="225" t="s">
        <v>909</v>
      </c>
      <c r="D162" s="225" t="s">
        <v>1071</v>
      </c>
      <c r="E162" s="213"/>
      <c r="F162" s="213"/>
      <c r="G162" s="34"/>
      <c r="H162" s="206" t="s">
        <v>689</v>
      </c>
      <c r="I162" s="207">
        <v>309.0</v>
      </c>
      <c r="J162" s="211" t="s">
        <v>1072</v>
      </c>
      <c r="K162" s="209" t="s">
        <v>1073</v>
      </c>
      <c r="L162" s="83">
        <v>170.0</v>
      </c>
      <c r="M162" s="34"/>
      <c r="N162" s="34"/>
      <c r="O162" s="34"/>
      <c r="P162" s="34"/>
      <c r="Q162" s="34"/>
      <c r="R162" s="213"/>
      <c r="S162" s="213"/>
      <c r="T162" s="217" t="s">
        <v>1074</v>
      </c>
    </row>
    <row r="163">
      <c r="A163" s="213"/>
      <c r="B163" s="213"/>
      <c r="C163" s="225" t="s">
        <v>981</v>
      </c>
      <c r="D163" s="225" t="s">
        <v>1075</v>
      </c>
      <c r="E163" s="213"/>
      <c r="F163" s="213"/>
      <c r="G163" s="34"/>
      <c r="H163" s="206" t="s">
        <v>1076</v>
      </c>
      <c r="I163" s="207">
        <v>548.0</v>
      </c>
      <c r="J163" s="211" t="s">
        <v>1077</v>
      </c>
      <c r="K163" s="209" t="s">
        <v>1078</v>
      </c>
      <c r="L163" s="83">
        <v>37.0</v>
      </c>
      <c r="M163" s="34"/>
      <c r="N163" s="34"/>
      <c r="O163" s="34"/>
      <c r="P163" s="34"/>
      <c r="Q163" s="34"/>
      <c r="R163" s="213"/>
      <c r="S163" s="213"/>
      <c r="T163" s="217" t="s">
        <v>1079</v>
      </c>
    </row>
    <row r="164">
      <c r="A164" s="213"/>
      <c r="B164" s="213"/>
      <c r="C164" s="225" t="s">
        <v>994</v>
      </c>
      <c r="D164" s="225" t="s">
        <v>1080</v>
      </c>
      <c r="E164" s="213"/>
      <c r="F164" s="213"/>
      <c r="G164" s="34"/>
      <c r="H164" s="206" t="s">
        <v>695</v>
      </c>
      <c r="I164" s="207">
        <v>310.0</v>
      </c>
      <c r="J164" s="211" t="s">
        <v>1081</v>
      </c>
      <c r="K164" s="209" t="s">
        <v>1082</v>
      </c>
      <c r="L164" s="83">
        <v>60.0</v>
      </c>
      <c r="M164" s="34"/>
      <c r="N164" s="34"/>
      <c r="O164" s="34"/>
      <c r="P164" s="34"/>
      <c r="Q164" s="34"/>
      <c r="R164" s="213"/>
      <c r="S164" s="213"/>
      <c r="T164" s="217" t="s">
        <v>1083</v>
      </c>
    </row>
    <row r="165">
      <c r="A165" s="213"/>
      <c r="B165" s="213"/>
      <c r="C165" s="225" t="s">
        <v>1084</v>
      </c>
      <c r="D165" s="225" t="s">
        <v>1085</v>
      </c>
      <c r="E165" s="213"/>
      <c r="F165" s="213"/>
      <c r="G165" s="34"/>
      <c r="H165" s="206" t="s">
        <v>1086</v>
      </c>
      <c r="I165" s="207">
        <v>281.0</v>
      </c>
      <c r="J165" s="211" t="s">
        <v>1087</v>
      </c>
      <c r="K165" s="209" t="s">
        <v>1088</v>
      </c>
      <c r="L165" s="83">
        <v>171.0</v>
      </c>
      <c r="M165" s="34"/>
      <c r="N165" s="34"/>
      <c r="O165" s="34"/>
      <c r="P165" s="34"/>
      <c r="Q165" s="34"/>
      <c r="R165" s="213"/>
      <c r="S165" s="213"/>
      <c r="T165" s="217" t="s">
        <v>1089</v>
      </c>
    </row>
    <row r="166">
      <c r="A166" s="213"/>
      <c r="B166" s="213"/>
      <c r="C166" s="225" t="s">
        <v>1090</v>
      </c>
      <c r="D166" s="225" t="s">
        <v>49</v>
      </c>
      <c r="E166" s="213"/>
      <c r="F166" s="213"/>
      <c r="G166" s="34"/>
      <c r="H166" s="206" t="s">
        <v>369</v>
      </c>
      <c r="I166" s="207">
        <v>37.0</v>
      </c>
      <c r="J166" s="211" t="s">
        <v>1091</v>
      </c>
      <c r="K166" s="209" t="s">
        <v>1092</v>
      </c>
      <c r="L166" s="83">
        <v>172.0</v>
      </c>
      <c r="M166" s="34"/>
      <c r="N166" s="34"/>
      <c r="O166" s="34"/>
      <c r="P166" s="34"/>
      <c r="Q166" s="34"/>
      <c r="R166" s="213"/>
      <c r="S166" s="213"/>
      <c r="T166" s="217" t="s">
        <v>1093</v>
      </c>
    </row>
    <row r="167">
      <c r="A167" s="213"/>
      <c r="B167" s="213"/>
      <c r="C167" s="225" t="s">
        <v>1094</v>
      </c>
      <c r="D167" s="225" t="s">
        <v>1095</v>
      </c>
      <c r="E167" s="213"/>
      <c r="F167" s="213"/>
      <c r="G167" s="34"/>
      <c r="H167" s="206" t="s">
        <v>700</v>
      </c>
      <c r="I167" s="207">
        <v>311.0</v>
      </c>
      <c r="J167" s="211" t="s">
        <v>1096</v>
      </c>
      <c r="K167" s="209" t="s">
        <v>1097</v>
      </c>
      <c r="L167" s="83">
        <v>173.0</v>
      </c>
      <c r="M167" s="34"/>
      <c r="N167" s="34"/>
      <c r="O167" s="34"/>
      <c r="P167" s="34"/>
      <c r="Q167" s="34"/>
      <c r="R167" s="213"/>
      <c r="S167" s="213"/>
      <c r="T167" s="217" t="s">
        <v>1098</v>
      </c>
    </row>
    <row r="168">
      <c r="A168" s="213"/>
      <c r="B168" s="213"/>
      <c r="C168" s="225" t="s">
        <v>1099</v>
      </c>
      <c r="D168" s="225" t="s">
        <v>1100</v>
      </c>
      <c r="E168" s="213"/>
      <c r="F168" s="213"/>
      <c r="G168" s="34"/>
      <c r="H168" s="206" t="s">
        <v>377</v>
      </c>
      <c r="I168" s="207">
        <v>35.0</v>
      </c>
      <c r="J168" s="211" t="s">
        <v>1101</v>
      </c>
      <c r="K168" s="209" t="s">
        <v>1102</v>
      </c>
      <c r="L168" s="83">
        <v>38.0</v>
      </c>
      <c r="M168" s="34"/>
      <c r="N168" s="34"/>
      <c r="O168" s="34"/>
      <c r="P168" s="34"/>
      <c r="Q168" s="34"/>
      <c r="R168" s="213"/>
      <c r="S168" s="213"/>
      <c r="T168" s="217" t="s">
        <v>1103</v>
      </c>
    </row>
    <row r="169">
      <c r="A169" s="213"/>
      <c r="B169" s="213"/>
      <c r="C169" s="225" t="s">
        <v>854</v>
      </c>
      <c r="D169" s="225" t="s">
        <v>49</v>
      </c>
      <c r="E169" s="213"/>
      <c r="F169" s="213"/>
      <c r="G169" s="34"/>
      <c r="H169" s="206" t="s">
        <v>602</v>
      </c>
      <c r="I169" s="207">
        <v>278.0</v>
      </c>
      <c r="J169" s="211" t="s">
        <v>1104</v>
      </c>
      <c r="K169" s="209" t="s">
        <v>1105</v>
      </c>
      <c r="L169" s="83">
        <v>39.0</v>
      </c>
      <c r="M169" s="34"/>
      <c r="N169" s="34"/>
      <c r="O169" s="34"/>
      <c r="P169" s="34"/>
      <c r="Q169" s="34"/>
      <c r="R169" s="213"/>
      <c r="S169" s="213"/>
      <c r="T169" s="217" t="s">
        <v>1106</v>
      </c>
    </row>
    <row r="170">
      <c r="A170" s="213"/>
      <c r="B170" s="213"/>
      <c r="C170" s="225" t="s">
        <v>1007</v>
      </c>
      <c r="D170" s="225" t="s">
        <v>49</v>
      </c>
      <c r="E170" s="213"/>
      <c r="F170" s="213"/>
      <c r="G170" s="34"/>
      <c r="H170" s="206" t="s">
        <v>1107</v>
      </c>
      <c r="I170" s="207">
        <v>282.0</v>
      </c>
      <c r="J170" s="211" t="s">
        <v>1108</v>
      </c>
      <c r="K170" s="209" t="s">
        <v>1109</v>
      </c>
      <c r="L170" s="83">
        <v>182.0</v>
      </c>
      <c r="M170" s="34"/>
      <c r="N170" s="34"/>
      <c r="O170" s="34"/>
      <c r="P170" s="34"/>
      <c r="Q170" s="34"/>
      <c r="R170" s="213"/>
      <c r="S170" s="213"/>
      <c r="T170" s="217" t="s">
        <v>1110</v>
      </c>
    </row>
    <row r="171">
      <c r="A171" s="213"/>
      <c r="B171" s="213"/>
      <c r="C171" s="225" t="s">
        <v>1111</v>
      </c>
      <c r="D171" s="225" t="s">
        <v>1112</v>
      </c>
      <c r="E171" s="213"/>
      <c r="F171" s="213"/>
      <c r="G171" s="34"/>
      <c r="H171" s="206" t="s">
        <v>1113</v>
      </c>
      <c r="I171" s="207">
        <v>81.0</v>
      </c>
      <c r="J171" s="211" t="s">
        <v>1114</v>
      </c>
      <c r="K171" s="209" t="s">
        <v>1115</v>
      </c>
      <c r="L171" s="83">
        <v>174.0</v>
      </c>
      <c r="M171" s="34"/>
      <c r="N171" s="34"/>
      <c r="O171" s="34"/>
      <c r="P171" s="34"/>
      <c r="Q171" s="34"/>
      <c r="R171" s="213"/>
      <c r="S171" s="213"/>
      <c r="T171" s="217" t="s">
        <v>1116</v>
      </c>
    </row>
    <row r="172">
      <c r="A172" s="213"/>
      <c r="B172" s="213"/>
      <c r="C172" s="225" t="s">
        <v>1117</v>
      </c>
      <c r="D172" s="225" t="s">
        <v>49</v>
      </c>
      <c r="E172" s="213"/>
      <c r="F172" s="213"/>
      <c r="G172" s="34"/>
      <c r="H172" s="206" t="s">
        <v>705</v>
      </c>
      <c r="I172" s="207">
        <v>312.0</v>
      </c>
      <c r="J172" s="211" t="s">
        <v>1118</v>
      </c>
      <c r="K172" s="209" t="s">
        <v>1119</v>
      </c>
      <c r="L172" s="83">
        <v>40.0</v>
      </c>
      <c r="M172" s="34"/>
      <c r="N172" s="34"/>
      <c r="O172" s="34"/>
      <c r="P172" s="34"/>
      <c r="Q172" s="34"/>
      <c r="R172" s="213"/>
      <c r="S172" s="213"/>
      <c r="T172" s="217" t="s">
        <v>1120</v>
      </c>
    </row>
    <row r="173">
      <c r="A173" s="213"/>
      <c r="B173" s="213"/>
      <c r="C173" s="225" t="s">
        <v>1121</v>
      </c>
      <c r="D173" s="225" t="s">
        <v>1122</v>
      </c>
      <c r="E173" s="213"/>
      <c r="F173" s="213"/>
      <c r="G173" s="34"/>
      <c r="H173" s="206" t="s">
        <v>265</v>
      </c>
      <c r="I173" s="207">
        <v>38.0</v>
      </c>
      <c r="J173" s="211" t="s">
        <v>1123</v>
      </c>
      <c r="K173" s="209" t="s">
        <v>1124</v>
      </c>
      <c r="L173" s="83">
        <v>180.0</v>
      </c>
      <c r="M173" s="34"/>
      <c r="N173" s="34"/>
      <c r="O173" s="34"/>
      <c r="P173" s="34"/>
      <c r="Q173" s="34"/>
      <c r="R173" s="213"/>
      <c r="S173" s="213"/>
      <c r="T173" s="217" t="s">
        <v>1125</v>
      </c>
    </row>
    <row r="174">
      <c r="A174" s="213"/>
      <c r="B174" s="213"/>
      <c r="C174" s="225" t="s">
        <v>1126</v>
      </c>
      <c r="D174" s="225" t="s">
        <v>1127</v>
      </c>
      <c r="E174" s="213"/>
      <c r="F174" s="213"/>
      <c r="G174" s="34"/>
      <c r="H174" s="206" t="s">
        <v>1128</v>
      </c>
      <c r="I174" s="207">
        <v>82.0</v>
      </c>
      <c r="J174" s="211" t="s">
        <v>1129</v>
      </c>
      <c r="K174" s="209" t="s">
        <v>1130</v>
      </c>
      <c r="L174" s="83">
        <v>41.0</v>
      </c>
      <c r="M174" s="34"/>
      <c r="N174" s="34"/>
      <c r="O174" s="34"/>
      <c r="P174" s="34"/>
      <c r="Q174" s="34"/>
      <c r="R174" s="213"/>
      <c r="S174" s="213"/>
      <c r="T174" s="217" t="s">
        <v>1131</v>
      </c>
    </row>
    <row r="175">
      <c r="A175" s="213"/>
      <c r="B175" s="213"/>
      <c r="C175" s="225" t="s">
        <v>1132</v>
      </c>
      <c r="D175" s="225" t="s">
        <v>1133</v>
      </c>
      <c r="E175" s="213"/>
      <c r="F175" s="213"/>
      <c r="G175" s="34"/>
      <c r="H175" s="206" t="s">
        <v>1084</v>
      </c>
      <c r="I175" s="207">
        <v>247.0</v>
      </c>
      <c r="J175" s="211" t="s">
        <v>1134</v>
      </c>
      <c r="K175" s="209" t="s">
        <v>1135</v>
      </c>
      <c r="L175" s="83">
        <v>42.0</v>
      </c>
      <c r="M175" s="34"/>
      <c r="N175" s="34"/>
      <c r="O175" s="34"/>
      <c r="P175" s="34"/>
      <c r="Q175" s="34"/>
      <c r="R175" s="213"/>
      <c r="S175" s="213"/>
      <c r="T175" s="217" t="s">
        <v>1136</v>
      </c>
    </row>
    <row r="176">
      <c r="A176" s="213"/>
      <c r="B176" s="213"/>
      <c r="C176" s="225" t="s">
        <v>1137</v>
      </c>
      <c r="D176" s="225" t="s">
        <v>49</v>
      </c>
      <c r="E176" s="213"/>
      <c r="F176" s="213"/>
      <c r="G176" s="34"/>
      <c r="H176" s="206" t="s">
        <v>1026</v>
      </c>
      <c r="I176" s="207">
        <v>201.0</v>
      </c>
      <c r="J176" s="211" t="s">
        <v>1138</v>
      </c>
      <c r="K176" s="209" t="s">
        <v>1139</v>
      </c>
      <c r="L176" s="83">
        <v>175.0</v>
      </c>
      <c r="M176" s="34"/>
      <c r="N176" s="34"/>
      <c r="O176" s="34"/>
      <c r="P176" s="34"/>
      <c r="Q176" s="34"/>
      <c r="R176" s="213"/>
      <c r="S176" s="213"/>
      <c r="T176" s="217" t="s">
        <v>1140</v>
      </c>
    </row>
    <row r="177">
      <c r="A177" s="213"/>
      <c r="B177" s="213"/>
      <c r="C177" s="225" t="s">
        <v>1141</v>
      </c>
      <c r="D177" s="225" t="s">
        <v>1142</v>
      </c>
      <c r="E177" s="213"/>
      <c r="F177" s="213"/>
      <c r="G177" s="34"/>
      <c r="H177" s="206" t="s">
        <v>1143</v>
      </c>
      <c r="I177" s="207">
        <v>162.0</v>
      </c>
      <c r="J177" s="211" t="s">
        <v>1144</v>
      </c>
      <c r="K177" s="209" t="s">
        <v>1145</v>
      </c>
      <c r="L177" s="83">
        <v>63.0</v>
      </c>
      <c r="M177" s="34"/>
      <c r="N177" s="34"/>
      <c r="O177" s="34"/>
      <c r="P177" s="34"/>
      <c r="Q177" s="34"/>
      <c r="R177" s="213"/>
      <c r="S177" s="213"/>
      <c r="T177" s="217" t="s">
        <v>1146</v>
      </c>
    </row>
    <row r="178">
      <c r="A178" s="213"/>
      <c r="B178" s="213"/>
      <c r="C178" s="225" t="s">
        <v>211</v>
      </c>
      <c r="D178" s="225" t="s">
        <v>1147</v>
      </c>
      <c r="E178" s="213"/>
      <c r="F178" s="213"/>
      <c r="G178" s="34"/>
      <c r="H178" s="206" t="s">
        <v>820</v>
      </c>
      <c r="I178" s="207">
        <v>146.0</v>
      </c>
      <c r="J178" s="211" t="s">
        <v>1148</v>
      </c>
      <c r="K178" s="209" t="s">
        <v>1149</v>
      </c>
      <c r="L178" s="83">
        <v>178.0</v>
      </c>
      <c r="M178" s="34"/>
      <c r="N178" s="34"/>
      <c r="O178" s="34"/>
      <c r="P178" s="34"/>
      <c r="Q178" s="34"/>
      <c r="R178" s="213"/>
      <c r="S178" s="213"/>
      <c r="T178" s="217" t="s">
        <v>1150</v>
      </c>
    </row>
    <row r="179">
      <c r="A179" s="213"/>
      <c r="B179" s="213"/>
      <c r="C179" s="225" t="s">
        <v>668</v>
      </c>
      <c r="D179" s="225" t="s">
        <v>49</v>
      </c>
      <c r="E179" s="213"/>
      <c r="F179" s="213"/>
      <c r="G179" s="34"/>
      <c r="H179" s="206" t="s">
        <v>709</v>
      </c>
      <c r="I179" s="207">
        <v>39.0</v>
      </c>
      <c r="J179" s="211" t="s">
        <v>1151</v>
      </c>
      <c r="K179" s="209" t="s">
        <v>1152</v>
      </c>
      <c r="L179" s="83">
        <v>179.0</v>
      </c>
      <c r="M179" s="34"/>
      <c r="N179" s="34"/>
      <c r="O179" s="34"/>
      <c r="P179" s="34"/>
      <c r="Q179" s="34"/>
      <c r="R179" s="213"/>
      <c r="S179" s="213"/>
      <c r="T179" s="217" t="s">
        <v>1153</v>
      </c>
    </row>
    <row r="180">
      <c r="A180" s="213"/>
      <c r="B180" s="213"/>
      <c r="C180" s="225" t="s">
        <v>822</v>
      </c>
      <c r="D180" s="225" t="s">
        <v>49</v>
      </c>
      <c r="E180" s="213"/>
      <c r="F180" s="213"/>
      <c r="G180" s="34"/>
      <c r="H180" s="206" t="s">
        <v>273</v>
      </c>
      <c r="I180" s="207">
        <v>40.0</v>
      </c>
      <c r="J180" s="211" t="s">
        <v>1154</v>
      </c>
      <c r="K180" s="209" t="s">
        <v>1155</v>
      </c>
      <c r="L180" s="83">
        <v>177.0</v>
      </c>
      <c r="M180" s="34"/>
      <c r="N180" s="34"/>
      <c r="O180" s="34"/>
      <c r="P180" s="34"/>
      <c r="Q180" s="34"/>
      <c r="R180" s="213"/>
      <c r="S180" s="213"/>
      <c r="T180" s="217" t="s">
        <v>1156</v>
      </c>
    </row>
    <row r="181">
      <c r="A181" s="213"/>
      <c r="B181" s="213"/>
      <c r="C181" s="225" t="s">
        <v>867</v>
      </c>
      <c r="D181" s="225" t="s">
        <v>49</v>
      </c>
      <c r="E181" s="213"/>
      <c r="F181" s="213"/>
      <c r="G181" s="34"/>
      <c r="H181" s="206" t="s">
        <v>1157</v>
      </c>
      <c r="I181" s="207">
        <v>186.0</v>
      </c>
      <c r="J181" s="211" t="s">
        <v>1158</v>
      </c>
      <c r="K181" s="209" t="s">
        <v>531</v>
      </c>
      <c r="L181" s="83">
        <v>43.0</v>
      </c>
      <c r="M181" s="34"/>
      <c r="N181" s="34"/>
      <c r="O181" s="34"/>
      <c r="P181" s="34"/>
      <c r="Q181" s="34"/>
      <c r="R181" s="213"/>
      <c r="S181" s="213"/>
      <c r="T181" s="217" t="s">
        <v>1159</v>
      </c>
    </row>
    <row r="182">
      <c r="A182" s="213"/>
      <c r="B182" s="213"/>
      <c r="C182" s="225" t="s">
        <v>928</v>
      </c>
      <c r="D182" s="225" t="s">
        <v>49</v>
      </c>
      <c r="E182" s="213"/>
      <c r="F182" s="213"/>
      <c r="G182" s="34"/>
      <c r="H182" s="206" t="s">
        <v>425</v>
      </c>
      <c r="I182" s="207">
        <v>261.0</v>
      </c>
      <c r="J182" s="211" t="s">
        <v>1160</v>
      </c>
      <c r="K182" s="209" t="s">
        <v>1161</v>
      </c>
      <c r="L182" s="83">
        <v>176.0</v>
      </c>
      <c r="M182" s="34"/>
      <c r="N182" s="34"/>
      <c r="O182" s="34"/>
      <c r="P182" s="34"/>
      <c r="Q182" s="34"/>
      <c r="R182" s="213"/>
      <c r="S182" s="213"/>
      <c r="T182" s="217" t="s">
        <v>1162</v>
      </c>
    </row>
    <row r="183">
      <c r="A183" s="213"/>
      <c r="B183" s="213"/>
      <c r="C183" s="225" t="s">
        <v>963</v>
      </c>
      <c r="D183" s="225" t="s">
        <v>1163</v>
      </c>
      <c r="E183" s="213"/>
      <c r="F183" s="213"/>
      <c r="G183" s="34"/>
      <c r="H183" s="206" t="s">
        <v>1164</v>
      </c>
      <c r="I183" s="207">
        <v>110.0</v>
      </c>
      <c r="J183" s="211" t="s">
        <v>1165</v>
      </c>
      <c r="K183" s="209" t="s">
        <v>1166</v>
      </c>
      <c r="L183" s="83">
        <v>181.0</v>
      </c>
      <c r="M183" s="34"/>
      <c r="N183" s="34"/>
      <c r="O183" s="34"/>
      <c r="P183" s="34"/>
      <c r="Q183" s="34"/>
      <c r="R183" s="213"/>
      <c r="S183" s="213"/>
      <c r="T183" s="217" t="s">
        <v>1167</v>
      </c>
    </row>
    <row r="184">
      <c r="A184" s="213"/>
      <c r="B184" s="213"/>
      <c r="C184" s="225" t="s">
        <v>1043</v>
      </c>
      <c r="D184" s="225" t="s">
        <v>49</v>
      </c>
      <c r="E184" s="213"/>
      <c r="F184" s="213"/>
      <c r="G184" s="34"/>
      <c r="H184" s="206" t="s">
        <v>1111</v>
      </c>
      <c r="I184" s="207">
        <v>61.0</v>
      </c>
      <c r="J184" s="211" t="s">
        <v>1168</v>
      </c>
      <c r="K184" s="209" t="s">
        <v>1169</v>
      </c>
      <c r="L184" s="83">
        <v>183.0</v>
      </c>
      <c r="M184" s="34"/>
      <c r="N184" s="34"/>
      <c r="O184" s="34"/>
      <c r="P184" s="34"/>
      <c r="Q184" s="34"/>
      <c r="R184" s="213"/>
      <c r="S184" s="213"/>
      <c r="T184" s="217" t="s">
        <v>1170</v>
      </c>
    </row>
    <row r="185">
      <c r="A185" s="213"/>
      <c r="B185" s="213"/>
      <c r="C185" s="225" t="s">
        <v>468</v>
      </c>
      <c r="D185" s="225" t="s">
        <v>1171</v>
      </c>
      <c r="E185" s="213"/>
      <c r="F185" s="213"/>
      <c r="G185" s="34"/>
      <c r="H185" s="206" t="s">
        <v>1172</v>
      </c>
      <c r="I185" s="207">
        <v>414.0</v>
      </c>
      <c r="J185" s="211" t="s">
        <v>1173</v>
      </c>
      <c r="K185" s="209" t="s">
        <v>1174</v>
      </c>
      <c r="L185" s="83">
        <v>44.0</v>
      </c>
      <c r="M185" s="34"/>
      <c r="N185" s="34"/>
      <c r="O185" s="34"/>
      <c r="P185" s="34"/>
      <c r="Q185" s="34"/>
      <c r="R185" s="213"/>
      <c r="S185" s="213"/>
      <c r="T185" s="217" t="s">
        <v>1175</v>
      </c>
    </row>
    <row r="186">
      <c r="A186" s="213"/>
      <c r="B186" s="213"/>
      <c r="C186" s="225" t="s">
        <v>482</v>
      </c>
      <c r="D186" s="225" t="s">
        <v>1176</v>
      </c>
      <c r="E186" s="213"/>
      <c r="F186" s="213"/>
      <c r="G186" s="34"/>
      <c r="H186" s="206" t="s">
        <v>1117</v>
      </c>
      <c r="I186" s="207">
        <v>62.0</v>
      </c>
      <c r="J186" s="211" t="s">
        <v>1177</v>
      </c>
      <c r="K186" s="209" t="s">
        <v>1178</v>
      </c>
      <c r="L186" s="83">
        <v>45.0</v>
      </c>
      <c r="M186" s="34"/>
      <c r="N186" s="34"/>
      <c r="O186" s="34"/>
      <c r="P186" s="34"/>
      <c r="Q186" s="34"/>
      <c r="R186" s="213"/>
      <c r="S186" s="213"/>
      <c r="T186" s="217" t="s">
        <v>1179</v>
      </c>
    </row>
    <row r="187">
      <c r="A187" s="213"/>
      <c r="B187" s="213"/>
      <c r="C187" s="225" t="s">
        <v>574</v>
      </c>
      <c r="D187" s="225" t="s">
        <v>1180</v>
      </c>
      <c r="E187" s="213"/>
      <c r="F187" s="213"/>
      <c r="G187" s="34"/>
      <c r="H187" s="206" t="s">
        <v>1181</v>
      </c>
      <c r="I187" s="207">
        <v>528.0</v>
      </c>
      <c r="J187" s="211" t="s">
        <v>1182</v>
      </c>
      <c r="K187" s="209" t="s">
        <v>1183</v>
      </c>
      <c r="L187" s="83">
        <v>184.0</v>
      </c>
      <c r="M187" s="34"/>
      <c r="N187" s="34"/>
      <c r="O187" s="34"/>
      <c r="P187" s="34"/>
      <c r="Q187" s="34"/>
      <c r="R187" s="213"/>
      <c r="S187" s="213"/>
      <c r="T187" s="217" t="s">
        <v>1184</v>
      </c>
    </row>
    <row r="188">
      <c r="A188" s="213"/>
      <c r="B188" s="213"/>
      <c r="C188" s="225" t="s">
        <v>732</v>
      </c>
      <c r="D188" s="225" t="s">
        <v>1185</v>
      </c>
      <c r="E188" s="213"/>
      <c r="F188" s="213"/>
      <c r="G188" s="34"/>
      <c r="H188" s="206" t="s">
        <v>1186</v>
      </c>
      <c r="I188" s="207">
        <v>529.0</v>
      </c>
      <c r="J188" s="211" t="s">
        <v>1187</v>
      </c>
      <c r="K188" s="209" t="s">
        <v>1188</v>
      </c>
      <c r="L188" s="83">
        <v>185.0</v>
      </c>
      <c r="M188" s="34"/>
      <c r="N188" s="34"/>
      <c r="O188" s="34"/>
      <c r="P188" s="34"/>
      <c r="Q188" s="34"/>
      <c r="R188" s="213"/>
      <c r="S188" s="213"/>
      <c r="T188" s="217" t="s">
        <v>1189</v>
      </c>
    </row>
    <row r="189">
      <c r="A189" s="213"/>
      <c r="B189" s="213"/>
      <c r="C189" s="225" t="s">
        <v>1113</v>
      </c>
      <c r="D189" s="225" t="s">
        <v>1190</v>
      </c>
      <c r="E189" s="213"/>
      <c r="F189" s="213"/>
      <c r="G189" s="34"/>
      <c r="H189" s="206" t="s">
        <v>1191</v>
      </c>
      <c r="I189" s="207">
        <v>435.0</v>
      </c>
      <c r="J189" s="211" t="s">
        <v>1192</v>
      </c>
      <c r="K189" s="209" t="s">
        <v>1193</v>
      </c>
      <c r="L189" s="83">
        <v>46.0</v>
      </c>
      <c r="M189" s="34"/>
      <c r="N189" s="34"/>
      <c r="O189" s="34"/>
      <c r="P189" s="34"/>
      <c r="Q189" s="34"/>
      <c r="R189" s="213"/>
      <c r="S189" s="213"/>
      <c r="T189" s="217" t="s">
        <v>1194</v>
      </c>
    </row>
    <row r="190">
      <c r="A190" s="213"/>
      <c r="B190" s="213"/>
      <c r="C190" s="225" t="s">
        <v>1128</v>
      </c>
      <c r="D190" s="225" t="s">
        <v>49</v>
      </c>
      <c r="E190" s="213"/>
      <c r="F190" s="213"/>
      <c r="G190" s="34"/>
      <c r="H190" s="206" t="s">
        <v>626</v>
      </c>
      <c r="I190" s="207">
        <v>340.0</v>
      </c>
      <c r="J190" s="211" t="s">
        <v>1195</v>
      </c>
      <c r="K190" s="209" t="s">
        <v>1196</v>
      </c>
      <c r="L190" s="83">
        <v>186.0</v>
      </c>
      <c r="M190" s="34"/>
      <c r="N190" s="34"/>
      <c r="O190" s="34"/>
      <c r="P190" s="34"/>
      <c r="Q190" s="34"/>
      <c r="R190" s="213"/>
      <c r="S190" s="213"/>
      <c r="T190" s="217" t="s">
        <v>1197</v>
      </c>
    </row>
    <row r="191">
      <c r="A191" s="213"/>
      <c r="B191" s="213"/>
      <c r="C191" s="225" t="s">
        <v>1198</v>
      </c>
      <c r="D191" s="225" t="s">
        <v>1199</v>
      </c>
      <c r="E191" s="213"/>
      <c r="F191" s="213"/>
      <c r="G191" s="34"/>
      <c r="H191" s="206" t="s">
        <v>432</v>
      </c>
      <c r="I191" s="207">
        <v>262.0</v>
      </c>
      <c r="J191" s="211" t="s">
        <v>1200</v>
      </c>
      <c r="K191" s="209" t="s">
        <v>1201</v>
      </c>
      <c r="L191" s="83">
        <v>187.0</v>
      </c>
      <c r="M191" s="34"/>
      <c r="N191" s="34"/>
      <c r="O191" s="34"/>
      <c r="P191" s="34"/>
      <c r="Q191" s="34"/>
      <c r="R191" s="213"/>
      <c r="S191" s="213"/>
      <c r="T191" s="217" t="s">
        <v>1202</v>
      </c>
    </row>
    <row r="192">
      <c r="A192" s="213"/>
      <c r="B192" s="213"/>
      <c r="C192" s="225" t="s">
        <v>1203</v>
      </c>
      <c r="D192" s="225" t="s">
        <v>49</v>
      </c>
      <c r="E192" s="213"/>
      <c r="F192" s="213"/>
      <c r="G192" s="34"/>
      <c r="H192" s="206" t="s">
        <v>714</v>
      </c>
      <c r="I192" s="207">
        <v>313.0</v>
      </c>
      <c r="J192" s="211" t="s">
        <v>1204</v>
      </c>
      <c r="K192" s="209" t="s">
        <v>1205</v>
      </c>
      <c r="L192" s="83">
        <v>188.0</v>
      </c>
      <c r="M192" s="34"/>
      <c r="N192" s="34"/>
      <c r="O192" s="34"/>
      <c r="P192" s="34"/>
      <c r="Q192" s="34"/>
      <c r="R192" s="213"/>
      <c r="S192" s="213"/>
      <c r="T192" s="217" t="s">
        <v>1206</v>
      </c>
    </row>
    <row r="193">
      <c r="A193" s="213"/>
      <c r="B193" s="213"/>
      <c r="C193" s="225" t="s">
        <v>1207</v>
      </c>
      <c r="D193" s="225" t="s">
        <v>1208</v>
      </c>
      <c r="E193" s="213"/>
      <c r="F193" s="213"/>
      <c r="G193" s="34"/>
      <c r="H193" s="206" t="s">
        <v>972</v>
      </c>
      <c r="I193" s="207">
        <v>182.0</v>
      </c>
      <c r="J193" s="211" t="s">
        <v>1209</v>
      </c>
      <c r="K193" s="209" t="s">
        <v>1210</v>
      </c>
      <c r="L193" s="83">
        <v>190.0</v>
      </c>
      <c r="M193" s="34"/>
      <c r="N193" s="34"/>
      <c r="O193" s="34"/>
      <c r="P193" s="34"/>
      <c r="Q193" s="34"/>
      <c r="R193" s="213"/>
      <c r="S193" s="213"/>
      <c r="T193" s="217" t="s">
        <v>1211</v>
      </c>
    </row>
    <row r="194">
      <c r="A194" s="213"/>
      <c r="B194" s="213"/>
      <c r="C194" s="225" t="s">
        <v>1212</v>
      </c>
      <c r="D194" s="225" t="s">
        <v>1213</v>
      </c>
      <c r="E194" s="213"/>
      <c r="F194" s="213"/>
      <c r="G194" s="34"/>
      <c r="H194" s="206" t="s">
        <v>1032</v>
      </c>
      <c r="I194" s="207">
        <v>202.0</v>
      </c>
      <c r="J194" s="211" t="s">
        <v>1214</v>
      </c>
      <c r="K194" s="209" t="s">
        <v>1215</v>
      </c>
      <c r="L194" s="83">
        <v>189.0</v>
      </c>
      <c r="M194" s="34"/>
      <c r="N194" s="34"/>
      <c r="O194" s="34"/>
      <c r="P194" s="34"/>
      <c r="Q194" s="34"/>
      <c r="R194" s="213"/>
      <c r="S194" s="213"/>
      <c r="T194" s="217" t="s">
        <v>1216</v>
      </c>
    </row>
    <row r="195">
      <c r="A195" s="213"/>
      <c r="B195" s="213"/>
      <c r="C195" s="225" t="s">
        <v>1217</v>
      </c>
      <c r="D195" s="225" t="s">
        <v>1218</v>
      </c>
      <c r="E195" s="213"/>
      <c r="F195" s="213"/>
      <c r="G195" s="34"/>
      <c r="H195" s="206" t="s">
        <v>440</v>
      </c>
      <c r="I195" s="207">
        <v>263.0</v>
      </c>
      <c r="J195" s="211" t="s">
        <v>1219</v>
      </c>
      <c r="K195" s="209" t="s">
        <v>1220</v>
      </c>
      <c r="L195" s="83">
        <v>191.0</v>
      </c>
      <c r="M195" s="34"/>
      <c r="N195" s="34"/>
      <c r="O195" s="34"/>
      <c r="P195" s="34"/>
      <c r="Q195" s="34"/>
      <c r="R195" s="213"/>
      <c r="S195" s="213"/>
      <c r="T195" s="217" t="s">
        <v>1221</v>
      </c>
    </row>
    <row r="196">
      <c r="A196" s="213"/>
      <c r="B196" s="213"/>
      <c r="C196" s="225" t="s">
        <v>624</v>
      </c>
      <c r="D196" s="225" t="s">
        <v>1222</v>
      </c>
      <c r="E196" s="213"/>
      <c r="F196" s="213"/>
      <c r="G196" s="34"/>
      <c r="H196" s="206" t="s">
        <v>826</v>
      </c>
      <c r="I196" s="207">
        <v>147.0</v>
      </c>
      <c r="J196" s="211" t="s">
        <v>1223</v>
      </c>
      <c r="K196" s="209" t="s">
        <v>1224</v>
      </c>
      <c r="L196" s="83">
        <v>192.0</v>
      </c>
      <c r="M196" s="34"/>
      <c r="N196" s="34"/>
      <c r="O196" s="34"/>
      <c r="P196" s="34"/>
      <c r="Q196" s="34"/>
      <c r="R196" s="213"/>
      <c r="S196" s="213"/>
      <c r="T196" s="217" t="s">
        <v>1225</v>
      </c>
    </row>
    <row r="197">
      <c r="A197" s="213"/>
      <c r="B197" s="213"/>
      <c r="C197" s="225" t="s">
        <v>681</v>
      </c>
      <c r="D197" s="225" t="s">
        <v>1226</v>
      </c>
      <c r="E197" s="213"/>
      <c r="F197" s="213"/>
      <c r="G197" s="34"/>
      <c r="H197" s="206" t="s">
        <v>1227</v>
      </c>
      <c r="I197" s="207">
        <v>163.0</v>
      </c>
      <c r="J197" s="211" t="s">
        <v>1228</v>
      </c>
      <c r="K197" s="209" t="s">
        <v>1229</v>
      </c>
      <c r="L197" s="83">
        <v>193.0</v>
      </c>
      <c r="M197" s="34"/>
      <c r="N197" s="34"/>
      <c r="O197" s="34"/>
      <c r="P197" s="34"/>
      <c r="Q197" s="34"/>
      <c r="R197" s="213"/>
      <c r="S197" s="213"/>
      <c r="T197" s="217" t="s">
        <v>1230</v>
      </c>
    </row>
    <row r="198">
      <c r="A198" s="213"/>
      <c r="B198" s="213"/>
      <c r="C198" s="225" t="s">
        <v>686</v>
      </c>
      <c r="D198" s="225" t="s">
        <v>49</v>
      </c>
      <c r="E198" s="213"/>
      <c r="F198" s="213"/>
      <c r="G198" s="34"/>
      <c r="H198" s="206" t="s">
        <v>635</v>
      </c>
      <c r="I198" s="207">
        <v>341.0</v>
      </c>
      <c r="J198" s="211" t="s">
        <v>1231</v>
      </c>
      <c r="K198" s="209" t="s">
        <v>1232</v>
      </c>
      <c r="L198" s="83">
        <v>194.0</v>
      </c>
      <c r="M198" s="34"/>
      <c r="N198" s="34"/>
      <c r="O198" s="34"/>
      <c r="P198" s="34"/>
      <c r="Q198" s="34"/>
      <c r="R198" s="213"/>
      <c r="S198" s="213"/>
      <c r="T198" s="217" t="s">
        <v>1233</v>
      </c>
    </row>
    <row r="199">
      <c r="A199" s="213"/>
      <c r="B199" s="213"/>
      <c r="C199" s="225" t="s">
        <v>691</v>
      </c>
      <c r="D199" s="225" t="s">
        <v>49</v>
      </c>
      <c r="E199" s="213"/>
      <c r="F199" s="213"/>
      <c r="G199" s="34"/>
      <c r="H199" s="206" t="s">
        <v>720</v>
      </c>
      <c r="I199" s="207">
        <v>314.0</v>
      </c>
      <c r="J199" s="211" t="s">
        <v>1234</v>
      </c>
      <c r="K199" s="45" t="s">
        <v>1235</v>
      </c>
      <c r="L199" s="45">
        <v>47.0</v>
      </c>
      <c r="M199" s="34"/>
      <c r="N199" s="34"/>
      <c r="O199" s="34"/>
      <c r="P199" s="34"/>
      <c r="Q199" s="34"/>
      <c r="R199" s="213"/>
      <c r="S199" s="213"/>
      <c r="T199" s="217" t="s">
        <v>1236</v>
      </c>
    </row>
    <row r="200">
      <c r="A200" s="213"/>
      <c r="B200" s="213"/>
      <c r="C200" s="225" t="s">
        <v>696</v>
      </c>
      <c r="D200" s="225" t="s">
        <v>49</v>
      </c>
      <c r="E200" s="213"/>
      <c r="F200" s="213"/>
      <c r="G200" s="34"/>
      <c r="H200" s="206" t="s">
        <v>897</v>
      </c>
      <c r="I200" s="207">
        <v>224.0</v>
      </c>
      <c r="J200" s="211" t="s">
        <v>1237</v>
      </c>
      <c r="K200" s="34"/>
      <c r="L200" s="34"/>
      <c r="M200" s="34"/>
      <c r="N200" s="34"/>
      <c r="O200" s="34"/>
      <c r="P200" s="34"/>
      <c r="Q200" s="34"/>
      <c r="R200" s="213"/>
      <c r="S200" s="213"/>
      <c r="T200" s="217" t="s">
        <v>1238</v>
      </c>
    </row>
    <row r="201">
      <c r="A201" s="213"/>
      <c r="B201" s="213"/>
      <c r="C201" s="225" t="s">
        <v>702</v>
      </c>
      <c r="D201" s="225" t="s">
        <v>1239</v>
      </c>
      <c r="E201" s="213"/>
      <c r="F201" s="213"/>
      <c r="G201" s="34"/>
      <c r="H201" s="206" t="s">
        <v>446</v>
      </c>
      <c r="I201" s="207">
        <v>264.0</v>
      </c>
      <c r="J201" s="211" t="s">
        <v>1240</v>
      </c>
      <c r="K201" s="34"/>
      <c r="L201" s="34"/>
      <c r="M201" s="34"/>
      <c r="N201" s="34"/>
      <c r="O201" s="34"/>
      <c r="P201" s="34"/>
      <c r="Q201" s="34"/>
      <c r="R201" s="213"/>
      <c r="S201" s="213"/>
      <c r="T201" s="217" t="s">
        <v>1241</v>
      </c>
    </row>
    <row r="202">
      <c r="A202" s="213"/>
      <c r="B202" s="213"/>
      <c r="C202" s="225" t="s">
        <v>706</v>
      </c>
      <c r="D202" s="225" t="s">
        <v>49</v>
      </c>
      <c r="E202" s="213"/>
      <c r="F202" s="213"/>
      <c r="G202" s="34"/>
      <c r="H202" s="206" t="s">
        <v>1242</v>
      </c>
      <c r="I202" s="207">
        <v>415.0</v>
      </c>
      <c r="J202" s="211" t="s">
        <v>1243</v>
      </c>
      <c r="K202" s="34"/>
      <c r="L202" s="34"/>
      <c r="M202" s="34"/>
      <c r="N202" s="34"/>
      <c r="O202" s="34"/>
      <c r="P202" s="34"/>
      <c r="Q202" s="34"/>
      <c r="R202" s="213"/>
      <c r="S202" s="213"/>
      <c r="T202" s="217" t="s">
        <v>1244</v>
      </c>
    </row>
    <row r="203">
      <c r="A203" s="213"/>
      <c r="B203" s="213"/>
      <c r="C203" s="225" t="s">
        <v>710</v>
      </c>
      <c r="D203" s="225" t="s">
        <v>1245</v>
      </c>
      <c r="E203" s="213"/>
      <c r="F203" s="213"/>
      <c r="G203" s="34"/>
      <c r="H203" s="206" t="s">
        <v>1246</v>
      </c>
      <c r="I203" s="207">
        <v>335.0</v>
      </c>
      <c r="J203" s="211" t="s">
        <v>1247</v>
      </c>
      <c r="K203" s="34"/>
      <c r="L203" s="34"/>
      <c r="M203" s="34"/>
      <c r="N203" s="34"/>
      <c r="O203" s="34"/>
      <c r="P203" s="34"/>
      <c r="Q203" s="34"/>
      <c r="R203" s="213"/>
      <c r="S203" s="213"/>
      <c r="T203" s="217" t="s">
        <v>1248</v>
      </c>
    </row>
    <row r="204">
      <c r="A204" s="213"/>
      <c r="B204" s="213"/>
      <c r="C204" s="225" t="s">
        <v>716</v>
      </c>
      <c r="D204" s="225" t="s">
        <v>49</v>
      </c>
      <c r="E204" s="213"/>
      <c r="F204" s="213"/>
      <c r="G204" s="34"/>
      <c r="H204" s="206" t="s">
        <v>94</v>
      </c>
      <c r="I204" s="207">
        <v>41.0</v>
      </c>
      <c r="J204" s="211" t="s">
        <v>1249</v>
      </c>
      <c r="K204" s="34"/>
      <c r="L204" s="34"/>
      <c r="M204" s="34"/>
      <c r="N204" s="34"/>
      <c r="O204" s="34"/>
      <c r="P204" s="34"/>
      <c r="Q204" s="34"/>
      <c r="R204" s="213"/>
      <c r="S204" s="213"/>
      <c r="T204" s="217" t="s">
        <v>1250</v>
      </c>
    </row>
    <row r="205">
      <c r="A205" s="213"/>
      <c r="B205" s="213"/>
      <c r="C205" s="225" t="s">
        <v>721</v>
      </c>
      <c r="D205" s="225" t="s">
        <v>49</v>
      </c>
      <c r="E205" s="213"/>
      <c r="F205" s="213"/>
      <c r="G205" s="34"/>
      <c r="H205" s="206" t="s">
        <v>1251</v>
      </c>
      <c r="I205" s="207">
        <v>164.0</v>
      </c>
      <c r="J205" s="211" t="s">
        <v>1252</v>
      </c>
      <c r="K205" s="34"/>
      <c r="L205" s="34"/>
      <c r="M205" s="34"/>
      <c r="N205" s="34"/>
      <c r="O205" s="34"/>
      <c r="P205" s="34"/>
      <c r="Q205" s="34"/>
      <c r="R205" s="213"/>
      <c r="S205" s="213"/>
      <c r="T205" s="217" t="s">
        <v>1253</v>
      </c>
    </row>
    <row r="206">
      <c r="A206" s="213"/>
      <c r="B206" s="213"/>
      <c r="C206" s="225" t="s">
        <v>1254</v>
      </c>
      <c r="D206" s="225" t="s">
        <v>49</v>
      </c>
      <c r="E206" s="213"/>
      <c r="F206" s="213"/>
      <c r="G206" s="34"/>
      <c r="H206" s="206" t="s">
        <v>391</v>
      </c>
      <c r="I206" s="207">
        <v>20.0</v>
      </c>
      <c r="J206" s="211" t="s">
        <v>1255</v>
      </c>
      <c r="K206" s="34"/>
      <c r="L206" s="34"/>
      <c r="M206" s="34"/>
      <c r="N206" s="34"/>
      <c r="O206" s="34"/>
      <c r="P206" s="34"/>
      <c r="Q206" s="34"/>
      <c r="R206" s="213"/>
      <c r="S206" s="213"/>
      <c r="T206" s="217" t="s">
        <v>1256</v>
      </c>
    </row>
    <row r="207">
      <c r="A207" s="213"/>
      <c r="B207" s="213"/>
      <c r="C207" s="225" t="s">
        <v>1257</v>
      </c>
      <c r="D207" s="225" t="s">
        <v>49</v>
      </c>
      <c r="E207" s="213"/>
      <c r="F207" s="213"/>
      <c r="G207" s="34"/>
      <c r="H207" s="206" t="s">
        <v>1258</v>
      </c>
      <c r="I207" s="207">
        <v>138.0</v>
      </c>
      <c r="J207" s="211" t="s">
        <v>1259</v>
      </c>
      <c r="K207" s="34"/>
      <c r="L207" s="34"/>
      <c r="M207" s="34"/>
      <c r="N207" s="34"/>
      <c r="O207" s="34"/>
      <c r="P207" s="34"/>
      <c r="Q207" s="34"/>
      <c r="R207" s="213"/>
      <c r="S207" s="213"/>
      <c r="T207" s="217" t="s">
        <v>1260</v>
      </c>
    </row>
    <row r="208">
      <c r="A208" s="213"/>
      <c r="B208" s="213"/>
      <c r="C208" s="225" t="s">
        <v>604</v>
      </c>
      <c r="D208" s="225" t="s">
        <v>1261</v>
      </c>
      <c r="E208" s="213"/>
      <c r="F208" s="213"/>
      <c r="G208" s="34"/>
      <c r="H208" s="206" t="s">
        <v>832</v>
      </c>
      <c r="I208" s="207">
        <v>148.0</v>
      </c>
      <c r="J208" s="211" t="s">
        <v>1262</v>
      </c>
      <c r="K208" s="34"/>
      <c r="L208" s="34"/>
      <c r="M208" s="34"/>
      <c r="N208" s="34"/>
      <c r="O208" s="34"/>
      <c r="P208" s="34"/>
      <c r="Q208" s="34"/>
      <c r="R208" s="213"/>
      <c r="S208" s="213"/>
      <c r="T208" s="217" t="s">
        <v>1263</v>
      </c>
    </row>
    <row r="209">
      <c r="A209" s="213"/>
      <c r="B209" s="213"/>
      <c r="C209" s="225" t="s">
        <v>742</v>
      </c>
      <c r="D209" s="225" t="s">
        <v>49</v>
      </c>
      <c r="E209" s="213"/>
      <c r="F209" s="213"/>
      <c r="G209" s="34"/>
      <c r="H209" s="206" t="s">
        <v>1264</v>
      </c>
      <c r="I209" s="207">
        <v>553.0</v>
      </c>
      <c r="J209" s="211" t="s">
        <v>1265</v>
      </c>
      <c r="K209" s="34"/>
      <c r="L209" s="34"/>
      <c r="M209" s="34"/>
      <c r="N209" s="34"/>
      <c r="O209" s="34"/>
      <c r="P209" s="34"/>
      <c r="Q209" s="34"/>
      <c r="R209" s="213"/>
      <c r="S209" s="213"/>
      <c r="T209" s="217" t="s">
        <v>1266</v>
      </c>
    </row>
    <row r="210">
      <c r="A210" s="213"/>
      <c r="B210" s="213"/>
      <c r="C210" s="225" t="s">
        <v>748</v>
      </c>
      <c r="D210" s="225" t="s">
        <v>49</v>
      </c>
      <c r="E210" s="213"/>
      <c r="F210" s="213"/>
      <c r="G210" s="34"/>
      <c r="H210" s="206" t="s">
        <v>552</v>
      </c>
      <c r="I210" s="207">
        <v>157.0</v>
      </c>
      <c r="J210" s="211" t="s">
        <v>1267</v>
      </c>
      <c r="K210" s="34"/>
      <c r="L210" s="34"/>
      <c r="M210" s="34"/>
      <c r="N210" s="34"/>
      <c r="O210" s="34"/>
      <c r="P210" s="34"/>
      <c r="Q210" s="34"/>
      <c r="R210" s="213"/>
      <c r="S210" s="213"/>
      <c r="T210" s="217" t="s">
        <v>1268</v>
      </c>
    </row>
    <row r="211">
      <c r="A211" s="213"/>
      <c r="B211" s="213"/>
      <c r="C211" s="225" t="s">
        <v>754</v>
      </c>
      <c r="D211" s="225" t="s">
        <v>49</v>
      </c>
      <c r="E211" s="213"/>
      <c r="F211" s="213"/>
      <c r="G211" s="34"/>
      <c r="H211" s="206" t="s">
        <v>725</v>
      </c>
      <c r="I211" s="207">
        <v>315.0</v>
      </c>
      <c r="J211" s="211" t="s">
        <v>1269</v>
      </c>
      <c r="K211" s="34"/>
      <c r="L211" s="34"/>
      <c r="M211" s="34"/>
      <c r="N211" s="34"/>
      <c r="O211" s="34"/>
      <c r="P211" s="34"/>
      <c r="Q211" s="34"/>
      <c r="R211" s="213"/>
      <c r="S211" s="213"/>
      <c r="T211" s="217" t="s">
        <v>1270</v>
      </c>
    </row>
    <row r="212">
      <c r="A212" s="213"/>
      <c r="B212" s="213"/>
      <c r="C212" s="225" t="s">
        <v>759</v>
      </c>
      <c r="D212" s="225" t="s">
        <v>1271</v>
      </c>
      <c r="E212" s="213"/>
      <c r="F212" s="213"/>
      <c r="G212" s="34"/>
      <c r="H212" s="206" t="s">
        <v>1272</v>
      </c>
      <c r="I212" s="207">
        <v>122.0</v>
      </c>
      <c r="J212" s="211" t="s">
        <v>1191</v>
      </c>
      <c r="K212" s="34"/>
      <c r="L212" s="34"/>
      <c r="M212" s="34"/>
      <c r="N212" s="34"/>
      <c r="O212" s="34"/>
      <c r="P212" s="34"/>
      <c r="Q212" s="34"/>
      <c r="R212" s="213"/>
      <c r="S212" s="213"/>
      <c r="T212" s="217" t="s">
        <v>1273</v>
      </c>
    </row>
    <row r="213">
      <c r="A213" s="213"/>
      <c r="B213" s="213"/>
      <c r="C213" s="225" t="s">
        <v>828</v>
      </c>
      <c r="D213" s="225" t="s">
        <v>49</v>
      </c>
      <c r="E213" s="213"/>
      <c r="F213" s="213"/>
      <c r="G213" s="34"/>
      <c r="H213" s="206" t="s">
        <v>397</v>
      </c>
      <c r="I213" s="207">
        <v>43.0</v>
      </c>
      <c r="J213" s="211" t="s">
        <v>1274</v>
      </c>
      <c r="K213" s="34"/>
      <c r="L213" s="34"/>
      <c r="M213" s="34"/>
      <c r="N213" s="34"/>
      <c r="O213" s="34"/>
      <c r="P213" s="34"/>
      <c r="Q213" s="34"/>
      <c r="R213" s="213"/>
      <c r="S213" s="213"/>
      <c r="T213" s="217" t="s">
        <v>1275</v>
      </c>
    </row>
    <row r="214">
      <c r="A214" s="213"/>
      <c r="B214" s="213"/>
      <c r="C214" s="225" t="s">
        <v>893</v>
      </c>
      <c r="D214" s="225" t="s">
        <v>49</v>
      </c>
      <c r="E214" s="213"/>
      <c r="F214" s="213"/>
      <c r="G214" s="34"/>
      <c r="H214" s="206" t="s">
        <v>405</v>
      </c>
      <c r="I214" s="207">
        <v>187.0</v>
      </c>
      <c r="J214" s="211" t="s">
        <v>1276</v>
      </c>
      <c r="K214" s="34"/>
      <c r="L214" s="34"/>
      <c r="M214" s="34"/>
      <c r="N214" s="34"/>
      <c r="O214" s="34"/>
      <c r="P214" s="34"/>
      <c r="Q214" s="34"/>
      <c r="R214" s="213"/>
      <c r="S214" s="213"/>
      <c r="T214" s="217" t="s">
        <v>785</v>
      </c>
    </row>
    <row r="215">
      <c r="A215" s="213"/>
      <c r="B215" s="213"/>
      <c r="C215" s="225" t="s">
        <v>1164</v>
      </c>
      <c r="D215" s="225" t="s">
        <v>1277</v>
      </c>
      <c r="E215" s="213"/>
      <c r="F215" s="213"/>
      <c r="G215" s="34"/>
      <c r="H215" s="206" t="s">
        <v>1278</v>
      </c>
      <c r="I215" s="207">
        <v>188.0</v>
      </c>
      <c r="J215" s="211" t="s">
        <v>1279</v>
      </c>
      <c r="K215" s="34"/>
      <c r="L215" s="34"/>
      <c r="M215" s="34"/>
      <c r="N215" s="34"/>
      <c r="O215" s="34"/>
      <c r="P215" s="34"/>
      <c r="Q215" s="34"/>
      <c r="R215" s="213"/>
      <c r="S215" s="213"/>
      <c r="T215" s="217" t="s">
        <v>1280</v>
      </c>
    </row>
    <row r="216">
      <c r="A216" s="213"/>
      <c r="B216" s="213"/>
      <c r="C216" s="225" t="s">
        <v>1281</v>
      </c>
      <c r="D216" s="225" t="s">
        <v>49</v>
      </c>
      <c r="E216" s="213"/>
      <c r="F216" s="213"/>
      <c r="G216" s="34"/>
      <c r="H216" s="206" t="s">
        <v>1282</v>
      </c>
      <c r="I216" s="207">
        <v>189.0</v>
      </c>
      <c r="J216" s="211" t="s">
        <v>1283</v>
      </c>
      <c r="K216" s="34"/>
      <c r="L216" s="34"/>
      <c r="M216" s="34"/>
      <c r="N216" s="34"/>
      <c r="O216" s="34"/>
      <c r="P216" s="34"/>
      <c r="Q216" s="34"/>
      <c r="R216" s="213"/>
      <c r="S216" s="213"/>
      <c r="T216" s="217" t="s">
        <v>1284</v>
      </c>
    </row>
    <row r="217">
      <c r="A217" s="213"/>
      <c r="B217" s="213"/>
      <c r="C217" s="225" t="s">
        <v>1285</v>
      </c>
      <c r="D217" s="225" t="s">
        <v>49</v>
      </c>
      <c r="E217" s="213"/>
      <c r="F217" s="213"/>
      <c r="G217" s="34"/>
      <c r="H217" s="206" t="s">
        <v>1286</v>
      </c>
      <c r="I217" s="207">
        <v>559.0</v>
      </c>
      <c r="J217" s="211" t="s">
        <v>1287</v>
      </c>
      <c r="K217" s="34"/>
      <c r="L217" s="34"/>
      <c r="M217" s="34"/>
      <c r="N217" s="34"/>
      <c r="O217" s="34"/>
      <c r="P217" s="34"/>
      <c r="Q217" s="34"/>
      <c r="R217" s="213"/>
      <c r="S217" s="213"/>
      <c r="T217" s="217" t="s">
        <v>1288</v>
      </c>
    </row>
    <row r="218">
      <c r="A218" s="213"/>
      <c r="B218" s="213"/>
      <c r="C218" s="225" t="s">
        <v>1289</v>
      </c>
      <c r="D218" s="225" t="s">
        <v>49</v>
      </c>
      <c r="E218" s="213"/>
      <c r="F218" s="213"/>
      <c r="G218" s="34"/>
      <c r="H218" s="206" t="s">
        <v>1290</v>
      </c>
      <c r="I218" s="207">
        <v>560.0</v>
      </c>
      <c r="J218" s="211" t="s">
        <v>1291</v>
      </c>
      <c r="K218" s="34"/>
      <c r="L218" s="34"/>
      <c r="M218" s="34"/>
      <c r="N218" s="34"/>
      <c r="O218" s="34"/>
      <c r="P218" s="34"/>
      <c r="Q218" s="34"/>
      <c r="R218" s="213"/>
      <c r="S218" s="213"/>
      <c r="T218" s="217" t="s">
        <v>1292</v>
      </c>
    </row>
    <row r="219">
      <c r="A219" s="213"/>
      <c r="B219" s="213"/>
      <c r="C219" s="225" t="s">
        <v>427</v>
      </c>
      <c r="D219" s="225" t="s">
        <v>49</v>
      </c>
      <c r="E219" s="213"/>
      <c r="F219" s="213"/>
      <c r="G219" s="34"/>
      <c r="H219" s="206" t="s">
        <v>1293</v>
      </c>
      <c r="I219" s="207">
        <v>561.0</v>
      </c>
      <c r="J219" s="211" t="s">
        <v>1294</v>
      </c>
      <c r="K219" s="34"/>
      <c r="L219" s="34"/>
      <c r="M219" s="34"/>
      <c r="N219" s="34"/>
      <c r="O219" s="34"/>
      <c r="P219" s="34"/>
      <c r="Q219" s="34"/>
      <c r="R219" s="213"/>
      <c r="S219" s="213"/>
      <c r="T219" s="217" t="s">
        <v>1295</v>
      </c>
    </row>
    <row r="220">
      <c r="A220" s="213"/>
      <c r="B220" s="213"/>
      <c r="C220" s="225" t="s">
        <v>453</v>
      </c>
      <c r="D220" s="225" t="s">
        <v>1296</v>
      </c>
      <c r="E220" s="213"/>
      <c r="F220" s="213"/>
      <c r="G220" s="34"/>
      <c r="H220" s="206" t="s">
        <v>1121</v>
      </c>
      <c r="I220" s="207">
        <v>427.0</v>
      </c>
      <c r="J220" s="211" t="s">
        <v>1297</v>
      </c>
      <c r="K220" s="34"/>
      <c r="L220" s="34"/>
      <c r="M220" s="34"/>
      <c r="N220" s="34"/>
      <c r="O220" s="34"/>
      <c r="P220" s="34"/>
      <c r="Q220" s="34"/>
      <c r="R220" s="213"/>
      <c r="S220" s="213"/>
      <c r="T220" s="217" t="s">
        <v>1298</v>
      </c>
    </row>
    <row r="221">
      <c r="A221" s="213"/>
      <c r="B221" s="213"/>
      <c r="C221" s="225" t="s">
        <v>496</v>
      </c>
      <c r="D221" s="225" t="s">
        <v>1299</v>
      </c>
      <c r="E221" s="213"/>
      <c r="F221" s="213"/>
      <c r="G221" s="34"/>
      <c r="H221" s="206" t="s">
        <v>1126</v>
      </c>
      <c r="I221" s="207">
        <v>63.0</v>
      </c>
      <c r="J221" s="211" t="s">
        <v>1300</v>
      </c>
      <c r="K221" s="34"/>
      <c r="L221" s="34"/>
      <c r="M221" s="34"/>
      <c r="N221" s="34"/>
      <c r="O221" s="34"/>
      <c r="P221" s="34"/>
      <c r="Q221" s="34"/>
      <c r="R221" s="213"/>
      <c r="S221" s="213"/>
      <c r="T221" s="217" t="s">
        <v>1301</v>
      </c>
    </row>
    <row r="222">
      <c r="A222" s="213"/>
      <c r="B222" s="213"/>
      <c r="C222" s="225" t="s">
        <v>579</v>
      </c>
      <c r="D222" s="225" t="s">
        <v>49</v>
      </c>
      <c r="E222" s="213"/>
      <c r="F222" s="213"/>
      <c r="G222" s="34"/>
      <c r="H222" s="206" t="s">
        <v>281</v>
      </c>
      <c r="I222" s="207">
        <v>231.0</v>
      </c>
      <c r="J222" s="211" t="s">
        <v>1302</v>
      </c>
      <c r="K222" s="34"/>
      <c r="L222" s="34"/>
      <c r="M222" s="34"/>
      <c r="N222" s="34"/>
      <c r="O222" s="34"/>
      <c r="P222" s="34"/>
      <c r="Q222" s="34"/>
      <c r="R222" s="213"/>
      <c r="S222" s="213"/>
      <c r="T222" s="217" t="s">
        <v>1303</v>
      </c>
    </row>
    <row r="223">
      <c r="A223" s="213"/>
      <c r="B223" s="213"/>
      <c r="C223" s="225" t="s">
        <v>619</v>
      </c>
      <c r="D223" s="225" t="s">
        <v>49</v>
      </c>
      <c r="E223" s="213"/>
      <c r="F223" s="213"/>
      <c r="G223" s="34"/>
      <c r="H223" s="206" t="s">
        <v>731</v>
      </c>
      <c r="I223" s="207">
        <v>316.0</v>
      </c>
      <c r="J223" s="211" t="s">
        <v>1304</v>
      </c>
      <c r="K223" s="34"/>
      <c r="L223" s="34"/>
      <c r="M223" s="34"/>
      <c r="N223" s="34"/>
      <c r="O223" s="34"/>
      <c r="P223" s="34"/>
      <c r="Q223" s="34"/>
      <c r="R223" s="213"/>
      <c r="S223" s="213"/>
      <c r="T223" s="217" t="s">
        <v>1305</v>
      </c>
    </row>
    <row r="224">
      <c r="A224" s="213"/>
      <c r="B224" s="213"/>
      <c r="C224" s="225" t="s">
        <v>638</v>
      </c>
      <c r="D224" s="225" t="s">
        <v>49</v>
      </c>
      <c r="E224" s="213"/>
      <c r="F224" s="213"/>
      <c r="G224" s="34"/>
      <c r="H224" s="206" t="s">
        <v>557</v>
      </c>
      <c r="I224" s="207">
        <v>158.0</v>
      </c>
      <c r="J224" s="211" t="s">
        <v>1306</v>
      </c>
      <c r="K224" s="34"/>
      <c r="L224" s="34"/>
      <c r="M224" s="34"/>
      <c r="N224" s="34"/>
      <c r="O224" s="34"/>
      <c r="P224" s="34"/>
      <c r="Q224" s="34"/>
      <c r="R224" s="213"/>
      <c r="S224" s="213"/>
      <c r="T224" s="217" t="s">
        <v>1307</v>
      </c>
    </row>
    <row r="225">
      <c r="A225" s="213"/>
      <c r="B225" s="213"/>
      <c r="C225" s="225" t="s">
        <v>655</v>
      </c>
      <c r="D225" s="225" t="s">
        <v>49</v>
      </c>
      <c r="E225" s="213"/>
      <c r="F225" s="213"/>
      <c r="G225" s="34"/>
      <c r="H225" s="206" t="s">
        <v>411</v>
      </c>
      <c r="I225" s="207">
        <v>56.0</v>
      </c>
      <c r="J225" s="211" t="s">
        <v>1308</v>
      </c>
      <c r="K225" s="34"/>
      <c r="L225" s="34"/>
      <c r="M225" s="34"/>
      <c r="N225" s="34"/>
      <c r="O225" s="34"/>
      <c r="P225" s="34"/>
      <c r="Q225" s="34"/>
      <c r="R225" s="213"/>
      <c r="S225" s="213"/>
      <c r="T225" s="217" t="s">
        <v>1309</v>
      </c>
    </row>
    <row r="226">
      <c r="A226" s="213"/>
      <c r="B226" s="213"/>
      <c r="C226" s="225" t="s">
        <v>659</v>
      </c>
      <c r="D226" s="225" t="s">
        <v>1310</v>
      </c>
      <c r="E226" s="213"/>
      <c r="F226" s="213"/>
      <c r="G226" s="34"/>
      <c r="H226" s="206" t="s">
        <v>417</v>
      </c>
      <c r="I226" s="207">
        <v>57.0</v>
      </c>
      <c r="J226" s="211" t="s">
        <v>1311</v>
      </c>
      <c r="K226" s="34"/>
      <c r="L226" s="34"/>
      <c r="M226" s="34"/>
      <c r="N226" s="34"/>
      <c r="O226" s="34"/>
      <c r="P226" s="34"/>
      <c r="Q226" s="34"/>
      <c r="R226" s="213"/>
      <c r="S226" s="213"/>
      <c r="T226" s="217" t="s">
        <v>1312</v>
      </c>
    </row>
    <row r="227">
      <c r="A227" s="213"/>
      <c r="B227" s="213"/>
      <c r="C227" s="225" t="s">
        <v>727</v>
      </c>
      <c r="D227" s="225" t="s">
        <v>1313</v>
      </c>
      <c r="E227" s="213"/>
      <c r="F227" s="213"/>
      <c r="G227" s="34"/>
      <c r="H227" s="206" t="s">
        <v>1314</v>
      </c>
      <c r="I227" s="207">
        <v>571.0</v>
      </c>
      <c r="J227" s="211" t="s">
        <v>1315</v>
      </c>
      <c r="K227" s="34"/>
      <c r="L227" s="34"/>
      <c r="M227" s="34"/>
      <c r="N227" s="34"/>
      <c r="O227" s="34"/>
      <c r="P227" s="34"/>
      <c r="Q227" s="34"/>
      <c r="R227" s="213"/>
      <c r="S227" s="213"/>
      <c r="T227" s="217" t="s">
        <v>1316</v>
      </c>
    </row>
    <row r="228">
      <c r="A228" s="213"/>
      <c r="B228" s="213"/>
      <c r="C228" s="225" t="s">
        <v>844</v>
      </c>
      <c r="D228" s="225" t="s">
        <v>49</v>
      </c>
      <c r="E228" s="213"/>
      <c r="F228" s="213"/>
      <c r="G228" s="34"/>
      <c r="H228" s="206" t="s">
        <v>1317</v>
      </c>
      <c r="I228" s="207">
        <v>581.0</v>
      </c>
      <c r="J228" s="211" t="s">
        <v>1318</v>
      </c>
      <c r="K228" s="34"/>
      <c r="L228" s="34"/>
      <c r="M228" s="34"/>
      <c r="N228" s="34"/>
      <c r="O228" s="34"/>
      <c r="P228" s="34"/>
      <c r="Q228" s="34"/>
      <c r="R228" s="213"/>
      <c r="S228" s="213"/>
      <c r="T228" s="217" t="s">
        <v>1319</v>
      </c>
    </row>
    <row r="229">
      <c r="A229" s="213"/>
      <c r="B229" s="213"/>
      <c r="C229" s="225" t="s">
        <v>849</v>
      </c>
      <c r="D229" s="225" t="s">
        <v>49</v>
      </c>
      <c r="E229" s="213"/>
      <c r="F229" s="213"/>
      <c r="G229" s="34"/>
      <c r="H229" s="206" t="s">
        <v>1320</v>
      </c>
      <c r="I229" s="207">
        <v>590.0</v>
      </c>
      <c r="J229" s="211" t="s">
        <v>1321</v>
      </c>
      <c r="K229" s="34"/>
      <c r="L229" s="34"/>
      <c r="M229" s="34"/>
      <c r="N229" s="34"/>
      <c r="O229" s="34"/>
      <c r="P229" s="34"/>
      <c r="Q229" s="34"/>
      <c r="R229" s="213"/>
      <c r="S229" s="213"/>
      <c r="T229" s="217" t="s">
        <v>1322</v>
      </c>
    </row>
    <row r="230">
      <c r="A230" s="213"/>
      <c r="B230" s="213"/>
      <c r="C230" s="225" t="s">
        <v>883</v>
      </c>
      <c r="D230" s="225" t="s">
        <v>49</v>
      </c>
      <c r="E230" s="213"/>
      <c r="F230" s="213"/>
      <c r="G230" s="34"/>
      <c r="H230" s="206" t="s">
        <v>984</v>
      </c>
      <c r="I230" s="207">
        <v>67.0</v>
      </c>
      <c r="J230" s="211" t="s">
        <v>1323</v>
      </c>
      <c r="K230" s="34"/>
      <c r="L230" s="34"/>
      <c r="M230" s="34"/>
      <c r="N230" s="34"/>
      <c r="O230" s="34"/>
      <c r="P230" s="34"/>
      <c r="Q230" s="34"/>
      <c r="R230" s="213"/>
      <c r="S230" s="213"/>
      <c r="T230" s="217" t="s">
        <v>1324</v>
      </c>
    </row>
    <row r="231">
      <c r="A231" s="213"/>
      <c r="B231" s="213"/>
      <c r="C231" s="225" t="s">
        <v>1011</v>
      </c>
      <c r="D231" s="225" t="s">
        <v>49</v>
      </c>
      <c r="E231" s="213"/>
      <c r="F231" s="213"/>
      <c r="G231" s="34"/>
      <c r="H231" s="206" t="s">
        <v>736</v>
      </c>
      <c r="I231" s="207">
        <v>317.0</v>
      </c>
      <c r="J231" s="211" t="s">
        <v>1325</v>
      </c>
      <c r="K231" s="34"/>
      <c r="L231" s="34"/>
      <c r="M231" s="34"/>
      <c r="N231" s="34"/>
      <c r="O231" s="34"/>
      <c r="P231" s="34"/>
      <c r="Q231" s="34"/>
      <c r="R231" s="213"/>
      <c r="S231" s="213"/>
      <c r="T231" s="217" t="s">
        <v>1326</v>
      </c>
    </row>
    <row r="232">
      <c r="A232" s="213"/>
      <c r="B232" s="213"/>
      <c r="C232" s="225" t="s">
        <v>362</v>
      </c>
      <c r="D232" s="225" t="s">
        <v>49</v>
      </c>
      <c r="E232" s="213"/>
      <c r="F232" s="213"/>
      <c r="G232" s="34"/>
      <c r="H232" s="206" t="s">
        <v>290</v>
      </c>
      <c r="I232" s="207">
        <v>45.0</v>
      </c>
      <c r="J232" s="211" t="s">
        <v>1327</v>
      </c>
      <c r="K232" s="34"/>
      <c r="L232" s="34"/>
      <c r="M232" s="34"/>
      <c r="N232" s="34"/>
      <c r="O232" s="34"/>
      <c r="P232" s="34"/>
      <c r="Q232" s="34"/>
      <c r="R232" s="213"/>
      <c r="S232" s="213"/>
      <c r="T232" s="217" t="s">
        <v>1328</v>
      </c>
    </row>
    <row r="233">
      <c r="A233" s="213"/>
      <c r="B233" s="213"/>
      <c r="C233" s="225" t="s">
        <v>1191</v>
      </c>
      <c r="D233" s="225" t="s">
        <v>1329</v>
      </c>
      <c r="E233" s="213"/>
      <c r="F233" s="213"/>
      <c r="G233" s="34"/>
      <c r="H233" s="206" t="s">
        <v>451</v>
      </c>
      <c r="I233" s="207">
        <v>265.0</v>
      </c>
      <c r="J233" s="211" t="s">
        <v>1330</v>
      </c>
      <c r="K233" s="34"/>
      <c r="L233" s="34"/>
      <c r="M233" s="34"/>
      <c r="N233" s="34"/>
      <c r="O233" s="34"/>
      <c r="P233" s="34"/>
      <c r="Q233" s="34"/>
      <c r="R233" s="213"/>
      <c r="S233" s="213"/>
      <c r="T233" s="217" t="s">
        <v>1149</v>
      </c>
    </row>
    <row r="234">
      <c r="A234" s="213"/>
      <c r="B234" s="213"/>
      <c r="C234" s="225" t="s">
        <v>1272</v>
      </c>
      <c r="D234" s="225" t="s">
        <v>49</v>
      </c>
      <c r="E234" s="213"/>
      <c r="F234" s="213"/>
      <c r="G234" s="34"/>
      <c r="H234" s="206" t="s">
        <v>740</v>
      </c>
      <c r="I234" s="207">
        <v>318.0</v>
      </c>
      <c r="J234" s="211" t="s">
        <v>1331</v>
      </c>
      <c r="K234" s="34"/>
      <c r="L234" s="34"/>
      <c r="M234" s="34"/>
      <c r="N234" s="34"/>
      <c r="O234" s="34"/>
      <c r="P234" s="34"/>
      <c r="Q234" s="34"/>
      <c r="R234" s="213"/>
      <c r="S234" s="213"/>
      <c r="T234" s="217" t="s">
        <v>1332</v>
      </c>
    </row>
    <row r="235">
      <c r="A235" s="213"/>
      <c r="B235" s="213"/>
      <c r="C235" s="225" t="s">
        <v>1333</v>
      </c>
      <c r="D235" s="225" t="s">
        <v>1334</v>
      </c>
      <c r="E235" s="213"/>
      <c r="F235" s="213"/>
      <c r="G235" s="34"/>
      <c r="H235" s="206" t="s">
        <v>423</v>
      </c>
      <c r="I235" s="207">
        <v>22.0</v>
      </c>
      <c r="J235" s="211" t="s">
        <v>1335</v>
      </c>
      <c r="K235" s="34"/>
      <c r="L235" s="34"/>
      <c r="M235" s="34"/>
      <c r="N235" s="34"/>
      <c r="O235" s="34"/>
      <c r="P235" s="34"/>
      <c r="Q235" s="34"/>
      <c r="R235" s="213"/>
      <c r="S235" s="213"/>
      <c r="T235" s="217" t="s">
        <v>1336</v>
      </c>
    </row>
    <row r="236">
      <c r="A236" s="213"/>
      <c r="B236" s="213"/>
      <c r="C236" s="225" t="s">
        <v>1337</v>
      </c>
      <c r="D236" s="225" t="s">
        <v>49</v>
      </c>
      <c r="E236" s="213"/>
      <c r="F236" s="213"/>
      <c r="G236" s="34"/>
      <c r="H236" s="206" t="s">
        <v>837</v>
      </c>
      <c r="I236" s="207">
        <v>149.0</v>
      </c>
      <c r="J236" s="211" t="s">
        <v>1338</v>
      </c>
      <c r="K236" s="34"/>
      <c r="L236" s="34"/>
      <c r="M236" s="34"/>
      <c r="N236" s="34"/>
      <c r="O236" s="34"/>
      <c r="P236" s="34"/>
      <c r="Q236" s="34"/>
      <c r="R236" s="213"/>
      <c r="S236" s="213"/>
      <c r="T236" s="217" t="s">
        <v>1339</v>
      </c>
    </row>
    <row r="237">
      <c r="A237" s="213"/>
      <c r="B237" s="213"/>
      <c r="C237" s="225" t="s">
        <v>1340</v>
      </c>
      <c r="D237" s="225" t="s">
        <v>1341</v>
      </c>
      <c r="E237" s="213"/>
      <c r="F237" s="213"/>
      <c r="G237" s="34"/>
      <c r="H237" s="206" t="s">
        <v>1342</v>
      </c>
      <c r="I237" s="207">
        <v>46.0</v>
      </c>
      <c r="J237" s="211" t="s">
        <v>1343</v>
      </c>
      <c r="K237" s="34"/>
      <c r="L237" s="34"/>
      <c r="M237" s="34"/>
      <c r="N237" s="34"/>
      <c r="O237" s="34"/>
      <c r="P237" s="34"/>
      <c r="Q237" s="34"/>
      <c r="R237" s="213"/>
      <c r="S237" s="213"/>
      <c r="T237" s="217" t="s">
        <v>1344</v>
      </c>
    </row>
    <row r="238">
      <c r="A238" s="213"/>
      <c r="B238" s="213"/>
      <c r="C238" s="225" t="s">
        <v>465</v>
      </c>
      <c r="D238" s="225" t="s">
        <v>49</v>
      </c>
      <c r="E238" s="213"/>
      <c r="F238" s="213"/>
      <c r="G238" s="34"/>
      <c r="H238" s="206" t="s">
        <v>738</v>
      </c>
      <c r="I238" s="207">
        <v>342.0</v>
      </c>
      <c r="J238" s="211" t="s">
        <v>1345</v>
      </c>
      <c r="K238" s="34"/>
      <c r="L238" s="34"/>
      <c r="M238" s="34"/>
      <c r="N238" s="34"/>
      <c r="O238" s="34"/>
      <c r="P238" s="34"/>
      <c r="Q238" s="34"/>
      <c r="R238" s="213"/>
      <c r="S238" s="213"/>
      <c r="T238" s="217" t="s">
        <v>1346</v>
      </c>
    </row>
    <row r="239">
      <c r="A239" s="213"/>
      <c r="B239" s="213"/>
      <c r="C239" s="225" t="s">
        <v>1347</v>
      </c>
      <c r="D239" s="225" t="s">
        <v>49</v>
      </c>
      <c r="E239" s="213"/>
      <c r="F239" s="213"/>
      <c r="G239" s="34"/>
      <c r="H239" s="206" t="s">
        <v>431</v>
      </c>
      <c r="I239" s="207">
        <v>47.0</v>
      </c>
      <c r="J239" s="211" t="s">
        <v>1348</v>
      </c>
      <c r="K239" s="34"/>
      <c r="L239" s="34"/>
      <c r="M239" s="34"/>
      <c r="N239" s="34"/>
      <c r="O239" s="34"/>
      <c r="P239" s="34"/>
      <c r="Q239" s="34"/>
      <c r="R239" s="213"/>
      <c r="S239" s="213"/>
      <c r="T239" s="217" t="s">
        <v>1349</v>
      </c>
    </row>
    <row r="240">
      <c r="A240" s="213"/>
      <c r="B240" s="213"/>
      <c r="C240" s="225" t="s">
        <v>472</v>
      </c>
      <c r="D240" s="225" t="s">
        <v>1350</v>
      </c>
      <c r="E240" s="213"/>
      <c r="F240" s="213"/>
      <c r="G240" s="34"/>
      <c r="H240" s="206" t="s">
        <v>298</v>
      </c>
      <c r="I240" s="207">
        <v>232.0</v>
      </c>
      <c r="J240" s="211" t="s">
        <v>1351</v>
      </c>
      <c r="K240" s="34"/>
      <c r="L240" s="34"/>
      <c r="M240" s="34"/>
      <c r="N240" s="34"/>
      <c r="O240" s="34"/>
      <c r="P240" s="34"/>
      <c r="Q240" s="34"/>
      <c r="R240" s="213"/>
      <c r="S240" s="213"/>
      <c r="T240" s="217" t="s">
        <v>1352</v>
      </c>
    </row>
    <row r="241">
      <c r="A241" s="213"/>
      <c r="B241" s="213"/>
      <c r="C241" s="225" t="s">
        <v>1353</v>
      </c>
      <c r="D241" s="225" t="s">
        <v>49</v>
      </c>
      <c r="E241" s="213"/>
      <c r="F241" s="213"/>
      <c r="G241" s="34"/>
      <c r="H241" s="206" t="s">
        <v>988</v>
      </c>
      <c r="I241" s="207">
        <v>68.0</v>
      </c>
      <c r="J241" s="211" t="s">
        <v>1354</v>
      </c>
      <c r="K241" s="34"/>
      <c r="L241" s="34"/>
      <c r="M241" s="34"/>
      <c r="N241" s="34"/>
      <c r="O241" s="34"/>
      <c r="P241" s="34"/>
      <c r="Q241" s="34"/>
      <c r="R241" s="213"/>
      <c r="S241" s="213"/>
      <c r="T241" s="217" t="s">
        <v>1355</v>
      </c>
    </row>
    <row r="242">
      <c r="A242" s="213"/>
      <c r="B242" s="213"/>
      <c r="C242" s="225" t="s">
        <v>1356</v>
      </c>
      <c r="D242" s="225" t="s">
        <v>49</v>
      </c>
      <c r="E242" s="213"/>
      <c r="F242" s="213"/>
      <c r="G242" s="34"/>
      <c r="H242" s="206" t="s">
        <v>1357</v>
      </c>
      <c r="I242" s="207">
        <v>572.0</v>
      </c>
      <c r="J242" s="211" t="s">
        <v>1358</v>
      </c>
      <c r="K242" s="34"/>
      <c r="L242" s="34"/>
      <c r="M242" s="34"/>
      <c r="N242" s="34"/>
      <c r="O242" s="34"/>
      <c r="P242" s="34"/>
      <c r="Q242" s="34"/>
      <c r="R242" s="213"/>
      <c r="S242" s="213"/>
      <c r="T242" s="217" t="s">
        <v>1359</v>
      </c>
    </row>
    <row r="243">
      <c r="A243" s="213"/>
      <c r="B243" s="213"/>
      <c r="C243" s="225" t="s">
        <v>1360</v>
      </c>
      <c r="D243" s="225" t="s">
        <v>1361</v>
      </c>
      <c r="E243" s="213"/>
      <c r="F243" s="213"/>
      <c r="G243" s="34"/>
      <c r="H243" s="206" t="s">
        <v>1362</v>
      </c>
      <c r="I243" s="207">
        <v>574.0</v>
      </c>
      <c r="J243" s="211" t="s">
        <v>1363</v>
      </c>
      <c r="K243" s="34"/>
      <c r="L243" s="34"/>
      <c r="M243" s="34"/>
      <c r="N243" s="34"/>
      <c r="O243" s="34"/>
      <c r="P243" s="34"/>
      <c r="Q243" s="34"/>
      <c r="R243" s="213"/>
      <c r="S243" s="213"/>
      <c r="T243" s="217" t="s">
        <v>1364</v>
      </c>
    </row>
    <row r="244">
      <c r="A244" s="213"/>
      <c r="B244" s="213"/>
      <c r="C244" s="225" t="s">
        <v>1365</v>
      </c>
      <c r="D244" s="225" t="s">
        <v>1366</v>
      </c>
      <c r="E244" s="213"/>
      <c r="F244" s="213"/>
      <c r="G244" s="34"/>
      <c r="H244" s="206" t="s">
        <v>1367</v>
      </c>
      <c r="I244" s="207">
        <v>562.0</v>
      </c>
      <c r="J244" s="211" t="s">
        <v>1368</v>
      </c>
      <c r="K244" s="34"/>
      <c r="L244" s="34"/>
      <c r="M244" s="34"/>
      <c r="N244" s="34"/>
      <c r="O244" s="34"/>
      <c r="P244" s="34"/>
      <c r="Q244" s="34"/>
      <c r="R244" s="213"/>
      <c r="S244" s="213"/>
      <c r="T244" s="217" t="s">
        <v>1369</v>
      </c>
    </row>
    <row r="245">
      <c r="A245" s="213"/>
      <c r="B245" s="213"/>
      <c r="C245" s="225" t="s">
        <v>1370</v>
      </c>
      <c r="D245" s="225" t="s">
        <v>49</v>
      </c>
      <c r="E245" s="213"/>
      <c r="F245" s="213"/>
      <c r="G245" s="34"/>
      <c r="H245" s="206" t="s">
        <v>1371</v>
      </c>
      <c r="I245" s="207">
        <v>582.0</v>
      </c>
      <c r="J245" s="211" t="s">
        <v>1372</v>
      </c>
      <c r="K245" s="34"/>
      <c r="L245" s="34"/>
      <c r="M245" s="34"/>
      <c r="N245" s="34"/>
      <c r="O245" s="34"/>
      <c r="P245" s="34"/>
      <c r="Q245" s="34"/>
      <c r="R245" s="213"/>
      <c r="S245" s="213"/>
      <c r="T245" s="217" t="s">
        <v>1373</v>
      </c>
    </row>
    <row r="246">
      <c r="A246" s="213"/>
      <c r="B246" s="213"/>
      <c r="C246" s="225" t="s">
        <v>1374</v>
      </c>
      <c r="D246" s="225" t="s">
        <v>49</v>
      </c>
      <c r="E246" s="213"/>
      <c r="F246" s="213"/>
      <c r="G246" s="34"/>
      <c r="H246" s="206" t="s">
        <v>1375</v>
      </c>
      <c r="I246" s="207">
        <v>563.0</v>
      </c>
      <c r="J246" s="211" t="s">
        <v>1376</v>
      </c>
      <c r="K246" s="34"/>
      <c r="L246" s="34"/>
      <c r="M246" s="34"/>
      <c r="N246" s="34"/>
      <c r="O246" s="34"/>
      <c r="P246" s="34"/>
      <c r="Q246" s="34"/>
      <c r="R246" s="213"/>
      <c r="S246" s="213"/>
      <c r="T246" s="217" t="s">
        <v>1377</v>
      </c>
    </row>
    <row r="247">
      <c r="A247" s="213"/>
      <c r="B247" s="213"/>
      <c r="C247" s="225" t="s">
        <v>1378</v>
      </c>
      <c r="D247" s="225" t="s">
        <v>49</v>
      </c>
      <c r="E247" s="213"/>
      <c r="F247" s="213"/>
      <c r="G247" s="34"/>
      <c r="H247" s="206" t="s">
        <v>1379</v>
      </c>
      <c r="I247" s="207">
        <v>591.0</v>
      </c>
      <c r="J247" s="211" t="s">
        <v>1380</v>
      </c>
      <c r="K247" s="34"/>
      <c r="L247" s="34"/>
      <c r="M247" s="34"/>
      <c r="N247" s="34"/>
      <c r="O247" s="34"/>
      <c r="P247" s="34"/>
      <c r="Q247" s="34"/>
      <c r="R247" s="213"/>
      <c r="S247" s="213"/>
      <c r="T247" s="217" t="s">
        <v>1381</v>
      </c>
    </row>
    <row r="248">
      <c r="A248" s="213"/>
      <c r="B248" s="213"/>
      <c r="C248" s="225" t="s">
        <v>1382</v>
      </c>
      <c r="D248" s="225" t="s">
        <v>49</v>
      </c>
      <c r="E248" s="213"/>
      <c r="F248" s="213"/>
      <c r="G248" s="34"/>
      <c r="H248" s="206" t="s">
        <v>1383</v>
      </c>
      <c r="I248" s="207">
        <v>416.0</v>
      </c>
      <c r="J248" s="211" t="s">
        <v>1384</v>
      </c>
      <c r="K248" s="34"/>
      <c r="L248" s="34"/>
      <c r="M248" s="34"/>
      <c r="N248" s="34"/>
      <c r="O248" s="34"/>
      <c r="P248" s="34"/>
      <c r="Q248" s="34"/>
      <c r="R248" s="213"/>
      <c r="S248" s="213"/>
      <c r="T248" s="217" t="s">
        <v>1385</v>
      </c>
    </row>
    <row r="249">
      <c r="A249" s="213"/>
      <c r="B249" s="213"/>
      <c r="C249" s="225" t="s">
        <v>1386</v>
      </c>
      <c r="D249" s="225" t="s">
        <v>49</v>
      </c>
      <c r="E249" s="213"/>
      <c r="F249" s="213"/>
      <c r="G249" s="34"/>
      <c r="H249" s="206" t="s">
        <v>746</v>
      </c>
      <c r="I249" s="207">
        <v>319.0</v>
      </c>
      <c r="J249" s="211" t="s">
        <v>1387</v>
      </c>
      <c r="K249" s="34"/>
      <c r="L249" s="34"/>
      <c r="M249" s="34"/>
      <c r="N249" s="34"/>
      <c r="O249" s="34"/>
      <c r="P249" s="34"/>
      <c r="Q249" s="34"/>
      <c r="R249" s="213"/>
      <c r="S249" s="213"/>
      <c r="T249" s="217" t="s">
        <v>1388</v>
      </c>
    </row>
    <row r="250">
      <c r="A250" s="213"/>
      <c r="B250" s="213"/>
      <c r="C250" s="225" t="s">
        <v>1389</v>
      </c>
      <c r="D250" s="225" t="s">
        <v>49</v>
      </c>
      <c r="E250" s="213"/>
      <c r="F250" s="213"/>
      <c r="G250" s="34"/>
      <c r="H250" s="206" t="s">
        <v>438</v>
      </c>
      <c r="I250" s="207">
        <v>48.0</v>
      </c>
      <c r="J250" s="211" t="s">
        <v>1390</v>
      </c>
      <c r="K250" s="34"/>
      <c r="L250" s="34"/>
      <c r="M250" s="34"/>
      <c r="N250" s="34"/>
      <c r="O250" s="34"/>
      <c r="P250" s="34"/>
      <c r="Q250" s="34"/>
      <c r="R250" s="213"/>
      <c r="S250" s="213"/>
      <c r="T250" s="217" t="s">
        <v>1391</v>
      </c>
    </row>
    <row r="251">
      <c r="A251" s="213"/>
      <c r="B251" s="213"/>
      <c r="C251" s="225" t="s">
        <v>347</v>
      </c>
      <c r="D251" s="225" t="s">
        <v>1392</v>
      </c>
      <c r="E251" s="213"/>
      <c r="F251" s="213"/>
      <c r="G251" s="34"/>
      <c r="H251" s="206" t="s">
        <v>1393</v>
      </c>
      <c r="I251" s="207">
        <v>209.0</v>
      </c>
      <c r="J251" s="211" t="s">
        <v>1394</v>
      </c>
      <c r="K251" s="34"/>
      <c r="L251" s="34"/>
      <c r="M251" s="34"/>
      <c r="N251" s="34"/>
      <c r="O251" s="34"/>
      <c r="P251" s="34"/>
      <c r="Q251" s="34"/>
      <c r="R251" s="213"/>
      <c r="S251" s="213"/>
      <c r="T251" s="217" t="s">
        <v>1395</v>
      </c>
    </row>
    <row r="252">
      <c r="A252" s="213"/>
      <c r="B252" s="213"/>
      <c r="C252" s="225" t="s">
        <v>387</v>
      </c>
      <c r="D252" s="225" t="s">
        <v>49</v>
      </c>
      <c r="E252" s="213"/>
      <c r="F252" s="213"/>
      <c r="G252" s="34"/>
      <c r="H252" s="206" t="s">
        <v>1396</v>
      </c>
      <c r="I252" s="207">
        <v>210.0</v>
      </c>
      <c r="J252" s="211" t="s">
        <v>1397</v>
      </c>
      <c r="K252" s="34"/>
      <c r="L252" s="34"/>
      <c r="M252" s="34"/>
      <c r="N252" s="34"/>
      <c r="O252" s="34"/>
      <c r="P252" s="34"/>
      <c r="Q252" s="34"/>
      <c r="R252" s="213"/>
      <c r="S252" s="213"/>
      <c r="T252" s="217" t="s">
        <v>1398</v>
      </c>
    </row>
    <row r="253">
      <c r="A253" s="213"/>
      <c r="B253" s="213"/>
      <c r="C253" s="225" t="s">
        <v>542</v>
      </c>
      <c r="D253" s="225" t="s">
        <v>49</v>
      </c>
      <c r="E253" s="213"/>
      <c r="F253" s="213"/>
      <c r="G253" s="34"/>
      <c r="H253" s="206" t="s">
        <v>1399</v>
      </c>
      <c r="I253" s="207">
        <v>211.0</v>
      </c>
      <c r="J253" s="211" t="s">
        <v>1400</v>
      </c>
      <c r="K253" s="34"/>
      <c r="L253" s="34"/>
      <c r="M253" s="34"/>
      <c r="N253" s="34"/>
      <c r="O253" s="34"/>
      <c r="P253" s="34"/>
      <c r="Q253" s="34"/>
      <c r="R253" s="213"/>
      <c r="S253" s="213"/>
      <c r="T253" s="217" t="s">
        <v>1401</v>
      </c>
    </row>
    <row r="254">
      <c r="A254" s="213"/>
      <c r="B254" s="213"/>
      <c r="C254" s="225" t="s">
        <v>862</v>
      </c>
      <c r="D254" s="225" t="s">
        <v>49</v>
      </c>
      <c r="E254" s="213"/>
      <c r="F254" s="213"/>
      <c r="G254" s="34"/>
      <c r="H254" s="206" t="s">
        <v>1402</v>
      </c>
      <c r="I254" s="207">
        <v>212.0</v>
      </c>
      <c r="J254" s="211" t="s">
        <v>1403</v>
      </c>
      <c r="K254" s="34"/>
      <c r="L254" s="34"/>
      <c r="M254" s="34"/>
      <c r="N254" s="34"/>
      <c r="O254" s="34"/>
      <c r="P254" s="34"/>
      <c r="Q254" s="34"/>
      <c r="R254" s="213"/>
      <c r="S254" s="213"/>
      <c r="T254" s="217" t="s">
        <v>1404</v>
      </c>
    </row>
    <row r="255">
      <c r="A255" s="213"/>
      <c r="B255" s="213"/>
      <c r="C255" s="225" t="s">
        <v>877</v>
      </c>
      <c r="D255" s="225" t="s">
        <v>1405</v>
      </c>
      <c r="E255" s="213"/>
      <c r="F255" s="213"/>
      <c r="G255" s="34"/>
      <c r="H255" s="206" t="s">
        <v>1406</v>
      </c>
      <c r="I255" s="207">
        <v>208.0</v>
      </c>
      <c r="J255" s="211" t="s">
        <v>1407</v>
      </c>
      <c r="K255" s="34"/>
      <c r="L255" s="34"/>
      <c r="M255" s="34"/>
      <c r="N255" s="34"/>
      <c r="O255" s="34"/>
      <c r="P255" s="34"/>
      <c r="Q255" s="34"/>
      <c r="R255" s="213"/>
      <c r="S255" s="213"/>
      <c r="T255" s="217" t="s">
        <v>1408</v>
      </c>
    </row>
    <row r="256">
      <c r="A256" s="213"/>
      <c r="B256" s="213"/>
      <c r="C256" s="225" t="s">
        <v>932</v>
      </c>
      <c r="D256" s="225" t="s">
        <v>49</v>
      </c>
      <c r="E256" s="213"/>
      <c r="F256" s="213"/>
      <c r="G256" s="34"/>
      <c r="H256" s="206" t="s">
        <v>1409</v>
      </c>
      <c r="I256" s="207">
        <v>417.0</v>
      </c>
      <c r="J256" s="211" t="s">
        <v>1410</v>
      </c>
      <c r="K256" s="34"/>
      <c r="L256" s="34"/>
      <c r="M256" s="34"/>
      <c r="N256" s="34"/>
      <c r="O256" s="34"/>
      <c r="P256" s="34"/>
      <c r="Q256" s="34"/>
      <c r="R256" s="213"/>
      <c r="S256" s="213"/>
      <c r="T256" s="217" t="s">
        <v>1411</v>
      </c>
    </row>
    <row r="257">
      <c r="A257" s="213"/>
      <c r="B257" s="213"/>
      <c r="C257" s="225" t="s">
        <v>1258</v>
      </c>
      <c r="D257" s="225" t="s">
        <v>49</v>
      </c>
      <c r="E257" s="213"/>
      <c r="F257" s="213"/>
      <c r="G257" s="34"/>
      <c r="H257" s="206" t="s">
        <v>1412</v>
      </c>
      <c r="I257" s="207">
        <v>418.0</v>
      </c>
      <c r="J257" s="211" t="s">
        <v>1413</v>
      </c>
      <c r="K257" s="34"/>
      <c r="L257" s="34"/>
      <c r="M257" s="34"/>
      <c r="N257" s="34"/>
      <c r="O257" s="34"/>
      <c r="P257" s="34"/>
      <c r="Q257" s="34"/>
      <c r="R257" s="213"/>
      <c r="S257" s="213"/>
      <c r="T257" s="217" t="s">
        <v>1414</v>
      </c>
    </row>
    <row r="258">
      <c r="A258" s="213"/>
      <c r="B258" s="213"/>
      <c r="C258" s="225" t="s">
        <v>1415</v>
      </c>
      <c r="D258" s="225" t="s">
        <v>1416</v>
      </c>
      <c r="E258" s="213"/>
      <c r="F258" s="213"/>
      <c r="G258" s="34"/>
      <c r="H258" s="206" t="s">
        <v>444</v>
      </c>
      <c r="I258" s="207">
        <v>18.0</v>
      </c>
      <c r="J258" s="211" t="s">
        <v>1417</v>
      </c>
      <c r="K258" s="34"/>
      <c r="L258" s="34"/>
      <c r="M258" s="34"/>
      <c r="N258" s="34"/>
      <c r="O258" s="34"/>
      <c r="P258" s="34"/>
      <c r="Q258" s="34"/>
      <c r="R258" s="213"/>
      <c r="S258" s="213"/>
      <c r="T258" s="213"/>
    </row>
    <row r="259">
      <c r="A259" s="213"/>
      <c r="B259" s="213"/>
      <c r="C259" s="225" t="s">
        <v>1418</v>
      </c>
      <c r="D259" s="225" t="s">
        <v>49</v>
      </c>
      <c r="E259" s="213"/>
      <c r="F259" s="213"/>
      <c r="G259" s="34"/>
      <c r="H259" s="206" t="s">
        <v>866</v>
      </c>
      <c r="I259" s="207">
        <v>219.0</v>
      </c>
      <c r="J259" s="211" t="s">
        <v>1419</v>
      </c>
      <c r="K259" s="34"/>
      <c r="L259" s="34"/>
      <c r="M259" s="34"/>
      <c r="N259" s="34"/>
      <c r="O259" s="34"/>
      <c r="P259" s="34"/>
      <c r="Q259" s="34"/>
      <c r="R259" s="213"/>
      <c r="S259" s="213"/>
      <c r="T259" s="213"/>
    </row>
    <row r="260">
      <c r="A260" s="213"/>
      <c r="B260" s="213"/>
      <c r="C260" s="225" t="s">
        <v>1420</v>
      </c>
      <c r="D260" s="225" t="s">
        <v>49</v>
      </c>
      <c r="E260" s="213"/>
      <c r="F260" s="213"/>
      <c r="G260" s="34"/>
      <c r="H260" s="206" t="s">
        <v>866</v>
      </c>
      <c r="I260" s="207">
        <v>538.0</v>
      </c>
      <c r="J260" s="211" t="s">
        <v>1421</v>
      </c>
      <c r="K260" s="34"/>
      <c r="L260" s="34"/>
      <c r="M260" s="34"/>
      <c r="N260" s="34"/>
      <c r="O260" s="34"/>
      <c r="P260" s="34"/>
      <c r="Q260" s="34"/>
      <c r="R260" s="213"/>
      <c r="S260" s="213"/>
      <c r="T260" s="213"/>
    </row>
    <row r="261">
      <c r="A261" s="213"/>
      <c r="B261" s="213"/>
      <c r="C261" s="225" t="s">
        <v>1422</v>
      </c>
      <c r="D261" s="225" t="s">
        <v>49</v>
      </c>
      <c r="E261" s="213"/>
      <c r="F261" s="213"/>
      <c r="G261" s="34"/>
      <c r="H261" s="206" t="s">
        <v>1423</v>
      </c>
      <c r="I261" s="207">
        <v>165.0</v>
      </c>
      <c r="J261" s="211" t="s">
        <v>1424</v>
      </c>
      <c r="K261" s="34"/>
      <c r="L261" s="34"/>
      <c r="M261" s="34"/>
      <c r="N261" s="34"/>
      <c r="O261" s="34"/>
      <c r="P261" s="34"/>
      <c r="Q261" s="34"/>
      <c r="R261" s="213"/>
      <c r="S261" s="213"/>
      <c r="T261" s="213"/>
    </row>
    <row r="262">
      <c r="A262" s="213"/>
      <c r="B262" s="213"/>
      <c r="C262" s="225" t="s">
        <v>1425</v>
      </c>
      <c r="D262" s="225" t="s">
        <v>1426</v>
      </c>
      <c r="E262" s="213"/>
      <c r="F262" s="213"/>
      <c r="G262" s="34"/>
      <c r="H262" s="206" t="s">
        <v>1427</v>
      </c>
      <c r="I262" s="207">
        <v>564.0</v>
      </c>
      <c r="J262" s="211" t="s">
        <v>1428</v>
      </c>
      <c r="K262" s="34"/>
      <c r="L262" s="34"/>
      <c r="M262" s="34"/>
      <c r="N262" s="34"/>
      <c r="O262" s="34"/>
      <c r="P262" s="34"/>
      <c r="Q262" s="34"/>
      <c r="R262" s="213"/>
      <c r="S262" s="213"/>
      <c r="T262" s="213"/>
    </row>
    <row r="263">
      <c r="A263" s="213"/>
      <c r="B263" s="213"/>
      <c r="C263" s="225" t="s">
        <v>359</v>
      </c>
      <c r="D263" s="225" t="s">
        <v>49</v>
      </c>
      <c r="E263" s="213"/>
      <c r="F263" s="213"/>
      <c r="G263" s="34"/>
      <c r="H263" s="206" t="s">
        <v>1429</v>
      </c>
      <c r="I263" s="207">
        <v>569.0</v>
      </c>
      <c r="J263" s="211" t="s">
        <v>1430</v>
      </c>
      <c r="K263" s="34"/>
      <c r="L263" s="34"/>
      <c r="M263" s="34"/>
      <c r="N263" s="34"/>
      <c r="O263" s="34"/>
      <c r="P263" s="34"/>
      <c r="Q263" s="34"/>
      <c r="R263" s="213"/>
      <c r="S263" s="213"/>
      <c r="T263" s="213"/>
    </row>
    <row r="264">
      <c r="A264" s="213"/>
      <c r="B264" s="213"/>
      <c r="C264" s="225" t="s">
        <v>977</v>
      </c>
      <c r="D264" s="225" t="s">
        <v>1431</v>
      </c>
      <c r="E264" s="213"/>
      <c r="F264" s="213"/>
      <c r="G264" s="34"/>
      <c r="H264" s="206" t="s">
        <v>1432</v>
      </c>
      <c r="I264" s="207">
        <v>575.0</v>
      </c>
      <c r="J264" s="211" t="s">
        <v>1433</v>
      </c>
      <c r="K264" s="34"/>
      <c r="L264" s="34"/>
      <c r="M264" s="34"/>
      <c r="N264" s="34"/>
      <c r="O264" s="34"/>
      <c r="P264" s="34"/>
      <c r="Q264" s="34"/>
      <c r="R264" s="213"/>
      <c r="S264" s="213"/>
      <c r="T264" s="213"/>
    </row>
    <row r="265">
      <c r="A265" s="213"/>
      <c r="B265" s="213"/>
      <c r="C265" s="225" t="s">
        <v>1015</v>
      </c>
      <c r="D265" s="225" t="s">
        <v>1434</v>
      </c>
      <c r="E265" s="213"/>
      <c r="F265" s="213"/>
      <c r="G265" s="34"/>
      <c r="H265" s="206" t="s">
        <v>1435</v>
      </c>
      <c r="I265" s="207">
        <v>583.0</v>
      </c>
      <c r="J265" s="211" t="s">
        <v>1436</v>
      </c>
      <c r="K265" s="34"/>
      <c r="L265" s="34"/>
      <c r="M265" s="34"/>
      <c r="N265" s="34"/>
      <c r="O265" s="34"/>
      <c r="P265" s="34"/>
      <c r="Q265" s="34"/>
      <c r="R265" s="213"/>
      <c r="S265" s="213"/>
      <c r="T265" s="213"/>
    </row>
    <row r="266">
      <c r="A266" s="213"/>
      <c r="B266" s="213"/>
      <c r="C266" s="225" t="s">
        <v>1143</v>
      </c>
      <c r="D266" s="225" t="s">
        <v>1437</v>
      </c>
      <c r="E266" s="213"/>
      <c r="F266" s="213"/>
      <c r="G266" s="34"/>
      <c r="H266" s="206" t="s">
        <v>1438</v>
      </c>
      <c r="I266" s="207">
        <v>152.0</v>
      </c>
      <c r="J266" s="211" t="s">
        <v>1439</v>
      </c>
      <c r="K266" s="34"/>
      <c r="L266" s="34"/>
      <c r="M266" s="34"/>
      <c r="N266" s="34"/>
      <c r="O266" s="34"/>
      <c r="P266" s="34"/>
      <c r="Q266" s="34"/>
      <c r="R266" s="213"/>
      <c r="S266" s="213"/>
      <c r="T266" s="213"/>
    </row>
    <row r="267">
      <c r="A267" s="213"/>
      <c r="B267" s="213"/>
      <c r="C267" s="225" t="s">
        <v>1227</v>
      </c>
      <c r="D267" s="225" t="s">
        <v>49</v>
      </c>
      <c r="E267" s="213"/>
      <c r="F267" s="213"/>
      <c r="G267" s="34"/>
      <c r="H267" s="206" t="s">
        <v>573</v>
      </c>
      <c r="I267" s="207">
        <v>543.0</v>
      </c>
      <c r="J267" s="211" t="s">
        <v>1440</v>
      </c>
      <c r="K267" s="34"/>
      <c r="L267" s="34"/>
      <c r="M267" s="34"/>
      <c r="N267" s="34"/>
      <c r="O267" s="34"/>
      <c r="P267" s="34"/>
      <c r="Q267" s="34"/>
      <c r="R267" s="213"/>
      <c r="S267" s="213"/>
      <c r="T267" s="213"/>
    </row>
    <row r="268">
      <c r="A268" s="213"/>
      <c r="B268" s="213"/>
      <c r="C268" s="225" t="s">
        <v>1251</v>
      </c>
      <c r="D268" s="225" t="s">
        <v>1441</v>
      </c>
      <c r="E268" s="213"/>
      <c r="F268" s="213"/>
      <c r="G268" s="34"/>
      <c r="H268" s="206" t="s">
        <v>1061</v>
      </c>
      <c r="I268" s="207">
        <v>87.0</v>
      </c>
      <c r="J268" s="211" t="s">
        <v>1442</v>
      </c>
      <c r="K268" s="34"/>
      <c r="L268" s="34"/>
      <c r="M268" s="34"/>
      <c r="N268" s="34"/>
      <c r="O268" s="34"/>
      <c r="P268" s="34"/>
      <c r="Q268" s="34"/>
      <c r="R268" s="213"/>
      <c r="S268" s="213"/>
      <c r="T268" s="213"/>
    </row>
    <row r="269">
      <c r="A269" s="213"/>
      <c r="B269" s="213"/>
      <c r="C269" s="225" t="s">
        <v>1423</v>
      </c>
      <c r="D269" s="225" t="s">
        <v>1443</v>
      </c>
      <c r="E269" s="213"/>
      <c r="F269" s="213"/>
      <c r="G269" s="34"/>
      <c r="H269" s="206" t="s">
        <v>1198</v>
      </c>
      <c r="I269" s="207">
        <v>83.0</v>
      </c>
      <c r="J269" s="211" t="s">
        <v>1444</v>
      </c>
      <c r="K269" s="34"/>
      <c r="L269" s="34"/>
      <c r="M269" s="34"/>
      <c r="N269" s="34"/>
      <c r="O269" s="34"/>
      <c r="P269" s="34"/>
      <c r="Q269" s="34"/>
      <c r="R269" s="213"/>
      <c r="S269" s="213"/>
      <c r="T269" s="213"/>
    </row>
    <row r="270">
      <c r="A270" s="213"/>
      <c r="B270" s="213"/>
      <c r="C270" s="225" t="s">
        <v>1445</v>
      </c>
      <c r="D270" s="225" t="s">
        <v>1446</v>
      </c>
      <c r="E270" s="213"/>
      <c r="F270" s="213"/>
      <c r="G270" s="34"/>
      <c r="H270" s="206" t="s">
        <v>1447</v>
      </c>
      <c r="I270" s="207">
        <v>567.0</v>
      </c>
      <c r="J270" s="211" t="s">
        <v>1448</v>
      </c>
      <c r="K270" s="34"/>
      <c r="L270" s="34"/>
      <c r="M270" s="34"/>
      <c r="N270" s="34"/>
      <c r="O270" s="34"/>
      <c r="P270" s="34"/>
      <c r="Q270" s="34"/>
      <c r="R270" s="213"/>
      <c r="S270" s="213"/>
      <c r="T270" s="213"/>
    </row>
    <row r="271">
      <c r="A271" s="213"/>
      <c r="B271" s="213"/>
      <c r="C271" s="225" t="s">
        <v>1449</v>
      </c>
      <c r="D271" s="225" t="s">
        <v>1450</v>
      </c>
      <c r="E271" s="213"/>
      <c r="F271" s="213"/>
      <c r="G271" s="34"/>
      <c r="H271" s="206" t="s">
        <v>1451</v>
      </c>
      <c r="I271" s="207">
        <v>570.0</v>
      </c>
      <c r="J271" s="211" t="s">
        <v>1452</v>
      </c>
      <c r="K271" s="34"/>
      <c r="L271" s="34"/>
      <c r="M271" s="34"/>
      <c r="N271" s="34"/>
      <c r="O271" s="34"/>
      <c r="P271" s="34"/>
      <c r="Q271" s="34"/>
      <c r="R271" s="213"/>
      <c r="S271" s="213"/>
      <c r="T271" s="213"/>
    </row>
    <row r="272">
      <c r="A272" s="213"/>
      <c r="B272" s="213"/>
      <c r="C272" s="225" t="s">
        <v>1453</v>
      </c>
      <c r="D272" s="225" t="s">
        <v>49</v>
      </c>
      <c r="E272" s="213"/>
      <c r="F272" s="213"/>
      <c r="G272" s="34"/>
      <c r="H272" s="206" t="s">
        <v>1454</v>
      </c>
      <c r="I272" s="207">
        <v>576.0</v>
      </c>
      <c r="J272" s="211" t="s">
        <v>1455</v>
      </c>
      <c r="K272" s="34"/>
      <c r="L272" s="34"/>
      <c r="M272" s="34"/>
      <c r="N272" s="34"/>
      <c r="O272" s="34"/>
      <c r="P272" s="34"/>
      <c r="Q272" s="34"/>
      <c r="R272" s="213"/>
      <c r="S272" s="213"/>
      <c r="T272" s="213"/>
    </row>
    <row r="273">
      <c r="A273" s="213"/>
      <c r="B273" s="213"/>
      <c r="C273" s="225" t="s">
        <v>1456</v>
      </c>
      <c r="D273" s="225" t="s">
        <v>49</v>
      </c>
      <c r="E273" s="213"/>
      <c r="F273" s="213"/>
      <c r="G273" s="34"/>
      <c r="H273" s="206" t="s">
        <v>1457</v>
      </c>
      <c r="I273" s="207">
        <v>584.0</v>
      </c>
      <c r="J273" s="211" t="s">
        <v>1458</v>
      </c>
      <c r="K273" s="34"/>
      <c r="L273" s="34"/>
      <c r="M273" s="34"/>
      <c r="N273" s="34"/>
      <c r="O273" s="34"/>
      <c r="P273" s="34"/>
      <c r="Q273" s="34"/>
      <c r="R273" s="213"/>
      <c r="S273" s="213"/>
      <c r="T273" s="213"/>
    </row>
    <row r="274">
      <c r="A274" s="213"/>
      <c r="B274" s="213"/>
      <c r="C274" s="225" t="s">
        <v>1459</v>
      </c>
      <c r="D274" s="225" t="s">
        <v>1460</v>
      </c>
      <c r="E274" s="213"/>
      <c r="F274" s="213"/>
      <c r="G274" s="34"/>
      <c r="H274" s="206" t="s">
        <v>1461</v>
      </c>
      <c r="I274" s="207">
        <v>566.0</v>
      </c>
      <c r="J274" s="211" t="s">
        <v>1462</v>
      </c>
      <c r="K274" s="34"/>
      <c r="L274" s="34"/>
      <c r="M274" s="34"/>
      <c r="N274" s="34"/>
      <c r="O274" s="34"/>
      <c r="P274" s="34"/>
      <c r="Q274" s="34"/>
      <c r="R274" s="213"/>
      <c r="S274" s="213"/>
      <c r="T274" s="213"/>
    </row>
    <row r="275">
      <c r="A275" s="213"/>
      <c r="B275" s="213"/>
      <c r="C275" s="225" t="s">
        <v>1463</v>
      </c>
      <c r="D275" s="225" t="s">
        <v>1464</v>
      </c>
      <c r="E275" s="213"/>
      <c r="F275" s="213"/>
      <c r="G275" s="34"/>
      <c r="H275" s="206" t="s">
        <v>1041</v>
      </c>
      <c r="I275" s="207">
        <v>204.0</v>
      </c>
      <c r="J275" s="211" t="s">
        <v>1465</v>
      </c>
      <c r="K275" s="34"/>
      <c r="L275" s="34"/>
      <c r="M275" s="34"/>
      <c r="N275" s="34"/>
      <c r="O275" s="34"/>
      <c r="P275" s="34"/>
      <c r="Q275" s="34"/>
      <c r="R275" s="213"/>
      <c r="S275" s="213"/>
      <c r="T275" s="213"/>
    </row>
    <row r="276">
      <c r="A276" s="213"/>
      <c r="B276" s="213"/>
      <c r="C276" s="225" t="s">
        <v>564</v>
      </c>
      <c r="D276" s="225" t="s">
        <v>49</v>
      </c>
      <c r="E276" s="213"/>
      <c r="F276" s="213"/>
      <c r="G276" s="34"/>
      <c r="H276" s="206" t="s">
        <v>869</v>
      </c>
      <c r="I276" s="207">
        <v>343.0</v>
      </c>
      <c r="J276" s="211" t="s">
        <v>1353</v>
      </c>
      <c r="K276" s="34"/>
      <c r="L276" s="34"/>
      <c r="M276" s="34"/>
      <c r="N276" s="34"/>
      <c r="O276" s="34"/>
      <c r="P276" s="34"/>
      <c r="Q276" s="34"/>
      <c r="R276" s="213"/>
      <c r="S276" s="213"/>
      <c r="T276" s="213"/>
    </row>
    <row r="277">
      <c r="A277" s="213"/>
      <c r="B277" s="213"/>
      <c r="C277" s="225" t="s">
        <v>968</v>
      </c>
      <c r="D277" s="225" t="s">
        <v>1466</v>
      </c>
      <c r="E277" s="213"/>
      <c r="F277" s="213"/>
      <c r="G277" s="34"/>
      <c r="H277" s="206" t="s">
        <v>305</v>
      </c>
      <c r="I277" s="207">
        <v>233.0</v>
      </c>
      <c r="J277" s="211" t="s">
        <v>1356</v>
      </c>
      <c r="K277" s="34"/>
      <c r="L277" s="34"/>
      <c r="M277" s="34"/>
      <c r="N277" s="34"/>
      <c r="O277" s="34"/>
      <c r="P277" s="34"/>
      <c r="Q277" s="34"/>
      <c r="R277" s="213"/>
      <c r="S277" s="213"/>
      <c r="T277" s="213"/>
    </row>
    <row r="278">
      <c r="A278" s="213"/>
      <c r="B278" s="213"/>
      <c r="C278" s="225" t="s">
        <v>1157</v>
      </c>
      <c r="D278" s="225" t="s">
        <v>1467</v>
      </c>
      <c r="E278" s="213"/>
      <c r="F278" s="213"/>
      <c r="G278" s="34"/>
      <c r="H278" s="206" t="s">
        <v>1468</v>
      </c>
      <c r="I278" s="207">
        <v>530.0</v>
      </c>
      <c r="J278" s="211" t="s">
        <v>1469</v>
      </c>
      <c r="K278" s="34"/>
      <c r="L278" s="34"/>
      <c r="M278" s="34"/>
      <c r="N278" s="34"/>
      <c r="O278" s="34"/>
      <c r="P278" s="34"/>
      <c r="Q278" s="34"/>
      <c r="R278" s="213"/>
      <c r="S278" s="213"/>
      <c r="T278" s="213"/>
    </row>
    <row r="279">
      <c r="A279" s="213"/>
      <c r="B279" s="213"/>
      <c r="C279" s="225" t="s">
        <v>1278</v>
      </c>
      <c r="D279" s="225" t="s">
        <v>49</v>
      </c>
      <c r="E279" s="213"/>
      <c r="F279" s="213"/>
      <c r="G279" s="34"/>
      <c r="H279" s="206" t="s">
        <v>312</v>
      </c>
      <c r="I279" s="207">
        <v>234.0</v>
      </c>
      <c r="J279" s="211" t="s">
        <v>1470</v>
      </c>
      <c r="K279" s="34"/>
      <c r="L279" s="34"/>
      <c r="M279" s="34"/>
      <c r="N279" s="34"/>
      <c r="O279" s="34"/>
      <c r="P279" s="34"/>
      <c r="Q279" s="34"/>
      <c r="R279" s="213"/>
      <c r="S279" s="213"/>
      <c r="T279" s="213"/>
    </row>
    <row r="280">
      <c r="A280" s="213"/>
      <c r="B280" s="213"/>
      <c r="C280" s="225" t="s">
        <v>1282</v>
      </c>
      <c r="D280" s="225" t="s">
        <v>1471</v>
      </c>
      <c r="E280" s="213"/>
      <c r="F280" s="213"/>
      <c r="G280" s="34"/>
      <c r="H280" s="206" t="s">
        <v>320</v>
      </c>
      <c r="I280" s="207">
        <v>235.0</v>
      </c>
      <c r="J280" s="211" t="s">
        <v>1472</v>
      </c>
      <c r="K280" s="34"/>
      <c r="L280" s="34"/>
      <c r="M280" s="34"/>
      <c r="N280" s="34"/>
      <c r="O280" s="34"/>
      <c r="P280" s="34"/>
      <c r="Q280" s="34"/>
      <c r="R280" s="213"/>
      <c r="S280" s="213"/>
      <c r="T280" s="213"/>
    </row>
    <row r="281">
      <c r="A281" s="213"/>
      <c r="B281" s="213"/>
      <c r="C281" s="225" t="s">
        <v>1473</v>
      </c>
      <c r="D281" s="225" t="s">
        <v>49</v>
      </c>
      <c r="E281" s="213"/>
      <c r="F281" s="213"/>
      <c r="G281" s="34"/>
      <c r="H281" s="206" t="s">
        <v>890</v>
      </c>
      <c r="I281" s="207">
        <v>344.0</v>
      </c>
      <c r="J281" s="211" t="s">
        <v>1474</v>
      </c>
      <c r="K281" s="34"/>
      <c r="L281" s="34"/>
      <c r="M281" s="34"/>
      <c r="N281" s="34"/>
      <c r="O281" s="34"/>
      <c r="P281" s="34"/>
      <c r="Q281" s="34"/>
      <c r="R281" s="213"/>
      <c r="S281" s="213"/>
      <c r="T281" s="213"/>
    </row>
    <row r="282">
      <c r="A282" s="213"/>
      <c r="B282" s="213"/>
      <c r="C282" s="225" t="s">
        <v>1119</v>
      </c>
      <c r="D282" s="225" t="s">
        <v>1475</v>
      </c>
      <c r="E282" s="213"/>
      <c r="F282" s="213"/>
      <c r="G282" s="34"/>
      <c r="H282" s="206" t="s">
        <v>450</v>
      </c>
      <c r="I282" s="207">
        <v>58.0</v>
      </c>
      <c r="J282" s="211" t="s">
        <v>1476</v>
      </c>
      <c r="K282" s="34"/>
      <c r="L282" s="34"/>
      <c r="M282" s="34"/>
      <c r="N282" s="34"/>
      <c r="O282" s="34"/>
      <c r="P282" s="34"/>
      <c r="Q282" s="34"/>
      <c r="R282" s="213"/>
      <c r="S282" s="213"/>
      <c r="T282" s="213"/>
    </row>
    <row r="283">
      <c r="A283" s="213"/>
      <c r="B283" s="213"/>
      <c r="C283" s="225" t="s">
        <v>1130</v>
      </c>
      <c r="D283" s="225" t="s">
        <v>1477</v>
      </c>
      <c r="E283" s="213"/>
      <c r="F283" s="213"/>
      <c r="G283" s="34"/>
      <c r="H283" s="206" t="s">
        <v>1478</v>
      </c>
      <c r="I283" s="207">
        <v>419.0</v>
      </c>
      <c r="J283" s="211" t="s">
        <v>1479</v>
      </c>
      <c r="K283" s="34"/>
      <c r="L283" s="34"/>
      <c r="M283" s="34"/>
      <c r="N283" s="34"/>
      <c r="O283" s="34"/>
      <c r="P283" s="34"/>
      <c r="Q283" s="34"/>
      <c r="R283" s="213"/>
      <c r="S283" s="213"/>
      <c r="T283" s="213"/>
    </row>
    <row r="284">
      <c r="A284" s="213"/>
      <c r="B284" s="213"/>
      <c r="C284" s="225" t="s">
        <v>1342</v>
      </c>
      <c r="D284" s="225" t="s">
        <v>49</v>
      </c>
      <c r="E284" s="213"/>
      <c r="F284" s="213"/>
      <c r="G284" s="34"/>
      <c r="H284" s="206" t="s">
        <v>1480</v>
      </c>
      <c r="I284" s="207">
        <v>420.0</v>
      </c>
      <c r="J284" s="211" t="s">
        <v>1481</v>
      </c>
      <c r="K284" s="34"/>
      <c r="L284" s="34"/>
      <c r="M284" s="34"/>
      <c r="N284" s="34"/>
      <c r="O284" s="34"/>
      <c r="P284" s="34"/>
      <c r="Q284" s="34"/>
      <c r="R284" s="213"/>
      <c r="S284" s="213"/>
      <c r="T284" s="213"/>
    </row>
    <row r="285">
      <c r="A285" s="213"/>
      <c r="B285" s="213"/>
      <c r="C285" s="225" t="s">
        <v>1393</v>
      </c>
      <c r="D285" s="225" t="s">
        <v>1482</v>
      </c>
      <c r="E285" s="213"/>
      <c r="F285" s="213"/>
      <c r="G285" s="34"/>
      <c r="H285" s="206" t="s">
        <v>1333</v>
      </c>
      <c r="I285" s="207">
        <v>123.0</v>
      </c>
      <c r="J285" s="211" t="s">
        <v>1483</v>
      </c>
      <c r="K285" s="34"/>
      <c r="L285" s="34"/>
      <c r="M285" s="34"/>
      <c r="N285" s="34"/>
      <c r="O285" s="34"/>
      <c r="P285" s="34"/>
      <c r="Q285" s="34"/>
      <c r="R285" s="213"/>
      <c r="S285" s="213"/>
      <c r="T285" s="213"/>
    </row>
    <row r="286">
      <c r="A286" s="213"/>
      <c r="B286" s="213"/>
      <c r="C286" s="225" t="s">
        <v>1396</v>
      </c>
      <c r="D286" s="225" t="s">
        <v>49</v>
      </c>
      <c r="E286" s="213"/>
      <c r="F286" s="213"/>
      <c r="G286" s="34"/>
      <c r="H286" s="206" t="s">
        <v>902</v>
      </c>
      <c r="I286" s="207">
        <v>225.0</v>
      </c>
      <c r="J286" s="211" t="s">
        <v>1484</v>
      </c>
      <c r="K286" s="34"/>
      <c r="L286" s="34"/>
      <c r="M286" s="34"/>
      <c r="N286" s="34"/>
      <c r="O286" s="34"/>
      <c r="P286" s="34"/>
      <c r="Q286" s="34"/>
      <c r="R286" s="213"/>
      <c r="S286" s="213"/>
      <c r="T286" s="213"/>
    </row>
    <row r="287">
      <c r="A287" s="213"/>
      <c r="B287" s="213"/>
      <c r="C287" s="225" t="s">
        <v>1399</v>
      </c>
      <c r="D287" s="225" t="s">
        <v>1485</v>
      </c>
      <c r="E287" s="213"/>
      <c r="F287" s="213"/>
      <c r="G287" s="34"/>
      <c r="H287" s="206" t="s">
        <v>1486</v>
      </c>
      <c r="I287" s="207">
        <v>594.0</v>
      </c>
      <c r="J287" s="211" t="s">
        <v>1487</v>
      </c>
      <c r="K287" s="34"/>
      <c r="L287" s="34"/>
      <c r="M287" s="34"/>
      <c r="N287" s="34"/>
      <c r="O287" s="34"/>
      <c r="P287" s="34"/>
      <c r="Q287" s="34"/>
      <c r="R287" s="213"/>
      <c r="S287" s="213"/>
      <c r="T287" s="213"/>
    </row>
    <row r="288">
      <c r="A288" s="213"/>
      <c r="B288" s="213"/>
      <c r="C288" s="225" t="s">
        <v>1402</v>
      </c>
      <c r="D288" s="225" t="s">
        <v>49</v>
      </c>
      <c r="E288" s="213"/>
      <c r="F288" s="213"/>
      <c r="G288" s="34"/>
      <c r="H288" s="206" t="s">
        <v>1337</v>
      </c>
      <c r="I288" s="207">
        <v>124.0</v>
      </c>
      <c r="J288" s="211" t="s">
        <v>1449</v>
      </c>
      <c r="K288" s="34"/>
      <c r="L288" s="34"/>
      <c r="M288" s="34"/>
      <c r="N288" s="34"/>
      <c r="O288" s="34"/>
      <c r="P288" s="34"/>
      <c r="Q288" s="34"/>
      <c r="R288" s="213"/>
      <c r="S288" s="213"/>
      <c r="T288" s="213"/>
    </row>
    <row r="289">
      <c r="A289" s="213"/>
      <c r="B289" s="213"/>
      <c r="C289" s="225" t="s">
        <v>1406</v>
      </c>
      <c r="D289" s="225" t="s">
        <v>1488</v>
      </c>
      <c r="E289" s="213"/>
      <c r="F289" s="213"/>
      <c r="G289" s="34"/>
      <c r="H289" s="206" t="s">
        <v>1340</v>
      </c>
      <c r="I289" s="207">
        <v>125.0</v>
      </c>
      <c r="J289" s="211" t="s">
        <v>1489</v>
      </c>
      <c r="K289" s="34"/>
      <c r="L289" s="34"/>
      <c r="M289" s="34"/>
      <c r="N289" s="34"/>
      <c r="O289" s="34"/>
      <c r="P289" s="34"/>
      <c r="Q289" s="34"/>
      <c r="R289" s="213"/>
      <c r="S289" s="213"/>
      <c r="T289" s="213"/>
    </row>
    <row r="290">
      <c r="A290" s="213"/>
      <c r="B290" s="213"/>
      <c r="C290" s="225" t="s">
        <v>1086</v>
      </c>
      <c r="D290" s="225" t="s">
        <v>1490</v>
      </c>
      <c r="E290" s="213"/>
      <c r="F290" s="213"/>
      <c r="G290" s="34"/>
      <c r="H290" s="206" t="s">
        <v>1090</v>
      </c>
      <c r="I290" s="207">
        <v>248.0</v>
      </c>
      <c r="J290" s="211" t="s">
        <v>1491</v>
      </c>
      <c r="K290" s="34"/>
      <c r="L290" s="34"/>
      <c r="M290" s="34"/>
      <c r="N290" s="34"/>
      <c r="O290" s="34"/>
      <c r="P290" s="34"/>
      <c r="Q290" s="34"/>
      <c r="R290" s="213"/>
      <c r="S290" s="213"/>
      <c r="T290" s="213"/>
    </row>
    <row r="291">
      <c r="A291" s="213"/>
      <c r="B291" s="213"/>
      <c r="C291" s="225" t="s">
        <v>1107</v>
      </c>
      <c r="D291" s="225" t="s">
        <v>1492</v>
      </c>
      <c r="E291" s="213"/>
      <c r="F291" s="213"/>
      <c r="G291" s="34"/>
      <c r="H291" s="206" t="s">
        <v>1493</v>
      </c>
      <c r="I291" s="207">
        <v>283.0</v>
      </c>
      <c r="J291" s="211" t="s">
        <v>1494</v>
      </c>
      <c r="K291" s="34"/>
      <c r="L291" s="34"/>
      <c r="M291" s="34"/>
      <c r="N291" s="34"/>
      <c r="O291" s="34"/>
      <c r="P291" s="34"/>
      <c r="Q291" s="34"/>
      <c r="R291" s="213"/>
      <c r="S291" s="213"/>
      <c r="T291" s="213"/>
    </row>
    <row r="292">
      <c r="A292" s="213"/>
      <c r="B292" s="213"/>
      <c r="C292" s="225" t="s">
        <v>1493</v>
      </c>
      <c r="D292" s="225" t="s">
        <v>1495</v>
      </c>
      <c r="E292" s="213"/>
      <c r="F292" s="213"/>
      <c r="G292" s="34"/>
      <c r="H292" s="206" t="s">
        <v>907</v>
      </c>
      <c r="I292" s="207">
        <v>226.0</v>
      </c>
      <c r="J292" s="211" t="s">
        <v>1496</v>
      </c>
      <c r="K292" s="34"/>
      <c r="L292" s="34"/>
      <c r="M292" s="34"/>
      <c r="N292" s="34"/>
      <c r="O292" s="34"/>
      <c r="P292" s="34"/>
      <c r="Q292" s="34"/>
      <c r="R292" s="213"/>
      <c r="S292" s="213"/>
      <c r="T292" s="213"/>
    </row>
    <row r="293">
      <c r="A293" s="213"/>
      <c r="B293" s="213"/>
      <c r="C293" s="225" t="s">
        <v>1497</v>
      </c>
      <c r="D293" s="225" t="s">
        <v>49</v>
      </c>
      <c r="E293" s="213"/>
      <c r="F293" s="213"/>
      <c r="G293" s="34"/>
      <c r="H293" s="206" t="s">
        <v>1498</v>
      </c>
      <c r="I293" s="207">
        <v>421.0</v>
      </c>
      <c r="J293" s="211" t="s">
        <v>1499</v>
      </c>
      <c r="K293" s="34"/>
      <c r="L293" s="34"/>
      <c r="M293" s="34"/>
      <c r="N293" s="34"/>
      <c r="O293" s="34"/>
      <c r="P293" s="34"/>
      <c r="Q293" s="34"/>
      <c r="R293" s="213"/>
      <c r="S293" s="213"/>
      <c r="T293" s="213"/>
    </row>
    <row r="294">
      <c r="A294" s="213"/>
      <c r="B294" s="213"/>
      <c r="C294" s="225" t="s">
        <v>1500</v>
      </c>
      <c r="D294" s="225" t="s">
        <v>49</v>
      </c>
      <c r="E294" s="213"/>
      <c r="F294" s="213"/>
      <c r="G294" s="34"/>
      <c r="H294" s="206" t="s">
        <v>1094</v>
      </c>
      <c r="I294" s="207">
        <v>249.0</v>
      </c>
      <c r="J294" s="211" t="s">
        <v>1501</v>
      </c>
      <c r="K294" s="34"/>
      <c r="L294" s="34"/>
      <c r="M294" s="34"/>
      <c r="N294" s="34"/>
      <c r="O294" s="34"/>
      <c r="P294" s="34"/>
      <c r="Q294" s="34"/>
      <c r="R294" s="213"/>
      <c r="S294" s="213"/>
      <c r="T294" s="213"/>
    </row>
    <row r="295">
      <c r="A295" s="213"/>
      <c r="B295" s="213"/>
      <c r="C295" s="225" t="s">
        <v>1502</v>
      </c>
      <c r="D295" s="225" t="s">
        <v>1503</v>
      </c>
      <c r="E295" s="213"/>
      <c r="F295" s="213"/>
      <c r="G295" s="34"/>
      <c r="H295" s="206" t="s">
        <v>608</v>
      </c>
      <c r="I295" s="207">
        <v>279.0</v>
      </c>
      <c r="J295" s="211" t="s">
        <v>1504</v>
      </c>
      <c r="K295" s="34"/>
      <c r="L295" s="34"/>
      <c r="M295" s="34"/>
      <c r="N295" s="34"/>
      <c r="O295" s="34"/>
      <c r="P295" s="34"/>
      <c r="Q295" s="34"/>
      <c r="R295" s="213"/>
      <c r="S295" s="213"/>
      <c r="T295" s="213"/>
    </row>
    <row r="296">
      <c r="A296" s="213"/>
      <c r="B296" s="213"/>
      <c r="C296" s="225" t="s">
        <v>1505</v>
      </c>
      <c r="D296" s="225" t="s">
        <v>49</v>
      </c>
      <c r="E296" s="213"/>
      <c r="F296" s="213"/>
      <c r="G296" s="34"/>
      <c r="H296" s="206" t="s">
        <v>457</v>
      </c>
      <c r="I296" s="207">
        <v>19.0</v>
      </c>
      <c r="J296" s="211" t="s">
        <v>1506</v>
      </c>
      <c r="K296" s="34"/>
      <c r="L296" s="34"/>
      <c r="M296" s="34"/>
      <c r="N296" s="34"/>
      <c r="O296" s="34"/>
      <c r="P296" s="34"/>
      <c r="Q296" s="34"/>
      <c r="R296" s="213"/>
      <c r="S296" s="213"/>
      <c r="T296" s="213"/>
    </row>
    <row r="297">
      <c r="A297" s="213"/>
      <c r="B297" s="213"/>
      <c r="C297" s="225" t="s">
        <v>1507</v>
      </c>
      <c r="D297" s="225" t="s">
        <v>1508</v>
      </c>
      <c r="E297" s="213"/>
      <c r="F297" s="213"/>
      <c r="G297" s="34"/>
      <c r="H297" s="206" t="s">
        <v>1132</v>
      </c>
      <c r="I297" s="207">
        <v>64.0</v>
      </c>
      <c r="J297" s="211" t="s">
        <v>1509</v>
      </c>
      <c r="K297" s="34"/>
      <c r="L297" s="34"/>
      <c r="M297" s="34"/>
      <c r="N297" s="34"/>
      <c r="O297" s="34"/>
      <c r="P297" s="34"/>
      <c r="Q297" s="34"/>
      <c r="R297" s="213"/>
      <c r="S297" s="213"/>
      <c r="T297" s="213"/>
    </row>
    <row r="298">
      <c r="A298" s="213"/>
      <c r="B298" s="213"/>
      <c r="C298" s="225" t="s">
        <v>1510</v>
      </c>
      <c r="D298" s="225" t="s">
        <v>49</v>
      </c>
      <c r="E298" s="213"/>
      <c r="F298" s="213"/>
      <c r="G298" s="34"/>
      <c r="H298" s="206" t="s">
        <v>993</v>
      </c>
      <c r="I298" s="207">
        <v>69.0</v>
      </c>
      <c r="J298" s="211" t="s">
        <v>1511</v>
      </c>
      <c r="K298" s="34"/>
      <c r="L298" s="34"/>
      <c r="M298" s="34"/>
      <c r="N298" s="34"/>
      <c r="O298" s="34"/>
      <c r="P298" s="34"/>
      <c r="Q298" s="34"/>
      <c r="R298" s="213"/>
      <c r="S298" s="213"/>
      <c r="T298" s="213"/>
    </row>
    <row r="299">
      <c r="A299" s="213"/>
      <c r="B299" s="213"/>
      <c r="C299" s="225" t="s">
        <v>1512</v>
      </c>
      <c r="D299" s="225" t="s">
        <v>49</v>
      </c>
      <c r="E299" s="213"/>
      <c r="F299" s="213"/>
      <c r="G299" s="34"/>
      <c r="H299" s="206" t="s">
        <v>752</v>
      </c>
      <c r="I299" s="207">
        <v>320.0</v>
      </c>
      <c r="J299" s="211" t="s">
        <v>1513</v>
      </c>
      <c r="K299" s="34"/>
      <c r="L299" s="34"/>
      <c r="M299" s="34"/>
      <c r="N299" s="34"/>
      <c r="O299" s="34"/>
      <c r="P299" s="34"/>
      <c r="Q299" s="34"/>
      <c r="R299" s="213"/>
      <c r="S299" s="213"/>
      <c r="T299" s="213"/>
    </row>
    <row r="300">
      <c r="A300" s="213"/>
      <c r="B300" s="213"/>
      <c r="C300" s="225" t="s">
        <v>1514</v>
      </c>
      <c r="D300" s="225" t="s">
        <v>49</v>
      </c>
      <c r="E300" s="213"/>
      <c r="F300" s="213"/>
      <c r="G300" s="34"/>
      <c r="H300" s="206" t="s">
        <v>1386</v>
      </c>
      <c r="I300" s="207">
        <v>130.0</v>
      </c>
      <c r="J300" s="211" t="s">
        <v>1515</v>
      </c>
      <c r="K300" s="34"/>
      <c r="L300" s="34"/>
      <c r="M300" s="34"/>
      <c r="N300" s="34"/>
      <c r="O300" s="34"/>
      <c r="P300" s="34"/>
      <c r="Q300" s="34"/>
      <c r="R300" s="213"/>
      <c r="S300" s="213"/>
      <c r="T300" s="213"/>
    </row>
    <row r="301">
      <c r="A301" s="213"/>
      <c r="B301" s="213"/>
      <c r="C301" s="225" t="s">
        <v>1516</v>
      </c>
      <c r="D301" s="225" t="s">
        <v>49</v>
      </c>
      <c r="E301" s="213"/>
      <c r="F301" s="213"/>
      <c r="G301" s="34"/>
      <c r="H301" s="206" t="s">
        <v>1517</v>
      </c>
      <c r="I301" s="207">
        <v>345.0</v>
      </c>
      <c r="J301" s="211" t="s">
        <v>1518</v>
      </c>
      <c r="K301" s="34"/>
      <c r="L301" s="34"/>
      <c r="M301" s="34"/>
      <c r="N301" s="34"/>
      <c r="O301" s="34"/>
      <c r="P301" s="34"/>
      <c r="Q301" s="34"/>
      <c r="R301" s="213"/>
      <c r="S301" s="213"/>
      <c r="T301" s="213"/>
    </row>
    <row r="302">
      <c r="A302" s="213"/>
      <c r="B302" s="213"/>
      <c r="C302" s="225" t="s">
        <v>1438</v>
      </c>
      <c r="D302" s="225" t="s">
        <v>49</v>
      </c>
      <c r="E302" s="213"/>
      <c r="F302" s="213"/>
      <c r="G302" s="34"/>
      <c r="H302" s="206" t="s">
        <v>1445</v>
      </c>
      <c r="I302" s="207">
        <v>166.0</v>
      </c>
      <c r="J302" s="211" t="s">
        <v>1519</v>
      </c>
      <c r="K302" s="34"/>
      <c r="L302" s="34"/>
      <c r="M302" s="34"/>
      <c r="N302" s="34"/>
      <c r="O302" s="34"/>
      <c r="P302" s="34"/>
      <c r="Q302" s="34"/>
      <c r="R302" s="213"/>
      <c r="S302" s="213"/>
      <c r="T302" s="213"/>
    </row>
    <row r="303">
      <c r="A303" s="213"/>
      <c r="B303" s="213"/>
      <c r="C303" s="225" t="s">
        <v>1520</v>
      </c>
      <c r="D303" s="225" t="s">
        <v>49</v>
      </c>
      <c r="E303" s="213"/>
      <c r="F303" s="213"/>
      <c r="G303" s="34"/>
      <c r="H303" s="206" t="s">
        <v>327</v>
      </c>
      <c r="I303" s="207">
        <v>236.0</v>
      </c>
      <c r="J303" s="211" t="s">
        <v>1521</v>
      </c>
      <c r="K303" s="34"/>
      <c r="L303" s="34"/>
      <c r="M303" s="34"/>
      <c r="N303" s="34"/>
      <c r="O303" s="34"/>
      <c r="P303" s="34"/>
      <c r="Q303" s="34"/>
      <c r="R303" s="213"/>
      <c r="S303" s="213"/>
      <c r="T303" s="213"/>
    </row>
    <row r="304">
      <c r="A304" s="213"/>
      <c r="B304" s="213"/>
      <c r="C304" s="225" t="s">
        <v>633</v>
      </c>
      <c r="D304" s="225" t="s">
        <v>1522</v>
      </c>
      <c r="E304" s="213"/>
      <c r="F304" s="213"/>
      <c r="G304" s="34"/>
      <c r="H304" s="206" t="s">
        <v>465</v>
      </c>
      <c r="I304" s="207">
        <v>49.0</v>
      </c>
      <c r="J304" s="211" t="s">
        <v>1523</v>
      </c>
      <c r="K304" s="34"/>
      <c r="L304" s="34"/>
      <c r="M304" s="34"/>
      <c r="N304" s="34"/>
      <c r="O304" s="34"/>
      <c r="P304" s="34"/>
      <c r="Q304" s="34"/>
      <c r="R304" s="213"/>
      <c r="S304" s="213"/>
      <c r="T304" s="213"/>
    </row>
    <row r="305">
      <c r="A305" s="213"/>
      <c r="B305" s="213"/>
      <c r="C305" s="225" t="s">
        <v>1246</v>
      </c>
      <c r="D305" s="225" t="s">
        <v>1524</v>
      </c>
      <c r="E305" s="213"/>
      <c r="F305" s="213"/>
      <c r="G305" s="34"/>
      <c r="H305" s="206" t="s">
        <v>1347</v>
      </c>
      <c r="I305" s="207">
        <v>437.0</v>
      </c>
      <c r="J305" s="211" t="s">
        <v>1525</v>
      </c>
      <c r="K305" s="34"/>
      <c r="L305" s="34"/>
      <c r="M305" s="34"/>
      <c r="N305" s="34"/>
      <c r="O305" s="34"/>
      <c r="P305" s="34"/>
      <c r="Q305" s="34"/>
      <c r="R305" s="213"/>
      <c r="S305" s="213"/>
      <c r="T305" s="213"/>
    </row>
    <row r="306">
      <c r="A306" s="213"/>
      <c r="B306" s="213"/>
      <c r="C306" s="225" t="s">
        <v>293</v>
      </c>
      <c r="D306" s="225" t="s">
        <v>1526</v>
      </c>
      <c r="E306" s="213"/>
      <c r="F306" s="213"/>
      <c r="G306" s="34"/>
      <c r="H306" s="206" t="s">
        <v>472</v>
      </c>
      <c r="I306" s="207">
        <v>126.0</v>
      </c>
      <c r="J306" s="211" t="s">
        <v>1527</v>
      </c>
      <c r="K306" s="34"/>
      <c r="L306" s="34"/>
      <c r="M306" s="34"/>
      <c r="N306" s="34"/>
      <c r="O306" s="34"/>
      <c r="P306" s="34"/>
      <c r="Q306" s="34"/>
      <c r="R306" s="213"/>
      <c r="S306" s="213"/>
      <c r="T306" s="213"/>
    </row>
    <row r="307">
      <c r="A307" s="213"/>
      <c r="B307" s="213"/>
      <c r="C307" s="225" t="s">
        <v>355</v>
      </c>
      <c r="D307" s="225" t="s">
        <v>1528</v>
      </c>
      <c r="E307" s="213"/>
      <c r="F307" s="213"/>
      <c r="G307" s="34"/>
      <c r="H307" s="206" t="s">
        <v>472</v>
      </c>
      <c r="I307" s="207">
        <v>541.0</v>
      </c>
      <c r="J307" s="211" t="s">
        <v>1529</v>
      </c>
      <c r="K307" s="34"/>
      <c r="L307" s="34"/>
      <c r="M307" s="34"/>
      <c r="N307" s="34"/>
      <c r="O307" s="34"/>
      <c r="P307" s="34"/>
      <c r="Q307" s="34"/>
      <c r="R307" s="213"/>
      <c r="S307" s="213"/>
      <c r="T307" s="213"/>
    </row>
    <row r="308">
      <c r="A308" s="213"/>
      <c r="B308" s="213"/>
      <c r="C308" s="225" t="s">
        <v>360</v>
      </c>
      <c r="D308" s="225" t="s">
        <v>1530</v>
      </c>
      <c r="E308" s="213"/>
      <c r="F308" s="213"/>
      <c r="G308" s="34"/>
      <c r="H308" s="206" t="s">
        <v>333</v>
      </c>
      <c r="I308" s="207">
        <v>237.0</v>
      </c>
      <c r="J308" s="211" t="s">
        <v>1531</v>
      </c>
      <c r="K308" s="34"/>
      <c r="L308" s="34"/>
      <c r="M308" s="34"/>
      <c r="N308" s="34"/>
      <c r="O308" s="34"/>
      <c r="P308" s="34"/>
      <c r="Q308" s="34"/>
      <c r="R308" s="213"/>
      <c r="S308" s="213"/>
      <c r="T308" s="213"/>
    </row>
    <row r="309">
      <c r="A309" s="213"/>
      <c r="B309" s="213"/>
      <c r="C309" s="225" t="s">
        <v>626</v>
      </c>
      <c r="D309" s="225" t="s">
        <v>1532</v>
      </c>
      <c r="E309" s="213"/>
      <c r="F309" s="213"/>
      <c r="G309" s="34"/>
      <c r="H309" s="206" t="s">
        <v>1497</v>
      </c>
      <c r="I309" s="207">
        <v>284.0</v>
      </c>
      <c r="J309" s="211" t="s">
        <v>1533</v>
      </c>
      <c r="K309" s="34"/>
      <c r="L309" s="34"/>
      <c r="M309" s="34"/>
      <c r="N309" s="34"/>
      <c r="O309" s="34"/>
      <c r="P309" s="34"/>
      <c r="Q309" s="34"/>
      <c r="R309" s="213"/>
      <c r="S309" s="213"/>
      <c r="T309" s="213"/>
    </row>
    <row r="310">
      <c r="A310" s="213"/>
      <c r="B310" s="213"/>
      <c r="C310" s="225" t="s">
        <v>635</v>
      </c>
      <c r="D310" s="225" t="s">
        <v>49</v>
      </c>
      <c r="E310" s="213"/>
      <c r="F310" s="213"/>
      <c r="G310" s="34"/>
      <c r="H310" s="206" t="s">
        <v>1415</v>
      </c>
      <c r="I310" s="207">
        <v>139.0</v>
      </c>
      <c r="J310" s="211" t="s">
        <v>1534</v>
      </c>
      <c r="K310" s="34"/>
      <c r="L310" s="34"/>
      <c r="M310" s="34"/>
      <c r="N310" s="34"/>
      <c r="O310" s="34"/>
      <c r="P310" s="34"/>
      <c r="Q310" s="34"/>
      <c r="R310" s="213"/>
      <c r="S310" s="213"/>
      <c r="T310" s="213"/>
    </row>
    <row r="311">
      <c r="A311" s="213"/>
      <c r="B311" s="213"/>
      <c r="C311" s="225" t="s">
        <v>738</v>
      </c>
      <c r="D311" s="225" t="s">
        <v>1535</v>
      </c>
      <c r="E311" s="213"/>
      <c r="F311" s="213"/>
      <c r="G311" s="34"/>
      <c r="H311" s="206" t="s">
        <v>1203</v>
      </c>
      <c r="I311" s="207">
        <v>84.0</v>
      </c>
      <c r="J311" s="211" t="s">
        <v>1536</v>
      </c>
      <c r="K311" s="34"/>
      <c r="L311" s="34"/>
      <c r="M311" s="34"/>
      <c r="N311" s="34"/>
      <c r="O311" s="34"/>
      <c r="P311" s="34"/>
      <c r="Q311" s="34"/>
      <c r="R311" s="213"/>
      <c r="S311" s="213"/>
      <c r="T311" s="213"/>
    </row>
    <row r="312">
      <c r="A312" s="213"/>
      <c r="B312" s="213"/>
      <c r="C312" s="225" t="s">
        <v>869</v>
      </c>
      <c r="D312" s="225" t="s">
        <v>1537</v>
      </c>
      <c r="E312" s="213"/>
      <c r="F312" s="213"/>
      <c r="G312" s="34"/>
      <c r="H312" s="206" t="s">
        <v>1353</v>
      </c>
      <c r="I312" s="207">
        <v>438.0</v>
      </c>
      <c r="J312" s="211" t="s">
        <v>1538</v>
      </c>
      <c r="K312" s="34"/>
      <c r="L312" s="34"/>
      <c r="M312" s="34"/>
      <c r="N312" s="34"/>
      <c r="O312" s="34"/>
      <c r="P312" s="34"/>
      <c r="Q312" s="34"/>
      <c r="R312" s="213"/>
      <c r="S312" s="213"/>
      <c r="T312" s="213"/>
    </row>
    <row r="313">
      <c r="A313" s="213"/>
      <c r="B313" s="213"/>
      <c r="C313" s="225" t="s">
        <v>890</v>
      </c>
      <c r="D313" s="225" t="s">
        <v>1539</v>
      </c>
      <c r="E313" s="213"/>
      <c r="F313" s="213"/>
      <c r="G313" s="34"/>
      <c r="H313" s="206" t="s">
        <v>1356</v>
      </c>
      <c r="I313" s="207">
        <v>439.0</v>
      </c>
      <c r="J313" s="211" t="s">
        <v>1540</v>
      </c>
      <c r="K313" s="34"/>
      <c r="L313" s="34"/>
      <c r="M313" s="34"/>
      <c r="N313" s="34"/>
      <c r="O313" s="34"/>
      <c r="P313" s="34"/>
      <c r="Q313" s="34"/>
      <c r="R313" s="213"/>
      <c r="S313" s="213"/>
      <c r="T313" s="213"/>
    </row>
    <row r="314">
      <c r="A314" s="213"/>
      <c r="B314" s="213"/>
      <c r="C314" s="225" t="s">
        <v>1517</v>
      </c>
      <c r="D314" s="225" t="s">
        <v>49</v>
      </c>
      <c r="E314" s="213"/>
      <c r="F314" s="213"/>
      <c r="G314" s="34"/>
      <c r="H314" s="206" t="s">
        <v>339</v>
      </c>
      <c r="I314" s="207">
        <v>238.0</v>
      </c>
      <c r="J314" s="211" t="s">
        <v>1541</v>
      </c>
      <c r="K314" s="34"/>
      <c r="L314" s="34"/>
      <c r="M314" s="34"/>
      <c r="N314" s="34"/>
      <c r="O314" s="34"/>
      <c r="P314" s="34"/>
      <c r="Q314" s="34"/>
      <c r="R314" s="213"/>
      <c r="S314" s="213"/>
      <c r="T314" s="213"/>
    </row>
    <row r="315">
      <c r="A315" s="213"/>
      <c r="B315" s="213"/>
      <c r="C315" s="225" t="s">
        <v>986</v>
      </c>
      <c r="D315" s="225" t="s">
        <v>1542</v>
      </c>
      <c r="E315" s="213"/>
      <c r="F315" s="213"/>
      <c r="G315" s="34"/>
      <c r="H315" s="206" t="s">
        <v>758</v>
      </c>
      <c r="I315" s="207">
        <v>321.0</v>
      </c>
      <c r="J315" s="211" t="s">
        <v>1543</v>
      </c>
      <c r="K315" s="34"/>
      <c r="L315" s="34"/>
      <c r="M315" s="34"/>
      <c r="N315" s="34"/>
      <c r="O315" s="34"/>
      <c r="P315" s="34"/>
      <c r="Q315" s="34"/>
      <c r="R315" s="213"/>
      <c r="S315" s="213"/>
      <c r="T315" s="213"/>
    </row>
    <row r="316">
      <c r="A316" s="213"/>
      <c r="B316" s="213"/>
      <c r="C316" s="225" t="s">
        <v>1544</v>
      </c>
      <c r="D316" s="225" t="s">
        <v>49</v>
      </c>
      <c r="E316" s="213"/>
      <c r="F316" s="213"/>
      <c r="G316" s="34"/>
      <c r="H316" s="206" t="s">
        <v>479</v>
      </c>
      <c r="I316" s="207">
        <v>10.0</v>
      </c>
      <c r="J316" s="211" t="s">
        <v>1545</v>
      </c>
      <c r="K316" s="34"/>
      <c r="L316" s="34"/>
      <c r="M316" s="34"/>
      <c r="N316" s="34"/>
      <c r="O316" s="34"/>
      <c r="P316" s="34"/>
      <c r="Q316" s="34"/>
      <c r="R316" s="213"/>
      <c r="S316" s="213"/>
      <c r="T316" s="213"/>
    </row>
    <row r="317">
      <c r="A317" s="213"/>
      <c r="B317" s="213"/>
      <c r="C317" s="225" t="s">
        <v>1546</v>
      </c>
      <c r="D317" s="225" t="s">
        <v>1547</v>
      </c>
      <c r="E317" s="213"/>
      <c r="F317" s="213"/>
      <c r="G317" s="34"/>
      <c r="H317" s="206" t="s">
        <v>1137</v>
      </c>
      <c r="I317" s="207">
        <v>428.0</v>
      </c>
      <c r="J317" s="211" t="s">
        <v>1548</v>
      </c>
      <c r="K317" s="34"/>
      <c r="L317" s="34"/>
      <c r="M317" s="34"/>
      <c r="N317" s="34"/>
      <c r="O317" s="34"/>
      <c r="P317" s="34"/>
      <c r="Q317" s="34"/>
      <c r="R317" s="213"/>
      <c r="S317" s="213"/>
      <c r="T317" s="213"/>
    </row>
    <row r="318">
      <c r="A318" s="213"/>
      <c r="B318" s="213"/>
      <c r="C318" s="225" t="s">
        <v>996</v>
      </c>
      <c r="D318" s="225" t="s">
        <v>49</v>
      </c>
      <c r="E318" s="213"/>
      <c r="F318" s="213"/>
      <c r="G318" s="34"/>
      <c r="H318" s="206" t="s">
        <v>871</v>
      </c>
      <c r="I318" s="207">
        <v>221.0</v>
      </c>
      <c r="J318" s="211" t="s">
        <v>1549</v>
      </c>
      <c r="K318" s="34"/>
      <c r="L318" s="34"/>
      <c r="M318" s="34"/>
      <c r="N318" s="34"/>
      <c r="O318" s="34"/>
      <c r="P318" s="34"/>
      <c r="Q318" s="34"/>
      <c r="R318" s="213"/>
      <c r="S318" s="213"/>
      <c r="T318" s="213"/>
    </row>
    <row r="319">
      <c r="A319" s="213"/>
      <c r="B319" s="213"/>
      <c r="C319" s="225" t="s">
        <v>1178</v>
      </c>
      <c r="D319" s="225" t="s">
        <v>49</v>
      </c>
      <c r="E319" s="213"/>
      <c r="F319" s="213"/>
      <c r="G319" s="34"/>
      <c r="H319" s="206" t="s">
        <v>346</v>
      </c>
      <c r="I319" s="207">
        <v>239.0</v>
      </c>
      <c r="J319" s="211" t="s">
        <v>1550</v>
      </c>
      <c r="K319" s="34"/>
      <c r="L319" s="34"/>
      <c r="M319" s="34"/>
      <c r="N319" s="34"/>
      <c r="O319" s="34"/>
      <c r="P319" s="34"/>
      <c r="Q319" s="34"/>
      <c r="R319" s="213"/>
      <c r="S319" s="213"/>
      <c r="T319" s="213"/>
    </row>
    <row r="320">
      <c r="A320" s="213"/>
      <c r="B320" s="213"/>
      <c r="C320" s="225" t="s">
        <v>275</v>
      </c>
      <c r="D320" s="225" t="s">
        <v>49</v>
      </c>
      <c r="E320" s="213"/>
      <c r="F320" s="213"/>
      <c r="G320" s="34"/>
      <c r="H320" s="206" t="s">
        <v>1281</v>
      </c>
      <c r="I320" s="207">
        <v>111.0</v>
      </c>
      <c r="J320" s="211" t="s">
        <v>1551</v>
      </c>
      <c r="K320" s="34"/>
      <c r="L320" s="34"/>
      <c r="M320" s="34"/>
      <c r="N320" s="34"/>
      <c r="O320" s="34"/>
      <c r="P320" s="34"/>
      <c r="Q320" s="34"/>
      <c r="R320" s="213"/>
      <c r="S320" s="213"/>
      <c r="T320" s="213"/>
    </row>
    <row r="321">
      <c r="A321" s="213"/>
      <c r="B321" s="213"/>
      <c r="C321" s="225" t="s">
        <v>283</v>
      </c>
      <c r="D321" s="225" t="s">
        <v>49</v>
      </c>
      <c r="E321" s="213"/>
      <c r="F321" s="213"/>
      <c r="G321" s="34"/>
      <c r="H321" s="206" t="s">
        <v>459</v>
      </c>
      <c r="I321" s="207">
        <v>266.0</v>
      </c>
      <c r="J321" s="211" t="s">
        <v>1552</v>
      </c>
      <c r="K321" s="34"/>
      <c r="L321" s="34"/>
      <c r="M321" s="34"/>
      <c r="N321" s="34"/>
      <c r="O321" s="34"/>
      <c r="P321" s="34"/>
      <c r="Q321" s="34"/>
      <c r="R321" s="213"/>
      <c r="S321" s="213"/>
      <c r="T321" s="213"/>
    </row>
    <row r="322">
      <c r="A322" s="213"/>
      <c r="B322" s="213"/>
      <c r="C322" s="225" t="s">
        <v>321</v>
      </c>
      <c r="D322" s="225" t="s">
        <v>49</v>
      </c>
      <c r="E322" s="213"/>
      <c r="F322" s="213"/>
      <c r="G322" s="34"/>
      <c r="H322" s="206" t="s">
        <v>466</v>
      </c>
      <c r="I322" s="207">
        <v>267.0</v>
      </c>
      <c r="J322" s="211" t="s">
        <v>1553</v>
      </c>
      <c r="K322" s="34"/>
      <c r="L322" s="34"/>
      <c r="M322" s="34"/>
      <c r="N322" s="34"/>
      <c r="O322" s="34"/>
      <c r="P322" s="34"/>
      <c r="Q322" s="34"/>
      <c r="R322" s="213"/>
      <c r="S322" s="213"/>
      <c r="T322" s="213"/>
    </row>
    <row r="323">
      <c r="A323" s="213"/>
      <c r="B323" s="213"/>
      <c r="C323" s="225" t="s">
        <v>516</v>
      </c>
      <c r="D323" s="225" t="s">
        <v>49</v>
      </c>
      <c r="E323" s="213"/>
      <c r="F323" s="213"/>
      <c r="G323" s="34"/>
      <c r="H323" s="206" t="s">
        <v>986</v>
      </c>
      <c r="I323" s="207">
        <v>346.0</v>
      </c>
      <c r="J323" s="211" t="s">
        <v>1554</v>
      </c>
      <c r="K323" s="34"/>
      <c r="L323" s="34"/>
      <c r="M323" s="34"/>
      <c r="N323" s="34"/>
      <c r="O323" s="34"/>
      <c r="P323" s="34"/>
      <c r="Q323" s="34"/>
      <c r="R323" s="213"/>
      <c r="S323" s="213"/>
      <c r="T323" s="213"/>
    </row>
    <row r="324">
      <c r="A324" s="213"/>
      <c r="B324" s="213"/>
      <c r="C324" s="225" t="s">
        <v>569</v>
      </c>
      <c r="D324" s="225" t="s">
        <v>49</v>
      </c>
      <c r="E324" s="213"/>
      <c r="F324" s="213"/>
      <c r="G324" s="34"/>
      <c r="H324" s="206" t="s">
        <v>1544</v>
      </c>
      <c r="I324" s="207">
        <v>347.0</v>
      </c>
      <c r="J324" s="211" t="s">
        <v>1555</v>
      </c>
      <c r="K324" s="34"/>
      <c r="L324" s="34"/>
      <c r="M324" s="34"/>
      <c r="N324" s="34"/>
      <c r="O324" s="34"/>
      <c r="P324" s="34"/>
      <c r="Q324" s="34"/>
      <c r="R324" s="213"/>
      <c r="S324" s="213"/>
      <c r="T324" s="213"/>
    </row>
    <row r="325">
      <c r="A325" s="213"/>
      <c r="B325" s="213"/>
      <c r="C325" s="225" t="s">
        <v>936</v>
      </c>
      <c r="D325" s="225" t="s">
        <v>49</v>
      </c>
      <c r="E325" s="213"/>
      <c r="F325" s="213"/>
      <c r="G325" s="34"/>
      <c r="H325" s="206" t="s">
        <v>1141</v>
      </c>
      <c r="I325" s="207">
        <v>65.0</v>
      </c>
      <c r="J325" s="211" t="s">
        <v>1556</v>
      </c>
      <c r="K325" s="34"/>
      <c r="L325" s="34"/>
      <c r="M325" s="34"/>
      <c r="N325" s="34"/>
      <c r="O325" s="34"/>
      <c r="P325" s="34"/>
      <c r="Q325" s="34"/>
      <c r="R325" s="213"/>
      <c r="S325" s="213"/>
      <c r="T325" s="213"/>
    </row>
    <row r="326">
      <c r="A326" s="213"/>
      <c r="B326" s="213"/>
      <c r="C326" s="225" t="s">
        <v>1172</v>
      </c>
      <c r="D326" s="225" t="s">
        <v>49</v>
      </c>
      <c r="E326" s="213"/>
      <c r="F326" s="213"/>
      <c r="G326" s="34"/>
      <c r="H326" s="206" t="s">
        <v>486</v>
      </c>
      <c r="I326" s="207">
        <v>24.0</v>
      </c>
      <c r="J326" s="211" t="s">
        <v>1557</v>
      </c>
      <c r="K326" s="34"/>
      <c r="L326" s="34"/>
      <c r="M326" s="34"/>
      <c r="N326" s="34"/>
      <c r="O326" s="34"/>
      <c r="P326" s="34"/>
      <c r="Q326" s="34"/>
      <c r="R326" s="213"/>
      <c r="S326" s="213"/>
      <c r="T326" s="213"/>
    </row>
    <row r="327">
      <c r="A327" s="213"/>
      <c r="B327" s="213"/>
      <c r="C327" s="225" t="s">
        <v>1242</v>
      </c>
      <c r="D327" s="225" t="s">
        <v>49</v>
      </c>
      <c r="E327" s="213"/>
      <c r="F327" s="213"/>
      <c r="G327" s="34"/>
      <c r="H327" s="206" t="s">
        <v>1546</v>
      </c>
      <c r="I327" s="207">
        <v>338.0</v>
      </c>
      <c r="J327" s="211" t="s">
        <v>1558</v>
      </c>
      <c r="K327" s="34"/>
      <c r="L327" s="34"/>
      <c r="M327" s="34"/>
      <c r="N327" s="34"/>
      <c r="O327" s="34"/>
      <c r="P327" s="34"/>
      <c r="Q327" s="34"/>
      <c r="R327" s="213"/>
      <c r="S327" s="213"/>
      <c r="T327" s="213"/>
    </row>
    <row r="328">
      <c r="A328" s="213"/>
      <c r="B328" s="213"/>
      <c r="C328" s="225" t="s">
        <v>1383</v>
      </c>
      <c r="D328" s="225" t="s">
        <v>49</v>
      </c>
      <c r="E328" s="213"/>
      <c r="F328" s="213"/>
      <c r="G328" s="34"/>
      <c r="H328" s="206" t="s">
        <v>1047</v>
      </c>
      <c r="I328" s="207">
        <v>205.0</v>
      </c>
      <c r="J328" s="211" t="s">
        <v>1559</v>
      </c>
      <c r="K328" s="34"/>
      <c r="L328" s="34"/>
      <c r="M328" s="34"/>
      <c r="N328" s="34"/>
      <c r="O328" s="34"/>
      <c r="P328" s="34"/>
      <c r="Q328" s="34"/>
      <c r="R328" s="213"/>
      <c r="S328" s="213"/>
      <c r="T328" s="213"/>
    </row>
    <row r="329">
      <c r="A329" s="213"/>
      <c r="B329" s="213"/>
      <c r="C329" s="225" t="s">
        <v>1409</v>
      </c>
      <c r="D329" s="225" t="s">
        <v>49</v>
      </c>
      <c r="E329" s="213"/>
      <c r="F329" s="213"/>
      <c r="G329" s="34"/>
      <c r="H329" s="206" t="s">
        <v>875</v>
      </c>
      <c r="I329" s="207">
        <v>222.0</v>
      </c>
      <c r="J329" s="211" t="s">
        <v>1560</v>
      </c>
      <c r="K329" s="34"/>
      <c r="L329" s="34"/>
      <c r="M329" s="34"/>
      <c r="N329" s="34"/>
      <c r="O329" s="34"/>
      <c r="P329" s="34"/>
      <c r="Q329" s="34"/>
      <c r="R329" s="213"/>
      <c r="S329" s="213"/>
      <c r="T329" s="213"/>
    </row>
    <row r="330">
      <c r="A330" s="213"/>
      <c r="B330" s="213"/>
      <c r="C330" s="225" t="s">
        <v>1412</v>
      </c>
      <c r="D330" s="225" t="s">
        <v>49</v>
      </c>
      <c r="E330" s="213"/>
      <c r="F330" s="213"/>
      <c r="G330" s="34"/>
      <c r="H330" s="206" t="s">
        <v>996</v>
      </c>
      <c r="I330" s="207">
        <v>348.0</v>
      </c>
      <c r="J330" s="211" t="s">
        <v>1561</v>
      </c>
      <c r="K330" s="34"/>
      <c r="L330" s="34"/>
      <c r="M330" s="34"/>
      <c r="N330" s="34"/>
      <c r="O330" s="34"/>
      <c r="P330" s="34"/>
      <c r="Q330" s="34"/>
      <c r="R330" s="213"/>
      <c r="S330" s="213"/>
      <c r="T330" s="213"/>
    </row>
    <row r="331">
      <c r="A331" s="213"/>
      <c r="B331" s="213"/>
      <c r="C331" s="225" t="s">
        <v>1478</v>
      </c>
      <c r="D331" s="225" t="s">
        <v>49</v>
      </c>
      <c r="E331" s="213"/>
      <c r="F331" s="213"/>
      <c r="G331" s="34"/>
      <c r="H331" s="206" t="s">
        <v>1449</v>
      </c>
      <c r="I331" s="207">
        <v>167.0</v>
      </c>
      <c r="J331" s="211" t="s">
        <v>1562</v>
      </c>
      <c r="K331" s="34"/>
      <c r="L331" s="34"/>
      <c r="M331" s="34"/>
      <c r="N331" s="34"/>
      <c r="O331" s="34"/>
      <c r="P331" s="34"/>
      <c r="Q331" s="34"/>
      <c r="R331" s="213"/>
      <c r="S331" s="213"/>
      <c r="T331" s="213"/>
    </row>
    <row r="332">
      <c r="A332" s="213"/>
      <c r="B332" s="213"/>
      <c r="C332" s="225" t="s">
        <v>1480</v>
      </c>
      <c r="D332" s="225" t="s">
        <v>49</v>
      </c>
      <c r="E332" s="213"/>
      <c r="F332" s="213"/>
      <c r="G332" s="34"/>
      <c r="H332" s="206" t="s">
        <v>493</v>
      </c>
      <c r="I332" s="207">
        <v>13.0</v>
      </c>
      <c r="J332" s="211" t="s">
        <v>1563</v>
      </c>
      <c r="K332" s="34"/>
      <c r="L332" s="34"/>
      <c r="M332" s="34"/>
      <c r="N332" s="34"/>
      <c r="O332" s="34"/>
      <c r="P332" s="34"/>
      <c r="Q332" s="34"/>
      <c r="R332" s="213"/>
      <c r="S332" s="213"/>
      <c r="T332" s="213"/>
    </row>
    <row r="333">
      <c r="A333" s="213"/>
      <c r="B333" s="213"/>
      <c r="C333" s="225" t="s">
        <v>1498</v>
      </c>
      <c r="D333" s="225" t="s">
        <v>49</v>
      </c>
      <c r="E333" s="213"/>
      <c r="F333" s="213"/>
      <c r="G333" s="34"/>
      <c r="H333" s="206" t="s">
        <v>881</v>
      </c>
      <c r="I333" s="207">
        <v>220.0</v>
      </c>
      <c r="J333" s="211" t="s">
        <v>1564</v>
      </c>
      <c r="K333" s="34"/>
      <c r="L333" s="34"/>
      <c r="M333" s="34"/>
      <c r="N333" s="34"/>
      <c r="O333" s="34"/>
      <c r="P333" s="34"/>
      <c r="Q333" s="34"/>
      <c r="R333" s="213"/>
      <c r="S333" s="213"/>
      <c r="T333" s="213"/>
    </row>
    <row r="334">
      <c r="A334" s="213"/>
      <c r="B334" s="213"/>
      <c r="C334" s="225" t="s">
        <v>1565</v>
      </c>
      <c r="D334" s="225" t="s">
        <v>49</v>
      </c>
      <c r="E334" s="213"/>
      <c r="F334" s="213"/>
      <c r="G334" s="34"/>
      <c r="H334" s="206" t="s">
        <v>500</v>
      </c>
      <c r="I334" s="207">
        <v>190.0</v>
      </c>
      <c r="J334" s="211" t="s">
        <v>1566</v>
      </c>
      <c r="K334" s="34"/>
      <c r="L334" s="34"/>
      <c r="M334" s="34"/>
      <c r="N334" s="34"/>
      <c r="O334" s="34"/>
      <c r="P334" s="34"/>
      <c r="Q334" s="34"/>
      <c r="R334" s="213"/>
      <c r="S334" s="213"/>
      <c r="T334" s="213"/>
    </row>
    <row r="335">
      <c r="A335" s="213"/>
      <c r="B335" s="213"/>
      <c r="C335" s="225" t="s">
        <v>1567</v>
      </c>
      <c r="D335" s="225" t="s">
        <v>49</v>
      </c>
      <c r="E335" s="213"/>
      <c r="F335" s="213"/>
      <c r="G335" s="34"/>
      <c r="H335" s="206" t="s">
        <v>887</v>
      </c>
      <c r="I335" s="207">
        <v>223.0</v>
      </c>
      <c r="J335" s="211" t="s">
        <v>1568</v>
      </c>
      <c r="K335" s="34"/>
      <c r="L335" s="34"/>
      <c r="M335" s="34"/>
      <c r="N335" s="34"/>
      <c r="O335" s="34"/>
      <c r="P335" s="34"/>
      <c r="Q335" s="34"/>
      <c r="R335" s="213"/>
      <c r="S335" s="213"/>
      <c r="T335" s="213"/>
    </row>
    <row r="336">
      <c r="A336" s="213"/>
      <c r="B336" s="213"/>
      <c r="C336" s="225" t="s">
        <v>1569</v>
      </c>
      <c r="D336" s="225" t="s">
        <v>49</v>
      </c>
      <c r="E336" s="213"/>
      <c r="F336" s="213"/>
      <c r="G336" s="34"/>
      <c r="H336" s="206" t="s">
        <v>913</v>
      </c>
      <c r="I336" s="207">
        <v>227.0</v>
      </c>
      <c r="J336" s="211" t="s">
        <v>1570</v>
      </c>
      <c r="K336" s="34"/>
      <c r="L336" s="34"/>
      <c r="M336" s="34"/>
      <c r="N336" s="34"/>
      <c r="O336" s="34"/>
      <c r="P336" s="34"/>
      <c r="Q336" s="34"/>
      <c r="R336" s="213"/>
      <c r="S336" s="213"/>
      <c r="T336" s="213"/>
    </row>
    <row r="337">
      <c r="A337" s="213"/>
      <c r="B337" s="213"/>
      <c r="C337" s="225" t="s">
        <v>1571</v>
      </c>
      <c r="D337" s="225" t="s">
        <v>49</v>
      </c>
      <c r="E337" s="213"/>
      <c r="F337" s="213"/>
      <c r="G337" s="34"/>
      <c r="H337" s="206" t="s">
        <v>1572</v>
      </c>
      <c r="I337" s="207">
        <v>549.0</v>
      </c>
      <c r="J337" s="211" t="s">
        <v>1573</v>
      </c>
      <c r="K337" s="34"/>
      <c r="L337" s="34"/>
      <c r="M337" s="34"/>
      <c r="N337" s="34"/>
      <c r="O337" s="34"/>
      <c r="P337" s="34"/>
      <c r="Q337" s="34"/>
      <c r="R337" s="213"/>
      <c r="S337" s="213"/>
      <c r="T337" s="213"/>
    </row>
    <row r="338">
      <c r="A338" s="213"/>
      <c r="B338" s="213"/>
      <c r="C338" s="225" t="s">
        <v>1076</v>
      </c>
      <c r="D338" s="225" t="s">
        <v>49</v>
      </c>
      <c r="E338" s="213"/>
      <c r="F338" s="213"/>
      <c r="G338" s="34"/>
      <c r="H338" s="206" t="s">
        <v>1360</v>
      </c>
      <c r="I338" s="207">
        <v>127.0</v>
      </c>
      <c r="J338" s="211" t="s">
        <v>1574</v>
      </c>
      <c r="K338" s="34"/>
      <c r="L338" s="34"/>
      <c r="M338" s="34"/>
      <c r="N338" s="34"/>
      <c r="O338" s="34"/>
      <c r="P338" s="34"/>
      <c r="Q338" s="34"/>
      <c r="R338" s="213"/>
      <c r="S338" s="213"/>
      <c r="T338" s="213"/>
    </row>
    <row r="339">
      <c r="A339" s="213"/>
      <c r="B339" s="213"/>
      <c r="C339" s="225" t="s">
        <v>1572</v>
      </c>
      <c r="D339" s="225" t="s">
        <v>49</v>
      </c>
      <c r="E339" s="213"/>
      <c r="F339" s="213"/>
      <c r="G339" s="34"/>
      <c r="H339" s="206" t="s">
        <v>507</v>
      </c>
      <c r="I339" s="207">
        <v>11.0</v>
      </c>
      <c r="J339" s="211" t="s">
        <v>1575</v>
      </c>
      <c r="K339" s="34"/>
      <c r="L339" s="34"/>
      <c r="M339" s="34"/>
      <c r="N339" s="34"/>
      <c r="O339" s="34"/>
      <c r="P339" s="34"/>
      <c r="Q339" s="34"/>
      <c r="R339" s="213"/>
      <c r="S339" s="213"/>
      <c r="T339" s="213"/>
    </row>
    <row r="340">
      <c r="A340" s="213"/>
      <c r="B340" s="213"/>
      <c r="C340" s="225" t="s">
        <v>1576</v>
      </c>
      <c r="D340" s="225" t="s">
        <v>49</v>
      </c>
      <c r="E340" s="213"/>
      <c r="F340" s="213"/>
      <c r="G340" s="34"/>
      <c r="H340" s="206" t="s">
        <v>473</v>
      </c>
      <c r="I340" s="207">
        <v>268.0</v>
      </c>
      <c r="J340" s="211" t="s">
        <v>1577</v>
      </c>
      <c r="K340" s="34"/>
      <c r="L340" s="34"/>
      <c r="M340" s="34"/>
      <c r="N340" s="34"/>
      <c r="O340" s="34"/>
      <c r="P340" s="34"/>
      <c r="Q340" s="34"/>
      <c r="R340" s="213"/>
      <c r="S340" s="213"/>
      <c r="T340" s="213"/>
    </row>
    <row r="341">
      <c r="A341" s="213"/>
      <c r="B341" s="213"/>
      <c r="C341" s="225" t="s">
        <v>1578</v>
      </c>
      <c r="D341" s="225" t="s">
        <v>49</v>
      </c>
      <c r="E341" s="213"/>
      <c r="F341" s="213"/>
      <c r="G341" s="34"/>
      <c r="H341" s="206" t="s">
        <v>481</v>
      </c>
      <c r="I341" s="207">
        <v>269.0</v>
      </c>
      <c r="J341" s="211" t="s">
        <v>1579</v>
      </c>
      <c r="K341" s="34"/>
      <c r="L341" s="34"/>
      <c r="M341" s="34"/>
      <c r="N341" s="34"/>
      <c r="O341" s="34"/>
      <c r="P341" s="34"/>
      <c r="Q341" s="34"/>
      <c r="R341" s="213"/>
      <c r="S341" s="213"/>
      <c r="T341" s="213"/>
    </row>
    <row r="342">
      <c r="A342" s="213"/>
      <c r="B342" s="213"/>
      <c r="C342" s="225" t="s">
        <v>1580</v>
      </c>
      <c r="D342" s="225" t="s">
        <v>49</v>
      </c>
      <c r="E342" s="213"/>
      <c r="F342" s="213"/>
      <c r="G342" s="34"/>
      <c r="H342" s="206" t="s">
        <v>1365</v>
      </c>
      <c r="I342" s="207">
        <v>128.0</v>
      </c>
      <c r="J342" s="211" t="s">
        <v>1581</v>
      </c>
      <c r="K342" s="34"/>
      <c r="L342" s="34"/>
      <c r="M342" s="34"/>
      <c r="N342" s="34"/>
      <c r="O342" s="34"/>
      <c r="P342" s="34"/>
      <c r="Q342" s="34"/>
      <c r="R342" s="213"/>
      <c r="S342" s="213"/>
      <c r="T342" s="213"/>
    </row>
    <row r="343">
      <c r="A343" s="213"/>
      <c r="B343" s="213"/>
      <c r="C343" s="225" t="s">
        <v>1582</v>
      </c>
      <c r="D343" s="225" t="s">
        <v>49</v>
      </c>
      <c r="E343" s="213"/>
      <c r="F343" s="213"/>
      <c r="G343" s="34"/>
      <c r="H343" s="206" t="s">
        <v>578</v>
      </c>
      <c r="I343" s="207">
        <v>253.0</v>
      </c>
      <c r="J343" s="211" t="s">
        <v>1583</v>
      </c>
      <c r="K343" s="34"/>
      <c r="L343" s="34"/>
      <c r="M343" s="34"/>
      <c r="N343" s="34"/>
      <c r="O343" s="34"/>
      <c r="P343" s="34"/>
      <c r="Q343" s="34"/>
      <c r="R343" s="213"/>
      <c r="S343" s="213"/>
      <c r="T343" s="213"/>
    </row>
    <row r="344">
      <c r="A344" s="213"/>
      <c r="B344" s="213"/>
      <c r="C344" s="225" t="s">
        <v>558</v>
      </c>
      <c r="D344" s="225" t="s">
        <v>49</v>
      </c>
      <c r="E344" s="213"/>
      <c r="F344" s="213"/>
      <c r="G344" s="34"/>
      <c r="H344" s="206" t="s">
        <v>488</v>
      </c>
      <c r="I344" s="207">
        <v>270.0</v>
      </c>
      <c r="J344" s="211" t="s">
        <v>1584</v>
      </c>
      <c r="K344" s="34"/>
      <c r="L344" s="34"/>
      <c r="M344" s="34"/>
      <c r="N344" s="34"/>
      <c r="O344" s="34"/>
      <c r="P344" s="34"/>
      <c r="Q344" s="34"/>
      <c r="R344" s="213"/>
      <c r="S344" s="213"/>
      <c r="T344" s="213"/>
    </row>
    <row r="345">
      <c r="A345" s="213"/>
      <c r="B345" s="213"/>
      <c r="C345" s="225" t="s">
        <v>650</v>
      </c>
      <c r="D345" s="225" t="s">
        <v>49</v>
      </c>
      <c r="E345" s="213"/>
      <c r="F345" s="213"/>
      <c r="G345" s="34"/>
      <c r="H345" s="206" t="s">
        <v>763</v>
      </c>
      <c r="I345" s="207">
        <v>322.0</v>
      </c>
      <c r="J345" s="211" t="s">
        <v>1585</v>
      </c>
      <c r="K345" s="34"/>
      <c r="L345" s="34"/>
      <c r="M345" s="34"/>
      <c r="N345" s="34"/>
      <c r="O345" s="34"/>
      <c r="P345" s="34"/>
      <c r="Q345" s="34"/>
      <c r="R345" s="213"/>
      <c r="S345" s="213"/>
      <c r="T345" s="213"/>
    </row>
    <row r="346">
      <c r="A346" s="213"/>
      <c r="B346" s="213"/>
      <c r="C346" s="225" t="s">
        <v>1181</v>
      </c>
      <c r="D346" s="225" t="s">
        <v>49</v>
      </c>
      <c r="E346" s="213"/>
      <c r="F346" s="213"/>
      <c r="G346" s="34"/>
      <c r="H346" s="206" t="s">
        <v>1586</v>
      </c>
      <c r="I346" s="207">
        <v>587.0</v>
      </c>
      <c r="J346" s="211" t="s">
        <v>1587</v>
      </c>
      <c r="K346" s="34"/>
      <c r="L346" s="34"/>
      <c r="M346" s="34"/>
      <c r="N346" s="34"/>
      <c r="O346" s="34"/>
      <c r="P346" s="34"/>
      <c r="Q346" s="34"/>
      <c r="R346" s="213"/>
      <c r="S346" s="213"/>
      <c r="T346" s="213"/>
    </row>
    <row r="347">
      <c r="A347" s="213"/>
      <c r="B347" s="213"/>
      <c r="C347" s="225" t="s">
        <v>1186</v>
      </c>
      <c r="D347" s="225" t="s">
        <v>49</v>
      </c>
      <c r="E347" s="213"/>
      <c r="F347" s="213"/>
      <c r="G347" s="34"/>
      <c r="H347" s="206" t="s">
        <v>769</v>
      </c>
      <c r="I347" s="207">
        <v>323.0</v>
      </c>
      <c r="J347" s="211" t="s">
        <v>1588</v>
      </c>
      <c r="K347" s="34"/>
      <c r="L347" s="34"/>
      <c r="M347" s="34"/>
      <c r="N347" s="34"/>
      <c r="O347" s="34"/>
      <c r="P347" s="34"/>
      <c r="Q347" s="34"/>
      <c r="R347" s="213"/>
      <c r="S347" s="213"/>
      <c r="T347" s="213"/>
    </row>
    <row r="348">
      <c r="A348" s="213"/>
      <c r="B348" s="213"/>
      <c r="C348" s="225" t="s">
        <v>1468</v>
      </c>
      <c r="D348" s="225" t="s">
        <v>49</v>
      </c>
      <c r="E348" s="213"/>
      <c r="F348" s="213"/>
      <c r="G348" s="34"/>
      <c r="H348" s="206" t="s">
        <v>1589</v>
      </c>
      <c r="I348" s="207">
        <v>577.0</v>
      </c>
      <c r="J348" s="211" t="s">
        <v>1590</v>
      </c>
      <c r="K348" s="34"/>
      <c r="L348" s="34"/>
      <c r="M348" s="34"/>
      <c r="N348" s="34"/>
      <c r="O348" s="34"/>
      <c r="P348" s="34"/>
      <c r="Q348" s="34"/>
      <c r="R348" s="213"/>
      <c r="S348" s="213"/>
      <c r="T348" s="213"/>
    </row>
    <row r="349">
      <c r="A349" s="213"/>
      <c r="B349" s="213"/>
      <c r="C349" s="225" t="s">
        <v>1591</v>
      </c>
      <c r="D349" s="225" t="s">
        <v>49</v>
      </c>
      <c r="E349" s="213"/>
      <c r="F349" s="213"/>
      <c r="G349" s="34"/>
      <c r="H349" s="206" t="s">
        <v>1592</v>
      </c>
      <c r="I349" s="207">
        <v>585.0</v>
      </c>
      <c r="J349" s="211" t="s">
        <v>1593</v>
      </c>
      <c r="K349" s="34"/>
      <c r="L349" s="34"/>
      <c r="M349" s="34"/>
      <c r="N349" s="34"/>
      <c r="O349" s="34"/>
      <c r="P349" s="34"/>
      <c r="Q349" s="34"/>
      <c r="R349" s="213"/>
      <c r="S349" s="213"/>
      <c r="T349" s="213"/>
    </row>
    <row r="350">
      <c r="A350" s="213"/>
      <c r="B350" s="213"/>
      <c r="C350" s="225" t="s">
        <v>1594</v>
      </c>
      <c r="D350" s="225" t="s">
        <v>49</v>
      </c>
      <c r="E350" s="213"/>
      <c r="F350" s="213"/>
      <c r="G350" s="34"/>
      <c r="H350" s="206" t="s">
        <v>1595</v>
      </c>
      <c r="I350" s="207">
        <v>586.0</v>
      </c>
      <c r="J350" s="211" t="s">
        <v>1596</v>
      </c>
      <c r="K350" s="34"/>
      <c r="L350" s="34"/>
      <c r="M350" s="34"/>
      <c r="N350" s="34"/>
      <c r="O350" s="34"/>
      <c r="P350" s="34"/>
      <c r="Q350" s="34"/>
      <c r="R350" s="213"/>
      <c r="S350" s="213"/>
      <c r="T350" s="213"/>
    </row>
    <row r="351">
      <c r="A351" s="213"/>
      <c r="B351" s="213"/>
      <c r="C351" s="213"/>
      <c r="D351" s="213"/>
      <c r="E351" s="213"/>
      <c r="F351" s="213"/>
      <c r="G351" s="34"/>
      <c r="H351" s="206" t="s">
        <v>1597</v>
      </c>
      <c r="I351" s="207">
        <v>588.0</v>
      </c>
      <c r="J351" s="211" t="s">
        <v>1598</v>
      </c>
      <c r="K351" s="34"/>
      <c r="L351" s="34"/>
      <c r="M351" s="34"/>
      <c r="N351" s="34"/>
      <c r="O351" s="34"/>
      <c r="P351" s="34"/>
      <c r="Q351" s="34"/>
      <c r="R351" s="213"/>
      <c r="S351" s="213"/>
      <c r="T351" s="213"/>
    </row>
    <row r="352">
      <c r="A352" s="213"/>
      <c r="B352" s="213"/>
      <c r="C352" s="213"/>
      <c r="D352" s="213"/>
      <c r="E352" s="213"/>
      <c r="F352" s="213"/>
      <c r="G352" s="34"/>
      <c r="H352" s="206" t="s">
        <v>1370</v>
      </c>
      <c r="I352" s="207">
        <v>440.0</v>
      </c>
      <c r="J352" s="211" t="s">
        <v>1599</v>
      </c>
      <c r="K352" s="34"/>
      <c r="L352" s="34"/>
      <c r="M352" s="34"/>
      <c r="N352" s="34"/>
      <c r="O352" s="34"/>
      <c r="P352" s="34"/>
      <c r="Q352" s="34"/>
      <c r="R352" s="213"/>
      <c r="S352" s="213"/>
      <c r="T352" s="213"/>
    </row>
    <row r="353">
      <c r="A353" s="213"/>
      <c r="B353" s="213"/>
      <c r="C353" s="213"/>
      <c r="D353" s="213"/>
      <c r="E353" s="213"/>
      <c r="F353" s="213"/>
      <c r="G353" s="34"/>
      <c r="H353" s="206" t="s">
        <v>891</v>
      </c>
      <c r="I353" s="207">
        <v>17.0</v>
      </c>
      <c r="J353" s="211" t="s">
        <v>1600</v>
      </c>
      <c r="K353" s="34"/>
      <c r="L353" s="34"/>
      <c r="M353" s="34"/>
      <c r="N353" s="34"/>
      <c r="O353" s="34"/>
      <c r="P353" s="34"/>
      <c r="Q353" s="34"/>
      <c r="R353" s="213"/>
      <c r="S353" s="213"/>
      <c r="T353" s="213"/>
    </row>
    <row r="354">
      <c r="A354" s="213"/>
      <c r="B354" s="213"/>
      <c r="C354" s="213"/>
      <c r="D354" s="213"/>
      <c r="E354" s="213"/>
      <c r="F354" s="213"/>
      <c r="G354" s="34"/>
      <c r="H354" s="206" t="s">
        <v>1207</v>
      </c>
      <c r="I354" s="207">
        <v>85.0</v>
      </c>
      <c r="J354" s="211" t="s">
        <v>1601</v>
      </c>
      <c r="K354" s="34"/>
      <c r="L354" s="34"/>
      <c r="M354" s="34"/>
      <c r="N354" s="34"/>
      <c r="O354" s="34"/>
      <c r="P354" s="34"/>
      <c r="Q354" s="34"/>
      <c r="R354" s="213"/>
      <c r="S354" s="213"/>
      <c r="T354" s="213"/>
    </row>
    <row r="355">
      <c r="A355" s="213"/>
      <c r="B355" s="213"/>
      <c r="C355" s="213"/>
      <c r="D355" s="213"/>
      <c r="E355" s="213"/>
      <c r="F355" s="213"/>
      <c r="G355" s="34"/>
      <c r="H355" s="206" t="s">
        <v>775</v>
      </c>
      <c r="I355" s="207">
        <v>324.0</v>
      </c>
      <c r="J355" s="211" t="s">
        <v>1602</v>
      </c>
      <c r="K355" s="34"/>
      <c r="L355" s="34"/>
      <c r="M355" s="34"/>
      <c r="N355" s="34"/>
      <c r="O355" s="34"/>
      <c r="P355" s="34"/>
      <c r="Q355" s="34"/>
      <c r="R355" s="213"/>
      <c r="S355" s="213"/>
      <c r="T355" s="213"/>
    </row>
    <row r="356">
      <c r="A356" s="213"/>
      <c r="B356" s="213"/>
      <c r="C356" s="213"/>
      <c r="D356" s="213"/>
      <c r="E356" s="213"/>
      <c r="F356" s="213"/>
      <c r="G356" s="34"/>
      <c r="H356" s="206" t="s">
        <v>1212</v>
      </c>
      <c r="I356" s="207">
        <v>86.0</v>
      </c>
      <c r="J356" s="211" t="s">
        <v>1603</v>
      </c>
      <c r="K356" s="34"/>
      <c r="L356" s="34"/>
      <c r="M356" s="34"/>
      <c r="N356" s="34"/>
      <c r="O356" s="34"/>
      <c r="P356" s="34"/>
      <c r="Q356" s="34"/>
      <c r="R356" s="213"/>
      <c r="S356" s="213"/>
      <c r="T356" s="213"/>
    </row>
    <row r="357">
      <c r="A357" s="213"/>
      <c r="B357" s="213"/>
      <c r="C357" s="213"/>
      <c r="D357" s="213"/>
      <c r="E357" s="213"/>
      <c r="F357" s="213"/>
      <c r="G357" s="34"/>
      <c r="H357" s="206" t="s">
        <v>1565</v>
      </c>
      <c r="I357" s="207">
        <v>422.0</v>
      </c>
      <c r="J357" s="211" t="s">
        <v>1604</v>
      </c>
      <c r="K357" s="34"/>
      <c r="L357" s="34"/>
      <c r="M357" s="34"/>
      <c r="N357" s="34"/>
      <c r="O357" s="34"/>
      <c r="P357" s="34"/>
      <c r="Q357" s="34"/>
      <c r="R357" s="213"/>
      <c r="S357" s="213"/>
      <c r="T357" s="213"/>
    </row>
    <row r="358">
      <c r="A358" s="213"/>
      <c r="B358" s="213"/>
      <c r="C358" s="213"/>
      <c r="D358" s="213"/>
      <c r="E358" s="213"/>
      <c r="F358" s="213"/>
      <c r="G358" s="34"/>
      <c r="H358" s="206" t="s">
        <v>352</v>
      </c>
      <c r="I358" s="207">
        <v>542.0</v>
      </c>
      <c r="J358" s="211" t="s">
        <v>1605</v>
      </c>
      <c r="K358" s="34"/>
      <c r="L358" s="34"/>
      <c r="M358" s="34"/>
      <c r="N358" s="34"/>
      <c r="O358" s="34"/>
      <c r="P358" s="34"/>
      <c r="Q358" s="34"/>
      <c r="R358" s="213"/>
      <c r="S358" s="213"/>
      <c r="T358" s="213"/>
    </row>
    <row r="359">
      <c r="A359" s="213"/>
      <c r="B359" s="213"/>
      <c r="C359" s="213"/>
      <c r="D359" s="213"/>
      <c r="E359" s="213"/>
      <c r="F359" s="213"/>
      <c r="G359" s="34"/>
      <c r="H359" s="206" t="s">
        <v>1064</v>
      </c>
      <c r="I359" s="207">
        <v>88.0</v>
      </c>
      <c r="J359" s="211" t="s">
        <v>1606</v>
      </c>
      <c r="K359" s="34"/>
      <c r="L359" s="34"/>
      <c r="M359" s="34"/>
      <c r="N359" s="34"/>
      <c r="O359" s="34"/>
      <c r="P359" s="34"/>
      <c r="Q359" s="34"/>
      <c r="R359" s="213"/>
      <c r="S359" s="213"/>
      <c r="T359" s="213"/>
    </row>
    <row r="360">
      <c r="A360" s="213"/>
      <c r="B360" s="213"/>
      <c r="C360" s="213"/>
      <c r="D360" s="213"/>
      <c r="E360" s="213"/>
      <c r="F360" s="213"/>
      <c r="G360" s="34"/>
      <c r="H360" s="206" t="s">
        <v>495</v>
      </c>
      <c r="I360" s="207">
        <v>14.0</v>
      </c>
      <c r="J360" s="211" t="s">
        <v>1607</v>
      </c>
      <c r="K360" s="34"/>
      <c r="L360" s="34"/>
      <c r="M360" s="34"/>
      <c r="N360" s="34"/>
      <c r="O360" s="34"/>
      <c r="P360" s="34"/>
      <c r="Q360" s="34"/>
      <c r="R360" s="213"/>
      <c r="S360" s="213"/>
      <c r="T360" s="213"/>
    </row>
    <row r="361">
      <c r="A361" s="213"/>
      <c r="B361" s="213"/>
      <c r="C361" s="213"/>
      <c r="D361" s="213"/>
      <c r="E361" s="213"/>
      <c r="F361" s="213"/>
      <c r="G361" s="34"/>
      <c r="H361" s="206" t="s">
        <v>495</v>
      </c>
      <c r="I361" s="207">
        <v>271.0</v>
      </c>
      <c r="J361" s="211" t="s">
        <v>1608</v>
      </c>
      <c r="K361" s="34"/>
      <c r="L361" s="34"/>
      <c r="M361" s="34"/>
      <c r="N361" s="34"/>
      <c r="O361" s="34"/>
      <c r="P361" s="34"/>
      <c r="Q361" s="34"/>
      <c r="R361" s="213"/>
      <c r="S361" s="213"/>
      <c r="T361" s="213"/>
    </row>
    <row r="362">
      <c r="A362" s="213"/>
      <c r="B362" s="213"/>
      <c r="C362" s="213"/>
      <c r="D362" s="213"/>
      <c r="E362" s="213"/>
      <c r="F362" s="213"/>
      <c r="G362" s="34"/>
      <c r="H362" s="206" t="s">
        <v>583</v>
      </c>
      <c r="I362" s="207">
        <v>254.0</v>
      </c>
      <c r="J362" s="211" t="s">
        <v>1609</v>
      </c>
      <c r="K362" s="34"/>
      <c r="L362" s="34"/>
      <c r="M362" s="34"/>
      <c r="N362" s="34"/>
      <c r="O362" s="34"/>
      <c r="P362" s="34"/>
      <c r="Q362" s="34"/>
      <c r="R362" s="213"/>
      <c r="S362" s="213"/>
      <c r="T362" s="213"/>
    </row>
    <row r="363">
      <c r="A363" s="213"/>
      <c r="B363" s="213"/>
      <c r="C363" s="213"/>
      <c r="D363" s="213"/>
      <c r="E363" s="213"/>
      <c r="F363" s="213"/>
      <c r="G363" s="34"/>
      <c r="H363" s="206" t="s">
        <v>1052</v>
      </c>
      <c r="I363" s="207">
        <v>206.0</v>
      </c>
      <c r="J363" s="211" t="s">
        <v>1610</v>
      </c>
      <c r="K363" s="34"/>
      <c r="L363" s="34"/>
      <c r="M363" s="34"/>
      <c r="N363" s="34"/>
      <c r="O363" s="34"/>
      <c r="P363" s="34"/>
      <c r="Q363" s="34"/>
      <c r="R363" s="213"/>
      <c r="S363" s="213"/>
      <c r="T363" s="213"/>
    </row>
    <row r="364">
      <c r="A364" s="213"/>
      <c r="B364" s="213"/>
      <c r="C364" s="213"/>
      <c r="D364" s="213"/>
      <c r="E364" s="213"/>
      <c r="F364" s="213"/>
      <c r="G364" s="34"/>
      <c r="H364" s="206" t="s">
        <v>780</v>
      </c>
      <c r="I364" s="207">
        <v>325.0</v>
      </c>
      <c r="J364" s="211" t="s">
        <v>1611</v>
      </c>
      <c r="K364" s="34"/>
      <c r="L364" s="34"/>
      <c r="M364" s="34"/>
      <c r="N364" s="34"/>
      <c r="O364" s="34"/>
      <c r="P364" s="34"/>
      <c r="Q364" s="34"/>
      <c r="R364" s="213"/>
      <c r="S364" s="213"/>
      <c r="T364" s="213"/>
    </row>
    <row r="365">
      <c r="A365" s="213"/>
      <c r="B365" s="213"/>
      <c r="C365" s="213"/>
      <c r="D365" s="213"/>
      <c r="E365" s="213"/>
      <c r="F365" s="213"/>
      <c r="G365" s="34"/>
      <c r="H365" s="206" t="s">
        <v>358</v>
      </c>
      <c r="I365" s="207">
        <v>240.0</v>
      </c>
      <c r="J365" s="211" t="s">
        <v>1612</v>
      </c>
      <c r="K365" s="34"/>
      <c r="L365" s="34"/>
      <c r="M365" s="34"/>
      <c r="N365" s="34"/>
      <c r="O365" s="34"/>
      <c r="P365" s="34"/>
      <c r="Q365" s="34"/>
      <c r="R365" s="213"/>
      <c r="S365" s="213"/>
      <c r="T365" s="213"/>
    </row>
    <row r="366">
      <c r="A366" s="213"/>
      <c r="B366" s="213"/>
      <c r="C366" s="213"/>
      <c r="D366" s="213"/>
      <c r="E366" s="213"/>
      <c r="F366" s="213"/>
      <c r="G366" s="34"/>
      <c r="H366" s="206" t="s">
        <v>1374</v>
      </c>
      <c r="I366" s="207">
        <v>441.0</v>
      </c>
      <c r="J366" s="211" t="s">
        <v>1613</v>
      </c>
      <c r="K366" s="34"/>
      <c r="L366" s="34"/>
      <c r="M366" s="34"/>
      <c r="N366" s="34"/>
      <c r="O366" s="34"/>
      <c r="P366" s="34"/>
      <c r="Q366" s="34"/>
      <c r="R366" s="213"/>
      <c r="S366" s="213"/>
      <c r="T366" s="213"/>
    </row>
    <row r="367">
      <c r="A367" s="213"/>
      <c r="B367" s="213"/>
      <c r="C367" s="213"/>
      <c r="D367" s="213"/>
      <c r="E367" s="213"/>
      <c r="F367" s="213"/>
      <c r="G367" s="34"/>
      <c r="H367" s="206" t="s">
        <v>1591</v>
      </c>
      <c r="I367" s="207">
        <v>531.0</v>
      </c>
      <c r="J367" s="211" t="s">
        <v>1614</v>
      </c>
      <c r="K367" s="34"/>
      <c r="L367" s="34"/>
      <c r="M367" s="34"/>
      <c r="N367" s="34"/>
      <c r="O367" s="34"/>
      <c r="P367" s="34"/>
      <c r="Q367" s="34"/>
      <c r="R367" s="213"/>
      <c r="S367" s="213"/>
      <c r="T367" s="213"/>
    </row>
    <row r="368">
      <c r="A368" s="213"/>
      <c r="B368" s="213"/>
      <c r="C368" s="213"/>
      <c r="D368" s="213"/>
      <c r="E368" s="213"/>
      <c r="F368" s="213"/>
      <c r="G368" s="34"/>
      <c r="H368" s="206" t="s">
        <v>1567</v>
      </c>
      <c r="I368" s="207">
        <v>423.0</v>
      </c>
      <c r="J368" s="211" t="s">
        <v>1615</v>
      </c>
      <c r="K368" s="34"/>
      <c r="L368" s="34"/>
      <c r="M368" s="34"/>
      <c r="N368" s="34"/>
      <c r="O368" s="34"/>
      <c r="P368" s="34"/>
      <c r="Q368" s="34"/>
      <c r="R368" s="213"/>
      <c r="S368" s="213"/>
      <c r="T368" s="213"/>
    </row>
    <row r="369">
      <c r="A369" s="213"/>
      <c r="B369" s="213"/>
      <c r="C369" s="213"/>
      <c r="D369" s="213"/>
      <c r="E369" s="213"/>
      <c r="F369" s="213"/>
      <c r="G369" s="34"/>
      <c r="H369" s="206" t="s">
        <v>1099</v>
      </c>
      <c r="I369" s="207">
        <v>250.0</v>
      </c>
      <c r="J369" s="211" t="s">
        <v>1616</v>
      </c>
      <c r="K369" s="34"/>
      <c r="L369" s="34"/>
      <c r="M369" s="34"/>
      <c r="N369" s="34"/>
      <c r="O369" s="34"/>
      <c r="P369" s="34"/>
      <c r="Q369" s="34"/>
      <c r="R369" s="213"/>
      <c r="S369" s="213"/>
      <c r="T369" s="213"/>
    </row>
    <row r="370">
      <c r="A370" s="213"/>
      <c r="B370" s="213"/>
      <c r="C370" s="213"/>
      <c r="D370" s="213"/>
      <c r="E370" s="213"/>
      <c r="F370" s="213"/>
      <c r="G370" s="34"/>
      <c r="H370" s="206" t="s">
        <v>1500</v>
      </c>
      <c r="I370" s="207">
        <v>285.0</v>
      </c>
      <c r="J370" s="211" t="s">
        <v>1617</v>
      </c>
      <c r="K370" s="34"/>
      <c r="L370" s="34"/>
      <c r="M370" s="34"/>
      <c r="N370" s="34"/>
      <c r="O370" s="34"/>
      <c r="P370" s="34"/>
      <c r="Q370" s="34"/>
      <c r="R370" s="213"/>
      <c r="S370" s="213"/>
      <c r="T370" s="213"/>
    </row>
    <row r="371">
      <c r="A371" s="213"/>
      <c r="B371" s="213"/>
      <c r="C371" s="213"/>
      <c r="D371" s="213"/>
      <c r="E371" s="213"/>
      <c r="F371" s="213"/>
      <c r="G371" s="34"/>
      <c r="H371" s="206" t="s">
        <v>520</v>
      </c>
      <c r="I371" s="207">
        <v>52.0</v>
      </c>
      <c r="J371" s="211" t="s">
        <v>1618</v>
      </c>
      <c r="K371" s="34"/>
      <c r="L371" s="34"/>
      <c r="M371" s="34"/>
      <c r="N371" s="34"/>
      <c r="O371" s="34"/>
      <c r="P371" s="34"/>
      <c r="Q371" s="34"/>
      <c r="R371" s="213"/>
      <c r="S371" s="213"/>
      <c r="T371" s="213"/>
    </row>
    <row r="372">
      <c r="A372" s="213"/>
      <c r="B372" s="213"/>
      <c r="C372" s="213"/>
      <c r="D372" s="213"/>
      <c r="E372" s="213"/>
      <c r="F372" s="213"/>
      <c r="G372" s="34"/>
      <c r="H372" s="206" t="s">
        <v>785</v>
      </c>
      <c r="I372" s="207">
        <v>326.0</v>
      </c>
      <c r="J372" s="211" t="s">
        <v>1619</v>
      </c>
      <c r="K372" s="34"/>
      <c r="L372" s="34"/>
      <c r="M372" s="34"/>
      <c r="N372" s="34"/>
      <c r="O372" s="34"/>
      <c r="P372" s="34"/>
      <c r="Q372" s="34"/>
      <c r="R372" s="213"/>
      <c r="S372" s="213"/>
      <c r="T372" s="213"/>
    </row>
    <row r="373">
      <c r="A373" s="213"/>
      <c r="B373" s="213"/>
      <c r="C373" s="213"/>
      <c r="D373" s="213"/>
      <c r="E373" s="213"/>
      <c r="F373" s="213"/>
      <c r="G373" s="34"/>
      <c r="H373" s="206" t="s">
        <v>790</v>
      </c>
      <c r="I373" s="207">
        <v>327.0</v>
      </c>
      <c r="J373" s="211" t="s">
        <v>1620</v>
      </c>
      <c r="K373" s="34"/>
      <c r="L373" s="34"/>
      <c r="M373" s="34"/>
      <c r="N373" s="34"/>
      <c r="O373" s="34"/>
      <c r="P373" s="34"/>
      <c r="Q373" s="34"/>
      <c r="R373" s="213"/>
      <c r="S373" s="213"/>
      <c r="T373" s="213"/>
    </row>
    <row r="374">
      <c r="A374" s="213"/>
      <c r="B374" s="213"/>
      <c r="C374" s="213"/>
      <c r="D374" s="213"/>
      <c r="E374" s="213"/>
      <c r="F374" s="213"/>
      <c r="G374" s="34"/>
      <c r="H374" s="206" t="s">
        <v>1285</v>
      </c>
      <c r="I374" s="207">
        <v>112.0</v>
      </c>
      <c r="J374" s="211" t="s">
        <v>1621</v>
      </c>
      <c r="K374" s="34"/>
      <c r="L374" s="34"/>
      <c r="M374" s="34"/>
      <c r="N374" s="34"/>
      <c r="O374" s="34"/>
      <c r="P374" s="34"/>
      <c r="Q374" s="34"/>
      <c r="R374" s="213"/>
      <c r="S374" s="213"/>
      <c r="T374" s="213"/>
    </row>
    <row r="375">
      <c r="A375" s="213"/>
      <c r="B375" s="213"/>
      <c r="C375" s="213"/>
      <c r="D375" s="213"/>
      <c r="E375" s="213"/>
      <c r="F375" s="213"/>
      <c r="G375" s="34"/>
      <c r="H375" s="206" t="s">
        <v>502</v>
      </c>
      <c r="I375" s="207">
        <v>272.0</v>
      </c>
      <c r="J375" s="211" t="s">
        <v>1622</v>
      </c>
      <c r="K375" s="34"/>
      <c r="L375" s="34"/>
      <c r="M375" s="34"/>
      <c r="N375" s="34"/>
      <c r="O375" s="34"/>
      <c r="P375" s="34"/>
      <c r="Q375" s="34"/>
      <c r="R375" s="213"/>
      <c r="S375" s="213"/>
      <c r="T375" s="213"/>
    </row>
    <row r="376">
      <c r="A376" s="213"/>
      <c r="B376" s="213"/>
      <c r="C376" s="213"/>
      <c r="D376" s="213"/>
      <c r="E376" s="213"/>
      <c r="F376" s="213"/>
      <c r="G376" s="34"/>
      <c r="H376" s="206" t="s">
        <v>526</v>
      </c>
      <c r="I376" s="207">
        <v>59.0</v>
      </c>
      <c r="J376" s="211" t="s">
        <v>1623</v>
      </c>
      <c r="K376" s="34"/>
      <c r="L376" s="34"/>
      <c r="M376" s="34"/>
      <c r="N376" s="34"/>
      <c r="O376" s="34"/>
      <c r="P376" s="34"/>
      <c r="Q376" s="34"/>
      <c r="R376" s="213"/>
      <c r="S376" s="213"/>
      <c r="T376" s="213"/>
    </row>
    <row r="377">
      <c r="A377" s="213"/>
      <c r="B377" s="213"/>
      <c r="C377" s="213"/>
      <c r="D377" s="213"/>
      <c r="E377" s="213"/>
      <c r="F377" s="213"/>
      <c r="G377" s="34"/>
      <c r="H377" s="206" t="s">
        <v>1507</v>
      </c>
      <c r="I377" s="207">
        <v>287.0</v>
      </c>
      <c r="J377" s="211" t="s">
        <v>1624</v>
      </c>
      <c r="K377" s="34"/>
      <c r="L377" s="34"/>
      <c r="M377" s="34"/>
      <c r="N377" s="34"/>
      <c r="O377" s="34"/>
      <c r="P377" s="34"/>
      <c r="Q377" s="34"/>
      <c r="R377" s="213"/>
      <c r="S377" s="213"/>
      <c r="T377" s="213"/>
    </row>
    <row r="378">
      <c r="A378" s="213"/>
      <c r="B378" s="213"/>
      <c r="C378" s="213"/>
      <c r="D378" s="213"/>
      <c r="E378" s="213"/>
      <c r="F378" s="213"/>
      <c r="G378" s="34"/>
      <c r="H378" s="206" t="s">
        <v>1389</v>
      </c>
      <c r="I378" s="207">
        <v>131.0</v>
      </c>
      <c r="J378" s="211" t="s">
        <v>1625</v>
      </c>
      <c r="K378" s="34"/>
      <c r="L378" s="34"/>
      <c r="M378" s="34"/>
      <c r="N378" s="34"/>
      <c r="O378" s="34"/>
      <c r="P378" s="34"/>
      <c r="Q378" s="34"/>
      <c r="R378" s="213"/>
      <c r="S378" s="213"/>
      <c r="T378" s="213"/>
    </row>
    <row r="379">
      <c r="A379" s="213"/>
      <c r="B379" s="213"/>
      <c r="C379" s="213"/>
      <c r="D379" s="213"/>
      <c r="E379" s="213"/>
      <c r="F379" s="213"/>
      <c r="G379" s="34"/>
      <c r="H379" s="206" t="s">
        <v>1068</v>
      </c>
      <c r="I379" s="207">
        <v>89.0</v>
      </c>
      <c r="J379" s="211" t="s">
        <v>1626</v>
      </c>
      <c r="K379" s="34"/>
      <c r="L379" s="34"/>
      <c r="M379" s="34"/>
      <c r="N379" s="34"/>
      <c r="O379" s="34"/>
      <c r="P379" s="34"/>
      <c r="Q379" s="34"/>
      <c r="R379" s="213"/>
      <c r="S379" s="213"/>
      <c r="T379" s="213"/>
    </row>
    <row r="380">
      <c r="A380" s="213"/>
      <c r="B380" s="213"/>
      <c r="C380" s="213"/>
      <c r="D380" s="213"/>
      <c r="E380" s="213"/>
      <c r="F380" s="213"/>
      <c r="G380" s="34"/>
      <c r="H380" s="206" t="s">
        <v>1473</v>
      </c>
      <c r="I380" s="207">
        <v>191.0</v>
      </c>
      <c r="J380" s="211" t="s">
        <v>1627</v>
      </c>
      <c r="K380" s="34"/>
      <c r="L380" s="34"/>
      <c r="M380" s="34"/>
      <c r="N380" s="34"/>
      <c r="O380" s="34"/>
      <c r="P380" s="34"/>
      <c r="Q380" s="34"/>
      <c r="R380" s="213"/>
      <c r="S380" s="213"/>
      <c r="T380" s="213"/>
    </row>
    <row r="381">
      <c r="A381" s="213"/>
      <c r="B381" s="213"/>
      <c r="C381" s="213"/>
      <c r="D381" s="213"/>
      <c r="E381" s="213"/>
      <c r="F381" s="213"/>
      <c r="G381" s="34"/>
      <c r="H381" s="206" t="s">
        <v>509</v>
      </c>
      <c r="I381" s="207">
        <v>273.0</v>
      </c>
      <c r="J381" s="211" t="s">
        <v>1628</v>
      </c>
      <c r="K381" s="34"/>
      <c r="L381" s="34"/>
      <c r="M381" s="34"/>
      <c r="N381" s="34"/>
      <c r="O381" s="34"/>
      <c r="P381" s="34"/>
      <c r="Q381" s="34"/>
      <c r="R381" s="213"/>
      <c r="S381" s="213"/>
      <c r="T381" s="213"/>
    </row>
    <row r="382">
      <c r="A382" s="213"/>
      <c r="B382" s="213"/>
      <c r="C382" s="213"/>
      <c r="D382" s="213"/>
      <c r="E382" s="213"/>
      <c r="F382" s="213"/>
      <c r="G382" s="34"/>
      <c r="H382" s="206" t="s">
        <v>1520</v>
      </c>
      <c r="I382" s="207">
        <v>153.0</v>
      </c>
      <c r="J382" s="211" t="s">
        <v>1629</v>
      </c>
      <c r="K382" s="34"/>
      <c r="L382" s="34"/>
      <c r="M382" s="34"/>
      <c r="N382" s="34"/>
      <c r="O382" s="34"/>
      <c r="P382" s="34"/>
      <c r="Q382" s="34"/>
      <c r="R382" s="213"/>
      <c r="S382" s="213"/>
      <c r="T382" s="213"/>
    </row>
    <row r="383">
      <c r="A383" s="213"/>
      <c r="B383" s="213"/>
      <c r="C383" s="213"/>
      <c r="D383" s="213"/>
      <c r="E383" s="213"/>
      <c r="F383" s="213"/>
      <c r="G383" s="34"/>
      <c r="H383" s="206" t="s">
        <v>1502</v>
      </c>
      <c r="I383" s="207">
        <v>286.0</v>
      </c>
      <c r="J383" s="211" t="s">
        <v>1630</v>
      </c>
      <c r="K383" s="34"/>
      <c r="L383" s="34"/>
      <c r="M383" s="34"/>
      <c r="N383" s="34"/>
      <c r="O383" s="34"/>
      <c r="P383" s="34"/>
      <c r="Q383" s="34"/>
      <c r="R383" s="213"/>
      <c r="S383" s="213"/>
      <c r="T383" s="213"/>
    </row>
    <row r="384">
      <c r="A384" s="213"/>
      <c r="B384" s="213"/>
      <c r="C384" s="213"/>
      <c r="D384" s="213"/>
      <c r="E384" s="213"/>
      <c r="F384" s="213"/>
      <c r="G384" s="34"/>
      <c r="H384" s="206" t="s">
        <v>1569</v>
      </c>
      <c r="I384" s="207">
        <v>424.0</v>
      </c>
      <c r="J384" s="211" t="s">
        <v>1631</v>
      </c>
      <c r="K384" s="34"/>
      <c r="L384" s="34"/>
      <c r="M384" s="34"/>
      <c r="N384" s="34"/>
      <c r="O384" s="34"/>
      <c r="P384" s="34"/>
      <c r="Q384" s="34"/>
      <c r="R384" s="213"/>
      <c r="S384" s="213"/>
      <c r="T384" s="213"/>
    </row>
    <row r="385">
      <c r="A385" s="213"/>
      <c r="B385" s="213"/>
      <c r="C385" s="213"/>
      <c r="D385" s="213"/>
      <c r="E385" s="213"/>
      <c r="F385" s="213"/>
      <c r="G385" s="34"/>
      <c r="H385" s="206" t="s">
        <v>364</v>
      </c>
      <c r="I385" s="207">
        <v>241.0</v>
      </c>
      <c r="J385" s="211" t="s">
        <v>1632</v>
      </c>
      <c r="K385" s="34"/>
      <c r="L385" s="34"/>
      <c r="M385" s="34"/>
      <c r="N385" s="34"/>
      <c r="O385" s="34"/>
      <c r="P385" s="34"/>
      <c r="Q385" s="34"/>
      <c r="R385" s="213"/>
      <c r="S385" s="213"/>
      <c r="T385" s="213"/>
    </row>
    <row r="386">
      <c r="A386" s="213"/>
      <c r="B386" s="213"/>
      <c r="C386" s="213"/>
      <c r="D386" s="213"/>
      <c r="E386" s="213"/>
      <c r="F386" s="213"/>
      <c r="G386" s="34"/>
      <c r="H386" s="206" t="s">
        <v>1254</v>
      </c>
      <c r="I386" s="207">
        <v>101.0</v>
      </c>
      <c r="J386" s="211" t="s">
        <v>1633</v>
      </c>
      <c r="K386" s="34"/>
      <c r="L386" s="34"/>
      <c r="M386" s="34"/>
      <c r="N386" s="34"/>
      <c r="O386" s="34"/>
      <c r="P386" s="34"/>
      <c r="Q386" s="34"/>
      <c r="R386" s="213"/>
      <c r="S386" s="213"/>
      <c r="T386" s="213"/>
    </row>
    <row r="387">
      <c r="A387" s="213"/>
      <c r="B387" s="213"/>
      <c r="C387" s="213"/>
      <c r="D387" s="213"/>
      <c r="E387" s="213"/>
      <c r="F387" s="213"/>
      <c r="G387" s="34"/>
      <c r="H387" s="206" t="s">
        <v>1119</v>
      </c>
      <c r="I387" s="207">
        <v>192.0</v>
      </c>
      <c r="J387" s="211" t="s">
        <v>1634</v>
      </c>
      <c r="K387" s="34"/>
      <c r="L387" s="34"/>
      <c r="M387" s="34"/>
      <c r="N387" s="34"/>
      <c r="O387" s="34"/>
      <c r="P387" s="34"/>
      <c r="Q387" s="34"/>
      <c r="R387" s="213"/>
      <c r="S387" s="213"/>
      <c r="T387" s="213"/>
    </row>
    <row r="388">
      <c r="A388" s="213"/>
      <c r="B388" s="213"/>
      <c r="C388" s="213"/>
      <c r="D388" s="213"/>
      <c r="E388" s="213"/>
      <c r="F388" s="213"/>
      <c r="G388" s="34"/>
      <c r="H388" s="206" t="s">
        <v>795</v>
      </c>
      <c r="I388" s="207">
        <v>328.0</v>
      </c>
      <c r="J388" s="211" t="s">
        <v>1635</v>
      </c>
      <c r="K388" s="34"/>
      <c r="L388" s="34"/>
      <c r="M388" s="34"/>
      <c r="N388" s="34"/>
      <c r="O388" s="34"/>
      <c r="P388" s="34"/>
      <c r="Q388" s="34"/>
      <c r="R388" s="213"/>
      <c r="S388" s="213"/>
      <c r="T388" s="213"/>
    </row>
    <row r="389">
      <c r="A389" s="213"/>
      <c r="B389" s="213"/>
      <c r="C389" s="213"/>
      <c r="D389" s="213"/>
      <c r="E389" s="213"/>
      <c r="F389" s="213"/>
      <c r="G389" s="34"/>
      <c r="H389" s="206" t="s">
        <v>1636</v>
      </c>
      <c r="I389" s="207">
        <v>552.0</v>
      </c>
      <c r="J389" s="211" t="s">
        <v>1637</v>
      </c>
      <c r="K389" s="34"/>
      <c r="L389" s="34"/>
      <c r="M389" s="34"/>
      <c r="N389" s="34"/>
      <c r="O389" s="34"/>
      <c r="P389" s="34"/>
      <c r="Q389" s="34"/>
      <c r="R389" s="213"/>
      <c r="S389" s="213"/>
      <c r="T389" s="213"/>
    </row>
    <row r="390">
      <c r="A390" s="213"/>
      <c r="B390" s="213"/>
      <c r="C390" s="213"/>
      <c r="D390" s="213"/>
      <c r="E390" s="213"/>
      <c r="F390" s="213"/>
      <c r="G390" s="34"/>
      <c r="H390" s="206" t="s">
        <v>842</v>
      </c>
      <c r="I390" s="207">
        <v>150.0</v>
      </c>
      <c r="J390" s="211" t="s">
        <v>1638</v>
      </c>
      <c r="K390" s="34"/>
      <c r="L390" s="34"/>
      <c r="M390" s="34"/>
      <c r="N390" s="34"/>
      <c r="O390" s="34"/>
      <c r="P390" s="34"/>
      <c r="Q390" s="34"/>
      <c r="R390" s="213"/>
      <c r="S390" s="213"/>
      <c r="T390" s="213"/>
    </row>
    <row r="391">
      <c r="A391" s="213"/>
      <c r="B391" s="213"/>
      <c r="C391" s="213"/>
      <c r="D391" s="213"/>
      <c r="E391" s="213"/>
      <c r="F391" s="213"/>
      <c r="G391" s="34"/>
      <c r="H391" s="34" t="s">
        <v>371</v>
      </c>
      <c r="I391" s="227">
        <v>242.0</v>
      </c>
      <c r="J391" s="211" t="s">
        <v>1639</v>
      </c>
      <c r="K391" s="34"/>
      <c r="L391" s="34"/>
      <c r="M391" s="34"/>
      <c r="N391" s="34"/>
      <c r="O391" s="34"/>
      <c r="P391" s="34"/>
      <c r="Q391" s="34"/>
      <c r="R391" s="213"/>
      <c r="S391" s="213"/>
      <c r="T391" s="213"/>
    </row>
    <row r="392">
      <c r="A392" s="213"/>
      <c r="B392" s="213"/>
      <c r="C392" s="213"/>
      <c r="D392" s="213"/>
      <c r="E392" s="213"/>
      <c r="F392" s="213"/>
      <c r="G392" s="34"/>
      <c r="H392" s="217" t="s">
        <v>1130</v>
      </c>
      <c r="I392" s="227">
        <v>193.0</v>
      </c>
      <c r="J392" s="211" t="s">
        <v>1640</v>
      </c>
      <c r="K392" s="34"/>
      <c r="L392" s="34"/>
      <c r="M392" s="34"/>
      <c r="N392" s="34"/>
      <c r="O392" s="34"/>
      <c r="P392" s="34"/>
      <c r="Q392" s="34"/>
      <c r="R392" s="213"/>
      <c r="S392" s="213"/>
      <c r="T392" s="213"/>
    </row>
    <row r="393">
      <c r="A393" s="213"/>
      <c r="B393" s="213"/>
      <c r="C393" s="213"/>
      <c r="D393" s="213"/>
      <c r="E393" s="213"/>
      <c r="F393" s="213"/>
      <c r="G393" s="34"/>
      <c r="H393" s="217" t="s">
        <v>515</v>
      </c>
      <c r="I393" s="227">
        <v>274.0</v>
      </c>
      <c r="J393" s="211" t="s">
        <v>1641</v>
      </c>
      <c r="K393" s="34"/>
      <c r="L393" s="34"/>
      <c r="M393" s="34"/>
      <c r="N393" s="34"/>
      <c r="O393" s="34"/>
      <c r="P393" s="34"/>
      <c r="Q393" s="34"/>
      <c r="R393" s="213"/>
      <c r="S393" s="213"/>
      <c r="T393" s="213"/>
    </row>
    <row r="394">
      <c r="A394" s="213"/>
      <c r="B394" s="213"/>
      <c r="C394" s="213"/>
      <c r="D394" s="213"/>
      <c r="E394" s="213"/>
      <c r="F394" s="213"/>
      <c r="G394" s="34"/>
      <c r="H394" s="217" t="s">
        <v>1418</v>
      </c>
      <c r="I394" s="227">
        <v>140.0</v>
      </c>
      <c r="J394" s="211" t="s">
        <v>1378</v>
      </c>
      <c r="K394" s="34"/>
      <c r="L394" s="34"/>
      <c r="M394" s="34"/>
      <c r="N394" s="34"/>
      <c r="O394" s="34"/>
      <c r="P394" s="34"/>
      <c r="Q394" s="34"/>
      <c r="R394" s="213"/>
      <c r="S394" s="213"/>
      <c r="T394" s="213"/>
    </row>
    <row r="395">
      <c r="A395" s="213"/>
      <c r="B395" s="213"/>
      <c r="C395" s="213"/>
      <c r="D395" s="213"/>
      <c r="E395" s="213"/>
      <c r="F395" s="213"/>
      <c r="G395" s="34"/>
      <c r="H395" s="217" t="s">
        <v>379</v>
      </c>
      <c r="I395" s="227">
        <v>243.0</v>
      </c>
      <c r="J395" s="211" t="s">
        <v>1642</v>
      </c>
      <c r="K395" s="34"/>
      <c r="L395" s="34"/>
      <c r="M395" s="34"/>
      <c r="N395" s="34"/>
      <c r="O395" s="34"/>
      <c r="P395" s="34"/>
      <c r="Q395" s="34"/>
      <c r="R395" s="213"/>
      <c r="S395" s="213"/>
      <c r="T395" s="213"/>
    </row>
    <row r="396">
      <c r="A396" s="213"/>
      <c r="B396" s="213"/>
      <c r="C396" s="213"/>
      <c r="D396" s="213"/>
      <c r="E396" s="213"/>
      <c r="F396" s="213"/>
      <c r="G396" s="34"/>
      <c r="H396" s="217" t="s">
        <v>976</v>
      </c>
      <c r="I396" s="227">
        <v>183.0</v>
      </c>
      <c r="J396" s="211" t="s">
        <v>1643</v>
      </c>
      <c r="K396" s="34"/>
      <c r="L396" s="34"/>
      <c r="M396" s="34"/>
      <c r="N396" s="34"/>
      <c r="O396" s="34"/>
      <c r="P396" s="34"/>
      <c r="Q396" s="34"/>
      <c r="R396" s="213"/>
      <c r="S396" s="213"/>
      <c r="T396" s="213"/>
    </row>
    <row r="397">
      <c r="A397" s="213"/>
      <c r="B397" s="213"/>
      <c r="C397" s="213"/>
      <c r="D397" s="213"/>
      <c r="E397" s="213"/>
      <c r="F397" s="213"/>
      <c r="G397" s="34"/>
      <c r="H397" s="217" t="s">
        <v>1257</v>
      </c>
      <c r="I397" s="227">
        <v>102.0</v>
      </c>
      <c r="J397" s="211" t="s">
        <v>1644</v>
      </c>
      <c r="K397" s="34"/>
      <c r="L397" s="34"/>
      <c r="M397" s="34"/>
      <c r="N397" s="34"/>
      <c r="O397" s="34"/>
      <c r="P397" s="34"/>
      <c r="Q397" s="34"/>
      <c r="R397" s="213"/>
      <c r="S397" s="213"/>
      <c r="T397" s="213"/>
    </row>
    <row r="398">
      <c r="A398" s="213"/>
      <c r="B398" s="213"/>
      <c r="C398" s="213"/>
      <c r="D398" s="213"/>
      <c r="E398" s="213"/>
      <c r="F398" s="213"/>
      <c r="G398" s="34"/>
      <c r="H398" s="217" t="s">
        <v>1594</v>
      </c>
      <c r="I398" s="227">
        <v>532.0</v>
      </c>
      <c r="J398" s="211" t="s">
        <v>1645</v>
      </c>
      <c r="K398" s="34"/>
      <c r="L398" s="34"/>
      <c r="M398" s="34"/>
      <c r="N398" s="34"/>
      <c r="O398" s="34"/>
      <c r="P398" s="34"/>
      <c r="Q398" s="34"/>
      <c r="R398" s="213"/>
      <c r="S398" s="213"/>
      <c r="T398" s="213"/>
    </row>
    <row r="399">
      <c r="A399" s="213"/>
      <c r="B399" s="213"/>
      <c r="C399" s="213"/>
      <c r="D399" s="213"/>
      <c r="E399" s="213"/>
      <c r="F399" s="213"/>
      <c r="G399" s="34"/>
      <c r="H399" s="217" t="s">
        <v>1056</v>
      </c>
      <c r="I399" s="227">
        <v>207.0</v>
      </c>
      <c r="J399" s="211" t="s">
        <v>1646</v>
      </c>
      <c r="K399" s="34"/>
      <c r="L399" s="34"/>
      <c r="M399" s="34"/>
      <c r="N399" s="34"/>
      <c r="O399" s="34"/>
      <c r="P399" s="34"/>
      <c r="Q399" s="34"/>
      <c r="R399" s="213"/>
      <c r="S399" s="213"/>
      <c r="T399" s="213"/>
    </row>
    <row r="400">
      <c r="A400" s="213"/>
      <c r="B400" s="213"/>
      <c r="C400" s="213"/>
      <c r="D400" s="213"/>
      <c r="E400" s="213"/>
      <c r="F400" s="213"/>
      <c r="G400" s="34"/>
      <c r="H400" s="217" t="s">
        <v>1420</v>
      </c>
      <c r="I400" s="227">
        <v>141.0</v>
      </c>
      <c r="J400" s="211" t="s">
        <v>1647</v>
      </c>
      <c r="K400" s="34"/>
      <c r="L400" s="34"/>
      <c r="M400" s="34"/>
      <c r="N400" s="34"/>
      <c r="O400" s="34"/>
      <c r="P400" s="34"/>
      <c r="Q400" s="34"/>
      <c r="R400" s="213"/>
      <c r="S400" s="213"/>
      <c r="T400" s="213"/>
    </row>
    <row r="401">
      <c r="A401" s="213"/>
      <c r="B401" s="213"/>
      <c r="C401" s="213"/>
      <c r="D401" s="213"/>
      <c r="E401" s="213"/>
      <c r="F401" s="213"/>
      <c r="G401" s="34"/>
      <c r="H401" s="217" t="s">
        <v>800</v>
      </c>
      <c r="I401" s="227">
        <v>329.0</v>
      </c>
      <c r="J401" s="211" t="s">
        <v>1648</v>
      </c>
      <c r="K401" s="34"/>
      <c r="L401" s="34"/>
      <c r="M401" s="34"/>
      <c r="N401" s="34"/>
      <c r="O401" s="34"/>
      <c r="P401" s="34"/>
      <c r="Q401" s="34"/>
      <c r="R401" s="213"/>
      <c r="S401" s="213"/>
      <c r="T401" s="213"/>
    </row>
    <row r="402">
      <c r="A402" s="213"/>
      <c r="B402" s="213"/>
      <c r="C402" s="213"/>
      <c r="D402" s="213"/>
      <c r="E402" s="213"/>
      <c r="F402" s="213"/>
      <c r="G402" s="34"/>
      <c r="H402" s="217" t="s">
        <v>1422</v>
      </c>
      <c r="I402" s="227">
        <v>142.0</v>
      </c>
      <c r="J402" s="211" t="s">
        <v>1649</v>
      </c>
      <c r="K402" s="34"/>
      <c r="L402" s="34"/>
      <c r="M402" s="34"/>
      <c r="N402" s="34"/>
      <c r="O402" s="34"/>
      <c r="P402" s="34"/>
      <c r="Q402" s="34"/>
      <c r="R402" s="213"/>
      <c r="S402" s="213"/>
      <c r="T402" s="213"/>
    </row>
    <row r="403">
      <c r="A403" s="213"/>
      <c r="B403" s="213"/>
      <c r="C403" s="213"/>
      <c r="D403" s="213"/>
      <c r="E403" s="213"/>
      <c r="F403" s="213"/>
      <c r="G403" s="34"/>
      <c r="H403" s="217" t="s">
        <v>613</v>
      </c>
      <c r="I403" s="227">
        <v>280.0</v>
      </c>
      <c r="J403" s="211" t="s">
        <v>1650</v>
      </c>
      <c r="K403" s="34"/>
      <c r="L403" s="34"/>
      <c r="M403" s="34"/>
      <c r="N403" s="34"/>
      <c r="O403" s="34"/>
      <c r="P403" s="34"/>
      <c r="Q403" s="34"/>
      <c r="R403" s="213"/>
      <c r="S403" s="213"/>
      <c r="T403" s="213"/>
    </row>
    <row r="404">
      <c r="A404" s="213"/>
      <c r="B404" s="213"/>
      <c r="C404" s="213"/>
      <c r="D404" s="213"/>
      <c r="E404" s="213"/>
      <c r="F404" s="213"/>
      <c r="G404" s="34"/>
      <c r="H404" s="217" t="s">
        <v>1289</v>
      </c>
      <c r="I404" s="227">
        <v>113.0</v>
      </c>
      <c r="J404" s="211" t="s">
        <v>1651</v>
      </c>
      <c r="K404" s="34"/>
      <c r="L404" s="34"/>
      <c r="M404" s="34"/>
      <c r="N404" s="34"/>
      <c r="O404" s="34"/>
      <c r="P404" s="34"/>
      <c r="Q404" s="34"/>
      <c r="R404" s="213"/>
      <c r="S404" s="213"/>
      <c r="T404" s="213"/>
    </row>
    <row r="405">
      <c r="A405" s="213"/>
      <c r="B405" s="213"/>
      <c r="C405" s="213"/>
      <c r="D405" s="213"/>
      <c r="E405" s="213"/>
      <c r="F405" s="213"/>
      <c r="G405" s="34"/>
      <c r="H405" s="217" t="s">
        <v>1510</v>
      </c>
      <c r="I405" s="227">
        <v>288.0</v>
      </c>
      <c r="J405" s="211" t="s">
        <v>1652</v>
      </c>
      <c r="K405" s="34"/>
      <c r="L405" s="34"/>
      <c r="M405" s="34"/>
      <c r="N405" s="34"/>
      <c r="O405" s="34"/>
      <c r="P405" s="34"/>
      <c r="Q405" s="34"/>
      <c r="R405" s="213"/>
      <c r="S405" s="213"/>
      <c r="T405" s="213"/>
    </row>
    <row r="406">
      <c r="A406" s="213"/>
      <c r="B406" s="213"/>
      <c r="C406" s="213"/>
      <c r="D406" s="213"/>
      <c r="E406" s="213"/>
      <c r="F406" s="213"/>
      <c r="G406" s="34"/>
      <c r="H406" s="217" t="s">
        <v>848</v>
      </c>
      <c r="I406" s="227">
        <v>151.0</v>
      </c>
      <c r="J406" s="45"/>
      <c r="K406" s="34"/>
      <c r="L406" s="34"/>
      <c r="M406" s="34"/>
      <c r="N406" s="34"/>
      <c r="O406" s="34"/>
      <c r="P406" s="34"/>
      <c r="Q406" s="34"/>
      <c r="R406" s="213"/>
      <c r="S406" s="213"/>
      <c r="T406" s="213"/>
    </row>
    <row r="407">
      <c r="A407" s="213"/>
      <c r="B407" s="213"/>
      <c r="C407" s="213"/>
      <c r="D407" s="213"/>
      <c r="E407" s="213"/>
      <c r="F407" s="213"/>
      <c r="G407" s="34"/>
      <c r="H407" s="217" t="s">
        <v>917</v>
      </c>
      <c r="I407" s="227">
        <v>228.0</v>
      </c>
      <c r="J407" s="45"/>
      <c r="K407" s="34"/>
      <c r="L407" s="34"/>
      <c r="M407" s="34"/>
      <c r="N407" s="34"/>
      <c r="O407" s="34"/>
      <c r="P407" s="34"/>
      <c r="Q407" s="34"/>
      <c r="R407" s="213"/>
      <c r="S407" s="213"/>
      <c r="T407" s="213"/>
    </row>
    <row r="408">
      <c r="A408" s="213"/>
      <c r="B408" s="213"/>
      <c r="C408" s="213"/>
      <c r="D408" s="213"/>
      <c r="E408" s="213"/>
      <c r="F408" s="213"/>
      <c r="G408" s="34"/>
      <c r="H408" s="217" t="s">
        <v>1512</v>
      </c>
      <c r="I408" s="227">
        <v>289.0</v>
      </c>
      <c r="J408" s="45"/>
      <c r="K408" s="34"/>
      <c r="L408" s="34"/>
      <c r="M408" s="34"/>
      <c r="N408" s="34"/>
      <c r="O408" s="34"/>
      <c r="P408" s="34"/>
      <c r="Q408" s="34"/>
      <c r="R408" s="213"/>
      <c r="S408" s="213"/>
      <c r="T408" s="213"/>
    </row>
    <row r="409">
      <c r="A409" s="213"/>
      <c r="B409" s="213"/>
      <c r="C409" s="213"/>
      <c r="D409" s="213"/>
      <c r="E409" s="213"/>
      <c r="F409" s="213"/>
      <c r="G409" s="34"/>
      <c r="H409" s="217" t="s">
        <v>531</v>
      </c>
      <c r="I409" s="227">
        <v>330.0</v>
      </c>
      <c r="J409" s="45"/>
      <c r="K409" s="34"/>
      <c r="L409" s="34"/>
      <c r="M409" s="34"/>
      <c r="N409" s="34"/>
      <c r="O409" s="34"/>
      <c r="P409" s="34"/>
      <c r="Q409" s="34"/>
      <c r="R409" s="213"/>
      <c r="S409" s="213"/>
      <c r="T409" s="213"/>
    </row>
    <row r="410">
      <c r="A410" s="213"/>
      <c r="B410" s="213"/>
      <c r="C410" s="213"/>
      <c r="D410" s="213"/>
      <c r="E410" s="213"/>
      <c r="F410" s="213"/>
      <c r="G410" s="34"/>
      <c r="H410" s="217" t="s">
        <v>1576</v>
      </c>
      <c r="I410" s="227">
        <v>545.0</v>
      </c>
      <c r="J410" s="45"/>
      <c r="K410" s="34"/>
      <c r="L410" s="34"/>
      <c r="M410" s="34"/>
      <c r="N410" s="34"/>
      <c r="O410" s="34"/>
      <c r="P410" s="34"/>
      <c r="Q410" s="34"/>
      <c r="R410" s="213"/>
      <c r="S410" s="213"/>
      <c r="T410" s="213"/>
    </row>
    <row r="411">
      <c r="A411" s="213"/>
      <c r="B411" s="213"/>
      <c r="C411" s="213"/>
      <c r="D411" s="213"/>
      <c r="E411" s="213"/>
      <c r="F411" s="213"/>
      <c r="G411" s="34"/>
      <c r="H411" s="217" t="s">
        <v>1453</v>
      </c>
      <c r="I411" s="227">
        <v>535.0</v>
      </c>
      <c r="J411" s="45"/>
      <c r="K411" s="34"/>
      <c r="L411" s="34"/>
      <c r="M411" s="34"/>
      <c r="N411" s="34"/>
      <c r="O411" s="34"/>
      <c r="P411" s="34"/>
      <c r="Q411" s="34"/>
      <c r="R411" s="213"/>
      <c r="S411" s="213"/>
      <c r="T411" s="213"/>
    </row>
    <row r="412">
      <c r="A412" s="213"/>
      <c r="B412" s="213"/>
      <c r="C412" s="213"/>
      <c r="D412" s="213"/>
      <c r="E412" s="213"/>
      <c r="F412" s="213"/>
      <c r="G412" s="34"/>
      <c r="H412" s="217" t="s">
        <v>1578</v>
      </c>
      <c r="I412" s="227">
        <v>546.0</v>
      </c>
      <c r="J412" s="45"/>
      <c r="K412" s="34"/>
      <c r="L412" s="34"/>
      <c r="M412" s="34"/>
      <c r="N412" s="34"/>
      <c r="O412" s="34"/>
      <c r="P412" s="34"/>
      <c r="Q412" s="34"/>
      <c r="R412" s="213"/>
      <c r="S412" s="213"/>
      <c r="T412" s="213"/>
    </row>
    <row r="413">
      <c r="A413" s="213"/>
      <c r="B413" s="213"/>
      <c r="C413" s="213"/>
      <c r="D413" s="213"/>
      <c r="E413" s="213"/>
      <c r="F413" s="213"/>
      <c r="G413" s="34"/>
      <c r="H413" s="217" t="s">
        <v>1580</v>
      </c>
      <c r="I413" s="227">
        <v>547.0</v>
      </c>
      <c r="J413" s="34"/>
      <c r="K413" s="34"/>
      <c r="L413" s="34"/>
      <c r="M413" s="34"/>
      <c r="N413" s="34"/>
      <c r="O413" s="34"/>
      <c r="P413" s="34"/>
      <c r="Q413" s="34"/>
      <c r="R413" s="213"/>
      <c r="S413" s="213"/>
      <c r="T413" s="213"/>
    </row>
    <row r="414">
      <c r="A414" s="213"/>
      <c r="B414" s="213"/>
      <c r="C414" s="213"/>
      <c r="D414" s="213"/>
      <c r="E414" s="213"/>
      <c r="F414" s="213"/>
      <c r="G414" s="34"/>
      <c r="H414" s="217" t="s">
        <v>1456</v>
      </c>
      <c r="I414" s="227">
        <v>536.0</v>
      </c>
      <c r="J414" s="34"/>
      <c r="K414" s="34"/>
      <c r="L414" s="34"/>
      <c r="M414" s="34"/>
      <c r="N414" s="34"/>
      <c r="O414" s="34"/>
      <c r="P414" s="34"/>
      <c r="Q414" s="34"/>
      <c r="R414" s="213"/>
      <c r="S414" s="213"/>
      <c r="T414" s="213"/>
    </row>
    <row r="415">
      <c r="A415" s="213"/>
      <c r="B415" s="213"/>
      <c r="C415" s="213"/>
      <c r="D415" s="213"/>
      <c r="E415" s="213"/>
      <c r="F415" s="213"/>
      <c r="G415" s="34"/>
      <c r="H415" s="217" t="s">
        <v>1459</v>
      </c>
      <c r="I415" s="227">
        <v>168.0</v>
      </c>
      <c r="J415" s="34"/>
      <c r="K415" s="34"/>
      <c r="L415" s="34"/>
      <c r="M415" s="34"/>
      <c r="N415" s="34"/>
      <c r="O415" s="34"/>
      <c r="P415" s="34"/>
      <c r="Q415" s="34"/>
      <c r="R415" s="213"/>
      <c r="S415" s="213"/>
      <c r="T415" s="213"/>
    </row>
    <row r="416">
      <c r="A416" s="213"/>
      <c r="B416" s="213"/>
      <c r="C416" s="213"/>
      <c r="D416" s="213"/>
      <c r="E416" s="213"/>
      <c r="F416" s="213"/>
      <c r="G416" s="34"/>
      <c r="H416" s="217" t="s">
        <v>1425</v>
      </c>
      <c r="I416" s="227">
        <v>143.0</v>
      </c>
      <c r="J416" s="34"/>
      <c r="K416" s="34"/>
      <c r="L416" s="34"/>
      <c r="M416" s="34"/>
      <c r="N416" s="34"/>
      <c r="O416" s="34"/>
      <c r="P416" s="34"/>
      <c r="Q416" s="34"/>
      <c r="R416" s="213"/>
      <c r="S416" s="213"/>
      <c r="T416" s="213"/>
    </row>
    <row r="417">
      <c r="A417" s="213"/>
      <c r="B417" s="213"/>
      <c r="C417" s="213"/>
      <c r="D417" s="213"/>
      <c r="E417" s="213"/>
      <c r="F417" s="213"/>
      <c r="G417" s="34"/>
      <c r="H417" s="217" t="s">
        <v>1178</v>
      </c>
      <c r="I417" s="227">
        <v>349.0</v>
      </c>
      <c r="J417" s="34"/>
      <c r="K417" s="34"/>
      <c r="L417" s="34"/>
      <c r="M417" s="34"/>
      <c r="N417" s="34"/>
      <c r="O417" s="34"/>
      <c r="P417" s="34"/>
      <c r="Q417" s="34"/>
      <c r="R417" s="213"/>
      <c r="S417" s="213"/>
      <c r="T417" s="213"/>
    </row>
    <row r="418">
      <c r="A418" s="213"/>
      <c r="B418" s="213"/>
      <c r="C418" s="213"/>
      <c r="D418" s="213"/>
      <c r="E418" s="213"/>
      <c r="F418" s="213"/>
      <c r="G418" s="34"/>
      <c r="H418" s="217" t="s">
        <v>1505</v>
      </c>
      <c r="I418" s="227">
        <v>544.0</v>
      </c>
      <c r="J418" s="34"/>
      <c r="K418" s="34"/>
      <c r="L418" s="34"/>
      <c r="M418" s="34"/>
      <c r="N418" s="34"/>
      <c r="O418" s="34"/>
      <c r="P418" s="34"/>
      <c r="Q418" s="34"/>
      <c r="R418" s="213"/>
      <c r="S418" s="213"/>
      <c r="T418" s="213"/>
    </row>
    <row r="419">
      <c r="A419" s="213"/>
      <c r="B419" s="213"/>
      <c r="C419" s="213"/>
      <c r="D419" s="213"/>
      <c r="E419" s="213"/>
      <c r="F419" s="213"/>
      <c r="G419" s="34"/>
      <c r="H419" s="217" t="s">
        <v>1378</v>
      </c>
      <c r="I419" s="227">
        <v>442.0</v>
      </c>
      <c r="J419" s="34"/>
      <c r="K419" s="34"/>
      <c r="L419" s="34"/>
      <c r="M419" s="34"/>
      <c r="N419" s="34"/>
      <c r="O419" s="34"/>
      <c r="P419" s="34"/>
      <c r="Q419" s="34"/>
      <c r="R419" s="213"/>
      <c r="S419" s="213"/>
      <c r="T419" s="213"/>
    </row>
    <row r="420">
      <c r="A420" s="213"/>
      <c r="B420" s="213"/>
      <c r="C420" s="213"/>
      <c r="D420" s="213"/>
      <c r="E420" s="213"/>
      <c r="F420" s="213"/>
      <c r="G420" s="34"/>
      <c r="H420" s="217" t="s">
        <v>539</v>
      </c>
      <c r="I420" s="227">
        <v>53.0</v>
      </c>
      <c r="J420" s="34"/>
      <c r="K420" s="34"/>
      <c r="L420" s="34"/>
      <c r="M420" s="34"/>
      <c r="N420" s="34"/>
      <c r="O420" s="34"/>
      <c r="P420" s="34"/>
      <c r="Q420" s="34"/>
      <c r="R420" s="213"/>
      <c r="S420" s="213"/>
      <c r="T420" s="213"/>
    </row>
    <row r="421">
      <c r="A421" s="213"/>
      <c r="B421" s="213"/>
      <c r="C421" s="213"/>
      <c r="D421" s="213"/>
      <c r="E421" s="213"/>
      <c r="F421" s="213"/>
      <c r="G421" s="34"/>
      <c r="H421" s="217" t="s">
        <v>1514</v>
      </c>
      <c r="I421" s="227">
        <v>290.0</v>
      </c>
      <c r="J421" s="34"/>
      <c r="K421" s="34"/>
      <c r="L421" s="34"/>
      <c r="M421" s="34"/>
      <c r="N421" s="34"/>
      <c r="O421" s="34"/>
      <c r="P421" s="34"/>
      <c r="Q421" s="34"/>
      <c r="R421" s="213"/>
      <c r="S421" s="213"/>
      <c r="T421" s="213"/>
    </row>
    <row r="422">
      <c r="A422" s="213"/>
      <c r="B422" s="213"/>
      <c r="C422" s="213"/>
      <c r="D422" s="213"/>
      <c r="E422" s="213"/>
      <c r="F422" s="213"/>
      <c r="G422" s="34"/>
      <c r="H422" s="217" t="s">
        <v>1516</v>
      </c>
      <c r="I422" s="227">
        <v>291.0</v>
      </c>
      <c r="J422" s="34"/>
      <c r="K422" s="34"/>
      <c r="L422" s="34"/>
      <c r="M422" s="34"/>
      <c r="N422" s="34"/>
      <c r="O422" s="34"/>
      <c r="P422" s="34"/>
      <c r="Q422" s="34"/>
      <c r="R422" s="213"/>
      <c r="S422" s="213"/>
      <c r="T422" s="213"/>
    </row>
    <row r="423">
      <c r="A423" s="213"/>
      <c r="B423" s="213"/>
      <c r="C423" s="213"/>
      <c r="D423" s="213"/>
      <c r="E423" s="213"/>
      <c r="F423" s="213"/>
      <c r="G423" s="34"/>
      <c r="H423" s="217" t="s">
        <v>1382</v>
      </c>
      <c r="I423" s="227">
        <v>129.0</v>
      </c>
      <c r="J423" s="34"/>
      <c r="K423" s="34"/>
      <c r="L423" s="34"/>
      <c r="M423" s="34"/>
      <c r="N423" s="34"/>
      <c r="O423" s="34"/>
      <c r="P423" s="34"/>
      <c r="Q423" s="34"/>
      <c r="R423" s="213"/>
      <c r="S423" s="213"/>
      <c r="T423" s="213"/>
    </row>
    <row r="424">
      <c r="A424" s="213"/>
      <c r="B424" s="213"/>
      <c r="C424" s="213"/>
      <c r="D424" s="213"/>
      <c r="E424" s="213"/>
      <c r="F424" s="213"/>
      <c r="G424" s="34"/>
      <c r="H424" s="217" t="s">
        <v>1463</v>
      </c>
      <c r="I424" s="227">
        <v>169.0</v>
      </c>
      <c r="J424" s="34"/>
      <c r="K424" s="34"/>
      <c r="L424" s="34"/>
      <c r="M424" s="34"/>
      <c r="N424" s="34"/>
      <c r="O424" s="34"/>
      <c r="P424" s="34"/>
      <c r="Q424" s="34"/>
      <c r="R424" s="213"/>
      <c r="S424" s="213"/>
      <c r="T424" s="213"/>
    </row>
    <row r="425">
      <c r="A425" s="213"/>
      <c r="B425" s="213"/>
      <c r="C425" s="213"/>
      <c r="D425" s="213"/>
      <c r="E425" s="213"/>
      <c r="F425" s="213"/>
      <c r="G425" s="34"/>
      <c r="H425" s="217" t="s">
        <v>546</v>
      </c>
      <c r="I425" s="227">
        <v>15.0</v>
      </c>
      <c r="J425" s="34"/>
      <c r="K425" s="34"/>
      <c r="L425" s="34"/>
      <c r="M425" s="34"/>
      <c r="N425" s="34"/>
      <c r="O425" s="34"/>
      <c r="P425" s="34"/>
      <c r="Q425" s="34"/>
      <c r="R425" s="213"/>
      <c r="S425" s="213"/>
      <c r="T425" s="213"/>
    </row>
    <row r="426">
      <c r="A426" s="213"/>
      <c r="B426" s="213"/>
      <c r="C426" s="213"/>
      <c r="D426" s="213"/>
      <c r="E426" s="213"/>
      <c r="F426" s="213"/>
      <c r="G426" s="34"/>
      <c r="H426" s="217" t="s">
        <v>805</v>
      </c>
      <c r="I426" s="227">
        <v>331.0</v>
      </c>
      <c r="J426" s="34"/>
      <c r="K426" s="34"/>
      <c r="L426" s="34"/>
      <c r="M426" s="34"/>
      <c r="N426" s="34"/>
      <c r="O426" s="34"/>
      <c r="P426" s="34"/>
      <c r="Q426" s="34"/>
      <c r="R426" s="213"/>
      <c r="S426" s="213"/>
      <c r="T426" s="213"/>
    </row>
    <row r="427">
      <c r="A427" s="213"/>
      <c r="B427" s="213"/>
      <c r="C427" s="213"/>
      <c r="D427" s="213"/>
      <c r="E427" s="213"/>
      <c r="F427" s="213"/>
      <c r="G427" s="34"/>
      <c r="H427" s="217" t="s">
        <v>923</v>
      </c>
      <c r="I427" s="227">
        <v>539.0</v>
      </c>
      <c r="J427" s="34"/>
      <c r="K427" s="34"/>
      <c r="L427" s="34"/>
      <c r="M427" s="34"/>
      <c r="N427" s="34"/>
      <c r="O427" s="34"/>
      <c r="P427" s="34"/>
      <c r="Q427" s="34"/>
      <c r="R427" s="213"/>
      <c r="S427" s="213"/>
      <c r="T427" s="213"/>
    </row>
    <row r="428">
      <c r="A428" s="213"/>
      <c r="B428" s="213"/>
      <c r="C428" s="213"/>
      <c r="D428" s="213"/>
      <c r="E428" s="213"/>
      <c r="F428" s="213"/>
      <c r="G428" s="34"/>
      <c r="H428" s="217" t="s">
        <v>1571</v>
      </c>
      <c r="I428" s="227">
        <v>425.0</v>
      </c>
      <c r="J428" s="34"/>
      <c r="K428" s="34"/>
      <c r="L428" s="34"/>
      <c r="M428" s="34"/>
      <c r="N428" s="34"/>
      <c r="O428" s="34"/>
      <c r="P428" s="34"/>
      <c r="Q428" s="34"/>
      <c r="R428" s="213"/>
      <c r="S428" s="213"/>
      <c r="T428" s="213"/>
    </row>
    <row r="429">
      <c r="A429" s="213"/>
      <c r="B429" s="213"/>
      <c r="C429" s="213"/>
      <c r="D429" s="213"/>
      <c r="E429" s="213"/>
      <c r="F429" s="213"/>
      <c r="G429" s="34"/>
      <c r="H429" s="217" t="s">
        <v>810</v>
      </c>
      <c r="I429" s="227">
        <v>332.0</v>
      </c>
      <c r="J429" s="34"/>
      <c r="K429" s="34"/>
      <c r="L429" s="34"/>
      <c r="M429" s="34"/>
      <c r="N429" s="34"/>
      <c r="O429" s="34"/>
      <c r="P429" s="34"/>
      <c r="Q429" s="34"/>
      <c r="R429" s="213"/>
      <c r="S429" s="213"/>
      <c r="T429" s="213"/>
    </row>
    <row r="430">
      <c r="A430" s="213"/>
      <c r="B430" s="213"/>
      <c r="C430" s="213"/>
      <c r="D430" s="213"/>
      <c r="E430" s="213"/>
      <c r="F430" s="213"/>
      <c r="G430" s="34"/>
      <c r="H430" s="217" t="s">
        <v>1653</v>
      </c>
      <c r="I430" s="227">
        <v>550.0</v>
      </c>
      <c r="K430" s="34"/>
      <c r="L430" s="34"/>
      <c r="M430" s="34"/>
      <c r="N430" s="34"/>
      <c r="O430" s="34"/>
      <c r="P430" s="34"/>
      <c r="Q430" s="34"/>
      <c r="R430" s="213"/>
      <c r="S430" s="213"/>
      <c r="T430" s="21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0"/>
    <col customWidth="1" min="2" max="2" width="26.75"/>
    <col customWidth="1" min="3" max="3" width="13.88"/>
    <col customWidth="1" min="4" max="4" width="19.38"/>
    <col customWidth="1" min="5" max="5" width="30.75"/>
    <col customWidth="1" min="6" max="6" width="20.63"/>
    <col customWidth="1" min="7" max="7" width="17.13"/>
    <col customWidth="1" min="8" max="8" width="17.63"/>
    <col customWidth="1" min="9" max="9" width="15.13"/>
    <col customWidth="1" min="10" max="10" width="16.38"/>
    <col customWidth="1" min="11" max="11" width="22.75"/>
    <col customWidth="1" min="12" max="12" width="9.0"/>
    <col customWidth="1" min="13" max="13" width="15.75"/>
    <col customWidth="1" min="14" max="14" width="14.75"/>
    <col customWidth="1" min="15" max="15" width="16.75"/>
    <col customWidth="1" min="16" max="16" width="17.0"/>
  </cols>
  <sheetData>
    <row r="1">
      <c r="A1" s="228" t="s">
        <v>1654</v>
      </c>
    </row>
    <row r="2">
      <c r="A2" s="229" t="s">
        <v>1655</v>
      </c>
    </row>
    <row r="3">
      <c r="A3" s="13">
        <f>IFERROR(__xludf.DUMMYFUNCTION("COUNTUNIQUE(A7:A127)-if(COUNTIF('4) Release_Artist(s)'!E:E, ""Various Artists"")&gt;0,0,1)"),35.0)</f>
        <v>35</v>
      </c>
      <c r="B3" s="14" t="s">
        <v>25</v>
      </c>
      <c r="C3" s="15">
        <f>IFERROR(__xludf.DUMMYFUNCTION("COUNTUNIQUE(C7:C127)"),11.0)</f>
        <v>11</v>
      </c>
      <c r="D3" s="16">
        <f>IFERROR(__xludf.DUMMYFUNCTION("COUNTUNIQUE(D7:D127)"),13.0)</f>
        <v>13</v>
      </c>
    </row>
    <row r="4">
      <c r="A4" s="21" t="s">
        <v>27</v>
      </c>
      <c r="B4" s="22" t="s">
        <v>28</v>
      </c>
      <c r="C4" s="23"/>
      <c r="D4" s="24" t="s">
        <v>29</v>
      </c>
    </row>
    <row r="5">
      <c r="A5" s="29" t="s">
        <v>31</v>
      </c>
      <c r="B5" s="30" t="s">
        <v>32</v>
      </c>
      <c r="C5" s="31" t="s">
        <v>33</v>
      </c>
      <c r="D5" s="32" t="s">
        <v>34</v>
      </c>
    </row>
    <row r="6">
      <c r="A6" s="35" t="s">
        <v>39</v>
      </c>
      <c r="B6" s="36" t="s">
        <v>40</v>
      </c>
      <c r="C6" s="37" t="s">
        <v>41</v>
      </c>
      <c r="D6" s="38" t="s">
        <v>42</v>
      </c>
    </row>
    <row r="7">
      <c r="A7" s="230" t="s">
        <v>1656</v>
      </c>
      <c r="B7" s="231" t="s">
        <v>1657</v>
      </c>
      <c r="C7" s="232"/>
    </row>
    <row r="8">
      <c r="A8" s="233" t="s">
        <v>1658</v>
      </c>
      <c r="B8" s="232"/>
      <c r="C8" s="232"/>
    </row>
    <row r="10">
      <c r="A10" s="229" t="s">
        <v>1659</v>
      </c>
    </row>
    <row r="11">
      <c r="A11" s="14" t="s">
        <v>54</v>
      </c>
      <c r="B11" s="13">
        <f>IFERROR(__xludf.DUMMYFUNCTION("COUNTUNIQUE(A15:A127)"),31.0)</f>
        <v>31</v>
      </c>
    </row>
    <row r="12">
      <c r="A12" s="21" t="s">
        <v>27</v>
      </c>
    </row>
    <row r="13">
      <c r="A13" s="50" t="s">
        <v>55</v>
      </c>
      <c r="B13" s="16" t="s">
        <v>38</v>
      </c>
    </row>
    <row r="14">
      <c r="A14" s="35" t="s">
        <v>39</v>
      </c>
      <c r="B14" s="234">
        <v>0.0</v>
      </c>
    </row>
    <row r="15">
      <c r="A15" s="235" t="s">
        <v>1660</v>
      </c>
    </row>
    <row r="17">
      <c r="A17" s="236" t="s">
        <v>1661</v>
      </c>
    </row>
    <row r="18">
      <c r="A18" s="13">
        <f>IFERROR(__xludf.DUMMYFUNCTION("COUNTUNIQUE(A22:A127)"),26.0)</f>
        <v>26</v>
      </c>
      <c r="B18" s="21" t="s">
        <v>27</v>
      </c>
      <c r="C18" s="13">
        <f>IFERROR(__xludf.DUMMYFUNCTION("COUNTUNIQUE(B22:B127)"),13.0)</f>
        <v>13</v>
      </c>
      <c r="D18" s="13">
        <f>IFERROR(__xludf.DUMMYFUNCTION("COUNTUNIQUE(D22:D127)"),10.0)</f>
        <v>10</v>
      </c>
      <c r="E18" s="13">
        <f>IFERROR(__xludf.DUMMYFUNCTION("COUNTUNIQUE(E22:E127)"),21.0)</f>
        <v>21</v>
      </c>
      <c r="F18" s="52" t="s">
        <v>29</v>
      </c>
      <c r="G18" s="13">
        <f>COUNTA(F22:F127)</f>
        <v>26</v>
      </c>
      <c r="H18" s="53" t="s">
        <v>58</v>
      </c>
      <c r="I18" s="54">
        <f>countif(I22:I127,"Video")</f>
        <v>0</v>
      </c>
      <c r="J18" s="55"/>
      <c r="L18" s="56"/>
      <c r="M18" s="21" t="s">
        <v>27</v>
      </c>
      <c r="N18" s="57" t="s">
        <v>58</v>
      </c>
      <c r="O18" s="58"/>
      <c r="P18" s="58"/>
    </row>
    <row r="19">
      <c r="A19" s="59" t="s">
        <v>59</v>
      </c>
      <c r="B19" s="60"/>
      <c r="C19" s="60"/>
      <c r="D19" s="60"/>
      <c r="E19" s="61"/>
      <c r="F19" s="60"/>
      <c r="G19" s="60"/>
      <c r="H19" s="60"/>
      <c r="I19" s="62"/>
      <c r="J19" s="60"/>
      <c r="K19" s="60"/>
      <c r="L19" s="60"/>
      <c r="M19" s="60"/>
      <c r="N19" s="63"/>
      <c r="O19" s="62"/>
      <c r="P19" s="62"/>
    </row>
    <row r="20">
      <c r="A20" s="64" t="s">
        <v>60</v>
      </c>
      <c r="B20" s="67" t="s">
        <v>1662</v>
      </c>
      <c r="C20" s="66" t="s">
        <v>62</v>
      </c>
      <c r="D20" s="67" t="s">
        <v>63</v>
      </c>
      <c r="E20" s="68" t="s">
        <v>64</v>
      </c>
      <c r="F20" s="69" t="s">
        <v>65</v>
      </c>
      <c r="G20" s="69" t="s">
        <v>66</v>
      </c>
      <c r="H20" s="70" t="s">
        <v>67</v>
      </c>
      <c r="I20" s="64" t="s">
        <v>68</v>
      </c>
      <c r="J20" s="71" t="s">
        <v>69</v>
      </c>
      <c r="K20" s="71"/>
      <c r="L20" s="71" t="s">
        <v>70</v>
      </c>
      <c r="M20" s="71"/>
      <c r="N20" s="72" t="s">
        <v>71</v>
      </c>
      <c r="O20" s="73" t="s">
        <v>72</v>
      </c>
      <c r="P20" s="74" t="s">
        <v>73</v>
      </c>
    </row>
    <row r="21">
      <c r="A21" s="76" t="s">
        <v>74</v>
      </c>
      <c r="B21" s="77" t="s">
        <v>1663</v>
      </c>
      <c r="C21" s="78" t="s">
        <v>76</v>
      </c>
      <c r="D21" s="77" t="s">
        <v>1664</v>
      </c>
      <c r="E21" s="79" t="s">
        <v>1665</v>
      </c>
      <c r="F21" s="80" t="s">
        <v>79</v>
      </c>
      <c r="G21" s="80" t="s">
        <v>80</v>
      </c>
      <c r="H21" s="81" t="s">
        <v>81</v>
      </c>
      <c r="I21" s="35" t="s">
        <v>82</v>
      </c>
      <c r="J21" s="35" t="s">
        <v>83</v>
      </c>
      <c r="K21" s="80" t="s">
        <v>84</v>
      </c>
      <c r="L21" s="35" t="s">
        <v>83</v>
      </c>
      <c r="M21" s="80" t="s">
        <v>84</v>
      </c>
      <c r="N21" s="36" t="s">
        <v>85</v>
      </c>
      <c r="O21" s="35" t="s">
        <v>1666</v>
      </c>
      <c r="P21" s="81" t="s">
        <v>1667</v>
      </c>
    </row>
    <row r="22">
      <c r="A22" s="237" t="s">
        <v>1660</v>
      </c>
      <c r="B22" s="238" t="s">
        <v>1668</v>
      </c>
      <c r="C22" s="239" t="s">
        <v>87</v>
      </c>
      <c r="D22" s="240">
        <v>1.94492001536E11</v>
      </c>
      <c r="E22" s="237">
        <v>1503.0</v>
      </c>
      <c r="F22" s="241" t="s">
        <v>1669</v>
      </c>
      <c r="G22" s="237" t="s">
        <v>544</v>
      </c>
      <c r="H22" s="242"/>
      <c r="I22" s="237" t="s">
        <v>91</v>
      </c>
      <c r="J22" s="237">
        <v>2019.0</v>
      </c>
      <c r="K22" s="237" t="s">
        <v>1670</v>
      </c>
      <c r="L22" s="237">
        <v>2019.0</v>
      </c>
      <c r="M22" s="237" t="s">
        <v>1670</v>
      </c>
      <c r="N22" s="242"/>
      <c r="O22" s="243" t="s">
        <v>1126</v>
      </c>
      <c r="P22" s="244"/>
    </row>
    <row r="24">
      <c r="A24" s="245" t="s">
        <v>1671</v>
      </c>
    </row>
    <row r="25">
      <c r="A25" s="246">
        <v>0.0</v>
      </c>
      <c r="B25" s="246">
        <v>0.0</v>
      </c>
      <c r="C25" s="99" t="s">
        <v>99</v>
      </c>
      <c r="D25" s="100"/>
      <c r="E25" s="13">
        <f>IFERROR(__xludf.DUMMYFUNCTION("COUNTUNIQUE(E29:E127)"),18.0)</f>
        <v>18</v>
      </c>
      <c r="F25" s="21" t="s">
        <v>27</v>
      </c>
      <c r="G25" s="101" t="s">
        <v>29</v>
      </c>
    </row>
    <row r="26">
      <c r="A26" s="103" t="s">
        <v>100</v>
      </c>
      <c r="B26" s="104"/>
      <c r="C26" s="105"/>
      <c r="D26" s="106"/>
      <c r="E26" s="106"/>
      <c r="F26" s="106"/>
      <c r="G26" s="106"/>
    </row>
    <row r="27">
      <c r="A27" s="65" t="s">
        <v>63</v>
      </c>
      <c r="B27" s="68" t="s">
        <v>64</v>
      </c>
      <c r="C27" s="108" t="s">
        <v>65</v>
      </c>
      <c r="D27" s="108" t="s">
        <v>67</v>
      </c>
      <c r="E27" s="109" t="s">
        <v>101</v>
      </c>
      <c r="F27" s="109" t="s">
        <v>102</v>
      </c>
      <c r="G27" s="13">
        <f>countif(F:F,"Main Primary Artist")-'3) Release_Label'!G25</f>
        <v>4</v>
      </c>
    </row>
    <row r="28">
      <c r="A28" s="77" t="s">
        <v>104</v>
      </c>
      <c r="B28" s="79" t="s">
        <v>104</v>
      </c>
      <c r="C28" s="111" t="s">
        <v>105</v>
      </c>
      <c r="E28" s="112" t="s">
        <v>1672</v>
      </c>
      <c r="F28" s="35" t="s">
        <v>82</v>
      </c>
      <c r="G28" s="48" t="s">
        <v>1673</v>
      </c>
    </row>
    <row r="29">
      <c r="A29" s="240">
        <v>1.94492001536E11</v>
      </c>
      <c r="B29" s="237">
        <v>1503.0</v>
      </c>
      <c r="C29" s="121" t="str">
        <f t="shared" ref="C29:C30" si="1">if(and(isblank($A29),isblank($B29)),"", if(and(not(isblank($B29)),$B29=$B28,$A29&lt;&gt;$A28),"ID LISTS UNALIGNED",if(not(isblank($A29)),ifna(VLOOKUP($A29,D$22:F$22,3,false),"NO UPC MATCH in Release_Label"),ifna(VLOOKUP($B29,E$22:H$22,2,false),"NO CATALOG ID MATCH in Release_Label") )))</f>
        <v>Soul Salvation</v>
      </c>
      <c r="D29" s="121" t="str">
        <f t="shared" ref="D29:D30" si="2">if(and(isblank($A29),isblank($B29)),"", if(and(not(isblank($B29)),$B29=$B28,$A29&lt;&gt;$A28),"ID LISTS UNALIGNED",if(not(isblank($A29)),ifna(VLOOKUP($A29,$D$22:$H$22,5,false),"NO UPC MATCH in Release_Label"),ifna(VLOOKUP($B29,$E$22:$H$22,4,false),"NO CATALOG ID MATCH in Release_Label") )))</f>
        <v/>
      </c>
      <c r="E29" s="237" t="s">
        <v>1656</v>
      </c>
      <c r="F29" s="243" t="s">
        <v>108</v>
      </c>
    </row>
    <row r="30">
      <c r="A30" s="240">
        <v>1.94492001536E11</v>
      </c>
      <c r="B30" s="237">
        <v>1503.0</v>
      </c>
      <c r="C30" s="121" t="str">
        <f t="shared" si="1"/>
        <v>Soul Salvation</v>
      </c>
      <c r="D30" s="121" t="str">
        <f t="shared" si="2"/>
        <v/>
      </c>
      <c r="E30" s="237" t="s">
        <v>1658</v>
      </c>
      <c r="F30" s="243" t="s">
        <v>241</v>
      </c>
    </row>
    <row r="32">
      <c r="A32" s="245" t="s">
        <v>1674</v>
      </c>
    </row>
    <row r="33">
      <c r="A33" s="246">
        <v>0.0</v>
      </c>
      <c r="B33" s="246">
        <v>0.0</v>
      </c>
      <c r="C33" s="99" t="s">
        <v>99</v>
      </c>
      <c r="D33" s="100"/>
      <c r="E33" s="54">
        <f>count(E37:E127)</f>
        <v>7</v>
      </c>
      <c r="F33" s="13">
        <f>IFERROR(__xludf.DUMMYFUNCTION("COUNTUNIQUE(F37:F127)"),11.0)</f>
        <v>11</v>
      </c>
      <c r="G33" s="13">
        <f>IFERROR(__xludf.DUMMYFUNCTION("COUNTUNIQUE(G37:G127)"),11.0)</f>
        <v>11</v>
      </c>
      <c r="H33" s="52" t="s">
        <v>29</v>
      </c>
      <c r="I33" s="53" t="s">
        <v>58</v>
      </c>
      <c r="J33" s="21" t="s">
        <v>27</v>
      </c>
      <c r="K33" s="98"/>
      <c r="M33" s="13">
        <f>IFERROR(__xludf.DUMMYFUNCTION("COUNTUNIQUE(M37:M127)"),3.0)</f>
        <v>3</v>
      </c>
      <c r="N33" s="13">
        <f>COUNTA(N37:N127)</f>
        <v>3</v>
      </c>
    </row>
    <row r="34">
      <c r="A34" s="105" t="s">
        <v>115</v>
      </c>
      <c r="B34" s="106"/>
      <c r="C34" s="106"/>
      <c r="D34" s="126"/>
      <c r="E34" s="127"/>
      <c r="F34" s="106"/>
      <c r="G34" s="106"/>
      <c r="H34" s="106"/>
      <c r="I34" s="106"/>
      <c r="J34" s="106"/>
      <c r="K34" s="126"/>
      <c r="L34" s="106"/>
      <c r="M34" s="106"/>
      <c r="N34" s="106"/>
      <c r="O34" s="106"/>
    </row>
    <row r="35">
      <c r="A35" s="67" t="s">
        <v>63</v>
      </c>
      <c r="B35" s="68" t="s">
        <v>64</v>
      </c>
      <c r="C35" s="108" t="s">
        <v>65</v>
      </c>
      <c r="D35" s="108" t="s">
        <v>67</v>
      </c>
      <c r="E35" s="108" t="s">
        <v>116</v>
      </c>
      <c r="F35" s="129" t="s">
        <v>1675</v>
      </c>
      <c r="G35" s="68" t="s">
        <v>118</v>
      </c>
      <c r="H35" s="69" t="s">
        <v>119</v>
      </c>
      <c r="I35" s="130" t="s">
        <v>120</v>
      </c>
      <c r="J35" s="50" t="s">
        <v>121</v>
      </c>
      <c r="K35" s="50" t="s">
        <v>122</v>
      </c>
      <c r="L35" s="50" t="s">
        <v>123</v>
      </c>
      <c r="M35" s="68" t="s">
        <v>124</v>
      </c>
      <c r="N35" s="66" t="s">
        <v>125</v>
      </c>
      <c r="O35" s="131" t="s">
        <v>126</v>
      </c>
    </row>
    <row r="36">
      <c r="A36" s="77" t="s">
        <v>104</v>
      </c>
      <c r="B36" s="79" t="s">
        <v>104</v>
      </c>
      <c r="C36" s="132" t="s">
        <v>105</v>
      </c>
      <c r="E36" s="133" t="s">
        <v>128</v>
      </c>
      <c r="F36" s="134" t="s">
        <v>1676</v>
      </c>
      <c r="G36" s="79" t="s">
        <v>1677</v>
      </c>
      <c r="H36" s="80" t="s">
        <v>79</v>
      </c>
      <c r="I36" s="81" t="s">
        <v>81</v>
      </c>
      <c r="J36" s="135" t="s">
        <v>1678</v>
      </c>
      <c r="K36" s="135" t="s">
        <v>132</v>
      </c>
      <c r="L36" s="135" t="s">
        <v>133</v>
      </c>
      <c r="M36" s="79" t="s">
        <v>1679</v>
      </c>
      <c r="N36" s="136" t="s">
        <v>135</v>
      </c>
      <c r="O36" s="36" t="s">
        <v>136</v>
      </c>
    </row>
    <row r="37">
      <c r="A37" s="240">
        <v>1.94492001536E11</v>
      </c>
      <c r="B37" s="237">
        <v>1503.0</v>
      </c>
      <c r="C37" s="121" t="str">
        <f t="shared" ref="C37:C39" si="3">if(and(isblank($A37),isblank($B37)),"", if(and(not(isblank($B37)),$B37=$B36,$A37&lt;&gt;$A36),"ID LISTS UNALIGNED",if(not(isblank($A37)),ifna(VLOOKUP($A37,D$22:F$22,3,false),"NO UPC MATCH in Release_Label"),ifna(VLOOKUP($B37,E$22:H$22,2,false),"NO CATALOG ID MATCH in Release_Label") )))</f>
        <v>Soul Salvation</v>
      </c>
      <c r="D37" s="121" t="str">
        <f t="shared" ref="D37:D39" si="4">if(and(isblank($A37),isblank($B37)),"", if(and(not(isblank($B37)),$B37=$B36,$A37&lt;&gt;$A36),"ID LISTS UNALIGNED",if(not(isblank($A37)),ifna(VLOOKUP($A37,$D$22:$H$22,5,false),"NO UPC MATCH in Release_Label"),ifna(VLOOKUP($B37,$E$22:$H$22,4,false),"NO CATALOG ID MATCH in Release_Label") )))</f>
        <v/>
      </c>
      <c r="E37" s="247">
        <f t="shared" ref="E37:E39" si="5">if(and(isblank($A37),isblank($B37)),"",if(not(iserror(find("MATCH in ",D37))),D37,if(and(not(isblank($B37)),$B37=$B36,$A37&lt;&gt;$A36),"ID LISTS UNALIGNED",if(not(isblank($A37)),if($A37=$A36,1+E36,1),if($B37=$B36,1+E36,1)))))</f>
        <v>1</v>
      </c>
      <c r="F37" s="237" t="s">
        <v>1680</v>
      </c>
      <c r="G37" s="237">
        <v>13296.0</v>
      </c>
      <c r="H37" s="248" t="s">
        <v>1669</v>
      </c>
      <c r="I37" s="242"/>
      <c r="J37" s="237" t="s">
        <v>544</v>
      </c>
      <c r="K37" s="249" t="s">
        <v>138</v>
      </c>
      <c r="L37" s="237" t="s">
        <v>139</v>
      </c>
      <c r="M37" s="250" t="s">
        <v>1681</v>
      </c>
      <c r="N37" s="237" t="s">
        <v>216</v>
      </c>
      <c r="O37" s="237">
        <v>70.0</v>
      </c>
    </row>
    <row r="38">
      <c r="A38" s="240">
        <v>1.94492001536E11</v>
      </c>
      <c r="B38" s="237">
        <v>1503.0</v>
      </c>
      <c r="C38" s="121" t="str">
        <f t="shared" si="3"/>
        <v>Soul Salvation</v>
      </c>
      <c r="D38" s="121" t="str">
        <f t="shared" si="4"/>
        <v/>
      </c>
      <c r="E38" s="247">
        <f t="shared" si="5"/>
        <v>2</v>
      </c>
      <c r="F38" s="237" t="s">
        <v>1682</v>
      </c>
      <c r="G38" s="237">
        <v>13295.0</v>
      </c>
      <c r="H38" s="248" t="s">
        <v>1669</v>
      </c>
      <c r="I38" s="251" t="s">
        <v>417</v>
      </c>
      <c r="J38" s="237" t="s">
        <v>417</v>
      </c>
      <c r="K38" s="249" t="s">
        <v>138</v>
      </c>
      <c r="L38" s="237" t="s">
        <v>139</v>
      </c>
      <c r="M38" s="250" t="s">
        <v>1683</v>
      </c>
      <c r="N38" s="237" t="s">
        <v>216</v>
      </c>
      <c r="O38" s="237">
        <v>100.0</v>
      </c>
    </row>
    <row r="39">
      <c r="A39" s="240">
        <v>1.94492001536E11</v>
      </c>
      <c r="B39" s="237">
        <v>1503.0</v>
      </c>
      <c r="C39" s="121" t="str">
        <f t="shared" si="3"/>
        <v>Soul Salvation</v>
      </c>
      <c r="D39" s="121" t="str">
        <f t="shared" si="4"/>
        <v/>
      </c>
      <c r="E39" s="247">
        <f t="shared" si="5"/>
        <v>3</v>
      </c>
      <c r="F39" s="240" t="s">
        <v>1684</v>
      </c>
      <c r="G39" s="240">
        <v>13452.0</v>
      </c>
      <c r="H39" s="248" t="s">
        <v>1685</v>
      </c>
      <c r="I39" s="251" t="s">
        <v>417</v>
      </c>
      <c r="J39" s="237" t="s">
        <v>417</v>
      </c>
      <c r="K39" s="249" t="s">
        <v>138</v>
      </c>
      <c r="L39" s="237" t="s">
        <v>139</v>
      </c>
      <c r="M39" s="231" t="s">
        <v>1686</v>
      </c>
      <c r="N39" s="240" t="s">
        <v>141</v>
      </c>
      <c r="O39" s="240">
        <v>100.0</v>
      </c>
    </row>
    <row r="41">
      <c r="A41" s="245" t="s">
        <v>1687</v>
      </c>
    </row>
    <row r="42">
      <c r="A42" s="246">
        <v>0.0</v>
      </c>
      <c r="B42" s="246">
        <v>0.0</v>
      </c>
      <c r="C42" s="99" t="s">
        <v>99</v>
      </c>
      <c r="D42" s="100"/>
      <c r="E42" s="13">
        <f>IFERROR(__xludf.DUMMYFUNCTION("COUNTUNIQUE(E46:E127)"),10.0)</f>
        <v>10</v>
      </c>
      <c r="F42" s="21" t="s">
        <v>27</v>
      </c>
      <c r="G42" s="101" t="s">
        <v>29</v>
      </c>
    </row>
    <row r="43">
      <c r="A43" s="105" t="s">
        <v>145</v>
      </c>
      <c r="B43" s="106"/>
      <c r="C43" s="157"/>
      <c r="D43" s="157"/>
      <c r="E43" s="157"/>
      <c r="F43" s="157"/>
    </row>
    <row r="44">
      <c r="A44" s="129" t="s">
        <v>1675</v>
      </c>
      <c r="B44" s="68" t="s">
        <v>118</v>
      </c>
      <c r="C44" s="158" t="s">
        <v>119</v>
      </c>
      <c r="D44" s="158" t="s">
        <v>120</v>
      </c>
      <c r="E44" s="109" t="s">
        <v>101</v>
      </c>
      <c r="F44" s="109" t="s">
        <v>102</v>
      </c>
      <c r="G44" s="13">
        <f>IFERROR(__xludf.DUMMYFUNCTION("countif(F:F,""Main Primary Artist"")-arrayformula(COUNTUNIQUE('5) Release_Track'!F46:F127&amp;'5) Release_Track'!G46:G127))"),4.0)</f>
        <v>4</v>
      </c>
    </row>
    <row r="45">
      <c r="A45" s="77" t="s">
        <v>146</v>
      </c>
      <c r="B45" s="159" t="s">
        <v>146</v>
      </c>
      <c r="C45" s="111" t="s">
        <v>147</v>
      </c>
      <c r="E45" s="112" t="s">
        <v>148</v>
      </c>
      <c r="F45" s="35" t="s">
        <v>82</v>
      </c>
      <c r="G45" s="48" t="s">
        <v>1673</v>
      </c>
    </row>
    <row r="46">
      <c r="A46" s="240" t="s">
        <v>1680</v>
      </c>
      <c r="B46" s="237">
        <v>13296.0</v>
      </c>
      <c r="C46" s="121" t="s">
        <v>1669</v>
      </c>
      <c r="D46" s="121" t="str">
        <f t="shared" ref="D46:D49" si="6">if(and(isblank($A46),isblank($B46)),"", if(and(not(isblank($B46)),$B46=$B45,$A46&lt;&gt;$A45),"ID LISTS UNALIGNED",if(not(isblank($A46)),ifna(VLOOKUP($A46,$F$37:$I$39,4,false),"NO ISRC MATCH in Release_Track"),ifna(VLOOKUP($B46,$G$37:$I$39,2,false),"NO CATALOG ID MATCH in Release_Track") )))</f>
        <v/>
      </c>
      <c r="E46" s="237" t="s">
        <v>1656</v>
      </c>
      <c r="F46" s="243" t="s">
        <v>108</v>
      </c>
    </row>
    <row r="47">
      <c r="A47" s="240" t="s">
        <v>1680</v>
      </c>
      <c r="B47" s="237">
        <v>13296.0</v>
      </c>
      <c r="C47" s="121" t="s">
        <v>1669</v>
      </c>
      <c r="D47" s="121" t="str">
        <f t="shared" si="6"/>
        <v/>
      </c>
      <c r="E47" s="237" t="s">
        <v>1658</v>
      </c>
      <c r="F47" s="243" t="s">
        <v>241</v>
      </c>
    </row>
    <row r="48">
      <c r="A48" s="240" t="s">
        <v>1682</v>
      </c>
      <c r="B48" s="237">
        <v>13295.0</v>
      </c>
      <c r="C48" s="121" t="s">
        <v>1669</v>
      </c>
      <c r="D48" s="121" t="str">
        <f t="shared" si="6"/>
        <v>Instrumental</v>
      </c>
      <c r="E48" s="237" t="s">
        <v>1656</v>
      </c>
      <c r="F48" s="243" t="s">
        <v>108</v>
      </c>
      <c r="G48" s="28"/>
    </row>
    <row r="49">
      <c r="A49" s="240" t="s">
        <v>1684</v>
      </c>
      <c r="B49" s="240">
        <v>13452.0</v>
      </c>
      <c r="C49" s="121" t="s">
        <v>1685</v>
      </c>
      <c r="D49" s="121" t="str">
        <f t="shared" si="6"/>
        <v>Instrumental</v>
      </c>
      <c r="E49" s="237" t="s">
        <v>1656</v>
      </c>
      <c r="F49" s="243" t="s">
        <v>108</v>
      </c>
      <c r="G49" s="28"/>
    </row>
    <row r="51">
      <c r="A51" s="252" t="s">
        <v>1688</v>
      </c>
      <c r="B51" s="253"/>
    </row>
    <row r="52">
      <c r="A52" s="14" t="s">
        <v>155</v>
      </c>
      <c r="B52" s="13">
        <f>IFERROR(__xludf.DUMMYFUNCTION("COUNTUNIQUE(A56:A127)"),10.0)</f>
        <v>10</v>
      </c>
      <c r="D52" s="14" t="s">
        <v>156</v>
      </c>
      <c r="E52" s="13">
        <f>IFERROR(__xludf.DUMMYFUNCTION("COUNTUNIQUE(D56:D127)"),4.0)</f>
        <v>4</v>
      </c>
    </row>
    <row r="53">
      <c r="A53" s="21" t="s">
        <v>27</v>
      </c>
      <c r="B53" s="16" t="s">
        <v>38</v>
      </c>
      <c r="D53" s="162" t="s">
        <v>29</v>
      </c>
      <c r="E53" s="16" t="s">
        <v>38</v>
      </c>
    </row>
    <row r="54">
      <c r="A54" s="109" t="s">
        <v>157</v>
      </c>
      <c r="B54" s="234">
        <v>0.0</v>
      </c>
      <c r="D54" s="129" t="s">
        <v>160</v>
      </c>
      <c r="E54" s="234">
        <v>0.0</v>
      </c>
    </row>
    <row r="55">
      <c r="A55" s="35" t="s">
        <v>39</v>
      </c>
      <c r="D55" s="77" t="s">
        <v>163</v>
      </c>
    </row>
    <row r="56">
      <c r="A56" s="254" t="s">
        <v>1689</v>
      </c>
      <c r="D56" s="255" t="s">
        <v>1690</v>
      </c>
    </row>
    <row r="57">
      <c r="A57" s="254" t="s">
        <v>1691</v>
      </c>
      <c r="D57" s="255" t="s">
        <v>1692</v>
      </c>
    </row>
    <row r="58">
      <c r="A58" s="256"/>
    </row>
    <row r="59">
      <c r="A59" s="252" t="s">
        <v>1693</v>
      </c>
      <c r="B59" s="253"/>
    </row>
    <row r="60">
      <c r="A60" s="13">
        <f>IFERROR(__xludf.DUMMYFUNCTION("COUNTUNIQUE(A64:A127)-'5) Release_Track'!F60"),3.0)</f>
        <v>3</v>
      </c>
      <c r="B60" s="54">
        <f>IFERROR(__xludf.DUMMYFUNCTION("COUNTUNIQUE(B64:B127)-'5) Release_Track'!G60"),3.0)</f>
        <v>3</v>
      </c>
      <c r="C60" s="168" t="s">
        <v>99</v>
      </c>
      <c r="D60" s="111"/>
      <c r="E60" s="13">
        <f>IFERROR(__xludf.DUMMYFUNCTION("COUNTUNIQUE(E64:E127)"),2.0)</f>
        <v>2</v>
      </c>
      <c r="F60" s="21" t="s">
        <v>27</v>
      </c>
      <c r="G60" s="169">
        <f>IFERROR(__xludf.DUMMYFUNCTION("sum(G64:G127)-arrayformula(COUNTUNIQUE(A64:A127&amp;B64:B127))"),0.0)</f>
        <v>0</v>
      </c>
      <c r="H60" s="111"/>
      <c r="I60" s="13">
        <f>countif(I64:I127,"Published (managed by a publisher)")</f>
        <v>2</v>
      </c>
      <c r="J60" s="13">
        <f>COUNTA(J64:J127)</f>
        <v>2</v>
      </c>
      <c r="K60" s="13">
        <f>IFERROR(__xludf.DUMMYFUNCTION("COUNTUNIQUE(J64:J127)"),2.0)</f>
        <v>2</v>
      </c>
    </row>
    <row r="61">
      <c r="A61" s="170" t="s">
        <v>171</v>
      </c>
      <c r="B61" s="106"/>
      <c r="C61" s="157"/>
      <c r="D61" s="157"/>
      <c r="E61" s="157"/>
      <c r="F61" s="157"/>
      <c r="G61" s="106"/>
      <c r="H61" s="157"/>
      <c r="I61" s="157"/>
      <c r="J61" s="157"/>
      <c r="K61" s="101" t="s">
        <v>29</v>
      </c>
      <c r="L61" s="171"/>
    </row>
    <row r="62">
      <c r="A62" s="129" t="s">
        <v>1675</v>
      </c>
      <c r="B62" s="68" t="s">
        <v>118</v>
      </c>
      <c r="C62" s="158" t="s">
        <v>119</v>
      </c>
      <c r="D62" s="158" t="s">
        <v>120</v>
      </c>
      <c r="E62" s="109" t="s">
        <v>173</v>
      </c>
      <c r="F62" s="109" t="s">
        <v>174</v>
      </c>
      <c r="G62" s="172" t="s">
        <v>175</v>
      </c>
      <c r="H62" s="158" t="s">
        <v>176</v>
      </c>
      <c r="I62" s="109" t="s">
        <v>177</v>
      </c>
      <c r="J62" s="65" t="s">
        <v>178</v>
      </c>
    </row>
    <row r="63">
      <c r="A63" s="77" t="s">
        <v>146</v>
      </c>
      <c r="B63" s="159" t="s">
        <v>146</v>
      </c>
      <c r="C63" s="111" t="s">
        <v>147</v>
      </c>
      <c r="E63" s="112" t="s">
        <v>179</v>
      </c>
      <c r="F63" s="35" t="s">
        <v>82</v>
      </c>
      <c r="G63" s="174" t="s">
        <v>180</v>
      </c>
      <c r="H63" s="111" t="s">
        <v>181</v>
      </c>
      <c r="I63" s="35" t="s">
        <v>82</v>
      </c>
      <c r="J63" s="175" t="s">
        <v>182</v>
      </c>
    </row>
    <row r="64">
      <c r="A64" s="240" t="s">
        <v>1680</v>
      </c>
      <c r="B64" s="237">
        <v>13296.0</v>
      </c>
      <c r="C64" s="121" t="s">
        <v>1669</v>
      </c>
      <c r="D64" s="121" t="str">
        <f t="shared" ref="D64:D67" si="7">if(and(isblank($A64),isblank($B64)),"", if(and(not(isblank($B64)),$B64=$B63,$A64&lt;&gt;$A63),"ID LISTS UNALIGNED",if(not(isblank($A64)),ifna(VLOOKUP($A64,$F$37:$I$39,4,false),"NO ISRC MATCH in Release_Track"),ifna(VLOOKUP($B64,$G$37:$I$39,2,false),"NO CATALOG ID MATCH in Release_Track") )))</f>
        <v/>
      </c>
      <c r="E64" s="237" t="s">
        <v>1689</v>
      </c>
      <c r="F64" s="248" t="s">
        <v>183</v>
      </c>
      <c r="G64" s="257">
        <v>0.5</v>
      </c>
      <c r="H64" s="258">
        <f t="shared" ref="H64:H67" si="8">if(isblank(G64),"",if(not(iserror(find("MATCH in ",D64))),D64,if(and(not(isblank($B64)),$B64=$B63,$A64&lt;&gt;$A63),"ID LISTS UNALIGNED",if(not(isblank($A64)),if($A64=$A63,G64+H63,G64),if($B64=$B63,G64+H63,G64)))))</f>
        <v>0.5</v>
      </c>
      <c r="I64" s="237" t="s">
        <v>185</v>
      </c>
      <c r="J64" s="259" t="s">
        <v>1690</v>
      </c>
    </row>
    <row r="65">
      <c r="A65" s="240" t="s">
        <v>1680</v>
      </c>
      <c r="B65" s="237">
        <v>13296.0</v>
      </c>
      <c r="C65" s="121" t="s">
        <v>1669</v>
      </c>
      <c r="D65" s="121" t="str">
        <f t="shared" si="7"/>
        <v/>
      </c>
      <c r="E65" s="237" t="s">
        <v>1691</v>
      </c>
      <c r="F65" s="248" t="s">
        <v>251</v>
      </c>
      <c r="G65" s="257">
        <v>0.5</v>
      </c>
      <c r="H65" s="258">
        <f t="shared" si="8"/>
        <v>1</v>
      </c>
      <c r="I65" s="237" t="s">
        <v>184</v>
      </c>
      <c r="J65" s="259"/>
    </row>
    <row r="66">
      <c r="A66" s="240" t="s">
        <v>1682</v>
      </c>
      <c r="B66" s="237">
        <v>13295.0</v>
      </c>
      <c r="C66" s="121" t="s">
        <v>1669</v>
      </c>
      <c r="D66" s="121" t="str">
        <f t="shared" si="7"/>
        <v>Instrumental</v>
      </c>
      <c r="E66" s="237" t="s">
        <v>1689</v>
      </c>
      <c r="F66" s="248" t="s">
        <v>183</v>
      </c>
      <c r="G66" s="260">
        <v>1.0</v>
      </c>
      <c r="H66" s="258">
        <f t="shared" si="8"/>
        <v>1</v>
      </c>
      <c r="I66" s="237" t="s">
        <v>184</v>
      </c>
      <c r="J66" s="259"/>
    </row>
    <row r="67">
      <c r="A67" s="240" t="s">
        <v>1684</v>
      </c>
      <c r="B67" s="240">
        <v>13452.0</v>
      </c>
      <c r="C67" s="121" t="s">
        <v>1685</v>
      </c>
      <c r="D67" s="121" t="str">
        <f t="shared" si="7"/>
        <v>Instrumental</v>
      </c>
      <c r="E67" s="237" t="s">
        <v>1689</v>
      </c>
      <c r="F67" s="248" t="s">
        <v>183</v>
      </c>
      <c r="G67" s="260">
        <v>1.0</v>
      </c>
      <c r="H67" s="258">
        <f t="shared" si="8"/>
        <v>1</v>
      </c>
      <c r="I67" s="237" t="s">
        <v>185</v>
      </c>
      <c r="J67" s="259" t="s">
        <v>1692</v>
      </c>
    </row>
  </sheetData>
  <mergeCells count="8">
    <mergeCell ref="C28:D28"/>
    <mergeCell ref="C36:D36"/>
    <mergeCell ref="C45:D45"/>
    <mergeCell ref="A56:B56"/>
    <mergeCell ref="D56:E56"/>
    <mergeCell ref="A57:B57"/>
    <mergeCell ref="D57:E57"/>
    <mergeCell ref="C63:D63"/>
  </mergeCells>
  <conditionalFormatting sqref="A25:B25 A33:B33 A42:B42 G60">
    <cfRule type="cellIs" dxfId="3" priority="1" operator="notEqual">
      <formula>0</formula>
    </cfRule>
  </conditionalFormatting>
  <conditionalFormatting sqref="B14 B54 E54">
    <cfRule type="cellIs" dxfId="1" priority="2" operator="equal">
      <formula>0</formula>
    </cfRule>
  </conditionalFormatting>
  <conditionalFormatting sqref="B14 B54 E54">
    <cfRule type="cellIs" dxfId="2" priority="3" operator="notEqual">
      <formula>0</formula>
    </cfRule>
  </conditionalFormatting>
  <conditionalFormatting sqref="H64:H67">
    <cfRule type="cellIs" dxfId="1" priority="4" operator="equal">
      <formula>1</formula>
    </cfRule>
  </conditionalFormatting>
  <conditionalFormatting sqref="H64:H67">
    <cfRule type="cellIs" dxfId="6" priority="5" operator="greaterThan">
      <formula>1</formula>
    </cfRule>
  </conditionalFormatting>
  <conditionalFormatting sqref="H64:H67">
    <cfRule type="expression" dxfId="2" priority="6">
      <formula>or(and(H64&lt;1,H65&lt;&gt;"",C64&lt;&gt;C65),and(H64&lt;1,H65&lt;&gt;"",D64&lt;&gt;D65))</formula>
    </cfRule>
  </conditionalFormatting>
  <conditionalFormatting sqref="J64:J67">
    <cfRule type="expression" dxfId="10" priority="7">
      <formula>and(I64="Published (managed by a publisher)",J64="")</formula>
    </cfRule>
  </conditionalFormatting>
  <conditionalFormatting sqref="J64:J67">
    <cfRule type="expression" dxfId="2" priority="8">
      <formula>and(I64&lt;&gt;"Published (managed by a publisher)",J64&lt;&gt;"")</formula>
    </cfRule>
  </conditionalFormatting>
  <dataValidations>
    <dataValidation type="list" allowBlank="1" showInputMessage="1" showErrorMessage="1" prompt="select from list, start typing or drag" sqref="G22 J37:J39">
      <formula1>Language</formula1>
    </dataValidation>
    <dataValidation type="list" allowBlank="1" showInputMessage="1" showErrorMessage="1" prompt="select from list, start typing or drag" sqref="L37:L39">
      <formula1>"Original,Public domain"</formula1>
    </dataValidation>
    <dataValidation type="custom" allowBlank="1" showDropDown="1" showInputMessage="1" showErrorMessage="1" prompt="Enter a Valid Year from after 1899" sqref="J22 L22">
      <formula1>and(INT(J22)=J22,J22&gt;=1900,J22&lt;=Year(Now())+1)</formula1>
    </dataValidation>
    <dataValidation type="list" allowBlank="1" showInputMessage="1" showErrorMessage="1" prompt="select from list, start typing or drag" sqref="K37:K39">
      <formula1>"YES,NO"</formula1>
    </dataValidation>
    <dataValidation type="list" allowBlank="1" showInputMessage="1" showErrorMessage="1" prompt="select from Labels list, start typing or drag" sqref="A22">
      <formula1>'Sample Data'!$A$15</formula1>
    </dataValidation>
    <dataValidation type="list" allowBlank="1" showInputMessage="1" showErrorMessage="1" prompt="select from list, start typing or drag" sqref="I22">
      <formula1>ReleaseType</formula1>
    </dataValidation>
    <dataValidation type="custom" allowBlank="1" showDropDown="1" showInputMessage="1" showErrorMessage="1" prompt="Only positive numeric values up to 100%: max 2 decimals in Percent format, e.g. 33.34%; or max 4 decimals in Number format, e.g. 0.3334;" sqref="G64:G67">
      <formula1>and(INT(G64*10000)=G64*10000,G64&gt;0,G64&lt;=1)</formula1>
    </dataValidation>
    <dataValidation type="list" allowBlank="1" showInputMessage="1" showErrorMessage="1" prompt="select from list, start typing or drag" sqref="C22">
      <formula1>"jpeg,jpg"</formula1>
    </dataValidation>
    <dataValidation type="list" allowBlank="1" showInputMessage="1" showErrorMessage="1" prompt="select from Comp Contributors list, start typing or drag" sqref="E64:E67">
      <formula1>'Sample Data'!$A$56:$A$57</formula1>
    </dataValidation>
    <dataValidation type="custom" allowBlank="1" showDropDown="1" showInputMessage="1" showErrorMessage="1" prompt="Enter a valid date" sqref="N22">
      <formula1>OR(NOT(ISERROR(DATEVALUE(N22))), AND(ISNUMBER(N22), LEFT(CELL("format", N22))="D"))</formula1>
    </dataValidation>
    <dataValidation type="custom" allowBlank="1" showDropDown="1" showInputMessage="1" showErrorMessage="1" prompt="Enter a valid UPC/EAN/JAN" sqref="D22 A29:A30 A37:A39">
      <formula1>and(INT(A22)=A22,A22&gt;99999999999)</formula1>
    </dataValidation>
    <dataValidation type="list" allowBlank="1" showInputMessage="1" showErrorMessage="1" prompt="select from list, start typing or drag" sqref="O22:P22">
      <formula1>Genre</formula1>
    </dataValidation>
    <dataValidation type="list" allowBlank="1" showInputMessage="1" showErrorMessage="1" prompt="select from list, start typing or drag" sqref="F64:F67">
      <formula1>CompositionRole</formula1>
    </dataValidation>
    <dataValidation type="list" allowBlank="1" showInputMessage="1" showErrorMessage="1" prompt="select from Artists list, start typing or drag" sqref="E29:E30 E46:E49">
      <formula1>'Sample Data'!$A$7:$A$8</formula1>
    </dataValidation>
    <dataValidation type="list" allowBlank="1" showInputMessage="1" showErrorMessage="1" prompt="select from list, start typing or drag" sqref="F29:F30 F46:F49">
      <formula1>ArtistRole</formula1>
    </dataValidation>
    <dataValidation type="list" allowBlank="1" showInputMessage="1" showErrorMessage="1" prompt="Click and enter a value frselect from list, start typing or dragom range" sqref="I64:I67">
      <formula1>Publishing</formula1>
    </dataValidation>
    <dataValidation type="list" allowBlank="1" showInputMessage="1" showErrorMessage="1" prompt="Fill out ONLY when 'Published (managed by a publisher)' selected for Publishing; select from Publisher list, start typing or drag" sqref="J64:J67">
      <formula1>'Sample Data'!$D$56:$E$57</formula1>
    </dataValidation>
  </dataValidations>
  <hyperlinks>
    <hyperlink r:id="rId2" ref="B7"/>
    <hyperlink r:id="rId3" ref="B22"/>
    <hyperlink r:id="rId4" ref="M37"/>
    <hyperlink r:id="rId5" ref="M38"/>
    <hyperlink r:id="rId6" ref="M39"/>
  </hyperlinks>
  <drawing r:id="rId7"/>
  <legacyDrawing r:id="rId8"/>
</worksheet>
</file>